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ThisWorkbook"/>
  <mc:AlternateContent xmlns:mc="http://schemas.openxmlformats.org/markup-compatibility/2006">
    <mc:Choice Requires="x15">
      <x15ac:absPath xmlns:x15ac="http://schemas.microsoft.com/office/spreadsheetml/2010/11/ac" url="C:\Users\Intrinio\Dropbox\Projects\Intrinio Excel Addin\Templates\Banks\"/>
    </mc:Choice>
  </mc:AlternateContent>
  <bookViews>
    <workbookView xWindow="120" yWindow="15" windowWidth="18960" windowHeight="9705"/>
  </bookViews>
  <sheets>
    <sheet name="ToC" sheetId="1" r:id="rId1"/>
    <sheet name="Support" sheetId="71" state="hidden" r:id="rId2"/>
    <sheet name="RI" sheetId="4" r:id="rId3"/>
    <sheet name="RIA" sheetId="72" r:id="rId4"/>
    <sheet name="RIBI" sheetId="73" r:id="rId5"/>
    <sheet name="RIBII" sheetId="75" r:id="rId6"/>
    <sheet name="RIC" sheetId="76" r:id="rId7"/>
    <sheet name="RID" sheetId="98" r:id="rId8"/>
    <sheet name="RIE" sheetId="77" r:id="rId9"/>
    <sheet name="RC" sheetId="78" r:id="rId10"/>
    <sheet name="RCA" sheetId="79" r:id="rId11"/>
    <sheet name="RCB" sheetId="80" r:id="rId12"/>
    <sheet name="RCCI" sheetId="84" r:id="rId13"/>
    <sheet name="RCCII" sheetId="85" r:id="rId14"/>
    <sheet name="RCD" sheetId="82" r:id="rId15"/>
    <sheet name="RCEI" sheetId="83" r:id="rId16"/>
    <sheet name="RCEII" sheetId="99" r:id="rId17"/>
    <sheet name="RCF" sheetId="86" r:id="rId18"/>
    <sheet name="RCG" sheetId="87" r:id="rId19"/>
    <sheet name="RCH" sheetId="100" r:id="rId20"/>
    <sheet name="RCK" sheetId="88" r:id="rId21"/>
    <sheet name="RCL" sheetId="89" r:id="rId22"/>
    <sheet name="RCM" sheetId="90" r:id="rId23"/>
    <sheet name="RCN" sheetId="91" r:id="rId24"/>
    <sheet name="RCO" sheetId="92" r:id="rId25"/>
    <sheet name="RCP" sheetId="93" r:id="rId26"/>
    <sheet name="RCRI" sheetId="97" r:id="rId27"/>
    <sheet name="RCV" sheetId="94" r:id="rId28"/>
  </sheets>
  <externalReferences>
    <externalReference r:id="rId29"/>
  </externalReferences>
  <definedNames>
    <definedName name="fiscal_period">ToC!$B$18</definedName>
    <definedName name="fiscal_period_sequence">ToC!$B$16</definedName>
    <definedName name="fiscal_period_type">ToC!$B$15</definedName>
    <definedName name="fiscal_period_types">Support!$A$2:$A$5</definedName>
    <definedName name="fiscal_year">ToC!$B$17</definedName>
    <definedName name="name">ToC!$B$8</definedName>
    <definedName name="_xlnm.Print_Area" localSheetId="9">'RC'!$A$1:$P$63</definedName>
    <definedName name="_xlnm.Print_Area" localSheetId="10">RCA!$A$1:$P$25</definedName>
    <definedName name="_xlnm.Print_Area" localSheetId="11">RCB!$A$1:$R$86</definedName>
    <definedName name="_xlnm.Print_Area" localSheetId="12">RCCI!$A$1:$P$140</definedName>
    <definedName name="_xlnm.Print_Area" localSheetId="13">RCCII!$A$1:$P$51</definedName>
    <definedName name="_xlnm.Print_Area" localSheetId="14">RCD!$A$1:$P$177</definedName>
    <definedName name="_xlnm.Print_Area" localSheetId="15">RCEI!$A$1:$P$78</definedName>
    <definedName name="_xlnm.Print_Area" localSheetId="16">RCEII!$A$1:$P$15</definedName>
    <definedName name="_xlnm.Print_Area" localSheetId="17">RCF!$A$1:$P$23</definedName>
    <definedName name="_xlnm.Print_Area" localSheetId="18">RCG!$A$1:$P$16</definedName>
    <definedName name="_xlnm.Print_Area" localSheetId="19">RCH!$A$1:$P$48</definedName>
    <definedName name="_xlnm.Print_Area" localSheetId="20">RCK!$A$1:$P$33</definedName>
    <definedName name="_xlnm.Print_Area" localSheetId="21">RCL!$A$1:$P$201</definedName>
    <definedName name="_xlnm.Print_Area" localSheetId="22">RCM!$A$1:$P$124</definedName>
    <definedName name="_xlnm.Print_Area" localSheetId="23">RCN!$A$1:$N$111</definedName>
    <definedName name="_xlnm.Print_Area" localSheetId="24">RCO!$A$1:$P$87</definedName>
    <definedName name="_xlnm.Print_Area" localSheetId="25">RCP!$A$1:$P$42</definedName>
    <definedName name="_xlnm.Print_Area" localSheetId="26">RCRI!$A$1:$P$73</definedName>
    <definedName name="_xlnm.Print_Area" localSheetId="27">RCV!$A$1:$N$27</definedName>
    <definedName name="_xlnm.Print_Area" localSheetId="2">RI!$A$1:$P$115</definedName>
    <definedName name="_xlnm.Print_Area" localSheetId="3">RIA!$A$1:$P$17</definedName>
    <definedName name="_xlnm.Print_Area" localSheetId="4">RIBI!$A$1:$J$46</definedName>
    <definedName name="_xlnm.Print_Area" localSheetId="5">RIBII!$A$1:$P$18</definedName>
    <definedName name="_xlnm.Print_Area" localSheetId="6">RIC!$A$1:$H$63</definedName>
    <definedName name="_xlnm.Print_Area" localSheetId="7">RID!$A$1:$P$22</definedName>
    <definedName name="_xlnm.Print_Area" localSheetId="8">RIE!$A$1:$P$14</definedName>
    <definedName name="_xlnm.Print_Area" localSheetId="0">ToC!$A$1:$C$46</definedName>
    <definedName name="_xlnm.Print_Titles" localSheetId="9">'RC'!$1:$5</definedName>
    <definedName name="_xlnm.Print_Titles" localSheetId="10">RCA!$1:$5</definedName>
    <definedName name="_xlnm.Print_Titles" localSheetId="11">RCB!$1:$8</definedName>
    <definedName name="_xlnm.Print_Titles" localSheetId="12">RCCI!$1:$5</definedName>
    <definedName name="_xlnm.Print_Titles" localSheetId="13">RCCII!$1:$5</definedName>
    <definedName name="_xlnm.Print_Titles" localSheetId="14">RCD!$1:$5</definedName>
    <definedName name="_xlnm.Print_Titles" localSheetId="15">RCEI!$1:$5</definedName>
    <definedName name="_xlnm.Print_Titles" localSheetId="16">RCEII!$1:$5</definedName>
    <definedName name="_xlnm.Print_Titles" localSheetId="17">RCF!$1:$5</definedName>
    <definedName name="_xlnm.Print_Titles" localSheetId="18">RCG!$1:$5</definedName>
    <definedName name="_xlnm.Print_Titles" localSheetId="19">RCH!$1:$5</definedName>
    <definedName name="_xlnm.Print_Titles" localSheetId="20">RCK!$1:$5</definedName>
    <definedName name="_xlnm.Print_Titles" localSheetId="21">RCL!$1:$5</definedName>
    <definedName name="_xlnm.Print_Titles" localSheetId="22">RCM!$1:$5</definedName>
    <definedName name="_xlnm.Print_Titles" localSheetId="23">RCN!$1:$8</definedName>
    <definedName name="_xlnm.Print_Titles" localSheetId="24">RCO!$1:$5</definedName>
    <definedName name="_xlnm.Print_Titles" localSheetId="25">RCP!$1:$5</definedName>
    <definedName name="_xlnm.Print_Titles" localSheetId="26">RCRI!$1:$5</definedName>
    <definedName name="_xlnm.Print_Titles" localSheetId="27">RCV!$1:$7</definedName>
    <definedName name="_xlnm.Print_Titles" localSheetId="2">RI!$1:$6</definedName>
    <definedName name="_xlnm.Print_Titles" localSheetId="3">RIA!$1:$5</definedName>
    <definedName name="_xlnm.Print_Titles" localSheetId="4">RIBI!$1:$7</definedName>
    <definedName name="_xlnm.Print_Titles" localSheetId="5">RIBII!$1:$5</definedName>
    <definedName name="_xlnm.Print_Titles" localSheetId="6">RIC!$1:$3</definedName>
    <definedName name="_xlnm.Print_Titles" localSheetId="7">RID!$1:$5</definedName>
    <definedName name="_xlnm.Print_Titles" localSheetId="8">RIE!$1:$5</definedName>
    <definedName name="_xlnm.Print_Titles" localSheetId="0">ToC!$1:$8</definedName>
    <definedName name="rssd_id">ToC!$B$7</definedName>
    <definedName name="sequences">Support!$B$2:$B$21</definedName>
  </definedNames>
  <calcPr calcId="171027" calcMode="manual" concurrentCalc="0"/>
</workbook>
</file>

<file path=xl/calcChain.xml><?xml version="1.0" encoding="utf-8"?>
<calcChain xmlns="http://schemas.openxmlformats.org/spreadsheetml/2006/main">
  <c r="H4" i="94" l="1"/>
  <c r="H5" i="94"/>
  <c r="M27" i="94"/>
  <c r="M26" i="94"/>
  <c r="M25" i="94"/>
  <c r="M24" i="94"/>
  <c r="M23" i="94"/>
  <c r="M22" i="94"/>
  <c r="M21" i="94"/>
  <c r="M20" i="94"/>
  <c r="M19" i="94"/>
  <c r="M18" i="94"/>
  <c r="M17" i="94"/>
  <c r="M16" i="94"/>
  <c r="M15" i="94"/>
  <c r="M14" i="94"/>
  <c r="M13" i="94"/>
  <c r="M12" i="94"/>
  <c r="M11" i="94"/>
  <c r="M10" i="94"/>
  <c r="M9" i="94"/>
  <c r="M8" i="94"/>
  <c r="B5" i="94"/>
  <c r="B4" i="94"/>
  <c r="O3" i="97"/>
  <c r="O4" i="97"/>
  <c r="O5" i="97"/>
  <c r="O73" i="97"/>
  <c r="N3" i="97"/>
  <c r="N4" i="97"/>
  <c r="N5" i="97"/>
  <c r="N73" i="97"/>
  <c r="M3" i="97"/>
  <c r="M4" i="97"/>
  <c r="M5" i="97"/>
  <c r="M73" i="97"/>
  <c r="L3" i="97"/>
  <c r="L4" i="97"/>
  <c r="L5" i="97"/>
  <c r="L73" i="97"/>
  <c r="K3" i="97"/>
  <c r="K4" i="97"/>
  <c r="K5" i="97"/>
  <c r="K73" i="97"/>
  <c r="J3" i="97"/>
  <c r="J4" i="97"/>
  <c r="J5" i="97"/>
  <c r="J73" i="97"/>
  <c r="I3" i="97"/>
  <c r="I4" i="97"/>
  <c r="I5" i="97"/>
  <c r="I73" i="97"/>
  <c r="H3" i="97"/>
  <c r="H4" i="97"/>
  <c r="H5" i="97"/>
  <c r="H73" i="97"/>
  <c r="G3" i="97"/>
  <c r="G4" i="97"/>
  <c r="G5" i="97"/>
  <c r="G73" i="97"/>
  <c r="F3" i="97"/>
  <c r="F4" i="97"/>
  <c r="F5" i="97"/>
  <c r="F73" i="97"/>
  <c r="E3" i="97"/>
  <c r="E4" i="97"/>
  <c r="E5" i="97"/>
  <c r="E73" i="97"/>
  <c r="D3" i="97"/>
  <c r="D4" i="97"/>
  <c r="D5" i="97"/>
  <c r="D73" i="97"/>
  <c r="C3" i="97"/>
  <c r="C4" i="97"/>
  <c r="C5" i="97"/>
  <c r="C73" i="97"/>
  <c r="O72" i="97"/>
  <c r="N72" i="97"/>
  <c r="M72" i="97"/>
  <c r="L72" i="97"/>
  <c r="K72" i="97"/>
  <c r="J72" i="97"/>
  <c r="I72" i="97"/>
  <c r="H72" i="97"/>
  <c r="G72" i="97"/>
  <c r="F72" i="97"/>
  <c r="E72" i="97"/>
  <c r="D72" i="97"/>
  <c r="C72" i="97"/>
  <c r="O71" i="97"/>
  <c r="N71" i="97"/>
  <c r="M71" i="97"/>
  <c r="L71" i="97"/>
  <c r="K71" i="97"/>
  <c r="J71" i="97"/>
  <c r="I71" i="97"/>
  <c r="H71" i="97"/>
  <c r="G71" i="97"/>
  <c r="F71" i="97"/>
  <c r="E71" i="97"/>
  <c r="D71" i="97"/>
  <c r="C71" i="97"/>
  <c r="O70" i="97"/>
  <c r="N69" i="97"/>
  <c r="M69" i="97"/>
  <c r="L69" i="97"/>
  <c r="K69" i="97"/>
  <c r="J69" i="97"/>
  <c r="I69" i="97"/>
  <c r="H69" i="97"/>
  <c r="G69" i="97"/>
  <c r="F69" i="97"/>
  <c r="E69" i="97"/>
  <c r="D69" i="97"/>
  <c r="C69" i="97"/>
  <c r="O68" i="97"/>
  <c r="N68" i="97"/>
  <c r="M68" i="97"/>
  <c r="L68" i="97"/>
  <c r="K68" i="97"/>
  <c r="J68" i="97"/>
  <c r="I68" i="97"/>
  <c r="H68" i="97"/>
  <c r="G68" i="97"/>
  <c r="F68" i="97"/>
  <c r="E68" i="97"/>
  <c r="D68" i="97"/>
  <c r="C68" i="97"/>
  <c r="O67" i="97"/>
  <c r="N67" i="97"/>
  <c r="M67" i="97"/>
  <c r="L67" i="97"/>
  <c r="K67" i="97"/>
  <c r="J67" i="97"/>
  <c r="I67" i="97"/>
  <c r="H67" i="97"/>
  <c r="G67" i="97"/>
  <c r="F67" i="97"/>
  <c r="E67" i="97"/>
  <c r="D67" i="97"/>
  <c r="C67" i="97"/>
  <c r="O66" i="97"/>
  <c r="N66" i="97"/>
  <c r="M66" i="97"/>
  <c r="L66" i="97"/>
  <c r="K66" i="97"/>
  <c r="J66" i="97"/>
  <c r="I66" i="97"/>
  <c r="H66" i="97"/>
  <c r="G66" i="97"/>
  <c r="F66" i="97"/>
  <c r="E66" i="97"/>
  <c r="D66" i="97"/>
  <c r="C66" i="97"/>
  <c r="N65" i="97"/>
  <c r="M65" i="97"/>
  <c r="L65" i="97"/>
  <c r="K65" i="97"/>
  <c r="J65" i="97"/>
  <c r="I65" i="97"/>
  <c r="H65" i="97"/>
  <c r="G65" i="97"/>
  <c r="F65" i="97"/>
  <c r="E65" i="97"/>
  <c r="D65" i="97"/>
  <c r="C65" i="97"/>
  <c r="O64" i="97"/>
  <c r="N64" i="97"/>
  <c r="M64" i="97"/>
  <c r="L64" i="97"/>
  <c r="K64" i="97"/>
  <c r="J64" i="97"/>
  <c r="I64" i="97"/>
  <c r="H64" i="97"/>
  <c r="G64" i="97"/>
  <c r="F64" i="97"/>
  <c r="E64" i="97"/>
  <c r="D64" i="97"/>
  <c r="C64" i="97"/>
  <c r="O63" i="97"/>
  <c r="N63" i="97"/>
  <c r="M63" i="97"/>
  <c r="L63" i="97"/>
  <c r="K63" i="97"/>
  <c r="J63" i="97"/>
  <c r="I63" i="97"/>
  <c r="H63" i="97"/>
  <c r="G63" i="97"/>
  <c r="F63" i="97"/>
  <c r="E63" i="97"/>
  <c r="D63" i="97"/>
  <c r="C63" i="97"/>
  <c r="O62" i="97"/>
  <c r="N62" i="97"/>
  <c r="M62" i="97"/>
  <c r="L62" i="97"/>
  <c r="K62" i="97"/>
  <c r="J62" i="97"/>
  <c r="I62" i="97"/>
  <c r="H62" i="97"/>
  <c r="G62" i="97"/>
  <c r="F62" i="97"/>
  <c r="E62" i="97"/>
  <c r="D62" i="97"/>
  <c r="C62" i="97"/>
  <c r="O61" i="97"/>
  <c r="N61" i="97"/>
  <c r="M61" i="97"/>
  <c r="L61" i="97"/>
  <c r="K61" i="97"/>
  <c r="J61" i="97"/>
  <c r="I61" i="97"/>
  <c r="H61" i="97"/>
  <c r="G61" i="97"/>
  <c r="F61" i="97"/>
  <c r="E61" i="97"/>
  <c r="D61" i="97"/>
  <c r="C61" i="97"/>
  <c r="O60" i="97"/>
  <c r="N60" i="97"/>
  <c r="M60" i="97"/>
  <c r="L60" i="97"/>
  <c r="K60" i="97"/>
  <c r="J60" i="97"/>
  <c r="I60" i="97"/>
  <c r="H60" i="97"/>
  <c r="G60" i="97"/>
  <c r="F60" i="97"/>
  <c r="E60" i="97"/>
  <c r="D60" i="97"/>
  <c r="C60" i="97"/>
  <c r="O59" i="97"/>
  <c r="N59" i="97"/>
  <c r="M59" i="97"/>
  <c r="L59" i="97"/>
  <c r="K59" i="97"/>
  <c r="J59" i="97"/>
  <c r="I59" i="97"/>
  <c r="H59" i="97"/>
  <c r="G59" i="97"/>
  <c r="F59" i="97"/>
  <c r="E59" i="97"/>
  <c r="D59" i="97"/>
  <c r="C59" i="97"/>
  <c r="O58" i="97"/>
  <c r="N58" i="97"/>
  <c r="M58" i="97"/>
  <c r="L58" i="97"/>
  <c r="K58" i="97"/>
  <c r="J58" i="97"/>
  <c r="I58" i="97"/>
  <c r="H58" i="97"/>
  <c r="G58" i="97"/>
  <c r="F58" i="97"/>
  <c r="E58" i="97"/>
  <c r="D58" i="97"/>
  <c r="C58" i="97"/>
  <c r="O57" i="97"/>
  <c r="N57" i="97"/>
  <c r="M57" i="97"/>
  <c r="L57" i="97"/>
  <c r="K57" i="97"/>
  <c r="J57" i="97"/>
  <c r="I57" i="97"/>
  <c r="H57" i="97"/>
  <c r="G57" i="97"/>
  <c r="F57" i="97"/>
  <c r="E57" i="97"/>
  <c r="D57" i="97"/>
  <c r="C57" i="97"/>
  <c r="O56" i="97"/>
  <c r="N56" i="97"/>
  <c r="M56" i="97"/>
  <c r="L56" i="97"/>
  <c r="K56" i="97"/>
  <c r="J56" i="97"/>
  <c r="I56" i="97"/>
  <c r="H56" i="97"/>
  <c r="G56" i="97"/>
  <c r="F56" i="97"/>
  <c r="E56" i="97"/>
  <c r="D56" i="97"/>
  <c r="C56" i="97"/>
  <c r="O55" i="97"/>
  <c r="N55" i="97"/>
  <c r="M55" i="97"/>
  <c r="L55" i="97"/>
  <c r="K55" i="97"/>
  <c r="J55" i="97"/>
  <c r="I55" i="97"/>
  <c r="H55" i="97"/>
  <c r="G55" i="97"/>
  <c r="F55" i="97"/>
  <c r="E55" i="97"/>
  <c r="D55" i="97"/>
  <c r="C55" i="97"/>
  <c r="O54" i="97"/>
  <c r="N54" i="97"/>
  <c r="M54" i="97"/>
  <c r="L54" i="97"/>
  <c r="K54" i="97"/>
  <c r="J54" i="97"/>
  <c r="I54" i="97"/>
  <c r="H54" i="97"/>
  <c r="G54" i="97"/>
  <c r="F54" i="97"/>
  <c r="E54" i="97"/>
  <c r="D54" i="97"/>
  <c r="C54" i="97"/>
  <c r="O53" i="97"/>
  <c r="N53" i="97"/>
  <c r="M53" i="97"/>
  <c r="L53" i="97"/>
  <c r="K53" i="97"/>
  <c r="J53" i="97"/>
  <c r="I53" i="97"/>
  <c r="H53" i="97"/>
  <c r="G53" i="97"/>
  <c r="F53" i="97"/>
  <c r="E53" i="97"/>
  <c r="D53" i="97"/>
  <c r="C53" i="97"/>
  <c r="O52" i="97"/>
  <c r="N52" i="97"/>
  <c r="M52" i="97"/>
  <c r="L52" i="97"/>
  <c r="K52" i="97"/>
  <c r="J52" i="97"/>
  <c r="I52" i="97"/>
  <c r="H52" i="97"/>
  <c r="G52" i="97"/>
  <c r="F52" i="97"/>
  <c r="E52" i="97"/>
  <c r="D52" i="97"/>
  <c r="C52" i="97"/>
  <c r="O51" i="97"/>
  <c r="N51" i="97"/>
  <c r="M51" i="97"/>
  <c r="L51" i="97"/>
  <c r="K51" i="97"/>
  <c r="J51" i="97"/>
  <c r="I51" i="97"/>
  <c r="H51" i="97"/>
  <c r="G51" i="97"/>
  <c r="F51" i="97"/>
  <c r="E51" i="97"/>
  <c r="D51" i="97"/>
  <c r="C51" i="97"/>
  <c r="O50" i="97"/>
  <c r="N50" i="97"/>
  <c r="M50" i="97"/>
  <c r="L50" i="97"/>
  <c r="K50" i="97"/>
  <c r="J50" i="97"/>
  <c r="I50" i="97"/>
  <c r="H50" i="97"/>
  <c r="G50" i="97"/>
  <c r="F50" i="97"/>
  <c r="E50" i="97"/>
  <c r="D50" i="97"/>
  <c r="C50" i="97"/>
  <c r="O49" i="97"/>
  <c r="N49" i="97"/>
  <c r="M49" i="97"/>
  <c r="L49" i="97"/>
  <c r="K49" i="97"/>
  <c r="J49" i="97"/>
  <c r="I49" i="97"/>
  <c r="H49" i="97"/>
  <c r="G49" i="97"/>
  <c r="F49" i="97"/>
  <c r="E49" i="97"/>
  <c r="D49" i="97"/>
  <c r="C49" i="97"/>
  <c r="O48" i="97"/>
  <c r="N48" i="97"/>
  <c r="M48" i="97"/>
  <c r="L48" i="97"/>
  <c r="K48" i="97"/>
  <c r="J48" i="97"/>
  <c r="I48" i="97"/>
  <c r="H48" i="97"/>
  <c r="G48" i="97"/>
  <c r="F48" i="97"/>
  <c r="E48" i="97"/>
  <c r="D48" i="97"/>
  <c r="C48" i="97"/>
  <c r="O47" i="97"/>
  <c r="N47" i="97"/>
  <c r="M47" i="97"/>
  <c r="L47" i="97"/>
  <c r="K47" i="97"/>
  <c r="J47" i="97"/>
  <c r="I47" i="97"/>
  <c r="H47" i="97"/>
  <c r="G47" i="97"/>
  <c r="F47" i="97"/>
  <c r="E47" i="97"/>
  <c r="D47" i="97"/>
  <c r="C47" i="97"/>
  <c r="O46" i="97"/>
  <c r="N46" i="97"/>
  <c r="M46" i="97"/>
  <c r="L46" i="97"/>
  <c r="K46" i="97"/>
  <c r="J46" i="97"/>
  <c r="I46" i="97"/>
  <c r="H46" i="97"/>
  <c r="G46" i="97"/>
  <c r="F46" i="97"/>
  <c r="E46" i="97"/>
  <c r="D46" i="97"/>
  <c r="C46" i="97"/>
  <c r="O45" i="97"/>
  <c r="N45" i="97"/>
  <c r="M45" i="97"/>
  <c r="L45" i="97"/>
  <c r="K45" i="97"/>
  <c r="J45" i="97"/>
  <c r="I45" i="97"/>
  <c r="H45" i="97"/>
  <c r="G45" i="97"/>
  <c r="F45" i="97"/>
  <c r="E45" i="97"/>
  <c r="D45" i="97"/>
  <c r="C45" i="97"/>
  <c r="O44" i="97"/>
  <c r="N44" i="97"/>
  <c r="M44" i="97"/>
  <c r="L44" i="97"/>
  <c r="K44" i="97"/>
  <c r="J44" i="97"/>
  <c r="I44" i="97"/>
  <c r="H44" i="97"/>
  <c r="G44" i="97"/>
  <c r="F44" i="97"/>
  <c r="E44" i="97"/>
  <c r="D44" i="97"/>
  <c r="C44" i="97"/>
  <c r="O43" i="97"/>
  <c r="N43" i="97"/>
  <c r="M43" i="97"/>
  <c r="L43" i="97"/>
  <c r="K43" i="97"/>
  <c r="J43" i="97"/>
  <c r="I43" i="97"/>
  <c r="H43" i="97"/>
  <c r="G43" i="97"/>
  <c r="F43" i="97"/>
  <c r="E43" i="97"/>
  <c r="D43" i="97"/>
  <c r="C43" i="97"/>
  <c r="O42" i="97"/>
  <c r="N42" i="97"/>
  <c r="M42" i="97"/>
  <c r="L42" i="97"/>
  <c r="K42" i="97"/>
  <c r="J42" i="97"/>
  <c r="I42" i="97"/>
  <c r="H42" i="97"/>
  <c r="G42" i="97"/>
  <c r="F42" i="97"/>
  <c r="E42" i="97"/>
  <c r="D42" i="97"/>
  <c r="C42" i="97"/>
  <c r="O41" i="97"/>
  <c r="N41" i="97"/>
  <c r="M41" i="97"/>
  <c r="L41" i="97"/>
  <c r="K41" i="97"/>
  <c r="J41" i="97"/>
  <c r="I41" i="97"/>
  <c r="H41" i="97"/>
  <c r="G41" i="97"/>
  <c r="F41" i="97"/>
  <c r="E41" i="97"/>
  <c r="D41" i="97"/>
  <c r="C41" i="97"/>
  <c r="O40" i="97"/>
  <c r="N40" i="97"/>
  <c r="M40" i="97"/>
  <c r="L40" i="97"/>
  <c r="K40" i="97"/>
  <c r="J40" i="97"/>
  <c r="I40" i="97"/>
  <c r="H40" i="97"/>
  <c r="G40" i="97"/>
  <c r="F40" i="97"/>
  <c r="E40" i="97"/>
  <c r="D40" i="97"/>
  <c r="C40" i="97"/>
  <c r="O39" i="97"/>
  <c r="N39" i="97"/>
  <c r="M39" i="97"/>
  <c r="L39" i="97"/>
  <c r="K39" i="97"/>
  <c r="J39" i="97"/>
  <c r="I39" i="97"/>
  <c r="H39" i="97"/>
  <c r="G39" i="97"/>
  <c r="F39" i="97"/>
  <c r="E39" i="97"/>
  <c r="D39" i="97"/>
  <c r="C39" i="97"/>
  <c r="O38" i="97"/>
  <c r="N38" i="97"/>
  <c r="M38" i="97"/>
  <c r="L38" i="97"/>
  <c r="K38" i="97"/>
  <c r="J38" i="97"/>
  <c r="I38" i="97"/>
  <c r="H38" i="97"/>
  <c r="G38" i="97"/>
  <c r="F38" i="97"/>
  <c r="E38" i="97"/>
  <c r="D38" i="97"/>
  <c r="C38" i="97"/>
  <c r="O37" i="97"/>
  <c r="N37" i="97"/>
  <c r="M37" i="97"/>
  <c r="L37" i="97"/>
  <c r="K37" i="97"/>
  <c r="J37" i="97"/>
  <c r="I37" i="97"/>
  <c r="H37" i="97"/>
  <c r="G37" i="97"/>
  <c r="F37" i="97"/>
  <c r="E37" i="97"/>
  <c r="D37" i="97"/>
  <c r="C37" i="97"/>
  <c r="O36" i="97"/>
  <c r="N36" i="97"/>
  <c r="M36" i="97"/>
  <c r="L36" i="97"/>
  <c r="K36" i="97"/>
  <c r="J36" i="97"/>
  <c r="I36" i="97"/>
  <c r="H36" i="97"/>
  <c r="G36" i="97"/>
  <c r="F36" i="97"/>
  <c r="E36" i="97"/>
  <c r="D36" i="97"/>
  <c r="C36" i="97"/>
  <c r="O35" i="97"/>
  <c r="N35" i="97"/>
  <c r="M35" i="97"/>
  <c r="L35" i="97"/>
  <c r="K35" i="97"/>
  <c r="J35" i="97"/>
  <c r="I35" i="97"/>
  <c r="H35" i="97"/>
  <c r="G35" i="97"/>
  <c r="F35" i="97"/>
  <c r="E35" i="97"/>
  <c r="D35" i="97"/>
  <c r="C35" i="97"/>
  <c r="O34" i="97"/>
  <c r="N34" i="97"/>
  <c r="M34" i="97"/>
  <c r="L34" i="97"/>
  <c r="K34" i="97"/>
  <c r="J34" i="97"/>
  <c r="I34" i="97"/>
  <c r="H34" i="97"/>
  <c r="G34" i="97"/>
  <c r="F34" i="97"/>
  <c r="E34" i="97"/>
  <c r="D34" i="97"/>
  <c r="C34" i="97"/>
  <c r="O33" i="97"/>
  <c r="N33" i="97"/>
  <c r="M33" i="97"/>
  <c r="L33" i="97"/>
  <c r="K33" i="97"/>
  <c r="J33" i="97"/>
  <c r="I33" i="97"/>
  <c r="H33" i="97"/>
  <c r="G33" i="97"/>
  <c r="F33" i="97"/>
  <c r="E33" i="97"/>
  <c r="D33" i="97"/>
  <c r="C33" i="97"/>
  <c r="O32" i="97"/>
  <c r="N32" i="97"/>
  <c r="M32" i="97"/>
  <c r="L32" i="97"/>
  <c r="K32" i="97"/>
  <c r="J32" i="97"/>
  <c r="I32" i="97"/>
  <c r="H32" i="97"/>
  <c r="G32" i="97"/>
  <c r="F32" i="97"/>
  <c r="E32" i="97"/>
  <c r="D32" i="97"/>
  <c r="C32" i="97"/>
  <c r="O31" i="97"/>
  <c r="N31" i="97"/>
  <c r="M31" i="97"/>
  <c r="L31" i="97"/>
  <c r="K31" i="97"/>
  <c r="J31" i="97"/>
  <c r="I31" i="97"/>
  <c r="H31" i="97"/>
  <c r="G31" i="97"/>
  <c r="F31" i="97"/>
  <c r="E31" i="97"/>
  <c r="D31" i="97"/>
  <c r="C31" i="97"/>
  <c r="O30" i="97"/>
  <c r="N30" i="97"/>
  <c r="M30" i="97"/>
  <c r="L30" i="97"/>
  <c r="K30" i="97"/>
  <c r="J30" i="97"/>
  <c r="I30" i="97"/>
  <c r="H30" i="97"/>
  <c r="G30" i="97"/>
  <c r="F30" i="97"/>
  <c r="E30" i="97"/>
  <c r="D30" i="97"/>
  <c r="C30" i="97"/>
  <c r="O29" i="97"/>
  <c r="N29" i="97"/>
  <c r="M29" i="97"/>
  <c r="L29" i="97"/>
  <c r="K29" i="97"/>
  <c r="J29" i="97"/>
  <c r="I29" i="97"/>
  <c r="H29" i="97"/>
  <c r="G29" i="97"/>
  <c r="F29" i="97"/>
  <c r="E29" i="97"/>
  <c r="D29" i="97"/>
  <c r="C29" i="97"/>
  <c r="O28" i="97"/>
  <c r="N28" i="97"/>
  <c r="M28" i="97"/>
  <c r="L28" i="97"/>
  <c r="K28" i="97"/>
  <c r="J28" i="97"/>
  <c r="I28" i="97"/>
  <c r="H28" i="97"/>
  <c r="G28" i="97"/>
  <c r="F28" i="97"/>
  <c r="E28" i="97"/>
  <c r="D28" i="97"/>
  <c r="C28" i="97"/>
  <c r="O27" i="97"/>
  <c r="N27" i="97"/>
  <c r="M27" i="97"/>
  <c r="L27" i="97"/>
  <c r="K27" i="97"/>
  <c r="J27" i="97"/>
  <c r="I27" i="97"/>
  <c r="H27" i="97"/>
  <c r="G27" i="97"/>
  <c r="F27" i="97"/>
  <c r="O26" i="97"/>
  <c r="N26" i="97"/>
  <c r="M26" i="97"/>
  <c r="L26" i="97"/>
  <c r="K26" i="97"/>
  <c r="J26" i="97"/>
  <c r="I26" i="97"/>
  <c r="H26" i="97"/>
  <c r="G26" i="97"/>
  <c r="F26" i="97"/>
  <c r="E26" i="97"/>
  <c r="D26" i="97"/>
  <c r="C26" i="97"/>
  <c r="O25" i="97"/>
  <c r="N25" i="97"/>
  <c r="M25" i="97"/>
  <c r="L25" i="97"/>
  <c r="K25" i="97"/>
  <c r="J25" i="97"/>
  <c r="I25" i="97"/>
  <c r="H25" i="97"/>
  <c r="G25" i="97"/>
  <c r="F25" i="97"/>
  <c r="O24" i="97"/>
  <c r="N24" i="97"/>
  <c r="M24" i="97"/>
  <c r="L24" i="97"/>
  <c r="K24" i="97"/>
  <c r="J24" i="97"/>
  <c r="I24" i="97"/>
  <c r="H24" i="97"/>
  <c r="G24" i="97"/>
  <c r="F24" i="97"/>
  <c r="E24" i="97"/>
  <c r="D24" i="97"/>
  <c r="C24" i="97"/>
  <c r="O23" i="97"/>
  <c r="N23" i="97"/>
  <c r="M23" i="97"/>
  <c r="L23" i="97"/>
  <c r="K23" i="97"/>
  <c r="J23" i="97"/>
  <c r="I23" i="97"/>
  <c r="H23" i="97"/>
  <c r="G23" i="97"/>
  <c r="F23" i="97"/>
  <c r="E23" i="97"/>
  <c r="D23" i="97"/>
  <c r="C23" i="97"/>
  <c r="O22" i="97"/>
  <c r="N22" i="97"/>
  <c r="M22" i="97"/>
  <c r="L22" i="97"/>
  <c r="K22" i="97"/>
  <c r="J22" i="97"/>
  <c r="I22" i="97"/>
  <c r="H22" i="97"/>
  <c r="G22" i="97"/>
  <c r="F22" i="97"/>
  <c r="O21" i="97"/>
  <c r="N21" i="97"/>
  <c r="M21" i="97"/>
  <c r="L21" i="97"/>
  <c r="K21" i="97"/>
  <c r="J21" i="97"/>
  <c r="I21" i="97"/>
  <c r="H21" i="97"/>
  <c r="G21" i="97"/>
  <c r="F21" i="97"/>
  <c r="O20" i="97"/>
  <c r="N20" i="97"/>
  <c r="M20" i="97"/>
  <c r="L20" i="97"/>
  <c r="K20" i="97"/>
  <c r="J20" i="97"/>
  <c r="I20" i="97"/>
  <c r="H20" i="97"/>
  <c r="G20" i="97"/>
  <c r="F20" i="97"/>
  <c r="E20" i="97"/>
  <c r="D20" i="97"/>
  <c r="C20" i="97"/>
  <c r="O19" i="97"/>
  <c r="N19" i="97"/>
  <c r="M19" i="97"/>
  <c r="L19" i="97"/>
  <c r="K19" i="97"/>
  <c r="J19" i="97"/>
  <c r="I19" i="97"/>
  <c r="H19" i="97"/>
  <c r="G19" i="97"/>
  <c r="F19" i="97"/>
  <c r="E19" i="97"/>
  <c r="D19" i="97"/>
  <c r="C19" i="97"/>
  <c r="O18" i="97"/>
  <c r="N18" i="97"/>
  <c r="M18" i="97"/>
  <c r="L18" i="97"/>
  <c r="K18" i="97"/>
  <c r="J18" i="97"/>
  <c r="I18" i="97"/>
  <c r="H18" i="97"/>
  <c r="G18" i="97"/>
  <c r="F18" i="97"/>
  <c r="E18" i="97"/>
  <c r="D18" i="97"/>
  <c r="C18" i="97"/>
  <c r="O17" i="97"/>
  <c r="N17" i="97"/>
  <c r="M17" i="97"/>
  <c r="L17" i="97"/>
  <c r="K17" i="97"/>
  <c r="J17" i="97"/>
  <c r="I17" i="97"/>
  <c r="H17" i="97"/>
  <c r="G17" i="97"/>
  <c r="F17" i="97"/>
  <c r="E17" i="97"/>
  <c r="D17" i="97"/>
  <c r="C17" i="97"/>
  <c r="O16" i="97"/>
  <c r="N16" i="97"/>
  <c r="M16" i="97"/>
  <c r="L16" i="97"/>
  <c r="K16" i="97"/>
  <c r="J16" i="97"/>
  <c r="I16" i="97"/>
  <c r="H16" i="97"/>
  <c r="G16" i="97"/>
  <c r="F16" i="97"/>
  <c r="O15" i="97"/>
  <c r="N15" i="97"/>
  <c r="M15" i="97"/>
  <c r="L15" i="97"/>
  <c r="K15" i="97"/>
  <c r="J15" i="97"/>
  <c r="I15" i="97"/>
  <c r="H15" i="97"/>
  <c r="G15" i="97"/>
  <c r="F15" i="97"/>
  <c r="O14" i="97"/>
  <c r="N14" i="97"/>
  <c r="M14" i="97"/>
  <c r="L14" i="97"/>
  <c r="K14" i="97"/>
  <c r="J14" i="97"/>
  <c r="I14" i="97"/>
  <c r="H14" i="97"/>
  <c r="G14" i="97"/>
  <c r="F14" i="97"/>
  <c r="E14" i="97"/>
  <c r="D14" i="97"/>
  <c r="C14" i="97"/>
  <c r="O13" i="97"/>
  <c r="N13" i="97"/>
  <c r="M13" i="97"/>
  <c r="L13" i="97"/>
  <c r="K13" i="97"/>
  <c r="J13" i="97"/>
  <c r="I13" i="97"/>
  <c r="H13" i="97"/>
  <c r="G13" i="97"/>
  <c r="F13" i="97"/>
  <c r="E13" i="97"/>
  <c r="D13" i="97"/>
  <c r="C13" i="97"/>
  <c r="O12" i="97"/>
  <c r="N12" i="97"/>
  <c r="M12" i="97"/>
  <c r="L12" i="97"/>
  <c r="K12" i="97"/>
  <c r="J12" i="97"/>
  <c r="I12" i="97"/>
  <c r="H12" i="97"/>
  <c r="G12" i="97"/>
  <c r="F12" i="97"/>
  <c r="E12" i="97"/>
  <c r="D12" i="97"/>
  <c r="C12" i="97"/>
  <c r="O11" i="97"/>
  <c r="N11" i="97"/>
  <c r="M11" i="97"/>
  <c r="L11" i="97"/>
  <c r="K11" i="97"/>
  <c r="J11" i="97"/>
  <c r="I11" i="97"/>
  <c r="H11" i="97"/>
  <c r="G11" i="97"/>
  <c r="F11" i="97"/>
  <c r="E11" i="97"/>
  <c r="D11" i="97"/>
  <c r="C11" i="97"/>
  <c r="O10" i="97"/>
  <c r="N10" i="97"/>
  <c r="M10" i="97"/>
  <c r="L10" i="97"/>
  <c r="K10" i="97"/>
  <c r="J10" i="97"/>
  <c r="I10" i="97"/>
  <c r="H10" i="97"/>
  <c r="G10" i="97"/>
  <c r="F10" i="97"/>
  <c r="E10" i="97"/>
  <c r="D10" i="97"/>
  <c r="C10" i="97"/>
  <c r="O9" i="97"/>
  <c r="N9" i="97"/>
  <c r="M9" i="97"/>
  <c r="L9" i="97"/>
  <c r="K9" i="97"/>
  <c r="J9" i="97"/>
  <c r="I9" i="97"/>
  <c r="H9" i="97"/>
  <c r="G9" i="97"/>
  <c r="F9" i="97"/>
  <c r="O8" i="97"/>
  <c r="N8" i="97"/>
  <c r="M8" i="97"/>
  <c r="L8" i="97"/>
  <c r="K8" i="97"/>
  <c r="J8" i="97"/>
  <c r="I8" i="97"/>
  <c r="H8" i="97"/>
  <c r="G8" i="97"/>
  <c r="F8" i="97"/>
  <c r="E8" i="97"/>
  <c r="D8" i="97"/>
  <c r="C8" i="97"/>
  <c r="O7" i="97"/>
  <c r="N7" i="97"/>
  <c r="M7" i="97"/>
  <c r="L7" i="97"/>
  <c r="K7" i="97"/>
  <c r="J7" i="97"/>
  <c r="I7" i="97"/>
  <c r="H7" i="97"/>
  <c r="G7" i="97"/>
  <c r="F7" i="97"/>
  <c r="E7" i="97"/>
  <c r="D7" i="97"/>
  <c r="C7" i="97"/>
  <c r="O6" i="97"/>
  <c r="N6" i="97"/>
  <c r="M6" i="97"/>
  <c r="L6" i="97"/>
  <c r="K6" i="97"/>
  <c r="J6" i="97"/>
  <c r="I6" i="97"/>
  <c r="H6" i="97"/>
  <c r="G6" i="97"/>
  <c r="F6" i="97"/>
  <c r="E6" i="97"/>
  <c r="D6" i="97"/>
  <c r="C6" i="97"/>
  <c r="O3" i="93"/>
  <c r="O4" i="93"/>
  <c r="O5" i="93"/>
  <c r="O42" i="93"/>
  <c r="N3" i="93"/>
  <c r="N4" i="93"/>
  <c r="N5" i="93"/>
  <c r="N42" i="93"/>
  <c r="M3" i="93"/>
  <c r="M4" i="93"/>
  <c r="M5" i="93"/>
  <c r="M42" i="93"/>
  <c r="L3" i="93"/>
  <c r="L4" i="93"/>
  <c r="L5" i="93"/>
  <c r="L42" i="93"/>
  <c r="K3" i="93"/>
  <c r="K4" i="93"/>
  <c r="K5" i="93"/>
  <c r="K42" i="93"/>
  <c r="J3" i="93"/>
  <c r="J4" i="93"/>
  <c r="J5" i="93"/>
  <c r="J42" i="93"/>
  <c r="I3" i="93"/>
  <c r="I4" i="93"/>
  <c r="I5" i="93"/>
  <c r="I42" i="93"/>
  <c r="H3" i="93"/>
  <c r="H4" i="93"/>
  <c r="H5" i="93"/>
  <c r="H42" i="93"/>
  <c r="G3" i="93"/>
  <c r="G4" i="93"/>
  <c r="G5" i="93"/>
  <c r="G42" i="93"/>
  <c r="F3" i="93"/>
  <c r="F4" i="93"/>
  <c r="F5" i="93"/>
  <c r="F42" i="93"/>
  <c r="E3" i="93"/>
  <c r="E4" i="93"/>
  <c r="E5" i="93"/>
  <c r="E42" i="93"/>
  <c r="D3" i="93"/>
  <c r="D4" i="93"/>
  <c r="D5" i="93"/>
  <c r="D42" i="93"/>
  <c r="C3" i="93"/>
  <c r="C4" i="93"/>
  <c r="C5" i="93"/>
  <c r="C42" i="93"/>
  <c r="O41" i="93"/>
  <c r="N41" i="93"/>
  <c r="M41" i="93"/>
  <c r="L41" i="93"/>
  <c r="K41" i="93"/>
  <c r="J41" i="93"/>
  <c r="I41" i="93"/>
  <c r="H41" i="93"/>
  <c r="G41" i="93"/>
  <c r="F41" i="93"/>
  <c r="E41" i="93"/>
  <c r="D41" i="93"/>
  <c r="C41" i="93"/>
  <c r="O40" i="93"/>
  <c r="N40" i="93"/>
  <c r="M40" i="93"/>
  <c r="L40" i="93"/>
  <c r="K40" i="93"/>
  <c r="J40" i="93"/>
  <c r="I40" i="93"/>
  <c r="H40" i="93"/>
  <c r="G40" i="93"/>
  <c r="F40" i="93"/>
  <c r="E40" i="93"/>
  <c r="D40" i="93"/>
  <c r="C40" i="93"/>
  <c r="O39" i="93"/>
  <c r="N39" i="93"/>
  <c r="M39" i="93"/>
  <c r="L39" i="93"/>
  <c r="K39" i="93"/>
  <c r="J39" i="93"/>
  <c r="I39" i="93"/>
  <c r="H39" i="93"/>
  <c r="G39" i="93"/>
  <c r="F39" i="93"/>
  <c r="E39" i="93"/>
  <c r="D39" i="93"/>
  <c r="C39" i="93"/>
  <c r="O38" i="93"/>
  <c r="N38" i="93"/>
  <c r="M38" i="93"/>
  <c r="L38" i="93"/>
  <c r="K38" i="93"/>
  <c r="J38" i="93"/>
  <c r="I38" i="93"/>
  <c r="H38" i="93"/>
  <c r="G38" i="93"/>
  <c r="F38" i="93"/>
  <c r="E38" i="93"/>
  <c r="D38" i="93"/>
  <c r="C38" i="93"/>
  <c r="O37" i="93"/>
  <c r="N37" i="93"/>
  <c r="M37" i="93"/>
  <c r="L37" i="93"/>
  <c r="K37" i="93"/>
  <c r="J37" i="93"/>
  <c r="I37" i="93"/>
  <c r="H37" i="93"/>
  <c r="G37" i="93"/>
  <c r="F37" i="93"/>
  <c r="E37" i="93"/>
  <c r="D37" i="93"/>
  <c r="C37" i="93"/>
  <c r="O36" i="93"/>
  <c r="N36" i="93"/>
  <c r="M36" i="93"/>
  <c r="L36" i="93"/>
  <c r="K36" i="93"/>
  <c r="J36" i="93"/>
  <c r="I36" i="93"/>
  <c r="H36" i="93"/>
  <c r="G36" i="93"/>
  <c r="F36" i="93"/>
  <c r="E36" i="93"/>
  <c r="D36" i="93"/>
  <c r="C36" i="93"/>
  <c r="O35" i="93"/>
  <c r="N35" i="93"/>
  <c r="M35" i="93"/>
  <c r="L35" i="93"/>
  <c r="K35" i="93"/>
  <c r="J35" i="93"/>
  <c r="I35" i="93"/>
  <c r="H35" i="93"/>
  <c r="G35" i="93"/>
  <c r="F35" i="93"/>
  <c r="E35" i="93"/>
  <c r="D35" i="93"/>
  <c r="C35" i="93"/>
  <c r="O34" i="93"/>
  <c r="N34" i="93"/>
  <c r="M34" i="93"/>
  <c r="L34" i="93"/>
  <c r="K34" i="93"/>
  <c r="J34" i="93"/>
  <c r="I34" i="93"/>
  <c r="H34" i="93"/>
  <c r="G34" i="93"/>
  <c r="F34" i="93"/>
  <c r="E34" i="93"/>
  <c r="D34" i="93"/>
  <c r="C34" i="93"/>
  <c r="O33" i="93"/>
  <c r="N33" i="93"/>
  <c r="M33" i="93"/>
  <c r="L33" i="93"/>
  <c r="K33" i="93"/>
  <c r="J33" i="93"/>
  <c r="I33" i="93"/>
  <c r="H33" i="93"/>
  <c r="G33" i="93"/>
  <c r="F33" i="93"/>
  <c r="E33" i="93"/>
  <c r="D33" i="93"/>
  <c r="C33" i="93"/>
  <c r="O32" i="93"/>
  <c r="N32" i="93"/>
  <c r="M32" i="93"/>
  <c r="L32" i="93"/>
  <c r="K32" i="93"/>
  <c r="J32" i="93"/>
  <c r="I32" i="93"/>
  <c r="H32" i="93"/>
  <c r="G32" i="93"/>
  <c r="F32" i="93"/>
  <c r="E32" i="93"/>
  <c r="D32" i="93"/>
  <c r="C32" i="93"/>
  <c r="O31" i="93"/>
  <c r="N31" i="93"/>
  <c r="M31" i="93"/>
  <c r="L31" i="93"/>
  <c r="K31" i="93"/>
  <c r="J31" i="93"/>
  <c r="I31" i="93"/>
  <c r="H31" i="93"/>
  <c r="G31" i="93"/>
  <c r="F31" i="93"/>
  <c r="E31" i="93"/>
  <c r="D31" i="93"/>
  <c r="C31" i="93"/>
  <c r="O30" i="93"/>
  <c r="N30" i="93"/>
  <c r="M30" i="93"/>
  <c r="L30" i="93"/>
  <c r="K30" i="93"/>
  <c r="J30" i="93"/>
  <c r="I30" i="93"/>
  <c r="H30" i="93"/>
  <c r="G30" i="93"/>
  <c r="F30" i="93"/>
  <c r="E30" i="93"/>
  <c r="D30" i="93"/>
  <c r="C30" i="93"/>
  <c r="O29" i="93"/>
  <c r="N29" i="93"/>
  <c r="M29" i="93"/>
  <c r="L29" i="93"/>
  <c r="K29" i="93"/>
  <c r="J29" i="93"/>
  <c r="I29" i="93"/>
  <c r="H29" i="93"/>
  <c r="G29" i="93"/>
  <c r="F29" i="93"/>
  <c r="E29" i="93"/>
  <c r="D29" i="93"/>
  <c r="C29" i="93"/>
  <c r="O28" i="93"/>
  <c r="N28" i="93"/>
  <c r="M28" i="93"/>
  <c r="L28" i="93"/>
  <c r="K28" i="93"/>
  <c r="J28" i="93"/>
  <c r="I28" i="93"/>
  <c r="H28" i="93"/>
  <c r="G28" i="93"/>
  <c r="F28" i="93"/>
  <c r="E28" i="93"/>
  <c r="D28" i="93"/>
  <c r="C28" i="93"/>
  <c r="O27" i="93"/>
  <c r="N27" i="93"/>
  <c r="M27" i="93"/>
  <c r="L27" i="93"/>
  <c r="K27" i="93"/>
  <c r="J27" i="93"/>
  <c r="I27" i="93"/>
  <c r="H27" i="93"/>
  <c r="G27" i="93"/>
  <c r="F27" i="93"/>
  <c r="O26" i="93"/>
  <c r="N26" i="93"/>
  <c r="M26" i="93"/>
  <c r="L26" i="93"/>
  <c r="K26" i="93"/>
  <c r="J26" i="93"/>
  <c r="I26" i="93"/>
  <c r="H26" i="93"/>
  <c r="G26" i="93"/>
  <c r="F26" i="93"/>
  <c r="E26" i="93"/>
  <c r="D26" i="93"/>
  <c r="C26" i="93"/>
  <c r="O25" i="93"/>
  <c r="N25" i="93"/>
  <c r="M25" i="93"/>
  <c r="L25" i="93"/>
  <c r="K25" i="93"/>
  <c r="J25" i="93"/>
  <c r="I25" i="93"/>
  <c r="H25" i="93"/>
  <c r="G25" i="93"/>
  <c r="F25" i="93"/>
  <c r="O24" i="93"/>
  <c r="N24" i="93"/>
  <c r="M24" i="93"/>
  <c r="L24" i="93"/>
  <c r="K24" i="93"/>
  <c r="J24" i="93"/>
  <c r="I24" i="93"/>
  <c r="H24" i="93"/>
  <c r="G24" i="93"/>
  <c r="F24" i="93"/>
  <c r="E24" i="93"/>
  <c r="D24" i="93"/>
  <c r="C24" i="93"/>
  <c r="O23" i="93"/>
  <c r="N23" i="93"/>
  <c r="M23" i="93"/>
  <c r="L23" i="93"/>
  <c r="K23" i="93"/>
  <c r="J23" i="93"/>
  <c r="I23" i="93"/>
  <c r="H23" i="93"/>
  <c r="G23" i="93"/>
  <c r="F23" i="93"/>
  <c r="E23" i="93"/>
  <c r="D23" i="93"/>
  <c r="C23" i="93"/>
  <c r="O22" i="93"/>
  <c r="N22" i="93"/>
  <c r="M22" i="93"/>
  <c r="L22" i="93"/>
  <c r="K22" i="93"/>
  <c r="J22" i="93"/>
  <c r="I22" i="93"/>
  <c r="H22" i="93"/>
  <c r="G22" i="93"/>
  <c r="F22" i="93"/>
  <c r="O21" i="93"/>
  <c r="N21" i="93"/>
  <c r="M21" i="93"/>
  <c r="L21" i="93"/>
  <c r="K21" i="93"/>
  <c r="J21" i="93"/>
  <c r="I21" i="93"/>
  <c r="H21" i="93"/>
  <c r="G21" i="93"/>
  <c r="F21" i="93"/>
  <c r="O20" i="93"/>
  <c r="N20" i="93"/>
  <c r="M20" i="93"/>
  <c r="L20" i="93"/>
  <c r="K20" i="93"/>
  <c r="J20" i="93"/>
  <c r="I20" i="93"/>
  <c r="H20" i="93"/>
  <c r="G20" i="93"/>
  <c r="F20" i="93"/>
  <c r="E20" i="93"/>
  <c r="D20" i="93"/>
  <c r="C20" i="93"/>
  <c r="O19" i="93"/>
  <c r="N19" i="93"/>
  <c r="M19" i="93"/>
  <c r="L19" i="93"/>
  <c r="K19" i="93"/>
  <c r="J19" i="93"/>
  <c r="I19" i="93"/>
  <c r="H19" i="93"/>
  <c r="G19" i="93"/>
  <c r="F19" i="93"/>
  <c r="E19" i="93"/>
  <c r="D19" i="93"/>
  <c r="C19" i="93"/>
  <c r="O18" i="93"/>
  <c r="N18" i="93"/>
  <c r="M18" i="93"/>
  <c r="L18" i="93"/>
  <c r="K18" i="93"/>
  <c r="J18" i="93"/>
  <c r="I18" i="93"/>
  <c r="H18" i="93"/>
  <c r="G18" i="93"/>
  <c r="F18" i="93"/>
  <c r="E18" i="93"/>
  <c r="D18" i="93"/>
  <c r="C18" i="93"/>
  <c r="O17" i="93"/>
  <c r="N17" i="93"/>
  <c r="M17" i="93"/>
  <c r="L17" i="93"/>
  <c r="K17" i="93"/>
  <c r="J17" i="93"/>
  <c r="I17" i="93"/>
  <c r="H17" i="93"/>
  <c r="G17" i="93"/>
  <c r="F17" i="93"/>
  <c r="E17" i="93"/>
  <c r="D17" i="93"/>
  <c r="C17" i="93"/>
  <c r="O16" i="93"/>
  <c r="N16" i="93"/>
  <c r="M16" i="93"/>
  <c r="L16" i="93"/>
  <c r="K16" i="93"/>
  <c r="J16" i="93"/>
  <c r="I16" i="93"/>
  <c r="H16" i="93"/>
  <c r="G16" i="93"/>
  <c r="F16" i="93"/>
  <c r="O15" i="93"/>
  <c r="N15" i="93"/>
  <c r="M15" i="93"/>
  <c r="L15" i="93"/>
  <c r="K15" i="93"/>
  <c r="J15" i="93"/>
  <c r="I15" i="93"/>
  <c r="H15" i="93"/>
  <c r="G15" i="93"/>
  <c r="F15" i="93"/>
  <c r="O14" i="93"/>
  <c r="N14" i="93"/>
  <c r="M14" i="93"/>
  <c r="L14" i="93"/>
  <c r="K14" i="93"/>
  <c r="J14" i="93"/>
  <c r="I14" i="93"/>
  <c r="H14" i="93"/>
  <c r="G14" i="93"/>
  <c r="F14" i="93"/>
  <c r="E14" i="93"/>
  <c r="D14" i="93"/>
  <c r="C14" i="93"/>
  <c r="O13" i="93"/>
  <c r="N13" i="93"/>
  <c r="M13" i="93"/>
  <c r="L13" i="93"/>
  <c r="K13" i="93"/>
  <c r="J13" i="93"/>
  <c r="I13" i="93"/>
  <c r="H13" i="93"/>
  <c r="G13" i="93"/>
  <c r="F13" i="93"/>
  <c r="E13" i="93"/>
  <c r="D13" i="93"/>
  <c r="C13" i="93"/>
  <c r="O12" i="93"/>
  <c r="N12" i="93"/>
  <c r="M12" i="93"/>
  <c r="L12" i="93"/>
  <c r="K12" i="93"/>
  <c r="J12" i="93"/>
  <c r="I12" i="93"/>
  <c r="H12" i="93"/>
  <c r="G12" i="93"/>
  <c r="F12" i="93"/>
  <c r="E12" i="93"/>
  <c r="D12" i="93"/>
  <c r="C12" i="93"/>
  <c r="O11" i="93"/>
  <c r="N11" i="93"/>
  <c r="M11" i="93"/>
  <c r="L11" i="93"/>
  <c r="K11" i="93"/>
  <c r="J11" i="93"/>
  <c r="I11" i="93"/>
  <c r="H11" i="93"/>
  <c r="G11" i="93"/>
  <c r="F11" i="93"/>
  <c r="E11" i="93"/>
  <c r="D11" i="93"/>
  <c r="C11" i="93"/>
  <c r="O10" i="93"/>
  <c r="N10" i="93"/>
  <c r="M10" i="93"/>
  <c r="L10" i="93"/>
  <c r="K10" i="93"/>
  <c r="J10" i="93"/>
  <c r="I10" i="93"/>
  <c r="H10" i="93"/>
  <c r="G10" i="93"/>
  <c r="F10" i="93"/>
  <c r="E10" i="93"/>
  <c r="D10" i="93"/>
  <c r="C10" i="93"/>
  <c r="O9" i="93"/>
  <c r="N9" i="93"/>
  <c r="M9" i="93"/>
  <c r="L9" i="93"/>
  <c r="K9" i="93"/>
  <c r="J9" i="93"/>
  <c r="I9" i="93"/>
  <c r="H9" i="93"/>
  <c r="G9" i="93"/>
  <c r="F9" i="93"/>
  <c r="O8" i="93"/>
  <c r="N8" i="93"/>
  <c r="M8" i="93"/>
  <c r="L8" i="93"/>
  <c r="K8" i="93"/>
  <c r="J8" i="93"/>
  <c r="I8" i="93"/>
  <c r="H8" i="93"/>
  <c r="G8" i="93"/>
  <c r="F8" i="93"/>
  <c r="E8" i="93"/>
  <c r="D8" i="93"/>
  <c r="C8" i="93"/>
  <c r="O7" i="93"/>
  <c r="N7" i="93"/>
  <c r="M7" i="93"/>
  <c r="L7" i="93"/>
  <c r="K7" i="93"/>
  <c r="J7" i="93"/>
  <c r="I7" i="93"/>
  <c r="H7" i="93"/>
  <c r="G7" i="93"/>
  <c r="F7" i="93"/>
  <c r="E7" i="93"/>
  <c r="D7" i="93"/>
  <c r="C7" i="93"/>
  <c r="O6" i="93"/>
  <c r="N6" i="93"/>
  <c r="M6" i="93"/>
  <c r="L6" i="93"/>
  <c r="K6" i="93"/>
  <c r="J6" i="93"/>
  <c r="I6" i="93"/>
  <c r="H6" i="93"/>
  <c r="G6" i="93"/>
  <c r="F6" i="93"/>
  <c r="E6" i="93"/>
  <c r="D6" i="93"/>
  <c r="C6" i="93"/>
  <c r="O3" i="92"/>
  <c r="O4" i="92"/>
  <c r="O5" i="92"/>
  <c r="O87" i="92"/>
  <c r="N3" i="92"/>
  <c r="N4" i="92"/>
  <c r="N5" i="92"/>
  <c r="N87" i="92"/>
  <c r="M3" i="92"/>
  <c r="M4" i="92"/>
  <c r="M5" i="92"/>
  <c r="M87" i="92"/>
  <c r="L3" i="92"/>
  <c r="L4" i="92"/>
  <c r="L5" i="92"/>
  <c r="L87" i="92"/>
  <c r="K3" i="92"/>
  <c r="K4" i="92"/>
  <c r="K5" i="92"/>
  <c r="K87" i="92"/>
  <c r="J3" i="92"/>
  <c r="J4" i="92"/>
  <c r="J5" i="92"/>
  <c r="J87" i="92"/>
  <c r="I3" i="92"/>
  <c r="I4" i="92"/>
  <c r="I5" i="92"/>
  <c r="I87" i="92"/>
  <c r="H3" i="92"/>
  <c r="H4" i="92"/>
  <c r="H5" i="92"/>
  <c r="H87" i="92"/>
  <c r="G3" i="92"/>
  <c r="G4" i="92"/>
  <c r="G5" i="92"/>
  <c r="G87" i="92"/>
  <c r="F3" i="92"/>
  <c r="F4" i="92"/>
  <c r="F5" i="92"/>
  <c r="F87" i="92"/>
  <c r="E3" i="92"/>
  <c r="E4" i="92"/>
  <c r="E5" i="92"/>
  <c r="E87" i="92"/>
  <c r="D3" i="92"/>
  <c r="D4" i="92"/>
  <c r="D5" i="92"/>
  <c r="D87" i="92"/>
  <c r="C3" i="92"/>
  <c r="C4" i="92"/>
  <c r="C5" i="92"/>
  <c r="C87" i="92"/>
  <c r="O86" i="92"/>
  <c r="N86" i="92"/>
  <c r="M86" i="92"/>
  <c r="L86" i="92"/>
  <c r="K86" i="92"/>
  <c r="J86" i="92"/>
  <c r="I86" i="92"/>
  <c r="H86" i="92"/>
  <c r="G86" i="92"/>
  <c r="F86" i="92"/>
  <c r="E86" i="92"/>
  <c r="D86" i="92"/>
  <c r="C86" i="92"/>
  <c r="O85" i="92"/>
  <c r="N85" i="92"/>
  <c r="M85" i="92"/>
  <c r="L85" i="92"/>
  <c r="K85" i="92"/>
  <c r="J85" i="92"/>
  <c r="I85" i="92"/>
  <c r="H85" i="92"/>
  <c r="G85" i="92"/>
  <c r="F85" i="92"/>
  <c r="E85" i="92"/>
  <c r="D85" i="92"/>
  <c r="C85" i="92"/>
  <c r="O84" i="92"/>
  <c r="N84" i="92"/>
  <c r="M84" i="92"/>
  <c r="L84" i="92"/>
  <c r="K84" i="92"/>
  <c r="J84" i="92"/>
  <c r="I84" i="92"/>
  <c r="H84" i="92"/>
  <c r="G84" i="92"/>
  <c r="F84" i="92"/>
  <c r="E84" i="92"/>
  <c r="D84" i="92"/>
  <c r="C84" i="92"/>
  <c r="O83" i="92"/>
  <c r="N83" i="92"/>
  <c r="M83" i="92"/>
  <c r="L83" i="92"/>
  <c r="K83" i="92"/>
  <c r="J83" i="92"/>
  <c r="I83" i="92"/>
  <c r="H83" i="92"/>
  <c r="G83" i="92"/>
  <c r="F83" i="92"/>
  <c r="E83" i="92"/>
  <c r="D83" i="92"/>
  <c r="C83" i="92"/>
  <c r="O82" i="92"/>
  <c r="N82" i="92"/>
  <c r="M82" i="92"/>
  <c r="L82" i="92"/>
  <c r="K82" i="92"/>
  <c r="J82" i="92"/>
  <c r="I82" i="92"/>
  <c r="H82" i="92"/>
  <c r="G82" i="92"/>
  <c r="F82" i="92"/>
  <c r="E82" i="92"/>
  <c r="D82" i="92"/>
  <c r="C82" i="92"/>
  <c r="O81" i="92"/>
  <c r="N81" i="92"/>
  <c r="M81" i="92"/>
  <c r="L81" i="92"/>
  <c r="K81" i="92"/>
  <c r="J81" i="92"/>
  <c r="I81" i="92"/>
  <c r="H81" i="92"/>
  <c r="G81" i="92"/>
  <c r="F81" i="92"/>
  <c r="E81" i="92"/>
  <c r="D81" i="92"/>
  <c r="C81" i="92"/>
  <c r="O80" i="92"/>
  <c r="N80" i="92"/>
  <c r="M80" i="92"/>
  <c r="L80" i="92"/>
  <c r="K80" i="92"/>
  <c r="J80" i="92"/>
  <c r="I80" i="92"/>
  <c r="H80" i="92"/>
  <c r="G80" i="92"/>
  <c r="F80" i="92"/>
  <c r="E80" i="92"/>
  <c r="D80" i="92"/>
  <c r="C80" i="92"/>
  <c r="O79" i="92"/>
  <c r="N79" i="92"/>
  <c r="M79" i="92"/>
  <c r="L79" i="92"/>
  <c r="K79" i="92"/>
  <c r="J79" i="92"/>
  <c r="I79" i="92"/>
  <c r="H79" i="92"/>
  <c r="G79" i="92"/>
  <c r="F79" i="92"/>
  <c r="E79" i="92"/>
  <c r="D79" i="92"/>
  <c r="C79" i="92"/>
  <c r="O78" i="92"/>
  <c r="N78" i="92"/>
  <c r="M78" i="92"/>
  <c r="L78" i="92"/>
  <c r="K78" i="92"/>
  <c r="J78" i="92"/>
  <c r="I78" i="92"/>
  <c r="H78" i="92"/>
  <c r="G78" i="92"/>
  <c r="F78" i="92"/>
  <c r="E78" i="92"/>
  <c r="D78" i="92"/>
  <c r="C78" i="92"/>
  <c r="O77" i="92"/>
  <c r="N77" i="92"/>
  <c r="M77" i="92"/>
  <c r="L77" i="92"/>
  <c r="K77" i="92"/>
  <c r="J77" i="92"/>
  <c r="I77" i="92"/>
  <c r="H77" i="92"/>
  <c r="G77" i="92"/>
  <c r="F77" i="92"/>
  <c r="E77" i="92"/>
  <c r="D77" i="92"/>
  <c r="C77" i="92"/>
  <c r="O76" i="92"/>
  <c r="N76" i="92"/>
  <c r="M76" i="92"/>
  <c r="L76" i="92"/>
  <c r="K76" i="92"/>
  <c r="J76" i="92"/>
  <c r="I76" i="92"/>
  <c r="H76" i="92"/>
  <c r="G76" i="92"/>
  <c r="F76" i="92"/>
  <c r="E76" i="92"/>
  <c r="D76" i="92"/>
  <c r="C76" i="92"/>
  <c r="O75" i="92"/>
  <c r="N75" i="92"/>
  <c r="M75" i="92"/>
  <c r="L75" i="92"/>
  <c r="K75" i="92"/>
  <c r="J75" i="92"/>
  <c r="I75" i="92"/>
  <c r="H75" i="92"/>
  <c r="G75" i="92"/>
  <c r="F75" i="92"/>
  <c r="E75" i="92"/>
  <c r="D75" i="92"/>
  <c r="C75" i="92"/>
  <c r="O74" i="92"/>
  <c r="N74" i="92"/>
  <c r="M74" i="92"/>
  <c r="L74" i="92"/>
  <c r="K74" i="92"/>
  <c r="J74" i="92"/>
  <c r="I74" i="92"/>
  <c r="H74" i="92"/>
  <c r="G74" i="92"/>
  <c r="F74" i="92"/>
  <c r="E74" i="92"/>
  <c r="D74" i="92"/>
  <c r="C74" i="92"/>
  <c r="O73" i="92"/>
  <c r="N73" i="92"/>
  <c r="M73" i="92"/>
  <c r="L73" i="92"/>
  <c r="K73" i="92"/>
  <c r="J73" i="92"/>
  <c r="I73" i="92"/>
  <c r="H73" i="92"/>
  <c r="G73" i="92"/>
  <c r="F73" i="92"/>
  <c r="E73" i="92"/>
  <c r="D73" i="92"/>
  <c r="C73" i="92"/>
  <c r="O72" i="92"/>
  <c r="N72" i="92"/>
  <c r="M72" i="92"/>
  <c r="L72" i="92"/>
  <c r="K72" i="92"/>
  <c r="J72" i="92"/>
  <c r="I72" i="92"/>
  <c r="H72" i="92"/>
  <c r="G72" i="92"/>
  <c r="F72" i="92"/>
  <c r="E72" i="92"/>
  <c r="D72" i="92"/>
  <c r="C72" i="92"/>
  <c r="O71" i="92"/>
  <c r="N71" i="92"/>
  <c r="M71" i="92"/>
  <c r="L71" i="92"/>
  <c r="K71" i="92"/>
  <c r="J71" i="92"/>
  <c r="I71" i="92"/>
  <c r="H71" i="92"/>
  <c r="G71" i="92"/>
  <c r="F71" i="92"/>
  <c r="E71" i="92"/>
  <c r="D71" i="92"/>
  <c r="C71" i="92"/>
  <c r="O70" i="92"/>
  <c r="N70" i="92"/>
  <c r="M70" i="92"/>
  <c r="L70" i="92"/>
  <c r="K70" i="92"/>
  <c r="J70" i="92"/>
  <c r="I70" i="92"/>
  <c r="H70" i="92"/>
  <c r="G70" i="92"/>
  <c r="F70" i="92"/>
  <c r="E70" i="92"/>
  <c r="D70" i="92"/>
  <c r="C70" i="92"/>
  <c r="O69" i="92"/>
  <c r="N69" i="92"/>
  <c r="M69" i="92"/>
  <c r="L69" i="92"/>
  <c r="K69" i="92"/>
  <c r="J69" i="92"/>
  <c r="I69" i="92"/>
  <c r="H69" i="92"/>
  <c r="G69" i="92"/>
  <c r="F69" i="92"/>
  <c r="E69" i="92"/>
  <c r="D69" i="92"/>
  <c r="C69" i="92"/>
  <c r="O68" i="92"/>
  <c r="N68" i="92"/>
  <c r="M68" i="92"/>
  <c r="L68" i="92"/>
  <c r="K68" i="92"/>
  <c r="J68" i="92"/>
  <c r="I68" i="92"/>
  <c r="H68" i="92"/>
  <c r="G68" i="92"/>
  <c r="F68" i="92"/>
  <c r="E68" i="92"/>
  <c r="D68" i="92"/>
  <c r="C68" i="92"/>
  <c r="O67" i="92"/>
  <c r="N67" i="92"/>
  <c r="M67" i="92"/>
  <c r="L67" i="92"/>
  <c r="K67" i="92"/>
  <c r="J67" i="92"/>
  <c r="I67" i="92"/>
  <c r="H67" i="92"/>
  <c r="G67" i="92"/>
  <c r="F67" i="92"/>
  <c r="E67" i="92"/>
  <c r="D67" i="92"/>
  <c r="C67" i="92"/>
  <c r="O66" i="92"/>
  <c r="N66" i="92"/>
  <c r="M66" i="92"/>
  <c r="L66" i="92"/>
  <c r="K66" i="92"/>
  <c r="J66" i="92"/>
  <c r="I66" i="92"/>
  <c r="H66" i="92"/>
  <c r="G66" i="92"/>
  <c r="F66" i="92"/>
  <c r="E66" i="92"/>
  <c r="D66" i="92"/>
  <c r="C66" i="92"/>
  <c r="O65" i="92"/>
  <c r="N65" i="92"/>
  <c r="M65" i="92"/>
  <c r="L65" i="92"/>
  <c r="K65" i="92"/>
  <c r="J65" i="92"/>
  <c r="I65" i="92"/>
  <c r="H65" i="92"/>
  <c r="G65" i="92"/>
  <c r="F65" i="92"/>
  <c r="E65" i="92"/>
  <c r="D65" i="92"/>
  <c r="C65" i="92"/>
  <c r="O64" i="92"/>
  <c r="N64" i="92"/>
  <c r="M64" i="92"/>
  <c r="L64" i="92"/>
  <c r="K64" i="92"/>
  <c r="J64" i="92"/>
  <c r="I64" i="92"/>
  <c r="H64" i="92"/>
  <c r="G64" i="92"/>
  <c r="F64" i="92"/>
  <c r="E64" i="92"/>
  <c r="D64" i="92"/>
  <c r="C64" i="92"/>
  <c r="O63" i="92"/>
  <c r="N63" i="92"/>
  <c r="M63" i="92"/>
  <c r="L63" i="92"/>
  <c r="K63" i="92"/>
  <c r="J63" i="92"/>
  <c r="I63" i="92"/>
  <c r="H63" i="92"/>
  <c r="G63" i="92"/>
  <c r="F63" i="92"/>
  <c r="E63" i="92"/>
  <c r="D63" i="92"/>
  <c r="C63" i="92"/>
  <c r="O62" i="92"/>
  <c r="N62" i="92"/>
  <c r="M62" i="92"/>
  <c r="L62" i="92"/>
  <c r="K62" i="92"/>
  <c r="J62" i="92"/>
  <c r="I62" i="92"/>
  <c r="H62" i="92"/>
  <c r="G62" i="92"/>
  <c r="F62" i="92"/>
  <c r="E62" i="92"/>
  <c r="D62" i="92"/>
  <c r="C62" i="92"/>
  <c r="O61" i="92"/>
  <c r="N61" i="92"/>
  <c r="M61" i="92"/>
  <c r="L61" i="92"/>
  <c r="K61" i="92"/>
  <c r="J61" i="92"/>
  <c r="I61" i="92"/>
  <c r="H61" i="92"/>
  <c r="G61" i="92"/>
  <c r="F61" i="92"/>
  <c r="E61" i="92"/>
  <c r="D61" i="92"/>
  <c r="C61" i="92"/>
  <c r="O60" i="92"/>
  <c r="N60" i="92"/>
  <c r="M60" i="92"/>
  <c r="L60" i="92"/>
  <c r="K60" i="92"/>
  <c r="J60" i="92"/>
  <c r="I60" i="92"/>
  <c r="H60" i="92"/>
  <c r="G60" i="92"/>
  <c r="F60" i="92"/>
  <c r="E60" i="92"/>
  <c r="D60" i="92"/>
  <c r="C60" i="92"/>
  <c r="O59" i="92"/>
  <c r="N59" i="92"/>
  <c r="M59" i="92"/>
  <c r="L59" i="92"/>
  <c r="K59" i="92"/>
  <c r="J59" i="92"/>
  <c r="I59" i="92"/>
  <c r="H59" i="92"/>
  <c r="G59" i="92"/>
  <c r="F59" i="92"/>
  <c r="E59" i="92"/>
  <c r="D59" i="92"/>
  <c r="C59" i="92"/>
  <c r="O58" i="92"/>
  <c r="N58" i="92"/>
  <c r="M58" i="92"/>
  <c r="L58" i="92"/>
  <c r="K58" i="92"/>
  <c r="J58" i="92"/>
  <c r="I58" i="92"/>
  <c r="H58" i="92"/>
  <c r="G58" i="92"/>
  <c r="F58" i="92"/>
  <c r="E58" i="92"/>
  <c r="D58" i="92"/>
  <c r="C58" i="92"/>
  <c r="O57" i="92"/>
  <c r="N57" i="92"/>
  <c r="M57" i="92"/>
  <c r="L57" i="92"/>
  <c r="K57" i="92"/>
  <c r="J57" i="92"/>
  <c r="I57" i="92"/>
  <c r="H57" i="92"/>
  <c r="G57" i="92"/>
  <c r="F57" i="92"/>
  <c r="E57" i="92"/>
  <c r="D57" i="92"/>
  <c r="C57" i="92"/>
  <c r="O56" i="92"/>
  <c r="N56" i="92"/>
  <c r="M56" i="92"/>
  <c r="L56" i="92"/>
  <c r="K56" i="92"/>
  <c r="J56" i="92"/>
  <c r="I56" i="92"/>
  <c r="H56" i="92"/>
  <c r="G56" i="92"/>
  <c r="F56" i="92"/>
  <c r="E56" i="92"/>
  <c r="D56" i="92"/>
  <c r="C56" i="92"/>
  <c r="O55" i="92"/>
  <c r="N55" i="92"/>
  <c r="M55" i="92"/>
  <c r="L55" i="92"/>
  <c r="K55" i="92"/>
  <c r="J55" i="92"/>
  <c r="I55" i="92"/>
  <c r="H55" i="92"/>
  <c r="G55" i="92"/>
  <c r="F55" i="92"/>
  <c r="E55" i="92"/>
  <c r="D55" i="92"/>
  <c r="C55" i="92"/>
  <c r="O54" i="92"/>
  <c r="N54" i="92"/>
  <c r="M54" i="92"/>
  <c r="L54" i="92"/>
  <c r="K54" i="92"/>
  <c r="J54" i="92"/>
  <c r="I54" i="92"/>
  <c r="H54" i="92"/>
  <c r="G54" i="92"/>
  <c r="F54" i="92"/>
  <c r="E54" i="92"/>
  <c r="D54" i="92"/>
  <c r="C54" i="92"/>
  <c r="O53" i="92"/>
  <c r="N53" i="92"/>
  <c r="M53" i="92"/>
  <c r="L53" i="92"/>
  <c r="K53" i="92"/>
  <c r="J53" i="92"/>
  <c r="I53" i="92"/>
  <c r="H53" i="92"/>
  <c r="G53" i="92"/>
  <c r="F53" i="92"/>
  <c r="E53" i="92"/>
  <c r="D53" i="92"/>
  <c r="C53" i="92"/>
  <c r="O52" i="92"/>
  <c r="N52" i="92"/>
  <c r="M52" i="92"/>
  <c r="L52" i="92"/>
  <c r="K52" i="92"/>
  <c r="J52" i="92"/>
  <c r="I52" i="92"/>
  <c r="H52" i="92"/>
  <c r="G52" i="92"/>
  <c r="F52" i="92"/>
  <c r="E52" i="92"/>
  <c r="D52" i="92"/>
  <c r="C52" i="92"/>
  <c r="O51" i="92"/>
  <c r="N51" i="92"/>
  <c r="M51" i="92"/>
  <c r="L51" i="92"/>
  <c r="K51" i="92"/>
  <c r="J51" i="92"/>
  <c r="I51" i="92"/>
  <c r="H51" i="92"/>
  <c r="G51" i="92"/>
  <c r="F51" i="92"/>
  <c r="E51" i="92"/>
  <c r="D51" i="92"/>
  <c r="C51" i="92"/>
  <c r="O50" i="92"/>
  <c r="N50" i="92"/>
  <c r="M50" i="92"/>
  <c r="L50" i="92"/>
  <c r="K50" i="92"/>
  <c r="J50" i="92"/>
  <c r="I50" i="92"/>
  <c r="H50" i="92"/>
  <c r="G50" i="92"/>
  <c r="F50" i="92"/>
  <c r="E50" i="92"/>
  <c r="D50" i="92"/>
  <c r="C50" i="92"/>
  <c r="O49" i="92"/>
  <c r="N49" i="92"/>
  <c r="M49" i="92"/>
  <c r="L49" i="92"/>
  <c r="K49" i="92"/>
  <c r="J49" i="92"/>
  <c r="I49" i="92"/>
  <c r="H49" i="92"/>
  <c r="G49" i="92"/>
  <c r="F49" i="92"/>
  <c r="E49" i="92"/>
  <c r="D49" i="92"/>
  <c r="C49" i="92"/>
  <c r="O48" i="92"/>
  <c r="N48" i="92"/>
  <c r="M48" i="92"/>
  <c r="L48" i="92"/>
  <c r="K48" i="92"/>
  <c r="J48" i="92"/>
  <c r="I48" i="92"/>
  <c r="H48" i="92"/>
  <c r="G48" i="92"/>
  <c r="F48" i="92"/>
  <c r="E48" i="92"/>
  <c r="D48" i="92"/>
  <c r="C48" i="92"/>
  <c r="O47" i="92"/>
  <c r="N47" i="92"/>
  <c r="M47" i="92"/>
  <c r="L47" i="92"/>
  <c r="K47" i="92"/>
  <c r="J47" i="92"/>
  <c r="I47" i="92"/>
  <c r="H47" i="92"/>
  <c r="G47" i="92"/>
  <c r="F47" i="92"/>
  <c r="E47" i="92"/>
  <c r="D47" i="92"/>
  <c r="C47" i="92"/>
  <c r="O46" i="92"/>
  <c r="N46" i="92"/>
  <c r="M46" i="92"/>
  <c r="L46" i="92"/>
  <c r="K46" i="92"/>
  <c r="J46" i="92"/>
  <c r="I46" i="92"/>
  <c r="H46" i="92"/>
  <c r="G46" i="92"/>
  <c r="F46" i="92"/>
  <c r="E46" i="92"/>
  <c r="D46" i="92"/>
  <c r="C46" i="92"/>
  <c r="O45" i="92"/>
  <c r="N45" i="92"/>
  <c r="M45" i="92"/>
  <c r="L45" i="92"/>
  <c r="K45" i="92"/>
  <c r="J45" i="92"/>
  <c r="I45" i="92"/>
  <c r="H45" i="92"/>
  <c r="G45" i="92"/>
  <c r="F45" i="92"/>
  <c r="E45" i="92"/>
  <c r="D45" i="92"/>
  <c r="C45" i="92"/>
  <c r="O44" i="92"/>
  <c r="N44" i="92"/>
  <c r="M44" i="92"/>
  <c r="L44" i="92"/>
  <c r="K44" i="92"/>
  <c r="J44" i="92"/>
  <c r="I44" i="92"/>
  <c r="H44" i="92"/>
  <c r="G44" i="92"/>
  <c r="F44" i="92"/>
  <c r="E44" i="92"/>
  <c r="D44" i="92"/>
  <c r="C44" i="92"/>
  <c r="O43" i="92"/>
  <c r="N43" i="92"/>
  <c r="M43" i="92"/>
  <c r="L43" i="92"/>
  <c r="K43" i="92"/>
  <c r="J43" i="92"/>
  <c r="I43" i="92"/>
  <c r="H43" i="92"/>
  <c r="G43" i="92"/>
  <c r="F43" i="92"/>
  <c r="E43" i="92"/>
  <c r="D43" i="92"/>
  <c r="C43" i="92"/>
  <c r="O42" i="92"/>
  <c r="N42" i="92"/>
  <c r="M42" i="92"/>
  <c r="L42" i="92"/>
  <c r="K42" i="92"/>
  <c r="J42" i="92"/>
  <c r="I42" i="92"/>
  <c r="H42" i="92"/>
  <c r="G42" i="92"/>
  <c r="F42" i="92"/>
  <c r="E42" i="92"/>
  <c r="D42" i="92"/>
  <c r="C42" i="92"/>
  <c r="O41" i="92"/>
  <c r="N41" i="92"/>
  <c r="M41" i="92"/>
  <c r="L41" i="92"/>
  <c r="K41" i="92"/>
  <c r="J41" i="92"/>
  <c r="I41" i="92"/>
  <c r="H41" i="92"/>
  <c r="G41" i="92"/>
  <c r="F41" i="92"/>
  <c r="E41" i="92"/>
  <c r="D41" i="92"/>
  <c r="C41" i="92"/>
  <c r="O40" i="92"/>
  <c r="N40" i="92"/>
  <c r="M40" i="92"/>
  <c r="L40" i="92"/>
  <c r="K40" i="92"/>
  <c r="J40" i="92"/>
  <c r="I40" i="92"/>
  <c r="H40" i="92"/>
  <c r="G40" i="92"/>
  <c r="F40" i="92"/>
  <c r="E40" i="92"/>
  <c r="D40" i="92"/>
  <c r="C40" i="92"/>
  <c r="O39" i="92"/>
  <c r="N39" i="92"/>
  <c r="M39" i="92"/>
  <c r="L39" i="92"/>
  <c r="K39" i="92"/>
  <c r="J39" i="92"/>
  <c r="I39" i="92"/>
  <c r="H39" i="92"/>
  <c r="G39" i="92"/>
  <c r="F39" i="92"/>
  <c r="E39" i="92"/>
  <c r="D39" i="92"/>
  <c r="C39" i="92"/>
  <c r="O38" i="92"/>
  <c r="N38" i="92"/>
  <c r="M38" i="92"/>
  <c r="L38" i="92"/>
  <c r="K38" i="92"/>
  <c r="J38" i="92"/>
  <c r="I38" i="92"/>
  <c r="H38" i="92"/>
  <c r="G38" i="92"/>
  <c r="F38" i="92"/>
  <c r="E38" i="92"/>
  <c r="D38" i="92"/>
  <c r="C38" i="92"/>
  <c r="O37" i="92"/>
  <c r="N37" i="92"/>
  <c r="M37" i="92"/>
  <c r="L37" i="92"/>
  <c r="K37" i="92"/>
  <c r="J37" i="92"/>
  <c r="I37" i="92"/>
  <c r="H37" i="92"/>
  <c r="G37" i="92"/>
  <c r="F37" i="92"/>
  <c r="E37" i="92"/>
  <c r="D37" i="92"/>
  <c r="C37" i="92"/>
  <c r="O36" i="92"/>
  <c r="N36" i="92"/>
  <c r="M36" i="92"/>
  <c r="L36" i="92"/>
  <c r="K36" i="92"/>
  <c r="J36" i="92"/>
  <c r="I36" i="92"/>
  <c r="H36" i="92"/>
  <c r="G36" i="92"/>
  <c r="F36" i="92"/>
  <c r="E36" i="92"/>
  <c r="D36" i="92"/>
  <c r="C36" i="92"/>
  <c r="O35" i="92"/>
  <c r="N35" i="92"/>
  <c r="M35" i="92"/>
  <c r="L35" i="92"/>
  <c r="K35" i="92"/>
  <c r="J35" i="92"/>
  <c r="I35" i="92"/>
  <c r="H35" i="92"/>
  <c r="G35" i="92"/>
  <c r="F35" i="92"/>
  <c r="E35" i="92"/>
  <c r="D35" i="92"/>
  <c r="C35" i="92"/>
  <c r="O34" i="92"/>
  <c r="N34" i="92"/>
  <c r="M34" i="92"/>
  <c r="L34" i="92"/>
  <c r="K34" i="92"/>
  <c r="J34" i="92"/>
  <c r="I34" i="92"/>
  <c r="H34" i="92"/>
  <c r="G34" i="92"/>
  <c r="F34" i="92"/>
  <c r="E34" i="92"/>
  <c r="D34" i="92"/>
  <c r="C34" i="92"/>
  <c r="O33" i="92"/>
  <c r="N33" i="92"/>
  <c r="M33" i="92"/>
  <c r="L33" i="92"/>
  <c r="K33" i="92"/>
  <c r="J33" i="92"/>
  <c r="I33" i="92"/>
  <c r="H33" i="92"/>
  <c r="G33" i="92"/>
  <c r="F33" i="92"/>
  <c r="E33" i="92"/>
  <c r="D33" i="92"/>
  <c r="C33" i="92"/>
  <c r="O32" i="92"/>
  <c r="N32" i="92"/>
  <c r="M32" i="92"/>
  <c r="L32" i="92"/>
  <c r="K32" i="92"/>
  <c r="J32" i="92"/>
  <c r="I32" i="92"/>
  <c r="H32" i="92"/>
  <c r="G32" i="92"/>
  <c r="F32" i="92"/>
  <c r="E32" i="92"/>
  <c r="D32" i="92"/>
  <c r="C32" i="92"/>
  <c r="O31" i="92"/>
  <c r="N31" i="92"/>
  <c r="M31" i="92"/>
  <c r="L31" i="92"/>
  <c r="K31" i="92"/>
  <c r="J31" i="92"/>
  <c r="I31" i="92"/>
  <c r="H31" i="92"/>
  <c r="G31" i="92"/>
  <c r="F31" i="92"/>
  <c r="E31" i="92"/>
  <c r="D31" i="92"/>
  <c r="C31" i="92"/>
  <c r="O30" i="92"/>
  <c r="N30" i="92"/>
  <c r="M30" i="92"/>
  <c r="L30" i="92"/>
  <c r="K30" i="92"/>
  <c r="J30" i="92"/>
  <c r="I30" i="92"/>
  <c r="H30" i="92"/>
  <c r="G30" i="92"/>
  <c r="F30" i="92"/>
  <c r="E30" i="92"/>
  <c r="D30" i="92"/>
  <c r="C30" i="92"/>
  <c r="O29" i="92"/>
  <c r="N29" i="92"/>
  <c r="M29" i="92"/>
  <c r="L29" i="92"/>
  <c r="K29" i="92"/>
  <c r="J29" i="92"/>
  <c r="I29" i="92"/>
  <c r="H29" i="92"/>
  <c r="G29" i="92"/>
  <c r="F29" i="92"/>
  <c r="E29" i="92"/>
  <c r="D29" i="92"/>
  <c r="C29" i="92"/>
  <c r="O28" i="92"/>
  <c r="N28" i="92"/>
  <c r="M28" i="92"/>
  <c r="L28" i="92"/>
  <c r="K28" i="92"/>
  <c r="J28" i="92"/>
  <c r="I28" i="92"/>
  <c r="H28" i="92"/>
  <c r="G28" i="92"/>
  <c r="F28" i="92"/>
  <c r="E28" i="92"/>
  <c r="D28" i="92"/>
  <c r="C28" i="92"/>
  <c r="O27" i="92"/>
  <c r="N27" i="92"/>
  <c r="M27" i="92"/>
  <c r="L27" i="92"/>
  <c r="K27" i="92"/>
  <c r="J27" i="92"/>
  <c r="I27" i="92"/>
  <c r="H27" i="92"/>
  <c r="G27" i="92"/>
  <c r="F27" i="92"/>
  <c r="O26" i="92"/>
  <c r="N26" i="92"/>
  <c r="M26" i="92"/>
  <c r="L26" i="92"/>
  <c r="K26" i="92"/>
  <c r="J26" i="92"/>
  <c r="I26" i="92"/>
  <c r="H26" i="92"/>
  <c r="G26" i="92"/>
  <c r="F26" i="92"/>
  <c r="E26" i="92"/>
  <c r="D26" i="92"/>
  <c r="C26" i="92"/>
  <c r="O25" i="92"/>
  <c r="N25" i="92"/>
  <c r="M25" i="92"/>
  <c r="L25" i="92"/>
  <c r="K25" i="92"/>
  <c r="J25" i="92"/>
  <c r="I25" i="92"/>
  <c r="H25" i="92"/>
  <c r="G25" i="92"/>
  <c r="F25" i="92"/>
  <c r="O24" i="92"/>
  <c r="N24" i="92"/>
  <c r="M24" i="92"/>
  <c r="L24" i="92"/>
  <c r="K24" i="92"/>
  <c r="J24" i="92"/>
  <c r="I24" i="92"/>
  <c r="H24" i="92"/>
  <c r="G24" i="92"/>
  <c r="F24" i="92"/>
  <c r="E24" i="92"/>
  <c r="D24" i="92"/>
  <c r="C24" i="92"/>
  <c r="O23" i="92"/>
  <c r="N23" i="92"/>
  <c r="M23" i="92"/>
  <c r="L23" i="92"/>
  <c r="K23" i="92"/>
  <c r="J23" i="92"/>
  <c r="I23" i="92"/>
  <c r="H23" i="92"/>
  <c r="G23" i="92"/>
  <c r="F23" i="92"/>
  <c r="E23" i="92"/>
  <c r="D23" i="92"/>
  <c r="C23" i="92"/>
  <c r="O22" i="92"/>
  <c r="N22" i="92"/>
  <c r="M22" i="92"/>
  <c r="L22" i="92"/>
  <c r="K22" i="92"/>
  <c r="J22" i="92"/>
  <c r="I22" i="92"/>
  <c r="H22" i="92"/>
  <c r="G22" i="92"/>
  <c r="F22" i="92"/>
  <c r="O21" i="92"/>
  <c r="N21" i="92"/>
  <c r="M21" i="92"/>
  <c r="L21" i="92"/>
  <c r="K21" i="92"/>
  <c r="J21" i="92"/>
  <c r="I21" i="92"/>
  <c r="H21" i="92"/>
  <c r="G21" i="92"/>
  <c r="F21" i="92"/>
  <c r="O20" i="92"/>
  <c r="N20" i="92"/>
  <c r="M20" i="92"/>
  <c r="L20" i="92"/>
  <c r="K20" i="92"/>
  <c r="J20" i="92"/>
  <c r="I20" i="92"/>
  <c r="H20" i="92"/>
  <c r="G20" i="92"/>
  <c r="F20" i="92"/>
  <c r="E20" i="92"/>
  <c r="D20" i="92"/>
  <c r="C20" i="92"/>
  <c r="O19" i="92"/>
  <c r="N19" i="92"/>
  <c r="M19" i="92"/>
  <c r="L19" i="92"/>
  <c r="K19" i="92"/>
  <c r="J19" i="92"/>
  <c r="I19" i="92"/>
  <c r="H19" i="92"/>
  <c r="G19" i="92"/>
  <c r="F19" i="92"/>
  <c r="E19" i="92"/>
  <c r="D19" i="92"/>
  <c r="C19" i="92"/>
  <c r="O18" i="92"/>
  <c r="N18" i="92"/>
  <c r="M18" i="92"/>
  <c r="L18" i="92"/>
  <c r="K18" i="92"/>
  <c r="J18" i="92"/>
  <c r="I18" i="92"/>
  <c r="H18" i="92"/>
  <c r="G18" i="92"/>
  <c r="F18" i="92"/>
  <c r="E18" i="92"/>
  <c r="D18" i="92"/>
  <c r="C18" i="92"/>
  <c r="O17" i="92"/>
  <c r="N17" i="92"/>
  <c r="M17" i="92"/>
  <c r="L17" i="92"/>
  <c r="K17" i="92"/>
  <c r="J17" i="92"/>
  <c r="I17" i="92"/>
  <c r="H17" i="92"/>
  <c r="G17" i="92"/>
  <c r="F17" i="92"/>
  <c r="E17" i="92"/>
  <c r="D17" i="92"/>
  <c r="C17" i="92"/>
  <c r="O16" i="92"/>
  <c r="N16" i="92"/>
  <c r="M16" i="92"/>
  <c r="L16" i="92"/>
  <c r="K16" i="92"/>
  <c r="J16" i="92"/>
  <c r="I16" i="92"/>
  <c r="H16" i="92"/>
  <c r="G16" i="92"/>
  <c r="F16" i="92"/>
  <c r="O15" i="92"/>
  <c r="N15" i="92"/>
  <c r="M15" i="92"/>
  <c r="L15" i="92"/>
  <c r="K15" i="92"/>
  <c r="J15" i="92"/>
  <c r="I15" i="92"/>
  <c r="H15" i="92"/>
  <c r="G15" i="92"/>
  <c r="F15" i="92"/>
  <c r="O14" i="92"/>
  <c r="N14" i="92"/>
  <c r="M14" i="92"/>
  <c r="L14" i="92"/>
  <c r="K14" i="92"/>
  <c r="J14" i="92"/>
  <c r="I14" i="92"/>
  <c r="H14" i="92"/>
  <c r="G14" i="92"/>
  <c r="F14" i="92"/>
  <c r="E14" i="92"/>
  <c r="D14" i="92"/>
  <c r="C14" i="92"/>
  <c r="O13" i="92"/>
  <c r="N13" i="92"/>
  <c r="M13" i="92"/>
  <c r="L13" i="92"/>
  <c r="K13" i="92"/>
  <c r="J13" i="92"/>
  <c r="I13" i="92"/>
  <c r="H13" i="92"/>
  <c r="G13" i="92"/>
  <c r="F13" i="92"/>
  <c r="E13" i="92"/>
  <c r="D13" i="92"/>
  <c r="C13" i="92"/>
  <c r="O12" i="92"/>
  <c r="N12" i="92"/>
  <c r="M12" i="92"/>
  <c r="L12" i="92"/>
  <c r="K12" i="92"/>
  <c r="J12" i="92"/>
  <c r="I12" i="92"/>
  <c r="H12" i="92"/>
  <c r="G12" i="92"/>
  <c r="F12" i="92"/>
  <c r="E12" i="92"/>
  <c r="D12" i="92"/>
  <c r="C12" i="92"/>
  <c r="O11" i="92"/>
  <c r="N11" i="92"/>
  <c r="M11" i="92"/>
  <c r="L11" i="92"/>
  <c r="K11" i="92"/>
  <c r="J11" i="92"/>
  <c r="I11" i="92"/>
  <c r="H11" i="92"/>
  <c r="G11" i="92"/>
  <c r="F11" i="92"/>
  <c r="E11" i="92"/>
  <c r="D11" i="92"/>
  <c r="C11" i="92"/>
  <c r="O10" i="92"/>
  <c r="N10" i="92"/>
  <c r="M10" i="92"/>
  <c r="L10" i="92"/>
  <c r="K10" i="92"/>
  <c r="J10" i="92"/>
  <c r="I10" i="92"/>
  <c r="H10" i="92"/>
  <c r="G10" i="92"/>
  <c r="F10" i="92"/>
  <c r="E10" i="92"/>
  <c r="D10" i="92"/>
  <c r="C10" i="92"/>
  <c r="O9" i="92"/>
  <c r="N9" i="92"/>
  <c r="M9" i="92"/>
  <c r="L9" i="92"/>
  <c r="K9" i="92"/>
  <c r="J9" i="92"/>
  <c r="I9" i="92"/>
  <c r="H9" i="92"/>
  <c r="G9" i="92"/>
  <c r="F9" i="92"/>
  <c r="O8" i="92"/>
  <c r="N8" i="92"/>
  <c r="M8" i="92"/>
  <c r="L8" i="92"/>
  <c r="K8" i="92"/>
  <c r="J8" i="92"/>
  <c r="I8" i="92"/>
  <c r="H8" i="92"/>
  <c r="G8" i="92"/>
  <c r="F8" i="92"/>
  <c r="E8" i="92"/>
  <c r="D8" i="92"/>
  <c r="C8" i="92"/>
  <c r="O7" i="92"/>
  <c r="N7" i="92"/>
  <c r="M7" i="92"/>
  <c r="L7" i="92"/>
  <c r="K7" i="92"/>
  <c r="J7" i="92"/>
  <c r="I7" i="92"/>
  <c r="H7" i="92"/>
  <c r="G7" i="92"/>
  <c r="F7" i="92"/>
  <c r="E7" i="92"/>
  <c r="D7" i="92"/>
  <c r="C7" i="92"/>
  <c r="O6" i="92"/>
  <c r="N6" i="92"/>
  <c r="M6" i="92"/>
  <c r="L6" i="92"/>
  <c r="K6" i="92"/>
  <c r="J6" i="92"/>
  <c r="I6" i="92"/>
  <c r="H6" i="92"/>
  <c r="G6" i="92"/>
  <c r="F6" i="92"/>
  <c r="E6" i="92"/>
  <c r="D6" i="92"/>
  <c r="C6" i="92"/>
  <c r="B4" i="91"/>
  <c r="B5" i="91"/>
  <c r="G111" i="91"/>
  <c r="E111" i="91"/>
  <c r="C111" i="91"/>
  <c r="G110" i="91"/>
  <c r="E110" i="91"/>
  <c r="C110" i="91"/>
  <c r="G109" i="91"/>
  <c r="E109" i="91"/>
  <c r="C109" i="91"/>
  <c r="G108" i="91"/>
  <c r="E108" i="91"/>
  <c r="C108" i="91"/>
  <c r="H4" i="91"/>
  <c r="H5" i="91"/>
  <c r="M107" i="91"/>
  <c r="K107" i="91"/>
  <c r="I107" i="91"/>
  <c r="G107" i="91"/>
  <c r="E107" i="91"/>
  <c r="C107" i="91"/>
  <c r="M106" i="91"/>
  <c r="K106" i="91"/>
  <c r="I106" i="91"/>
  <c r="G106" i="91"/>
  <c r="E106" i="91"/>
  <c r="C106" i="91"/>
  <c r="M105" i="91"/>
  <c r="K105" i="91"/>
  <c r="I105" i="91"/>
  <c r="G105" i="91"/>
  <c r="E105" i="91"/>
  <c r="C105" i="91"/>
  <c r="M104" i="91"/>
  <c r="K104" i="91"/>
  <c r="I104" i="91"/>
  <c r="G104" i="91"/>
  <c r="E104" i="91"/>
  <c r="C104" i="91"/>
  <c r="M103" i="91"/>
  <c r="K103" i="91"/>
  <c r="I103" i="91"/>
  <c r="G103" i="91"/>
  <c r="E103" i="91"/>
  <c r="C103" i="91"/>
  <c r="M102" i="91"/>
  <c r="K102" i="91"/>
  <c r="I102" i="91"/>
  <c r="G102" i="91"/>
  <c r="E102" i="91"/>
  <c r="C102" i="91"/>
  <c r="M101" i="91"/>
  <c r="K101" i="91"/>
  <c r="I101" i="91"/>
  <c r="G101" i="91"/>
  <c r="E101" i="91"/>
  <c r="C101" i="91"/>
  <c r="M100" i="91"/>
  <c r="K100" i="91"/>
  <c r="I100" i="91"/>
  <c r="G100" i="91"/>
  <c r="E100" i="91"/>
  <c r="C100" i="91"/>
  <c r="M99" i="91"/>
  <c r="K99" i="91"/>
  <c r="I99" i="91"/>
  <c r="G99" i="91"/>
  <c r="E99" i="91"/>
  <c r="C99" i="91"/>
  <c r="M98" i="91"/>
  <c r="K98" i="91"/>
  <c r="I98" i="91"/>
  <c r="G98" i="91"/>
  <c r="E98" i="91"/>
  <c r="C98" i="91"/>
  <c r="M97" i="91"/>
  <c r="K97" i="91"/>
  <c r="I97" i="91"/>
  <c r="G97" i="91"/>
  <c r="E97" i="91"/>
  <c r="C97" i="91"/>
  <c r="M96" i="91"/>
  <c r="K96" i="91"/>
  <c r="I96" i="91"/>
  <c r="G96" i="91"/>
  <c r="E96" i="91"/>
  <c r="C96" i="91"/>
  <c r="M95" i="91"/>
  <c r="K95" i="91"/>
  <c r="I95" i="91"/>
  <c r="G95" i="91"/>
  <c r="E95" i="91"/>
  <c r="C95" i="91"/>
  <c r="M94" i="91"/>
  <c r="K94" i="91"/>
  <c r="I94" i="91"/>
  <c r="G94" i="91"/>
  <c r="E94" i="91"/>
  <c r="C94" i="91"/>
  <c r="M93" i="91"/>
  <c r="K93" i="91"/>
  <c r="I93" i="91"/>
  <c r="G93" i="91"/>
  <c r="E93" i="91"/>
  <c r="C93" i="91"/>
  <c r="M92" i="91"/>
  <c r="K92" i="91"/>
  <c r="I92" i="91"/>
  <c r="G92" i="91"/>
  <c r="E92" i="91"/>
  <c r="C92" i="91"/>
  <c r="M91" i="91"/>
  <c r="K91" i="91"/>
  <c r="I91" i="91"/>
  <c r="G91" i="91"/>
  <c r="E91" i="91"/>
  <c r="C91" i="91"/>
  <c r="M90" i="91"/>
  <c r="K90" i="91"/>
  <c r="I90" i="91"/>
  <c r="G90" i="91"/>
  <c r="E90" i="91"/>
  <c r="C90" i="91"/>
  <c r="M89" i="91"/>
  <c r="K89" i="91"/>
  <c r="I89" i="91"/>
  <c r="G89" i="91"/>
  <c r="E89" i="91"/>
  <c r="C89" i="91"/>
  <c r="M88" i="91"/>
  <c r="K88" i="91"/>
  <c r="I88" i="91"/>
  <c r="G88" i="91"/>
  <c r="E88" i="91"/>
  <c r="C88" i="91"/>
  <c r="M87" i="91"/>
  <c r="K87" i="91"/>
  <c r="I87" i="91"/>
  <c r="G87" i="91"/>
  <c r="E87" i="91"/>
  <c r="C87" i="91"/>
  <c r="M86" i="91"/>
  <c r="K86" i="91"/>
  <c r="I86" i="91"/>
  <c r="G86" i="91"/>
  <c r="E86" i="91"/>
  <c r="C86" i="91"/>
  <c r="M85" i="91"/>
  <c r="K85" i="91"/>
  <c r="I85" i="91"/>
  <c r="G85" i="91"/>
  <c r="E85" i="91"/>
  <c r="C85" i="91"/>
  <c r="M84" i="91"/>
  <c r="K84" i="91"/>
  <c r="I84" i="91"/>
  <c r="G84" i="91"/>
  <c r="E84" i="91"/>
  <c r="C84" i="91"/>
  <c r="M83" i="91"/>
  <c r="K83" i="91"/>
  <c r="I83" i="91"/>
  <c r="G83" i="91"/>
  <c r="E83" i="91"/>
  <c r="C83" i="91"/>
  <c r="M82" i="91"/>
  <c r="K82" i="91"/>
  <c r="I82" i="91"/>
  <c r="G82" i="91"/>
  <c r="E82" i="91"/>
  <c r="C82" i="91"/>
  <c r="M81" i="91"/>
  <c r="K81" i="91"/>
  <c r="I81" i="91"/>
  <c r="G81" i="91"/>
  <c r="E81" i="91"/>
  <c r="C81" i="91"/>
  <c r="M80" i="91"/>
  <c r="K80" i="91"/>
  <c r="I80" i="91"/>
  <c r="G80" i="91"/>
  <c r="E80" i="91"/>
  <c r="C80" i="91"/>
  <c r="M79" i="91"/>
  <c r="K79" i="91"/>
  <c r="I79" i="91"/>
  <c r="G79" i="91"/>
  <c r="E79" i="91"/>
  <c r="C79" i="91"/>
  <c r="M78" i="91"/>
  <c r="K78" i="91"/>
  <c r="I78" i="91"/>
  <c r="G78" i="91"/>
  <c r="E78" i="91"/>
  <c r="C78" i="91"/>
  <c r="M77" i="91"/>
  <c r="K77" i="91"/>
  <c r="I77" i="91"/>
  <c r="G77" i="91"/>
  <c r="E77" i="91"/>
  <c r="C77" i="91"/>
  <c r="M76" i="91"/>
  <c r="K76" i="91"/>
  <c r="I76" i="91"/>
  <c r="G76" i="91"/>
  <c r="E76" i="91"/>
  <c r="C76" i="91"/>
  <c r="M75" i="91"/>
  <c r="K75" i="91"/>
  <c r="I75" i="91"/>
  <c r="G75" i="91"/>
  <c r="E75" i="91"/>
  <c r="C75" i="91"/>
  <c r="M74" i="91"/>
  <c r="K74" i="91"/>
  <c r="I74" i="91"/>
  <c r="G74" i="91"/>
  <c r="E74" i="91"/>
  <c r="C74" i="91"/>
  <c r="M73" i="91"/>
  <c r="K73" i="91"/>
  <c r="I73" i="91"/>
  <c r="G73" i="91"/>
  <c r="E73" i="91"/>
  <c r="C73" i="91"/>
  <c r="M72" i="91"/>
  <c r="K72" i="91"/>
  <c r="I72" i="91"/>
  <c r="G72" i="91"/>
  <c r="E72" i="91"/>
  <c r="C72" i="91"/>
  <c r="M71" i="91"/>
  <c r="K71" i="91"/>
  <c r="I71" i="91"/>
  <c r="G71" i="91"/>
  <c r="E71" i="91"/>
  <c r="C71" i="91"/>
  <c r="M70" i="91"/>
  <c r="K70" i="91"/>
  <c r="I70" i="91"/>
  <c r="G70" i="91"/>
  <c r="E70" i="91"/>
  <c r="C70" i="91"/>
  <c r="M69" i="91"/>
  <c r="K69" i="91"/>
  <c r="I69" i="91"/>
  <c r="G69" i="91"/>
  <c r="E69" i="91"/>
  <c r="C69" i="91"/>
  <c r="M68" i="91"/>
  <c r="K68" i="91"/>
  <c r="I68" i="91"/>
  <c r="G68" i="91"/>
  <c r="E68" i="91"/>
  <c r="C68" i="91"/>
  <c r="M67" i="91"/>
  <c r="K67" i="91"/>
  <c r="I67" i="91"/>
  <c r="G67" i="91"/>
  <c r="E67" i="91"/>
  <c r="C67" i="91"/>
  <c r="M66" i="91"/>
  <c r="K66" i="91"/>
  <c r="I66" i="91"/>
  <c r="G66" i="91"/>
  <c r="E66" i="91"/>
  <c r="C66" i="91"/>
  <c r="M65" i="91"/>
  <c r="K65" i="91"/>
  <c r="I65" i="91"/>
  <c r="G65" i="91"/>
  <c r="E65" i="91"/>
  <c r="C65" i="91"/>
  <c r="M64" i="91"/>
  <c r="K64" i="91"/>
  <c r="I64" i="91"/>
  <c r="G64" i="91"/>
  <c r="E64" i="91"/>
  <c r="C64" i="91"/>
  <c r="M63" i="91"/>
  <c r="K63" i="91"/>
  <c r="I63" i="91"/>
  <c r="G63" i="91"/>
  <c r="E63" i="91"/>
  <c r="C63" i="91"/>
  <c r="M62" i="91"/>
  <c r="K62" i="91"/>
  <c r="I62" i="91"/>
  <c r="G62" i="91"/>
  <c r="E62" i="91"/>
  <c r="C62" i="91"/>
  <c r="M61" i="91"/>
  <c r="K61" i="91"/>
  <c r="I61" i="91"/>
  <c r="G61" i="91"/>
  <c r="E61" i="91"/>
  <c r="C61" i="91"/>
  <c r="M60" i="91"/>
  <c r="K60" i="91"/>
  <c r="I60" i="91"/>
  <c r="G60" i="91"/>
  <c r="E60" i="91"/>
  <c r="C60" i="91"/>
  <c r="M59" i="91"/>
  <c r="K59" i="91"/>
  <c r="I59" i="91"/>
  <c r="G59" i="91"/>
  <c r="E59" i="91"/>
  <c r="C59" i="91"/>
  <c r="M58" i="91"/>
  <c r="K58" i="91"/>
  <c r="I58" i="91"/>
  <c r="G58" i="91"/>
  <c r="E58" i="91"/>
  <c r="C58" i="91"/>
  <c r="M57" i="91"/>
  <c r="K57" i="91"/>
  <c r="I57" i="91"/>
  <c r="G57" i="91"/>
  <c r="E57" i="91"/>
  <c r="C57" i="91"/>
  <c r="M56" i="91"/>
  <c r="K56" i="91"/>
  <c r="I56" i="91"/>
  <c r="G56" i="91"/>
  <c r="E56" i="91"/>
  <c r="C56" i="91"/>
  <c r="M55" i="91"/>
  <c r="K55" i="91"/>
  <c r="I55" i="91"/>
  <c r="G55" i="91"/>
  <c r="E55" i="91"/>
  <c r="C55" i="91"/>
  <c r="M54" i="91"/>
  <c r="K54" i="91"/>
  <c r="I54" i="91"/>
  <c r="G54" i="91"/>
  <c r="E54" i="91"/>
  <c r="C54" i="91"/>
  <c r="M53" i="91"/>
  <c r="K53" i="91"/>
  <c r="I53" i="91"/>
  <c r="G53" i="91"/>
  <c r="E53" i="91"/>
  <c r="C53" i="91"/>
  <c r="M52" i="91"/>
  <c r="K52" i="91"/>
  <c r="I52" i="91"/>
  <c r="G52" i="91"/>
  <c r="E52" i="91"/>
  <c r="C52" i="91"/>
  <c r="M51" i="91"/>
  <c r="K51" i="91"/>
  <c r="I51" i="91"/>
  <c r="G51" i="91"/>
  <c r="E51" i="91"/>
  <c r="C51" i="91"/>
  <c r="M50" i="91"/>
  <c r="K50" i="91"/>
  <c r="I50" i="91"/>
  <c r="G50" i="91"/>
  <c r="E50" i="91"/>
  <c r="C50" i="91"/>
  <c r="M49" i="91"/>
  <c r="K49" i="91"/>
  <c r="I49" i="91"/>
  <c r="G49" i="91"/>
  <c r="E49" i="91"/>
  <c r="C49" i="91"/>
  <c r="M48" i="91"/>
  <c r="K48" i="91"/>
  <c r="I48" i="91"/>
  <c r="G48" i="91"/>
  <c r="E48" i="91"/>
  <c r="C48" i="91"/>
  <c r="M47" i="91"/>
  <c r="K47" i="91"/>
  <c r="I47" i="91"/>
  <c r="G47" i="91"/>
  <c r="E47" i="91"/>
  <c r="C47" i="91"/>
  <c r="M46" i="91"/>
  <c r="K46" i="91"/>
  <c r="I46" i="91"/>
  <c r="G46" i="91"/>
  <c r="E46" i="91"/>
  <c r="C46" i="91"/>
  <c r="M45" i="91"/>
  <c r="K45" i="91"/>
  <c r="I45" i="91"/>
  <c r="G45" i="91"/>
  <c r="E45" i="91"/>
  <c r="C45" i="91"/>
  <c r="M44" i="91"/>
  <c r="K44" i="91"/>
  <c r="I44" i="91"/>
  <c r="G44" i="91"/>
  <c r="E44" i="91"/>
  <c r="C44" i="91"/>
  <c r="M43" i="91"/>
  <c r="K43" i="91"/>
  <c r="I43" i="91"/>
  <c r="G43" i="91"/>
  <c r="E43" i="91"/>
  <c r="C43" i="91"/>
  <c r="M42" i="91"/>
  <c r="K42" i="91"/>
  <c r="I42" i="91"/>
  <c r="G42" i="91"/>
  <c r="E42" i="91"/>
  <c r="C42" i="91"/>
  <c r="M41" i="91"/>
  <c r="K41" i="91"/>
  <c r="I41" i="91"/>
  <c r="G41" i="91"/>
  <c r="E41" i="91"/>
  <c r="C41" i="91"/>
  <c r="M40" i="91"/>
  <c r="K40" i="91"/>
  <c r="I40" i="91"/>
  <c r="G40" i="91"/>
  <c r="E40" i="91"/>
  <c r="C40" i="91"/>
  <c r="M39" i="91"/>
  <c r="K39" i="91"/>
  <c r="I39" i="91"/>
  <c r="G39" i="91"/>
  <c r="E39" i="91"/>
  <c r="C39" i="91"/>
  <c r="M38" i="91"/>
  <c r="K38" i="91"/>
  <c r="I38" i="91"/>
  <c r="G38" i="91"/>
  <c r="E38" i="91"/>
  <c r="C38" i="91"/>
  <c r="M37" i="91"/>
  <c r="K37" i="91"/>
  <c r="I37" i="91"/>
  <c r="G37" i="91"/>
  <c r="E37" i="91"/>
  <c r="C37" i="91"/>
  <c r="M36" i="91"/>
  <c r="K36" i="91"/>
  <c r="I36" i="91"/>
  <c r="G36" i="91"/>
  <c r="E36" i="91"/>
  <c r="C36" i="91"/>
  <c r="M35" i="91"/>
  <c r="K35" i="91"/>
  <c r="I35" i="91"/>
  <c r="G35" i="91"/>
  <c r="E35" i="91"/>
  <c r="C35" i="91"/>
  <c r="M34" i="91"/>
  <c r="K34" i="91"/>
  <c r="I34" i="91"/>
  <c r="G34" i="91"/>
  <c r="E34" i="91"/>
  <c r="C34" i="91"/>
  <c r="M33" i="91"/>
  <c r="K33" i="91"/>
  <c r="I33" i="91"/>
  <c r="G33" i="91"/>
  <c r="E33" i="91"/>
  <c r="C33" i="91"/>
  <c r="M32" i="91"/>
  <c r="K32" i="91"/>
  <c r="I32" i="91"/>
  <c r="G32" i="91"/>
  <c r="E32" i="91"/>
  <c r="C32" i="91"/>
  <c r="M31" i="91"/>
  <c r="K31" i="91"/>
  <c r="I31" i="91"/>
  <c r="G31" i="91"/>
  <c r="E31" i="91"/>
  <c r="C31" i="91"/>
  <c r="M30" i="91"/>
  <c r="K30" i="91"/>
  <c r="I30" i="91"/>
  <c r="G30" i="91"/>
  <c r="E30" i="91"/>
  <c r="C30" i="91"/>
  <c r="M29" i="91"/>
  <c r="K29" i="91"/>
  <c r="I29" i="91"/>
  <c r="G29" i="91"/>
  <c r="E29" i="91"/>
  <c r="C29" i="91"/>
  <c r="M28" i="91"/>
  <c r="K28" i="91"/>
  <c r="I28" i="91"/>
  <c r="G28" i="91"/>
  <c r="E28" i="91"/>
  <c r="C28" i="91"/>
  <c r="M27" i="91"/>
  <c r="K27" i="91"/>
  <c r="I27" i="91"/>
  <c r="G27" i="91"/>
  <c r="E27" i="91"/>
  <c r="C27" i="91"/>
  <c r="M26" i="91"/>
  <c r="K26" i="91"/>
  <c r="I26" i="91"/>
  <c r="G26" i="91"/>
  <c r="E26" i="91"/>
  <c r="C26" i="91"/>
  <c r="M25" i="91"/>
  <c r="K25" i="91"/>
  <c r="I25" i="91"/>
  <c r="G25" i="91"/>
  <c r="E25" i="91"/>
  <c r="C25" i="91"/>
  <c r="M24" i="91"/>
  <c r="K24" i="91"/>
  <c r="I24" i="91"/>
  <c r="G24" i="91"/>
  <c r="E24" i="91"/>
  <c r="C24" i="91"/>
  <c r="M23" i="91"/>
  <c r="K23" i="91"/>
  <c r="I23" i="91"/>
  <c r="G23" i="91"/>
  <c r="E23" i="91"/>
  <c r="C23" i="91"/>
  <c r="M22" i="91"/>
  <c r="K22" i="91"/>
  <c r="I22" i="91"/>
  <c r="G22" i="91"/>
  <c r="E22" i="91"/>
  <c r="C22" i="91"/>
  <c r="M21" i="91"/>
  <c r="K21" i="91"/>
  <c r="I21" i="91"/>
  <c r="G21" i="91"/>
  <c r="E21" i="91"/>
  <c r="C21" i="91"/>
  <c r="M20" i="91"/>
  <c r="K20" i="91"/>
  <c r="I20" i="91"/>
  <c r="G20" i="91"/>
  <c r="E20" i="91"/>
  <c r="C20" i="91"/>
  <c r="M19" i="91"/>
  <c r="K19" i="91"/>
  <c r="I19" i="91"/>
  <c r="G19" i="91"/>
  <c r="E19" i="91"/>
  <c r="C19" i="91"/>
  <c r="M18" i="91"/>
  <c r="K18" i="91"/>
  <c r="I18" i="91"/>
  <c r="G18" i="91"/>
  <c r="E18" i="91"/>
  <c r="C18" i="91"/>
  <c r="M17" i="91"/>
  <c r="K17" i="91"/>
  <c r="I17" i="91"/>
  <c r="G17" i="91"/>
  <c r="E17" i="91"/>
  <c r="C17" i="91"/>
  <c r="M16" i="91"/>
  <c r="K16" i="91"/>
  <c r="I16" i="91"/>
  <c r="G16" i="91"/>
  <c r="E16" i="91"/>
  <c r="C16" i="91"/>
  <c r="M15" i="91"/>
  <c r="K15" i="91"/>
  <c r="I15" i="91"/>
  <c r="G15" i="91"/>
  <c r="E15" i="91"/>
  <c r="C15" i="91"/>
  <c r="M14" i="91"/>
  <c r="K14" i="91"/>
  <c r="I14" i="91"/>
  <c r="G14" i="91"/>
  <c r="E14" i="91"/>
  <c r="C14" i="91"/>
  <c r="M13" i="91"/>
  <c r="K13" i="91"/>
  <c r="I13" i="91"/>
  <c r="G13" i="91"/>
  <c r="E13" i="91"/>
  <c r="C13" i="91"/>
  <c r="M12" i="91"/>
  <c r="K12" i="91"/>
  <c r="I12" i="91"/>
  <c r="G12" i="91"/>
  <c r="E12" i="91"/>
  <c r="C12" i="91"/>
  <c r="M11" i="91"/>
  <c r="K11" i="91"/>
  <c r="I11" i="91"/>
  <c r="G11" i="91"/>
  <c r="E11" i="91"/>
  <c r="C11" i="91"/>
  <c r="M10" i="91"/>
  <c r="K10" i="91"/>
  <c r="I10" i="91"/>
  <c r="G10" i="91"/>
  <c r="E10" i="91"/>
  <c r="C10" i="91"/>
  <c r="M9" i="91"/>
  <c r="K9" i="91"/>
  <c r="I9" i="91"/>
  <c r="G9" i="91"/>
  <c r="E9" i="91"/>
  <c r="C9" i="91"/>
  <c r="O3" i="90"/>
  <c r="O4" i="90"/>
  <c r="O5" i="90"/>
  <c r="O124" i="90"/>
  <c r="N3" i="90"/>
  <c r="N4" i="90"/>
  <c r="N5" i="90"/>
  <c r="N124" i="90"/>
  <c r="M3" i="90"/>
  <c r="M4" i="90"/>
  <c r="M5" i="90"/>
  <c r="M124" i="90"/>
  <c r="L3" i="90"/>
  <c r="L4" i="90"/>
  <c r="L5" i="90"/>
  <c r="L124" i="90"/>
  <c r="K3" i="90"/>
  <c r="K4" i="90"/>
  <c r="K5" i="90"/>
  <c r="K124" i="90"/>
  <c r="J3" i="90"/>
  <c r="J4" i="90"/>
  <c r="J5" i="90"/>
  <c r="J124" i="90"/>
  <c r="I3" i="90"/>
  <c r="I4" i="90"/>
  <c r="I5" i="90"/>
  <c r="I124" i="90"/>
  <c r="H3" i="90"/>
  <c r="H4" i="90"/>
  <c r="H5" i="90"/>
  <c r="H124" i="90"/>
  <c r="G3" i="90"/>
  <c r="G4" i="90"/>
  <c r="G5" i="90"/>
  <c r="G124" i="90"/>
  <c r="F3" i="90"/>
  <c r="F4" i="90"/>
  <c r="F5" i="90"/>
  <c r="F124" i="90"/>
  <c r="E3" i="90"/>
  <c r="E4" i="90"/>
  <c r="E5" i="90"/>
  <c r="E124" i="90"/>
  <c r="D3" i="90"/>
  <c r="D4" i="90"/>
  <c r="D5" i="90"/>
  <c r="D124" i="90"/>
  <c r="C3" i="90"/>
  <c r="C4" i="90"/>
  <c r="C5" i="90"/>
  <c r="C124" i="90"/>
  <c r="O123" i="90"/>
  <c r="N123" i="90"/>
  <c r="M123" i="90"/>
  <c r="L123" i="90"/>
  <c r="K123" i="90"/>
  <c r="J123" i="90"/>
  <c r="I123" i="90"/>
  <c r="H123" i="90"/>
  <c r="G123" i="90"/>
  <c r="F123" i="90"/>
  <c r="E123" i="90"/>
  <c r="D123" i="90"/>
  <c r="C123" i="90"/>
  <c r="O122" i="90"/>
  <c r="N122" i="90"/>
  <c r="M122" i="90"/>
  <c r="L122" i="90"/>
  <c r="K122" i="90"/>
  <c r="J122" i="90"/>
  <c r="I122" i="90"/>
  <c r="H122" i="90"/>
  <c r="G122" i="90"/>
  <c r="F122" i="90"/>
  <c r="E122" i="90"/>
  <c r="D122" i="90"/>
  <c r="C122" i="90"/>
  <c r="O121" i="90"/>
  <c r="N121" i="90"/>
  <c r="M121" i="90"/>
  <c r="L121" i="90"/>
  <c r="K121" i="90"/>
  <c r="J121" i="90"/>
  <c r="I121" i="90"/>
  <c r="H121" i="90"/>
  <c r="G121" i="90"/>
  <c r="F121" i="90"/>
  <c r="E121" i="90"/>
  <c r="D121" i="90"/>
  <c r="C121" i="90"/>
  <c r="O120" i="90"/>
  <c r="N120" i="90"/>
  <c r="M120" i="90"/>
  <c r="L120" i="90"/>
  <c r="K120" i="90"/>
  <c r="J120" i="90"/>
  <c r="I120" i="90"/>
  <c r="H120" i="90"/>
  <c r="G120" i="90"/>
  <c r="F120" i="90"/>
  <c r="E120" i="90"/>
  <c r="D120" i="90"/>
  <c r="C120" i="90"/>
  <c r="O119" i="90"/>
  <c r="N119" i="90"/>
  <c r="M119" i="90"/>
  <c r="L119" i="90"/>
  <c r="K119" i="90"/>
  <c r="J119" i="90"/>
  <c r="I119" i="90"/>
  <c r="H119" i="90"/>
  <c r="G119" i="90"/>
  <c r="F119" i="90"/>
  <c r="E119" i="90"/>
  <c r="D119" i="90"/>
  <c r="C119" i="90"/>
  <c r="O118" i="90"/>
  <c r="N118" i="90"/>
  <c r="M118" i="90"/>
  <c r="L118" i="90"/>
  <c r="K118" i="90"/>
  <c r="J118" i="90"/>
  <c r="I118" i="90"/>
  <c r="H118" i="90"/>
  <c r="G118" i="90"/>
  <c r="F118" i="90"/>
  <c r="E118" i="90"/>
  <c r="D118" i="90"/>
  <c r="C118" i="90"/>
  <c r="O117" i="90"/>
  <c r="N117" i="90"/>
  <c r="M117" i="90"/>
  <c r="L117" i="90"/>
  <c r="K117" i="90"/>
  <c r="J117" i="90"/>
  <c r="I117" i="90"/>
  <c r="H117" i="90"/>
  <c r="G117" i="90"/>
  <c r="F117" i="90"/>
  <c r="E117" i="90"/>
  <c r="D117" i="90"/>
  <c r="C117" i="90"/>
  <c r="O116" i="90"/>
  <c r="N116" i="90"/>
  <c r="M116" i="90"/>
  <c r="L116" i="90"/>
  <c r="K116" i="90"/>
  <c r="J116" i="90"/>
  <c r="I116" i="90"/>
  <c r="H116" i="90"/>
  <c r="G116" i="90"/>
  <c r="F116" i="90"/>
  <c r="E116" i="90"/>
  <c r="D116" i="90"/>
  <c r="C116" i="90"/>
  <c r="O115" i="90"/>
  <c r="N115" i="90"/>
  <c r="M115" i="90"/>
  <c r="L115" i="90"/>
  <c r="K115" i="90"/>
  <c r="J115" i="90"/>
  <c r="I115" i="90"/>
  <c r="H115" i="90"/>
  <c r="G115" i="90"/>
  <c r="F115" i="90"/>
  <c r="E115" i="90"/>
  <c r="D115" i="90"/>
  <c r="C115" i="90"/>
  <c r="O114" i="90"/>
  <c r="N114" i="90"/>
  <c r="M114" i="90"/>
  <c r="L114" i="90"/>
  <c r="K114" i="90"/>
  <c r="J114" i="90"/>
  <c r="I114" i="90"/>
  <c r="H114" i="90"/>
  <c r="G114" i="90"/>
  <c r="F114" i="90"/>
  <c r="E114" i="90"/>
  <c r="D114" i="90"/>
  <c r="C114" i="90"/>
  <c r="O113" i="90"/>
  <c r="N113" i="90"/>
  <c r="M113" i="90"/>
  <c r="L113" i="90"/>
  <c r="K113" i="90"/>
  <c r="J113" i="90"/>
  <c r="I113" i="90"/>
  <c r="H113" i="90"/>
  <c r="G113" i="90"/>
  <c r="F113" i="90"/>
  <c r="E113" i="90"/>
  <c r="D113" i="90"/>
  <c r="C113" i="90"/>
  <c r="O112" i="90"/>
  <c r="N112" i="90"/>
  <c r="M112" i="90"/>
  <c r="L112" i="90"/>
  <c r="K112" i="90"/>
  <c r="J112" i="90"/>
  <c r="I112" i="90"/>
  <c r="H112" i="90"/>
  <c r="G112" i="90"/>
  <c r="F112" i="90"/>
  <c r="E112" i="90"/>
  <c r="D112" i="90"/>
  <c r="C112" i="90"/>
  <c r="O111" i="90"/>
  <c r="N111" i="90"/>
  <c r="M111" i="90"/>
  <c r="L111" i="90"/>
  <c r="K111" i="90"/>
  <c r="J111" i="90"/>
  <c r="I111" i="90"/>
  <c r="H111" i="90"/>
  <c r="G111" i="90"/>
  <c r="F111" i="90"/>
  <c r="E111" i="90"/>
  <c r="D111" i="90"/>
  <c r="C111" i="90"/>
  <c r="O110" i="90"/>
  <c r="N110" i="90"/>
  <c r="M110" i="90"/>
  <c r="L110" i="90"/>
  <c r="K110" i="90"/>
  <c r="J110" i="90"/>
  <c r="I110" i="90"/>
  <c r="H110" i="90"/>
  <c r="G110" i="90"/>
  <c r="F110" i="90"/>
  <c r="E110" i="90"/>
  <c r="D110" i="90"/>
  <c r="C110" i="90"/>
  <c r="O109" i="90"/>
  <c r="N109" i="90"/>
  <c r="M109" i="90"/>
  <c r="L109" i="90"/>
  <c r="K109" i="90"/>
  <c r="J109" i="90"/>
  <c r="I109" i="90"/>
  <c r="H109" i="90"/>
  <c r="G109" i="90"/>
  <c r="F109" i="90"/>
  <c r="E109" i="90"/>
  <c r="D109" i="90"/>
  <c r="C109" i="90"/>
  <c r="O108" i="90"/>
  <c r="N108" i="90"/>
  <c r="M108" i="90"/>
  <c r="L108" i="90"/>
  <c r="K108" i="90"/>
  <c r="J108" i="90"/>
  <c r="I108" i="90"/>
  <c r="H108" i="90"/>
  <c r="G108" i="90"/>
  <c r="F108" i="90"/>
  <c r="E108" i="90"/>
  <c r="D108" i="90"/>
  <c r="C108" i="90"/>
  <c r="O107" i="90"/>
  <c r="N107" i="90"/>
  <c r="M107" i="90"/>
  <c r="L107" i="90"/>
  <c r="K107" i="90"/>
  <c r="J107" i="90"/>
  <c r="I107" i="90"/>
  <c r="H107" i="90"/>
  <c r="G107" i="90"/>
  <c r="F107" i="90"/>
  <c r="E107" i="90"/>
  <c r="D107" i="90"/>
  <c r="C107" i="90"/>
  <c r="O106" i="90"/>
  <c r="N106" i="90"/>
  <c r="M106" i="90"/>
  <c r="L106" i="90"/>
  <c r="K106" i="90"/>
  <c r="J106" i="90"/>
  <c r="I106" i="90"/>
  <c r="H106" i="90"/>
  <c r="G106" i="90"/>
  <c r="F106" i="90"/>
  <c r="E106" i="90"/>
  <c r="D106" i="90"/>
  <c r="C106" i="90"/>
  <c r="O105" i="90"/>
  <c r="N105" i="90"/>
  <c r="M105" i="90"/>
  <c r="L105" i="90"/>
  <c r="K105" i="90"/>
  <c r="J105" i="90"/>
  <c r="I105" i="90"/>
  <c r="H105" i="90"/>
  <c r="G105" i="90"/>
  <c r="F105" i="90"/>
  <c r="E105" i="90"/>
  <c r="D105" i="90"/>
  <c r="C105" i="90"/>
  <c r="O104" i="90"/>
  <c r="N104" i="90"/>
  <c r="M104" i="90"/>
  <c r="L104" i="90"/>
  <c r="K104" i="90"/>
  <c r="J104" i="90"/>
  <c r="I104" i="90"/>
  <c r="H104" i="90"/>
  <c r="G104" i="90"/>
  <c r="F104" i="90"/>
  <c r="E104" i="90"/>
  <c r="D104" i="90"/>
  <c r="C104" i="90"/>
  <c r="O103" i="90"/>
  <c r="N103" i="90"/>
  <c r="M103" i="90"/>
  <c r="L103" i="90"/>
  <c r="K103" i="90"/>
  <c r="J103" i="90"/>
  <c r="I103" i="90"/>
  <c r="H103" i="90"/>
  <c r="G103" i="90"/>
  <c r="F103" i="90"/>
  <c r="E103" i="90"/>
  <c r="D103" i="90"/>
  <c r="C103" i="90"/>
  <c r="O102" i="90"/>
  <c r="N102" i="90"/>
  <c r="M102" i="90"/>
  <c r="L102" i="90"/>
  <c r="K102" i="90"/>
  <c r="J102" i="90"/>
  <c r="I102" i="90"/>
  <c r="H102" i="90"/>
  <c r="G102" i="90"/>
  <c r="F102" i="90"/>
  <c r="E102" i="90"/>
  <c r="D102" i="90"/>
  <c r="C102" i="90"/>
  <c r="O101" i="90"/>
  <c r="N101" i="90"/>
  <c r="M101" i="90"/>
  <c r="L101" i="90"/>
  <c r="K101" i="90"/>
  <c r="J101" i="90"/>
  <c r="I101" i="90"/>
  <c r="H101" i="90"/>
  <c r="G101" i="90"/>
  <c r="F101" i="90"/>
  <c r="E101" i="90"/>
  <c r="D101" i="90"/>
  <c r="C101" i="90"/>
  <c r="O100" i="90"/>
  <c r="N100" i="90"/>
  <c r="M100" i="90"/>
  <c r="L100" i="90"/>
  <c r="K100" i="90"/>
  <c r="J100" i="90"/>
  <c r="I100" i="90"/>
  <c r="H100" i="90"/>
  <c r="G100" i="90"/>
  <c r="F100" i="90"/>
  <c r="E100" i="90"/>
  <c r="D100" i="90"/>
  <c r="C100" i="90"/>
  <c r="O99" i="90"/>
  <c r="N99" i="90"/>
  <c r="M99" i="90"/>
  <c r="L99" i="90"/>
  <c r="K99" i="90"/>
  <c r="J99" i="90"/>
  <c r="I99" i="90"/>
  <c r="H99" i="90"/>
  <c r="G99" i="90"/>
  <c r="F99" i="90"/>
  <c r="E99" i="90"/>
  <c r="D99" i="90"/>
  <c r="C99" i="90"/>
  <c r="O98" i="90"/>
  <c r="N98" i="90"/>
  <c r="M98" i="90"/>
  <c r="L98" i="90"/>
  <c r="K98" i="90"/>
  <c r="J98" i="90"/>
  <c r="I98" i="90"/>
  <c r="H98" i="90"/>
  <c r="G98" i="90"/>
  <c r="F98" i="90"/>
  <c r="E98" i="90"/>
  <c r="D98" i="90"/>
  <c r="C98" i="90"/>
  <c r="O97" i="90"/>
  <c r="N97" i="90"/>
  <c r="M97" i="90"/>
  <c r="L97" i="90"/>
  <c r="K97" i="90"/>
  <c r="J97" i="90"/>
  <c r="I97" i="90"/>
  <c r="H97" i="90"/>
  <c r="G97" i="90"/>
  <c r="F97" i="90"/>
  <c r="E97" i="90"/>
  <c r="D97" i="90"/>
  <c r="C97" i="90"/>
  <c r="O96" i="90"/>
  <c r="N96" i="90"/>
  <c r="M96" i="90"/>
  <c r="L96" i="90"/>
  <c r="K96" i="90"/>
  <c r="J96" i="90"/>
  <c r="I96" i="90"/>
  <c r="H96" i="90"/>
  <c r="G96" i="90"/>
  <c r="F96" i="90"/>
  <c r="E96" i="90"/>
  <c r="D96" i="90"/>
  <c r="C96" i="90"/>
  <c r="O95" i="90"/>
  <c r="N95" i="90"/>
  <c r="M95" i="90"/>
  <c r="L95" i="90"/>
  <c r="K95" i="90"/>
  <c r="J95" i="90"/>
  <c r="I95" i="90"/>
  <c r="H95" i="90"/>
  <c r="G95" i="90"/>
  <c r="F95" i="90"/>
  <c r="E95" i="90"/>
  <c r="D95" i="90"/>
  <c r="C95" i="90"/>
  <c r="O94" i="90"/>
  <c r="N94" i="90"/>
  <c r="M94" i="90"/>
  <c r="L94" i="90"/>
  <c r="K94" i="90"/>
  <c r="J94" i="90"/>
  <c r="I94" i="90"/>
  <c r="H94" i="90"/>
  <c r="G94" i="90"/>
  <c r="F94" i="90"/>
  <c r="E94" i="90"/>
  <c r="D94" i="90"/>
  <c r="C94" i="90"/>
  <c r="O93" i="90"/>
  <c r="N93" i="90"/>
  <c r="M93" i="90"/>
  <c r="L93" i="90"/>
  <c r="K93" i="90"/>
  <c r="J93" i="90"/>
  <c r="I93" i="90"/>
  <c r="H93" i="90"/>
  <c r="G93" i="90"/>
  <c r="F93" i="90"/>
  <c r="E93" i="90"/>
  <c r="D93" i="90"/>
  <c r="C93" i="90"/>
  <c r="O92" i="90"/>
  <c r="N92" i="90"/>
  <c r="M92" i="90"/>
  <c r="L92" i="90"/>
  <c r="K92" i="90"/>
  <c r="J92" i="90"/>
  <c r="I92" i="90"/>
  <c r="H92" i="90"/>
  <c r="G92" i="90"/>
  <c r="F92" i="90"/>
  <c r="E92" i="90"/>
  <c r="D92" i="90"/>
  <c r="C92" i="90"/>
  <c r="O91" i="90"/>
  <c r="N91" i="90"/>
  <c r="M91" i="90"/>
  <c r="L91" i="90"/>
  <c r="K91" i="90"/>
  <c r="J91" i="90"/>
  <c r="I91" i="90"/>
  <c r="H91" i="90"/>
  <c r="G91" i="90"/>
  <c r="F91" i="90"/>
  <c r="E91" i="90"/>
  <c r="D91" i="90"/>
  <c r="C91" i="90"/>
  <c r="O90" i="90"/>
  <c r="N90" i="90"/>
  <c r="M90" i="90"/>
  <c r="L90" i="90"/>
  <c r="K90" i="90"/>
  <c r="J90" i="90"/>
  <c r="I90" i="90"/>
  <c r="H90" i="90"/>
  <c r="G90" i="90"/>
  <c r="F90" i="90"/>
  <c r="E90" i="90"/>
  <c r="D90" i="90"/>
  <c r="C90" i="90"/>
  <c r="O89" i="90"/>
  <c r="N89" i="90"/>
  <c r="M89" i="90"/>
  <c r="L89" i="90"/>
  <c r="K89" i="90"/>
  <c r="J89" i="90"/>
  <c r="I89" i="90"/>
  <c r="H89" i="90"/>
  <c r="G89" i="90"/>
  <c r="F89" i="90"/>
  <c r="E89" i="90"/>
  <c r="D89" i="90"/>
  <c r="C89" i="90"/>
  <c r="O88" i="90"/>
  <c r="N88" i="90"/>
  <c r="M88" i="90"/>
  <c r="L88" i="90"/>
  <c r="K88" i="90"/>
  <c r="J88" i="90"/>
  <c r="I88" i="90"/>
  <c r="H88" i="90"/>
  <c r="G88" i="90"/>
  <c r="F88" i="90"/>
  <c r="E88" i="90"/>
  <c r="D88" i="90"/>
  <c r="C88" i="90"/>
  <c r="O87" i="90"/>
  <c r="N87" i="90"/>
  <c r="M87" i="90"/>
  <c r="L87" i="90"/>
  <c r="K87" i="90"/>
  <c r="J87" i="90"/>
  <c r="I87" i="90"/>
  <c r="H87" i="90"/>
  <c r="G87" i="90"/>
  <c r="F87" i="90"/>
  <c r="E87" i="90"/>
  <c r="D87" i="90"/>
  <c r="C87" i="90"/>
  <c r="O86" i="90"/>
  <c r="N86" i="90"/>
  <c r="M86" i="90"/>
  <c r="L86" i="90"/>
  <c r="K86" i="90"/>
  <c r="J86" i="90"/>
  <c r="I86" i="90"/>
  <c r="H86" i="90"/>
  <c r="G86" i="90"/>
  <c r="F86" i="90"/>
  <c r="E86" i="90"/>
  <c r="D86" i="90"/>
  <c r="C86" i="90"/>
  <c r="O85" i="90"/>
  <c r="N85" i="90"/>
  <c r="M85" i="90"/>
  <c r="L85" i="90"/>
  <c r="K85" i="90"/>
  <c r="J85" i="90"/>
  <c r="I85" i="90"/>
  <c r="H85" i="90"/>
  <c r="G85" i="90"/>
  <c r="F85" i="90"/>
  <c r="E85" i="90"/>
  <c r="D85" i="90"/>
  <c r="C85" i="90"/>
  <c r="O84" i="90"/>
  <c r="N84" i="90"/>
  <c r="M84" i="90"/>
  <c r="L84" i="90"/>
  <c r="K84" i="90"/>
  <c r="J84" i="90"/>
  <c r="I84" i="90"/>
  <c r="H84" i="90"/>
  <c r="G84" i="90"/>
  <c r="F84" i="90"/>
  <c r="E84" i="90"/>
  <c r="D84" i="90"/>
  <c r="C84" i="90"/>
  <c r="O83" i="90"/>
  <c r="N83" i="90"/>
  <c r="M83" i="90"/>
  <c r="L83" i="90"/>
  <c r="K83" i="90"/>
  <c r="J83" i="90"/>
  <c r="I83" i="90"/>
  <c r="H83" i="90"/>
  <c r="G83" i="90"/>
  <c r="F83" i="90"/>
  <c r="E83" i="90"/>
  <c r="D83" i="90"/>
  <c r="C83" i="90"/>
  <c r="O82" i="90"/>
  <c r="N82" i="90"/>
  <c r="M82" i="90"/>
  <c r="L82" i="90"/>
  <c r="K82" i="90"/>
  <c r="J82" i="90"/>
  <c r="I82" i="90"/>
  <c r="H82" i="90"/>
  <c r="G82" i="90"/>
  <c r="F82" i="90"/>
  <c r="E82" i="90"/>
  <c r="D82" i="90"/>
  <c r="C82" i="90"/>
  <c r="O81" i="90"/>
  <c r="N81" i="90"/>
  <c r="M81" i="90"/>
  <c r="L81" i="90"/>
  <c r="K81" i="90"/>
  <c r="J81" i="90"/>
  <c r="I81" i="90"/>
  <c r="H81" i="90"/>
  <c r="G81" i="90"/>
  <c r="F81" i="90"/>
  <c r="E81" i="90"/>
  <c r="D81" i="90"/>
  <c r="C81" i="90"/>
  <c r="O80" i="90"/>
  <c r="N80" i="90"/>
  <c r="M80" i="90"/>
  <c r="L80" i="90"/>
  <c r="K80" i="90"/>
  <c r="J80" i="90"/>
  <c r="I80" i="90"/>
  <c r="H80" i="90"/>
  <c r="G80" i="90"/>
  <c r="F80" i="90"/>
  <c r="E80" i="90"/>
  <c r="D80" i="90"/>
  <c r="C80" i="90"/>
  <c r="O79" i="90"/>
  <c r="N79" i="90"/>
  <c r="M79" i="90"/>
  <c r="L79" i="90"/>
  <c r="K79" i="90"/>
  <c r="J79" i="90"/>
  <c r="I79" i="90"/>
  <c r="H79" i="90"/>
  <c r="G79" i="90"/>
  <c r="F79" i="90"/>
  <c r="E79" i="90"/>
  <c r="D79" i="90"/>
  <c r="C79" i="90"/>
  <c r="O78" i="90"/>
  <c r="N78" i="90"/>
  <c r="M78" i="90"/>
  <c r="L78" i="90"/>
  <c r="K78" i="90"/>
  <c r="J78" i="90"/>
  <c r="I78" i="90"/>
  <c r="H78" i="90"/>
  <c r="G78" i="90"/>
  <c r="F78" i="90"/>
  <c r="E78" i="90"/>
  <c r="D78" i="90"/>
  <c r="C78" i="90"/>
  <c r="O77" i="90"/>
  <c r="N77" i="90"/>
  <c r="M77" i="90"/>
  <c r="L77" i="90"/>
  <c r="K77" i="90"/>
  <c r="J77" i="90"/>
  <c r="I77" i="90"/>
  <c r="H77" i="90"/>
  <c r="G77" i="90"/>
  <c r="F77" i="90"/>
  <c r="E77" i="90"/>
  <c r="D77" i="90"/>
  <c r="C77" i="90"/>
  <c r="O76" i="90"/>
  <c r="N76" i="90"/>
  <c r="M76" i="90"/>
  <c r="L76" i="90"/>
  <c r="K76" i="90"/>
  <c r="J76" i="90"/>
  <c r="I76" i="90"/>
  <c r="H76" i="90"/>
  <c r="G76" i="90"/>
  <c r="F76" i="90"/>
  <c r="E76" i="90"/>
  <c r="D76" i="90"/>
  <c r="C76" i="90"/>
  <c r="O75" i="90"/>
  <c r="N75" i="90"/>
  <c r="M75" i="90"/>
  <c r="L75" i="90"/>
  <c r="K75" i="90"/>
  <c r="J75" i="90"/>
  <c r="I75" i="90"/>
  <c r="H75" i="90"/>
  <c r="G75" i="90"/>
  <c r="F75" i="90"/>
  <c r="E75" i="90"/>
  <c r="D75" i="90"/>
  <c r="C75" i="90"/>
  <c r="O74" i="90"/>
  <c r="N74" i="90"/>
  <c r="M74" i="90"/>
  <c r="L74" i="90"/>
  <c r="K74" i="90"/>
  <c r="J74" i="90"/>
  <c r="I74" i="90"/>
  <c r="H74" i="90"/>
  <c r="G74" i="90"/>
  <c r="F74" i="90"/>
  <c r="E74" i="90"/>
  <c r="D74" i="90"/>
  <c r="C74" i="90"/>
  <c r="O73" i="90"/>
  <c r="N73" i="90"/>
  <c r="M73" i="90"/>
  <c r="L73" i="90"/>
  <c r="K73" i="90"/>
  <c r="J73" i="90"/>
  <c r="I73" i="90"/>
  <c r="H73" i="90"/>
  <c r="G73" i="90"/>
  <c r="F73" i="90"/>
  <c r="E73" i="90"/>
  <c r="D73" i="90"/>
  <c r="C73" i="90"/>
  <c r="O72" i="90"/>
  <c r="N72" i="90"/>
  <c r="M72" i="90"/>
  <c r="L72" i="90"/>
  <c r="K72" i="90"/>
  <c r="J72" i="90"/>
  <c r="I72" i="90"/>
  <c r="H72" i="90"/>
  <c r="G72" i="90"/>
  <c r="F72" i="90"/>
  <c r="E72" i="90"/>
  <c r="D72" i="90"/>
  <c r="C72" i="90"/>
  <c r="O71" i="90"/>
  <c r="N71" i="90"/>
  <c r="M71" i="90"/>
  <c r="L71" i="90"/>
  <c r="K71" i="90"/>
  <c r="J71" i="90"/>
  <c r="I71" i="90"/>
  <c r="H71" i="90"/>
  <c r="G71" i="90"/>
  <c r="F71" i="90"/>
  <c r="E71" i="90"/>
  <c r="D71" i="90"/>
  <c r="C71" i="90"/>
  <c r="O70" i="90"/>
  <c r="N70" i="90"/>
  <c r="M70" i="90"/>
  <c r="L70" i="90"/>
  <c r="K70" i="90"/>
  <c r="J70" i="90"/>
  <c r="I70" i="90"/>
  <c r="H70" i="90"/>
  <c r="G70" i="90"/>
  <c r="F70" i="90"/>
  <c r="E70" i="90"/>
  <c r="D70" i="90"/>
  <c r="C70" i="90"/>
  <c r="O69" i="90"/>
  <c r="N69" i="90"/>
  <c r="M69" i="90"/>
  <c r="L69" i="90"/>
  <c r="K69" i="90"/>
  <c r="J69" i="90"/>
  <c r="I69" i="90"/>
  <c r="H69" i="90"/>
  <c r="G69" i="90"/>
  <c r="F69" i="90"/>
  <c r="E69" i="90"/>
  <c r="D69" i="90"/>
  <c r="C69" i="90"/>
  <c r="O68" i="90"/>
  <c r="N68" i="90"/>
  <c r="M68" i="90"/>
  <c r="L68" i="90"/>
  <c r="K68" i="90"/>
  <c r="J68" i="90"/>
  <c r="I68" i="90"/>
  <c r="H68" i="90"/>
  <c r="G68" i="90"/>
  <c r="F68" i="90"/>
  <c r="E68" i="90"/>
  <c r="D68" i="90"/>
  <c r="C68" i="90"/>
  <c r="O67" i="90"/>
  <c r="N67" i="90"/>
  <c r="M67" i="90"/>
  <c r="L67" i="90"/>
  <c r="K67" i="90"/>
  <c r="J67" i="90"/>
  <c r="I67" i="90"/>
  <c r="H67" i="90"/>
  <c r="G67" i="90"/>
  <c r="F67" i="90"/>
  <c r="E67" i="90"/>
  <c r="D67" i="90"/>
  <c r="C67" i="90"/>
  <c r="O66" i="90"/>
  <c r="N66" i="90"/>
  <c r="M66" i="90"/>
  <c r="L66" i="90"/>
  <c r="K66" i="90"/>
  <c r="J66" i="90"/>
  <c r="I66" i="90"/>
  <c r="H66" i="90"/>
  <c r="G66" i="90"/>
  <c r="F66" i="90"/>
  <c r="E66" i="90"/>
  <c r="D66" i="90"/>
  <c r="C66" i="90"/>
  <c r="O65" i="90"/>
  <c r="N65" i="90"/>
  <c r="M65" i="90"/>
  <c r="L65" i="90"/>
  <c r="K65" i="90"/>
  <c r="J65" i="90"/>
  <c r="I65" i="90"/>
  <c r="H65" i="90"/>
  <c r="G65" i="90"/>
  <c r="F65" i="90"/>
  <c r="E65" i="90"/>
  <c r="D65" i="90"/>
  <c r="C65" i="90"/>
  <c r="O64" i="90"/>
  <c r="N64" i="90"/>
  <c r="M64" i="90"/>
  <c r="L64" i="90"/>
  <c r="K64" i="90"/>
  <c r="J64" i="90"/>
  <c r="I64" i="90"/>
  <c r="H64" i="90"/>
  <c r="G64" i="90"/>
  <c r="F64" i="90"/>
  <c r="E64" i="90"/>
  <c r="D64" i="90"/>
  <c r="C64" i="90"/>
  <c r="O63" i="90"/>
  <c r="N63" i="90"/>
  <c r="M63" i="90"/>
  <c r="L63" i="90"/>
  <c r="K63" i="90"/>
  <c r="J63" i="90"/>
  <c r="I63" i="90"/>
  <c r="H63" i="90"/>
  <c r="G63" i="90"/>
  <c r="F63" i="90"/>
  <c r="E63" i="90"/>
  <c r="D63" i="90"/>
  <c r="C63" i="90"/>
  <c r="O62" i="90"/>
  <c r="N62" i="90"/>
  <c r="M62" i="90"/>
  <c r="L62" i="90"/>
  <c r="K62" i="90"/>
  <c r="J62" i="90"/>
  <c r="I62" i="90"/>
  <c r="H62" i="90"/>
  <c r="G62" i="90"/>
  <c r="F62" i="90"/>
  <c r="E62" i="90"/>
  <c r="D62" i="90"/>
  <c r="C62" i="90"/>
  <c r="O61" i="90"/>
  <c r="N61" i="90"/>
  <c r="M61" i="90"/>
  <c r="L61" i="90"/>
  <c r="K61" i="90"/>
  <c r="J61" i="90"/>
  <c r="I61" i="90"/>
  <c r="H61" i="90"/>
  <c r="G61" i="90"/>
  <c r="F61" i="90"/>
  <c r="E61" i="90"/>
  <c r="D61" i="90"/>
  <c r="C61" i="90"/>
  <c r="O60" i="90"/>
  <c r="N60" i="90"/>
  <c r="M60" i="90"/>
  <c r="L60" i="90"/>
  <c r="K60" i="90"/>
  <c r="J60" i="90"/>
  <c r="I60" i="90"/>
  <c r="H60" i="90"/>
  <c r="G60" i="90"/>
  <c r="F60" i="90"/>
  <c r="E60" i="90"/>
  <c r="D60" i="90"/>
  <c r="C60" i="90"/>
  <c r="O59" i="90"/>
  <c r="N59" i="90"/>
  <c r="M59" i="90"/>
  <c r="L59" i="90"/>
  <c r="K59" i="90"/>
  <c r="J59" i="90"/>
  <c r="I59" i="90"/>
  <c r="H59" i="90"/>
  <c r="G59" i="90"/>
  <c r="F59" i="90"/>
  <c r="E59" i="90"/>
  <c r="D59" i="90"/>
  <c r="C59" i="90"/>
  <c r="O58" i="90"/>
  <c r="N58" i="90"/>
  <c r="M58" i="90"/>
  <c r="L58" i="90"/>
  <c r="K58" i="90"/>
  <c r="J58" i="90"/>
  <c r="I58" i="90"/>
  <c r="H58" i="90"/>
  <c r="G58" i="90"/>
  <c r="F58" i="90"/>
  <c r="E58" i="90"/>
  <c r="D58" i="90"/>
  <c r="C58" i="90"/>
  <c r="O57" i="90"/>
  <c r="N57" i="90"/>
  <c r="M57" i="90"/>
  <c r="L57" i="90"/>
  <c r="K57" i="90"/>
  <c r="J57" i="90"/>
  <c r="I57" i="90"/>
  <c r="H57" i="90"/>
  <c r="G57" i="90"/>
  <c r="F57" i="90"/>
  <c r="E57" i="90"/>
  <c r="D57" i="90"/>
  <c r="C57" i="90"/>
  <c r="O56" i="90"/>
  <c r="N56" i="90"/>
  <c r="M56" i="90"/>
  <c r="L56" i="90"/>
  <c r="K56" i="90"/>
  <c r="J56" i="90"/>
  <c r="I56" i="90"/>
  <c r="H56" i="90"/>
  <c r="G56" i="90"/>
  <c r="F56" i="90"/>
  <c r="E56" i="90"/>
  <c r="D56" i="90"/>
  <c r="C56" i="90"/>
  <c r="O55" i="90"/>
  <c r="N55" i="90"/>
  <c r="M55" i="90"/>
  <c r="L55" i="90"/>
  <c r="K55" i="90"/>
  <c r="J55" i="90"/>
  <c r="I55" i="90"/>
  <c r="H55" i="90"/>
  <c r="G55" i="90"/>
  <c r="F55" i="90"/>
  <c r="E55" i="90"/>
  <c r="D55" i="90"/>
  <c r="C55" i="90"/>
  <c r="O54" i="90"/>
  <c r="N54" i="90"/>
  <c r="M54" i="90"/>
  <c r="L54" i="90"/>
  <c r="K54" i="90"/>
  <c r="J54" i="90"/>
  <c r="I54" i="90"/>
  <c r="H54" i="90"/>
  <c r="G54" i="90"/>
  <c r="F54" i="90"/>
  <c r="E54" i="90"/>
  <c r="D54" i="90"/>
  <c r="C54" i="90"/>
  <c r="O53" i="90"/>
  <c r="N53" i="90"/>
  <c r="M53" i="90"/>
  <c r="L53" i="90"/>
  <c r="K53" i="90"/>
  <c r="J53" i="90"/>
  <c r="I53" i="90"/>
  <c r="H53" i="90"/>
  <c r="G53" i="90"/>
  <c r="F53" i="90"/>
  <c r="E53" i="90"/>
  <c r="D53" i="90"/>
  <c r="C53" i="90"/>
  <c r="O52" i="90"/>
  <c r="N52" i="90"/>
  <c r="M52" i="90"/>
  <c r="L52" i="90"/>
  <c r="K52" i="90"/>
  <c r="J52" i="90"/>
  <c r="I52" i="90"/>
  <c r="H52" i="90"/>
  <c r="G52" i="90"/>
  <c r="F52" i="90"/>
  <c r="E52" i="90"/>
  <c r="D52" i="90"/>
  <c r="C52" i="90"/>
  <c r="O51" i="90"/>
  <c r="N51" i="90"/>
  <c r="M51" i="90"/>
  <c r="L51" i="90"/>
  <c r="K51" i="90"/>
  <c r="J51" i="90"/>
  <c r="I51" i="90"/>
  <c r="H51" i="90"/>
  <c r="G51" i="90"/>
  <c r="F51" i="90"/>
  <c r="E51" i="90"/>
  <c r="D51" i="90"/>
  <c r="C51" i="90"/>
  <c r="O50" i="90"/>
  <c r="N50" i="90"/>
  <c r="M50" i="90"/>
  <c r="L50" i="90"/>
  <c r="K50" i="90"/>
  <c r="J50" i="90"/>
  <c r="I50" i="90"/>
  <c r="H50" i="90"/>
  <c r="G50" i="90"/>
  <c r="F50" i="90"/>
  <c r="E50" i="90"/>
  <c r="D50" i="90"/>
  <c r="C50" i="90"/>
  <c r="O49" i="90"/>
  <c r="N49" i="90"/>
  <c r="M49" i="90"/>
  <c r="L49" i="90"/>
  <c r="K49" i="90"/>
  <c r="J49" i="90"/>
  <c r="I49" i="90"/>
  <c r="H49" i="90"/>
  <c r="G49" i="90"/>
  <c r="F49" i="90"/>
  <c r="E49" i="90"/>
  <c r="D49" i="90"/>
  <c r="C49" i="90"/>
  <c r="O48" i="90"/>
  <c r="N48" i="90"/>
  <c r="M48" i="90"/>
  <c r="L48" i="90"/>
  <c r="K48" i="90"/>
  <c r="J48" i="90"/>
  <c r="I48" i="90"/>
  <c r="H48" i="90"/>
  <c r="G48" i="90"/>
  <c r="F48" i="90"/>
  <c r="E48" i="90"/>
  <c r="D48" i="90"/>
  <c r="C48" i="90"/>
  <c r="O47" i="90"/>
  <c r="N47" i="90"/>
  <c r="M47" i="90"/>
  <c r="L47" i="90"/>
  <c r="K47" i="90"/>
  <c r="J47" i="90"/>
  <c r="I47" i="90"/>
  <c r="H47" i="90"/>
  <c r="G47" i="90"/>
  <c r="F47" i="90"/>
  <c r="E47" i="90"/>
  <c r="D47" i="90"/>
  <c r="C47" i="90"/>
  <c r="O46" i="90"/>
  <c r="N46" i="90"/>
  <c r="M46" i="90"/>
  <c r="L46" i="90"/>
  <c r="K46" i="90"/>
  <c r="J46" i="90"/>
  <c r="I46" i="90"/>
  <c r="H46" i="90"/>
  <c r="G46" i="90"/>
  <c r="F46" i="90"/>
  <c r="E46" i="90"/>
  <c r="D46" i="90"/>
  <c r="C46" i="90"/>
  <c r="O45" i="90"/>
  <c r="N45" i="90"/>
  <c r="M45" i="90"/>
  <c r="L45" i="90"/>
  <c r="K45" i="90"/>
  <c r="J45" i="90"/>
  <c r="I45" i="90"/>
  <c r="H45" i="90"/>
  <c r="G45" i="90"/>
  <c r="F45" i="90"/>
  <c r="E45" i="90"/>
  <c r="D45" i="90"/>
  <c r="C45" i="90"/>
  <c r="O44" i="90"/>
  <c r="N44" i="90"/>
  <c r="M44" i="90"/>
  <c r="L44" i="90"/>
  <c r="K44" i="90"/>
  <c r="J44" i="90"/>
  <c r="I44" i="90"/>
  <c r="H44" i="90"/>
  <c r="G44" i="90"/>
  <c r="F44" i="90"/>
  <c r="E44" i="90"/>
  <c r="D44" i="90"/>
  <c r="C44" i="90"/>
  <c r="O43" i="90"/>
  <c r="N43" i="90"/>
  <c r="M43" i="90"/>
  <c r="L43" i="90"/>
  <c r="K43" i="90"/>
  <c r="J43" i="90"/>
  <c r="I43" i="90"/>
  <c r="H43" i="90"/>
  <c r="G43" i="90"/>
  <c r="F43" i="90"/>
  <c r="E43" i="90"/>
  <c r="D43" i="90"/>
  <c r="C43" i="90"/>
  <c r="O42" i="90"/>
  <c r="N42" i="90"/>
  <c r="M42" i="90"/>
  <c r="L42" i="90"/>
  <c r="K42" i="90"/>
  <c r="J42" i="90"/>
  <c r="I42" i="90"/>
  <c r="H42" i="90"/>
  <c r="G42" i="90"/>
  <c r="F42" i="90"/>
  <c r="E42" i="90"/>
  <c r="D42" i="90"/>
  <c r="C42" i="90"/>
  <c r="O41" i="90"/>
  <c r="N41" i="90"/>
  <c r="M41" i="90"/>
  <c r="L41" i="90"/>
  <c r="K41" i="90"/>
  <c r="J41" i="90"/>
  <c r="I41" i="90"/>
  <c r="H41" i="90"/>
  <c r="G41" i="90"/>
  <c r="F41" i="90"/>
  <c r="E41" i="90"/>
  <c r="D41" i="90"/>
  <c r="C41" i="90"/>
  <c r="O40" i="90"/>
  <c r="N40" i="90"/>
  <c r="M40" i="90"/>
  <c r="L40" i="90"/>
  <c r="K40" i="90"/>
  <c r="J40" i="90"/>
  <c r="I40" i="90"/>
  <c r="H40" i="90"/>
  <c r="G40" i="90"/>
  <c r="F40" i="90"/>
  <c r="E40" i="90"/>
  <c r="D40" i="90"/>
  <c r="C40" i="90"/>
  <c r="O39" i="90"/>
  <c r="N39" i="90"/>
  <c r="M39" i="90"/>
  <c r="L39" i="90"/>
  <c r="K39" i="90"/>
  <c r="J39" i="90"/>
  <c r="I39" i="90"/>
  <c r="H39" i="90"/>
  <c r="G39" i="90"/>
  <c r="F39" i="90"/>
  <c r="E39" i="90"/>
  <c r="D39" i="90"/>
  <c r="C39" i="90"/>
  <c r="O38" i="90"/>
  <c r="N38" i="90"/>
  <c r="M38" i="90"/>
  <c r="L38" i="90"/>
  <c r="K38" i="90"/>
  <c r="J38" i="90"/>
  <c r="I38" i="90"/>
  <c r="H38" i="90"/>
  <c r="G38" i="90"/>
  <c r="F38" i="90"/>
  <c r="E38" i="90"/>
  <c r="D38" i="90"/>
  <c r="C38" i="90"/>
  <c r="O37" i="90"/>
  <c r="N37" i="90"/>
  <c r="M37" i="90"/>
  <c r="L37" i="90"/>
  <c r="K37" i="90"/>
  <c r="J37" i="90"/>
  <c r="I37" i="90"/>
  <c r="H37" i="90"/>
  <c r="G37" i="90"/>
  <c r="F37" i="90"/>
  <c r="E37" i="90"/>
  <c r="D37" i="90"/>
  <c r="C37" i="90"/>
  <c r="O36" i="90"/>
  <c r="N36" i="90"/>
  <c r="M36" i="90"/>
  <c r="L36" i="90"/>
  <c r="K36" i="90"/>
  <c r="J36" i="90"/>
  <c r="I36" i="90"/>
  <c r="H36" i="90"/>
  <c r="G36" i="90"/>
  <c r="F36" i="90"/>
  <c r="E36" i="90"/>
  <c r="D36" i="90"/>
  <c r="C36" i="90"/>
  <c r="O35" i="90"/>
  <c r="N35" i="90"/>
  <c r="M35" i="90"/>
  <c r="L35" i="90"/>
  <c r="K35" i="90"/>
  <c r="J35" i="90"/>
  <c r="I35" i="90"/>
  <c r="H35" i="90"/>
  <c r="G35" i="90"/>
  <c r="F35" i="90"/>
  <c r="E35" i="90"/>
  <c r="D35" i="90"/>
  <c r="C35" i="90"/>
  <c r="O34" i="90"/>
  <c r="N34" i="90"/>
  <c r="M34" i="90"/>
  <c r="L34" i="90"/>
  <c r="K34" i="90"/>
  <c r="J34" i="90"/>
  <c r="I34" i="90"/>
  <c r="H34" i="90"/>
  <c r="G34" i="90"/>
  <c r="F34" i="90"/>
  <c r="E34" i="90"/>
  <c r="D34" i="90"/>
  <c r="C34" i="90"/>
  <c r="O33" i="90"/>
  <c r="N33" i="90"/>
  <c r="M33" i="90"/>
  <c r="L33" i="90"/>
  <c r="K33" i="90"/>
  <c r="J33" i="90"/>
  <c r="I33" i="90"/>
  <c r="H33" i="90"/>
  <c r="G33" i="90"/>
  <c r="F33" i="90"/>
  <c r="E33" i="90"/>
  <c r="D33" i="90"/>
  <c r="C33" i="90"/>
  <c r="O32" i="90"/>
  <c r="N32" i="90"/>
  <c r="M32" i="90"/>
  <c r="L32" i="90"/>
  <c r="K32" i="90"/>
  <c r="J32" i="90"/>
  <c r="I32" i="90"/>
  <c r="H32" i="90"/>
  <c r="G32" i="90"/>
  <c r="F32" i="90"/>
  <c r="E32" i="90"/>
  <c r="D32" i="90"/>
  <c r="C32" i="90"/>
  <c r="O31" i="90"/>
  <c r="N31" i="90"/>
  <c r="M31" i="90"/>
  <c r="L31" i="90"/>
  <c r="K31" i="90"/>
  <c r="J31" i="90"/>
  <c r="I31" i="90"/>
  <c r="H31" i="90"/>
  <c r="G31" i="90"/>
  <c r="F31" i="90"/>
  <c r="E31" i="90"/>
  <c r="D31" i="90"/>
  <c r="C31" i="90"/>
  <c r="O30" i="90"/>
  <c r="N30" i="90"/>
  <c r="M30" i="90"/>
  <c r="L30" i="90"/>
  <c r="K30" i="90"/>
  <c r="J30" i="90"/>
  <c r="I30" i="90"/>
  <c r="H30" i="90"/>
  <c r="G30" i="90"/>
  <c r="F30" i="90"/>
  <c r="E30" i="90"/>
  <c r="D30" i="90"/>
  <c r="C30" i="90"/>
  <c r="O29" i="90"/>
  <c r="N29" i="90"/>
  <c r="M29" i="90"/>
  <c r="L29" i="90"/>
  <c r="K29" i="90"/>
  <c r="J29" i="90"/>
  <c r="I29" i="90"/>
  <c r="H29" i="90"/>
  <c r="G29" i="90"/>
  <c r="F29" i="90"/>
  <c r="E29" i="90"/>
  <c r="D29" i="90"/>
  <c r="C29" i="90"/>
  <c r="O28" i="90"/>
  <c r="N28" i="90"/>
  <c r="M28" i="90"/>
  <c r="L28" i="90"/>
  <c r="K28" i="90"/>
  <c r="J28" i="90"/>
  <c r="I28" i="90"/>
  <c r="H28" i="90"/>
  <c r="G28" i="90"/>
  <c r="F28" i="90"/>
  <c r="E28" i="90"/>
  <c r="D28" i="90"/>
  <c r="C28" i="90"/>
  <c r="O27" i="90"/>
  <c r="N27" i="90"/>
  <c r="M27" i="90"/>
  <c r="L27" i="90"/>
  <c r="K27" i="90"/>
  <c r="J27" i="90"/>
  <c r="I27" i="90"/>
  <c r="H27" i="90"/>
  <c r="G27" i="90"/>
  <c r="F27" i="90"/>
  <c r="O26" i="90"/>
  <c r="N26" i="90"/>
  <c r="M26" i="90"/>
  <c r="L26" i="90"/>
  <c r="K26" i="90"/>
  <c r="J26" i="90"/>
  <c r="I26" i="90"/>
  <c r="H26" i="90"/>
  <c r="G26" i="90"/>
  <c r="F26" i="90"/>
  <c r="E26" i="90"/>
  <c r="D26" i="90"/>
  <c r="C26" i="90"/>
  <c r="O25" i="90"/>
  <c r="N25" i="90"/>
  <c r="M25" i="90"/>
  <c r="L25" i="90"/>
  <c r="K25" i="90"/>
  <c r="J25" i="90"/>
  <c r="I25" i="90"/>
  <c r="H25" i="90"/>
  <c r="G25" i="90"/>
  <c r="F25" i="90"/>
  <c r="O24" i="90"/>
  <c r="N24" i="90"/>
  <c r="M24" i="90"/>
  <c r="L24" i="90"/>
  <c r="K24" i="90"/>
  <c r="J24" i="90"/>
  <c r="I24" i="90"/>
  <c r="H24" i="90"/>
  <c r="G24" i="90"/>
  <c r="F24" i="90"/>
  <c r="E24" i="90"/>
  <c r="D24" i="90"/>
  <c r="C24" i="90"/>
  <c r="O23" i="90"/>
  <c r="N23" i="90"/>
  <c r="M23" i="90"/>
  <c r="L23" i="90"/>
  <c r="K23" i="90"/>
  <c r="J23" i="90"/>
  <c r="I23" i="90"/>
  <c r="H23" i="90"/>
  <c r="G23" i="90"/>
  <c r="F23" i="90"/>
  <c r="E23" i="90"/>
  <c r="D23" i="90"/>
  <c r="C23" i="90"/>
  <c r="O22" i="90"/>
  <c r="N22" i="90"/>
  <c r="M22" i="90"/>
  <c r="L22" i="90"/>
  <c r="K22" i="90"/>
  <c r="J22" i="90"/>
  <c r="I22" i="90"/>
  <c r="H22" i="90"/>
  <c r="G22" i="90"/>
  <c r="F22" i="90"/>
  <c r="O21" i="90"/>
  <c r="N21" i="90"/>
  <c r="M21" i="90"/>
  <c r="L21" i="90"/>
  <c r="K21" i="90"/>
  <c r="J21" i="90"/>
  <c r="I21" i="90"/>
  <c r="H21" i="90"/>
  <c r="G21" i="90"/>
  <c r="F21" i="90"/>
  <c r="O20" i="90"/>
  <c r="N20" i="90"/>
  <c r="M20" i="90"/>
  <c r="L20" i="90"/>
  <c r="K20" i="90"/>
  <c r="J20" i="90"/>
  <c r="I20" i="90"/>
  <c r="H20" i="90"/>
  <c r="G20" i="90"/>
  <c r="F20" i="90"/>
  <c r="E20" i="90"/>
  <c r="D20" i="90"/>
  <c r="C20" i="90"/>
  <c r="O19" i="90"/>
  <c r="N19" i="90"/>
  <c r="M19" i="90"/>
  <c r="L19" i="90"/>
  <c r="K19" i="90"/>
  <c r="J19" i="90"/>
  <c r="I19" i="90"/>
  <c r="H19" i="90"/>
  <c r="G19" i="90"/>
  <c r="F19" i="90"/>
  <c r="E19" i="90"/>
  <c r="D19" i="90"/>
  <c r="C19" i="90"/>
  <c r="O18" i="90"/>
  <c r="N18" i="90"/>
  <c r="M18" i="90"/>
  <c r="L18" i="90"/>
  <c r="K18" i="90"/>
  <c r="J18" i="90"/>
  <c r="I18" i="90"/>
  <c r="H18" i="90"/>
  <c r="G18" i="90"/>
  <c r="F18" i="90"/>
  <c r="E18" i="90"/>
  <c r="D18" i="90"/>
  <c r="C18" i="90"/>
  <c r="O17" i="90"/>
  <c r="N17" i="90"/>
  <c r="M17" i="90"/>
  <c r="L17" i="90"/>
  <c r="K17" i="90"/>
  <c r="J17" i="90"/>
  <c r="I17" i="90"/>
  <c r="H17" i="90"/>
  <c r="G17" i="90"/>
  <c r="F17" i="90"/>
  <c r="E17" i="90"/>
  <c r="D17" i="90"/>
  <c r="C17" i="90"/>
  <c r="O16" i="90"/>
  <c r="N16" i="90"/>
  <c r="M16" i="90"/>
  <c r="L16" i="90"/>
  <c r="K16" i="90"/>
  <c r="J16" i="90"/>
  <c r="I16" i="90"/>
  <c r="H16" i="90"/>
  <c r="G16" i="90"/>
  <c r="F16" i="90"/>
  <c r="O15" i="90"/>
  <c r="N15" i="90"/>
  <c r="M15" i="90"/>
  <c r="L15" i="90"/>
  <c r="K15" i="90"/>
  <c r="J15" i="90"/>
  <c r="I15" i="90"/>
  <c r="H15" i="90"/>
  <c r="G15" i="90"/>
  <c r="F15" i="90"/>
  <c r="O14" i="90"/>
  <c r="N14" i="90"/>
  <c r="M14" i="90"/>
  <c r="L14" i="90"/>
  <c r="K14" i="90"/>
  <c r="J14" i="90"/>
  <c r="I14" i="90"/>
  <c r="H14" i="90"/>
  <c r="G14" i="90"/>
  <c r="F14" i="90"/>
  <c r="E14" i="90"/>
  <c r="D14" i="90"/>
  <c r="C14" i="90"/>
  <c r="O13" i="90"/>
  <c r="N13" i="90"/>
  <c r="M13" i="90"/>
  <c r="L13" i="90"/>
  <c r="K13" i="90"/>
  <c r="J13" i="90"/>
  <c r="I13" i="90"/>
  <c r="H13" i="90"/>
  <c r="G13" i="90"/>
  <c r="F13" i="90"/>
  <c r="E13" i="90"/>
  <c r="D13" i="90"/>
  <c r="C13" i="90"/>
  <c r="O12" i="90"/>
  <c r="N12" i="90"/>
  <c r="M12" i="90"/>
  <c r="L12" i="90"/>
  <c r="K12" i="90"/>
  <c r="J12" i="90"/>
  <c r="I12" i="90"/>
  <c r="H12" i="90"/>
  <c r="G12" i="90"/>
  <c r="F12" i="90"/>
  <c r="E12" i="90"/>
  <c r="D12" i="90"/>
  <c r="C12" i="90"/>
  <c r="O11" i="90"/>
  <c r="N11" i="90"/>
  <c r="M11" i="90"/>
  <c r="L11" i="90"/>
  <c r="K11" i="90"/>
  <c r="J11" i="90"/>
  <c r="I11" i="90"/>
  <c r="H11" i="90"/>
  <c r="G11" i="90"/>
  <c r="F11" i="90"/>
  <c r="E11" i="90"/>
  <c r="D11" i="90"/>
  <c r="C11" i="90"/>
  <c r="O10" i="90"/>
  <c r="N10" i="90"/>
  <c r="M10" i="90"/>
  <c r="L10" i="90"/>
  <c r="K10" i="90"/>
  <c r="J10" i="90"/>
  <c r="I10" i="90"/>
  <c r="H10" i="90"/>
  <c r="G10" i="90"/>
  <c r="F10" i="90"/>
  <c r="E10" i="90"/>
  <c r="D10" i="90"/>
  <c r="C10" i="90"/>
  <c r="O9" i="90"/>
  <c r="N9" i="90"/>
  <c r="M9" i="90"/>
  <c r="L9" i="90"/>
  <c r="K9" i="90"/>
  <c r="J9" i="90"/>
  <c r="I9" i="90"/>
  <c r="H9" i="90"/>
  <c r="G9" i="90"/>
  <c r="F9" i="90"/>
  <c r="O8" i="90"/>
  <c r="N8" i="90"/>
  <c r="M8" i="90"/>
  <c r="L8" i="90"/>
  <c r="K8" i="90"/>
  <c r="J8" i="90"/>
  <c r="I8" i="90"/>
  <c r="H8" i="90"/>
  <c r="G8" i="90"/>
  <c r="F8" i="90"/>
  <c r="E8" i="90"/>
  <c r="D8" i="90"/>
  <c r="C8" i="90"/>
  <c r="O7" i="90"/>
  <c r="N7" i="90"/>
  <c r="M7" i="90"/>
  <c r="L7" i="90"/>
  <c r="K7" i="90"/>
  <c r="J7" i="90"/>
  <c r="I7" i="90"/>
  <c r="H7" i="90"/>
  <c r="G7" i="90"/>
  <c r="F7" i="90"/>
  <c r="E7" i="90"/>
  <c r="D7" i="90"/>
  <c r="C7" i="90"/>
  <c r="O6" i="90"/>
  <c r="N6" i="90"/>
  <c r="M6" i="90"/>
  <c r="L6" i="90"/>
  <c r="K6" i="90"/>
  <c r="J6" i="90"/>
  <c r="I6" i="90"/>
  <c r="H6" i="90"/>
  <c r="G6" i="90"/>
  <c r="F6" i="90"/>
  <c r="E6" i="90"/>
  <c r="D6" i="90"/>
  <c r="C6" i="90"/>
  <c r="O3" i="89"/>
  <c r="O4" i="89"/>
  <c r="O5" i="89"/>
  <c r="O201" i="89"/>
  <c r="N3" i="89"/>
  <c r="N4" i="89"/>
  <c r="N5" i="89"/>
  <c r="N201" i="89"/>
  <c r="M3" i="89"/>
  <c r="M4" i="89"/>
  <c r="M5" i="89"/>
  <c r="M201" i="89"/>
  <c r="L3" i="89"/>
  <c r="L4" i="89"/>
  <c r="L5" i="89"/>
  <c r="L201" i="89"/>
  <c r="K3" i="89"/>
  <c r="K4" i="89"/>
  <c r="K5" i="89"/>
  <c r="K201" i="89"/>
  <c r="J3" i="89"/>
  <c r="J4" i="89"/>
  <c r="J5" i="89"/>
  <c r="J201" i="89"/>
  <c r="I3" i="89"/>
  <c r="I4" i="89"/>
  <c r="I5" i="89"/>
  <c r="I201" i="89"/>
  <c r="H3" i="89"/>
  <c r="H4" i="89"/>
  <c r="H5" i="89"/>
  <c r="H201" i="89"/>
  <c r="G3" i="89"/>
  <c r="G4" i="89"/>
  <c r="G5" i="89"/>
  <c r="G201" i="89"/>
  <c r="F3" i="89"/>
  <c r="F4" i="89"/>
  <c r="F5" i="89"/>
  <c r="F201" i="89"/>
  <c r="E3" i="89"/>
  <c r="E4" i="89"/>
  <c r="E5" i="89"/>
  <c r="E201" i="89"/>
  <c r="D3" i="89"/>
  <c r="D4" i="89"/>
  <c r="D5" i="89"/>
  <c r="D201" i="89"/>
  <c r="C3" i="89"/>
  <c r="C4" i="89"/>
  <c r="C5" i="89"/>
  <c r="C201" i="89"/>
  <c r="O200" i="89"/>
  <c r="N200" i="89"/>
  <c r="M200" i="89"/>
  <c r="L200" i="89"/>
  <c r="K200" i="89"/>
  <c r="J200" i="89"/>
  <c r="I200" i="89"/>
  <c r="H200" i="89"/>
  <c r="G200" i="89"/>
  <c r="F200" i="89"/>
  <c r="E200" i="89"/>
  <c r="D200" i="89"/>
  <c r="C200" i="89"/>
  <c r="O199" i="89"/>
  <c r="N199" i="89"/>
  <c r="M199" i="89"/>
  <c r="L199" i="89"/>
  <c r="K199" i="89"/>
  <c r="J199" i="89"/>
  <c r="I199" i="89"/>
  <c r="H199" i="89"/>
  <c r="G199" i="89"/>
  <c r="F199" i="89"/>
  <c r="E199" i="89"/>
  <c r="D199" i="89"/>
  <c r="C199" i="89"/>
  <c r="O198" i="89"/>
  <c r="N198" i="89"/>
  <c r="M198" i="89"/>
  <c r="L198" i="89"/>
  <c r="K198" i="89"/>
  <c r="J198" i="89"/>
  <c r="I198" i="89"/>
  <c r="H198" i="89"/>
  <c r="G198" i="89"/>
  <c r="F198" i="89"/>
  <c r="E198" i="89"/>
  <c r="D198" i="89"/>
  <c r="C198" i="89"/>
  <c r="O197" i="89"/>
  <c r="N197" i="89"/>
  <c r="M197" i="89"/>
  <c r="L197" i="89"/>
  <c r="K197" i="89"/>
  <c r="J197" i="89"/>
  <c r="I197" i="89"/>
  <c r="H197" i="89"/>
  <c r="G197" i="89"/>
  <c r="F197" i="89"/>
  <c r="E197" i="89"/>
  <c r="D197" i="89"/>
  <c r="C197" i="89"/>
  <c r="O196" i="89"/>
  <c r="N196" i="89"/>
  <c r="M196" i="89"/>
  <c r="L196" i="89"/>
  <c r="K196" i="89"/>
  <c r="J196" i="89"/>
  <c r="I196" i="89"/>
  <c r="H196" i="89"/>
  <c r="G196" i="89"/>
  <c r="F196" i="89"/>
  <c r="E196" i="89"/>
  <c r="D196" i="89"/>
  <c r="C196" i="89"/>
  <c r="O195" i="89"/>
  <c r="N195" i="89"/>
  <c r="M195" i="89"/>
  <c r="L195" i="89"/>
  <c r="K195" i="89"/>
  <c r="J195" i="89"/>
  <c r="I195" i="89"/>
  <c r="H195" i="89"/>
  <c r="G195" i="89"/>
  <c r="F195" i="89"/>
  <c r="E195" i="89"/>
  <c r="D195" i="89"/>
  <c r="C195" i="89"/>
  <c r="O194" i="89"/>
  <c r="N194" i="89"/>
  <c r="M194" i="89"/>
  <c r="L194" i="89"/>
  <c r="K194" i="89"/>
  <c r="J194" i="89"/>
  <c r="I194" i="89"/>
  <c r="H194" i="89"/>
  <c r="G194" i="89"/>
  <c r="F194" i="89"/>
  <c r="E194" i="89"/>
  <c r="D194" i="89"/>
  <c r="C194" i="89"/>
  <c r="O193" i="89"/>
  <c r="N193" i="89"/>
  <c r="M193" i="89"/>
  <c r="L193" i="89"/>
  <c r="K193" i="89"/>
  <c r="J193" i="89"/>
  <c r="I193" i="89"/>
  <c r="H193" i="89"/>
  <c r="G193" i="89"/>
  <c r="F193" i="89"/>
  <c r="E193" i="89"/>
  <c r="D193" i="89"/>
  <c r="C193" i="89"/>
  <c r="O192" i="89"/>
  <c r="N192" i="89"/>
  <c r="M192" i="89"/>
  <c r="L192" i="89"/>
  <c r="K192" i="89"/>
  <c r="J192" i="89"/>
  <c r="I192" i="89"/>
  <c r="H192" i="89"/>
  <c r="G192" i="89"/>
  <c r="F192" i="89"/>
  <c r="E192" i="89"/>
  <c r="D192" i="89"/>
  <c r="C192" i="89"/>
  <c r="O191" i="89"/>
  <c r="N191" i="89"/>
  <c r="M191" i="89"/>
  <c r="L191" i="89"/>
  <c r="K191" i="89"/>
  <c r="J191" i="89"/>
  <c r="I191" i="89"/>
  <c r="H191" i="89"/>
  <c r="G191" i="89"/>
  <c r="F191" i="89"/>
  <c r="E191" i="89"/>
  <c r="D191" i="89"/>
  <c r="C191" i="89"/>
  <c r="O190" i="89"/>
  <c r="N190" i="89"/>
  <c r="M190" i="89"/>
  <c r="L190" i="89"/>
  <c r="K190" i="89"/>
  <c r="J190" i="89"/>
  <c r="I190" i="89"/>
  <c r="H190" i="89"/>
  <c r="G190" i="89"/>
  <c r="F190" i="89"/>
  <c r="E190" i="89"/>
  <c r="D190" i="89"/>
  <c r="C190" i="89"/>
  <c r="O189" i="89"/>
  <c r="N189" i="89"/>
  <c r="M189" i="89"/>
  <c r="L189" i="89"/>
  <c r="K189" i="89"/>
  <c r="J189" i="89"/>
  <c r="I189" i="89"/>
  <c r="H189" i="89"/>
  <c r="G189" i="89"/>
  <c r="F189" i="89"/>
  <c r="E189" i="89"/>
  <c r="D189" i="89"/>
  <c r="C189" i="89"/>
  <c r="O188" i="89"/>
  <c r="N188" i="89"/>
  <c r="M188" i="89"/>
  <c r="L188" i="89"/>
  <c r="K188" i="89"/>
  <c r="J188" i="89"/>
  <c r="I188" i="89"/>
  <c r="H188" i="89"/>
  <c r="G188" i="89"/>
  <c r="F188" i="89"/>
  <c r="E188" i="89"/>
  <c r="D188" i="89"/>
  <c r="C188" i="89"/>
  <c r="O187" i="89"/>
  <c r="N187" i="89"/>
  <c r="M187" i="89"/>
  <c r="L187" i="89"/>
  <c r="K187" i="89"/>
  <c r="J187" i="89"/>
  <c r="I187" i="89"/>
  <c r="H187" i="89"/>
  <c r="G187" i="89"/>
  <c r="F187" i="89"/>
  <c r="E187" i="89"/>
  <c r="D187" i="89"/>
  <c r="C187" i="89"/>
  <c r="O186" i="89"/>
  <c r="N186" i="89"/>
  <c r="M186" i="89"/>
  <c r="L186" i="89"/>
  <c r="K186" i="89"/>
  <c r="J186" i="89"/>
  <c r="I186" i="89"/>
  <c r="H186" i="89"/>
  <c r="G186" i="89"/>
  <c r="F186" i="89"/>
  <c r="E186" i="89"/>
  <c r="D186" i="89"/>
  <c r="C186" i="89"/>
  <c r="O185" i="89"/>
  <c r="N185" i="89"/>
  <c r="M185" i="89"/>
  <c r="L185" i="89"/>
  <c r="K185" i="89"/>
  <c r="J185" i="89"/>
  <c r="I185" i="89"/>
  <c r="H185" i="89"/>
  <c r="G185" i="89"/>
  <c r="F185" i="89"/>
  <c r="E185" i="89"/>
  <c r="D185" i="89"/>
  <c r="C185" i="89"/>
  <c r="O184" i="89"/>
  <c r="N184" i="89"/>
  <c r="M184" i="89"/>
  <c r="L184" i="89"/>
  <c r="K184" i="89"/>
  <c r="J184" i="89"/>
  <c r="I184" i="89"/>
  <c r="H184" i="89"/>
  <c r="G184" i="89"/>
  <c r="F184" i="89"/>
  <c r="E184" i="89"/>
  <c r="D184" i="89"/>
  <c r="C184" i="89"/>
  <c r="O183" i="89"/>
  <c r="N183" i="89"/>
  <c r="M183" i="89"/>
  <c r="L183" i="89"/>
  <c r="K183" i="89"/>
  <c r="J183" i="89"/>
  <c r="I183" i="89"/>
  <c r="H183" i="89"/>
  <c r="G183" i="89"/>
  <c r="F183" i="89"/>
  <c r="E183" i="89"/>
  <c r="D183" i="89"/>
  <c r="C183" i="89"/>
  <c r="O182" i="89"/>
  <c r="N182" i="89"/>
  <c r="M182" i="89"/>
  <c r="L182" i="89"/>
  <c r="K182" i="89"/>
  <c r="J182" i="89"/>
  <c r="I182" i="89"/>
  <c r="H182" i="89"/>
  <c r="G182" i="89"/>
  <c r="F182" i="89"/>
  <c r="E182" i="89"/>
  <c r="D182" i="89"/>
  <c r="C182" i="89"/>
  <c r="O181" i="89"/>
  <c r="N181" i="89"/>
  <c r="M181" i="89"/>
  <c r="L181" i="89"/>
  <c r="K181" i="89"/>
  <c r="J181" i="89"/>
  <c r="I181" i="89"/>
  <c r="H181" i="89"/>
  <c r="G181" i="89"/>
  <c r="F181" i="89"/>
  <c r="E181" i="89"/>
  <c r="D181" i="89"/>
  <c r="C181" i="89"/>
  <c r="O180" i="89"/>
  <c r="N180" i="89"/>
  <c r="M180" i="89"/>
  <c r="L180" i="89"/>
  <c r="K180" i="89"/>
  <c r="J180" i="89"/>
  <c r="I180" i="89"/>
  <c r="H180" i="89"/>
  <c r="G180" i="89"/>
  <c r="F180" i="89"/>
  <c r="E180" i="89"/>
  <c r="D180" i="89"/>
  <c r="C180" i="89"/>
  <c r="O179" i="89"/>
  <c r="N179" i="89"/>
  <c r="M179" i="89"/>
  <c r="L179" i="89"/>
  <c r="K179" i="89"/>
  <c r="J179" i="89"/>
  <c r="I179" i="89"/>
  <c r="H179" i="89"/>
  <c r="G179" i="89"/>
  <c r="F179" i="89"/>
  <c r="E179" i="89"/>
  <c r="D179" i="89"/>
  <c r="C179" i="89"/>
  <c r="O178" i="89"/>
  <c r="N178" i="89"/>
  <c r="M178" i="89"/>
  <c r="L178" i="89"/>
  <c r="K178" i="89"/>
  <c r="J178" i="89"/>
  <c r="I178" i="89"/>
  <c r="H178" i="89"/>
  <c r="G178" i="89"/>
  <c r="F178" i="89"/>
  <c r="E178" i="89"/>
  <c r="D178" i="89"/>
  <c r="C178" i="89"/>
  <c r="O177" i="89"/>
  <c r="N177" i="89"/>
  <c r="M177" i="89"/>
  <c r="L177" i="89"/>
  <c r="K177" i="89"/>
  <c r="J177" i="89"/>
  <c r="I177" i="89"/>
  <c r="H177" i="89"/>
  <c r="G177" i="89"/>
  <c r="F177" i="89"/>
  <c r="E177" i="89"/>
  <c r="D177" i="89"/>
  <c r="C177" i="89"/>
  <c r="O176" i="89"/>
  <c r="N176" i="89"/>
  <c r="M176" i="89"/>
  <c r="L176" i="89"/>
  <c r="K176" i="89"/>
  <c r="J176" i="89"/>
  <c r="I176" i="89"/>
  <c r="H176" i="89"/>
  <c r="G176" i="89"/>
  <c r="F176" i="89"/>
  <c r="E176" i="89"/>
  <c r="D176" i="89"/>
  <c r="C176" i="89"/>
  <c r="O175" i="89"/>
  <c r="N175" i="89"/>
  <c r="M175" i="89"/>
  <c r="L175" i="89"/>
  <c r="K175" i="89"/>
  <c r="J175" i="89"/>
  <c r="I175" i="89"/>
  <c r="H175" i="89"/>
  <c r="G175" i="89"/>
  <c r="F175" i="89"/>
  <c r="E175" i="89"/>
  <c r="D175" i="89"/>
  <c r="C175" i="89"/>
  <c r="O174" i="89"/>
  <c r="N174" i="89"/>
  <c r="M174" i="89"/>
  <c r="L174" i="89"/>
  <c r="K174" i="89"/>
  <c r="J174" i="89"/>
  <c r="I174" i="89"/>
  <c r="H174" i="89"/>
  <c r="G174" i="89"/>
  <c r="F174" i="89"/>
  <c r="E174" i="89"/>
  <c r="D174" i="89"/>
  <c r="C174" i="89"/>
  <c r="O173" i="89"/>
  <c r="N173" i="89"/>
  <c r="M173" i="89"/>
  <c r="L173" i="89"/>
  <c r="K173" i="89"/>
  <c r="J173" i="89"/>
  <c r="I173" i="89"/>
  <c r="H173" i="89"/>
  <c r="G173" i="89"/>
  <c r="F173" i="89"/>
  <c r="E173" i="89"/>
  <c r="D173" i="89"/>
  <c r="C173" i="89"/>
  <c r="O172" i="89"/>
  <c r="N172" i="89"/>
  <c r="M172" i="89"/>
  <c r="L172" i="89"/>
  <c r="K172" i="89"/>
  <c r="J172" i="89"/>
  <c r="I172" i="89"/>
  <c r="H172" i="89"/>
  <c r="G172" i="89"/>
  <c r="F172" i="89"/>
  <c r="E172" i="89"/>
  <c r="D172" i="89"/>
  <c r="C172" i="89"/>
  <c r="O171" i="89"/>
  <c r="N171" i="89"/>
  <c r="M171" i="89"/>
  <c r="L171" i="89"/>
  <c r="K171" i="89"/>
  <c r="J171" i="89"/>
  <c r="I171" i="89"/>
  <c r="H171" i="89"/>
  <c r="G171" i="89"/>
  <c r="F171" i="89"/>
  <c r="E171" i="89"/>
  <c r="D171" i="89"/>
  <c r="C171" i="89"/>
  <c r="O170" i="89"/>
  <c r="N170" i="89"/>
  <c r="M170" i="89"/>
  <c r="L170" i="89"/>
  <c r="K170" i="89"/>
  <c r="J170" i="89"/>
  <c r="I170" i="89"/>
  <c r="H170" i="89"/>
  <c r="G170" i="89"/>
  <c r="F170" i="89"/>
  <c r="E170" i="89"/>
  <c r="D170" i="89"/>
  <c r="C170" i="89"/>
  <c r="O169" i="89"/>
  <c r="N169" i="89"/>
  <c r="M169" i="89"/>
  <c r="L169" i="89"/>
  <c r="K169" i="89"/>
  <c r="J169" i="89"/>
  <c r="I169" i="89"/>
  <c r="H169" i="89"/>
  <c r="G169" i="89"/>
  <c r="F169" i="89"/>
  <c r="E169" i="89"/>
  <c r="D169" i="89"/>
  <c r="C169" i="89"/>
  <c r="O168" i="89"/>
  <c r="N168" i="89"/>
  <c r="M168" i="89"/>
  <c r="L168" i="89"/>
  <c r="K168" i="89"/>
  <c r="J168" i="89"/>
  <c r="I168" i="89"/>
  <c r="H168" i="89"/>
  <c r="G168" i="89"/>
  <c r="F168" i="89"/>
  <c r="E168" i="89"/>
  <c r="D168" i="89"/>
  <c r="C168" i="89"/>
  <c r="O167" i="89"/>
  <c r="N167" i="89"/>
  <c r="M167" i="89"/>
  <c r="L167" i="89"/>
  <c r="K167" i="89"/>
  <c r="J167" i="89"/>
  <c r="I167" i="89"/>
  <c r="H167" i="89"/>
  <c r="G167" i="89"/>
  <c r="F167" i="89"/>
  <c r="E167" i="89"/>
  <c r="D167" i="89"/>
  <c r="C167" i="89"/>
  <c r="O166" i="89"/>
  <c r="N166" i="89"/>
  <c r="M166" i="89"/>
  <c r="L166" i="89"/>
  <c r="K166" i="89"/>
  <c r="J166" i="89"/>
  <c r="I166" i="89"/>
  <c r="H166" i="89"/>
  <c r="G166" i="89"/>
  <c r="F166" i="89"/>
  <c r="E166" i="89"/>
  <c r="D166" i="89"/>
  <c r="C166" i="89"/>
  <c r="O165" i="89"/>
  <c r="N165" i="89"/>
  <c r="M165" i="89"/>
  <c r="L165" i="89"/>
  <c r="K165" i="89"/>
  <c r="J165" i="89"/>
  <c r="I165" i="89"/>
  <c r="H165" i="89"/>
  <c r="G165" i="89"/>
  <c r="F165" i="89"/>
  <c r="E165" i="89"/>
  <c r="D165" i="89"/>
  <c r="C165" i="89"/>
  <c r="O164" i="89"/>
  <c r="N164" i="89"/>
  <c r="M164" i="89"/>
  <c r="L164" i="89"/>
  <c r="K164" i="89"/>
  <c r="J164" i="89"/>
  <c r="I164" i="89"/>
  <c r="H164" i="89"/>
  <c r="G164" i="89"/>
  <c r="F164" i="89"/>
  <c r="E164" i="89"/>
  <c r="D164" i="89"/>
  <c r="C164" i="89"/>
  <c r="O163" i="89"/>
  <c r="N163" i="89"/>
  <c r="M163" i="89"/>
  <c r="L163" i="89"/>
  <c r="K163" i="89"/>
  <c r="J163" i="89"/>
  <c r="I163" i="89"/>
  <c r="H163" i="89"/>
  <c r="G163" i="89"/>
  <c r="F163" i="89"/>
  <c r="E163" i="89"/>
  <c r="D163" i="89"/>
  <c r="C163" i="89"/>
  <c r="O162" i="89"/>
  <c r="N162" i="89"/>
  <c r="M162" i="89"/>
  <c r="L162" i="89"/>
  <c r="K162" i="89"/>
  <c r="J162" i="89"/>
  <c r="I162" i="89"/>
  <c r="H162" i="89"/>
  <c r="G162" i="89"/>
  <c r="F162" i="89"/>
  <c r="E162" i="89"/>
  <c r="D162" i="89"/>
  <c r="C162" i="89"/>
  <c r="O161" i="89"/>
  <c r="N161" i="89"/>
  <c r="M161" i="89"/>
  <c r="L161" i="89"/>
  <c r="K161" i="89"/>
  <c r="J161" i="89"/>
  <c r="I161" i="89"/>
  <c r="H161" i="89"/>
  <c r="G161" i="89"/>
  <c r="F161" i="89"/>
  <c r="E161" i="89"/>
  <c r="D161" i="89"/>
  <c r="C161" i="89"/>
  <c r="O160" i="89"/>
  <c r="N160" i="89"/>
  <c r="M160" i="89"/>
  <c r="L160" i="89"/>
  <c r="K160" i="89"/>
  <c r="J160" i="89"/>
  <c r="I160" i="89"/>
  <c r="H160" i="89"/>
  <c r="G160" i="89"/>
  <c r="F160" i="89"/>
  <c r="E160" i="89"/>
  <c r="D160" i="89"/>
  <c r="C160" i="89"/>
  <c r="O159" i="89"/>
  <c r="N159" i="89"/>
  <c r="M159" i="89"/>
  <c r="L159" i="89"/>
  <c r="K159" i="89"/>
  <c r="J159" i="89"/>
  <c r="I159" i="89"/>
  <c r="H159" i="89"/>
  <c r="G159" i="89"/>
  <c r="F159" i="89"/>
  <c r="E159" i="89"/>
  <c r="D159" i="89"/>
  <c r="C159" i="89"/>
  <c r="O158" i="89"/>
  <c r="N158" i="89"/>
  <c r="M158" i="89"/>
  <c r="L158" i="89"/>
  <c r="K158" i="89"/>
  <c r="J158" i="89"/>
  <c r="I158" i="89"/>
  <c r="H158" i="89"/>
  <c r="G158" i="89"/>
  <c r="F158" i="89"/>
  <c r="E158" i="89"/>
  <c r="D158" i="89"/>
  <c r="C158" i="89"/>
  <c r="O157" i="89"/>
  <c r="N157" i="89"/>
  <c r="M157" i="89"/>
  <c r="L157" i="89"/>
  <c r="K157" i="89"/>
  <c r="J157" i="89"/>
  <c r="I157" i="89"/>
  <c r="H157" i="89"/>
  <c r="G157" i="89"/>
  <c r="F157" i="89"/>
  <c r="E157" i="89"/>
  <c r="D157" i="89"/>
  <c r="C157" i="89"/>
  <c r="O156" i="89"/>
  <c r="N156" i="89"/>
  <c r="M156" i="89"/>
  <c r="L156" i="89"/>
  <c r="K156" i="89"/>
  <c r="J156" i="89"/>
  <c r="I156" i="89"/>
  <c r="H156" i="89"/>
  <c r="G156" i="89"/>
  <c r="F156" i="89"/>
  <c r="E156" i="89"/>
  <c r="D156" i="89"/>
  <c r="C156" i="89"/>
  <c r="O155" i="89"/>
  <c r="N155" i="89"/>
  <c r="M155" i="89"/>
  <c r="L155" i="89"/>
  <c r="K155" i="89"/>
  <c r="J155" i="89"/>
  <c r="I155" i="89"/>
  <c r="H155" i="89"/>
  <c r="G155" i="89"/>
  <c r="F155" i="89"/>
  <c r="E155" i="89"/>
  <c r="D155" i="89"/>
  <c r="C155" i="89"/>
  <c r="O154" i="89"/>
  <c r="N154" i="89"/>
  <c r="M154" i="89"/>
  <c r="L154" i="89"/>
  <c r="K154" i="89"/>
  <c r="J154" i="89"/>
  <c r="I154" i="89"/>
  <c r="H154" i="89"/>
  <c r="G154" i="89"/>
  <c r="F154" i="89"/>
  <c r="E154" i="89"/>
  <c r="D154" i="89"/>
  <c r="C154" i="89"/>
  <c r="O153" i="89"/>
  <c r="N153" i="89"/>
  <c r="M153" i="89"/>
  <c r="L153" i="89"/>
  <c r="K153" i="89"/>
  <c r="J153" i="89"/>
  <c r="I153" i="89"/>
  <c r="H153" i="89"/>
  <c r="G153" i="89"/>
  <c r="F153" i="89"/>
  <c r="E153" i="89"/>
  <c r="D153" i="89"/>
  <c r="C153" i="89"/>
  <c r="O152" i="89"/>
  <c r="N152" i="89"/>
  <c r="M152" i="89"/>
  <c r="L152" i="89"/>
  <c r="K152" i="89"/>
  <c r="J152" i="89"/>
  <c r="I152" i="89"/>
  <c r="H152" i="89"/>
  <c r="G152" i="89"/>
  <c r="F152" i="89"/>
  <c r="E152" i="89"/>
  <c r="D152" i="89"/>
  <c r="C152" i="89"/>
  <c r="O151" i="89"/>
  <c r="N151" i="89"/>
  <c r="M151" i="89"/>
  <c r="L151" i="89"/>
  <c r="K151" i="89"/>
  <c r="J151" i="89"/>
  <c r="I151" i="89"/>
  <c r="H151" i="89"/>
  <c r="G151" i="89"/>
  <c r="F151" i="89"/>
  <c r="E151" i="89"/>
  <c r="D151" i="89"/>
  <c r="C151" i="89"/>
  <c r="O150" i="89"/>
  <c r="N150" i="89"/>
  <c r="M150" i="89"/>
  <c r="L150" i="89"/>
  <c r="K150" i="89"/>
  <c r="J150" i="89"/>
  <c r="I150" i="89"/>
  <c r="H150" i="89"/>
  <c r="G150" i="89"/>
  <c r="F150" i="89"/>
  <c r="E150" i="89"/>
  <c r="D150" i="89"/>
  <c r="C150" i="89"/>
  <c r="O149" i="89"/>
  <c r="N149" i="89"/>
  <c r="M149" i="89"/>
  <c r="L149" i="89"/>
  <c r="K149" i="89"/>
  <c r="J149" i="89"/>
  <c r="I149" i="89"/>
  <c r="H149" i="89"/>
  <c r="G149" i="89"/>
  <c r="F149" i="89"/>
  <c r="E149" i="89"/>
  <c r="D149" i="89"/>
  <c r="C149" i="89"/>
  <c r="O148" i="89"/>
  <c r="N148" i="89"/>
  <c r="M148" i="89"/>
  <c r="L148" i="89"/>
  <c r="K148" i="89"/>
  <c r="J148" i="89"/>
  <c r="I148" i="89"/>
  <c r="H148" i="89"/>
  <c r="G148" i="89"/>
  <c r="F148" i="89"/>
  <c r="E148" i="89"/>
  <c r="D148" i="89"/>
  <c r="C148" i="89"/>
  <c r="O147" i="89"/>
  <c r="N147" i="89"/>
  <c r="M147" i="89"/>
  <c r="L147" i="89"/>
  <c r="K147" i="89"/>
  <c r="J147" i="89"/>
  <c r="I147" i="89"/>
  <c r="H147" i="89"/>
  <c r="G147" i="89"/>
  <c r="F147" i="89"/>
  <c r="E147" i="89"/>
  <c r="D147" i="89"/>
  <c r="C147" i="89"/>
  <c r="O146" i="89"/>
  <c r="N146" i="89"/>
  <c r="M146" i="89"/>
  <c r="L146" i="89"/>
  <c r="K146" i="89"/>
  <c r="J146" i="89"/>
  <c r="I146" i="89"/>
  <c r="H146" i="89"/>
  <c r="G146" i="89"/>
  <c r="F146" i="89"/>
  <c r="E146" i="89"/>
  <c r="D146" i="89"/>
  <c r="C146" i="89"/>
  <c r="O145" i="89"/>
  <c r="N145" i="89"/>
  <c r="M145" i="89"/>
  <c r="L145" i="89"/>
  <c r="K145" i="89"/>
  <c r="J145" i="89"/>
  <c r="I145" i="89"/>
  <c r="H145" i="89"/>
  <c r="G145" i="89"/>
  <c r="F145" i="89"/>
  <c r="E145" i="89"/>
  <c r="D145" i="89"/>
  <c r="C145" i="89"/>
  <c r="O144" i="89"/>
  <c r="N144" i="89"/>
  <c r="M144" i="89"/>
  <c r="L144" i="89"/>
  <c r="K144" i="89"/>
  <c r="J144" i="89"/>
  <c r="I144" i="89"/>
  <c r="H144" i="89"/>
  <c r="G144" i="89"/>
  <c r="F144" i="89"/>
  <c r="E144" i="89"/>
  <c r="D144" i="89"/>
  <c r="C144" i="89"/>
  <c r="O143" i="89"/>
  <c r="N143" i="89"/>
  <c r="M143" i="89"/>
  <c r="L143" i="89"/>
  <c r="K143" i="89"/>
  <c r="J143" i="89"/>
  <c r="I143" i="89"/>
  <c r="H143" i="89"/>
  <c r="G143" i="89"/>
  <c r="F143" i="89"/>
  <c r="E143" i="89"/>
  <c r="D143" i="89"/>
  <c r="C143" i="89"/>
  <c r="O142" i="89"/>
  <c r="N142" i="89"/>
  <c r="M142" i="89"/>
  <c r="L142" i="89"/>
  <c r="K142" i="89"/>
  <c r="J142" i="89"/>
  <c r="I142" i="89"/>
  <c r="H142" i="89"/>
  <c r="G142" i="89"/>
  <c r="F142" i="89"/>
  <c r="E142" i="89"/>
  <c r="D142" i="89"/>
  <c r="C142" i="89"/>
  <c r="O141" i="89"/>
  <c r="N141" i="89"/>
  <c r="M141" i="89"/>
  <c r="L141" i="89"/>
  <c r="K141" i="89"/>
  <c r="J141" i="89"/>
  <c r="I141" i="89"/>
  <c r="H141" i="89"/>
  <c r="G141" i="89"/>
  <c r="F141" i="89"/>
  <c r="E141" i="89"/>
  <c r="D141" i="89"/>
  <c r="C141" i="89"/>
  <c r="O140" i="89"/>
  <c r="N140" i="89"/>
  <c r="M140" i="89"/>
  <c r="L140" i="89"/>
  <c r="K140" i="89"/>
  <c r="J140" i="89"/>
  <c r="I140" i="89"/>
  <c r="H140" i="89"/>
  <c r="G140" i="89"/>
  <c r="F140" i="89"/>
  <c r="E140" i="89"/>
  <c r="D140" i="89"/>
  <c r="C140" i="89"/>
  <c r="O139" i="89"/>
  <c r="N139" i="89"/>
  <c r="M139" i="89"/>
  <c r="L139" i="89"/>
  <c r="K139" i="89"/>
  <c r="J139" i="89"/>
  <c r="I139" i="89"/>
  <c r="H139" i="89"/>
  <c r="G139" i="89"/>
  <c r="F139" i="89"/>
  <c r="E139" i="89"/>
  <c r="D139" i="89"/>
  <c r="C139" i="89"/>
  <c r="O138" i="89"/>
  <c r="N138" i="89"/>
  <c r="M138" i="89"/>
  <c r="L138" i="89"/>
  <c r="K138" i="89"/>
  <c r="J138" i="89"/>
  <c r="I138" i="89"/>
  <c r="H138" i="89"/>
  <c r="G138" i="89"/>
  <c r="F138" i="89"/>
  <c r="E138" i="89"/>
  <c r="D138" i="89"/>
  <c r="C138" i="89"/>
  <c r="O137" i="89"/>
  <c r="N137" i="89"/>
  <c r="M137" i="89"/>
  <c r="L137" i="89"/>
  <c r="K137" i="89"/>
  <c r="J137" i="89"/>
  <c r="I137" i="89"/>
  <c r="H137" i="89"/>
  <c r="G137" i="89"/>
  <c r="F137" i="89"/>
  <c r="E137" i="89"/>
  <c r="D137" i="89"/>
  <c r="C137" i="89"/>
  <c r="O136" i="89"/>
  <c r="N136" i="89"/>
  <c r="M136" i="89"/>
  <c r="L136" i="89"/>
  <c r="K136" i="89"/>
  <c r="J136" i="89"/>
  <c r="I136" i="89"/>
  <c r="H136" i="89"/>
  <c r="G136" i="89"/>
  <c r="F136" i="89"/>
  <c r="E136" i="89"/>
  <c r="D136" i="89"/>
  <c r="C136" i="89"/>
  <c r="O135" i="89"/>
  <c r="N135" i="89"/>
  <c r="M135" i="89"/>
  <c r="L135" i="89"/>
  <c r="K135" i="89"/>
  <c r="J135" i="89"/>
  <c r="I135" i="89"/>
  <c r="H135" i="89"/>
  <c r="G135" i="89"/>
  <c r="F135" i="89"/>
  <c r="E135" i="89"/>
  <c r="D135" i="89"/>
  <c r="C135" i="89"/>
  <c r="O134" i="89"/>
  <c r="N134" i="89"/>
  <c r="M134" i="89"/>
  <c r="L134" i="89"/>
  <c r="K134" i="89"/>
  <c r="J134" i="89"/>
  <c r="I134" i="89"/>
  <c r="H134" i="89"/>
  <c r="G134" i="89"/>
  <c r="F134" i="89"/>
  <c r="E134" i="89"/>
  <c r="D134" i="89"/>
  <c r="C134" i="89"/>
  <c r="O133" i="89"/>
  <c r="N133" i="89"/>
  <c r="M133" i="89"/>
  <c r="L133" i="89"/>
  <c r="K133" i="89"/>
  <c r="J133" i="89"/>
  <c r="I133" i="89"/>
  <c r="H133" i="89"/>
  <c r="G133" i="89"/>
  <c r="F133" i="89"/>
  <c r="E133" i="89"/>
  <c r="D133" i="89"/>
  <c r="C133" i="89"/>
  <c r="O132" i="89"/>
  <c r="N132" i="89"/>
  <c r="M132" i="89"/>
  <c r="L132" i="89"/>
  <c r="K132" i="89"/>
  <c r="J132" i="89"/>
  <c r="I132" i="89"/>
  <c r="H132" i="89"/>
  <c r="G132" i="89"/>
  <c r="F132" i="89"/>
  <c r="E132" i="89"/>
  <c r="D132" i="89"/>
  <c r="C132" i="89"/>
  <c r="O131" i="89"/>
  <c r="N131" i="89"/>
  <c r="M131" i="89"/>
  <c r="L131" i="89"/>
  <c r="K131" i="89"/>
  <c r="J131" i="89"/>
  <c r="I131" i="89"/>
  <c r="H131" i="89"/>
  <c r="G131" i="89"/>
  <c r="F131" i="89"/>
  <c r="E131" i="89"/>
  <c r="D131" i="89"/>
  <c r="C131" i="89"/>
  <c r="O130" i="89"/>
  <c r="N130" i="89"/>
  <c r="M130" i="89"/>
  <c r="L130" i="89"/>
  <c r="K130" i="89"/>
  <c r="J130" i="89"/>
  <c r="I130" i="89"/>
  <c r="H130" i="89"/>
  <c r="G130" i="89"/>
  <c r="F130" i="89"/>
  <c r="E130" i="89"/>
  <c r="D130" i="89"/>
  <c r="C130" i="89"/>
  <c r="O129" i="89"/>
  <c r="N129" i="89"/>
  <c r="M129" i="89"/>
  <c r="L129" i="89"/>
  <c r="K129" i="89"/>
  <c r="J129" i="89"/>
  <c r="I129" i="89"/>
  <c r="H129" i="89"/>
  <c r="G129" i="89"/>
  <c r="F129" i="89"/>
  <c r="E129" i="89"/>
  <c r="D129" i="89"/>
  <c r="C129" i="89"/>
  <c r="O128" i="89"/>
  <c r="N128" i="89"/>
  <c r="M128" i="89"/>
  <c r="L128" i="89"/>
  <c r="K128" i="89"/>
  <c r="J128" i="89"/>
  <c r="I128" i="89"/>
  <c r="H128" i="89"/>
  <c r="G128" i="89"/>
  <c r="F128" i="89"/>
  <c r="E128" i="89"/>
  <c r="D128" i="89"/>
  <c r="C128" i="89"/>
  <c r="O127" i="89"/>
  <c r="N127" i="89"/>
  <c r="M127" i="89"/>
  <c r="L127" i="89"/>
  <c r="K127" i="89"/>
  <c r="J127" i="89"/>
  <c r="I127" i="89"/>
  <c r="H127" i="89"/>
  <c r="G127" i="89"/>
  <c r="F127" i="89"/>
  <c r="E127" i="89"/>
  <c r="D127" i="89"/>
  <c r="C127" i="89"/>
  <c r="O126" i="89"/>
  <c r="N126" i="89"/>
  <c r="M126" i="89"/>
  <c r="L126" i="89"/>
  <c r="K126" i="89"/>
  <c r="J126" i="89"/>
  <c r="I126" i="89"/>
  <c r="H126" i="89"/>
  <c r="G126" i="89"/>
  <c r="F126" i="89"/>
  <c r="E126" i="89"/>
  <c r="D126" i="89"/>
  <c r="C126" i="89"/>
  <c r="O125" i="89"/>
  <c r="N125" i="89"/>
  <c r="M125" i="89"/>
  <c r="L125" i="89"/>
  <c r="K125" i="89"/>
  <c r="J125" i="89"/>
  <c r="I125" i="89"/>
  <c r="H125" i="89"/>
  <c r="G125" i="89"/>
  <c r="F125" i="89"/>
  <c r="E125" i="89"/>
  <c r="D125" i="89"/>
  <c r="C125" i="89"/>
  <c r="O124" i="89"/>
  <c r="N124" i="89"/>
  <c r="M124" i="89"/>
  <c r="L124" i="89"/>
  <c r="K124" i="89"/>
  <c r="J124" i="89"/>
  <c r="I124" i="89"/>
  <c r="H124" i="89"/>
  <c r="G124" i="89"/>
  <c r="F124" i="89"/>
  <c r="E124" i="89"/>
  <c r="D124" i="89"/>
  <c r="C124" i="89"/>
  <c r="O123" i="89"/>
  <c r="N123" i="89"/>
  <c r="M123" i="89"/>
  <c r="L123" i="89"/>
  <c r="K123" i="89"/>
  <c r="J123" i="89"/>
  <c r="I123" i="89"/>
  <c r="H123" i="89"/>
  <c r="G123" i="89"/>
  <c r="F123" i="89"/>
  <c r="E123" i="89"/>
  <c r="D123" i="89"/>
  <c r="C123" i="89"/>
  <c r="O122" i="89"/>
  <c r="N122" i="89"/>
  <c r="M122" i="89"/>
  <c r="L122" i="89"/>
  <c r="K122" i="89"/>
  <c r="J122" i="89"/>
  <c r="I122" i="89"/>
  <c r="H122" i="89"/>
  <c r="G122" i="89"/>
  <c r="F122" i="89"/>
  <c r="E122" i="89"/>
  <c r="D122" i="89"/>
  <c r="C122" i="89"/>
  <c r="O121" i="89"/>
  <c r="N121" i="89"/>
  <c r="M121" i="89"/>
  <c r="L121" i="89"/>
  <c r="K121" i="89"/>
  <c r="J121" i="89"/>
  <c r="I121" i="89"/>
  <c r="H121" i="89"/>
  <c r="G121" i="89"/>
  <c r="F121" i="89"/>
  <c r="E121" i="89"/>
  <c r="D121" i="89"/>
  <c r="C121" i="89"/>
  <c r="O120" i="89"/>
  <c r="N120" i="89"/>
  <c r="M120" i="89"/>
  <c r="L120" i="89"/>
  <c r="K120" i="89"/>
  <c r="J120" i="89"/>
  <c r="I120" i="89"/>
  <c r="H120" i="89"/>
  <c r="G120" i="89"/>
  <c r="F120" i="89"/>
  <c r="E120" i="89"/>
  <c r="D120" i="89"/>
  <c r="C120" i="89"/>
  <c r="O119" i="89"/>
  <c r="N119" i="89"/>
  <c r="M119" i="89"/>
  <c r="L119" i="89"/>
  <c r="K119" i="89"/>
  <c r="J119" i="89"/>
  <c r="I119" i="89"/>
  <c r="H119" i="89"/>
  <c r="G119" i="89"/>
  <c r="F119" i="89"/>
  <c r="E119" i="89"/>
  <c r="D119" i="89"/>
  <c r="C119" i="89"/>
  <c r="O118" i="89"/>
  <c r="N118" i="89"/>
  <c r="M118" i="89"/>
  <c r="L118" i="89"/>
  <c r="K118" i="89"/>
  <c r="J118" i="89"/>
  <c r="I118" i="89"/>
  <c r="H118" i="89"/>
  <c r="G118" i="89"/>
  <c r="F118" i="89"/>
  <c r="E118" i="89"/>
  <c r="D118" i="89"/>
  <c r="C118" i="89"/>
  <c r="O117" i="89"/>
  <c r="N117" i="89"/>
  <c r="M117" i="89"/>
  <c r="L117" i="89"/>
  <c r="K117" i="89"/>
  <c r="J117" i="89"/>
  <c r="I117" i="89"/>
  <c r="H117" i="89"/>
  <c r="G117" i="89"/>
  <c r="F117" i="89"/>
  <c r="E117" i="89"/>
  <c r="D117" i="89"/>
  <c r="C117" i="89"/>
  <c r="O116" i="89"/>
  <c r="N116" i="89"/>
  <c r="M116" i="89"/>
  <c r="L116" i="89"/>
  <c r="K116" i="89"/>
  <c r="J116" i="89"/>
  <c r="I116" i="89"/>
  <c r="H116" i="89"/>
  <c r="G116" i="89"/>
  <c r="F116" i="89"/>
  <c r="E116" i="89"/>
  <c r="D116" i="89"/>
  <c r="C116" i="89"/>
  <c r="O115" i="89"/>
  <c r="N115" i="89"/>
  <c r="M115" i="89"/>
  <c r="L115" i="89"/>
  <c r="K115" i="89"/>
  <c r="J115" i="89"/>
  <c r="I115" i="89"/>
  <c r="H115" i="89"/>
  <c r="G115" i="89"/>
  <c r="F115" i="89"/>
  <c r="E115" i="89"/>
  <c r="D115" i="89"/>
  <c r="C115" i="89"/>
  <c r="O114" i="89"/>
  <c r="N114" i="89"/>
  <c r="M114" i="89"/>
  <c r="L114" i="89"/>
  <c r="K114" i="89"/>
  <c r="J114" i="89"/>
  <c r="I114" i="89"/>
  <c r="H114" i="89"/>
  <c r="G114" i="89"/>
  <c r="F114" i="89"/>
  <c r="E114" i="89"/>
  <c r="D114" i="89"/>
  <c r="C114" i="89"/>
  <c r="O113" i="89"/>
  <c r="N113" i="89"/>
  <c r="M113" i="89"/>
  <c r="L113" i="89"/>
  <c r="K113" i="89"/>
  <c r="J113" i="89"/>
  <c r="I113" i="89"/>
  <c r="H113" i="89"/>
  <c r="G113" i="89"/>
  <c r="F113" i="89"/>
  <c r="E113" i="89"/>
  <c r="D113" i="89"/>
  <c r="C113" i="89"/>
  <c r="O112" i="89"/>
  <c r="N112" i="89"/>
  <c r="M112" i="89"/>
  <c r="L112" i="89"/>
  <c r="K112" i="89"/>
  <c r="J112" i="89"/>
  <c r="I112" i="89"/>
  <c r="H112" i="89"/>
  <c r="G112" i="89"/>
  <c r="F112" i="89"/>
  <c r="E112" i="89"/>
  <c r="D112" i="89"/>
  <c r="C112" i="89"/>
  <c r="O111" i="89"/>
  <c r="N111" i="89"/>
  <c r="M111" i="89"/>
  <c r="L111" i="89"/>
  <c r="K111" i="89"/>
  <c r="J111" i="89"/>
  <c r="I111" i="89"/>
  <c r="H111" i="89"/>
  <c r="G111" i="89"/>
  <c r="F111" i="89"/>
  <c r="E111" i="89"/>
  <c r="D111" i="89"/>
  <c r="C111" i="89"/>
  <c r="O110" i="89"/>
  <c r="N110" i="89"/>
  <c r="M110" i="89"/>
  <c r="L110" i="89"/>
  <c r="K110" i="89"/>
  <c r="J110" i="89"/>
  <c r="I110" i="89"/>
  <c r="H110" i="89"/>
  <c r="G110" i="89"/>
  <c r="F110" i="89"/>
  <c r="E110" i="89"/>
  <c r="D110" i="89"/>
  <c r="C110" i="89"/>
  <c r="O109" i="89"/>
  <c r="N109" i="89"/>
  <c r="M109" i="89"/>
  <c r="L109" i="89"/>
  <c r="K109" i="89"/>
  <c r="J109" i="89"/>
  <c r="I109" i="89"/>
  <c r="H109" i="89"/>
  <c r="G109" i="89"/>
  <c r="F109" i="89"/>
  <c r="E109" i="89"/>
  <c r="D109" i="89"/>
  <c r="C109" i="89"/>
  <c r="O108" i="89"/>
  <c r="N108" i="89"/>
  <c r="M108" i="89"/>
  <c r="L108" i="89"/>
  <c r="K108" i="89"/>
  <c r="J108" i="89"/>
  <c r="I108" i="89"/>
  <c r="H108" i="89"/>
  <c r="G108" i="89"/>
  <c r="F108" i="89"/>
  <c r="E108" i="89"/>
  <c r="D108" i="89"/>
  <c r="C108" i="89"/>
  <c r="O107" i="89"/>
  <c r="N107" i="89"/>
  <c r="M107" i="89"/>
  <c r="L107" i="89"/>
  <c r="K107" i="89"/>
  <c r="J107" i="89"/>
  <c r="I107" i="89"/>
  <c r="H107" i="89"/>
  <c r="G107" i="89"/>
  <c r="F107" i="89"/>
  <c r="E107" i="89"/>
  <c r="D107" i="89"/>
  <c r="C107" i="89"/>
  <c r="O106" i="89"/>
  <c r="N106" i="89"/>
  <c r="M106" i="89"/>
  <c r="L106" i="89"/>
  <c r="K106" i="89"/>
  <c r="J106" i="89"/>
  <c r="I106" i="89"/>
  <c r="H106" i="89"/>
  <c r="G106" i="89"/>
  <c r="F106" i="89"/>
  <c r="E106" i="89"/>
  <c r="D106" i="89"/>
  <c r="C106" i="89"/>
  <c r="O105" i="89"/>
  <c r="N105" i="89"/>
  <c r="M105" i="89"/>
  <c r="L105" i="89"/>
  <c r="K105" i="89"/>
  <c r="J105" i="89"/>
  <c r="I105" i="89"/>
  <c r="H105" i="89"/>
  <c r="G105" i="89"/>
  <c r="F105" i="89"/>
  <c r="E105" i="89"/>
  <c r="D105" i="89"/>
  <c r="C105" i="89"/>
  <c r="O104" i="89"/>
  <c r="N104" i="89"/>
  <c r="M104" i="89"/>
  <c r="L104" i="89"/>
  <c r="K104" i="89"/>
  <c r="J104" i="89"/>
  <c r="I104" i="89"/>
  <c r="H104" i="89"/>
  <c r="G104" i="89"/>
  <c r="F104" i="89"/>
  <c r="E104" i="89"/>
  <c r="D104" i="89"/>
  <c r="C104" i="89"/>
  <c r="O103" i="89"/>
  <c r="N103" i="89"/>
  <c r="M103" i="89"/>
  <c r="L103" i="89"/>
  <c r="K103" i="89"/>
  <c r="J103" i="89"/>
  <c r="I103" i="89"/>
  <c r="H103" i="89"/>
  <c r="G103" i="89"/>
  <c r="F103" i="89"/>
  <c r="E103" i="89"/>
  <c r="D103" i="89"/>
  <c r="C103" i="89"/>
  <c r="O102" i="89"/>
  <c r="N102" i="89"/>
  <c r="M102" i="89"/>
  <c r="L102" i="89"/>
  <c r="K102" i="89"/>
  <c r="J102" i="89"/>
  <c r="I102" i="89"/>
  <c r="H102" i="89"/>
  <c r="G102" i="89"/>
  <c r="F102" i="89"/>
  <c r="E102" i="89"/>
  <c r="D102" i="89"/>
  <c r="C102" i="89"/>
  <c r="O101" i="89"/>
  <c r="N101" i="89"/>
  <c r="M101" i="89"/>
  <c r="L101" i="89"/>
  <c r="K101" i="89"/>
  <c r="J101" i="89"/>
  <c r="I101" i="89"/>
  <c r="H101" i="89"/>
  <c r="G101" i="89"/>
  <c r="F101" i="89"/>
  <c r="E101" i="89"/>
  <c r="D101" i="89"/>
  <c r="C101" i="89"/>
  <c r="O100" i="89"/>
  <c r="N100" i="89"/>
  <c r="M100" i="89"/>
  <c r="L100" i="89"/>
  <c r="K100" i="89"/>
  <c r="J100" i="89"/>
  <c r="I100" i="89"/>
  <c r="H100" i="89"/>
  <c r="G100" i="89"/>
  <c r="F100" i="89"/>
  <c r="E100" i="89"/>
  <c r="D100" i="89"/>
  <c r="C100" i="89"/>
  <c r="O99" i="89"/>
  <c r="N99" i="89"/>
  <c r="M99" i="89"/>
  <c r="L99" i="89"/>
  <c r="K99" i="89"/>
  <c r="J99" i="89"/>
  <c r="I99" i="89"/>
  <c r="H99" i="89"/>
  <c r="G99" i="89"/>
  <c r="F99" i="89"/>
  <c r="E99" i="89"/>
  <c r="D99" i="89"/>
  <c r="C99" i="89"/>
  <c r="O98" i="89"/>
  <c r="N98" i="89"/>
  <c r="M98" i="89"/>
  <c r="L98" i="89"/>
  <c r="K98" i="89"/>
  <c r="J98" i="89"/>
  <c r="I98" i="89"/>
  <c r="H98" i="89"/>
  <c r="G98" i="89"/>
  <c r="F98" i="89"/>
  <c r="E98" i="89"/>
  <c r="D98" i="89"/>
  <c r="C98" i="89"/>
  <c r="O97" i="89"/>
  <c r="N97" i="89"/>
  <c r="M97" i="89"/>
  <c r="L97" i="89"/>
  <c r="K97" i="89"/>
  <c r="J97" i="89"/>
  <c r="I97" i="89"/>
  <c r="H97" i="89"/>
  <c r="G97" i="89"/>
  <c r="F97" i="89"/>
  <c r="E97" i="89"/>
  <c r="D97" i="89"/>
  <c r="C97" i="89"/>
  <c r="O96" i="89"/>
  <c r="N96" i="89"/>
  <c r="M96" i="89"/>
  <c r="L96" i="89"/>
  <c r="K96" i="89"/>
  <c r="J96" i="89"/>
  <c r="I96" i="89"/>
  <c r="H96" i="89"/>
  <c r="G96" i="89"/>
  <c r="F96" i="89"/>
  <c r="E96" i="89"/>
  <c r="D96" i="89"/>
  <c r="C96" i="89"/>
  <c r="O95" i="89"/>
  <c r="N95" i="89"/>
  <c r="M95" i="89"/>
  <c r="L95" i="89"/>
  <c r="K95" i="89"/>
  <c r="J95" i="89"/>
  <c r="I95" i="89"/>
  <c r="H95" i="89"/>
  <c r="G95" i="89"/>
  <c r="F95" i="89"/>
  <c r="E95" i="89"/>
  <c r="D95" i="89"/>
  <c r="C95" i="89"/>
  <c r="O94" i="89"/>
  <c r="N94" i="89"/>
  <c r="M94" i="89"/>
  <c r="L94" i="89"/>
  <c r="K94" i="89"/>
  <c r="J94" i="89"/>
  <c r="I94" i="89"/>
  <c r="H94" i="89"/>
  <c r="G94" i="89"/>
  <c r="F94" i="89"/>
  <c r="E94" i="89"/>
  <c r="D94" i="89"/>
  <c r="C94" i="89"/>
  <c r="O93" i="89"/>
  <c r="N93" i="89"/>
  <c r="M93" i="89"/>
  <c r="L93" i="89"/>
  <c r="K93" i="89"/>
  <c r="J93" i="89"/>
  <c r="I93" i="89"/>
  <c r="H93" i="89"/>
  <c r="G93" i="89"/>
  <c r="F93" i="89"/>
  <c r="E93" i="89"/>
  <c r="D93" i="89"/>
  <c r="C93" i="89"/>
  <c r="O92" i="89"/>
  <c r="N92" i="89"/>
  <c r="M92" i="89"/>
  <c r="L92" i="89"/>
  <c r="K92" i="89"/>
  <c r="J92" i="89"/>
  <c r="I92" i="89"/>
  <c r="H92" i="89"/>
  <c r="G92" i="89"/>
  <c r="F92" i="89"/>
  <c r="E92" i="89"/>
  <c r="D92" i="89"/>
  <c r="C92" i="89"/>
  <c r="O91" i="89"/>
  <c r="N91" i="89"/>
  <c r="M91" i="89"/>
  <c r="L91" i="89"/>
  <c r="K91" i="89"/>
  <c r="J91" i="89"/>
  <c r="I91" i="89"/>
  <c r="H91" i="89"/>
  <c r="G91" i="89"/>
  <c r="F91" i="89"/>
  <c r="E91" i="89"/>
  <c r="D91" i="89"/>
  <c r="C91" i="89"/>
  <c r="O90" i="89"/>
  <c r="N90" i="89"/>
  <c r="M90" i="89"/>
  <c r="L90" i="89"/>
  <c r="K90" i="89"/>
  <c r="J90" i="89"/>
  <c r="I90" i="89"/>
  <c r="H90" i="89"/>
  <c r="G90" i="89"/>
  <c r="F90" i="89"/>
  <c r="E90" i="89"/>
  <c r="D90" i="89"/>
  <c r="C90" i="89"/>
  <c r="O89" i="89"/>
  <c r="N89" i="89"/>
  <c r="M89" i="89"/>
  <c r="L89" i="89"/>
  <c r="K89" i="89"/>
  <c r="J89" i="89"/>
  <c r="I89" i="89"/>
  <c r="H89" i="89"/>
  <c r="G89" i="89"/>
  <c r="F89" i="89"/>
  <c r="E89" i="89"/>
  <c r="D89" i="89"/>
  <c r="C89" i="89"/>
  <c r="O88" i="89"/>
  <c r="N88" i="89"/>
  <c r="M88" i="89"/>
  <c r="L88" i="89"/>
  <c r="K88" i="89"/>
  <c r="J88" i="89"/>
  <c r="I88" i="89"/>
  <c r="H88" i="89"/>
  <c r="G88" i="89"/>
  <c r="F88" i="89"/>
  <c r="E88" i="89"/>
  <c r="D88" i="89"/>
  <c r="C88" i="89"/>
  <c r="O87" i="89"/>
  <c r="N87" i="89"/>
  <c r="M87" i="89"/>
  <c r="L87" i="89"/>
  <c r="K87" i="89"/>
  <c r="J87" i="89"/>
  <c r="I87" i="89"/>
  <c r="H87" i="89"/>
  <c r="G87" i="89"/>
  <c r="F87" i="89"/>
  <c r="E87" i="89"/>
  <c r="D87" i="89"/>
  <c r="C87" i="89"/>
  <c r="O86" i="89"/>
  <c r="N86" i="89"/>
  <c r="M86" i="89"/>
  <c r="L86" i="89"/>
  <c r="K86" i="89"/>
  <c r="J86" i="89"/>
  <c r="I86" i="89"/>
  <c r="H86" i="89"/>
  <c r="G86" i="89"/>
  <c r="F86" i="89"/>
  <c r="E86" i="89"/>
  <c r="D86" i="89"/>
  <c r="C86" i="89"/>
  <c r="O85" i="89"/>
  <c r="N85" i="89"/>
  <c r="M85" i="89"/>
  <c r="L85" i="89"/>
  <c r="K85" i="89"/>
  <c r="J85" i="89"/>
  <c r="I85" i="89"/>
  <c r="H85" i="89"/>
  <c r="G85" i="89"/>
  <c r="F85" i="89"/>
  <c r="E85" i="89"/>
  <c r="D85" i="89"/>
  <c r="C85" i="89"/>
  <c r="O84" i="89"/>
  <c r="N84" i="89"/>
  <c r="M84" i="89"/>
  <c r="L84" i="89"/>
  <c r="K84" i="89"/>
  <c r="J84" i="89"/>
  <c r="I84" i="89"/>
  <c r="H84" i="89"/>
  <c r="G84" i="89"/>
  <c r="F84" i="89"/>
  <c r="E84" i="89"/>
  <c r="D84" i="89"/>
  <c r="C84" i="89"/>
  <c r="O83" i="89"/>
  <c r="N83" i="89"/>
  <c r="M83" i="89"/>
  <c r="L83" i="89"/>
  <c r="K83" i="89"/>
  <c r="J83" i="89"/>
  <c r="I83" i="89"/>
  <c r="H83" i="89"/>
  <c r="G83" i="89"/>
  <c r="F83" i="89"/>
  <c r="E83" i="89"/>
  <c r="D83" i="89"/>
  <c r="C83" i="89"/>
  <c r="O82" i="89"/>
  <c r="N82" i="89"/>
  <c r="M82" i="89"/>
  <c r="L82" i="89"/>
  <c r="K82" i="89"/>
  <c r="J82" i="89"/>
  <c r="I82" i="89"/>
  <c r="H82" i="89"/>
  <c r="G82" i="89"/>
  <c r="F82" i="89"/>
  <c r="E82" i="89"/>
  <c r="D82" i="89"/>
  <c r="C82" i="89"/>
  <c r="O81" i="89"/>
  <c r="N81" i="89"/>
  <c r="M81" i="89"/>
  <c r="L81" i="89"/>
  <c r="K81" i="89"/>
  <c r="J81" i="89"/>
  <c r="I81" i="89"/>
  <c r="H81" i="89"/>
  <c r="G81" i="89"/>
  <c r="F81" i="89"/>
  <c r="E81" i="89"/>
  <c r="D81" i="89"/>
  <c r="C81" i="89"/>
  <c r="O80" i="89"/>
  <c r="N80" i="89"/>
  <c r="M80" i="89"/>
  <c r="L80" i="89"/>
  <c r="K80" i="89"/>
  <c r="J80" i="89"/>
  <c r="I80" i="89"/>
  <c r="H80" i="89"/>
  <c r="G80" i="89"/>
  <c r="F80" i="89"/>
  <c r="E80" i="89"/>
  <c r="D80" i="89"/>
  <c r="C80" i="89"/>
  <c r="O79" i="89"/>
  <c r="N79" i="89"/>
  <c r="M79" i="89"/>
  <c r="L79" i="89"/>
  <c r="K79" i="89"/>
  <c r="J79" i="89"/>
  <c r="I79" i="89"/>
  <c r="H79" i="89"/>
  <c r="G79" i="89"/>
  <c r="F79" i="89"/>
  <c r="E79" i="89"/>
  <c r="D79" i="89"/>
  <c r="C79" i="89"/>
  <c r="O78" i="89"/>
  <c r="N78" i="89"/>
  <c r="M78" i="89"/>
  <c r="L78" i="89"/>
  <c r="K78" i="89"/>
  <c r="J78" i="89"/>
  <c r="I78" i="89"/>
  <c r="H78" i="89"/>
  <c r="G78" i="89"/>
  <c r="F78" i="89"/>
  <c r="E78" i="89"/>
  <c r="D78" i="89"/>
  <c r="C78" i="89"/>
  <c r="O77" i="89"/>
  <c r="N77" i="89"/>
  <c r="M77" i="89"/>
  <c r="L77" i="89"/>
  <c r="K77" i="89"/>
  <c r="J77" i="89"/>
  <c r="I77" i="89"/>
  <c r="H77" i="89"/>
  <c r="G77" i="89"/>
  <c r="F77" i="89"/>
  <c r="E77" i="89"/>
  <c r="D77" i="89"/>
  <c r="C77" i="89"/>
  <c r="O76" i="89"/>
  <c r="N76" i="89"/>
  <c r="M76" i="89"/>
  <c r="L76" i="89"/>
  <c r="K76" i="89"/>
  <c r="J76" i="89"/>
  <c r="I76" i="89"/>
  <c r="H76" i="89"/>
  <c r="G76" i="89"/>
  <c r="F76" i="89"/>
  <c r="E76" i="89"/>
  <c r="D76" i="89"/>
  <c r="C76" i="89"/>
  <c r="O75" i="89"/>
  <c r="N75" i="89"/>
  <c r="M75" i="89"/>
  <c r="L75" i="89"/>
  <c r="K75" i="89"/>
  <c r="J75" i="89"/>
  <c r="I75" i="89"/>
  <c r="H75" i="89"/>
  <c r="G75" i="89"/>
  <c r="F75" i="89"/>
  <c r="E75" i="89"/>
  <c r="D75" i="89"/>
  <c r="C75" i="89"/>
  <c r="O74" i="89"/>
  <c r="N74" i="89"/>
  <c r="M74" i="89"/>
  <c r="L74" i="89"/>
  <c r="K74" i="89"/>
  <c r="J74" i="89"/>
  <c r="I74" i="89"/>
  <c r="H74" i="89"/>
  <c r="G74" i="89"/>
  <c r="F74" i="89"/>
  <c r="E74" i="89"/>
  <c r="D74" i="89"/>
  <c r="C74" i="89"/>
  <c r="O73" i="89"/>
  <c r="N73" i="89"/>
  <c r="M73" i="89"/>
  <c r="L73" i="89"/>
  <c r="K73" i="89"/>
  <c r="J73" i="89"/>
  <c r="I73" i="89"/>
  <c r="H73" i="89"/>
  <c r="G73" i="89"/>
  <c r="F73" i="89"/>
  <c r="E73" i="89"/>
  <c r="D73" i="89"/>
  <c r="C73" i="89"/>
  <c r="O72" i="89"/>
  <c r="N72" i="89"/>
  <c r="M72" i="89"/>
  <c r="L72" i="89"/>
  <c r="K72" i="89"/>
  <c r="J72" i="89"/>
  <c r="I72" i="89"/>
  <c r="H72" i="89"/>
  <c r="G72" i="89"/>
  <c r="F72" i="89"/>
  <c r="E72" i="89"/>
  <c r="D72" i="89"/>
  <c r="C72" i="89"/>
  <c r="O71" i="89"/>
  <c r="N71" i="89"/>
  <c r="M71" i="89"/>
  <c r="L71" i="89"/>
  <c r="K71" i="89"/>
  <c r="J71" i="89"/>
  <c r="I71" i="89"/>
  <c r="H71" i="89"/>
  <c r="G71" i="89"/>
  <c r="F71" i="89"/>
  <c r="E71" i="89"/>
  <c r="D71" i="89"/>
  <c r="C71" i="89"/>
  <c r="O70" i="89"/>
  <c r="N70" i="89"/>
  <c r="M70" i="89"/>
  <c r="L70" i="89"/>
  <c r="K70" i="89"/>
  <c r="J70" i="89"/>
  <c r="I70" i="89"/>
  <c r="H70" i="89"/>
  <c r="G70" i="89"/>
  <c r="F70" i="89"/>
  <c r="E70" i="89"/>
  <c r="D70" i="89"/>
  <c r="C70" i="89"/>
  <c r="O69" i="89"/>
  <c r="N69" i="89"/>
  <c r="M69" i="89"/>
  <c r="L69" i="89"/>
  <c r="K69" i="89"/>
  <c r="J69" i="89"/>
  <c r="I69" i="89"/>
  <c r="H69" i="89"/>
  <c r="G69" i="89"/>
  <c r="F69" i="89"/>
  <c r="E69" i="89"/>
  <c r="D69" i="89"/>
  <c r="C69" i="89"/>
  <c r="O68" i="89"/>
  <c r="N68" i="89"/>
  <c r="M68" i="89"/>
  <c r="L68" i="89"/>
  <c r="K68" i="89"/>
  <c r="J68" i="89"/>
  <c r="I68" i="89"/>
  <c r="H68" i="89"/>
  <c r="G68" i="89"/>
  <c r="F68" i="89"/>
  <c r="E68" i="89"/>
  <c r="D68" i="89"/>
  <c r="C68" i="89"/>
  <c r="O67" i="89"/>
  <c r="N67" i="89"/>
  <c r="M67" i="89"/>
  <c r="L67" i="89"/>
  <c r="K67" i="89"/>
  <c r="J67" i="89"/>
  <c r="I67" i="89"/>
  <c r="H67" i="89"/>
  <c r="G67" i="89"/>
  <c r="F67" i="89"/>
  <c r="E67" i="89"/>
  <c r="D67" i="89"/>
  <c r="C67" i="89"/>
  <c r="O66" i="89"/>
  <c r="N66" i="89"/>
  <c r="M66" i="89"/>
  <c r="L66" i="89"/>
  <c r="K66" i="89"/>
  <c r="J66" i="89"/>
  <c r="I66" i="89"/>
  <c r="H66" i="89"/>
  <c r="G66" i="89"/>
  <c r="F66" i="89"/>
  <c r="E66" i="89"/>
  <c r="D66" i="89"/>
  <c r="C66" i="89"/>
  <c r="O65" i="89"/>
  <c r="N65" i="89"/>
  <c r="M65" i="89"/>
  <c r="L65" i="89"/>
  <c r="K65" i="89"/>
  <c r="J65" i="89"/>
  <c r="I65" i="89"/>
  <c r="H65" i="89"/>
  <c r="G65" i="89"/>
  <c r="F65" i="89"/>
  <c r="E65" i="89"/>
  <c r="D65" i="89"/>
  <c r="C65" i="89"/>
  <c r="O64" i="89"/>
  <c r="N64" i="89"/>
  <c r="M64" i="89"/>
  <c r="L64" i="89"/>
  <c r="K64" i="89"/>
  <c r="J64" i="89"/>
  <c r="I64" i="89"/>
  <c r="H64" i="89"/>
  <c r="G64" i="89"/>
  <c r="F64" i="89"/>
  <c r="E64" i="89"/>
  <c r="D64" i="89"/>
  <c r="C64" i="89"/>
  <c r="O63" i="89"/>
  <c r="N63" i="89"/>
  <c r="M63" i="89"/>
  <c r="L63" i="89"/>
  <c r="K63" i="89"/>
  <c r="J63" i="89"/>
  <c r="I63" i="89"/>
  <c r="H63" i="89"/>
  <c r="G63" i="89"/>
  <c r="F63" i="89"/>
  <c r="E63" i="89"/>
  <c r="D63" i="89"/>
  <c r="C63" i="89"/>
  <c r="O62" i="89"/>
  <c r="N62" i="89"/>
  <c r="M62" i="89"/>
  <c r="L62" i="89"/>
  <c r="K62" i="89"/>
  <c r="J62" i="89"/>
  <c r="I62" i="89"/>
  <c r="H62" i="89"/>
  <c r="G62" i="89"/>
  <c r="F62" i="89"/>
  <c r="E62" i="89"/>
  <c r="D62" i="89"/>
  <c r="C62" i="89"/>
  <c r="O61" i="89"/>
  <c r="N61" i="89"/>
  <c r="M61" i="89"/>
  <c r="L61" i="89"/>
  <c r="K61" i="89"/>
  <c r="J61" i="89"/>
  <c r="I61" i="89"/>
  <c r="H61" i="89"/>
  <c r="G61" i="89"/>
  <c r="F61" i="89"/>
  <c r="E61" i="89"/>
  <c r="D61" i="89"/>
  <c r="C61" i="89"/>
  <c r="O60" i="89"/>
  <c r="N60" i="89"/>
  <c r="M60" i="89"/>
  <c r="L60" i="89"/>
  <c r="K60" i="89"/>
  <c r="J60" i="89"/>
  <c r="I60" i="89"/>
  <c r="H60" i="89"/>
  <c r="G60" i="89"/>
  <c r="F60" i="89"/>
  <c r="E60" i="89"/>
  <c r="D60" i="89"/>
  <c r="C60" i="89"/>
  <c r="O59" i="89"/>
  <c r="N59" i="89"/>
  <c r="M59" i="89"/>
  <c r="L59" i="89"/>
  <c r="K59" i="89"/>
  <c r="J59" i="89"/>
  <c r="I59" i="89"/>
  <c r="H59" i="89"/>
  <c r="G59" i="89"/>
  <c r="F59" i="89"/>
  <c r="E59" i="89"/>
  <c r="D59" i="89"/>
  <c r="C59" i="89"/>
  <c r="O58" i="89"/>
  <c r="N58" i="89"/>
  <c r="M58" i="89"/>
  <c r="L58" i="89"/>
  <c r="K58" i="89"/>
  <c r="J58" i="89"/>
  <c r="I58" i="89"/>
  <c r="H58" i="89"/>
  <c r="G58" i="89"/>
  <c r="F58" i="89"/>
  <c r="E58" i="89"/>
  <c r="D58" i="89"/>
  <c r="C58" i="89"/>
  <c r="O57" i="89"/>
  <c r="N57" i="89"/>
  <c r="M57" i="89"/>
  <c r="L57" i="89"/>
  <c r="K57" i="89"/>
  <c r="J57" i="89"/>
  <c r="I57" i="89"/>
  <c r="H57" i="89"/>
  <c r="G57" i="89"/>
  <c r="F57" i="89"/>
  <c r="E57" i="89"/>
  <c r="D57" i="89"/>
  <c r="C57" i="89"/>
  <c r="O56" i="89"/>
  <c r="N56" i="89"/>
  <c r="M56" i="89"/>
  <c r="L56" i="89"/>
  <c r="K56" i="89"/>
  <c r="J56" i="89"/>
  <c r="I56" i="89"/>
  <c r="H56" i="89"/>
  <c r="G56" i="89"/>
  <c r="F56" i="89"/>
  <c r="E56" i="89"/>
  <c r="D56" i="89"/>
  <c r="C56" i="89"/>
  <c r="O55" i="89"/>
  <c r="N55" i="89"/>
  <c r="M55" i="89"/>
  <c r="L55" i="89"/>
  <c r="K55" i="89"/>
  <c r="J55" i="89"/>
  <c r="I55" i="89"/>
  <c r="H55" i="89"/>
  <c r="G55" i="89"/>
  <c r="F55" i="89"/>
  <c r="E55" i="89"/>
  <c r="D55" i="89"/>
  <c r="C55" i="89"/>
  <c r="O54" i="89"/>
  <c r="N54" i="89"/>
  <c r="M54" i="89"/>
  <c r="L54" i="89"/>
  <c r="K54" i="89"/>
  <c r="J54" i="89"/>
  <c r="I54" i="89"/>
  <c r="H54" i="89"/>
  <c r="G54" i="89"/>
  <c r="F54" i="89"/>
  <c r="E54" i="89"/>
  <c r="D54" i="89"/>
  <c r="C54" i="89"/>
  <c r="O53" i="89"/>
  <c r="N53" i="89"/>
  <c r="M53" i="89"/>
  <c r="L53" i="89"/>
  <c r="K53" i="89"/>
  <c r="J53" i="89"/>
  <c r="I53" i="89"/>
  <c r="H53" i="89"/>
  <c r="G53" i="89"/>
  <c r="F53" i="89"/>
  <c r="E53" i="89"/>
  <c r="D53" i="89"/>
  <c r="C53" i="89"/>
  <c r="O52" i="89"/>
  <c r="N52" i="89"/>
  <c r="M52" i="89"/>
  <c r="L52" i="89"/>
  <c r="K52" i="89"/>
  <c r="J52" i="89"/>
  <c r="I52" i="89"/>
  <c r="H52" i="89"/>
  <c r="G52" i="89"/>
  <c r="F52" i="89"/>
  <c r="E52" i="89"/>
  <c r="D52" i="89"/>
  <c r="C52" i="89"/>
  <c r="O51" i="89"/>
  <c r="N51" i="89"/>
  <c r="M51" i="89"/>
  <c r="L51" i="89"/>
  <c r="K51" i="89"/>
  <c r="J51" i="89"/>
  <c r="I51" i="89"/>
  <c r="H51" i="89"/>
  <c r="G51" i="89"/>
  <c r="F51" i="89"/>
  <c r="E51" i="89"/>
  <c r="D51" i="89"/>
  <c r="C51" i="89"/>
  <c r="O50" i="89"/>
  <c r="N50" i="89"/>
  <c r="M50" i="89"/>
  <c r="L50" i="89"/>
  <c r="K50" i="89"/>
  <c r="J50" i="89"/>
  <c r="I50" i="89"/>
  <c r="H50" i="89"/>
  <c r="G50" i="89"/>
  <c r="F50" i="89"/>
  <c r="E50" i="89"/>
  <c r="D50" i="89"/>
  <c r="C50" i="89"/>
  <c r="O49" i="89"/>
  <c r="N49" i="89"/>
  <c r="M49" i="89"/>
  <c r="L49" i="89"/>
  <c r="K49" i="89"/>
  <c r="J49" i="89"/>
  <c r="I49" i="89"/>
  <c r="H49" i="89"/>
  <c r="G49" i="89"/>
  <c r="F49" i="89"/>
  <c r="E49" i="89"/>
  <c r="D49" i="89"/>
  <c r="C49" i="89"/>
  <c r="O48" i="89"/>
  <c r="N48" i="89"/>
  <c r="M48" i="89"/>
  <c r="L48" i="89"/>
  <c r="K48" i="89"/>
  <c r="J48" i="89"/>
  <c r="I48" i="89"/>
  <c r="H48" i="89"/>
  <c r="G48" i="89"/>
  <c r="F48" i="89"/>
  <c r="E48" i="89"/>
  <c r="D48" i="89"/>
  <c r="C48" i="89"/>
  <c r="O47" i="89"/>
  <c r="N47" i="89"/>
  <c r="M47" i="89"/>
  <c r="L47" i="89"/>
  <c r="K47" i="89"/>
  <c r="J47" i="89"/>
  <c r="I47" i="89"/>
  <c r="H47" i="89"/>
  <c r="G47" i="89"/>
  <c r="F47" i="89"/>
  <c r="E47" i="89"/>
  <c r="D47" i="89"/>
  <c r="C47" i="89"/>
  <c r="O46" i="89"/>
  <c r="N46" i="89"/>
  <c r="M46" i="89"/>
  <c r="L46" i="89"/>
  <c r="K46" i="89"/>
  <c r="J46" i="89"/>
  <c r="I46" i="89"/>
  <c r="H46" i="89"/>
  <c r="G46" i="89"/>
  <c r="F46" i="89"/>
  <c r="E46" i="89"/>
  <c r="D46" i="89"/>
  <c r="C46" i="89"/>
  <c r="O45" i="89"/>
  <c r="N45" i="89"/>
  <c r="M45" i="89"/>
  <c r="L45" i="89"/>
  <c r="K45" i="89"/>
  <c r="J45" i="89"/>
  <c r="I45" i="89"/>
  <c r="H45" i="89"/>
  <c r="G45" i="89"/>
  <c r="F45" i="89"/>
  <c r="E45" i="89"/>
  <c r="D45" i="89"/>
  <c r="C45" i="89"/>
  <c r="O44" i="89"/>
  <c r="N44" i="89"/>
  <c r="M44" i="89"/>
  <c r="L44" i="89"/>
  <c r="K44" i="89"/>
  <c r="J44" i="89"/>
  <c r="I44" i="89"/>
  <c r="H44" i="89"/>
  <c r="G44" i="89"/>
  <c r="F44" i="89"/>
  <c r="E44" i="89"/>
  <c r="D44" i="89"/>
  <c r="C44" i="89"/>
  <c r="O43" i="89"/>
  <c r="N43" i="89"/>
  <c r="M43" i="89"/>
  <c r="L43" i="89"/>
  <c r="K43" i="89"/>
  <c r="J43" i="89"/>
  <c r="I43" i="89"/>
  <c r="H43" i="89"/>
  <c r="G43" i="89"/>
  <c r="F43" i="89"/>
  <c r="E43" i="89"/>
  <c r="D43" i="89"/>
  <c r="C43" i="89"/>
  <c r="O42" i="89"/>
  <c r="N42" i="89"/>
  <c r="M42" i="89"/>
  <c r="L42" i="89"/>
  <c r="K42" i="89"/>
  <c r="J42" i="89"/>
  <c r="I42" i="89"/>
  <c r="H42" i="89"/>
  <c r="G42" i="89"/>
  <c r="F42" i="89"/>
  <c r="E42" i="89"/>
  <c r="D42" i="89"/>
  <c r="C42" i="89"/>
  <c r="O41" i="89"/>
  <c r="N41" i="89"/>
  <c r="M41" i="89"/>
  <c r="L41" i="89"/>
  <c r="K41" i="89"/>
  <c r="J41" i="89"/>
  <c r="I41" i="89"/>
  <c r="H41" i="89"/>
  <c r="G41" i="89"/>
  <c r="F41" i="89"/>
  <c r="E41" i="89"/>
  <c r="D41" i="89"/>
  <c r="C41" i="89"/>
  <c r="O40" i="89"/>
  <c r="N40" i="89"/>
  <c r="M40" i="89"/>
  <c r="L40" i="89"/>
  <c r="K40" i="89"/>
  <c r="J40" i="89"/>
  <c r="I40" i="89"/>
  <c r="H40" i="89"/>
  <c r="G40" i="89"/>
  <c r="F40" i="89"/>
  <c r="E40" i="89"/>
  <c r="D40" i="89"/>
  <c r="C40" i="89"/>
  <c r="O39" i="89"/>
  <c r="N39" i="89"/>
  <c r="M39" i="89"/>
  <c r="L39" i="89"/>
  <c r="K39" i="89"/>
  <c r="J39" i="89"/>
  <c r="I39" i="89"/>
  <c r="H39" i="89"/>
  <c r="G39" i="89"/>
  <c r="F39" i="89"/>
  <c r="E39" i="89"/>
  <c r="D39" i="89"/>
  <c r="C39" i="89"/>
  <c r="O38" i="89"/>
  <c r="N38" i="89"/>
  <c r="M38" i="89"/>
  <c r="L38" i="89"/>
  <c r="K38" i="89"/>
  <c r="J38" i="89"/>
  <c r="I38" i="89"/>
  <c r="H38" i="89"/>
  <c r="G38" i="89"/>
  <c r="F38" i="89"/>
  <c r="E38" i="89"/>
  <c r="D38" i="89"/>
  <c r="C38" i="89"/>
  <c r="O37" i="89"/>
  <c r="N37" i="89"/>
  <c r="M37" i="89"/>
  <c r="L37" i="89"/>
  <c r="K37" i="89"/>
  <c r="J37" i="89"/>
  <c r="I37" i="89"/>
  <c r="H37" i="89"/>
  <c r="G37" i="89"/>
  <c r="F37" i="89"/>
  <c r="E37" i="89"/>
  <c r="D37" i="89"/>
  <c r="C37" i="89"/>
  <c r="O36" i="89"/>
  <c r="N36" i="89"/>
  <c r="M36" i="89"/>
  <c r="L36" i="89"/>
  <c r="K36" i="89"/>
  <c r="J36" i="89"/>
  <c r="I36" i="89"/>
  <c r="H36" i="89"/>
  <c r="G36" i="89"/>
  <c r="F36" i="89"/>
  <c r="E36" i="89"/>
  <c r="D36" i="89"/>
  <c r="C36" i="89"/>
  <c r="O35" i="89"/>
  <c r="N35" i="89"/>
  <c r="M35" i="89"/>
  <c r="L35" i="89"/>
  <c r="K35" i="89"/>
  <c r="J35" i="89"/>
  <c r="I35" i="89"/>
  <c r="H35" i="89"/>
  <c r="G35" i="89"/>
  <c r="F35" i="89"/>
  <c r="E35" i="89"/>
  <c r="D35" i="89"/>
  <c r="C35" i="89"/>
  <c r="O34" i="89"/>
  <c r="N34" i="89"/>
  <c r="M34" i="89"/>
  <c r="L34" i="89"/>
  <c r="K34" i="89"/>
  <c r="J34" i="89"/>
  <c r="I34" i="89"/>
  <c r="H34" i="89"/>
  <c r="G34" i="89"/>
  <c r="F34" i="89"/>
  <c r="E34" i="89"/>
  <c r="D34" i="89"/>
  <c r="C34" i="89"/>
  <c r="O33" i="89"/>
  <c r="N33" i="89"/>
  <c r="M33" i="89"/>
  <c r="L33" i="89"/>
  <c r="K33" i="89"/>
  <c r="J33" i="89"/>
  <c r="I33" i="89"/>
  <c r="H33" i="89"/>
  <c r="G33" i="89"/>
  <c r="F33" i="89"/>
  <c r="E33" i="89"/>
  <c r="D33" i="89"/>
  <c r="C33" i="89"/>
  <c r="O32" i="89"/>
  <c r="N32" i="89"/>
  <c r="M32" i="89"/>
  <c r="L32" i="89"/>
  <c r="K32" i="89"/>
  <c r="J32" i="89"/>
  <c r="I32" i="89"/>
  <c r="H32" i="89"/>
  <c r="G32" i="89"/>
  <c r="F32" i="89"/>
  <c r="E32" i="89"/>
  <c r="D32" i="89"/>
  <c r="C32" i="89"/>
  <c r="O31" i="89"/>
  <c r="N31" i="89"/>
  <c r="M31" i="89"/>
  <c r="L31" i="89"/>
  <c r="K31" i="89"/>
  <c r="J31" i="89"/>
  <c r="I31" i="89"/>
  <c r="H31" i="89"/>
  <c r="G31" i="89"/>
  <c r="F31" i="89"/>
  <c r="E31" i="89"/>
  <c r="D31" i="89"/>
  <c r="C31" i="89"/>
  <c r="O30" i="89"/>
  <c r="N30" i="89"/>
  <c r="M30" i="89"/>
  <c r="L30" i="89"/>
  <c r="K30" i="89"/>
  <c r="J30" i="89"/>
  <c r="I30" i="89"/>
  <c r="H30" i="89"/>
  <c r="G30" i="89"/>
  <c r="F30" i="89"/>
  <c r="E30" i="89"/>
  <c r="D30" i="89"/>
  <c r="C30" i="89"/>
  <c r="O29" i="89"/>
  <c r="N29" i="89"/>
  <c r="M29" i="89"/>
  <c r="L29" i="89"/>
  <c r="K29" i="89"/>
  <c r="J29" i="89"/>
  <c r="I29" i="89"/>
  <c r="H29" i="89"/>
  <c r="G29" i="89"/>
  <c r="F29" i="89"/>
  <c r="E29" i="89"/>
  <c r="D29" i="89"/>
  <c r="C29" i="89"/>
  <c r="O28" i="89"/>
  <c r="N28" i="89"/>
  <c r="M28" i="89"/>
  <c r="L28" i="89"/>
  <c r="K28" i="89"/>
  <c r="J28" i="89"/>
  <c r="I28" i="89"/>
  <c r="H28" i="89"/>
  <c r="G28" i="89"/>
  <c r="F28" i="89"/>
  <c r="E28" i="89"/>
  <c r="D28" i="89"/>
  <c r="C28" i="89"/>
  <c r="O27" i="89"/>
  <c r="N27" i="89"/>
  <c r="M27" i="89"/>
  <c r="L27" i="89"/>
  <c r="K27" i="89"/>
  <c r="J27" i="89"/>
  <c r="I27" i="89"/>
  <c r="H27" i="89"/>
  <c r="G27" i="89"/>
  <c r="F27" i="89"/>
  <c r="O26" i="89"/>
  <c r="N26" i="89"/>
  <c r="M26" i="89"/>
  <c r="L26" i="89"/>
  <c r="K26" i="89"/>
  <c r="J26" i="89"/>
  <c r="I26" i="89"/>
  <c r="H26" i="89"/>
  <c r="G26" i="89"/>
  <c r="F26" i="89"/>
  <c r="E26" i="89"/>
  <c r="D26" i="89"/>
  <c r="C26" i="89"/>
  <c r="O25" i="89"/>
  <c r="N25" i="89"/>
  <c r="M25" i="89"/>
  <c r="L25" i="89"/>
  <c r="K25" i="89"/>
  <c r="J25" i="89"/>
  <c r="I25" i="89"/>
  <c r="H25" i="89"/>
  <c r="G25" i="89"/>
  <c r="F25" i="89"/>
  <c r="O24" i="89"/>
  <c r="N24" i="89"/>
  <c r="M24" i="89"/>
  <c r="L24" i="89"/>
  <c r="K24" i="89"/>
  <c r="J24" i="89"/>
  <c r="I24" i="89"/>
  <c r="H24" i="89"/>
  <c r="G24" i="89"/>
  <c r="F24" i="89"/>
  <c r="E24" i="89"/>
  <c r="D24" i="89"/>
  <c r="C24" i="89"/>
  <c r="O23" i="89"/>
  <c r="N23" i="89"/>
  <c r="M23" i="89"/>
  <c r="L23" i="89"/>
  <c r="K23" i="89"/>
  <c r="J23" i="89"/>
  <c r="I23" i="89"/>
  <c r="H23" i="89"/>
  <c r="G23" i="89"/>
  <c r="F23" i="89"/>
  <c r="E23" i="89"/>
  <c r="D23" i="89"/>
  <c r="C23" i="89"/>
  <c r="O22" i="89"/>
  <c r="N22" i="89"/>
  <c r="M22" i="89"/>
  <c r="L22" i="89"/>
  <c r="K22" i="89"/>
  <c r="J22" i="89"/>
  <c r="I22" i="89"/>
  <c r="H22" i="89"/>
  <c r="G22" i="89"/>
  <c r="F22" i="89"/>
  <c r="O21" i="89"/>
  <c r="N21" i="89"/>
  <c r="M21" i="89"/>
  <c r="L21" i="89"/>
  <c r="K21" i="89"/>
  <c r="J21" i="89"/>
  <c r="I21" i="89"/>
  <c r="H21" i="89"/>
  <c r="G21" i="89"/>
  <c r="F21" i="89"/>
  <c r="O20" i="89"/>
  <c r="N20" i="89"/>
  <c r="M20" i="89"/>
  <c r="L20" i="89"/>
  <c r="K20" i="89"/>
  <c r="J20" i="89"/>
  <c r="I20" i="89"/>
  <c r="H20" i="89"/>
  <c r="G20" i="89"/>
  <c r="F20" i="89"/>
  <c r="E20" i="89"/>
  <c r="D20" i="89"/>
  <c r="C20" i="89"/>
  <c r="O19" i="89"/>
  <c r="N19" i="89"/>
  <c r="M19" i="89"/>
  <c r="L19" i="89"/>
  <c r="K19" i="89"/>
  <c r="J19" i="89"/>
  <c r="I19" i="89"/>
  <c r="H19" i="89"/>
  <c r="G19" i="89"/>
  <c r="F19" i="89"/>
  <c r="E19" i="89"/>
  <c r="D19" i="89"/>
  <c r="C19" i="89"/>
  <c r="O18" i="89"/>
  <c r="N18" i="89"/>
  <c r="M18" i="89"/>
  <c r="L18" i="89"/>
  <c r="K18" i="89"/>
  <c r="J18" i="89"/>
  <c r="I18" i="89"/>
  <c r="H18" i="89"/>
  <c r="G18" i="89"/>
  <c r="F18" i="89"/>
  <c r="E18" i="89"/>
  <c r="D18" i="89"/>
  <c r="C18" i="89"/>
  <c r="O17" i="89"/>
  <c r="N17" i="89"/>
  <c r="M17" i="89"/>
  <c r="L17" i="89"/>
  <c r="K17" i="89"/>
  <c r="J17" i="89"/>
  <c r="I17" i="89"/>
  <c r="H17" i="89"/>
  <c r="G17" i="89"/>
  <c r="F17" i="89"/>
  <c r="E17" i="89"/>
  <c r="D17" i="89"/>
  <c r="C17" i="89"/>
  <c r="O16" i="89"/>
  <c r="N16" i="89"/>
  <c r="M16" i="89"/>
  <c r="L16" i="89"/>
  <c r="K16" i="89"/>
  <c r="J16" i="89"/>
  <c r="I16" i="89"/>
  <c r="H16" i="89"/>
  <c r="G16" i="89"/>
  <c r="F16" i="89"/>
  <c r="O15" i="89"/>
  <c r="N15" i="89"/>
  <c r="M15" i="89"/>
  <c r="L15" i="89"/>
  <c r="K15" i="89"/>
  <c r="J15" i="89"/>
  <c r="I15" i="89"/>
  <c r="H15" i="89"/>
  <c r="G15" i="89"/>
  <c r="F15" i="89"/>
  <c r="O14" i="89"/>
  <c r="N14" i="89"/>
  <c r="M14" i="89"/>
  <c r="L14" i="89"/>
  <c r="K14" i="89"/>
  <c r="J14" i="89"/>
  <c r="I14" i="89"/>
  <c r="H14" i="89"/>
  <c r="G14" i="89"/>
  <c r="F14" i="89"/>
  <c r="E14" i="89"/>
  <c r="D14" i="89"/>
  <c r="C14" i="89"/>
  <c r="O13" i="89"/>
  <c r="N13" i="89"/>
  <c r="M13" i="89"/>
  <c r="L13" i="89"/>
  <c r="K13" i="89"/>
  <c r="J13" i="89"/>
  <c r="I13" i="89"/>
  <c r="H13" i="89"/>
  <c r="G13" i="89"/>
  <c r="F13" i="89"/>
  <c r="E13" i="89"/>
  <c r="D13" i="89"/>
  <c r="C13" i="89"/>
  <c r="O12" i="89"/>
  <c r="N12" i="89"/>
  <c r="M12" i="89"/>
  <c r="L12" i="89"/>
  <c r="K12" i="89"/>
  <c r="J12" i="89"/>
  <c r="I12" i="89"/>
  <c r="H12" i="89"/>
  <c r="G12" i="89"/>
  <c r="F12" i="89"/>
  <c r="E12" i="89"/>
  <c r="D12" i="89"/>
  <c r="C12" i="89"/>
  <c r="O11" i="89"/>
  <c r="N11" i="89"/>
  <c r="M11" i="89"/>
  <c r="L11" i="89"/>
  <c r="K11" i="89"/>
  <c r="J11" i="89"/>
  <c r="I11" i="89"/>
  <c r="H11" i="89"/>
  <c r="G11" i="89"/>
  <c r="F11" i="89"/>
  <c r="E11" i="89"/>
  <c r="D11" i="89"/>
  <c r="C11" i="89"/>
  <c r="O10" i="89"/>
  <c r="N10" i="89"/>
  <c r="M10" i="89"/>
  <c r="L10" i="89"/>
  <c r="K10" i="89"/>
  <c r="J10" i="89"/>
  <c r="I10" i="89"/>
  <c r="H10" i="89"/>
  <c r="G10" i="89"/>
  <c r="F10" i="89"/>
  <c r="E10" i="89"/>
  <c r="D10" i="89"/>
  <c r="C10" i="89"/>
  <c r="O9" i="89"/>
  <c r="N9" i="89"/>
  <c r="M9" i="89"/>
  <c r="L9" i="89"/>
  <c r="K9" i="89"/>
  <c r="J9" i="89"/>
  <c r="I9" i="89"/>
  <c r="H9" i="89"/>
  <c r="G9" i="89"/>
  <c r="F9" i="89"/>
  <c r="O8" i="89"/>
  <c r="N8" i="89"/>
  <c r="M8" i="89"/>
  <c r="L8" i="89"/>
  <c r="K8" i="89"/>
  <c r="J8" i="89"/>
  <c r="I8" i="89"/>
  <c r="H8" i="89"/>
  <c r="G8" i="89"/>
  <c r="F8" i="89"/>
  <c r="E8" i="89"/>
  <c r="D8" i="89"/>
  <c r="C8" i="89"/>
  <c r="O7" i="89"/>
  <c r="N7" i="89"/>
  <c r="M7" i="89"/>
  <c r="L7" i="89"/>
  <c r="K7" i="89"/>
  <c r="J7" i="89"/>
  <c r="I7" i="89"/>
  <c r="H7" i="89"/>
  <c r="G7" i="89"/>
  <c r="F7" i="89"/>
  <c r="E7" i="89"/>
  <c r="D7" i="89"/>
  <c r="C7" i="89"/>
  <c r="O6" i="89"/>
  <c r="N6" i="89"/>
  <c r="M6" i="89"/>
  <c r="L6" i="89"/>
  <c r="K6" i="89"/>
  <c r="J6" i="89"/>
  <c r="I6" i="89"/>
  <c r="H6" i="89"/>
  <c r="G6" i="89"/>
  <c r="F6" i="89"/>
  <c r="E6" i="89"/>
  <c r="D6" i="89"/>
  <c r="C6" i="89"/>
  <c r="O3" i="88"/>
  <c r="O4" i="88"/>
  <c r="O5" i="88"/>
  <c r="O33" i="88"/>
  <c r="N3" i="88"/>
  <c r="N4" i="88"/>
  <c r="N5" i="88"/>
  <c r="N33" i="88"/>
  <c r="M3" i="88"/>
  <c r="M4" i="88"/>
  <c r="M5" i="88"/>
  <c r="M33" i="88"/>
  <c r="L3" i="88"/>
  <c r="L4" i="88"/>
  <c r="L5" i="88"/>
  <c r="L33" i="88"/>
  <c r="K3" i="88"/>
  <c r="K4" i="88"/>
  <c r="K5" i="88"/>
  <c r="K33" i="88"/>
  <c r="J3" i="88"/>
  <c r="J4" i="88"/>
  <c r="J5" i="88"/>
  <c r="J33" i="88"/>
  <c r="I3" i="88"/>
  <c r="I4" i="88"/>
  <c r="I5" i="88"/>
  <c r="I33" i="88"/>
  <c r="H3" i="88"/>
  <c r="H4" i="88"/>
  <c r="H5" i="88"/>
  <c r="H33" i="88"/>
  <c r="G3" i="88"/>
  <c r="G4" i="88"/>
  <c r="G5" i="88"/>
  <c r="G33" i="88"/>
  <c r="F3" i="88"/>
  <c r="F4" i="88"/>
  <c r="F5" i="88"/>
  <c r="F33" i="88"/>
  <c r="E3" i="88"/>
  <c r="E4" i="88"/>
  <c r="E5" i="88"/>
  <c r="E33" i="88"/>
  <c r="D3" i="88"/>
  <c r="D4" i="88"/>
  <c r="D5" i="88"/>
  <c r="D33" i="88"/>
  <c r="C3" i="88"/>
  <c r="C4" i="88"/>
  <c r="C5" i="88"/>
  <c r="C33" i="88"/>
  <c r="O32" i="88"/>
  <c r="N32" i="88"/>
  <c r="M32" i="88"/>
  <c r="L32" i="88"/>
  <c r="K32" i="88"/>
  <c r="J32" i="88"/>
  <c r="I32" i="88"/>
  <c r="H32" i="88"/>
  <c r="G32" i="88"/>
  <c r="F32" i="88"/>
  <c r="E32" i="88"/>
  <c r="D32" i="88"/>
  <c r="C32" i="88"/>
  <c r="O29" i="88"/>
  <c r="N29" i="88"/>
  <c r="M29" i="88"/>
  <c r="L29" i="88"/>
  <c r="K29" i="88"/>
  <c r="J29" i="88"/>
  <c r="I29" i="88"/>
  <c r="H29" i="88"/>
  <c r="G29" i="88"/>
  <c r="F29" i="88"/>
  <c r="E29" i="88"/>
  <c r="D29" i="88"/>
  <c r="C29" i="88"/>
  <c r="O28" i="88"/>
  <c r="N28" i="88"/>
  <c r="M28" i="88"/>
  <c r="L28" i="88"/>
  <c r="K28" i="88"/>
  <c r="J28" i="88"/>
  <c r="I28" i="88"/>
  <c r="H28" i="88"/>
  <c r="G28" i="88"/>
  <c r="F28" i="88"/>
  <c r="E28" i="88"/>
  <c r="D28" i="88"/>
  <c r="C28" i="88"/>
  <c r="O27" i="88"/>
  <c r="N27" i="88"/>
  <c r="M27" i="88"/>
  <c r="L27" i="88"/>
  <c r="K27" i="88"/>
  <c r="J27" i="88"/>
  <c r="I27" i="88"/>
  <c r="H27" i="88"/>
  <c r="G27" i="88"/>
  <c r="F27" i="88"/>
  <c r="O26" i="88"/>
  <c r="N26" i="88"/>
  <c r="M26" i="88"/>
  <c r="L26" i="88"/>
  <c r="K26" i="88"/>
  <c r="J26" i="88"/>
  <c r="I26" i="88"/>
  <c r="H26" i="88"/>
  <c r="G26" i="88"/>
  <c r="F26" i="88"/>
  <c r="E26" i="88"/>
  <c r="D26" i="88"/>
  <c r="C26" i="88"/>
  <c r="O25" i="88"/>
  <c r="N25" i="88"/>
  <c r="M25" i="88"/>
  <c r="L25" i="88"/>
  <c r="K25" i="88"/>
  <c r="J25" i="88"/>
  <c r="I25" i="88"/>
  <c r="H25" i="88"/>
  <c r="G25" i="88"/>
  <c r="F25" i="88"/>
  <c r="O24" i="88"/>
  <c r="N24" i="88"/>
  <c r="M24" i="88"/>
  <c r="L24" i="88"/>
  <c r="K24" i="88"/>
  <c r="J24" i="88"/>
  <c r="I24" i="88"/>
  <c r="H24" i="88"/>
  <c r="G24" i="88"/>
  <c r="F24" i="88"/>
  <c r="E24" i="88"/>
  <c r="D24" i="88"/>
  <c r="C24" i="88"/>
  <c r="O23" i="88"/>
  <c r="N23" i="88"/>
  <c r="M23" i="88"/>
  <c r="L23" i="88"/>
  <c r="K23" i="88"/>
  <c r="J23" i="88"/>
  <c r="I23" i="88"/>
  <c r="H23" i="88"/>
  <c r="G23" i="88"/>
  <c r="F23" i="88"/>
  <c r="E23" i="88"/>
  <c r="D23" i="88"/>
  <c r="C23" i="88"/>
  <c r="O22" i="88"/>
  <c r="N22" i="88"/>
  <c r="M22" i="88"/>
  <c r="L22" i="88"/>
  <c r="K22" i="88"/>
  <c r="J22" i="88"/>
  <c r="I22" i="88"/>
  <c r="H22" i="88"/>
  <c r="G22" i="88"/>
  <c r="F22" i="88"/>
  <c r="O21" i="88"/>
  <c r="N21" i="88"/>
  <c r="M21" i="88"/>
  <c r="L21" i="88"/>
  <c r="K21" i="88"/>
  <c r="J21" i="88"/>
  <c r="I21" i="88"/>
  <c r="H21" i="88"/>
  <c r="G21" i="88"/>
  <c r="F21" i="88"/>
  <c r="O20" i="88"/>
  <c r="N20" i="88"/>
  <c r="M20" i="88"/>
  <c r="L20" i="88"/>
  <c r="K20" i="88"/>
  <c r="J20" i="88"/>
  <c r="I20" i="88"/>
  <c r="H20" i="88"/>
  <c r="G20" i="88"/>
  <c r="F20" i="88"/>
  <c r="E20" i="88"/>
  <c r="D20" i="88"/>
  <c r="C20" i="88"/>
  <c r="O19" i="88"/>
  <c r="N19" i="88"/>
  <c r="M19" i="88"/>
  <c r="L19" i="88"/>
  <c r="K19" i="88"/>
  <c r="J19" i="88"/>
  <c r="I19" i="88"/>
  <c r="H19" i="88"/>
  <c r="G19" i="88"/>
  <c r="F19" i="88"/>
  <c r="E19" i="88"/>
  <c r="D19" i="88"/>
  <c r="C19" i="88"/>
  <c r="O18" i="88"/>
  <c r="N18" i="88"/>
  <c r="M18" i="88"/>
  <c r="L18" i="88"/>
  <c r="K18" i="88"/>
  <c r="J18" i="88"/>
  <c r="I18" i="88"/>
  <c r="H18" i="88"/>
  <c r="G18" i="88"/>
  <c r="F18" i="88"/>
  <c r="E18" i="88"/>
  <c r="D18" i="88"/>
  <c r="C18" i="88"/>
  <c r="O17" i="88"/>
  <c r="N17" i="88"/>
  <c r="M17" i="88"/>
  <c r="L17" i="88"/>
  <c r="K17" i="88"/>
  <c r="J17" i="88"/>
  <c r="I17" i="88"/>
  <c r="H17" i="88"/>
  <c r="G17" i="88"/>
  <c r="F17" i="88"/>
  <c r="E17" i="88"/>
  <c r="D17" i="88"/>
  <c r="C17" i="88"/>
  <c r="O16" i="88"/>
  <c r="N16" i="88"/>
  <c r="M16" i="88"/>
  <c r="L16" i="88"/>
  <c r="K16" i="88"/>
  <c r="J16" i="88"/>
  <c r="I16" i="88"/>
  <c r="H16" i="88"/>
  <c r="G16" i="88"/>
  <c r="F16" i="88"/>
  <c r="O15" i="88"/>
  <c r="N15" i="88"/>
  <c r="M15" i="88"/>
  <c r="L15" i="88"/>
  <c r="K15" i="88"/>
  <c r="J15" i="88"/>
  <c r="I15" i="88"/>
  <c r="H15" i="88"/>
  <c r="G15" i="88"/>
  <c r="F15" i="88"/>
  <c r="O14" i="88"/>
  <c r="N14" i="88"/>
  <c r="M14" i="88"/>
  <c r="L14" i="88"/>
  <c r="K14" i="88"/>
  <c r="J14" i="88"/>
  <c r="I14" i="88"/>
  <c r="H14" i="88"/>
  <c r="G14" i="88"/>
  <c r="F14" i="88"/>
  <c r="E14" i="88"/>
  <c r="D14" i="88"/>
  <c r="C14" i="88"/>
  <c r="O13" i="88"/>
  <c r="N13" i="88"/>
  <c r="M13" i="88"/>
  <c r="L13" i="88"/>
  <c r="K13" i="88"/>
  <c r="J13" i="88"/>
  <c r="I13" i="88"/>
  <c r="H13" i="88"/>
  <c r="G13" i="88"/>
  <c r="F13" i="88"/>
  <c r="E13" i="88"/>
  <c r="D13" i="88"/>
  <c r="C13" i="88"/>
  <c r="O12" i="88"/>
  <c r="N12" i="88"/>
  <c r="M12" i="88"/>
  <c r="L12" i="88"/>
  <c r="K12" i="88"/>
  <c r="J12" i="88"/>
  <c r="I12" i="88"/>
  <c r="H12" i="88"/>
  <c r="G12" i="88"/>
  <c r="F12" i="88"/>
  <c r="E12" i="88"/>
  <c r="D12" i="88"/>
  <c r="C12" i="88"/>
  <c r="O11" i="88"/>
  <c r="N11" i="88"/>
  <c r="M11" i="88"/>
  <c r="L11" i="88"/>
  <c r="K11" i="88"/>
  <c r="J11" i="88"/>
  <c r="I11" i="88"/>
  <c r="H11" i="88"/>
  <c r="G11" i="88"/>
  <c r="F11" i="88"/>
  <c r="E11" i="88"/>
  <c r="D11" i="88"/>
  <c r="C11" i="88"/>
  <c r="O10" i="88"/>
  <c r="N10" i="88"/>
  <c r="M10" i="88"/>
  <c r="L10" i="88"/>
  <c r="K10" i="88"/>
  <c r="J10" i="88"/>
  <c r="I10" i="88"/>
  <c r="H10" i="88"/>
  <c r="G10" i="88"/>
  <c r="F10" i="88"/>
  <c r="E10" i="88"/>
  <c r="D10" i="88"/>
  <c r="C10" i="88"/>
  <c r="O9" i="88"/>
  <c r="N9" i="88"/>
  <c r="M9" i="88"/>
  <c r="L9" i="88"/>
  <c r="K9" i="88"/>
  <c r="J9" i="88"/>
  <c r="I9" i="88"/>
  <c r="H9" i="88"/>
  <c r="G9" i="88"/>
  <c r="F9" i="88"/>
  <c r="O8" i="88"/>
  <c r="N8" i="88"/>
  <c r="M8" i="88"/>
  <c r="L8" i="88"/>
  <c r="K8" i="88"/>
  <c r="J8" i="88"/>
  <c r="I8" i="88"/>
  <c r="H8" i="88"/>
  <c r="G8" i="88"/>
  <c r="F8" i="88"/>
  <c r="E8" i="88"/>
  <c r="D8" i="88"/>
  <c r="C8" i="88"/>
  <c r="O7" i="88"/>
  <c r="N7" i="88"/>
  <c r="M7" i="88"/>
  <c r="L7" i="88"/>
  <c r="K7" i="88"/>
  <c r="J7" i="88"/>
  <c r="I7" i="88"/>
  <c r="H7" i="88"/>
  <c r="G7" i="88"/>
  <c r="F7" i="88"/>
  <c r="E7" i="88"/>
  <c r="D7" i="88"/>
  <c r="C7" i="88"/>
  <c r="O6" i="88"/>
  <c r="N6" i="88"/>
  <c r="M6" i="88"/>
  <c r="L6" i="88"/>
  <c r="K6" i="88"/>
  <c r="J6" i="88"/>
  <c r="I6" i="88"/>
  <c r="H6" i="88"/>
  <c r="G6" i="88"/>
  <c r="F6" i="88"/>
  <c r="E6" i="88"/>
  <c r="D6" i="88"/>
  <c r="C6" i="88"/>
  <c r="O3" i="100"/>
  <c r="O4" i="100"/>
  <c r="O5" i="100"/>
  <c r="O48" i="100"/>
  <c r="N3" i="100"/>
  <c r="N4" i="100"/>
  <c r="N5" i="100"/>
  <c r="N48" i="100"/>
  <c r="M3" i="100"/>
  <c r="M4" i="100"/>
  <c r="M5" i="100"/>
  <c r="M48" i="100"/>
  <c r="L3" i="100"/>
  <c r="L4" i="100"/>
  <c r="L5" i="100"/>
  <c r="L48" i="100"/>
  <c r="K3" i="100"/>
  <c r="K4" i="100"/>
  <c r="K5" i="100"/>
  <c r="K48" i="100"/>
  <c r="J3" i="100"/>
  <c r="J4" i="100"/>
  <c r="J5" i="100"/>
  <c r="J48" i="100"/>
  <c r="I3" i="100"/>
  <c r="I4" i="100"/>
  <c r="I5" i="100"/>
  <c r="I48" i="100"/>
  <c r="H3" i="100"/>
  <c r="H4" i="100"/>
  <c r="H5" i="100"/>
  <c r="H48" i="100"/>
  <c r="G3" i="100"/>
  <c r="G4" i="100"/>
  <c r="G5" i="100"/>
  <c r="G48" i="100"/>
  <c r="F3" i="100"/>
  <c r="F4" i="100"/>
  <c r="F5" i="100"/>
  <c r="F48" i="100"/>
  <c r="E3" i="100"/>
  <c r="E4" i="100"/>
  <c r="E5" i="100"/>
  <c r="E48" i="100"/>
  <c r="D3" i="100"/>
  <c r="D4" i="100"/>
  <c r="D5" i="100"/>
  <c r="D48" i="100"/>
  <c r="C3" i="100"/>
  <c r="C4" i="100"/>
  <c r="C5" i="100"/>
  <c r="C48" i="100"/>
  <c r="O47" i="100"/>
  <c r="N47" i="100"/>
  <c r="M47" i="100"/>
  <c r="L47" i="100"/>
  <c r="K47" i="100"/>
  <c r="J47" i="100"/>
  <c r="I47" i="100"/>
  <c r="H47" i="100"/>
  <c r="G47" i="100"/>
  <c r="F47" i="100"/>
  <c r="E47" i="100"/>
  <c r="D47" i="100"/>
  <c r="C47" i="100"/>
  <c r="O46" i="100"/>
  <c r="N46" i="100"/>
  <c r="M46" i="100"/>
  <c r="L46" i="100"/>
  <c r="K46" i="100"/>
  <c r="J46" i="100"/>
  <c r="I46" i="100"/>
  <c r="H46" i="100"/>
  <c r="G46" i="100"/>
  <c r="F46" i="100"/>
  <c r="E46" i="100"/>
  <c r="D46" i="100"/>
  <c r="C46" i="100"/>
  <c r="O45" i="100"/>
  <c r="N45" i="100"/>
  <c r="M45" i="100"/>
  <c r="L45" i="100"/>
  <c r="K45" i="100"/>
  <c r="J45" i="100"/>
  <c r="I45" i="100"/>
  <c r="H45" i="100"/>
  <c r="G45" i="100"/>
  <c r="F45" i="100"/>
  <c r="E45" i="100"/>
  <c r="D45" i="100"/>
  <c r="C45" i="100"/>
  <c r="O44" i="100"/>
  <c r="N44" i="100"/>
  <c r="M44" i="100"/>
  <c r="L44" i="100"/>
  <c r="K44" i="100"/>
  <c r="J44" i="100"/>
  <c r="I44" i="100"/>
  <c r="H44" i="100"/>
  <c r="G44" i="100"/>
  <c r="F44" i="100"/>
  <c r="E44" i="100"/>
  <c r="D44" i="100"/>
  <c r="C44" i="100"/>
  <c r="O43" i="100"/>
  <c r="N43" i="100"/>
  <c r="M43" i="100"/>
  <c r="L43" i="100"/>
  <c r="K43" i="100"/>
  <c r="J43" i="100"/>
  <c r="I43" i="100"/>
  <c r="H43" i="100"/>
  <c r="G43" i="100"/>
  <c r="F43" i="100"/>
  <c r="E43" i="100"/>
  <c r="D43" i="100"/>
  <c r="C43" i="100"/>
  <c r="O42" i="100"/>
  <c r="N42" i="100"/>
  <c r="M42" i="100"/>
  <c r="L42" i="100"/>
  <c r="K42" i="100"/>
  <c r="J42" i="100"/>
  <c r="I42" i="100"/>
  <c r="H42" i="100"/>
  <c r="G42" i="100"/>
  <c r="F42" i="100"/>
  <c r="E42" i="100"/>
  <c r="D42" i="100"/>
  <c r="C42" i="100"/>
  <c r="O41" i="100"/>
  <c r="N41" i="100"/>
  <c r="M41" i="100"/>
  <c r="L41" i="100"/>
  <c r="K41" i="100"/>
  <c r="J41" i="100"/>
  <c r="I41" i="100"/>
  <c r="H41" i="100"/>
  <c r="G41" i="100"/>
  <c r="F41" i="100"/>
  <c r="E41" i="100"/>
  <c r="D41" i="100"/>
  <c r="C41" i="100"/>
  <c r="O40" i="100"/>
  <c r="N40" i="100"/>
  <c r="M40" i="100"/>
  <c r="L40" i="100"/>
  <c r="K40" i="100"/>
  <c r="J40" i="100"/>
  <c r="I40" i="100"/>
  <c r="H40" i="100"/>
  <c r="G40" i="100"/>
  <c r="F40" i="100"/>
  <c r="E40" i="100"/>
  <c r="D40" i="100"/>
  <c r="C40" i="100"/>
  <c r="O39" i="100"/>
  <c r="N39" i="100"/>
  <c r="M39" i="100"/>
  <c r="L39" i="100"/>
  <c r="K39" i="100"/>
  <c r="J39" i="100"/>
  <c r="I39" i="100"/>
  <c r="H39" i="100"/>
  <c r="G39" i="100"/>
  <c r="F39" i="100"/>
  <c r="E39" i="100"/>
  <c r="D39" i="100"/>
  <c r="C39" i="100"/>
  <c r="O38" i="100"/>
  <c r="N38" i="100"/>
  <c r="M38" i="100"/>
  <c r="L38" i="100"/>
  <c r="K38" i="100"/>
  <c r="J38" i="100"/>
  <c r="I38" i="100"/>
  <c r="H38" i="100"/>
  <c r="G38" i="100"/>
  <c r="F38" i="100"/>
  <c r="E38" i="100"/>
  <c r="D38" i="100"/>
  <c r="C38" i="100"/>
  <c r="O37" i="100"/>
  <c r="N37" i="100"/>
  <c r="M37" i="100"/>
  <c r="L37" i="100"/>
  <c r="K37" i="100"/>
  <c r="J37" i="100"/>
  <c r="I37" i="100"/>
  <c r="H37" i="100"/>
  <c r="G37" i="100"/>
  <c r="F37" i="100"/>
  <c r="E37" i="100"/>
  <c r="D37" i="100"/>
  <c r="C37" i="100"/>
  <c r="O36" i="100"/>
  <c r="N36" i="100"/>
  <c r="M36" i="100"/>
  <c r="L36" i="100"/>
  <c r="K36" i="100"/>
  <c r="J36" i="100"/>
  <c r="I36" i="100"/>
  <c r="H36" i="100"/>
  <c r="G36" i="100"/>
  <c r="F36" i="100"/>
  <c r="E36" i="100"/>
  <c r="D36" i="100"/>
  <c r="C36" i="100"/>
  <c r="O35" i="100"/>
  <c r="N35" i="100"/>
  <c r="M35" i="100"/>
  <c r="L35" i="100"/>
  <c r="K35" i="100"/>
  <c r="J35" i="100"/>
  <c r="I35" i="100"/>
  <c r="H35" i="100"/>
  <c r="G35" i="100"/>
  <c r="F35" i="100"/>
  <c r="E35" i="100"/>
  <c r="D35" i="100"/>
  <c r="C35" i="100"/>
  <c r="O34" i="100"/>
  <c r="N34" i="100"/>
  <c r="M34" i="100"/>
  <c r="L34" i="100"/>
  <c r="K34" i="100"/>
  <c r="J34" i="100"/>
  <c r="I34" i="100"/>
  <c r="H34" i="100"/>
  <c r="G34" i="100"/>
  <c r="F34" i="100"/>
  <c r="E34" i="100"/>
  <c r="D34" i="100"/>
  <c r="C34" i="100"/>
  <c r="O33" i="100"/>
  <c r="N33" i="100"/>
  <c r="M33" i="100"/>
  <c r="L33" i="100"/>
  <c r="K33" i="100"/>
  <c r="J33" i="100"/>
  <c r="I33" i="100"/>
  <c r="H33" i="100"/>
  <c r="G33" i="100"/>
  <c r="F33" i="100"/>
  <c r="E33" i="100"/>
  <c r="D33" i="100"/>
  <c r="C33" i="100"/>
  <c r="O32" i="100"/>
  <c r="N32" i="100"/>
  <c r="M32" i="100"/>
  <c r="L32" i="100"/>
  <c r="K32" i="100"/>
  <c r="J32" i="100"/>
  <c r="I32" i="100"/>
  <c r="H32" i="100"/>
  <c r="G32" i="100"/>
  <c r="F32" i="100"/>
  <c r="E32" i="100"/>
  <c r="D32" i="100"/>
  <c r="C32" i="100"/>
  <c r="O31" i="100"/>
  <c r="N31" i="100"/>
  <c r="M31" i="100"/>
  <c r="L31" i="100"/>
  <c r="K31" i="100"/>
  <c r="J31" i="100"/>
  <c r="I31" i="100"/>
  <c r="H31" i="100"/>
  <c r="G31" i="100"/>
  <c r="F31" i="100"/>
  <c r="E31" i="100"/>
  <c r="D31" i="100"/>
  <c r="C31" i="100"/>
  <c r="O30" i="100"/>
  <c r="N30" i="100"/>
  <c r="M30" i="100"/>
  <c r="L30" i="100"/>
  <c r="K30" i="100"/>
  <c r="J30" i="100"/>
  <c r="I30" i="100"/>
  <c r="H30" i="100"/>
  <c r="G30" i="100"/>
  <c r="F30" i="100"/>
  <c r="E30" i="100"/>
  <c r="D30" i="100"/>
  <c r="C30" i="100"/>
  <c r="O29" i="100"/>
  <c r="N29" i="100"/>
  <c r="M29" i="100"/>
  <c r="L29" i="100"/>
  <c r="K29" i="100"/>
  <c r="J29" i="100"/>
  <c r="I29" i="100"/>
  <c r="H29" i="100"/>
  <c r="G29" i="100"/>
  <c r="F29" i="100"/>
  <c r="E29" i="100"/>
  <c r="D29" i="100"/>
  <c r="C29" i="100"/>
  <c r="O28" i="100"/>
  <c r="N28" i="100"/>
  <c r="M28" i="100"/>
  <c r="L28" i="100"/>
  <c r="K28" i="100"/>
  <c r="J28" i="100"/>
  <c r="I28" i="100"/>
  <c r="H28" i="100"/>
  <c r="G28" i="100"/>
  <c r="F28" i="100"/>
  <c r="E28" i="100"/>
  <c r="D28" i="100"/>
  <c r="C28" i="100"/>
  <c r="O27" i="100"/>
  <c r="N27" i="100"/>
  <c r="M27" i="100"/>
  <c r="L27" i="100"/>
  <c r="K27" i="100"/>
  <c r="J27" i="100"/>
  <c r="I27" i="100"/>
  <c r="H27" i="100"/>
  <c r="G27" i="100"/>
  <c r="F27" i="100"/>
  <c r="E27" i="100"/>
  <c r="D27" i="100"/>
  <c r="C27" i="100"/>
  <c r="O26" i="100"/>
  <c r="N26" i="100"/>
  <c r="M26" i="100"/>
  <c r="L26" i="100"/>
  <c r="K26" i="100"/>
  <c r="J26" i="100"/>
  <c r="I26" i="100"/>
  <c r="H26" i="100"/>
  <c r="G26" i="100"/>
  <c r="F26" i="100"/>
  <c r="E26" i="100"/>
  <c r="D26" i="100"/>
  <c r="C26" i="100"/>
  <c r="O25" i="100"/>
  <c r="N25" i="100"/>
  <c r="M25" i="100"/>
  <c r="L25" i="100"/>
  <c r="K25" i="100"/>
  <c r="J25" i="100"/>
  <c r="I25" i="100"/>
  <c r="H25" i="100"/>
  <c r="G25" i="100"/>
  <c r="F25" i="100"/>
  <c r="E25" i="100"/>
  <c r="D25" i="100"/>
  <c r="C25" i="100"/>
  <c r="O24" i="100"/>
  <c r="N24" i="100"/>
  <c r="M24" i="100"/>
  <c r="L24" i="100"/>
  <c r="K24" i="100"/>
  <c r="J24" i="100"/>
  <c r="I24" i="100"/>
  <c r="H24" i="100"/>
  <c r="G24" i="100"/>
  <c r="F24" i="100"/>
  <c r="E24" i="100"/>
  <c r="D24" i="100"/>
  <c r="C24" i="100"/>
  <c r="O23" i="100"/>
  <c r="N23" i="100"/>
  <c r="M23" i="100"/>
  <c r="L23" i="100"/>
  <c r="K23" i="100"/>
  <c r="J23" i="100"/>
  <c r="I23" i="100"/>
  <c r="H23" i="100"/>
  <c r="G23" i="100"/>
  <c r="F23" i="100"/>
  <c r="E23" i="100"/>
  <c r="D23" i="100"/>
  <c r="C23" i="100"/>
  <c r="O22" i="100"/>
  <c r="N22" i="100"/>
  <c r="M22" i="100"/>
  <c r="L22" i="100"/>
  <c r="K22" i="100"/>
  <c r="J22" i="100"/>
  <c r="I22" i="100"/>
  <c r="H22" i="100"/>
  <c r="G22" i="100"/>
  <c r="F22" i="100"/>
  <c r="E22" i="100"/>
  <c r="D22" i="100"/>
  <c r="C22" i="100"/>
  <c r="O21" i="100"/>
  <c r="N21" i="100"/>
  <c r="M21" i="100"/>
  <c r="L21" i="100"/>
  <c r="K21" i="100"/>
  <c r="J21" i="100"/>
  <c r="I21" i="100"/>
  <c r="H21" i="100"/>
  <c r="G21" i="100"/>
  <c r="F21" i="100"/>
  <c r="E21" i="100"/>
  <c r="D21" i="100"/>
  <c r="C21" i="100"/>
  <c r="O20" i="100"/>
  <c r="N20" i="100"/>
  <c r="M20" i="100"/>
  <c r="L20" i="100"/>
  <c r="K20" i="100"/>
  <c r="J20" i="100"/>
  <c r="I20" i="100"/>
  <c r="H20" i="100"/>
  <c r="G20" i="100"/>
  <c r="F20" i="100"/>
  <c r="E20" i="100"/>
  <c r="D20" i="100"/>
  <c r="C20" i="100"/>
  <c r="O19" i="100"/>
  <c r="N19" i="100"/>
  <c r="M19" i="100"/>
  <c r="L19" i="100"/>
  <c r="K19" i="100"/>
  <c r="J19" i="100"/>
  <c r="I19" i="100"/>
  <c r="H19" i="100"/>
  <c r="G19" i="100"/>
  <c r="F19" i="100"/>
  <c r="E19" i="100"/>
  <c r="D19" i="100"/>
  <c r="C19" i="100"/>
  <c r="O18" i="100"/>
  <c r="N18" i="100"/>
  <c r="M18" i="100"/>
  <c r="L18" i="100"/>
  <c r="K18" i="100"/>
  <c r="J18" i="100"/>
  <c r="I18" i="100"/>
  <c r="H18" i="100"/>
  <c r="G18" i="100"/>
  <c r="F18" i="100"/>
  <c r="E18" i="100"/>
  <c r="D18" i="100"/>
  <c r="C18" i="100"/>
  <c r="O17" i="100"/>
  <c r="N17" i="100"/>
  <c r="M17" i="100"/>
  <c r="L17" i="100"/>
  <c r="K17" i="100"/>
  <c r="J17" i="100"/>
  <c r="I17" i="100"/>
  <c r="H17" i="100"/>
  <c r="G17" i="100"/>
  <c r="F17" i="100"/>
  <c r="E17" i="100"/>
  <c r="D17" i="100"/>
  <c r="C17" i="100"/>
  <c r="O16" i="100"/>
  <c r="N16" i="100"/>
  <c r="M16" i="100"/>
  <c r="L16" i="100"/>
  <c r="K16" i="100"/>
  <c r="J16" i="100"/>
  <c r="I16" i="100"/>
  <c r="H16" i="100"/>
  <c r="G16" i="100"/>
  <c r="F16" i="100"/>
  <c r="E16" i="100"/>
  <c r="D16" i="100"/>
  <c r="C16" i="100"/>
  <c r="O15" i="100"/>
  <c r="N15" i="100"/>
  <c r="M15" i="100"/>
  <c r="L15" i="100"/>
  <c r="K15" i="100"/>
  <c r="J15" i="100"/>
  <c r="I15" i="100"/>
  <c r="H15" i="100"/>
  <c r="G15" i="100"/>
  <c r="F15" i="100"/>
  <c r="E15" i="100"/>
  <c r="D15" i="100"/>
  <c r="C15" i="100"/>
  <c r="O14" i="100"/>
  <c r="N14" i="100"/>
  <c r="M14" i="100"/>
  <c r="L14" i="100"/>
  <c r="K14" i="100"/>
  <c r="J14" i="100"/>
  <c r="I14" i="100"/>
  <c r="H14" i="100"/>
  <c r="G14" i="100"/>
  <c r="F14" i="100"/>
  <c r="E14" i="100"/>
  <c r="D14" i="100"/>
  <c r="C14" i="100"/>
  <c r="O13" i="100"/>
  <c r="N13" i="100"/>
  <c r="M13" i="100"/>
  <c r="L13" i="100"/>
  <c r="K13" i="100"/>
  <c r="J13" i="100"/>
  <c r="I13" i="100"/>
  <c r="H13" i="100"/>
  <c r="G13" i="100"/>
  <c r="F13" i="100"/>
  <c r="E13" i="100"/>
  <c r="D13" i="100"/>
  <c r="C13" i="100"/>
  <c r="O12" i="100"/>
  <c r="N12" i="100"/>
  <c r="M12" i="100"/>
  <c r="L12" i="100"/>
  <c r="K12" i="100"/>
  <c r="J12" i="100"/>
  <c r="I12" i="100"/>
  <c r="H12" i="100"/>
  <c r="G12" i="100"/>
  <c r="F12" i="100"/>
  <c r="E12" i="100"/>
  <c r="D12" i="100"/>
  <c r="C12" i="100"/>
  <c r="O11" i="100"/>
  <c r="N11" i="100"/>
  <c r="M11" i="100"/>
  <c r="L11" i="100"/>
  <c r="K11" i="100"/>
  <c r="J11" i="100"/>
  <c r="I11" i="100"/>
  <c r="H11" i="100"/>
  <c r="G11" i="100"/>
  <c r="F11" i="100"/>
  <c r="E11" i="100"/>
  <c r="D11" i="100"/>
  <c r="C11" i="100"/>
  <c r="O10" i="100"/>
  <c r="N10" i="100"/>
  <c r="M10" i="100"/>
  <c r="L10" i="100"/>
  <c r="K10" i="100"/>
  <c r="J10" i="100"/>
  <c r="I10" i="100"/>
  <c r="H10" i="100"/>
  <c r="G10" i="100"/>
  <c r="F10" i="100"/>
  <c r="E10" i="100"/>
  <c r="D10" i="100"/>
  <c r="C10" i="100"/>
  <c r="O9" i="100"/>
  <c r="N9" i="100"/>
  <c r="M9" i="100"/>
  <c r="L9" i="100"/>
  <c r="K9" i="100"/>
  <c r="J9" i="100"/>
  <c r="I9" i="100"/>
  <c r="H9" i="100"/>
  <c r="G9" i="100"/>
  <c r="F9" i="100"/>
  <c r="E9" i="100"/>
  <c r="D9" i="100"/>
  <c r="C9" i="100"/>
  <c r="O8" i="100"/>
  <c r="N8" i="100"/>
  <c r="M8" i="100"/>
  <c r="L8" i="100"/>
  <c r="K8" i="100"/>
  <c r="J8" i="100"/>
  <c r="I8" i="100"/>
  <c r="H8" i="100"/>
  <c r="G8" i="100"/>
  <c r="F8" i="100"/>
  <c r="E8" i="100"/>
  <c r="D8" i="100"/>
  <c r="C8" i="100"/>
  <c r="O7" i="100"/>
  <c r="N7" i="100"/>
  <c r="M7" i="100"/>
  <c r="L7" i="100"/>
  <c r="K7" i="100"/>
  <c r="J7" i="100"/>
  <c r="I7" i="100"/>
  <c r="H7" i="100"/>
  <c r="G7" i="100"/>
  <c r="F7" i="100"/>
  <c r="E7" i="100"/>
  <c r="D7" i="100"/>
  <c r="C7" i="100"/>
  <c r="O6" i="100"/>
  <c r="N6" i="100"/>
  <c r="M6" i="100"/>
  <c r="L6" i="100"/>
  <c r="K6" i="100"/>
  <c r="J6" i="100"/>
  <c r="I6" i="100"/>
  <c r="H6" i="100"/>
  <c r="G6" i="100"/>
  <c r="F6" i="100"/>
  <c r="E6" i="100"/>
  <c r="D6" i="100"/>
  <c r="C6" i="100"/>
  <c r="O3" i="87"/>
  <c r="O4" i="87"/>
  <c r="O5" i="87"/>
  <c r="O16" i="87"/>
  <c r="N3" i="87"/>
  <c r="N4" i="87"/>
  <c r="N5" i="87"/>
  <c r="N16" i="87"/>
  <c r="M3" i="87"/>
  <c r="M4" i="87"/>
  <c r="M5" i="87"/>
  <c r="M16" i="87"/>
  <c r="L3" i="87"/>
  <c r="L4" i="87"/>
  <c r="L5" i="87"/>
  <c r="L16" i="87"/>
  <c r="K3" i="87"/>
  <c r="K4" i="87"/>
  <c r="K5" i="87"/>
  <c r="K16" i="87"/>
  <c r="J3" i="87"/>
  <c r="J4" i="87"/>
  <c r="J5" i="87"/>
  <c r="J16" i="87"/>
  <c r="I3" i="87"/>
  <c r="I4" i="87"/>
  <c r="I5" i="87"/>
  <c r="I16" i="87"/>
  <c r="H3" i="87"/>
  <c r="H4" i="87"/>
  <c r="H5" i="87"/>
  <c r="H16" i="87"/>
  <c r="G3" i="87"/>
  <c r="G4" i="87"/>
  <c r="G5" i="87"/>
  <c r="G16" i="87"/>
  <c r="F3" i="87"/>
  <c r="F4" i="87"/>
  <c r="F5" i="87"/>
  <c r="F16" i="87"/>
  <c r="E3" i="87"/>
  <c r="E4" i="87"/>
  <c r="E5" i="87"/>
  <c r="E16" i="87"/>
  <c r="D3" i="87"/>
  <c r="D4" i="87"/>
  <c r="D5" i="87"/>
  <c r="D16" i="87"/>
  <c r="C3" i="87"/>
  <c r="C4" i="87"/>
  <c r="C5" i="87"/>
  <c r="C16" i="87"/>
  <c r="O15" i="87"/>
  <c r="N15" i="87"/>
  <c r="M15" i="87"/>
  <c r="L15" i="87"/>
  <c r="K15" i="87"/>
  <c r="J15" i="87"/>
  <c r="I15" i="87"/>
  <c r="H15" i="87"/>
  <c r="G15" i="87"/>
  <c r="F15" i="87"/>
  <c r="E15" i="87"/>
  <c r="D15" i="87"/>
  <c r="C15" i="87"/>
  <c r="O14" i="87"/>
  <c r="N14" i="87"/>
  <c r="M14" i="87"/>
  <c r="L14" i="87"/>
  <c r="K14" i="87"/>
  <c r="J14" i="87"/>
  <c r="I14" i="87"/>
  <c r="H14" i="87"/>
  <c r="G14" i="87"/>
  <c r="F14" i="87"/>
  <c r="E14" i="87"/>
  <c r="D14" i="87"/>
  <c r="C14" i="87"/>
  <c r="O13" i="87"/>
  <c r="N13" i="87"/>
  <c r="M13" i="87"/>
  <c r="L13" i="87"/>
  <c r="K13" i="87"/>
  <c r="J13" i="87"/>
  <c r="I13" i="87"/>
  <c r="H13" i="87"/>
  <c r="G13" i="87"/>
  <c r="F13" i="87"/>
  <c r="E13" i="87"/>
  <c r="D13" i="87"/>
  <c r="C13" i="87"/>
  <c r="O12" i="87"/>
  <c r="N12" i="87"/>
  <c r="M12" i="87"/>
  <c r="L12" i="87"/>
  <c r="K12" i="87"/>
  <c r="J12" i="87"/>
  <c r="I12" i="87"/>
  <c r="H12" i="87"/>
  <c r="G12" i="87"/>
  <c r="F12" i="87"/>
  <c r="E12" i="87"/>
  <c r="D12" i="87"/>
  <c r="C12" i="87"/>
  <c r="O11" i="87"/>
  <c r="N11" i="87"/>
  <c r="M11" i="87"/>
  <c r="L11" i="87"/>
  <c r="K11" i="87"/>
  <c r="J11" i="87"/>
  <c r="I11" i="87"/>
  <c r="H11" i="87"/>
  <c r="G11" i="87"/>
  <c r="F11" i="87"/>
  <c r="E11" i="87"/>
  <c r="D11" i="87"/>
  <c r="C11" i="87"/>
  <c r="O10" i="87"/>
  <c r="N10" i="87"/>
  <c r="M10" i="87"/>
  <c r="L10" i="87"/>
  <c r="K10" i="87"/>
  <c r="J10" i="87"/>
  <c r="I10" i="87"/>
  <c r="H10" i="87"/>
  <c r="G10" i="87"/>
  <c r="F10" i="87"/>
  <c r="E10" i="87"/>
  <c r="D10" i="87"/>
  <c r="C10" i="87"/>
  <c r="O9" i="87"/>
  <c r="N9" i="87"/>
  <c r="M9" i="87"/>
  <c r="L9" i="87"/>
  <c r="K9" i="87"/>
  <c r="J9" i="87"/>
  <c r="I9" i="87"/>
  <c r="H9" i="87"/>
  <c r="G9" i="87"/>
  <c r="F9" i="87"/>
  <c r="E9" i="87"/>
  <c r="D9" i="87"/>
  <c r="C9" i="87"/>
  <c r="O8" i="87"/>
  <c r="N8" i="87"/>
  <c r="M8" i="87"/>
  <c r="L8" i="87"/>
  <c r="K8" i="87"/>
  <c r="J8" i="87"/>
  <c r="I8" i="87"/>
  <c r="H8" i="87"/>
  <c r="G8" i="87"/>
  <c r="F8" i="87"/>
  <c r="E8" i="87"/>
  <c r="D8" i="87"/>
  <c r="C8" i="87"/>
  <c r="O7" i="87"/>
  <c r="N7" i="87"/>
  <c r="M7" i="87"/>
  <c r="L7" i="87"/>
  <c r="K7" i="87"/>
  <c r="J7" i="87"/>
  <c r="I7" i="87"/>
  <c r="H7" i="87"/>
  <c r="G7" i="87"/>
  <c r="F7" i="87"/>
  <c r="E7" i="87"/>
  <c r="D7" i="87"/>
  <c r="C7" i="87"/>
  <c r="O6" i="87"/>
  <c r="N6" i="87"/>
  <c r="M6" i="87"/>
  <c r="L6" i="87"/>
  <c r="K6" i="87"/>
  <c r="J6" i="87"/>
  <c r="I6" i="87"/>
  <c r="H6" i="87"/>
  <c r="G6" i="87"/>
  <c r="F6" i="87"/>
  <c r="E6" i="87"/>
  <c r="D6" i="87"/>
  <c r="C6" i="87"/>
  <c r="O3" i="86"/>
  <c r="O4" i="86"/>
  <c r="O5" i="86"/>
  <c r="O23" i="86"/>
  <c r="N3" i="86"/>
  <c r="N4" i="86"/>
  <c r="N5" i="86"/>
  <c r="N23" i="86"/>
  <c r="M3" i="86"/>
  <c r="M4" i="86"/>
  <c r="M5" i="86"/>
  <c r="M23" i="86"/>
  <c r="L3" i="86"/>
  <c r="L4" i="86"/>
  <c r="L5" i="86"/>
  <c r="L23" i="86"/>
  <c r="K3" i="86"/>
  <c r="K4" i="86"/>
  <c r="K5" i="86"/>
  <c r="K23" i="86"/>
  <c r="J3" i="86"/>
  <c r="J4" i="86"/>
  <c r="J5" i="86"/>
  <c r="J23" i="86"/>
  <c r="I3" i="86"/>
  <c r="I4" i="86"/>
  <c r="I5" i="86"/>
  <c r="I23" i="86"/>
  <c r="H3" i="86"/>
  <c r="H4" i="86"/>
  <c r="H5" i="86"/>
  <c r="H23" i="86"/>
  <c r="G3" i="86"/>
  <c r="G4" i="86"/>
  <c r="G5" i="86"/>
  <c r="G23" i="86"/>
  <c r="F3" i="86"/>
  <c r="F4" i="86"/>
  <c r="F5" i="86"/>
  <c r="F23" i="86"/>
  <c r="E3" i="86"/>
  <c r="E4" i="86"/>
  <c r="E5" i="86"/>
  <c r="E23" i="86"/>
  <c r="D3" i="86"/>
  <c r="D4" i="86"/>
  <c r="D5" i="86"/>
  <c r="D23" i="86"/>
  <c r="C3" i="86"/>
  <c r="C4" i="86"/>
  <c r="C5" i="86"/>
  <c r="C23" i="86"/>
  <c r="O22" i="86"/>
  <c r="N22" i="86"/>
  <c r="M22" i="86"/>
  <c r="L22" i="86"/>
  <c r="K22" i="86"/>
  <c r="J22" i="86"/>
  <c r="I22" i="86"/>
  <c r="H22" i="86"/>
  <c r="G22" i="86"/>
  <c r="F22" i="86"/>
  <c r="O21" i="86"/>
  <c r="N21" i="86"/>
  <c r="M21" i="86"/>
  <c r="L21" i="86"/>
  <c r="K21" i="86"/>
  <c r="J21" i="86"/>
  <c r="I21" i="86"/>
  <c r="H21" i="86"/>
  <c r="G21" i="86"/>
  <c r="F21" i="86"/>
  <c r="O20" i="86"/>
  <c r="N20" i="86"/>
  <c r="M20" i="86"/>
  <c r="L20" i="86"/>
  <c r="K20" i="86"/>
  <c r="J20" i="86"/>
  <c r="I20" i="86"/>
  <c r="H20" i="86"/>
  <c r="G20" i="86"/>
  <c r="F20" i="86"/>
  <c r="E20" i="86"/>
  <c r="D20" i="86"/>
  <c r="C20" i="86"/>
  <c r="O19" i="86"/>
  <c r="N19" i="86"/>
  <c r="M19" i="86"/>
  <c r="L19" i="86"/>
  <c r="K19" i="86"/>
  <c r="J19" i="86"/>
  <c r="I19" i="86"/>
  <c r="H19" i="86"/>
  <c r="G19" i="86"/>
  <c r="F19" i="86"/>
  <c r="E19" i="86"/>
  <c r="D19" i="86"/>
  <c r="C19" i="86"/>
  <c r="O18" i="86"/>
  <c r="N18" i="86"/>
  <c r="M18" i="86"/>
  <c r="L18" i="86"/>
  <c r="K18" i="86"/>
  <c r="J18" i="86"/>
  <c r="I18" i="86"/>
  <c r="H18" i="86"/>
  <c r="G18" i="86"/>
  <c r="F18" i="86"/>
  <c r="E18" i="86"/>
  <c r="D18" i="86"/>
  <c r="C18" i="86"/>
  <c r="O17" i="86"/>
  <c r="N17" i="86"/>
  <c r="M17" i="86"/>
  <c r="L17" i="86"/>
  <c r="K17" i="86"/>
  <c r="J17" i="86"/>
  <c r="I17" i="86"/>
  <c r="H17" i="86"/>
  <c r="G17" i="86"/>
  <c r="F17" i="86"/>
  <c r="E17" i="86"/>
  <c r="D17" i="86"/>
  <c r="C17" i="86"/>
  <c r="O16" i="86"/>
  <c r="N16" i="86"/>
  <c r="M16" i="86"/>
  <c r="L16" i="86"/>
  <c r="K16" i="86"/>
  <c r="J16" i="86"/>
  <c r="I16" i="86"/>
  <c r="H16" i="86"/>
  <c r="G16" i="86"/>
  <c r="F16" i="86"/>
  <c r="O15" i="86"/>
  <c r="N15" i="86"/>
  <c r="M15" i="86"/>
  <c r="L15" i="86"/>
  <c r="K15" i="86"/>
  <c r="J15" i="86"/>
  <c r="I15" i="86"/>
  <c r="H15" i="86"/>
  <c r="G15" i="86"/>
  <c r="F15" i="86"/>
  <c r="O14" i="86"/>
  <c r="N14" i="86"/>
  <c r="M14" i="86"/>
  <c r="L14" i="86"/>
  <c r="K14" i="86"/>
  <c r="J14" i="86"/>
  <c r="I14" i="86"/>
  <c r="H14" i="86"/>
  <c r="G14" i="86"/>
  <c r="F14" i="86"/>
  <c r="E14" i="86"/>
  <c r="D14" i="86"/>
  <c r="C14" i="86"/>
  <c r="O13" i="86"/>
  <c r="N13" i="86"/>
  <c r="M13" i="86"/>
  <c r="L13" i="86"/>
  <c r="K13" i="86"/>
  <c r="J13" i="86"/>
  <c r="I13" i="86"/>
  <c r="H13" i="86"/>
  <c r="G13" i="86"/>
  <c r="F13" i="86"/>
  <c r="E13" i="86"/>
  <c r="D13" i="86"/>
  <c r="C13" i="86"/>
  <c r="O12" i="86"/>
  <c r="N12" i="86"/>
  <c r="M12" i="86"/>
  <c r="L12" i="86"/>
  <c r="K12" i="86"/>
  <c r="J12" i="86"/>
  <c r="I12" i="86"/>
  <c r="H12" i="86"/>
  <c r="G12" i="86"/>
  <c r="F12" i="86"/>
  <c r="E12" i="86"/>
  <c r="D12" i="86"/>
  <c r="C12" i="86"/>
  <c r="O11" i="86"/>
  <c r="N11" i="86"/>
  <c r="M11" i="86"/>
  <c r="L11" i="86"/>
  <c r="K11" i="86"/>
  <c r="J11" i="86"/>
  <c r="I11" i="86"/>
  <c r="H11" i="86"/>
  <c r="G11" i="86"/>
  <c r="F11" i="86"/>
  <c r="E11" i="86"/>
  <c r="D11" i="86"/>
  <c r="C11" i="86"/>
  <c r="O10" i="86"/>
  <c r="N10" i="86"/>
  <c r="M10" i="86"/>
  <c r="L10" i="86"/>
  <c r="K10" i="86"/>
  <c r="J10" i="86"/>
  <c r="I10" i="86"/>
  <c r="H10" i="86"/>
  <c r="G10" i="86"/>
  <c r="F10" i="86"/>
  <c r="E10" i="86"/>
  <c r="D10" i="86"/>
  <c r="C10" i="86"/>
  <c r="O9" i="86"/>
  <c r="N9" i="86"/>
  <c r="M9" i="86"/>
  <c r="L9" i="86"/>
  <c r="K9" i="86"/>
  <c r="J9" i="86"/>
  <c r="I9" i="86"/>
  <c r="H9" i="86"/>
  <c r="G9" i="86"/>
  <c r="F9" i="86"/>
  <c r="O8" i="86"/>
  <c r="N8" i="86"/>
  <c r="M8" i="86"/>
  <c r="L8" i="86"/>
  <c r="K8" i="86"/>
  <c r="J8" i="86"/>
  <c r="I8" i="86"/>
  <c r="H8" i="86"/>
  <c r="G8" i="86"/>
  <c r="F8" i="86"/>
  <c r="E8" i="86"/>
  <c r="D8" i="86"/>
  <c r="C8" i="86"/>
  <c r="O7" i="86"/>
  <c r="N7" i="86"/>
  <c r="M7" i="86"/>
  <c r="L7" i="86"/>
  <c r="K7" i="86"/>
  <c r="J7" i="86"/>
  <c r="I7" i="86"/>
  <c r="H7" i="86"/>
  <c r="G7" i="86"/>
  <c r="F7" i="86"/>
  <c r="E7" i="86"/>
  <c r="D7" i="86"/>
  <c r="C7" i="86"/>
  <c r="O6" i="86"/>
  <c r="N6" i="86"/>
  <c r="M6" i="86"/>
  <c r="L6" i="86"/>
  <c r="K6" i="86"/>
  <c r="J6" i="86"/>
  <c r="I6" i="86"/>
  <c r="H6" i="86"/>
  <c r="G6" i="86"/>
  <c r="F6" i="86"/>
  <c r="E6" i="86"/>
  <c r="D6" i="86"/>
  <c r="C6" i="86"/>
  <c r="O3" i="99"/>
  <c r="O4" i="99"/>
  <c r="O5" i="99"/>
  <c r="O15" i="99"/>
  <c r="N3" i="99"/>
  <c r="N4" i="99"/>
  <c r="N5" i="99"/>
  <c r="N15" i="99"/>
  <c r="M3" i="99"/>
  <c r="M4" i="99"/>
  <c r="M5" i="99"/>
  <c r="M15" i="99"/>
  <c r="L3" i="99"/>
  <c r="L4" i="99"/>
  <c r="L5" i="99"/>
  <c r="L15" i="99"/>
  <c r="K3" i="99"/>
  <c r="K4" i="99"/>
  <c r="K5" i="99"/>
  <c r="K15" i="99"/>
  <c r="J3" i="99"/>
  <c r="J4" i="99"/>
  <c r="J5" i="99"/>
  <c r="J15" i="99"/>
  <c r="I3" i="99"/>
  <c r="I4" i="99"/>
  <c r="I5" i="99"/>
  <c r="I15" i="99"/>
  <c r="H3" i="99"/>
  <c r="H4" i="99"/>
  <c r="H5" i="99"/>
  <c r="H15" i="99"/>
  <c r="G3" i="99"/>
  <c r="G4" i="99"/>
  <c r="G5" i="99"/>
  <c r="G15" i="99"/>
  <c r="F3" i="99"/>
  <c r="F4" i="99"/>
  <c r="F5" i="99"/>
  <c r="F15" i="99"/>
  <c r="E3" i="99"/>
  <c r="E4" i="99"/>
  <c r="E5" i="99"/>
  <c r="E15" i="99"/>
  <c r="D3" i="99"/>
  <c r="D4" i="99"/>
  <c r="D5" i="99"/>
  <c r="D15" i="99"/>
  <c r="C3" i="99"/>
  <c r="C4" i="99"/>
  <c r="C5" i="99"/>
  <c r="C15" i="99"/>
  <c r="N13" i="99"/>
  <c r="M13" i="99"/>
  <c r="L13" i="99"/>
  <c r="K13" i="99"/>
  <c r="J13" i="99"/>
  <c r="I13" i="99"/>
  <c r="H13" i="99"/>
  <c r="G13" i="99"/>
  <c r="F13" i="99"/>
  <c r="E13" i="99"/>
  <c r="D13" i="99"/>
  <c r="C13" i="99"/>
  <c r="O12" i="99"/>
  <c r="N12" i="99"/>
  <c r="M12" i="99"/>
  <c r="L12" i="99"/>
  <c r="K12" i="99"/>
  <c r="J12" i="99"/>
  <c r="I12" i="99"/>
  <c r="H12" i="99"/>
  <c r="G12" i="99"/>
  <c r="F12" i="99"/>
  <c r="E12" i="99"/>
  <c r="D12" i="99"/>
  <c r="C12" i="99"/>
  <c r="O11" i="99"/>
  <c r="N11" i="99"/>
  <c r="M11" i="99"/>
  <c r="L11" i="99"/>
  <c r="K11" i="99"/>
  <c r="J11" i="99"/>
  <c r="I11" i="99"/>
  <c r="H11" i="99"/>
  <c r="G11" i="99"/>
  <c r="F11" i="99"/>
  <c r="E11" i="99"/>
  <c r="D11" i="99"/>
  <c r="C11" i="99"/>
  <c r="O10" i="99"/>
  <c r="N10" i="99"/>
  <c r="M10" i="99"/>
  <c r="L10" i="99"/>
  <c r="K10" i="99"/>
  <c r="J10" i="99"/>
  <c r="I10" i="99"/>
  <c r="H10" i="99"/>
  <c r="G10" i="99"/>
  <c r="F10" i="99"/>
  <c r="E10" i="99"/>
  <c r="D10" i="99"/>
  <c r="C10" i="99"/>
  <c r="O9" i="99"/>
  <c r="N9" i="99"/>
  <c r="M9" i="99"/>
  <c r="L9" i="99"/>
  <c r="K9" i="99"/>
  <c r="J9" i="99"/>
  <c r="I9" i="99"/>
  <c r="H9" i="99"/>
  <c r="G9" i="99"/>
  <c r="F9" i="99"/>
  <c r="E9" i="99"/>
  <c r="D9" i="99"/>
  <c r="C9" i="99"/>
  <c r="O8" i="99"/>
  <c r="N8" i="99"/>
  <c r="M8" i="99"/>
  <c r="L8" i="99"/>
  <c r="K8" i="99"/>
  <c r="J8" i="99"/>
  <c r="I8" i="99"/>
  <c r="H8" i="99"/>
  <c r="G8" i="99"/>
  <c r="F8" i="99"/>
  <c r="E8" i="99"/>
  <c r="D8" i="99"/>
  <c r="C8" i="99"/>
  <c r="O7" i="99"/>
  <c r="N7" i="99"/>
  <c r="M7" i="99"/>
  <c r="L7" i="99"/>
  <c r="K7" i="99"/>
  <c r="J7" i="99"/>
  <c r="I7" i="99"/>
  <c r="H7" i="99"/>
  <c r="G7" i="99"/>
  <c r="F7" i="99"/>
  <c r="E7" i="99"/>
  <c r="D7" i="99"/>
  <c r="C7" i="99"/>
  <c r="O3" i="83"/>
  <c r="O4" i="83"/>
  <c r="O5" i="83"/>
  <c r="O78" i="83"/>
  <c r="N3" i="83"/>
  <c r="N4" i="83"/>
  <c r="N5" i="83"/>
  <c r="N78" i="83"/>
  <c r="M3" i="83"/>
  <c r="M4" i="83"/>
  <c r="M5" i="83"/>
  <c r="M78" i="83"/>
  <c r="L3" i="83"/>
  <c r="L4" i="83"/>
  <c r="L5" i="83"/>
  <c r="L78" i="83"/>
  <c r="K3" i="83"/>
  <c r="K4" i="83"/>
  <c r="K5" i="83"/>
  <c r="K78" i="83"/>
  <c r="J3" i="83"/>
  <c r="J4" i="83"/>
  <c r="J5" i="83"/>
  <c r="J78" i="83"/>
  <c r="I3" i="83"/>
  <c r="I4" i="83"/>
  <c r="I5" i="83"/>
  <c r="I78" i="83"/>
  <c r="H3" i="83"/>
  <c r="H4" i="83"/>
  <c r="H5" i="83"/>
  <c r="H78" i="83"/>
  <c r="G3" i="83"/>
  <c r="G4" i="83"/>
  <c r="G5" i="83"/>
  <c r="G78" i="83"/>
  <c r="F3" i="83"/>
  <c r="F4" i="83"/>
  <c r="F5" i="83"/>
  <c r="F78" i="83"/>
  <c r="E3" i="83"/>
  <c r="E4" i="83"/>
  <c r="E5" i="83"/>
  <c r="E78" i="83"/>
  <c r="D3" i="83"/>
  <c r="D4" i="83"/>
  <c r="D5" i="83"/>
  <c r="D78" i="83"/>
  <c r="C3" i="83"/>
  <c r="C4" i="83"/>
  <c r="C5" i="83"/>
  <c r="C78" i="83"/>
  <c r="O77" i="83"/>
  <c r="N77" i="83"/>
  <c r="M77" i="83"/>
  <c r="L77" i="83"/>
  <c r="K77" i="83"/>
  <c r="J77" i="83"/>
  <c r="I77" i="83"/>
  <c r="H77" i="83"/>
  <c r="G77" i="83"/>
  <c r="F77" i="83"/>
  <c r="E77" i="83"/>
  <c r="D77" i="83"/>
  <c r="C77" i="83"/>
  <c r="O76" i="83"/>
  <c r="N76" i="83"/>
  <c r="M76" i="83"/>
  <c r="L76" i="83"/>
  <c r="K76" i="83"/>
  <c r="J76" i="83"/>
  <c r="I76" i="83"/>
  <c r="H76" i="83"/>
  <c r="G76" i="83"/>
  <c r="F76" i="83"/>
  <c r="E76" i="83"/>
  <c r="D76" i="83"/>
  <c r="C76" i="83"/>
  <c r="O75" i="83"/>
  <c r="N75" i="83"/>
  <c r="M75" i="83"/>
  <c r="L75" i="83"/>
  <c r="K75" i="83"/>
  <c r="J75" i="83"/>
  <c r="I75" i="83"/>
  <c r="H75" i="83"/>
  <c r="G75" i="83"/>
  <c r="F75" i="83"/>
  <c r="E75" i="83"/>
  <c r="D75" i="83"/>
  <c r="C75" i="83"/>
  <c r="O74" i="83"/>
  <c r="N74" i="83"/>
  <c r="M74" i="83"/>
  <c r="L74" i="83"/>
  <c r="K74" i="83"/>
  <c r="J74" i="83"/>
  <c r="I74" i="83"/>
  <c r="H74" i="83"/>
  <c r="G74" i="83"/>
  <c r="F74" i="83"/>
  <c r="E74" i="83"/>
  <c r="D74" i="83"/>
  <c r="C74" i="83"/>
  <c r="O73" i="83"/>
  <c r="N73" i="83"/>
  <c r="M73" i="83"/>
  <c r="L73" i="83"/>
  <c r="K73" i="83"/>
  <c r="J73" i="83"/>
  <c r="I73" i="83"/>
  <c r="H73" i="83"/>
  <c r="G73" i="83"/>
  <c r="F73" i="83"/>
  <c r="E73" i="83"/>
  <c r="D73" i="83"/>
  <c r="C73" i="83"/>
  <c r="O72" i="83"/>
  <c r="N72" i="83"/>
  <c r="M72" i="83"/>
  <c r="L72" i="83"/>
  <c r="K72" i="83"/>
  <c r="J72" i="83"/>
  <c r="I72" i="83"/>
  <c r="H72" i="83"/>
  <c r="G72" i="83"/>
  <c r="F72" i="83"/>
  <c r="E72" i="83"/>
  <c r="D72" i="83"/>
  <c r="C72" i="83"/>
  <c r="O71" i="83"/>
  <c r="N71" i="83"/>
  <c r="M71" i="83"/>
  <c r="L71" i="83"/>
  <c r="K71" i="83"/>
  <c r="J71" i="83"/>
  <c r="I71" i="83"/>
  <c r="H71" i="83"/>
  <c r="G71" i="83"/>
  <c r="F71" i="83"/>
  <c r="E71" i="83"/>
  <c r="D71" i="83"/>
  <c r="C71" i="83"/>
  <c r="O70" i="83"/>
  <c r="N70" i="83"/>
  <c r="M70" i="83"/>
  <c r="L70" i="83"/>
  <c r="K70" i="83"/>
  <c r="J70" i="83"/>
  <c r="I70" i="83"/>
  <c r="H70" i="83"/>
  <c r="G70" i="83"/>
  <c r="F70" i="83"/>
  <c r="E70" i="83"/>
  <c r="D70" i="83"/>
  <c r="C70" i="83"/>
  <c r="O69" i="83"/>
  <c r="N69" i="83"/>
  <c r="M69" i="83"/>
  <c r="L69" i="83"/>
  <c r="K69" i="83"/>
  <c r="J69" i="83"/>
  <c r="I69" i="83"/>
  <c r="H69" i="83"/>
  <c r="G69" i="83"/>
  <c r="F69" i="83"/>
  <c r="E69" i="83"/>
  <c r="D69" i="83"/>
  <c r="C69" i="83"/>
  <c r="O68" i="83"/>
  <c r="N68" i="83"/>
  <c r="M68" i="83"/>
  <c r="L68" i="83"/>
  <c r="K68" i="83"/>
  <c r="J68" i="83"/>
  <c r="I68" i="83"/>
  <c r="H68" i="83"/>
  <c r="G68" i="83"/>
  <c r="F68" i="83"/>
  <c r="E68" i="83"/>
  <c r="D68" i="83"/>
  <c r="C68" i="83"/>
  <c r="O67" i="83"/>
  <c r="N67" i="83"/>
  <c r="M67" i="83"/>
  <c r="L67" i="83"/>
  <c r="K67" i="83"/>
  <c r="J67" i="83"/>
  <c r="I67" i="83"/>
  <c r="H67" i="83"/>
  <c r="G67" i="83"/>
  <c r="F67" i="83"/>
  <c r="E67" i="83"/>
  <c r="D67" i="83"/>
  <c r="C67" i="83"/>
  <c r="O66" i="83"/>
  <c r="N66" i="83"/>
  <c r="M66" i="83"/>
  <c r="L66" i="83"/>
  <c r="K66" i="83"/>
  <c r="J66" i="83"/>
  <c r="I66" i="83"/>
  <c r="H66" i="83"/>
  <c r="G66" i="83"/>
  <c r="F66" i="83"/>
  <c r="E66" i="83"/>
  <c r="D66" i="83"/>
  <c r="C66" i="83"/>
  <c r="O65" i="83"/>
  <c r="N65" i="83"/>
  <c r="M65" i="83"/>
  <c r="L65" i="83"/>
  <c r="K65" i="83"/>
  <c r="J65" i="83"/>
  <c r="I65" i="83"/>
  <c r="H65" i="83"/>
  <c r="G65" i="83"/>
  <c r="F65" i="83"/>
  <c r="E65" i="83"/>
  <c r="D65" i="83"/>
  <c r="C65" i="83"/>
  <c r="O64" i="83"/>
  <c r="N64" i="83"/>
  <c r="M64" i="83"/>
  <c r="L64" i="83"/>
  <c r="K64" i="83"/>
  <c r="J64" i="83"/>
  <c r="I64" i="83"/>
  <c r="H64" i="83"/>
  <c r="G64" i="83"/>
  <c r="F64" i="83"/>
  <c r="E64" i="83"/>
  <c r="D64" i="83"/>
  <c r="C64" i="83"/>
  <c r="O63" i="83"/>
  <c r="N63" i="83"/>
  <c r="M63" i="83"/>
  <c r="L63" i="83"/>
  <c r="K63" i="83"/>
  <c r="J63" i="83"/>
  <c r="I63" i="83"/>
  <c r="H63" i="83"/>
  <c r="G63" i="83"/>
  <c r="F63" i="83"/>
  <c r="E63" i="83"/>
  <c r="D63" i="83"/>
  <c r="C63" i="83"/>
  <c r="O62" i="83"/>
  <c r="N62" i="83"/>
  <c r="M62" i="83"/>
  <c r="L62" i="83"/>
  <c r="K62" i="83"/>
  <c r="J62" i="83"/>
  <c r="I62" i="83"/>
  <c r="H62" i="83"/>
  <c r="G62" i="83"/>
  <c r="F62" i="83"/>
  <c r="E62" i="83"/>
  <c r="D62" i="83"/>
  <c r="C62" i="83"/>
  <c r="O61" i="83"/>
  <c r="N61" i="83"/>
  <c r="M61" i="83"/>
  <c r="L61" i="83"/>
  <c r="K61" i="83"/>
  <c r="J61" i="83"/>
  <c r="I61" i="83"/>
  <c r="H61" i="83"/>
  <c r="G61" i="83"/>
  <c r="F61" i="83"/>
  <c r="E61" i="83"/>
  <c r="D61" i="83"/>
  <c r="C61" i="83"/>
  <c r="O60" i="83"/>
  <c r="N60" i="83"/>
  <c r="M60" i="83"/>
  <c r="L60" i="83"/>
  <c r="K60" i="83"/>
  <c r="J60" i="83"/>
  <c r="I60" i="83"/>
  <c r="H60" i="83"/>
  <c r="G60" i="83"/>
  <c r="F60" i="83"/>
  <c r="E60" i="83"/>
  <c r="D60" i="83"/>
  <c r="C60" i="83"/>
  <c r="O59" i="83"/>
  <c r="N59" i="83"/>
  <c r="M59" i="83"/>
  <c r="L59" i="83"/>
  <c r="K59" i="83"/>
  <c r="J59" i="83"/>
  <c r="I59" i="83"/>
  <c r="H59" i="83"/>
  <c r="G59" i="83"/>
  <c r="F59" i="83"/>
  <c r="E59" i="83"/>
  <c r="D59" i="83"/>
  <c r="C59" i="83"/>
  <c r="O58" i="83"/>
  <c r="N58" i="83"/>
  <c r="M58" i="83"/>
  <c r="L58" i="83"/>
  <c r="K58" i="83"/>
  <c r="J58" i="83"/>
  <c r="I58" i="83"/>
  <c r="H58" i="83"/>
  <c r="G58" i="83"/>
  <c r="F58" i="83"/>
  <c r="E58" i="83"/>
  <c r="D58" i="83"/>
  <c r="C58" i="83"/>
  <c r="O57" i="83"/>
  <c r="N57" i="83"/>
  <c r="M57" i="83"/>
  <c r="L57" i="83"/>
  <c r="K57" i="83"/>
  <c r="J57" i="83"/>
  <c r="I57" i="83"/>
  <c r="H57" i="83"/>
  <c r="G57" i="83"/>
  <c r="F57" i="83"/>
  <c r="E57" i="83"/>
  <c r="D57" i="83"/>
  <c r="C57" i="83"/>
  <c r="O56" i="83"/>
  <c r="N56" i="83"/>
  <c r="M56" i="83"/>
  <c r="L56" i="83"/>
  <c r="K56" i="83"/>
  <c r="J56" i="83"/>
  <c r="I56" i="83"/>
  <c r="H56" i="83"/>
  <c r="G56" i="83"/>
  <c r="F56" i="83"/>
  <c r="E56" i="83"/>
  <c r="D56" i="83"/>
  <c r="C56" i="83"/>
  <c r="O55" i="83"/>
  <c r="N55" i="83"/>
  <c r="M55" i="83"/>
  <c r="L55" i="83"/>
  <c r="K55" i="83"/>
  <c r="J55" i="83"/>
  <c r="I55" i="83"/>
  <c r="H55" i="83"/>
  <c r="G55" i="83"/>
  <c r="F55" i="83"/>
  <c r="E55" i="83"/>
  <c r="D55" i="83"/>
  <c r="C55" i="83"/>
  <c r="O54" i="83"/>
  <c r="N54" i="83"/>
  <c r="M54" i="83"/>
  <c r="L54" i="83"/>
  <c r="K54" i="83"/>
  <c r="J54" i="83"/>
  <c r="I54" i="83"/>
  <c r="H54" i="83"/>
  <c r="G54" i="83"/>
  <c r="F54" i="83"/>
  <c r="E54" i="83"/>
  <c r="D54" i="83"/>
  <c r="C54" i="83"/>
  <c r="O53" i="83"/>
  <c r="N53" i="83"/>
  <c r="M53" i="83"/>
  <c r="L53" i="83"/>
  <c r="K53" i="83"/>
  <c r="J53" i="83"/>
  <c r="I53" i="83"/>
  <c r="H53" i="83"/>
  <c r="G53" i="83"/>
  <c r="F53" i="83"/>
  <c r="E53" i="83"/>
  <c r="D53" i="83"/>
  <c r="C53" i="83"/>
  <c r="O52" i="83"/>
  <c r="N52" i="83"/>
  <c r="M52" i="83"/>
  <c r="L52" i="83"/>
  <c r="K52" i="83"/>
  <c r="J52" i="83"/>
  <c r="I52" i="83"/>
  <c r="H52" i="83"/>
  <c r="G52" i="83"/>
  <c r="F52" i="83"/>
  <c r="E52" i="83"/>
  <c r="D52" i="83"/>
  <c r="C52" i="83"/>
  <c r="O51" i="83"/>
  <c r="N51" i="83"/>
  <c r="M51" i="83"/>
  <c r="L51" i="83"/>
  <c r="K51" i="83"/>
  <c r="J51" i="83"/>
  <c r="I51" i="83"/>
  <c r="H51" i="83"/>
  <c r="G51" i="83"/>
  <c r="F51" i="83"/>
  <c r="E51" i="83"/>
  <c r="D51" i="83"/>
  <c r="C51" i="83"/>
  <c r="O50" i="83"/>
  <c r="N50" i="83"/>
  <c r="M50" i="83"/>
  <c r="L50" i="83"/>
  <c r="K50" i="83"/>
  <c r="J50" i="83"/>
  <c r="I50" i="83"/>
  <c r="H50" i="83"/>
  <c r="G50" i="83"/>
  <c r="F50" i="83"/>
  <c r="E50" i="83"/>
  <c r="D50" i="83"/>
  <c r="C50" i="83"/>
  <c r="O49" i="83"/>
  <c r="N49" i="83"/>
  <c r="M49" i="83"/>
  <c r="L49" i="83"/>
  <c r="K49" i="83"/>
  <c r="J49" i="83"/>
  <c r="I49" i="83"/>
  <c r="H49" i="83"/>
  <c r="G49" i="83"/>
  <c r="F49" i="83"/>
  <c r="E49" i="83"/>
  <c r="D49" i="83"/>
  <c r="C49" i="83"/>
  <c r="O48" i="83"/>
  <c r="N48" i="83"/>
  <c r="M48" i="83"/>
  <c r="L48" i="83"/>
  <c r="K48" i="83"/>
  <c r="J48" i="83"/>
  <c r="I48" i="83"/>
  <c r="H48" i="83"/>
  <c r="G48" i="83"/>
  <c r="F48" i="83"/>
  <c r="E48" i="83"/>
  <c r="D48" i="83"/>
  <c r="C48" i="83"/>
  <c r="O47" i="83"/>
  <c r="N47" i="83"/>
  <c r="M47" i="83"/>
  <c r="L47" i="83"/>
  <c r="K47" i="83"/>
  <c r="J47" i="83"/>
  <c r="I47" i="83"/>
  <c r="H47" i="83"/>
  <c r="G47" i="83"/>
  <c r="F47" i="83"/>
  <c r="E47" i="83"/>
  <c r="D47" i="83"/>
  <c r="C47" i="83"/>
  <c r="O46" i="83"/>
  <c r="N46" i="83"/>
  <c r="M46" i="83"/>
  <c r="L46" i="83"/>
  <c r="K46" i="83"/>
  <c r="J46" i="83"/>
  <c r="I46" i="83"/>
  <c r="H46" i="83"/>
  <c r="G46" i="83"/>
  <c r="F46" i="83"/>
  <c r="E46" i="83"/>
  <c r="D46" i="83"/>
  <c r="C46" i="83"/>
  <c r="O45" i="83"/>
  <c r="N45" i="83"/>
  <c r="M45" i="83"/>
  <c r="L45" i="83"/>
  <c r="K45" i="83"/>
  <c r="J45" i="83"/>
  <c r="I45" i="83"/>
  <c r="H45" i="83"/>
  <c r="G45" i="83"/>
  <c r="F45" i="83"/>
  <c r="E45" i="83"/>
  <c r="D45" i="83"/>
  <c r="C45" i="83"/>
  <c r="O44" i="83"/>
  <c r="N44" i="83"/>
  <c r="M44" i="83"/>
  <c r="L44" i="83"/>
  <c r="K44" i="83"/>
  <c r="J44" i="83"/>
  <c r="I44" i="83"/>
  <c r="H44" i="83"/>
  <c r="G44" i="83"/>
  <c r="F44" i="83"/>
  <c r="E44" i="83"/>
  <c r="D44" i="83"/>
  <c r="C44" i="83"/>
  <c r="O43" i="83"/>
  <c r="N43" i="83"/>
  <c r="M43" i="83"/>
  <c r="L43" i="83"/>
  <c r="K43" i="83"/>
  <c r="J43" i="83"/>
  <c r="I43" i="83"/>
  <c r="H43" i="83"/>
  <c r="G43" i="83"/>
  <c r="F43" i="83"/>
  <c r="E43" i="83"/>
  <c r="D43" i="83"/>
  <c r="C43" i="83"/>
  <c r="O42" i="83"/>
  <c r="N42" i="83"/>
  <c r="M42" i="83"/>
  <c r="L42" i="83"/>
  <c r="K42" i="83"/>
  <c r="J42" i="83"/>
  <c r="I42" i="83"/>
  <c r="H42" i="83"/>
  <c r="G42" i="83"/>
  <c r="F42" i="83"/>
  <c r="E42" i="83"/>
  <c r="D42" i="83"/>
  <c r="C42" i="83"/>
  <c r="O41" i="83"/>
  <c r="N41" i="83"/>
  <c r="M41" i="83"/>
  <c r="L41" i="83"/>
  <c r="K41" i="83"/>
  <c r="J41" i="83"/>
  <c r="I41" i="83"/>
  <c r="H41" i="83"/>
  <c r="G41" i="83"/>
  <c r="F41" i="83"/>
  <c r="E41" i="83"/>
  <c r="D41" i="83"/>
  <c r="C41" i="83"/>
  <c r="O40" i="83"/>
  <c r="N40" i="83"/>
  <c r="M40" i="83"/>
  <c r="L40" i="83"/>
  <c r="K40" i="83"/>
  <c r="J40" i="83"/>
  <c r="I40" i="83"/>
  <c r="H40" i="83"/>
  <c r="G40" i="83"/>
  <c r="F40" i="83"/>
  <c r="E40" i="83"/>
  <c r="D40" i="83"/>
  <c r="C40" i="83"/>
  <c r="O39" i="83"/>
  <c r="N39" i="83"/>
  <c r="M39" i="83"/>
  <c r="L39" i="83"/>
  <c r="K39" i="83"/>
  <c r="J39" i="83"/>
  <c r="I39" i="83"/>
  <c r="H39" i="83"/>
  <c r="G39" i="83"/>
  <c r="F39" i="83"/>
  <c r="E39" i="83"/>
  <c r="D39" i="83"/>
  <c r="C39" i="83"/>
  <c r="O38" i="83"/>
  <c r="N38" i="83"/>
  <c r="M38" i="83"/>
  <c r="L38" i="83"/>
  <c r="K38" i="83"/>
  <c r="J38" i="83"/>
  <c r="I38" i="83"/>
  <c r="H38" i="83"/>
  <c r="G38" i="83"/>
  <c r="F38" i="83"/>
  <c r="E38" i="83"/>
  <c r="D38" i="83"/>
  <c r="C38" i="83"/>
  <c r="O37" i="83"/>
  <c r="N37" i="83"/>
  <c r="M37" i="83"/>
  <c r="L37" i="83"/>
  <c r="K37" i="83"/>
  <c r="J37" i="83"/>
  <c r="I37" i="83"/>
  <c r="H37" i="83"/>
  <c r="G37" i="83"/>
  <c r="F37" i="83"/>
  <c r="E37" i="83"/>
  <c r="D37" i="83"/>
  <c r="C37" i="83"/>
  <c r="O36" i="83"/>
  <c r="N36" i="83"/>
  <c r="M36" i="83"/>
  <c r="L36" i="83"/>
  <c r="K36" i="83"/>
  <c r="J36" i="83"/>
  <c r="I36" i="83"/>
  <c r="H36" i="83"/>
  <c r="G36" i="83"/>
  <c r="F36" i="83"/>
  <c r="E36" i="83"/>
  <c r="D36" i="83"/>
  <c r="C36" i="83"/>
  <c r="O35" i="83"/>
  <c r="N35" i="83"/>
  <c r="M35" i="83"/>
  <c r="L35" i="83"/>
  <c r="K35" i="83"/>
  <c r="J35" i="83"/>
  <c r="I35" i="83"/>
  <c r="H35" i="83"/>
  <c r="G35" i="83"/>
  <c r="F35" i="83"/>
  <c r="E35" i="83"/>
  <c r="D35" i="83"/>
  <c r="C35" i="83"/>
  <c r="O34" i="83"/>
  <c r="N34" i="83"/>
  <c r="M34" i="83"/>
  <c r="L34" i="83"/>
  <c r="K34" i="83"/>
  <c r="J34" i="83"/>
  <c r="I34" i="83"/>
  <c r="H34" i="83"/>
  <c r="G34" i="83"/>
  <c r="F34" i="83"/>
  <c r="E34" i="83"/>
  <c r="D34" i="83"/>
  <c r="C34" i="83"/>
  <c r="O33" i="83"/>
  <c r="N33" i="83"/>
  <c r="M33" i="83"/>
  <c r="L33" i="83"/>
  <c r="K33" i="83"/>
  <c r="J33" i="83"/>
  <c r="I33" i="83"/>
  <c r="H33" i="83"/>
  <c r="G33" i="83"/>
  <c r="F33" i="83"/>
  <c r="E33" i="83"/>
  <c r="D33" i="83"/>
  <c r="C33" i="83"/>
  <c r="O32" i="83"/>
  <c r="N32" i="83"/>
  <c r="M32" i="83"/>
  <c r="L32" i="83"/>
  <c r="K32" i="83"/>
  <c r="J32" i="83"/>
  <c r="I32" i="83"/>
  <c r="H32" i="83"/>
  <c r="G32" i="83"/>
  <c r="F32" i="83"/>
  <c r="E32" i="83"/>
  <c r="D32" i="83"/>
  <c r="C32" i="83"/>
  <c r="O31" i="83"/>
  <c r="N31" i="83"/>
  <c r="M31" i="83"/>
  <c r="L31" i="83"/>
  <c r="K31" i="83"/>
  <c r="J31" i="83"/>
  <c r="I31" i="83"/>
  <c r="H31" i="83"/>
  <c r="G31" i="83"/>
  <c r="F31" i="83"/>
  <c r="E31" i="83"/>
  <c r="D31" i="83"/>
  <c r="C31" i="83"/>
  <c r="O30" i="83"/>
  <c r="N30" i="83"/>
  <c r="M30" i="83"/>
  <c r="L30" i="83"/>
  <c r="K30" i="83"/>
  <c r="J30" i="83"/>
  <c r="I30" i="83"/>
  <c r="H30" i="83"/>
  <c r="G30" i="83"/>
  <c r="F30" i="83"/>
  <c r="E30" i="83"/>
  <c r="D30" i="83"/>
  <c r="C30" i="83"/>
  <c r="O29" i="83"/>
  <c r="N29" i="83"/>
  <c r="M29" i="83"/>
  <c r="L29" i="83"/>
  <c r="K29" i="83"/>
  <c r="J29" i="83"/>
  <c r="I29" i="83"/>
  <c r="H29" i="83"/>
  <c r="G29" i="83"/>
  <c r="F29" i="83"/>
  <c r="E29" i="83"/>
  <c r="D29" i="83"/>
  <c r="C29" i="83"/>
  <c r="O28" i="83"/>
  <c r="N28" i="83"/>
  <c r="M28" i="83"/>
  <c r="L28" i="83"/>
  <c r="K28" i="83"/>
  <c r="J28" i="83"/>
  <c r="I28" i="83"/>
  <c r="H28" i="83"/>
  <c r="G28" i="83"/>
  <c r="F28" i="83"/>
  <c r="E28" i="83"/>
  <c r="D28" i="83"/>
  <c r="C28" i="83"/>
  <c r="O27" i="83"/>
  <c r="N27" i="83"/>
  <c r="M27" i="83"/>
  <c r="L27" i="83"/>
  <c r="K27" i="83"/>
  <c r="J27" i="83"/>
  <c r="I27" i="83"/>
  <c r="H27" i="83"/>
  <c r="G27" i="83"/>
  <c r="F27" i="83"/>
  <c r="E27" i="83"/>
  <c r="D27" i="83"/>
  <c r="C27" i="83"/>
  <c r="O26" i="83"/>
  <c r="N26" i="83"/>
  <c r="M26" i="83"/>
  <c r="L26" i="83"/>
  <c r="K26" i="83"/>
  <c r="J26" i="83"/>
  <c r="I26" i="83"/>
  <c r="H26" i="83"/>
  <c r="G26" i="83"/>
  <c r="F26" i="83"/>
  <c r="E26" i="83"/>
  <c r="D26" i="83"/>
  <c r="C26" i="83"/>
  <c r="O25" i="83"/>
  <c r="N25" i="83"/>
  <c r="M25" i="83"/>
  <c r="L25" i="83"/>
  <c r="K25" i="83"/>
  <c r="J25" i="83"/>
  <c r="I25" i="83"/>
  <c r="H25" i="83"/>
  <c r="G25" i="83"/>
  <c r="F25" i="83"/>
  <c r="E25" i="83"/>
  <c r="D25" i="83"/>
  <c r="C25" i="83"/>
  <c r="O24" i="83"/>
  <c r="N24" i="83"/>
  <c r="M24" i="83"/>
  <c r="L24" i="83"/>
  <c r="K24" i="83"/>
  <c r="J24" i="83"/>
  <c r="I24" i="83"/>
  <c r="H24" i="83"/>
  <c r="G24" i="83"/>
  <c r="F24" i="83"/>
  <c r="E24" i="83"/>
  <c r="D24" i="83"/>
  <c r="C24" i="83"/>
  <c r="O23" i="83"/>
  <c r="N23" i="83"/>
  <c r="M23" i="83"/>
  <c r="L23" i="83"/>
  <c r="K23" i="83"/>
  <c r="J23" i="83"/>
  <c r="I23" i="83"/>
  <c r="H23" i="83"/>
  <c r="G23" i="83"/>
  <c r="F23" i="83"/>
  <c r="E23" i="83"/>
  <c r="D23" i="83"/>
  <c r="C23" i="83"/>
  <c r="O22" i="83"/>
  <c r="N22" i="83"/>
  <c r="M22" i="83"/>
  <c r="L22" i="83"/>
  <c r="K22" i="83"/>
  <c r="J22" i="83"/>
  <c r="I22" i="83"/>
  <c r="H22" i="83"/>
  <c r="G22" i="83"/>
  <c r="F22" i="83"/>
  <c r="E22" i="83"/>
  <c r="D22" i="83"/>
  <c r="C22" i="83"/>
  <c r="O21" i="83"/>
  <c r="N21" i="83"/>
  <c r="M21" i="83"/>
  <c r="L21" i="83"/>
  <c r="K21" i="83"/>
  <c r="J21" i="83"/>
  <c r="I21" i="83"/>
  <c r="H21" i="83"/>
  <c r="G21" i="83"/>
  <c r="F21" i="83"/>
  <c r="E21" i="83"/>
  <c r="D21" i="83"/>
  <c r="C21" i="83"/>
  <c r="O20" i="83"/>
  <c r="N20" i="83"/>
  <c r="M20" i="83"/>
  <c r="L20" i="83"/>
  <c r="K20" i="83"/>
  <c r="J20" i="83"/>
  <c r="I20" i="83"/>
  <c r="H20" i="83"/>
  <c r="G20" i="83"/>
  <c r="F20" i="83"/>
  <c r="E20" i="83"/>
  <c r="D20" i="83"/>
  <c r="C20" i="83"/>
  <c r="O19" i="83"/>
  <c r="N19" i="83"/>
  <c r="M19" i="83"/>
  <c r="L19" i="83"/>
  <c r="K19" i="83"/>
  <c r="J19" i="83"/>
  <c r="I19" i="83"/>
  <c r="H19" i="83"/>
  <c r="G19" i="83"/>
  <c r="F19" i="83"/>
  <c r="E19" i="83"/>
  <c r="D19" i="83"/>
  <c r="C19" i="83"/>
  <c r="O18" i="83"/>
  <c r="N18" i="83"/>
  <c r="M18" i="83"/>
  <c r="L18" i="83"/>
  <c r="K18" i="83"/>
  <c r="J18" i="83"/>
  <c r="I18" i="83"/>
  <c r="H18" i="83"/>
  <c r="G18" i="83"/>
  <c r="F18" i="83"/>
  <c r="E18" i="83"/>
  <c r="D18" i="83"/>
  <c r="C18" i="83"/>
  <c r="O17" i="83"/>
  <c r="N17" i="83"/>
  <c r="M17" i="83"/>
  <c r="L17" i="83"/>
  <c r="K17" i="83"/>
  <c r="J17" i="83"/>
  <c r="I17" i="83"/>
  <c r="H17" i="83"/>
  <c r="G17" i="83"/>
  <c r="F17" i="83"/>
  <c r="E17" i="83"/>
  <c r="D17" i="83"/>
  <c r="C17" i="83"/>
  <c r="O16" i="83"/>
  <c r="N16" i="83"/>
  <c r="M16" i="83"/>
  <c r="L16" i="83"/>
  <c r="K16" i="83"/>
  <c r="J16" i="83"/>
  <c r="I16" i="83"/>
  <c r="H16" i="83"/>
  <c r="G16" i="83"/>
  <c r="F16" i="83"/>
  <c r="E16" i="83"/>
  <c r="D16" i="83"/>
  <c r="C16" i="83"/>
  <c r="O15" i="83"/>
  <c r="N15" i="83"/>
  <c r="M15" i="83"/>
  <c r="L15" i="83"/>
  <c r="K15" i="83"/>
  <c r="J15" i="83"/>
  <c r="I15" i="83"/>
  <c r="H15" i="83"/>
  <c r="G15" i="83"/>
  <c r="F15" i="83"/>
  <c r="E15" i="83"/>
  <c r="D15" i="83"/>
  <c r="C15" i="83"/>
  <c r="O14" i="83"/>
  <c r="N14" i="83"/>
  <c r="M14" i="83"/>
  <c r="L14" i="83"/>
  <c r="K14" i="83"/>
  <c r="J14" i="83"/>
  <c r="I14" i="83"/>
  <c r="H14" i="83"/>
  <c r="G14" i="83"/>
  <c r="F14" i="83"/>
  <c r="E14" i="83"/>
  <c r="D14" i="83"/>
  <c r="C14" i="83"/>
  <c r="O13" i="83"/>
  <c r="N13" i="83"/>
  <c r="M13" i="83"/>
  <c r="L13" i="83"/>
  <c r="K13" i="83"/>
  <c r="J13" i="83"/>
  <c r="I13" i="83"/>
  <c r="H13" i="83"/>
  <c r="G13" i="83"/>
  <c r="F13" i="83"/>
  <c r="E13" i="83"/>
  <c r="D13" i="83"/>
  <c r="C13" i="83"/>
  <c r="O12" i="83"/>
  <c r="N12" i="83"/>
  <c r="M12" i="83"/>
  <c r="L12" i="83"/>
  <c r="K12" i="83"/>
  <c r="J12" i="83"/>
  <c r="I12" i="83"/>
  <c r="H12" i="83"/>
  <c r="G12" i="83"/>
  <c r="F12" i="83"/>
  <c r="E12" i="83"/>
  <c r="D12" i="83"/>
  <c r="C12" i="83"/>
  <c r="O11" i="83"/>
  <c r="N11" i="83"/>
  <c r="M11" i="83"/>
  <c r="L11" i="83"/>
  <c r="K11" i="83"/>
  <c r="J11" i="83"/>
  <c r="I11" i="83"/>
  <c r="H11" i="83"/>
  <c r="G11" i="83"/>
  <c r="F11" i="83"/>
  <c r="E11" i="83"/>
  <c r="D11" i="83"/>
  <c r="C11" i="83"/>
  <c r="O10" i="83"/>
  <c r="N10" i="83"/>
  <c r="M10" i="83"/>
  <c r="L10" i="83"/>
  <c r="K10" i="83"/>
  <c r="J10" i="83"/>
  <c r="I10" i="83"/>
  <c r="H10" i="83"/>
  <c r="G10" i="83"/>
  <c r="F10" i="83"/>
  <c r="E10" i="83"/>
  <c r="D10" i="83"/>
  <c r="C10" i="83"/>
  <c r="O9" i="83"/>
  <c r="N9" i="83"/>
  <c r="M9" i="83"/>
  <c r="L9" i="83"/>
  <c r="K9" i="83"/>
  <c r="J9" i="83"/>
  <c r="I9" i="83"/>
  <c r="H9" i="83"/>
  <c r="G9" i="83"/>
  <c r="F9" i="83"/>
  <c r="E9" i="83"/>
  <c r="D9" i="83"/>
  <c r="C9" i="83"/>
  <c r="O8" i="83"/>
  <c r="N8" i="83"/>
  <c r="M8" i="83"/>
  <c r="L8" i="83"/>
  <c r="K8" i="83"/>
  <c r="J8" i="83"/>
  <c r="I8" i="83"/>
  <c r="H8" i="83"/>
  <c r="G8" i="83"/>
  <c r="F8" i="83"/>
  <c r="E8" i="83"/>
  <c r="D8" i="83"/>
  <c r="C8" i="83"/>
  <c r="N7" i="83"/>
  <c r="M7" i="83"/>
  <c r="L7" i="83"/>
  <c r="K7" i="83"/>
  <c r="J7" i="83"/>
  <c r="I7" i="83"/>
  <c r="H7" i="83"/>
  <c r="G7" i="83"/>
  <c r="F7" i="83"/>
  <c r="E7" i="83"/>
  <c r="D7" i="83"/>
  <c r="C7" i="83"/>
  <c r="O3" i="82"/>
  <c r="O4" i="82"/>
  <c r="O5" i="82"/>
  <c r="O177" i="82"/>
  <c r="N3" i="82"/>
  <c r="N4" i="82"/>
  <c r="N5" i="82"/>
  <c r="N177" i="82"/>
  <c r="M3" i="82"/>
  <c r="M4" i="82"/>
  <c r="M5" i="82"/>
  <c r="M177" i="82"/>
  <c r="L3" i="82"/>
  <c r="L4" i="82"/>
  <c r="L5" i="82"/>
  <c r="L177" i="82"/>
  <c r="K3" i="82"/>
  <c r="K4" i="82"/>
  <c r="K5" i="82"/>
  <c r="K177" i="82"/>
  <c r="J3" i="82"/>
  <c r="J4" i="82"/>
  <c r="J5" i="82"/>
  <c r="J177" i="82"/>
  <c r="I3" i="82"/>
  <c r="I4" i="82"/>
  <c r="I5" i="82"/>
  <c r="I177" i="82"/>
  <c r="H3" i="82"/>
  <c r="H4" i="82"/>
  <c r="H5" i="82"/>
  <c r="H177" i="82"/>
  <c r="G3" i="82"/>
  <c r="G4" i="82"/>
  <c r="G5" i="82"/>
  <c r="G177" i="82"/>
  <c r="F3" i="82"/>
  <c r="F4" i="82"/>
  <c r="F5" i="82"/>
  <c r="F177" i="82"/>
  <c r="E3" i="82"/>
  <c r="E4" i="82"/>
  <c r="E5" i="82"/>
  <c r="E177" i="82"/>
  <c r="D3" i="82"/>
  <c r="D4" i="82"/>
  <c r="D5" i="82"/>
  <c r="D177" i="82"/>
  <c r="C3" i="82"/>
  <c r="C4" i="82"/>
  <c r="C5" i="82"/>
  <c r="C177" i="82"/>
  <c r="O176" i="82"/>
  <c r="N176" i="82"/>
  <c r="M176" i="82"/>
  <c r="L176" i="82"/>
  <c r="K176" i="82"/>
  <c r="J176" i="82"/>
  <c r="I176" i="82"/>
  <c r="H176" i="82"/>
  <c r="G176" i="82"/>
  <c r="F176" i="82"/>
  <c r="E176" i="82"/>
  <c r="D176" i="82"/>
  <c r="C176" i="82"/>
  <c r="O175" i="82"/>
  <c r="N175" i="82"/>
  <c r="M175" i="82"/>
  <c r="L175" i="82"/>
  <c r="K175" i="82"/>
  <c r="J175" i="82"/>
  <c r="I175" i="82"/>
  <c r="H175" i="82"/>
  <c r="G175" i="82"/>
  <c r="F175" i="82"/>
  <c r="E175" i="82"/>
  <c r="D175" i="82"/>
  <c r="C175" i="82"/>
  <c r="O174" i="82"/>
  <c r="N174" i="82"/>
  <c r="M174" i="82"/>
  <c r="L174" i="82"/>
  <c r="K174" i="82"/>
  <c r="J174" i="82"/>
  <c r="I174" i="82"/>
  <c r="H174" i="82"/>
  <c r="G174" i="82"/>
  <c r="F174" i="82"/>
  <c r="E174" i="82"/>
  <c r="D174" i="82"/>
  <c r="C174" i="82"/>
  <c r="O173" i="82"/>
  <c r="N173" i="82"/>
  <c r="M173" i="82"/>
  <c r="L173" i="82"/>
  <c r="K173" i="82"/>
  <c r="J173" i="82"/>
  <c r="I173" i="82"/>
  <c r="H173" i="82"/>
  <c r="G173" i="82"/>
  <c r="F173" i="82"/>
  <c r="E173" i="82"/>
  <c r="D173" i="82"/>
  <c r="C173" i="82"/>
  <c r="O172" i="82"/>
  <c r="N172" i="82"/>
  <c r="M172" i="82"/>
  <c r="L172" i="82"/>
  <c r="K172" i="82"/>
  <c r="J172" i="82"/>
  <c r="I172" i="82"/>
  <c r="H172" i="82"/>
  <c r="G172" i="82"/>
  <c r="F172" i="82"/>
  <c r="E172" i="82"/>
  <c r="D172" i="82"/>
  <c r="C172" i="82"/>
  <c r="O171" i="82"/>
  <c r="N171" i="82"/>
  <c r="M171" i="82"/>
  <c r="L171" i="82"/>
  <c r="K171" i="82"/>
  <c r="J171" i="82"/>
  <c r="I171" i="82"/>
  <c r="H171" i="82"/>
  <c r="G171" i="82"/>
  <c r="F171" i="82"/>
  <c r="E171" i="82"/>
  <c r="D171" i="82"/>
  <c r="C171" i="82"/>
  <c r="O170" i="82"/>
  <c r="N170" i="82"/>
  <c r="M170" i="82"/>
  <c r="L170" i="82"/>
  <c r="K170" i="82"/>
  <c r="J170" i="82"/>
  <c r="I170" i="82"/>
  <c r="H170" i="82"/>
  <c r="G170" i="82"/>
  <c r="F170" i="82"/>
  <c r="E170" i="82"/>
  <c r="D170" i="82"/>
  <c r="C170" i="82"/>
  <c r="O169" i="82"/>
  <c r="N169" i="82"/>
  <c r="M169" i="82"/>
  <c r="L169" i="82"/>
  <c r="K169" i="82"/>
  <c r="J169" i="82"/>
  <c r="I169" i="82"/>
  <c r="H169" i="82"/>
  <c r="G169" i="82"/>
  <c r="F169" i="82"/>
  <c r="E169" i="82"/>
  <c r="D169" i="82"/>
  <c r="C169" i="82"/>
  <c r="O168" i="82"/>
  <c r="N168" i="82"/>
  <c r="M168" i="82"/>
  <c r="L168" i="82"/>
  <c r="K168" i="82"/>
  <c r="J168" i="82"/>
  <c r="I168" i="82"/>
  <c r="H168" i="82"/>
  <c r="G168" i="82"/>
  <c r="F168" i="82"/>
  <c r="E168" i="82"/>
  <c r="D168" i="82"/>
  <c r="C168" i="82"/>
  <c r="O167" i="82"/>
  <c r="N167" i="82"/>
  <c r="M167" i="82"/>
  <c r="L167" i="82"/>
  <c r="K167" i="82"/>
  <c r="J167" i="82"/>
  <c r="I167" i="82"/>
  <c r="H167" i="82"/>
  <c r="G167" i="82"/>
  <c r="F167" i="82"/>
  <c r="E167" i="82"/>
  <c r="D167" i="82"/>
  <c r="C167" i="82"/>
  <c r="O166" i="82"/>
  <c r="N166" i="82"/>
  <c r="M166" i="82"/>
  <c r="L166" i="82"/>
  <c r="K166" i="82"/>
  <c r="J166" i="82"/>
  <c r="I166" i="82"/>
  <c r="H166" i="82"/>
  <c r="G166" i="82"/>
  <c r="F166" i="82"/>
  <c r="E166" i="82"/>
  <c r="D166" i="82"/>
  <c r="C166" i="82"/>
  <c r="O165" i="82"/>
  <c r="N165" i="82"/>
  <c r="M165" i="82"/>
  <c r="L165" i="82"/>
  <c r="K165" i="82"/>
  <c r="J165" i="82"/>
  <c r="I165" i="82"/>
  <c r="H165" i="82"/>
  <c r="G165" i="82"/>
  <c r="F165" i="82"/>
  <c r="E165" i="82"/>
  <c r="D165" i="82"/>
  <c r="C165" i="82"/>
  <c r="O164" i="82"/>
  <c r="N164" i="82"/>
  <c r="M164" i="82"/>
  <c r="L164" i="82"/>
  <c r="K164" i="82"/>
  <c r="J164" i="82"/>
  <c r="I164" i="82"/>
  <c r="H164" i="82"/>
  <c r="G164" i="82"/>
  <c r="F164" i="82"/>
  <c r="E164" i="82"/>
  <c r="D164" i="82"/>
  <c r="C164" i="82"/>
  <c r="O163" i="82"/>
  <c r="N163" i="82"/>
  <c r="M163" i="82"/>
  <c r="L163" i="82"/>
  <c r="K163" i="82"/>
  <c r="J163" i="82"/>
  <c r="I163" i="82"/>
  <c r="H163" i="82"/>
  <c r="G163" i="82"/>
  <c r="F163" i="82"/>
  <c r="E163" i="82"/>
  <c r="D163" i="82"/>
  <c r="C163" i="82"/>
  <c r="O162" i="82"/>
  <c r="N162" i="82"/>
  <c r="M162" i="82"/>
  <c r="L162" i="82"/>
  <c r="K162" i="82"/>
  <c r="J162" i="82"/>
  <c r="I162" i="82"/>
  <c r="H162" i="82"/>
  <c r="G162" i="82"/>
  <c r="F162" i="82"/>
  <c r="E162" i="82"/>
  <c r="D162" i="82"/>
  <c r="C162" i="82"/>
  <c r="O161" i="82"/>
  <c r="N161" i="82"/>
  <c r="M161" i="82"/>
  <c r="L161" i="82"/>
  <c r="K161" i="82"/>
  <c r="J161" i="82"/>
  <c r="I161" i="82"/>
  <c r="H161" i="82"/>
  <c r="G161" i="82"/>
  <c r="F161" i="82"/>
  <c r="E161" i="82"/>
  <c r="D161" i="82"/>
  <c r="C161" i="82"/>
  <c r="O160" i="82"/>
  <c r="N160" i="82"/>
  <c r="M160" i="82"/>
  <c r="L160" i="82"/>
  <c r="K160" i="82"/>
  <c r="J160" i="82"/>
  <c r="I160" i="82"/>
  <c r="H160" i="82"/>
  <c r="G160" i="82"/>
  <c r="F160" i="82"/>
  <c r="E160" i="82"/>
  <c r="D160" i="82"/>
  <c r="C160" i="82"/>
  <c r="O159" i="82"/>
  <c r="N159" i="82"/>
  <c r="M159" i="82"/>
  <c r="L159" i="82"/>
  <c r="K159" i="82"/>
  <c r="J159" i="82"/>
  <c r="I159" i="82"/>
  <c r="H159" i="82"/>
  <c r="G159" i="82"/>
  <c r="F159" i="82"/>
  <c r="E159" i="82"/>
  <c r="D159" i="82"/>
  <c r="C159" i="82"/>
  <c r="O158" i="82"/>
  <c r="N158" i="82"/>
  <c r="M158" i="82"/>
  <c r="L158" i="82"/>
  <c r="K158" i="82"/>
  <c r="J158" i="82"/>
  <c r="I158" i="82"/>
  <c r="H158" i="82"/>
  <c r="G158" i="82"/>
  <c r="F158" i="82"/>
  <c r="E158" i="82"/>
  <c r="D158" i="82"/>
  <c r="C158" i="82"/>
  <c r="O157" i="82"/>
  <c r="N157" i="82"/>
  <c r="M157" i="82"/>
  <c r="L157" i="82"/>
  <c r="K157" i="82"/>
  <c r="J157" i="82"/>
  <c r="I157" i="82"/>
  <c r="H157" i="82"/>
  <c r="G157" i="82"/>
  <c r="F157" i="82"/>
  <c r="E157" i="82"/>
  <c r="D157" i="82"/>
  <c r="C157" i="82"/>
  <c r="O156" i="82"/>
  <c r="N156" i="82"/>
  <c r="M156" i="82"/>
  <c r="L156" i="82"/>
  <c r="K156" i="82"/>
  <c r="J156" i="82"/>
  <c r="I156" i="82"/>
  <c r="H156" i="82"/>
  <c r="G156" i="82"/>
  <c r="F156" i="82"/>
  <c r="E156" i="82"/>
  <c r="D156" i="82"/>
  <c r="C156" i="82"/>
  <c r="O155" i="82"/>
  <c r="N155" i="82"/>
  <c r="M155" i="82"/>
  <c r="L155" i="82"/>
  <c r="K155" i="82"/>
  <c r="J155" i="82"/>
  <c r="I155" i="82"/>
  <c r="H155" i="82"/>
  <c r="G155" i="82"/>
  <c r="F155" i="82"/>
  <c r="E155" i="82"/>
  <c r="D155" i="82"/>
  <c r="C155" i="82"/>
  <c r="O154" i="82"/>
  <c r="N154" i="82"/>
  <c r="M154" i="82"/>
  <c r="L154" i="82"/>
  <c r="K154" i="82"/>
  <c r="J154" i="82"/>
  <c r="I154" i="82"/>
  <c r="H154" i="82"/>
  <c r="G154" i="82"/>
  <c r="F154" i="82"/>
  <c r="E154" i="82"/>
  <c r="D154" i="82"/>
  <c r="C154" i="82"/>
  <c r="O153" i="82"/>
  <c r="N153" i="82"/>
  <c r="M153" i="82"/>
  <c r="L153" i="82"/>
  <c r="K153" i="82"/>
  <c r="J153" i="82"/>
  <c r="I153" i="82"/>
  <c r="H153" i="82"/>
  <c r="G153" i="82"/>
  <c r="F153" i="82"/>
  <c r="E153" i="82"/>
  <c r="D153" i="82"/>
  <c r="C153" i="82"/>
  <c r="O152" i="82"/>
  <c r="N152" i="82"/>
  <c r="M152" i="82"/>
  <c r="L152" i="82"/>
  <c r="K152" i="82"/>
  <c r="J152" i="82"/>
  <c r="I152" i="82"/>
  <c r="H152" i="82"/>
  <c r="G152" i="82"/>
  <c r="F152" i="82"/>
  <c r="E152" i="82"/>
  <c r="D152" i="82"/>
  <c r="C152" i="82"/>
  <c r="O151" i="82"/>
  <c r="N151" i="82"/>
  <c r="M151" i="82"/>
  <c r="L151" i="82"/>
  <c r="K151" i="82"/>
  <c r="J151" i="82"/>
  <c r="I151" i="82"/>
  <c r="H151" i="82"/>
  <c r="G151" i="82"/>
  <c r="F151" i="82"/>
  <c r="E151" i="82"/>
  <c r="D151" i="82"/>
  <c r="C151" i="82"/>
  <c r="O150" i="82"/>
  <c r="N150" i="82"/>
  <c r="M150" i="82"/>
  <c r="L150" i="82"/>
  <c r="K150" i="82"/>
  <c r="J150" i="82"/>
  <c r="I150" i="82"/>
  <c r="H150" i="82"/>
  <c r="G150" i="82"/>
  <c r="F150" i="82"/>
  <c r="E150" i="82"/>
  <c r="D150" i="82"/>
  <c r="C150" i="82"/>
  <c r="O149" i="82"/>
  <c r="N149" i="82"/>
  <c r="M149" i="82"/>
  <c r="L149" i="82"/>
  <c r="K149" i="82"/>
  <c r="J149" i="82"/>
  <c r="I149" i="82"/>
  <c r="H149" i="82"/>
  <c r="G149" i="82"/>
  <c r="F149" i="82"/>
  <c r="E149" i="82"/>
  <c r="D149" i="82"/>
  <c r="C149" i="82"/>
  <c r="O148" i="82"/>
  <c r="N148" i="82"/>
  <c r="M148" i="82"/>
  <c r="L148" i="82"/>
  <c r="K148" i="82"/>
  <c r="J148" i="82"/>
  <c r="I148" i="82"/>
  <c r="H148" i="82"/>
  <c r="G148" i="82"/>
  <c r="F148" i="82"/>
  <c r="E148" i="82"/>
  <c r="D148" i="82"/>
  <c r="C148" i="82"/>
  <c r="O147" i="82"/>
  <c r="N147" i="82"/>
  <c r="M147" i="82"/>
  <c r="L147" i="82"/>
  <c r="K147" i="82"/>
  <c r="J147" i="82"/>
  <c r="I147" i="82"/>
  <c r="H147" i="82"/>
  <c r="G147" i="82"/>
  <c r="F147" i="82"/>
  <c r="E147" i="82"/>
  <c r="D147" i="82"/>
  <c r="C147" i="82"/>
  <c r="O146" i="82"/>
  <c r="N146" i="82"/>
  <c r="M146" i="82"/>
  <c r="L146" i="82"/>
  <c r="K146" i="82"/>
  <c r="J146" i="82"/>
  <c r="I146" i="82"/>
  <c r="H146" i="82"/>
  <c r="G146" i="82"/>
  <c r="F146" i="82"/>
  <c r="E146" i="82"/>
  <c r="D146" i="82"/>
  <c r="C146" i="82"/>
  <c r="O145" i="82"/>
  <c r="N145" i="82"/>
  <c r="M145" i="82"/>
  <c r="L145" i="82"/>
  <c r="K145" i="82"/>
  <c r="J145" i="82"/>
  <c r="I145" i="82"/>
  <c r="H145" i="82"/>
  <c r="G145" i="82"/>
  <c r="F145" i="82"/>
  <c r="E145" i="82"/>
  <c r="D145" i="82"/>
  <c r="C145" i="82"/>
  <c r="O144" i="82"/>
  <c r="N144" i="82"/>
  <c r="M144" i="82"/>
  <c r="L144" i="82"/>
  <c r="K144" i="82"/>
  <c r="J144" i="82"/>
  <c r="I144" i="82"/>
  <c r="H144" i="82"/>
  <c r="G144" i="82"/>
  <c r="F144" i="82"/>
  <c r="E144" i="82"/>
  <c r="D144" i="82"/>
  <c r="C144" i="82"/>
  <c r="O143" i="82"/>
  <c r="N143" i="82"/>
  <c r="M143" i="82"/>
  <c r="L143" i="82"/>
  <c r="K143" i="82"/>
  <c r="J143" i="82"/>
  <c r="I143" i="82"/>
  <c r="H143" i="82"/>
  <c r="G143" i="82"/>
  <c r="F143" i="82"/>
  <c r="E143" i="82"/>
  <c r="D143" i="82"/>
  <c r="C143" i="82"/>
  <c r="O142" i="82"/>
  <c r="N142" i="82"/>
  <c r="M142" i="82"/>
  <c r="L142" i="82"/>
  <c r="K142" i="82"/>
  <c r="J142" i="82"/>
  <c r="I142" i="82"/>
  <c r="H142" i="82"/>
  <c r="G142" i="82"/>
  <c r="F142" i="82"/>
  <c r="E142" i="82"/>
  <c r="D142" i="82"/>
  <c r="C142" i="82"/>
  <c r="O141" i="82"/>
  <c r="N141" i="82"/>
  <c r="M141" i="82"/>
  <c r="L141" i="82"/>
  <c r="K141" i="82"/>
  <c r="J141" i="82"/>
  <c r="I141" i="82"/>
  <c r="H141" i="82"/>
  <c r="G141" i="82"/>
  <c r="F141" i="82"/>
  <c r="E141" i="82"/>
  <c r="D141" i="82"/>
  <c r="C141" i="82"/>
  <c r="O140" i="82"/>
  <c r="N140" i="82"/>
  <c r="M140" i="82"/>
  <c r="L140" i="82"/>
  <c r="K140" i="82"/>
  <c r="J140" i="82"/>
  <c r="I140" i="82"/>
  <c r="H140" i="82"/>
  <c r="G140" i="82"/>
  <c r="F140" i="82"/>
  <c r="E140" i="82"/>
  <c r="D140" i="82"/>
  <c r="C140" i="82"/>
  <c r="O139" i="82"/>
  <c r="N139" i="82"/>
  <c r="M139" i="82"/>
  <c r="L139" i="82"/>
  <c r="K139" i="82"/>
  <c r="J139" i="82"/>
  <c r="I139" i="82"/>
  <c r="H139" i="82"/>
  <c r="G139" i="82"/>
  <c r="F139" i="82"/>
  <c r="E139" i="82"/>
  <c r="D139" i="82"/>
  <c r="C139" i="82"/>
  <c r="O138" i="82"/>
  <c r="N138" i="82"/>
  <c r="M138" i="82"/>
  <c r="L138" i="82"/>
  <c r="K138" i="82"/>
  <c r="J138" i="82"/>
  <c r="I138" i="82"/>
  <c r="H138" i="82"/>
  <c r="G138" i="82"/>
  <c r="F138" i="82"/>
  <c r="E138" i="82"/>
  <c r="D138" i="82"/>
  <c r="C138" i="82"/>
  <c r="O137" i="82"/>
  <c r="N137" i="82"/>
  <c r="M137" i="82"/>
  <c r="L137" i="82"/>
  <c r="K137" i="82"/>
  <c r="J137" i="82"/>
  <c r="I137" i="82"/>
  <c r="H137" i="82"/>
  <c r="G137" i="82"/>
  <c r="F137" i="82"/>
  <c r="E137" i="82"/>
  <c r="D137" i="82"/>
  <c r="C137" i="82"/>
  <c r="O136" i="82"/>
  <c r="N136" i="82"/>
  <c r="M136" i="82"/>
  <c r="L136" i="82"/>
  <c r="K136" i="82"/>
  <c r="J136" i="82"/>
  <c r="I136" i="82"/>
  <c r="H136" i="82"/>
  <c r="G136" i="82"/>
  <c r="F136" i="82"/>
  <c r="E136" i="82"/>
  <c r="D136" i="82"/>
  <c r="C136" i="82"/>
  <c r="O135" i="82"/>
  <c r="N135" i="82"/>
  <c r="M135" i="82"/>
  <c r="L135" i="82"/>
  <c r="K135" i="82"/>
  <c r="J135" i="82"/>
  <c r="I135" i="82"/>
  <c r="H135" i="82"/>
  <c r="G135" i="82"/>
  <c r="F135" i="82"/>
  <c r="E135" i="82"/>
  <c r="D135" i="82"/>
  <c r="C135" i="82"/>
  <c r="O134" i="82"/>
  <c r="N134" i="82"/>
  <c r="M134" i="82"/>
  <c r="L134" i="82"/>
  <c r="K134" i="82"/>
  <c r="J134" i="82"/>
  <c r="I134" i="82"/>
  <c r="H134" i="82"/>
  <c r="G134" i="82"/>
  <c r="F134" i="82"/>
  <c r="E134" i="82"/>
  <c r="D134" i="82"/>
  <c r="C134" i="82"/>
  <c r="O133" i="82"/>
  <c r="N133" i="82"/>
  <c r="M133" i="82"/>
  <c r="L133" i="82"/>
  <c r="K133" i="82"/>
  <c r="J133" i="82"/>
  <c r="I133" i="82"/>
  <c r="H133" i="82"/>
  <c r="G133" i="82"/>
  <c r="F133" i="82"/>
  <c r="E133" i="82"/>
  <c r="D133" i="82"/>
  <c r="C133" i="82"/>
  <c r="O132" i="82"/>
  <c r="N132" i="82"/>
  <c r="M132" i="82"/>
  <c r="L132" i="82"/>
  <c r="K132" i="82"/>
  <c r="J132" i="82"/>
  <c r="I132" i="82"/>
  <c r="H132" i="82"/>
  <c r="G132" i="82"/>
  <c r="F132" i="82"/>
  <c r="E132" i="82"/>
  <c r="D132" i="82"/>
  <c r="C132" i="82"/>
  <c r="O131" i="82"/>
  <c r="N131" i="82"/>
  <c r="M131" i="82"/>
  <c r="L131" i="82"/>
  <c r="K131" i="82"/>
  <c r="J131" i="82"/>
  <c r="I131" i="82"/>
  <c r="H131" i="82"/>
  <c r="G131" i="82"/>
  <c r="F131" i="82"/>
  <c r="E131" i="82"/>
  <c r="D131" i="82"/>
  <c r="C131" i="82"/>
  <c r="O130" i="82"/>
  <c r="N130" i="82"/>
  <c r="M130" i="82"/>
  <c r="L130" i="82"/>
  <c r="K130" i="82"/>
  <c r="J130" i="82"/>
  <c r="I130" i="82"/>
  <c r="H130" i="82"/>
  <c r="G130" i="82"/>
  <c r="F130" i="82"/>
  <c r="E130" i="82"/>
  <c r="D130" i="82"/>
  <c r="C130" i="82"/>
  <c r="O129" i="82"/>
  <c r="N129" i="82"/>
  <c r="M129" i="82"/>
  <c r="L129" i="82"/>
  <c r="K129" i="82"/>
  <c r="J129" i="82"/>
  <c r="I129" i="82"/>
  <c r="H129" i="82"/>
  <c r="G129" i="82"/>
  <c r="F129" i="82"/>
  <c r="E129" i="82"/>
  <c r="D129" i="82"/>
  <c r="C129" i="82"/>
  <c r="O128" i="82"/>
  <c r="N128" i="82"/>
  <c r="M128" i="82"/>
  <c r="L128" i="82"/>
  <c r="K128" i="82"/>
  <c r="J128" i="82"/>
  <c r="I128" i="82"/>
  <c r="H128" i="82"/>
  <c r="G128" i="82"/>
  <c r="F128" i="82"/>
  <c r="E128" i="82"/>
  <c r="D128" i="82"/>
  <c r="C128" i="82"/>
  <c r="O127" i="82"/>
  <c r="N127" i="82"/>
  <c r="M127" i="82"/>
  <c r="L127" i="82"/>
  <c r="K127" i="82"/>
  <c r="J127" i="82"/>
  <c r="I127" i="82"/>
  <c r="H127" i="82"/>
  <c r="G127" i="82"/>
  <c r="F127" i="82"/>
  <c r="E127" i="82"/>
  <c r="D127" i="82"/>
  <c r="C127" i="82"/>
  <c r="O126" i="82"/>
  <c r="N126" i="82"/>
  <c r="M126" i="82"/>
  <c r="L126" i="82"/>
  <c r="K126" i="82"/>
  <c r="J126" i="82"/>
  <c r="I126" i="82"/>
  <c r="H126" i="82"/>
  <c r="G126" i="82"/>
  <c r="F126" i="82"/>
  <c r="E126" i="82"/>
  <c r="D126" i="82"/>
  <c r="C126" i="82"/>
  <c r="O125" i="82"/>
  <c r="N125" i="82"/>
  <c r="M125" i="82"/>
  <c r="L125" i="82"/>
  <c r="K125" i="82"/>
  <c r="J125" i="82"/>
  <c r="I125" i="82"/>
  <c r="H125" i="82"/>
  <c r="G125" i="82"/>
  <c r="F125" i="82"/>
  <c r="E125" i="82"/>
  <c r="D125" i="82"/>
  <c r="C125" i="82"/>
  <c r="O124" i="82"/>
  <c r="N124" i="82"/>
  <c r="M124" i="82"/>
  <c r="L124" i="82"/>
  <c r="K124" i="82"/>
  <c r="J124" i="82"/>
  <c r="I124" i="82"/>
  <c r="H124" i="82"/>
  <c r="G124" i="82"/>
  <c r="F124" i="82"/>
  <c r="E124" i="82"/>
  <c r="D124" i="82"/>
  <c r="C124" i="82"/>
  <c r="O123" i="82"/>
  <c r="N123" i="82"/>
  <c r="M123" i="82"/>
  <c r="L123" i="82"/>
  <c r="K123" i="82"/>
  <c r="J123" i="82"/>
  <c r="I123" i="82"/>
  <c r="H123" i="82"/>
  <c r="G123" i="82"/>
  <c r="F123" i="82"/>
  <c r="E123" i="82"/>
  <c r="D123" i="82"/>
  <c r="C123" i="82"/>
  <c r="O122" i="82"/>
  <c r="N122" i="82"/>
  <c r="M122" i="82"/>
  <c r="L122" i="82"/>
  <c r="K122" i="82"/>
  <c r="J122" i="82"/>
  <c r="I122" i="82"/>
  <c r="H122" i="82"/>
  <c r="G122" i="82"/>
  <c r="F122" i="82"/>
  <c r="E122" i="82"/>
  <c r="D122" i="82"/>
  <c r="C122" i="82"/>
  <c r="O121" i="82"/>
  <c r="N121" i="82"/>
  <c r="M121" i="82"/>
  <c r="L121" i="82"/>
  <c r="K121" i="82"/>
  <c r="J121" i="82"/>
  <c r="I121" i="82"/>
  <c r="H121" i="82"/>
  <c r="G121" i="82"/>
  <c r="F121" i="82"/>
  <c r="E121" i="82"/>
  <c r="D121" i="82"/>
  <c r="C121" i="82"/>
  <c r="O120" i="82"/>
  <c r="N120" i="82"/>
  <c r="M120" i="82"/>
  <c r="L120" i="82"/>
  <c r="K120" i="82"/>
  <c r="J120" i="82"/>
  <c r="I120" i="82"/>
  <c r="H120" i="82"/>
  <c r="G120" i="82"/>
  <c r="F120" i="82"/>
  <c r="E120" i="82"/>
  <c r="D120" i="82"/>
  <c r="C120" i="82"/>
  <c r="O119" i="82"/>
  <c r="N119" i="82"/>
  <c r="M119" i="82"/>
  <c r="L119" i="82"/>
  <c r="K119" i="82"/>
  <c r="J119" i="82"/>
  <c r="I119" i="82"/>
  <c r="H119" i="82"/>
  <c r="G119" i="82"/>
  <c r="F119" i="82"/>
  <c r="E119" i="82"/>
  <c r="D119" i="82"/>
  <c r="C119" i="82"/>
  <c r="O118" i="82"/>
  <c r="N118" i="82"/>
  <c r="M118" i="82"/>
  <c r="L118" i="82"/>
  <c r="K118" i="82"/>
  <c r="J118" i="82"/>
  <c r="I118" i="82"/>
  <c r="H118" i="82"/>
  <c r="G118" i="82"/>
  <c r="F118" i="82"/>
  <c r="E118" i="82"/>
  <c r="D118" i="82"/>
  <c r="C118" i="82"/>
  <c r="O117" i="82"/>
  <c r="N117" i="82"/>
  <c r="M117" i="82"/>
  <c r="L117" i="82"/>
  <c r="K117" i="82"/>
  <c r="J117" i="82"/>
  <c r="I117" i="82"/>
  <c r="H117" i="82"/>
  <c r="G117" i="82"/>
  <c r="F117" i="82"/>
  <c r="E117" i="82"/>
  <c r="D117" i="82"/>
  <c r="C117" i="82"/>
  <c r="O116" i="82"/>
  <c r="N116" i="82"/>
  <c r="M116" i="82"/>
  <c r="L116" i="82"/>
  <c r="K116" i="82"/>
  <c r="J116" i="82"/>
  <c r="I116" i="82"/>
  <c r="H116" i="82"/>
  <c r="G116" i="82"/>
  <c r="F116" i="82"/>
  <c r="E116" i="82"/>
  <c r="D116" i="82"/>
  <c r="C116" i="82"/>
  <c r="O115" i="82"/>
  <c r="N115" i="82"/>
  <c r="M115" i="82"/>
  <c r="L115" i="82"/>
  <c r="K115" i="82"/>
  <c r="J115" i="82"/>
  <c r="I115" i="82"/>
  <c r="H115" i="82"/>
  <c r="G115" i="82"/>
  <c r="F115" i="82"/>
  <c r="E115" i="82"/>
  <c r="D115" i="82"/>
  <c r="C115" i="82"/>
  <c r="O114" i="82"/>
  <c r="N114" i="82"/>
  <c r="M114" i="82"/>
  <c r="L114" i="82"/>
  <c r="K114" i="82"/>
  <c r="J114" i="82"/>
  <c r="I114" i="82"/>
  <c r="H114" i="82"/>
  <c r="G114" i="82"/>
  <c r="F114" i="82"/>
  <c r="E114" i="82"/>
  <c r="D114" i="82"/>
  <c r="C114" i="82"/>
  <c r="O113" i="82"/>
  <c r="N113" i="82"/>
  <c r="M113" i="82"/>
  <c r="L113" i="82"/>
  <c r="K113" i="82"/>
  <c r="J113" i="82"/>
  <c r="I113" i="82"/>
  <c r="H113" i="82"/>
  <c r="G113" i="82"/>
  <c r="F113" i="82"/>
  <c r="E113" i="82"/>
  <c r="D113" i="82"/>
  <c r="C113" i="82"/>
  <c r="O112" i="82"/>
  <c r="N112" i="82"/>
  <c r="M112" i="82"/>
  <c r="L112" i="82"/>
  <c r="K112" i="82"/>
  <c r="J112" i="82"/>
  <c r="I112" i="82"/>
  <c r="H112" i="82"/>
  <c r="G112" i="82"/>
  <c r="F112" i="82"/>
  <c r="E112" i="82"/>
  <c r="D112" i="82"/>
  <c r="C112" i="82"/>
  <c r="O111" i="82"/>
  <c r="N111" i="82"/>
  <c r="M111" i="82"/>
  <c r="L111" i="82"/>
  <c r="K111" i="82"/>
  <c r="J111" i="82"/>
  <c r="I111" i="82"/>
  <c r="H111" i="82"/>
  <c r="G111" i="82"/>
  <c r="F111" i="82"/>
  <c r="E111" i="82"/>
  <c r="D111" i="82"/>
  <c r="C111" i="82"/>
  <c r="O110" i="82"/>
  <c r="N110" i="82"/>
  <c r="M110" i="82"/>
  <c r="L110" i="82"/>
  <c r="K110" i="82"/>
  <c r="J110" i="82"/>
  <c r="I110" i="82"/>
  <c r="H110" i="82"/>
  <c r="G110" i="82"/>
  <c r="F110" i="82"/>
  <c r="E110" i="82"/>
  <c r="D110" i="82"/>
  <c r="C110" i="82"/>
  <c r="O109" i="82"/>
  <c r="N109" i="82"/>
  <c r="M109" i="82"/>
  <c r="L109" i="82"/>
  <c r="K109" i="82"/>
  <c r="J109" i="82"/>
  <c r="I109" i="82"/>
  <c r="H109" i="82"/>
  <c r="G109" i="82"/>
  <c r="F109" i="82"/>
  <c r="E109" i="82"/>
  <c r="D109" i="82"/>
  <c r="C109" i="82"/>
  <c r="O108" i="82"/>
  <c r="N108" i="82"/>
  <c r="M108" i="82"/>
  <c r="L108" i="82"/>
  <c r="K108" i="82"/>
  <c r="J108" i="82"/>
  <c r="I108" i="82"/>
  <c r="H108" i="82"/>
  <c r="G108" i="82"/>
  <c r="F108" i="82"/>
  <c r="E108" i="82"/>
  <c r="D108" i="82"/>
  <c r="C108" i="82"/>
  <c r="O107" i="82"/>
  <c r="N107" i="82"/>
  <c r="M107" i="82"/>
  <c r="L107" i="82"/>
  <c r="K107" i="82"/>
  <c r="J107" i="82"/>
  <c r="I107" i="82"/>
  <c r="H107" i="82"/>
  <c r="G107" i="82"/>
  <c r="F107" i="82"/>
  <c r="E107" i="82"/>
  <c r="D107" i="82"/>
  <c r="C107" i="82"/>
  <c r="O106" i="82"/>
  <c r="N106" i="82"/>
  <c r="M106" i="82"/>
  <c r="L106" i="82"/>
  <c r="K106" i="82"/>
  <c r="J106" i="82"/>
  <c r="I106" i="82"/>
  <c r="H106" i="82"/>
  <c r="G106" i="82"/>
  <c r="F106" i="82"/>
  <c r="E106" i="82"/>
  <c r="D106" i="82"/>
  <c r="C106" i="82"/>
  <c r="O105" i="82"/>
  <c r="N105" i="82"/>
  <c r="M105" i="82"/>
  <c r="L105" i="82"/>
  <c r="K105" i="82"/>
  <c r="J105" i="82"/>
  <c r="I105" i="82"/>
  <c r="H105" i="82"/>
  <c r="G105" i="82"/>
  <c r="F105" i="82"/>
  <c r="E105" i="82"/>
  <c r="D105" i="82"/>
  <c r="C105" i="82"/>
  <c r="O104" i="82"/>
  <c r="N104" i="82"/>
  <c r="M104" i="82"/>
  <c r="L104" i="82"/>
  <c r="K104" i="82"/>
  <c r="J104" i="82"/>
  <c r="I104" i="82"/>
  <c r="H104" i="82"/>
  <c r="G104" i="82"/>
  <c r="F104" i="82"/>
  <c r="E104" i="82"/>
  <c r="D104" i="82"/>
  <c r="C104" i="82"/>
  <c r="O103" i="82"/>
  <c r="N103" i="82"/>
  <c r="M103" i="82"/>
  <c r="L103" i="82"/>
  <c r="K103" i="82"/>
  <c r="J103" i="82"/>
  <c r="I103" i="82"/>
  <c r="H103" i="82"/>
  <c r="G103" i="82"/>
  <c r="F103" i="82"/>
  <c r="E103" i="82"/>
  <c r="D103" i="82"/>
  <c r="C103" i="82"/>
  <c r="O102" i="82"/>
  <c r="N102" i="82"/>
  <c r="M102" i="82"/>
  <c r="L102" i="82"/>
  <c r="K102" i="82"/>
  <c r="J102" i="82"/>
  <c r="I102" i="82"/>
  <c r="H102" i="82"/>
  <c r="G102" i="82"/>
  <c r="F102" i="82"/>
  <c r="E102" i="82"/>
  <c r="D102" i="82"/>
  <c r="C102" i="82"/>
  <c r="O101" i="82"/>
  <c r="N101" i="82"/>
  <c r="M101" i="82"/>
  <c r="L101" i="82"/>
  <c r="K101" i="82"/>
  <c r="J101" i="82"/>
  <c r="I101" i="82"/>
  <c r="H101" i="82"/>
  <c r="G101" i="82"/>
  <c r="F101" i="82"/>
  <c r="E101" i="82"/>
  <c r="D101" i="82"/>
  <c r="C101" i="82"/>
  <c r="O100" i="82"/>
  <c r="N100" i="82"/>
  <c r="M100" i="82"/>
  <c r="L100" i="82"/>
  <c r="K100" i="82"/>
  <c r="J100" i="82"/>
  <c r="I100" i="82"/>
  <c r="H100" i="82"/>
  <c r="G100" i="82"/>
  <c r="F100" i="82"/>
  <c r="E100" i="82"/>
  <c r="D100" i="82"/>
  <c r="C100" i="82"/>
  <c r="O99" i="82"/>
  <c r="N99" i="82"/>
  <c r="M99" i="82"/>
  <c r="L99" i="82"/>
  <c r="K99" i="82"/>
  <c r="J99" i="82"/>
  <c r="I99" i="82"/>
  <c r="H99" i="82"/>
  <c r="G99" i="82"/>
  <c r="F99" i="82"/>
  <c r="E99" i="82"/>
  <c r="D99" i="82"/>
  <c r="C99" i="82"/>
  <c r="O98" i="82"/>
  <c r="N98" i="82"/>
  <c r="M98" i="82"/>
  <c r="L98" i="82"/>
  <c r="K98" i="82"/>
  <c r="J98" i="82"/>
  <c r="I98" i="82"/>
  <c r="H98" i="82"/>
  <c r="G98" i="82"/>
  <c r="F98" i="82"/>
  <c r="E98" i="82"/>
  <c r="D98" i="82"/>
  <c r="C98" i="82"/>
  <c r="O97" i="82"/>
  <c r="N97" i="82"/>
  <c r="M97" i="82"/>
  <c r="L97" i="82"/>
  <c r="K97" i="82"/>
  <c r="J97" i="82"/>
  <c r="I97" i="82"/>
  <c r="H97" i="82"/>
  <c r="G97" i="82"/>
  <c r="F97" i="82"/>
  <c r="E97" i="82"/>
  <c r="D97" i="82"/>
  <c r="C97" i="82"/>
  <c r="O96" i="82"/>
  <c r="N96" i="82"/>
  <c r="M96" i="82"/>
  <c r="L96" i="82"/>
  <c r="K96" i="82"/>
  <c r="J96" i="82"/>
  <c r="I96" i="82"/>
  <c r="H96" i="82"/>
  <c r="G96" i="82"/>
  <c r="F96" i="82"/>
  <c r="E96" i="82"/>
  <c r="D96" i="82"/>
  <c r="C96" i="82"/>
  <c r="O95" i="82"/>
  <c r="N95" i="82"/>
  <c r="M95" i="82"/>
  <c r="L95" i="82"/>
  <c r="K95" i="82"/>
  <c r="J95" i="82"/>
  <c r="I95" i="82"/>
  <c r="H95" i="82"/>
  <c r="G95" i="82"/>
  <c r="F95" i="82"/>
  <c r="E95" i="82"/>
  <c r="D95" i="82"/>
  <c r="C95" i="82"/>
  <c r="O94" i="82"/>
  <c r="N94" i="82"/>
  <c r="M94" i="82"/>
  <c r="L94" i="82"/>
  <c r="K94" i="82"/>
  <c r="J94" i="82"/>
  <c r="I94" i="82"/>
  <c r="H94" i="82"/>
  <c r="G94" i="82"/>
  <c r="F94" i="82"/>
  <c r="E94" i="82"/>
  <c r="D94" i="82"/>
  <c r="C94" i="82"/>
  <c r="O93" i="82"/>
  <c r="N93" i="82"/>
  <c r="M93" i="82"/>
  <c r="L93" i="82"/>
  <c r="K93" i="82"/>
  <c r="J93" i="82"/>
  <c r="I93" i="82"/>
  <c r="H93" i="82"/>
  <c r="G93" i="82"/>
  <c r="F93" i="82"/>
  <c r="E93" i="82"/>
  <c r="D93" i="82"/>
  <c r="C93" i="82"/>
  <c r="O92" i="82"/>
  <c r="N92" i="82"/>
  <c r="M92" i="82"/>
  <c r="L92" i="82"/>
  <c r="K92" i="82"/>
  <c r="J92" i="82"/>
  <c r="I92" i="82"/>
  <c r="H92" i="82"/>
  <c r="G92" i="82"/>
  <c r="F92" i="82"/>
  <c r="E92" i="82"/>
  <c r="D92" i="82"/>
  <c r="C92" i="82"/>
  <c r="O91" i="82"/>
  <c r="N91" i="82"/>
  <c r="M91" i="82"/>
  <c r="L91" i="82"/>
  <c r="K91" i="82"/>
  <c r="J91" i="82"/>
  <c r="I91" i="82"/>
  <c r="H91" i="82"/>
  <c r="G91" i="82"/>
  <c r="F91" i="82"/>
  <c r="E91" i="82"/>
  <c r="D91" i="82"/>
  <c r="C91" i="82"/>
  <c r="O90" i="82"/>
  <c r="N90" i="82"/>
  <c r="M90" i="82"/>
  <c r="L90" i="82"/>
  <c r="K90" i="82"/>
  <c r="J90" i="82"/>
  <c r="I90" i="82"/>
  <c r="H90" i="82"/>
  <c r="G90" i="82"/>
  <c r="F90" i="82"/>
  <c r="E90" i="82"/>
  <c r="D90" i="82"/>
  <c r="C90" i="82"/>
  <c r="O89" i="82"/>
  <c r="N89" i="82"/>
  <c r="M89" i="82"/>
  <c r="L89" i="82"/>
  <c r="K89" i="82"/>
  <c r="J89" i="82"/>
  <c r="I89" i="82"/>
  <c r="H89" i="82"/>
  <c r="G89" i="82"/>
  <c r="F89" i="82"/>
  <c r="E89" i="82"/>
  <c r="D89" i="82"/>
  <c r="C89" i="82"/>
  <c r="O88" i="82"/>
  <c r="N88" i="82"/>
  <c r="M88" i="82"/>
  <c r="L88" i="82"/>
  <c r="K88" i="82"/>
  <c r="J88" i="82"/>
  <c r="I88" i="82"/>
  <c r="H88" i="82"/>
  <c r="G88" i="82"/>
  <c r="F88" i="82"/>
  <c r="E88" i="82"/>
  <c r="D88" i="82"/>
  <c r="C88" i="82"/>
  <c r="O87" i="82"/>
  <c r="N87" i="82"/>
  <c r="M87" i="82"/>
  <c r="L87" i="82"/>
  <c r="K87" i="82"/>
  <c r="J87" i="82"/>
  <c r="I87" i="82"/>
  <c r="H87" i="82"/>
  <c r="G87" i="82"/>
  <c r="F87" i="82"/>
  <c r="E87" i="82"/>
  <c r="D87" i="82"/>
  <c r="C87" i="82"/>
  <c r="O86" i="82"/>
  <c r="N86" i="82"/>
  <c r="M86" i="82"/>
  <c r="L86" i="82"/>
  <c r="K86" i="82"/>
  <c r="J86" i="82"/>
  <c r="I86" i="82"/>
  <c r="H86" i="82"/>
  <c r="G86" i="82"/>
  <c r="F86" i="82"/>
  <c r="E86" i="82"/>
  <c r="D86" i="82"/>
  <c r="C86" i="82"/>
  <c r="O85" i="82"/>
  <c r="N85" i="82"/>
  <c r="M85" i="82"/>
  <c r="L85" i="82"/>
  <c r="K85" i="82"/>
  <c r="J85" i="82"/>
  <c r="I85" i="82"/>
  <c r="H85" i="82"/>
  <c r="G85" i="82"/>
  <c r="F85" i="82"/>
  <c r="E85" i="82"/>
  <c r="D85" i="82"/>
  <c r="C85" i="82"/>
  <c r="O84" i="82"/>
  <c r="N84" i="82"/>
  <c r="M84" i="82"/>
  <c r="L84" i="82"/>
  <c r="K84" i="82"/>
  <c r="J84" i="82"/>
  <c r="I84" i="82"/>
  <c r="H84" i="82"/>
  <c r="G84" i="82"/>
  <c r="F84" i="82"/>
  <c r="E84" i="82"/>
  <c r="D84" i="82"/>
  <c r="C84" i="82"/>
  <c r="O83" i="82"/>
  <c r="N83" i="82"/>
  <c r="M83" i="82"/>
  <c r="L83" i="82"/>
  <c r="K83" i="82"/>
  <c r="J83" i="82"/>
  <c r="I83" i="82"/>
  <c r="H83" i="82"/>
  <c r="G83" i="82"/>
  <c r="F83" i="82"/>
  <c r="E83" i="82"/>
  <c r="D83" i="82"/>
  <c r="C83" i="82"/>
  <c r="O82" i="82"/>
  <c r="N82" i="82"/>
  <c r="M82" i="82"/>
  <c r="L82" i="82"/>
  <c r="K82" i="82"/>
  <c r="J82" i="82"/>
  <c r="I82" i="82"/>
  <c r="H82" i="82"/>
  <c r="G82" i="82"/>
  <c r="F82" i="82"/>
  <c r="E82" i="82"/>
  <c r="D82" i="82"/>
  <c r="C82" i="82"/>
  <c r="O81" i="82"/>
  <c r="N81" i="82"/>
  <c r="M81" i="82"/>
  <c r="L81" i="82"/>
  <c r="K81" i="82"/>
  <c r="J81" i="82"/>
  <c r="I81" i="82"/>
  <c r="H81" i="82"/>
  <c r="G81" i="82"/>
  <c r="F81" i="82"/>
  <c r="E81" i="82"/>
  <c r="D81" i="82"/>
  <c r="C81" i="82"/>
  <c r="O80" i="82"/>
  <c r="N80" i="82"/>
  <c r="M80" i="82"/>
  <c r="L80" i="82"/>
  <c r="K80" i="82"/>
  <c r="J80" i="82"/>
  <c r="I80" i="82"/>
  <c r="H80" i="82"/>
  <c r="G80" i="82"/>
  <c r="F80" i="82"/>
  <c r="E80" i="82"/>
  <c r="D80" i="82"/>
  <c r="C80" i="82"/>
  <c r="O79" i="82"/>
  <c r="N79" i="82"/>
  <c r="M79" i="82"/>
  <c r="L79" i="82"/>
  <c r="K79" i="82"/>
  <c r="J79" i="82"/>
  <c r="I79" i="82"/>
  <c r="H79" i="82"/>
  <c r="G79" i="82"/>
  <c r="F79" i="82"/>
  <c r="E79" i="82"/>
  <c r="D79" i="82"/>
  <c r="C79" i="82"/>
  <c r="O78" i="82"/>
  <c r="N78" i="82"/>
  <c r="M78" i="82"/>
  <c r="L78" i="82"/>
  <c r="K78" i="82"/>
  <c r="J78" i="82"/>
  <c r="I78" i="82"/>
  <c r="H78" i="82"/>
  <c r="G78" i="82"/>
  <c r="F78" i="82"/>
  <c r="E78" i="82"/>
  <c r="D78" i="82"/>
  <c r="C78" i="82"/>
  <c r="O77" i="82"/>
  <c r="N77" i="82"/>
  <c r="M77" i="82"/>
  <c r="L77" i="82"/>
  <c r="K77" i="82"/>
  <c r="J77" i="82"/>
  <c r="I77" i="82"/>
  <c r="H77" i="82"/>
  <c r="G77" i="82"/>
  <c r="F77" i="82"/>
  <c r="E77" i="82"/>
  <c r="D77" i="82"/>
  <c r="C77" i="82"/>
  <c r="O76" i="82"/>
  <c r="N76" i="82"/>
  <c r="M76" i="82"/>
  <c r="L76" i="82"/>
  <c r="K76" i="82"/>
  <c r="J76" i="82"/>
  <c r="I76" i="82"/>
  <c r="H76" i="82"/>
  <c r="G76" i="82"/>
  <c r="F76" i="82"/>
  <c r="E76" i="82"/>
  <c r="D76" i="82"/>
  <c r="C76" i="82"/>
  <c r="O75" i="82"/>
  <c r="N75" i="82"/>
  <c r="M75" i="82"/>
  <c r="L75" i="82"/>
  <c r="K75" i="82"/>
  <c r="J75" i="82"/>
  <c r="I75" i="82"/>
  <c r="H75" i="82"/>
  <c r="G75" i="82"/>
  <c r="F75" i="82"/>
  <c r="E75" i="82"/>
  <c r="D75" i="82"/>
  <c r="C75" i="82"/>
  <c r="O74" i="82"/>
  <c r="N74" i="82"/>
  <c r="M74" i="82"/>
  <c r="L74" i="82"/>
  <c r="K74" i="82"/>
  <c r="J74" i="82"/>
  <c r="I74" i="82"/>
  <c r="H74" i="82"/>
  <c r="G74" i="82"/>
  <c r="F74" i="82"/>
  <c r="E74" i="82"/>
  <c r="D74" i="82"/>
  <c r="C74" i="82"/>
  <c r="O73" i="82"/>
  <c r="N73" i="82"/>
  <c r="M73" i="82"/>
  <c r="L73" i="82"/>
  <c r="K73" i="82"/>
  <c r="J73" i="82"/>
  <c r="I73" i="82"/>
  <c r="H73" i="82"/>
  <c r="G73" i="82"/>
  <c r="F73" i="82"/>
  <c r="E73" i="82"/>
  <c r="D73" i="82"/>
  <c r="C73" i="82"/>
  <c r="O72" i="82"/>
  <c r="N72" i="82"/>
  <c r="M72" i="82"/>
  <c r="L72" i="82"/>
  <c r="K72" i="82"/>
  <c r="J72" i="82"/>
  <c r="I72" i="82"/>
  <c r="H72" i="82"/>
  <c r="G72" i="82"/>
  <c r="F72" i="82"/>
  <c r="E72" i="82"/>
  <c r="D72" i="82"/>
  <c r="C72" i="82"/>
  <c r="O71" i="82"/>
  <c r="N71" i="82"/>
  <c r="M71" i="82"/>
  <c r="L71" i="82"/>
  <c r="K71" i="82"/>
  <c r="J71" i="82"/>
  <c r="I71" i="82"/>
  <c r="H71" i="82"/>
  <c r="G71" i="82"/>
  <c r="F71" i="82"/>
  <c r="E71" i="82"/>
  <c r="D71" i="82"/>
  <c r="C71" i="82"/>
  <c r="O70" i="82"/>
  <c r="N70" i="82"/>
  <c r="M70" i="82"/>
  <c r="L70" i="82"/>
  <c r="K70" i="82"/>
  <c r="J70" i="82"/>
  <c r="I70" i="82"/>
  <c r="H70" i="82"/>
  <c r="G70" i="82"/>
  <c r="F70" i="82"/>
  <c r="E70" i="82"/>
  <c r="D70" i="82"/>
  <c r="C70" i="82"/>
  <c r="O69" i="82"/>
  <c r="N69" i="82"/>
  <c r="M69" i="82"/>
  <c r="L69" i="82"/>
  <c r="K69" i="82"/>
  <c r="J69" i="82"/>
  <c r="I69" i="82"/>
  <c r="H69" i="82"/>
  <c r="G69" i="82"/>
  <c r="F69" i="82"/>
  <c r="E69" i="82"/>
  <c r="D69" i="82"/>
  <c r="C69" i="82"/>
  <c r="O68" i="82"/>
  <c r="N68" i="82"/>
  <c r="M68" i="82"/>
  <c r="L68" i="82"/>
  <c r="K68" i="82"/>
  <c r="J68" i="82"/>
  <c r="I68" i="82"/>
  <c r="H68" i="82"/>
  <c r="G68" i="82"/>
  <c r="F68" i="82"/>
  <c r="E68" i="82"/>
  <c r="D68" i="82"/>
  <c r="C68" i="82"/>
  <c r="O67" i="82"/>
  <c r="N67" i="82"/>
  <c r="M67" i="82"/>
  <c r="L67" i="82"/>
  <c r="K67" i="82"/>
  <c r="J67" i="82"/>
  <c r="I67" i="82"/>
  <c r="H67" i="82"/>
  <c r="G67" i="82"/>
  <c r="F67" i="82"/>
  <c r="E67" i="82"/>
  <c r="D67" i="82"/>
  <c r="C67" i="82"/>
  <c r="O66" i="82"/>
  <c r="N66" i="82"/>
  <c r="M66" i="82"/>
  <c r="L66" i="82"/>
  <c r="K66" i="82"/>
  <c r="J66" i="82"/>
  <c r="I66" i="82"/>
  <c r="H66" i="82"/>
  <c r="G66" i="82"/>
  <c r="F66" i="82"/>
  <c r="E66" i="82"/>
  <c r="D66" i="82"/>
  <c r="C66" i="82"/>
  <c r="O65" i="82"/>
  <c r="N65" i="82"/>
  <c r="M65" i="82"/>
  <c r="L65" i="82"/>
  <c r="K65" i="82"/>
  <c r="J65" i="82"/>
  <c r="I65" i="82"/>
  <c r="H65" i="82"/>
  <c r="G65" i="82"/>
  <c r="F65" i="82"/>
  <c r="E65" i="82"/>
  <c r="D65" i="82"/>
  <c r="C65" i="82"/>
  <c r="O64" i="82"/>
  <c r="N64" i="82"/>
  <c r="M64" i="82"/>
  <c r="L64" i="82"/>
  <c r="K64" i="82"/>
  <c r="J64" i="82"/>
  <c r="I64" i="82"/>
  <c r="H64" i="82"/>
  <c r="G64" i="82"/>
  <c r="F64" i="82"/>
  <c r="E64" i="82"/>
  <c r="D64" i="82"/>
  <c r="C64" i="82"/>
  <c r="O63" i="82"/>
  <c r="N63" i="82"/>
  <c r="M63" i="82"/>
  <c r="L63" i="82"/>
  <c r="K63" i="82"/>
  <c r="J63" i="82"/>
  <c r="I63" i="82"/>
  <c r="H63" i="82"/>
  <c r="G63" i="82"/>
  <c r="F63" i="82"/>
  <c r="E63" i="82"/>
  <c r="D63" i="82"/>
  <c r="C63" i="82"/>
  <c r="O62" i="82"/>
  <c r="N62" i="82"/>
  <c r="M62" i="82"/>
  <c r="L62" i="82"/>
  <c r="K62" i="82"/>
  <c r="J62" i="82"/>
  <c r="I62" i="82"/>
  <c r="H62" i="82"/>
  <c r="G62" i="82"/>
  <c r="F62" i="82"/>
  <c r="E62" i="82"/>
  <c r="D62" i="82"/>
  <c r="C62" i="82"/>
  <c r="O61" i="82"/>
  <c r="N61" i="82"/>
  <c r="M61" i="82"/>
  <c r="L61" i="82"/>
  <c r="K61" i="82"/>
  <c r="J61" i="82"/>
  <c r="I61" i="82"/>
  <c r="H61" i="82"/>
  <c r="G61" i="82"/>
  <c r="F61" i="82"/>
  <c r="E61" i="82"/>
  <c r="D61" i="82"/>
  <c r="C61" i="82"/>
  <c r="O60" i="82"/>
  <c r="N60" i="82"/>
  <c r="M60" i="82"/>
  <c r="L60" i="82"/>
  <c r="K60" i="82"/>
  <c r="J60" i="82"/>
  <c r="I60" i="82"/>
  <c r="H60" i="82"/>
  <c r="G60" i="82"/>
  <c r="F60" i="82"/>
  <c r="E60" i="82"/>
  <c r="D60" i="82"/>
  <c r="C60" i="82"/>
  <c r="O59" i="82"/>
  <c r="N59" i="82"/>
  <c r="M59" i="82"/>
  <c r="L59" i="82"/>
  <c r="K59" i="82"/>
  <c r="J59" i="82"/>
  <c r="I59" i="82"/>
  <c r="H59" i="82"/>
  <c r="G59" i="82"/>
  <c r="F59" i="82"/>
  <c r="E59" i="82"/>
  <c r="D59" i="82"/>
  <c r="C59" i="82"/>
  <c r="O58" i="82"/>
  <c r="N58" i="82"/>
  <c r="M58" i="82"/>
  <c r="L58" i="82"/>
  <c r="K58" i="82"/>
  <c r="J58" i="82"/>
  <c r="I58" i="82"/>
  <c r="H58" i="82"/>
  <c r="G58" i="82"/>
  <c r="F58" i="82"/>
  <c r="E58" i="82"/>
  <c r="D58" i="82"/>
  <c r="C58" i="82"/>
  <c r="O57" i="82"/>
  <c r="N57" i="82"/>
  <c r="M57" i="82"/>
  <c r="L57" i="82"/>
  <c r="K57" i="82"/>
  <c r="J57" i="82"/>
  <c r="I57" i="82"/>
  <c r="H57" i="82"/>
  <c r="G57" i="82"/>
  <c r="F57" i="82"/>
  <c r="E57" i="82"/>
  <c r="D57" i="82"/>
  <c r="C57" i="82"/>
  <c r="O56" i="82"/>
  <c r="N56" i="82"/>
  <c r="M56" i="82"/>
  <c r="L56" i="82"/>
  <c r="K56" i="82"/>
  <c r="J56" i="82"/>
  <c r="I56" i="82"/>
  <c r="H56" i="82"/>
  <c r="G56" i="82"/>
  <c r="F56" i="82"/>
  <c r="E56" i="82"/>
  <c r="D56" i="82"/>
  <c r="C56" i="82"/>
  <c r="O55" i="82"/>
  <c r="N55" i="82"/>
  <c r="M55" i="82"/>
  <c r="L55" i="82"/>
  <c r="K55" i="82"/>
  <c r="J55" i="82"/>
  <c r="I55" i="82"/>
  <c r="H55" i="82"/>
  <c r="G55" i="82"/>
  <c r="F55" i="82"/>
  <c r="E55" i="82"/>
  <c r="D55" i="82"/>
  <c r="C55" i="82"/>
  <c r="O54" i="82"/>
  <c r="N54" i="82"/>
  <c r="M54" i="82"/>
  <c r="L54" i="82"/>
  <c r="K54" i="82"/>
  <c r="J54" i="82"/>
  <c r="I54" i="82"/>
  <c r="H54" i="82"/>
  <c r="G54" i="82"/>
  <c r="F54" i="82"/>
  <c r="E54" i="82"/>
  <c r="D54" i="82"/>
  <c r="C54" i="82"/>
  <c r="O53" i="82"/>
  <c r="N53" i="82"/>
  <c r="M53" i="82"/>
  <c r="L53" i="82"/>
  <c r="K53" i="82"/>
  <c r="J53" i="82"/>
  <c r="I53" i="82"/>
  <c r="H53" i="82"/>
  <c r="G53" i="82"/>
  <c r="F53" i="82"/>
  <c r="E53" i="82"/>
  <c r="D53" i="82"/>
  <c r="C53" i="82"/>
  <c r="O52" i="82"/>
  <c r="N52" i="82"/>
  <c r="M52" i="82"/>
  <c r="L52" i="82"/>
  <c r="K52" i="82"/>
  <c r="J52" i="82"/>
  <c r="I52" i="82"/>
  <c r="H52" i="82"/>
  <c r="G52" i="82"/>
  <c r="F52" i="82"/>
  <c r="E52" i="82"/>
  <c r="D52" i="82"/>
  <c r="C52" i="82"/>
  <c r="O51" i="82"/>
  <c r="N51" i="82"/>
  <c r="M51" i="82"/>
  <c r="L51" i="82"/>
  <c r="K51" i="82"/>
  <c r="J51" i="82"/>
  <c r="I51" i="82"/>
  <c r="H51" i="82"/>
  <c r="G51" i="82"/>
  <c r="F51" i="82"/>
  <c r="E51" i="82"/>
  <c r="D51" i="82"/>
  <c r="C51" i="82"/>
  <c r="O50" i="82"/>
  <c r="N50" i="82"/>
  <c r="M50" i="82"/>
  <c r="L50" i="82"/>
  <c r="K50" i="82"/>
  <c r="J50" i="82"/>
  <c r="I50" i="82"/>
  <c r="H50" i="82"/>
  <c r="G50" i="82"/>
  <c r="F50" i="82"/>
  <c r="E50" i="82"/>
  <c r="D50" i="82"/>
  <c r="C50" i="82"/>
  <c r="O49" i="82"/>
  <c r="N49" i="82"/>
  <c r="M49" i="82"/>
  <c r="L49" i="82"/>
  <c r="K49" i="82"/>
  <c r="J49" i="82"/>
  <c r="I49" i="82"/>
  <c r="H49" i="82"/>
  <c r="G49" i="82"/>
  <c r="F49" i="82"/>
  <c r="E49" i="82"/>
  <c r="D49" i="82"/>
  <c r="C49" i="82"/>
  <c r="O48" i="82"/>
  <c r="N48" i="82"/>
  <c r="M48" i="82"/>
  <c r="L48" i="82"/>
  <c r="K48" i="82"/>
  <c r="J48" i="82"/>
  <c r="I48" i="82"/>
  <c r="H48" i="82"/>
  <c r="G48" i="82"/>
  <c r="F48" i="82"/>
  <c r="E48" i="82"/>
  <c r="D48" i="82"/>
  <c r="C48" i="82"/>
  <c r="O47" i="82"/>
  <c r="N47" i="82"/>
  <c r="M47" i="82"/>
  <c r="L47" i="82"/>
  <c r="K47" i="82"/>
  <c r="J47" i="82"/>
  <c r="I47" i="82"/>
  <c r="H47" i="82"/>
  <c r="G47" i="82"/>
  <c r="F47" i="82"/>
  <c r="E47" i="82"/>
  <c r="D47" i="82"/>
  <c r="C47" i="82"/>
  <c r="O46" i="82"/>
  <c r="N46" i="82"/>
  <c r="M46" i="82"/>
  <c r="L46" i="82"/>
  <c r="K46" i="82"/>
  <c r="J46" i="82"/>
  <c r="I46" i="82"/>
  <c r="H46" i="82"/>
  <c r="G46" i="82"/>
  <c r="F46" i="82"/>
  <c r="E46" i="82"/>
  <c r="D46" i="82"/>
  <c r="C46" i="82"/>
  <c r="O45" i="82"/>
  <c r="N45" i="82"/>
  <c r="M45" i="82"/>
  <c r="L45" i="82"/>
  <c r="K45" i="82"/>
  <c r="J45" i="82"/>
  <c r="I45" i="82"/>
  <c r="H45" i="82"/>
  <c r="G45" i="82"/>
  <c r="F45" i="82"/>
  <c r="E45" i="82"/>
  <c r="D45" i="82"/>
  <c r="C45" i="82"/>
  <c r="O44" i="82"/>
  <c r="N44" i="82"/>
  <c r="M44" i="82"/>
  <c r="L44" i="82"/>
  <c r="K44" i="82"/>
  <c r="J44" i="82"/>
  <c r="I44" i="82"/>
  <c r="H44" i="82"/>
  <c r="G44" i="82"/>
  <c r="F44" i="82"/>
  <c r="E44" i="82"/>
  <c r="D44" i="82"/>
  <c r="C44" i="82"/>
  <c r="O43" i="82"/>
  <c r="N43" i="82"/>
  <c r="M43" i="82"/>
  <c r="L43" i="82"/>
  <c r="K43" i="82"/>
  <c r="J43" i="82"/>
  <c r="I43" i="82"/>
  <c r="H43" i="82"/>
  <c r="G43" i="82"/>
  <c r="F43" i="82"/>
  <c r="E43" i="82"/>
  <c r="D43" i="82"/>
  <c r="C43" i="82"/>
  <c r="O42" i="82"/>
  <c r="N42" i="82"/>
  <c r="M42" i="82"/>
  <c r="L42" i="82"/>
  <c r="K42" i="82"/>
  <c r="J42" i="82"/>
  <c r="I42" i="82"/>
  <c r="H42" i="82"/>
  <c r="G42" i="82"/>
  <c r="F42" i="82"/>
  <c r="E42" i="82"/>
  <c r="D42" i="82"/>
  <c r="C42" i="82"/>
  <c r="O41" i="82"/>
  <c r="N41" i="82"/>
  <c r="M41" i="82"/>
  <c r="L41" i="82"/>
  <c r="K41" i="82"/>
  <c r="J41" i="82"/>
  <c r="I41" i="82"/>
  <c r="H41" i="82"/>
  <c r="G41" i="82"/>
  <c r="F41" i="82"/>
  <c r="E41" i="82"/>
  <c r="D41" i="82"/>
  <c r="C41" i="82"/>
  <c r="O40" i="82"/>
  <c r="N40" i="82"/>
  <c r="M40" i="82"/>
  <c r="L40" i="82"/>
  <c r="K40" i="82"/>
  <c r="J40" i="82"/>
  <c r="I40" i="82"/>
  <c r="H40" i="82"/>
  <c r="G40" i="82"/>
  <c r="F40" i="82"/>
  <c r="E40" i="82"/>
  <c r="D40" i="82"/>
  <c r="C40" i="82"/>
  <c r="O39" i="82"/>
  <c r="N39" i="82"/>
  <c r="M39" i="82"/>
  <c r="L39" i="82"/>
  <c r="K39" i="82"/>
  <c r="J39" i="82"/>
  <c r="I39" i="82"/>
  <c r="H39" i="82"/>
  <c r="G39" i="82"/>
  <c r="F39" i="82"/>
  <c r="E39" i="82"/>
  <c r="D39" i="82"/>
  <c r="C39" i="82"/>
  <c r="O38" i="82"/>
  <c r="N38" i="82"/>
  <c r="M38" i="82"/>
  <c r="L38" i="82"/>
  <c r="K38" i="82"/>
  <c r="J38" i="82"/>
  <c r="I38" i="82"/>
  <c r="H38" i="82"/>
  <c r="G38" i="82"/>
  <c r="F38" i="82"/>
  <c r="E38" i="82"/>
  <c r="D38" i="82"/>
  <c r="C38" i="82"/>
  <c r="O37" i="82"/>
  <c r="N37" i="82"/>
  <c r="M37" i="82"/>
  <c r="L37" i="82"/>
  <c r="K37" i="82"/>
  <c r="J37" i="82"/>
  <c r="I37" i="82"/>
  <c r="H37" i="82"/>
  <c r="G37" i="82"/>
  <c r="F37" i="82"/>
  <c r="E37" i="82"/>
  <c r="D37" i="82"/>
  <c r="C37" i="82"/>
  <c r="O36" i="82"/>
  <c r="N36" i="82"/>
  <c r="M36" i="82"/>
  <c r="L36" i="82"/>
  <c r="K36" i="82"/>
  <c r="J36" i="82"/>
  <c r="I36" i="82"/>
  <c r="H36" i="82"/>
  <c r="G36" i="82"/>
  <c r="F36" i="82"/>
  <c r="E36" i="82"/>
  <c r="D36" i="82"/>
  <c r="C36" i="82"/>
  <c r="O35" i="82"/>
  <c r="N35" i="82"/>
  <c r="M35" i="82"/>
  <c r="L35" i="82"/>
  <c r="K35" i="82"/>
  <c r="J35" i="82"/>
  <c r="I35" i="82"/>
  <c r="H35" i="82"/>
  <c r="G35" i="82"/>
  <c r="F35" i="82"/>
  <c r="E35" i="82"/>
  <c r="D35" i="82"/>
  <c r="C35" i="82"/>
  <c r="O34" i="82"/>
  <c r="N34" i="82"/>
  <c r="M34" i="82"/>
  <c r="L34" i="82"/>
  <c r="K34" i="82"/>
  <c r="J34" i="82"/>
  <c r="I34" i="82"/>
  <c r="H34" i="82"/>
  <c r="G34" i="82"/>
  <c r="F34" i="82"/>
  <c r="E34" i="82"/>
  <c r="D34" i="82"/>
  <c r="C34" i="82"/>
  <c r="O33" i="82"/>
  <c r="N33" i="82"/>
  <c r="M33" i="82"/>
  <c r="L33" i="82"/>
  <c r="K33" i="82"/>
  <c r="J33" i="82"/>
  <c r="I33" i="82"/>
  <c r="H33" i="82"/>
  <c r="G33" i="82"/>
  <c r="F33" i="82"/>
  <c r="E33" i="82"/>
  <c r="D33" i="82"/>
  <c r="C33" i="82"/>
  <c r="O32" i="82"/>
  <c r="N32" i="82"/>
  <c r="M32" i="82"/>
  <c r="L32" i="82"/>
  <c r="K32" i="82"/>
  <c r="J32" i="82"/>
  <c r="I32" i="82"/>
  <c r="H32" i="82"/>
  <c r="G32" i="82"/>
  <c r="F32" i="82"/>
  <c r="E32" i="82"/>
  <c r="D32" i="82"/>
  <c r="C32" i="82"/>
  <c r="O31" i="82"/>
  <c r="N31" i="82"/>
  <c r="M31" i="82"/>
  <c r="L31" i="82"/>
  <c r="K31" i="82"/>
  <c r="J31" i="82"/>
  <c r="I31" i="82"/>
  <c r="H31" i="82"/>
  <c r="G31" i="82"/>
  <c r="F31" i="82"/>
  <c r="E31" i="82"/>
  <c r="D31" i="82"/>
  <c r="C31" i="82"/>
  <c r="O30" i="82"/>
  <c r="N30" i="82"/>
  <c r="M30" i="82"/>
  <c r="L30" i="82"/>
  <c r="K30" i="82"/>
  <c r="J30" i="82"/>
  <c r="I30" i="82"/>
  <c r="H30" i="82"/>
  <c r="G30" i="82"/>
  <c r="F30" i="82"/>
  <c r="E30" i="82"/>
  <c r="D30" i="82"/>
  <c r="C30" i="82"/>
  <c r="O29" i="82"/>
  <c r="N29" i="82"/>
  <c r="M29" i="82"/>
  <c r="L29" i="82"/>
  <c r="K29" i="82"/>
  <c r="J29" i="82"/>
  <c r="I29" i="82"/>
  <c r="H29" i="82"/>
  <c r="G29" i="82"/>
  <c r="F29" i="82"/>
  <c r="E29" i="82"/>
  <c r="D29" i="82"/>
  <c r="C29" i="82"/>
  <c r="O28" i="82"/>
  <c r="N28" i="82"/>
  <c r="M28" i="82"/>
  <c r="L28" i="82"/>
  <c r="K28" i="82"/>
  <c r="J28" i="82"/>
  <c r="I28" i="82"/>
  <c r="H28" i="82"/>
  <c r="G28" i="82"/>
  <c r="F28" i="82"/>
  <c r="E28" i="82"/>
  <c r="D28" i="82"/>
  <c r="C28" i="82"/>
  <c r="O27" i="82"/>
  <c r="N27" i="82"/>
  <c r="M27" i="82"/>
  <c r="L27" i="82"/>
  <c r="K27" i="82"/>
  <c r="J27" i="82"/>
  <c r="I27" i="82"/>
  <c r="H27" i="82"/>
  <c r="G27" i="82"/>
  <c r="F27" i="82"/>
  <c r="E27" i="82"/>
  <c r="D27" i="82"/>
  <c r="C27" i="82"/>
  <c r="O26" i="82"/>
  <c r="N26" i="82"/>
  <c r="M26" i="82"/>
  <c r="L26" i="82"/>
  <c r="K26" i="82"/>
  <c r="J26" i="82"/>
  <c r="I26" i="82"/>
  <c r="H26" i="82"/>
  <c r="G26" i="82"/>
  <c r="F26" i="82"/>
  <c r="E26" i="82"/>
  <c r="D26" i="82"/>
  <c r="C26" i="82"/>
  <c r="O25" i="82"/>
  <c r="N25" i="82"/>
  <c r="M25" i="82"/>
  <c r="L25" i="82"/>
  <c r="K25" i="82"/>
  <c r="J25" i="82"/>
  <c r="I25" i="82"/>
  <c r="H25" i="82"/>
  <c r="G25" i="82"/>
  <c r="F25" i="82"/>
  <c r="E25" i="82"/>
  <c r="D25" i="82"/>
  <c r="C25" i="82"/>
  <c r="O24" i="82"/>
  <c r="N24" i="82"/>
  <c r="M24" i="82"/>
  <c r="L24" i="82"/>
  <c r="K24" i="82"/>
  <c r="J24" i="82"/>
  <c r="I24" i="82"/>
  <c r="H24" i="82"/>
  <c r="G24" i="82"/>
  <c r="F24" i="82"/>
  <c r="E24" i="82"/>
  <c r="D24" i="82"/>
  <c r="C24" i="82"/>
  <c r="O23" i="82"/>
  <c r="N23" i="82"/>
  <c r="M23" i="82"/>
  <c r="L23" i="82"/>
  <c r="K23" i="82"/>
  <c r="J23" i="82"/>
  <c r="I23" i="82"/>
  <c r="H23" i="82"/>
  <c r="G23" i="82"/>
  <c r="F23" i="82"/>
  <c r="E23" i="82"/>
  <c r="D23" i="82"/>
  <c r="C23" i="82"/>
  <c r="O22" i="82"/>
  <c r="N22" i="82"/>
  <c r="M22" i="82"/>
  <c r="L22" i="82"/>
  <c r="K22" i="82"/>
  <c r="J22" i="82"/>
  <c r="I22" i="82"/>
  <c r="H22" i="82"/>
  <c r="G22" i="82"/>
  <c r="F22" i="82"/>
  <c r="E22" i="82"/>
  <c r="D22" i="82"/>
  <c r="C22" i="82"/>
  <c r="O21" i="82"/>
  <c r="N21" i="82"/>
  <c r="M21" i="82"/>
  <c r="L21" i="82"/>
  <c r="K21" i="82"/>
  <c r="J21" i="82"/>
  <c r="I21" i="82"/>
  <c r="H21" i="82"/>
  <c r="G21" i="82"/>
  <c r="F21" i="82"/>
  <c r="E21" i="82"/>
  <c r="D21" i="82"/>
  <c r="C21" i="82"/>
  <c r="O20" i="82"/>
  <c r="N20" i="82"/>
  <c r="M20" i="82"/>
  <c r="L20" i="82"/>
  <c r="K20" i="82"/>
  <c r="J20" i="82"/>
  <c r="I20" i="82"/>
  <c r="H20" i="82"/>
  <c r="G20" i="82"/>
  <c r="F20" i="82"/>
  <c r="E20" i="82"/>
  <c r="D20" i="82"/>
  <c r="C20" i="82"/>
  <c r="O19" i="82"/>
  <c r="N19" i="82"/>
  <c r="M19" i="82"/>
  <c r="L19" i="82"/>
  <c r="K19" i="82"/>
  <c r="J19" i="82"/>
  <c r="I19" i="82"/>
  <c r="H19" i="82"/>
  <c r="G19" i="82"/>
  <c r="F19" i="82"/>
  <c r="E19" i="82"/>
  <c r="D19" i="82"/>
  <c r="C19" i="82"/>
  <c r="O18" i="82"/>
  <c r="N18" i="82"/>
  <c r="M18" i="82"/>
  <c r="L18" i="82"/>
  <c r="K18" i="82"/>
  <c r="J18" i="82"/>
  <c r="I18" i="82"/>
  <c r="H18" i="82"/>
  <c r="G18" i="82"/>
  <c r="F18" i="82"/>
  <c r="E18" i="82"/>
  <c r="D18" i="82"/>
  <c r="C18" i="82"/>
  <c r="O17" i="82"/>
  <c r="N17" i="82"/>
  <c r="M17" i="82"/>
  <c r="L17" i="82"/>
  <c r="K17" i="82"/>
  <c r="J17" i="82"/>
  <c r="I17" i="82"/>
  <c r="H17" i="82"/>
  <c r="G17" i="82"/>
  <c r="F17" i="82"/>
  <c r="E17" i="82"/>
  <c r="D17" i="82"/>
  <c r="C17" i="82"/>
  <c r="O16" i="82"/>
  <c r="N16" i="82"/>
  <c r="M16" i="82"/>
  <c r="L16" i="82"/>
  <c r="K16" i="82"/>
  <c r="J16" i="82"/>
  <c r="I16" i="82"/>
  <c r="H16" i="82"/>
  <c r="G16" i="82"/>
  <c r="F16" i="82"/>
  <c r="E16" i="82"/>
  <c r="D16" i="82"/>
  <c r="C16" i="82"/>
  <c r="O15" i="82"/>
  <c r="N15" i="82"/>
  <c r="M15" i="82"/>
  <c r="L15" i="82"/>
  <c r="K15" i="82"/>
  <c r="J15" i="82"/>
  <c r="I15" i="82"/>
  <c r="H15" i="82"/>
  <c r="G15" i="82"/>
  <c r="F15" i="82"/>
  <c r="E15" i="82"/>
  <c r="D15" i="82"/>
  <c r="C15" i="82"/>
  <c r="O14" i="82"/>
  <c r="N14" i="82"/>
  <c r="M14" i="82"/>
  <c r="L14" i="82"/>
  <c r="K14" i="82"/>
  <c r="J14" i="82"/>
  <c r="I14" i="82"/>
  <c r="H14" i="82"/>
  <c r="G14" i="82"/>
  <c r="F14" i="82"/>
  <c r="E14" i="82"/>
  <c r="D14" i="82"/>
  <c r="C14" i="82"/>
  <c r="O13" i="82"/>
  <c r="N13" i="82"/>
  <c r="M13" i="82"/>
  <c r="L13" i="82"/>
  <c r="K13" i="82"/>
  <c r="J13" i="82"/>
  <c r="I13" i="82"/>
  <c r="H13" i="82"/>
  <c r="G13" i="82"/>
  <c r="F13" i="82"/>
  <c r="E13" i="82"/>
  <c r="D13" i="82"/>
  <c r="C13" i="82"/>
  <c r="O12" i="82"/>
  <c r="N12" i="82"/>
  <c r="M12" i="82"/>
  <c r="L12" i="82"/>
  <c r="K12" i="82"/>
  <c r="J12" i="82"/>
  <c r="I12" i="82"/>
  <c r="H12" i="82"/>
  <c r="G12" i="82"/>
  <c r="F12" i="82"/>
  <c r="E12" i="82"/>
  <c r="D12" i="82"/>
  <c r="C12" i="82"/>
  <c r="O11" i="82"/>
  <c r="N11" i="82"/>
  <c r="M11" i="82"/>
  <c r="L11" i="82"/>
  <c r="K11" i="82"/>
  <c r="J11" i="82"/>
  <c r="I11" i="82"/>
  <c r="H11" i="82"/>
  <c r="G11" i="82"/>
  <c r="F11" i="82"/>
  <c r="E11" i="82"/>
  <c r="D11" i="82"/>
  <c r="C11" i="82"/>
  <c r="O10" i="82"/>
  <c r="N10" i="82"/>
  <c r="M10" i="82"/>
  <c r="L10" i="82"/>
  <c r="K10" i="82"/>
  <c r="J10" i="82"/>
  <c r="I10" i="82"/>
  <c r="H10" i="82"/>
  <c r="G10" i="82"/>
  <c r="F10" i="82"/>
  <c r="E10" i="82"/>
  <c r="D10" i="82"/>
  <c r="C10" i="82"/>
  <c r="O9" i="82"/>
  <c r="N9" i="82"/>
  <c r="M9" i="82"/>
  <c r="L9" i="82"/>
  <c r="K9" i="82"/>
  <c r="J9" i="82"/>
  <c r="I9" i="82"/>
  <c r="H9" i="82"/>
  <c r="G9" i="82"/>
  <c r="F9" i="82"/>
  <c r="E9" i="82"/>
  <c r="D9" i="82"/>
  <c r="C9" i="82"/>
  <c r="O8" i="82"/>
  <c r="N8" i="82"/>
  <c r="M8" i="82"/>
  <c r="L8" i="82"/>
  <c r="K8" i="82"/>
  <c r="J8" i="82"/>
  <c r="I8" i="82"/>
  <c r="H8" i="82"/>
  <c r="G8" i="82"/>
  <c r="F8" i="82"/>
  <c r="E8" i="82"/>
  <c r="D8" i="82"/>
  <c r="C8" i="82"/>
  <c r="O7" i="82"/>
  <c r="N7" i="82"/>
  <c r="M7" i="82"/>
  <c r="L7" i="82"/>
  <c r="K7" i="82"/>
  <c r="J7" i="82"/>
  <c r="I7" i="82"/>
  <c r="H7" i="82"/>
  <c r="G7" i="82"/>
  <c r="F7" i="82"/>
  <c r="E7" i="82"/>
  <c r="D7" i="82"/>
  <c r="C7" i="82"/>
  <c r="O6" i="82"/>
  <c r="N6" i="82"/>
  <c r="M6" i="82"/>
  <c r="L6" i="82"/>
  <c r="K6" i="82"/>
  <c r="J6" i="82"/>
  <c r="I6" i="82"/>
  <c r="H6" i="82"/>
  <c r="G6" i="82"/>
  <c r="F6" i="82"/>
  <c r="E6" i="82"/>
  <c r="D6" i="82"/>
  <c r="C6" i="82"/>
  <c r="O3" i="85"/>
  <c r="O4" i="85"/>
  <c r="O5" i="85"/>
  <c r="O51" i="85"/>
  <c r="N3" i="85"/>
  <c r="N4" i="85"/>
  <c r="N5" i="85"/>
  <c r="N51" i="85"/>
  <c r="M3" i="85"/>
  <c r="M4" i="85"/>
  <c r="M5" i="85"/>
  <c r="M51" i="85"/>
  <c r="L3" i="85"/>
  <c r="L4" i="85"/>
  <c r="L5" i="85"/>
  <c r="L51" i="85"/>
  <c r="K3" i="85"/>
  <c r="K4" i="85"/>
  <c r="K5" i="85"/>
  <c r="K51" i="85"/>
  <c r="J3" i="85"/>
  <c r="J4" i="85"/>
  <c r="J5" i="85"/>
  <c r="J51" i="85"/>
  <c r="I3" i="85"/>
  <c r="I4" i="85"/>
  <c r="I5" i="85"/>
  <c r="I51" i="85"/>
  <c r="H3" i="85"/>
  <c r="H4" i="85"/>
  <c r="H5" i="85"/>
  <c r="H51" i="85"/>
  <c r="G3" i="85"/>
  <c r="G4" i="85"/>
  <c r="G5" i="85"/>
  <c r="G51" i="85"/>
  <c r="F3" i="85"/>
  <c r="F4" i="85"/>
  <c r="F5" i="85"/>
  <c r="F51" i="85"/>
  <c r="E3" i="85"/>
  <c r="E4" i="85"/>
  <c r="E5" i="85"/>
  <c r="E51" i="85"/>
  <c r="D3" i="85"/>
  <c r="D4" i="85"/>
  <c r="D5" i="85"/>
  <c r="D51" i="85"/>
  <c r="C3" i="85"/>
  <c r="C4" i="85"/>
  <c r="C5" i="85"/>
  <c r="C51" i="85"/>
  <c r="O50" i="85"/>
  <c r="N50" i="85"/>
  <c r="M50" i="85"/>
  <c r="L50" i="85"/>
  <c r="K50" i="85"/>
  <c r="J50" i="85"/>
  <c r="I50" i="85"/>
  <c r="H50" i="85"/>
  <c r="G50" i="85"/>
  <c r="F50" i="85"/>
  <c r="E50" i="85"/>
  <c r="D50" i="85"/>
  <c r="C50" i="85"/>
  <c r="O49" i="85"/>
  <c r="N49" i="85"/>
  <c r="M49" i="85"/>
  <c r="L49" i="85"/>
  <c r="K49" i="85"/>
  <c r="J49" i="85"/>
  <c r="I49" i="85"/>
  <c r="H49" i="85"/>
  <c r="G49" i="85"/>
  <c r="F49" i="85"/>
  <c r="E49" i="85"/>
  <c r="D49" i="85"/>
  <c r="C49" i="85"/>
  <c r="O48" i="85"/>
  <c r="N48" i="85"/>
  <c r="M48" i="85"/>
  <c r="L48" i="85"/>
  <c r="K48" i="85"/>
  <c r="J48" i="85"/>
  <c r="I48" i="85"/>
  <c r="H48" i="85"/>
  <c r="G48" i="85"/>
  <c r="F48" i="85"/>
  <c r="E48" i="85"/>
  <c r="D48" i="85"/>
  <c r="C48" i="85"/>
  <c r="O47" i="85"/>
  <c r="N47" i="85"/>
  <c r="M47" i="85"/>
  <c r="L47" i="85"/>
  <c r="K47" i="85"/>
  <c r="J47" i="85"/>
  <c r="I47" i="85"/>
  <c r="H47" i="85"/>
  <c r="G47" i="85"/>
  <c r="F47" i="85"/>
  <c r="E47" i="85"/>
  <c r="D47" i="85"/>
  <c r="C47" i="85"/>
  <c r="O46" i="85"/>
  <c r="N46" i="85"/>
  <c r="M46" i="85"/>
  <c r="L46" i="85"/>
  <c r="K46" i="85"/>
  <c r="J46" i="85"/>
  <c r="I46" i="85"/>
  <c r="H46" i="85"/>
  <c r="G46" i="85"/>
  <c r="F46" i="85"/>
  <c r="E46" i="85"/>
  <c r="D46" i="85"/>
  <c r="C46" i="85"/>
  <c r="O45" i="85"/>
  <c r="N45" i="85"/>
  <c r="M45" i="85"/>
  <c r="L45" i="85"/>
  <c r="K45" i="85"/>
  <c r="J45" i="85"/>
  <c r="I45" i="85"/>
  <c r="H45" i="85"/>
  <c r="G45" i="85"/>
  <c r="F45" i="85"/>
  <c r="E45" i="85"/>
  <c r="D45" i="85"/>
  <c r="C45" i="85"/>
  <c r="O44" i="85"/>
  <c r="N44" i="85"/>
  <c r="M44" i="85"/>
  <c r="L44" i="85"/>
  <c r="K44" i="85"/>
  <c r="J44" i="85"/>
  <c r="I44" i="85"/>
  <c r="H44" i="85"/>
  <c r="G44" i="85"/>
  <c r="F44" i="85"/>
  <c r="E44" i="85"/>
  <c r="D44" i="85"/>
  <c r="C44" i="85"/>
  <c r="O43" i="85"/>
  <c r="N43" i="85"/>
  <c r="M43" i="85"/>
  <c r="L43" i="85"/>
  <c r="K43" i="85"/>
  <c r="J43" i="85"/>
  <c r="I43" i="85"/>
  <c r="H43" i="85"/>
  <c r="G43" i="85"/>
  <c r="F43" i="85"/>
  <c r="E43" i="85"/>
  <c r="D43" i="85"/>
  <c r="C43" i="85"/>
  <c r="O42" i="85"/>
  <c r="N42" i="85"/>
  <c r="M42" i="85"/>
  <c r="L42" i="85"/>
  <c r="K42" i="85"/>
  <c r="J42" i="85"/>
  <c r="I42" i="85"/>
  <c r="H42" i="85"/>
  <c r="G42" i="85"/>
  <c r="F42" i="85"/>
  <c r="E42" i="85"/>
  <c r="D42" i="85"/>
  <c r="C42" i="85"/>
  <c r="O41" i="85"/>
  <c r="N41" i="85"/>
  <c r="M41" i="85"/>
  <c r="L41" i="85"/>
  <c r="K41" i="85"/>
  <c r="J41" i="85"/>
  <c r="I41" i="85"/>
  <c r="H41" i="85"/>
  <c r="G41" i="85"/>
  <c r="F41" i="85"/>
  <c r="E41" i="85"/>
  <c r="D41" i="85"/>
  <c r="C41" i="85"/>
  <c r="O40" i="85"/>
  <c r="N40" i="85"/>
  <c r="M40" i="85"/>
  <c r="L40" i="85"/>
  <c r="K40" i="85"/>
  <c r="J40" i="85"/>
  <c r="I40" i="85"/>
  <c r="H40" i="85"/>
  <c r="G40" i="85"/>
  <c r="F40" i="85"/>
  <c r="E40" i="85"/>
  <c r="D40" i="85"/>
  <c r="C40" i="85"/>
  <c r="O39" i="85"/>
  <c r="N39" i="85"/>
  <c r="M39" i="85"/>
  <c r="L39" i="85"/>
  <c r="K39" i="85"/>
  <c r="J39" i="85"/>
  <c r="I39" i="85"/>
  <c r="H39" i="85"/>
  <c r="G39" i="85"/>
  <c r="F39" i="85"/>
  <c r="E39" i="85"/>
  <c r="D39" i="85"/>
  <c r="C39" i="85"/>
  <c r="O38" i="85"/>
  <c r="N38" i="85"/>
  <c r="M38" i="85"/>
  <c r="L38" i="85"/>
  <c r="K38" i="85"/>
  <c r="J38" i="85"/>
  <c r="I38" i="85"/>
  <c r="H38" i="85"/>
  <c r="G38" i="85"/>
  <c r="F38" i="85"/>
  <c r="E38" i="85"/>
  <c r="D38" i="85"/>
  <c r="C38" i="85"/>
  <c r="O37" i="85"/>
  <c r="N37" i="85"/>
  <c r="M37" i="85"/>
  <c r="L37" i="85"/>
  <c r="K37" i="85"/>
  <c r="J37" i="85"/>
  <c r="I37" i="85"/>
  <c r="H37" i="85"/>
  <c r="G37" i="85"/>
  <c r="F37" i="85"/>
  <c r="E37" i="85"/>
  <c r="D37" i="85"/>
  <c r="C37" i="85"/>
  <c r="O36" i="85"/>
  <c r="N36" i="85"/>
  <c r="M36" i="85"/>
  <c r="L36" i="85"/>
  <c r="K36" i="85"/>
  <c r="J36" i="85"/>
  <c r="I36" i="85"/>
  <c r="H36" i="85"/>
  <c r="G36" i="85"/>
  <c r="F36" i="85"/>
  <c r="E36" i="85"/>
  <c r="D36" i="85"/>
  <c r="C36" i="85"/>
  <c r="O35" i="85"/>
  <c r="N35" i="85"/>
  <c r="M35" i="85"/>
  <c r="L35" i="85"/>
  <c r="K35" i="85"/>
  <c r="J35" i="85"/>
  <c r="I35" i="85"/>
  <c r="H35" i="85"/>
  <c r="G35" i="85"/>
  <c r="F35" i="85"/>
  <c r="E35" i="85"/>
  <c r="D35" i="85"/>
  <c r="C35" i="85"/>
  <c r="O34" i="85"/>
  <c r="N34" i="85"/>
  <c r="M34" i="85"/>
  <c r="L34" i="85"/>
  <c r="K34" i="85"/>
  <c r="J34" i="85"/>
  <c r="I34" i="85"/>
  <c r="H34" i="85"/>
  <c r="G34" i="85"/>
  <c r="F34" i="85"/>
  <c r="E34" i="85"/>
  <c r="D34" i="85"/>
  <c r="C34" i="85"/>
  <c r="O33" i="85"/>
  <c r="N33" i="85"/>
  <c r="M33" i="85"/>
  <c r="L33" i="85"/>
  <c r="K33" i="85"/>
  <c r="J33" i="85"/>
  <c r="I33" i="85"/>
  <c r="H33" i="85"/>
  <c r="G33" i="85"/>
  <c r="F33" i="85"/>
  <c r="E33" i="85"/>
  <c r="D33" i="85"/>
  <c r="C33" i="85"/>
  <c r="O32" i="85"/>
  <c r="N32" i="85"/>
  <c r="M32" i="85"/>
  <c r="L32" i="85"/>
  <c r="K32" i="85"/>
  <c r="J32" i="85"/>
  <c r="I32" i="85"/>
  <c r="H32" i="85"/>
  <c r="G32" i="85"/>
  <c r="F32" i="85"/>
  <c r="E32" i="85"/>
  <c r="D32" i="85"/>
  <c r="C32" i="85"/>
  <c r="O31" i="85"/>
  <c r="N31" i="85"/>
  <c r="M31" i="85"/>
  <c r="L31" i="85"/>
  <c r="K31" i="85"/>
  <c r="J31" i="85"/>
  <c r="I31" i="85"/>
  <c r="H31" i="85"/>
  <c r="G31" i="85"/>
  <c r="F31" i="85"/>
  <c r="E31" i="85"/>
  <c r="D31" i="85"/>
  <c r="C31" i="85"/>
  <c r="O30" i="85"/>
  <c r="N30" i="85"/>
  <c r="M30" i="85"/>
  <c r="L30" i="85"/>
  <c r="K30" i="85"/>
  <c r="J30" i="85"/>
  <c r="I30" i="85"/>
  <c r="H30" i="85"/>
  <c r="G30" i="85"/>
  <c r="F30" i="85"/>
  <c r="E30" i="85"/>
  <c r="D30" i="85"/>
  <c r="C30" i="85"/>
  <c r="O29" i="85"/>
  <c r="N29" i="85"/>
  <c r="M29" i="85"/>
  <c r="L29" i="85"/>
  <c r="K29" i="85"/>
  <c r="J29" i="85"/>
  <c r="I29" i="85"/>
  <c r="H29" i="85"/>
  <c r="G29" i="85"/>
  <c r="F29" i="85"/>
  <c r="E29" i="85"/>
  <c r="D29" i="85"/>
  <c r="C29" i="85"/>
  <c r="O28" i="85"/>
  <c r="N28" i="85"/>
  <c r="M28" i="85"/>
  <c r="L28" i="85"/>
  <c r="K28" i="85"/>
  <c r="J28" i="85"/>
  <c r="I28" i="85"/>
  <c r="H28" i="85"/>
  <c r="G28" i="85"/>
  <c r="F28" i="85"/>
  <c r="E28" i="85"/>
  <c r="D28" i="85"/>
  <c r="C28" i="85"/>
  <c r="O27" i="85"/>
  <c r="N27" i="85"/>
  <c r="M27" i="85"/>
  <c r="L27" i="85"/>
  <c r="K27" i="85"/>
  <c r="J27" i="85"/>
  <c r="I27" i="85"/>
  <c r="H27" i="85"/>
  <c r="G27" i="85"/>
  <c r="F27" i="85"/>
  <c r="E27" i="85"/>
  <c r="D27" i="85"/>
  <c r="C27" i="85"/>
  <c r="O26" i="85"/>
  <c r="N26" i="85"/>
  <c r="M26" i="85"/>
  <c r="L26" i="85"/>
  <c r="K26" i="85"/>
  <c r="J26" i="85"/>
  <c r="I26" i="85"/>
  <c r="H26" i="85"/>
  <c r="G26" i="85"/>
  <c r="F26" i="85"/>
  <c r="E26" i="85"/>
  <c r="D26" i="85"/>
  <c r="C26" i="85"/>
  <c r="O25" i="85"/>
  <c r="N25" i="85"/>
  <c r="M25" i="85"/>
  <c r="L25" i="85"/>
  <c r="K25" i="85"/>
  <c r="J25" i="85"/>
  <c r="I25" i="85"/>
  <c r="H25" i="85"/>
  <c r="G25" i="85"/>
  <c r="F25" i="85"/>
  <c r="E25" i="85"/>
  <c r="D25" i="85"/>
  <c r="C25" i="85"/>
  <c r="O24" i="85"/>
  <c r="N24" i="85"/>
  <c r="M24" i="85"/>
  <c r="L24" i="85"/>
  <c r="K24" i="85"/>
  <c r="J24" i="85"/>
  <c r="I24" i="85"/>
  <c r="H24" i="85"/>
  <c r="G24" i="85"/>
  <c r="F24" i="85"/>
  <c r="E24" i="85"/>
  <c r="D24" i="85"/>
  <c r="C24" i="85"/>
  <c r="O23" i="85"/>
  <c r="N23" i="85"/>
  <c r="M23" i="85"/>
  <c r="L23" i="85"/>
  <c r="K23" i="85"/>
  <c r="J23" i="85"/>
  <c r="I23" i="85"/>
  <c r="H23" i="85"/>
  <c r="G23" i="85"/>
  <c r="F23" i="85"/>
  <c r="E23" i="85"/>
  <c r="D23" i="85"/>
  <c r="C23" i="85"/>
  <c r="O22" i="85"/>
  <c r="N22" i="85"/>
  <c r="M22" i="85"/>
  <c r="L22" i="85"/>
  <c r="K22" i="85"/>
  <c r="J22" i="85"/>
  <c r="I22" i="85"/>
  <c r="H22" i="85"/>
  <c r="G22" i="85"/>
  <c r="F22" i="85"/>
  <c r="E22" i="85"/>
  <c r="D22" i="85"/>
  <c r="C22" i="85"/>
  <c r="O21" i="85"/>
  <c r="N21" i="85"/>
  <c r="M21" i="85"/>
  <c r="L21" i="85"/>
  <c r="K21" i="85"/>
  <c r="J21" i="85"/>
  <c r="I21" i="85"/>
  <c r="H21" i="85"/>
  <c r="G21" i="85"/>
  <c r="F21" i="85"/>
  <c r="E21" i="85"/>
  <c r="D21" i="85"/>
  <c r="C21" i="85"/>
  <c r="O20" i="85"/>
  <c r="N20" i="85"/>
  <c r="M20" i="85"/>
  <c r="L20" i="85"/>
  <c r="K20" i="85"/>
  <c r="J20" i="85"/>
  <c r="I20" i="85"/>
  <c r="H20" i="85"/>
  <c r="G20" i="85"/>
  <c r="F20" i="85"/>
  <c r="E20" i="85"/>
  <c r="D20" i="85"/>
  <c r="C20" i="85"/>
  <c r="O19" i="85"/>
  <c r="N19" i="85"/>
  <c r="M19" i="85"/>
  <c r="L19" i="85"/>
  <c r="K19" i="85"/>
  <c r="J19" i="85"/>
  <c r="I19" i="85"/>
  <c r="H19" i="85"/>
  <c r="G19" i="85"/>
  <c r="F19" i="85"/>
  <c r="E19" i="85"/>
  <c r="D19" i="85"/>
  <c r="C19" i="85"/>
  <c r="O18" i="85"/>
  <c r="N18" i="85"/>
  <c r="M18" i="85"/>
  <c r="L18" i="85"/>
  <c r="K18" i="85"/>
  <c r="J18" i="85"/>
  <c r="I18" i="85"/>
  <c r="H18" i="85"/>
  <c r="G18" i="85"/>
  <c r="F18" i="85"/>
  <c r="E18" i="85"/>
  <c r="D18" i="85"/>
  <c r="C18" i="85"/>
  <c r="O17" i="85"/>
  <c r="N17" i="85"/>
  <c r="M17" i="85"/>
  <c r="L17" i="85"/>
  <c r="K17" i="85"/>
  <c r="J17" i="85"/>
  <c r="I17" i="85"/>
  <c r="H17" i="85"/>
  <c r="G17" i="85"/>
  <c r="F17" i="85"/>
  <c r="E17" i="85"/>
  <c r="D17" i="85"/>
  <c r="C17" i="85"/>
  <c r="O16" i="85"/>
  <c r="N16" i="85"/>
  <c r="M16" i="85"/>
  <c r="L16" i="85"/>
  <c r="K16" i="85"/>
  <c r="J16" i="85"/>
  <c r="I16" i="85"/>
  <c r="H16" i="85"/>
  <c r="G16" i="85"/>
  <c r="F16" i="85"/>
  <c r="E16" i="85"/>
  <c r="D16" i="85"/>
  <c r="C16" i="85"/>
  <c r="O15" i="85"/>
  <c r="N15" i="85"/>
  <c r="M15" i="85"/>
  <c r="L15" i="85"/>
  <c r="K15" i="85"/>
  <c r="J15" i="85"/>
  <c r="I15" i="85"/>
  <c r="H15" i="85"/>
  <c r="G15" i="85"/>
  <c r="F15" i="85"/>
  <c r="E15" i="85"/>
  <c r="D15" i="85"/>
  <c r="C15" i="85"/>
  <c r="O14" i="85"/>
  <c r="N14" i="85"/>
  <c r="M14" i="85"/>
  <c r="L14" i="85"/>
  <c r="K14" i="85"/>
  <c r="J14" i="85"/>
  <c r="I14" i="85"/>
  <c r="H14" i="85"/>
  <c r="G14" i="85"/>
  <c r="F14" i="85"/>
  <c r="E14" i="85"/>
  <c r="D14" i="85"/>
  <c r="C14" i="85"/>
  <c r="O13" i="85"/>
  <c r="N13" i="85"/>
  <c r="M13" i="85"/>
  <c r="L13" i="85"/>
  <c r="K13" i="85"/>
  <c r="J13" i="85"/>
  <c r="I13" i="85"/>
  <c r="H13" i="85"/>
  <c r="G13" i="85"/>
  <c r="F13" i="85"/>
  <c r="E13" i="85"/>
  <c r="D13" i="85"/>
  <c r="C13" i="85"/>
  <c r="O12" i="85"/>
  <c r="N12" i="85"/>
  <c r="M12" i="85"/>
  <c r="L12" i="85"/>
  <c r="K12" i="85"/>
  <c r="J12" i="85"/>
  <c r="I12" i="85"/>
  <c r="H12" i="85"/>
  <c r="G12" i="85"/>
  <c r="F12" i="85"/>
  <c r="E12" i="85"/>
  <c r="D12" i="85"/>
  <c r="C12" i="85"/>
  <c r="O11" i="85"/>
  <c r="N11" i="85"/>
  <c r="M11" i="85"/>
  <c r="L11" i="85"/>
  <c r="K11" i="85"/>
  <c r="J11" i="85"/>
  <c r="I11" i="85"/>
  <c r="H11" i="85"/>
  <c r="G11" i="85"/>
  <c r="F11" i="85"/>
  <c r="E11" i="85"/>
  <c r="D11" i="85"/>
  <c r="C11" i="85"/>
  <c r="O10" i="85"/>
  <c r="N10" i="85"/>
  <c r="M10" i="85"/>
  <c r="L10" i="85"/>
  <c r="K10" i="85"/>
  <c r="J10" i="85"/>
  <c r="I10" i="85"/>
  <c r="H10" i="85"/>
  <c r="G10" i="85"/>
  <c r="F10" i="85"/>
  <c r="E10" i="85"/>
  <c r="D10" i="85"/>
  <c r="C10" i="85"/>
  <c r="O9" i="85"/>
  <c r="N9" i="85"/>
  <c r="M9" i="85"/>
  <c r="L9" i="85"/>
  <c r="K9" i="85"/>
  <c r="J9" i="85"/>
  <c r="I9" i="85"/>
  <c r="H9" i="85"/>
  <c r="G9" i="85"/>
  <c r="F9" i="85"/>
  <c r="E9" i="85"/>
  <c r="D9" i="85"/>
  <c r="C9" i="85"/>
  <c r="O8" i="85"/>
  <c r="N8" i="85"/>
  <c r="M8" i="85"/>
  <c r="L8" i="85"/>
  <c r="K8" i="85"/>
  <c r="J8" i="85"/>
  <c r="I8" i="85"/>
  <c r="H8" i="85"/>
  <c r="G8" i="85"/>
  <c r="F8" i="85"/>
  <c r="E8" i="85"/>
  <c r="D8" i="85"/>
  <c r="C8" i="85"/>
  <c r="O6" i="85"/>
  <c r="N6" i="85"/>
  <c r="M6" i="85"/>
  <c r="L6" i="85"/>
  <c r="K6" i="85"/>
  <c r="J6" i="85"/>
  <c r="I6" i="85"/>
  <c r="H6" i="85"/>
  <c r="G6" i="85"/>
  <c r="F6" i="85"/>
  <c r="E6" i="85"/>
  <c r="D6" i="85"/>
  <c r="C6" i="85"/>
  <c r="O3" i="84"/>
  <c r="O4" i="84"/>
  <c r="O5" i="84"/>
  <c r="O140" i="84"/>
  <c r="N3" i="84"/>
  <c r="N4" i="84"/>
  <c r="N5" i="84"/>
  <c r="N140" i="84"/>
  <c r="M3" i="84"/>
  <c r="M4" i="84"/>
  <c r="M5" i="84"/>
  <c r="M140" i="84"/>
  <c r="L3" i="84"/>
  <c r="L4" i="84"/>
  <c r="L5" i="84"/>
  <c r="L140" i="84"/>
  <c r="K3" i="84"/>
  <c r="K4" i="84"/>
  <c r="K5" i="84"/>
  <c r="K140" i="84"/>
  <c r="J3" i="84"/>
  <c r="J4" i="84"/>
  <c r="J5" i="84"/>
  <c r="J140" i="84"/>
  <c r="I3" i="84"/>
  <c r="I4" i="84"/>
  <c r="I5" i="84"/>
  <c r="I140" i="84"/>
  <c r="H3" i="84"/>
  <c r="H4" i="84"/>
  <c r="H5" i="84"/>
  <c r="H140" i="84"/>
  <c r="G3" i="84"/>
  <c r="G4" i="84"/>
  <c r="G5" i="84"/>
  <c r="G140" i="84"/>
  <c r="F3" i="84"/>
  <c r="F4" i="84"/>
  <c r="F5" i="84"/>
  <c r="F140" i="84"/>
  <c r="E3" i="84"/>
  <c r="E4" i="84"/>
  <c r="E5" i="84"/>
  <c r="E140" i="84"/>
  <c r="D3" i="84"/>
  <c r="D4" i="84"/>
  <c r="D5" i="84"/>
  <c r="D140" i="84"/>
  <c r="C3" i="84"/>
  <c r="C4" i="84"/>
  <c r="C5" i="84"/>
  <c r="C140" i="84"/>
  <c r="O139" i="84"/>
  <c r="N139" i="84"/>
  <c r="M139" i="84"/>
  <c r="L139" i="84"/>
  <c r="K139" i="84"/>
  <c r="J139" i="84"/>
  <c r="I139" i="84"/>
  <c r="H139" i="84"/>
  <c r="G139" i="84"/>
  <c r="F139" i="84"/>
  <c r="E139" i="84"/>
  <c r="D139" i="84"/>
  <c r="C139" i="84"/>
  <c r="O138" i="84"/>
  <c r="N138" i="84"/>
  <c r="M138" i="84"/>
  <c r="L138" i="84"/>
  <c r="K138" i="84"/>
  <c r="J138" i="84"/>
  <c r="I138" i="84"/>
  <c r="H138" i="84"/>
  <c r="G138" i="84"/>
  <c r="F138" i="84"/>
  <c r="E138" i="84"/>
  <c r="D138" i="84"/>
  <c r="C138" i="84"/>
  <c r="O137" i="84"/>
  <c r="N137" i="84"/>
  <c r="M137" i="84"/>
  <c r="L137" i="84"/>
  <c r="K137" i="84"/>
  <c r="J137" i="84"/>
  <c r="I137" i="84"/>
  <c r="H137" i="84"/>
  <c r="G137" i="84"/>
  <c r="F137" i="84"/>
  <c r="E137" i="84"/>
  <c r="D137" i="84"/>
  <c r="C137" i="84"/>
  <c r="O136" i="84"/>
  <c r="N136" i="84"/>
  <c r="M136" i="84"/>
  <c r="L136" i="84"/>
  <c r="K136" i="84"/>
  <c r="J136" i="84"/>
  <c r="I136" i="84"/>
  <c r="H136" i="84"/>
  <c r="G136" i="84"/>
  <c r="F136" i="84"/>
  <c r="E136" i="84"/>
  <c r="D136" i="84"/>
  <c r="C136" i="84"/>
  <c r="O135" i="84"/>
  <c r="N135" i="84"/>
  <c r="M135" i="84"/>
  <c r="L135" i="84"/>
  <c r="K135" i="84"/>
  <c r="J135" i="84"/>
  <c r="I135" i="84"/>
  <c r="H135" i="84"/>
  <c r="G135" i="84"/>
  <c r="F135" i="84"/>
  <c r="E135" i="84"/>
  <c r="D135" i="84"/>
  <c r="C135" i="84"/>
  <c r="O134" i="84"/>
  <c r="N134" i="84"/>
  <c r="M134" i="84"/>
  <c r="L134" i="84"/>
  <c r="K134" i="84"/>
  <c r="J134" i="84"/>
  <c r="I134" i="84"/>
  <c r="H134" i="84"/>
  <c r="G134" i="84"/>
  <c r="F134" i="84"/>
  <c r="E134" i="84"/>
  <c r="D134" i="84"/>
  <c r="C134" i="84"/>
  <c r="O133" i="84"/>
  <c r="N133" i="84"/>
  <c r="M133" i="84"/>
  <c r="L133" i="84"/>
  <c r="K133" i="84"/>
  <c r="J133" i="84"/>
  <c r="I133" i="84"/>
  <c r="H133" i="84"/>
  <c r="G133" i="84"/>
  <c r="F133" i="84"/>
  <c r="E133" i="84"/>
  <c r="D133" i="84"/>
  <c r="C133" i="84"/>
  <c r="O132" i="84"/>
  <c r="N132" i="84"/>
  <c r="M132" i="84"/>
  <c r="L132" i="84"/>
  <c r="K132" i="84"/>
  <c r="J132" i="84"/>
  <c r="I132" i="84"/>
  <c r="H132" i="84"/>
  <c r="G132" i="84"/>
  <c r="F132" i="84"/>
  <c r="E132" i="84"/>
  <c r="D132" i="84"/>
  <c r="C132" i="84"/>
  <c r="O131" i="84"/>
  <c r="N131" i="84"/>
  <c r="M131" i="84"/>
  <c r="L131" i="84"/>
  <c r="K131" i="84"/>
  <c r="J131" i="84"/>
  <c r="I131" i="84"/>
  <c r="H131" i="84"/>
  <c r="G131" i="84"/>
  <c r="F131" i="84"/>
  <c r="E131" i="84"/>
  <c r="D131" i="84"/>
  <c r="C131" i="84"/>
  <c r="O130" i="84"/>
  <c r="N130" i="84"/>
  <c r="M130" i="84"/>
  <c r="L130" i="84"/>
  <c r="K130" i="84"/>
  <c r="J130" i="84"/>
  <c r="I130" i="84"/>
  <c r="H130" i="84"/>
  <c r="G130" i="84"/>
  <c r="F130" i="84"/>
  <c r="E130" i="84"/>
  <c r="D130" i="84"/>
  <c r="C130" i="84"/>
  <c r="O129" i="84"/>
  <c r="N129" i="84"/>
  <c r="M129" i="84"/>
  <c r="L129" i="84"/>
  <c r="K129" i="84"/>
  <c r="J129" i="84"/>
  <c r="I129" i="84"/>
  <c r="H129" i="84"/>
  <c r="G129" i="84"/>
  <c r="F129" i="84"/>
  <c r="E129" i="84"/>
  <c r="D129" i="84"/>
  <c r="C129" i="84"/>
  <c r="O128" i="84"/>
  <c r="N128" i="84"/>
  <c r="M128" i="84"/>
  <c r="L128" i="84"/>
  <c r="K128" i="84"/>
  <c r="J128" i="84"/>
  <c r="I128" i="84"/>
  <c r="H128" i="84"/>
  <c r="G128" i="84"/>
  <c r="F128" i="84"/>
  <c r="E128" i="84"/>
  <c r="D128" i="84"/>
  <c r="C128" i="84"/>
  <c r="O127" i="84"/>
  <c r="N127" i="84"/>
  <c r="M127" i="84"/>
  <c r="L127" i="84"/>
  <c r="K127" i="84"/>
  <c r="J127" i="84"/>
  <c r="I127" i="84"/>
  <c r="H127" i="84"/>
  <c r="G127" i="84"/>
  <c r="F127" i="84"/>
  <c r="E127" i="84"/>
  <c r="D127" i="84"/>
  <c r="C127" i="84"/>
  <c r="O126" i="84"/>
  <c r="N126" i="84"/>
  <c r="M126" i="84"/>
  <c r="L126" i="84"/>
  <c r="K126" i="84"/>
  <c r="J126" i="84"/>
  <c r="I126" i="84"/>
  <c r="H126" i="84"/>
  <c r="G126" i="84"/>
  <c r="F126" i="84"/>
  <c r="E126" i="84"/>
  <c r="D126" i="84"/>
  <c r="C126" i="84"/>
  <c r="O125" i="84"/>
  <c r="N125" i="84"/>
  <c r="M125" i="84"/>
  <c r="L125" i="84"/>
  <c r="K125" i="84"/>
  <c r="J125" i="84"/>
  <c r="I125" i="84"/>
  <c r="H125" i="84"/>
  <c r="G125" i="84"/>
  <c r="F125" i="84"/>
  <c r="E125" i="84"/>
  <c r="D125" i="84"/>
  <c r="C125" i="84"/>
  <c r="O124" i="84"/>
  <c r="N124" i="84"/>
  <c r="M124" i="84"/>
  <c r="L124" i="84"/>
  <c r="K124" i="84"/>
  <c r="J124" i="84"/>
  <c r="I124" i="84"/>
  <c r="H124" i="84"/>
  <c r="G124" i="84"/>
  <c r="F124" i="84"/>
  <c r="E124" i="84"/>
  <c r="D124" i="84"/>
  <c r="C124" i="84"/>
  <c r="O123" i="84"/>
  <c r="N123" i="84"/>
  <c r="M123" i="84"/>
  <c r="L123" i="84"/>
  <c r="K123" i="84"/>
  <c r="J123" i="84"/>
  <c r="I123" i="84"/>
  <c r="H123" i="84"/>
  <c r="G123" i="84"/>
  <c r="F123" i="84"/>
  <c r="E123" i="84"/>
  <c r="D123" i="84"/>
  <c r="C123" i="84"/>
  <c r="O122" i="84"/>
  <c r="N122" i="84"/>
  <c r="M122" i="84"/>
  <c r="L122" i="84"/>
  <c r="K122" i="84"/>
  <c r="J122" i="84"/>
  <c r="I122" i="84"/>
  <c r="H122" i="84"/>
  <c r="G122" i="84"/>
  <c r="F122" i="84"/>
  <c r="E122" i="84"/>
  <c r="D122" i="84"/>
  <c r="C122" i="84"/>
  <c r="O121" i="84"/>
  <c r="N121" i="84"/>
  <c r="M121" i="84"/>
  <c r="L121" i="84"/>
  <c r="K121" i="84"/>
  <c r="J121" i="84"/>
  <c r="I121" i="84"/>
  <c r="H121" i="84"/>
  <c r="G121" i="84"/>
  <c r="F121" i="84"/>
  <c r="E121" i="84"/>
  <c r="D121" i="84"/>
  <c r="C121" i="84"/>
  <c r="O120" i="84"/>
  <c r="N120" i="84"/>
  <c r="M120" i="84"/>
  <c r="L120" i="84"/>
  <c r="K120" i="84"/>
  <c r="J120" i="84"/>
  <c r="I120" i="84"/>
  <c r="H120" i="84"/>
  <c r="G120" i="84"/>
  <c r="F120" i="84"/>
  <c r="E120" i="84"/>
  <c r="D120" i="84"/>
  <c r="C120" i="84"/>
  <c r="O119" i="84"/>
  <c r="N119" i="84"/>
  <c r="M119" i="84"/>
  <c r="L119" i="84"/>
  <c r="K119" i="84"/>
  <c r="J119" i="84"/>
  <c r="I119" i="84"/>
  <c r="H119" i="84"/>
  <c r="G119" i="84"/>
  <c r="F119" i="84"/>
  <c r="E119" i="84"/>
  <c r="D119" i="84"/>
  <c r="C119" i="84"/>
  <c r="O118" i="84"/>
  <c r="N118" i="84"/>
  <c r="M118" i="84"/>
  <c r="L118" i="84"/>
  <c r="K118" i="84"/>
  <c r="J118" i="84"/>
  <c r="I118" i="84"/>
  <c r="H118" i="84"/>
  <c r="G118" i="84"/>
  <c r="F118" i="84"/>
  <c r="E118" i="84"/>
  <c r="D118" i="84"/>
  <c r="C118" i="84"/>
  <c r="O117" i="84"/>
  <c r="N117" i="84"/>
  <c r="M117" i="84"/>
  <c r="L117" i="84"/>
  <c r="K117" i="84"/>
  <c r="J117" i="84"/>
  <c r="I117" i="84"/>
  <c r="H117" i="84"/>
  <c r="G117" i="84"/>
  <c r="F117" i="84"/>
  <c r="E117" i="84"/>
  <c r="D117" i="84"/>
  <c r="C117" i="84"/>
  <c r="O116" i="84"/>
  <c r="N116" i="84"/>
  <c r="M116" i="84"/>
  <c r="L116" i="84"/>
  <c r="K116" i="84"/>
  <c r="J116" i="84"/>
  <c r="I116" i="84"/>
  <c r="H116" i="84"/>
  <c r="G116" i="84"/>
  <c r="F116" i="84"/>
  <c r="E116" i="84"/>
  <c r="D116" i="84"/>
  <c r="C116" i="84"/>
  <c r="O115" i="84"/>
  <c r="N115" i="84"/>
  <c r="M115" i="84"/>
  <c r="L115" i="84"/>
  <c r="K115" i="84"/>
  <c r="J115" i="84"/>
  <c r="I115" i="84"/>
  <c r="H115" i="84"/>
  <c r="G115" i="84"/>
  <c r="F115" i="84"/>
  <c r="E115" i="84"/>
  <c r="D115" i="84"/>
  <c r="C115" i="84"/>
  <c r="O114" i="84"/>
  <c r="N114" i="84"/>
  <c r="M114" i="84"/>
  <c r="L114" i="84"/>
  <c r="K114" i="84"/>
  <c r="J114" i="84"/>
  <c r="I114" i="84"/>
  <c r="H114" i="84"/>
  <c r="G114" i="84"/>
  <c r="F114" i="84"/>
  <c r="E114" i="84"/>
  <c r="D114" i="84"/>
  <c r="C114" i="84"/>
  <c r="O113" i="84"/>
  <c r="N113" i="84"/>
  <c r="M113" i="84"/>
  <c r="L113" i="84"/>
  <c r="K113" i="84"/>
  <c r="J113" i="84"/>
  <c r="I113" i="84"/>
  <c r="H113" i="84"/>
  <c r="G113" i="84"/>
  <c r="F113" i="84"/>
  <c r="E113" i="84"/>
  <c r="D113" i="84"/>
  <c r="C113" i="84"/>
  <c r="O112" i="84"/>
  <c r="N112" i="84"/>
  <c r="M112" i="84"/>
  <c r="L112" i="84"/>
  <c r="K112" i="84"/>
  <c r="J112" i="84"/>
  <c r="I112" i="84"/>
  <c r="H112" i="84"/>
  <c r="G112" i="84"/>
  <c r="F112" i="84"/>
  <c r="E112" i="84"/>
  <c r="D112" i="84"/>
  <c r="C112" i="84"/>
  <c r="O111" i="84"/>
  <c r="N111" i="84"/>
  <c r="M111" i="84"/>
  <c r="L111" i="84"/>
  <c r="K111" i="84"/>
  <c r="J111" i="84"/>
  <c r="I111" i="84"/>
  <c r="H111" i="84"/>
  <c r="G111" i="84"/>
  <c r="F111" i="84"/>
  <c r="E111" i="84"/>
  <c r="D111" i="84"/>
  <c r="C111" i="84"/>
  <c r="O110" i="84"/>
  <c r="N110" i="84"/>
  <c r="M110" i="84"/>
  <c r="L110" i="84"/>
  <c r="K110" i="84"/>
  <c r="J110" i="84"/>
  <c r="I110" i="84"/>
  <c r="H110" i="84"/>
  <c r="G110" i="84"/>
  <c r="F110" i="84"/>
  <c r="E110" i="84"/>
  <c r="D110" i="84"/>
  <c r="C110" i="84"/>
  <c r="O109" i="84"/>
  <c r="N109" i="84"/>
  <c r="M109" i="84"/>
  <c r="L109" i="84"/>
  <c r="K109" i="84"/>
  <c r="J109" i="84"/>
  <c r="I109" i="84"/>
  <c r="H109" i="84"/>
  <c r="G109" i="84"/>
  <c r="F109" i="84"/>
  <c r="E109" i="84"/>
  <c r="D109" i="84"/>
  <c r="C109" i="84"/>
  <c r="O108" i="84"/>
  <c r="N108" i="84"/>
  <c r="M108" i="84"/>
  <c r="L108" i="84"/>
  <c r="K108" i="84"/>
  <c r="J108" i="84"/>
  <c r="I108" i="84"/>
  <c r="H108" i="84"/>
  <c r="G108" i="84"/>
  <c r="F108" i="84"/>
  <c r="E108" i="84"/>
  <c r="D108" i="84"/>
  <c r="C108" i="84"/>
  <c r="O107" i="84"/>
  <c r="N107" i="84"/>
  <c r="M107" i="84"/>
  <c r="L107" i="84"/>
  <c r="K107" i="84"/>
  <c r="J107" i="84"/>
  <c r="I107" i="84"/>
  <c r="H107" i="84"/>
  <c r="G107" i="84"/>
  <c r="F107" i="84"/>
  <c r="E107" i="84"/>
  <c r="D107" i="84"/>
  <c r="C107" i="84"/>
  <c r="O106" i="84"/>
  <c r="N106" i="84"/>
  <c r="M106" i="84"/>
  <c r="L106" i="84"/>
  <c r="K106" i="84"/>
  <c r="J106" i="84"/>
  <c r="I106" i="84"/>
  <c r="H106" i="84"/>
  <c r="G106" i="84"/>
  <c r="F106" i="84"/>
  <c r="E106" i="84"/>
  <c r="D106" i="84"/>
  <c r="C106" i="84"/>
  <c r="O105" i="84"/>
  <c r="N105" i="84"/>
  <c r="M105" i="84"/>
  <c r="L105" i="84"/>
  <c r="K105" i="84"/>
  <c r="J105" i="84"/>
  <c r="I105" i="84"/>
  <c r="H105" i="84"/>
  <c r="G105" i="84"/>
  <c r="F105" i="84"/>
  <c r="E105" i="84"/>
  <c r="D105" i="84"/>
  <c r="C105" i="84"/>
  <c r="O104" i="84"/>
  <c r="N104" i="84"/>
  <c r="M104" i="84"/>
  <c r="L104" i="84"/>
  <c r="K104" i="84"/>
  <c r="J104" i="84"/>
  <c r="I104" i="84"/>
  <c r="H104" i="84"/>
  <c r="G104" i="84"/>
  <c r="F104" i="84"/>
  <c r="E104" i="84"/>
  <c r="D104" i="84"/>
  <c r="C104" i="84"/>
  <c r="O103" i="84"/>
  <c r="N103" i="84"/>
  <c r="M103" i="84"/>
  <c r="L103" i="84"/>
  <c r="K103" i="84"/>
  <c r="J103" i="84"/>
  <c r="I103" i="84"/>
  <c r="H103" i="84"/>
  <c r="G103" i="84"/>
  <c r="F103" i="84"/>
  <c r="E103" i="84"/>
  <c r="D103" i="84"/>
  <c r="C103" i="84"/>
  <c r="O102" i="84"/>
  <c r="N102" i="84"/>
  <c r="M102" i="84"/>
  <c r="L102" i="84"/>
  <c r="K102" i="84"/>
  <c r="J102" i="84"/>
  <c r="I102" i="84"/>
  <c r="H102" i="84"/>
  <c r="G102" i="84"/>
  <c r="F102" i="84"/>
  <c r="E102" i="84"/>
  <c r="D102" i="84"/>
  <c r="C102" i="84"/>
  <c r="O101" i="84"/>
  <c r="N101" i="84"/>
  <c r="M101" i="84"/>
  <c r="L101" i="84"/>
  <c r="K101" i="84"/>
  <c r="J101" i="84"/>
  <c r="I101" i="84"/>
  <c r="H101" i="84"/>
  <c r="G101" i="84"/>
  <c r="F101" i="84"/>
  <c r="E101" i="84"/>
  <c r="D101" i="84"/>
  <c r="C101" i="84"/>
  <c r="O100" i="84"/>
  <c r="N100" i="84"/>
  <c r="M100" i="84"/>
  <c r="L100" i="84"/>
  <c r="K100" i="84"/>
  <c r="J100" i="84"/>
  <c r="I100" i="84"/>
  <c r="H100" i="84"/>
  <c r="G100" i="84"/>
  <c r="F100" i="84"/>
  <c r="E100" i="84"/>
  <c r="D100" i="84"/>
  <c r="C100" i="84"/>
  <c r="O99" i="84"/>
  <c r="N99" i="84"/>
  <c r="M99" i="84"/>
  <c r="L99" i="84"/>
  <c r="K99" i="84"/>
  <c r="J99" i="84"/>
  <c r="I99" i="84"/>
  <c r="H99" i="84"/>
  <c r="G99" i="84"/>
  <c r="F99" i="84"/>
  <c r="E99" i="84"/>
  <c r="D99" i="84"/>
  <c r="C99" i="84"/>
  <c r="O98" i="84"/>
  <c r="N98" i="84"/>
  <c r="M98" i="84"/>
  <c r="L98" i="84"/>
  <c r="K98" i="84"/>
  <c r="J98" i="84"/>
  <c r="I98" i="84"/>
  <c r="H98" i="84"/>
  <c r="G98" i="84"/>
  <c r="F98" i="84"/>
  <c r="E98" i="84"/>
  <c r="D98" i="84"/>
  <c r="C98" i="84"/>
  <c r="O97" i="84"/>
  <c r="N97" i="84"/>
  <c r="M97" i="84"/>
  <c r="L97" i="84"/>
  <c r="K97" i="84"/>
  <c r="J97" i="84"/>
  <c r="I97" i="84"/>
  <c r="H97" i="84"/>
  <c r="G97" i="84"/>
  <c r="F97" i="84"/>
  <c r="E97" i="84"/>
  <c r="D97" i="84"/>
  <c r="C97" i="84"/>
  <c r="O96" i="84"/>
  <c r="N96" i="84"/>
  <c r="M96" i="84"/>
  <c r="L96" i="84"/>
  <c r="K96" i="84"/>
  <c r="J96" i="84"/>
  <c r="I96" i="84"/>
  <c r="H96" i="84"/>
  <c r="G96" i="84"/>
  <c r="F96" i="84"/>
  <c r="E96" i="84"/>
  <c r="D96" i="84"/>
  <c r="C96" i="84"/>
  <c r="O95" i="84"/>
  <c r="N95" i="84"/>
  <c r="M95" i="84"/>
  <c r="L95" i="84"/>
  <c r="K95" i="84"/>
  <c r="J95" i="84"/>
  <c r="I95" i="84"/>
  <c r="H95" i="84"/>
  <c r="G95" i="84"/>
  <c r="F95" i="84"/>
  <c r="E95" i="84"/>
  <c r="D95" i="84"/>
  <c r="C95" i="84"/>
  <c r="O94" i="84"/>
  <c r="N94" i="84"/>
  <c r="M94" i="84"/>
  <c r="L94" i="84"/>
  <c r="K94" i="84"/>
  <c r="J94" i="84"/>
  <c r="I94" i="84"/>
  <c r="H94" i="84"/>
  <c r="G94" i="84"/>
  <c r="F94" i="84"/>
  <c r="E94" i="84"/>
  <c r="D94" i="84"/>
  <c r="C94" i="84"/>
  <c r="O93" i="84"/>
  <c r="N93" i="84"/>
  <c r="M93" i="84"/>
  <c r="L93" i="84"/>
  <c r="K93" i="84"/>
  <c r="J93" i="84"/>
  <c r="I93" i="84"/>
  <c r="H93" i="84"/>
  <c r="G93" i="84"/>
  <c r="F93" i="84"/>
  <c r="E93" i="84"/>
  <c r="D93" i="84"/>
  <c r="C93" i="84"/>
  <c r="O92" i="84"/>
  <c r="N92" i="84"/>
  <c r="M92" i="84"/>
  <c r="L92" i="84"/>
  <c r="K92" i="84"/>
  <c r="J92" i="84"/>
  <c r="I92" i="84"/>
  <c r="H92" i="84"/>
  <c r="G92" i="84"/>
  <c r="F92" i="84"/>
  <c r="E92" i="84"/>
  <c r="D92" i="84"/>
  <c r="C92" i="84"/>
  <c r="O91" i="84"/>
  <c r="N91" i="84"/>
  <c r="M91" i="84"/>
  <c r="L91" i="84"/>
  <c r="K91" i="84"/>
  <c r="J91" i="84"/>
  <c r="I91" i="84"/>
  <c r="H91" i="84"/>
  <c r="G91" i="84"/>
  <c r="F91" i="84"/>
  <c r="E91" i="84"/>
  <c r="D91" i="84"/>
  <c r="C91" i="84"/>
  <c r="O90" i="84"/>
  <c r="N90" i="84"/>
  <c r="M90" i="84"/>
  <c r="L90" i="84"/>
  <c r="K90" i="84"/>
  <c r="J90" i="84"/>
  <c r="I90" i="84"/>
  <c r="H90" i="84"/>
  <c r="G90" i="84"/>
  <c r="F90" i="84"/>
  <c r="E90" i="84"/>
  <c r="D90" i="84"/>
  <c r="C90" i="84"/>
  <c r="O89" i="84"/>
  <c r="N89" i="84"/>
  <c r="M89" i="84"/>
  <c r="L89" i="84"/>
  <c r="K89" i="84"/>
  <c r="J89" i="84"/>
  <c r="I89" i="84"/>
  <c r="H89" i="84"/>
  <c r="G89" i="84"/>
  <c r="F89" i="84"/>
  <c r="E89" i="84"/>
  <c r="D89" i="84"/>
  <c r="C89" i="84"/>
  <c r="O88" i="84"/>
  <c r="N88" i="84"/>
  <c r="M88" i="84"/>
  <c r="L88" i="84"/>
  <c r="K88" i="84"/>
  <c r="J88" i="84"/>
  <c r="I88" i="84"/>
  <c r="H88" i="84"/>
  <c r="G88" i="84"/>
  <c r="F88" i="84"/>
  <c r="E88" i="84"/>
  <c r="D88" i="84"/>
  <c r="C88" i="84"/>
  <c r="O87" i="84"/>
  <c r="N87" i="84"/>
  <c r="M87" i="84"/>
  <c r="L87" i="84"/>
  <c r="K87" i="84"/>
  <c r="J87" i="84"/>
  <c r="I87" i="84"/>
  <c r="H87" i="84"/>
  <c r="G87" i="84"/>
  <c r="F87" i="84"/>
  <c r="E87" i="84"/>
  <c r="D87" i="84"/>
  <c r="C87" i="84"/>
  <c r="O86" i="84"/>
  <c r="N86" i="84"/>
  <c r="M86" i="84"/>
  <c r="L86" i="84"/>
  <c r="K86" i="84"/>
  <c r="J86" i="84"/>
  <c r="I86" i="84"/>
  <c r="H86" i="84"/>
  <c r="G86" i="84"/>
  <c r="F86" i="84"/>
  <c r="E86" i="84"/>
  <c r="D86" i="84"/>
  <c r="C86" i="84"/>
  <c r="O85" i="84"/>
  <c r="N85" i="84"/>
  <c r="M85" i="84"/>
  <c r="L85" i="84"/>
  <c r="K85" i="84"/>
  <c r="J85" i="84"/>
  <c r="I85" i="84"/>
  <c r="H85" i="84"/>
  <c r="G85" i="84"/>
  <c r="F85" i="84"/>
  <c r="E85" i="84"/>
  <c r="D85" i="84"/>
  <c r="C85" i="84"/>
  <c r="O84" i="84"/>
  <c r="N84" i="84"/>
  <c r="M84" i="84"/>
  <c r="L84" i="84"/>
  <c r="K84" i="84"/>
  <c r="J84" i="84"/>
  <c r="I84" i="84"/>
  <c r="H84" i="84"/>
  <c r="G84" i="84"/>
  <c r="F84" i="84"/>
  <c r="E84" i="84"/>
  <c r="D84" i="84"/>
  <c r="C84" i="84"/>
  <c r="O83" i="84"/>
  <c r="N83" i="84"/>
  <c r="M83" i="84"/>
  <c r="L83" i="84"/>
  <c r="K83" i="84"/>
  <c r="J83" i="84"/>
  <c r="I83" i="84"/>
  <c r="H83" i="84"/>
  <c r="G83" i="84"/>
  <c r="F83" i="84"/>
  <c r="E83" i="84"/>
  <c r="D83" i="84"/>
  <c r="C83" i="84"/>
  <c r="O82" i="84"/>
  <c r="N82" i="84"/>
  <c r="M82" i="84"/>
  <c r="L82" i="84"/>
  <c r="K82" i="84"/>
  <c r="J82" i="84"/>
  <c r="I82" i="84"/>
  <c r="H82" i="84"/>
  <c r="G82" i="84"/>
  <c r="F82" i="84"/>
  <c r="E82" i="84"/>
  <c r="D82" i="84"/>
  <c r="C82" i="84"/>
  <c r="O81" i="84"/>
  <c r="N81" i="84"/>
  <c r="M81" i="84"/>
  <c r="L81" i="84"/>
  <c r="K81" i="84"/>
  <c r="J81" i="84"/>
  <c r="I81" i="84"/>
  <c r="H81" i="84"/>
  <c r="G81" i="84"/>
  <c r="F81" i="84"/>
  <c r="E81" i="84"/>
  <c r="D81" i="84"/>
  <c r="C81" i="84"/>
  <c r="O80" i="84"/>
  <c r="N80" i="84"/>
  <c r="M80" i="84"/>
  <c r="L80" i="84"/>
  <c r="K80" i="84"/>
  <c r="J80" i="84"/>
  <c r="I80" i="84"/>
  <c r="H80" i="84"/>
  <c r="G80" i="84"/>
  <c r="F80" i="84"/>
  <c r="E80" i="84"/>
  <c r="D80" i="84"/>
  <c r="C80" i="84"/>
  <c r="O79" i="84"/>
  <c r="N79" i="84"/>
  <c r="M79" i="84"/>
  <c r="L79" i="84"/>
  <c r="K79" i="84"/>
  <c r="J79" i="84"/>
  <c r="I79" i="84"/>
  <c r="H79" i="84"/>
  <c r="G79" i="84"/>
  <c r="F79" i="84"/>
  <c r="E79" i="84"/>
  <c r="D79" i="84"/>
  <c r="C79" i="84"/>
  <c r="O78" i="84"/>
  <c r="N78" i="84"/>
  <c r="M78" i="84"/>
  <c r="L78" i="84"/>
  <c r="K78" i="84"/>
  <c r="J78" i="84"/>
  <c r="I78" i="84"/>
  <c r="H78" i="84"/>
  <c r="G78" i="84"/>
  <c r="F78" i="84"/>
  <c r="E78" i="84"/>
  <c r="D78" i="84"/>
  <c r="C78" i="84"/>
  <c r="O77" i="84"/>
  <c r="N77" i="84"/>
  <c r="M77" i="84"/>
  <c r="L77" i="84"/>
  <c r="K77" i="84"/>
  <c r="J77" i="84"/>
  <c r="I77" i="84"/>
  <c r="H77" i="84"/>
  <c r="G77" i="84"/>
  <c r="F77" i="84"/>
  <c r="E77" i="84"/>
  <c r="D77" i="84"/>
  <c r="C77" i="84"/>
  <c r="O76" i="84"/>
  <c r="N76" i="84"/>
  <c r="M76" i="84"/>
  <c r="L76" i="84"/>
  <c r="K76" i="84"/>
  <c r="J76" i="84"/>
  <c r="I76" i="84"/>
  <c r="H76" i="84"/>
  <c r="G76" i="84"/>
  <c r="F76" i="84"/>
  <c r="E76" i="84"/>
  <c r="D76" i="84"/>
  <c r="C76" i="84"/>
  <c r="O75" i="84"/>
  <c r="N75" i="84"/>
  <c r="M75" i="84"/>
  <c r="L75" i="84"/>
  <c r="K75" i="84"/>
  <c r="J75" i="84"/>
  <c r="I75" i="84"/>
  <c r="H75" i="84"/>
  <c r="G75" i="84"/>
  <c r="F75" i="84"/>
  <c r="E75" i="84"/>
  <c r="D75" i="84"/>
  <c r="C75" i="84"/>
  <c r="O74" i="84"/>
  <c r="N74" i="84"/>
  <c r="M74" i="84"/>
  <c r="L74" i="84"/>
  <c r="K74" i="84"/>
  <c r="J74" i="84"/>
  <c r="I74" i="84"/>
  <c r="H74" i="84"/>
  <c r="G74" i="84"/>
  <c r="F74" i="84"/>
  <c r="E74" i="84"/>
  <c r="D74" i="84"/>
  <c r="C74" i="84"/>
  <c r="O73" i="84"/>
  <c r="N73" i="84"/>
  <c r="M73" i="84"/>
  <c r="L73" i="84"/>
  <c r="K73" i="84"/>
  <c r="J73" i="84"/>
  <c r="I73" i="84"/>
  <c r="H73" i="84"/>
  <c r="G73" i="84"/>
  <c r="F73" i="84"/>
  <c r="E73" i="84"/>
  <c r="D73" i="84"/>
  <c r="C73" i="84"/>
  <c r="O72" i="84"/>
  <c r="N72" i="84"/>
  <c r="M72" i="84"/>
  <c r="L72" i="84"/>
  <c r="K72" i="84"/>
  <c r="J72" i="84"/>
  <c r="I72" i="84"/>
  <c r="H72" i="84"/>
  <c r="G72" i="84"/>
  <c r="F72" i="84"/>
  <c r="E72" i="84"/>
  <c r="D72" i="84"/>
  <c r="C72" i="84"/>
  <c r="O71" i="84"/>
  <c r="N71" i="84"/>
  <c r="M71" i="84"/>
  <c r="L71" i="84"/>
  <c r="K71" i="84"/>
  <c r="J71" i="84"/>
  <c r="I71" i="84"/>
  <c r="H71" i="84"/>
  <c r="G71" i="84"/>
  <c r="F71" i="84"/>
  <c r="E71" i="84"/>
  <c r="D71" i="84"/>
  <c r="C71" i="84"/>
  <c r="O70" i="84"/>
  <c r="N70" i="84"/>
  <c r="M70" i="84"/>
  <c r="L70" i="84"/>
  <c r="K70" i="84"/>
  <c r="J70" i="84"/>
  <c r="I70" i="84"/>
  <c r="H70" i="84"/>
  <c r="G70" i="84"/>
  <c r="F70" i="84"/>
  <c r="E70" i="84"/>
  <c r="D70" i="84"/>
  <c r="C70" i="84"/>
  <c r="O69" i="84"/>
  <c r="N69" i="84"/>
  <c r="M69" i="84"/>
  <c r="L69" i="84"/>
  <c r="K69" i="84"/>
  <c r="J69" i="84"/>
  <c r="I69" i="84"/>
  <c r="H69" i="84"/>
  <c r="G69" i="84"/>
  <c r="F69" i="84"/>
  <c r="E69" i="84"/>
  <c r="D69" i="84"/>
  <c r="C69" i="84"/>
  <c r="O68" i="84"/>
  <c r="N68" i="84"/>
  <c r="M68" i="84"/>
  <c r="L68" i="84"/>
  <c r="K68" i="84"/>
  <c r="J68" i="84"/>
  <c r="I68" i="84"/>
  <c r="H68" i="84"/>
  <c r="G68" i="84"/>
  <c r="F68" i="84"/>
  <c r="E68" i="84"/>
  <c r="D68" i="84"/>
  <c r="C68" i="84"/>
  <c r="O67" i="84"/>
  <c r="N67" i="84"/>
  <c r="M67" i="84"/>
  <c r="L67" i="84"/>
  <c r="K67" i="84"/>
  <c r="J67" i="84"/>
  <c r="I67" i="84"/>
  <c r="H67" i="84"/>
  <c r="G67" i="84"/>
  <c r="F67" i="84"/>
  <c r="E67" i="84"/>
  <c r="D67" i="84"/>
  <c r="C67" i="84"/>
  <c r="O66" i="84"/>
  <c r="N66" i="84"/>
  <c r="M66" i="84"/>
  <c r="L66" i="84"/>
  <c r="K66" i="84"/>
  <c r="J66" i="84"/>
  <c r="I66" i="84"/>
  <c r="H66" i="84"/>
  <c r="G66" i="84"/>
  <c r="F66" i="84"/>
  <c r="E66" i="84"/>
  <c r="D66" i="84"/>
  <c r="C66" i="84"/>
  <c r="O65" i="84"/>
  <c r="N65" i="84"/>
  <c r="M65" i="84"/>
  <c r="L65" i="84"/>
  <c r="K65" i="84"/>
  <c r="J65" i="84"/>
  <c r="I65" i="84"/>
  <c r="H65" i="84"/>
  <c r="G65" i="84"/>
  <c r="F65" i="84"/>
  <c r="E65" i="84"/>
  <c r="D65" i="84"/>
  <c r="C65" i="84"/>
  <c r="O64" i="84"/>
  <c r="N64" i="84"/>
  <c r="M64" i="84"/>
  <c r="L64" i="84"/>
  <c r="K64" i="84"/>
  <c r="J64" i="84"/>
  <c r="I64" i="84"/>
  <c r="H64" i="84"/>
  <c r="G64" i="84"/>
  <c r="F64" i="84"/>
  <c r="E64" i="84"/>
  <c r="D64" i="84"/>
  <c r="C64" i="84"/>
  <c r="O63" i="84"/>
  <c r="N63" i="84"/>
  <c r="M63" i="84"/>
  <c r="L63" i="84"/>
  <c r="K63" i="84"/>
  <c r="J63" i="84"/>
  <c r="I63" i="84"/>
  <c r="H63" i="84"/>
  <c r="G63" i="84"/>
  <c r="F63" i="84"/>
  <c r="E63" i="84"/>
  <c r="D63" i="84"/>
  <c r="C63" i="84"/>
  <c r="O62" i="84"/>
  <c r="N62" i="84"/>
  <c r="M62" i="84"/>
  <c r="L62" i="84"/>
  <c r="K62" i="84"/>
  <c r="J62" i="84"/>
  <c r="I62" i="84"/>
  <c r="H62" i="84"/>
  <c r="G62" i="84"/>
  <c r="F62" i="84"/>
  <c r="E62" i="84"/>
  <c r="D62" i="84"/>
  <c r="C62" i="84"/>
  <c r="O61" i="84"/>
  <c r="N61" i="84"/>
  <c r="M61" i="84"/>
  <c r="L61" i="84"/>
  <c r="K61" i="84"/>
  <c r="J61" i="84"/>
  <c r="I61" i="84"/>
  <c r="H61" i="84"/>
  <c r="G61" i="84"/>
  <c r="F61" i="84"/>
  <c r="E61" i="84"/>
  <c r="D61" i="84"/>
  <c r="C61" i="84"/>
  <c r="O60" i="84"/>
  <c r="N60" i="84"/>
  <c r="M60" i="84"/>
  <c r="L60" i="84"/>
  <c r="K60" i="84"/>
  <c r="J60" i="84"/>
  <c r="I60" i="84"/>
  <c r="H60" i="84"/>
  <c r="G60" i="84"/>
  <c r="F60" i="84"/>
  <c r="E60" i="84"/>
  <c r="D60" i="84"/>
  <c r="C60" i="84"/>
  <c r="O59" i="84"/>
  <c r="N59" i="84"/>
  <c r="M59" i="84"/>
  <c r="L59" i="84"/>
  <c r="K59" i="84"/>
  <c r="J59" i="84"/>
  <c r="I59" i="84"/>
  <c r="H59" i="84"/>
  <c r="G59" i="84"/>
  <c r="F59" i="84"/>
  <c r="E59" i="84"/>
  <c r="D59" i="84"/>
  <c r="C59" i="84"/>
  <c r="O58" i="84"/>
  <c r="N58" i="84"/>
  <c r="M58" i="84"/>
  <c r="L58" i="84"/>
  <c r="K58" i="84"/>
  <c r="J58" i="84"/>
  <c r="I58" i="84"/>
  <c r="H58" i="84"/>
  <c r="G58" i="84"/>
  <c r="F58" i="84"/>
  <c r="E58" i="84"/>
  <c r="D58" i="84"/>
  <c r="C58" i="84"/>
  <c r="O57" i="84"/>
  <c r="N57" i="84"/>
  <c r="M57" i="84"/>
  <c r="L57" i="84"/>
  <c r="K57" i="84"/>
  <c r="J57" i="84"/>
  <c r="I57" i="84"/>
  <c r="H57" i="84"/>
  <c r="G57" i="84"/>
  <c r="F57" i="84"/>
  <c r="E57" i="84"/>
  <c r="D57" i="84"/>
  <c r="C57" i="84"/>
  <c r="O56" i="84"/>
  <c r="N56" i="84"/>
  <c r="M56" i="84"/>
  <c r="L56" i="84"/>
  <c r="K56" i="84"/>
  <c r="J56" i="84"/>
  <c r="I56" i="84"/>
  <c r="H56" i="84"/>
  <c r="G56" i="84"/>
  <c r="F56" i="84"/>
  <c r="E56" i="84"/>
  <c r="D56" i="84"/>
  <c r="C56" i="84"/>
  <c r="O55" i="84"/>
  <c r="N55" i="84"/>
  <c r="M55" i="84"/>
  <c r="L55" i="84"/>
  <c r="K55" i="84"/>
  <c r="J55" i="84"/>
  <c r="I55" i="84"/>
  <c r="H55" i="84"/>
  <c r="G55" i="84"/>
  <c r="F55" i="84"/>
  <c r="E55" i="84"/>
  <c r="D55" i="84"/>
  <c r="C55" i="84"/>
  <c r="O54" i="84"/>
  <c r="N54" i="84"/>
  <c r="M54" i="84"/>
  <c r="L54" i="84"/>
  <c r="K54" i="84"/>
  <c r="J54" i="84"/>
  <c r="I54" i="84"/>
  <c r="H54" i="84"/>
  <c r="G54" i="84"/>
  <c r="F54" i="84"/>
  <c r="E54" i="84"/>
  <c r="D54" i="84"/>
  <c r="C54" i="84"/>
  <c r="O53" i="84"/>
  <c r="N53" i="84"/>
  <c r="M53" i="84"/>
  <c r="L53" i="84"/>
  <c r="K53" i="84"/>
  <c r="J53" i="84"/>
  <c r="I53" i="84"/>
  <c r="H53" i="84"/>
  <c r="G53" i="84"/>
  <c r="F53" i="84"/>
  <c r="E53" i="84"/>
  <c r="D53" i="84"/>
  <c r="C53" i="84"/>
  <c r="O52" i="84"/>
  <c r="N52" i="84"/>
  <c r="M52" i="84"/>
  <c r="L52" i="84"/>
  <c r="K52" i="84"/>
  <c r="J52" i="84"/>
  <c r="I52" i="84"/>
  <c r="H52" i="84"/>
  <c r="G52" i="84"/>
  <c r="F52" i="84"/>
  <c r="E52" i="84"/>
  <c r="D52" i="84"/>
  <c r="C52" i="84"/>
  <c r="O51" i="84"/>
  <c r="N51" i="84"/>
  <c r="M51" i="84"/>
  <c r="L51" i="84"/>
  <c r="K51" i="84"/>
  <c r="J51" i="84"/>
  <c r="I51" i="84"/>
  <c r="H51" i="84"/>
  <c r="G51" i="84"/>
  <c r="F51" i="84"/>
  <c r="E51" i="84"/>
  <c r="D51" i="84"/>
  <c r="C51" i="84"/>
  <c r="O50" i="84"/>
  <c r="N50" i="84"/>
  <c r="M50" i="84"/>
  <c r="L50" i="84"/>
  <c r="K50" i="84"/>
  <c r="J50" i="84"/>
  <c r="I50" i="84"/>
  <c r="H50" i="84"/>
  <c r="G50" i="84"/>
  <c r="F50" i="84"/>
  <c r="E50" i="84"/>
  <c r="D50" i="84"/>
  <c r="C50" i="84"/>
  <c r="O49" i="84"/>
  <c r="N49" i="84"/>
  <c r="M49" i="84"/>
  <c r="L49" i="84"/>
  <c r="K49" i="84"/>
  <c r="J49" i="84"/>
  <c r="I49" i="84"/>
  <c r="H49" i="84"/>
  <c r="G49" i="84"/>
  <c r="F49" i="84"/>
  <c r="E49" i="84"/>
  <c r="D49" i="84"/>
  <c r="C49" i="84"/>
  <c r="O48" i="84"/>
  <c r="N48" i="84"/>
  <c r="M48" i="84"/>
  <c r="L48" i="84"/>
  <c r="K48" i="84"/>
  <c r="J48" i="84"/>
  <c r="I48" i="84"/>
  <c r="H48" i="84"/>
  <c r="G48" i="84"/>
  <c r="F48" i="84"/>
  <c r="E48" i="84"/>
  <c r="D48" i="84"/>
  <c r="C48" i="84"/>
  <c r="O47" i="84"/>
  <c r="N47" i="84"/>
  <c r="M47" i="84"/>
  <c r="L47" i="84"/>
  <c r="K47" i="84"/>
  <c r="J47" i="84"/>
  <c r="I47" i="84"/>
  <c r="H47" i="84"/>
  <c r="G47" i="84"/>
  <c r="F47" i="84"/>
  <c r="E47" i="84"/>
  <c r="D47" i="84"/>
  <c r="C47" i="84"/>
  <c r="O46" i="84"/>
  <c r="N46" i="84"/>
  <c r="M46" i="84"/>
  <c r="L46" i="84"/>
  <c r="K46" i="84"/>
  <c r="J46" i="84"/>
  <c r="I46" i="84"/>
  <c r="H46" i="84"/>
  <c r="G46" i="84"/>
  <c r="F46" i="84"/>
  <c r="E46" i="84"/>
  <c r="D46" i="84"/>
  <c r="C46" i="84"/>
  <c r="O45" i="84"/>
  <c r="N45" i="84"/>
  <c r="M45" i="84"/>
  <c r="L45" i="84"/>
  <c r="K45" i="84"/>
  <c r="J45" i="84"/>
  <c r="I45" i="84"/>
  <c r="H45" i="84"/>
  <c r="G45" i="84"/>
  <c r="F45" i="84"/>
  <c r="E45" i="84"/>
  <c r="D45" i="84"/>
  <c r="C45" i="84"/>
  <c r="O44" i="84"/>
  <c r="N44" i="84"/>
  <c r="M44" i="84"/>
  <c r="L44" i="84"/>
  <c r="K44" i="84"/>
  <c r="J44" i="84"/>
  <c r="I44" i="84"/>
  <c r="H44" i="84"/>
  <c r="G44" i="84"/>
  <c r="F44" i="84"/>
  <c r="E44" i="84"/>
  <c r="D44" i="84"/>
  <c r="C44" i="84"/>
  <c r="O43" i="84"/>
  <c r="N43" i="84"/>
  <c r="M43" i="84"/>
  <c r="L43" i="84"/>
  <c r="K43" i="84"/>
  <c r="J43" i="84"/>
  <c r="I43" i="84"/>
  <c r="H43" i="84"/>
  <c r="G43" i="84"/>
  <c r="F43" i="84"/>
  <c r="E43" i="84"/>
  <c r="D43" i="84"/>
  <c r="C43" i="84"/>
  <c r="O42" i="84"/>
  <c r="N42" i="84"/>
  <c r="M42" i="84"/>
  <c r="L42" i="84"/>
  <c r="K42" i="84"/>
  <c r="J42" i="84"/>
  <c r="I42" i="84"/>
  <c r="H42" i="84"/>
  <c r="G42" i="84"/>
  <c r="F42" i="84"/>
  <c r="E42" i="84"/>
  <c r="D42" i="84"/>
  <c r="C42" i="84"/>
  <c r="O41" i="84"/>
  <c r="N41" i="84"/>
  <c r="M41" i="84"/>
  <c r="L41" i="84"/>
  <c r="K41" i="84"/>
  <c r="J41" i="84"/>
  <c r="I41" i="84"/>
  <c r="H41" i="84"/>
  <c r="G41" i="84"/>
  <c r="F41" i="84"/>
  <c r="E41" i="84"/>
  <c r="D41" i="84"/>
  <c r="C41" i="84"/>
  <c r="O40" i="84"/>
  <c r="N40" i="84"/>
  <c r="M40" i="84"/>
  <c r="L40" i="84"/>
  <c r="K40" i="84"/>
  <c r="J40" i="84"/>
  <c r="I40" i="84"/>
  <c r="H40" i="84"/>
  <c r="G40" i="84"/>
  <c r="F40" i="84"/>
  <c r="E40" i="84"/>
  <c r="D40" i="84"/>
  <c r="C40" i="84"/>
  <c r="O39" i="84"/>
  <c r="N39" i="84"/>
  <c r="M39" i="84"/>
  <c r="L39" i="84"/>
  <c r="K39" i="84"/>
  <c r="J39" i="84"/>
  <c r="I39" i="84"/>
  <c r="H39" i="84"/>
  <c r="G39" i="84"/>
  <c r="F39" i="84"/>
  <c r="E39" i="84"/>
  <c r="D39" i="84"/>
  <c r="C39" i="84"/>
  <c r="O38" i="84"/>
  <c r="N38" i="84"/>
  <c r="M38" i="84"/>
  <c r="L38" i="84"/>
  <c r="K38" i="84"/>
  <c r="J38" i="84"/>
  <c r="I38" i="84"/>
  <c r="H38" i="84"/>
  <c r="G38" i="84"/>
  <c r="F38" i="84"/>
  <c r="E38" i="84"/>
  <c r="D38" i="84"/>
  <c r="C38" i="84"/>
  <c r="O37" i="84"/>
  <c r="N37" i="84"/>
  <c r="M37" i="84"/>
  <c r="L37" i="84"/>
  <c r="K37" i="84"/>
  <c r="J37" i="84"/>
  <c r="I37" i="84"/>
  <c r="H37" i="84"/>
  <c r="G37" i="84"/>
  <c r="F37" i="84"/>
  <c r="E37" i="84"/>
  <c r="D37" i="84"/>
  <c r="C37" i="84"/>
  <c r="O36" i="84"/>
  <c r="N36" i="84"/>
  <c r="M36" i="84"/>
  <c r="L36" i="84"/>
  <c r="K36" i="84"/>
  <c r="J36" i="84"/>
  <c r="I36" i="84"/>
  <c r="H36" i="84"/>
  <c r="G36" i="84"/>
  <c r="F36" i="84"/>
  <c r="E36" i="84"/>
  <c r="D36" i="84"/>
  <c r="C36" i="84"/>
  <c r="O35" i="84"/>
  <c r="N35" i="84"/>
  <c r="M35" i="84"/>
  <c r="L35" i="84"/>
  <c r="K35" i="84"/>
  <c r="J35" i="84"/>
  <c r="I35" i="84"/>
  <c r="H35" i="84"/>
  <c r="G35" i="84"/>
  <c r="F35" i="84"/>
  <c r="E35" i="84"/>
  <c r="D35" i="84"/>
  <c r="C35" i="84"/>
  <c r="O34" i="84"/>
  <c r="N34" i="84"/>
  <c r="M34" i="84"/>
  <c r="L34" i="84"/>
  <c r="K34" i="84"/>
  <c r="J34" i="84"/>
  <c r="I34" i="84"/>
  <c r="H34" i="84"/>
  <c r="G34" i="84"/>
  <c r="F34" i="84"/>
  <c r="E34" i="84"/>
  <c r="D34" i="84"/>
  <c r="C34" i="84"/>
  <c r="O33" i="84"/>
  <c r="N33" i="84"/>
  <c r="M33" i="84"/>
  <c r="L33" i="84"/>
  <c r="K33" i="84"/>
  <c r="J33" i="84"/>
  <c r="I33" i="84"/>
  <c r="H33" i="84"/>
  <c r="G33" i="84"/>
  <c r="F33" i="84"/>
  <c r="E33" i="84"/>
  <c r="D33" i="84"/>
  <c r="C33" i="84"/>
  <c r="O32" i="84"/>
  <c r="N32" i="84"/>
  <c r="M32" i="84"/>
  <c r="L32" i="84"/>
  <c r="K32" i="84"/>
  <c r="J32" i="84"/>
  <c r="I32" i="84"/>
  <c r="H32" i="84"/>
  <c r="G32" i="84"/>
  <c r="F32" i="84"/>
  <c r="E32" i="84"/>
  <c r="D32" i="84"/>
  <c r="C32" i="84"/>
  <c r="O31" i="84"/>
  <c r="N31" i="84"/>
  <c r="M31" i="84"/>
  <c r="L31" i="84"/>
  <c r="K31" i="84"/>
  <c r="J31" i="84"/>
  <c r="I31" i="84"/>
  <c r="H31" i="84"/>
  <c r="G31" i="84"/>
  <c r="F31" i="84"/>
  <c r="E31" i="84"/>
  <c r="D31" i="84"/>
  <c r="C31" i="84"/>
  <c r="O30" i="84"/>
  <c r="N30" i="84"/>
  <c r="M30" i="84"/>
  <c r="L30" i="84"/>
  <c r="K30" i="84"/>
  <c r="J30" i="84"/>
  <c r="I30" i="84"/>
  <c r="H30" i="84"/>
  <c r="G30" i="84"/>
  <c r="F30" i="84"/>
  <c r="E30" i="84"/>
  <c r="D30" i="84"/>
  <c r="C30" i="84"/>
  <c r="O29" i="84"/>
  <c r="N29" i="84"/>
  <c r="M29" i="84"/>
  <c r="L29" i="84"/>
  <c r="K29" i="84"/>
  <c r="J29" i="84"/>
  <c r="I29" i="84"/>
  <c r="H29" i="84"/>
  <c r="G29" i="84"/>
  <c r="F29" i="84"/>
  <c r="E29" i="84"/>
  <c r="D29" i="84"/>
  <c r="C29" i="84"/>
  <c r="O28" i="84"/>
  <c r="N28" i="84"/>
  <c r="M28" i="84"/>
  <c r="L28" i="84"/>
  <c r="K28" i="84"/>
  <c r="J28" i="84"/>
  <c r="I28" i="84"/>
  <c r="H28" i="84"/>
  <c r="G28" i="84"/>
  <c r="F28" i="84"/>
  <c r="E28" i="84"/>
  <c r="D28" i="84"/>
  <c r="C28" i="84"/>
  <c r="O27" i="84"/>
  <c r="N27" i="84"/>
  <c r="M27" i="84"/>
  <c r="L27" i="84"/>
  <c r="K27" i="84"/>
  <c r="J27" i="84"/>
  <c r="I27" i="84"/>
  <c r="H27" i="84"/>
  <c r="G27" i="84"/>
  <c r="F27" i="84"/>
  <c r="E27" i="84"/>
  <c r="D27" i="84"/>
  <c r="C27" i="84"/>
  <c r="O26" i="84"/>
  <c r="N26" i="84"/>
  <c r="M26" i="84"/>
  <c r="L26" i="84"/>
  <c r="K26" i="84"/>
  <c r="J26" i="84"/>
  <c r="I26" i="84"/>
  <c r="H26" i="84"/>
  <c r="G26" i="84"/>
  <c r="F26" i="84"/>
  <c r="E26" i="84"/>
  <c r="D26" i="84"/>
  <c r="C26" i="84"/>
  <c r="O25" i="84"/>
  <c r="N25" i="84"/>
  <c r="M25" i="84"/>
  <c r="L25" i="84"/>
  <c r="K25" i="84"/>
  <c r="J25" i="84"/>
  <c r="I25" i="84"/>
  <c r="H25" i="84"/>
  <c r="G25" i="84"/>
  <c r="F25" i="84"/>
  <c r="E25" i="84"/>
  <c r="D25" i="84"/>
  <c r="C25" i="84"/>
  <c r="O24" i="84"/>
  <c r="N24" i="84"/>
  <c r="M24" i="84"/>
  <c r="L24" i="84"/>
  <c r="K24" i="84"/>
  <c r="J24" i="84"/>
  <c r="I24" i="84"/>
  <c r="H24" i="84"/>
  <c r="G24" i="84"/>
  <c r="F24" i="84"/>
  <c r="E24" i="84"/>
  <c r="D24" i="84"/>
  <c r="C24" i="84"/>
  <c r="O23" i="84"/>
  <c r="N23" i="84"/>
  <c r="M23" i="84"/>
  <c r="L23" i="84"/>
  <c r="K23" i="84"/>
  <c r="J23" i="84"/>
  <c r="I23" i="84"/>
  <c r="H23" i="84"/>
  <c r="G23" i="84"/>
  <c r="F23" i="84"/>
  <c r="E23" i="84"/>
  <c r="D23" i="84"/>
  <c r="C23" i="84"/>
  <c r="O22" i="84"/>
  <c r="N22" i="84"/>
  <c r="M22" i="84"/>
  <c r="L22" i="84"/>
  <c r="K22" i="84"/>
  <c r="J22" i="84"/>
  <c r="I22" i="84"/>
  <c r="H22" i="84"/>
  <c r="G22" i="84"/>
  <c r="F22" i="84"/>
  <c r="E22" i="84"/>
  <c r="D22" i="84"/>
  <c r="C22" i="84"/>
  <c r="O21" i="84"/>
  <c r="N21" i="84"/>
  <c r="M21" i="84"/>
  <c r="L21" i="84"/>
  <c r="K21" i="84"/>
  <c r="J21" i="84"/>
  <c r="I21" i="84"/>
  <c r="H21" i="84"/>
  <c r="G21" i="84"/>
  <c r="F21" i="84"/>
  <c r="E21" i="84"/>
  <c r="D21" i="84"/>
  <c r="C21" i="84"/>
  <c r="O20" i="84"/>
  <c r="N20" i="84"/>
  <c r="M20" i="84"/>
  <c r="L20" i="84"/>
  <c r="K20" i="84"/>
  <c r="J20" i="84"/>
  <c r="I20" i="84"/>
  <c r="H20" i="84"/>
  <c r="G20" i="84"/>
  <c r="F20" i="84"/>
  <c r="E20" i="84"/>
  <c r="D20" i="84"/>
  <c r="C20" i="84"/>
  <c r="O19" i="84"/>
  <c r="N19" i="84"/>
  <c r="M19" i="84"/>
  <c r="L19" i="84"/>
  <c r="K19" i="84"/>
  <c r="J19" i="84"/>
  <c r="I19" i="84"/>
  <c r="H19" i="84"/>
  <c r="G19" i="84"/>
  <c r="F19" i="84"/>
  <c r="E19" i="84"/>
  <c r="D19" i="84"/>
  <c r="C19" i="84"/>
  <c r="O18" i="84"/>
  <c r="N18" i="84"/>
  <c r="M18" i="84"/>
  <c r="L18" i="84"/>
  <c r="K18" i="84"/>
  <c r="J18" i="84"/>
  <c r="I18" i="84"/>
  <c r="H18" i="84"/>
  <c r="G18" i="84"/>
  <c r="F18" i="84"/>
  <c r="E18" i="84"/>
  <c r="D18" i="84"/>
  <c r="C18" i="84"/>
  <c r="O17" i="84"/>
  <c r="N17" i="84"/>
  <c r="M17" i="84"/>
  <c r="L17" i="84"/>
  <c r="K17" i="84"/>
  <c r="J17" i="84"/>
  <c r="I17" i="84"/>
  <c r="H17" i="84"/>
  <c r="G17" i="84"/>
  <c r="F17" i="84"/>
  <c r="E17" i="84"/>
  <c r="D17" i="84"/>
  <c r="C17" i="84"/>
  <c r="O16" i="84"/>
  <c r="N16" i="84"/>
  <c r="M16" i="84"/>
  <c r="L16" i="84"/>
  <c r="K16" i="84"/>
  <c r="J16" i="84"/>
  <c r="I16" i="84"/>
  <c r="H16" i="84"/>
  <c r="G16" i="84"/>
  <c r="F16" i="84"/>
  <c r="E16" i="84"/>
  <c r="D16" i="84"/>
  <c r="C16" i="84"/>
  <c r="O15" i="84"/>
  <c r="N15" i="84"/>
  <c r="M15" i="84"/>
  <c r="L15" i="84"/>
  <c r="K15" i="84"/>
  <c r="J15" i="84"/>
  <c r="I15" i="84"/>
  <c r="H15" i="84"/>
  <c r="G15" i="84"/>
  <c r="F15" i="84"/>
  <c r="E15" i="84"/>
  <c r="D15" i="84"/>
  <c r="C15" i="84"/>
  <c r="O14" i="84"/>
  <c r="N14" i="84"/>
  <c r="M14" i="84"/>
  <c r="L14" i="84"/>
  <c r="K14" i="84"/>
  <c r="J14" i="84"/>
  <c r="I14" i="84"/>
  <c r="H14" i="84"/>
  <c r="G14" i="84"/>
  <c r="F14" i="84"/>
  <c r="E14" i="84"/>
  <c r="D14" i="84"/>
  <c r="C14" i="84"/>
  <c r="O13" i="84"/>
  <c r="N13" i="84"/>
  <c r="M13" i="84"/>
  <c r="L13" i="84"/>
  <c r="K13" i="84"/>
  <c r="J13" i="84"/>
  <c r="I13" i="84"/>
  <c r="H13" i="84"/>
  <c r="G13" i="84"/>
  <c r="F13" i="84"/>
  <c r="E13" i="84"/>
  <c r="D13" i="84"/>
  <c r="C13" i="84"/>
  <c r="O12" i="84"/>
  <c r="N12" i="84"/>
  <c r="M12" i="84"/>
  <c r="L12" i="84"/>
  <c r="K12" i="84"/>
  <c r="J12" i="84"/>
  <c r="I12" i="84"/>
  <c r="H12" i="84"/>
  <c r="G12" i="84"/>
  <c r="F12" i="84"/>
  <c r="E12" i="84"/>
  <c r="D12" i="84"/>
  <c r="C12" i="84"/>
  <c r="O11" i="84"/>
  <c r="N11" i="84"/>
  <c r="M11" i="84"/>
  <c r="L11" i="84"/>
  <c r="K11" i="84"/>
  <c r="J11" i="84"/>
  <c r="I11" i="84"/>
  <c r="H11" i="84"/>
  <c r="G11" i="84"/>
  <c r="F11" i="84"/>
  <c r="E11" i="84"/>
  <c r="D11" i="84"/>
  <c r="C11" i="84"/>
  <c r="O10" i="84"/>
  <c r="N10" i="84"/>
  <c r="M10" i="84"/>
  <c r="L10" i="84"/>
  <c r="K10" i="84"/>
  <c r="J10" i="84"/>
  <c r="I10" i="84"/>
  <c r="H10" i="84"/>
  <c r="G10" i="84"/>
  <c r="F10" i="84"/>
  <c r="E10" i="84"/>
  <c r="D10" i="84"/>
  <c r="C10" i="84"/>
  <c r="O9" i="84"/>
  <c r="N9" i="84"/>
  <c r="M9" i="84"/>
  <c r="L9" i="84"/>
  <c r="K9" i="84"/>
  <c r="J9" i="84"/>
  <c r="I9" i="84"/>
  <c r="H9" i="84"/>
  <c r="G9" i="84"/>
  <c r="F9" i="84"/>
  <c r="E9" i="84"/>
  <c r="D9" i="84"/>
  <c r="C9" i="84"/>
  <c r="O8" i="84"/>
  <c r="N8" i="84"/>
  <c r="M8" i="84"/>
  <c r="L8" i="84"/>
  <c r="K8" i="84"/>
  <c r="J8" i="84"/>
  <c r="I8" i="84"/>
  <c r="H8" i="84"/>
  <c r="G8" i="84"/>
  <c r="F8" i="84"/>
  <c r="E8" i="84"/>
  <c r="D8" i="84"/>
  <c r="C8" i="84"/>
  <c r="O7" i="84"/>
  <c r="N7" i="84"/>
  <c r="M7" i="84"/>
  <c r="L7" i="84"/>
  <c r="K7" i="84"/>
  <c r="J7" i="84"/>
  <c r="I7" i="84"/>
  <c r="H7" i="84"/>
  <c r="G7" i="84"/>
  <c r="F7" i="84"/>
  <c r="E7" i="84"/>
  <c r="D7" i="84"/>
  <c r="C7" i="84"/>
  <c r="J4" i="80"/>
  <c r="J5" i="80"/>
  <c r="Q86" i="80"/>
  <c r="O86" i="80"/>
  <c r="M86" i="80"/>
  <c r="K86" i="80"/>
  <c r="B4" i="80"/>
  <c r="B5" i="80"/>
  <c r="I86" i="80"/>
  <c r="G86" i="80"/>
  <c r="E86" i="80"/>
  <c r="C86" i="80"/>
  <c r="Q85" i="80"/>
  <c r="O85" i="80"/>
  <c r="M85" i="80"/>
  <c r="K85" i="80"/>
  <c r="I85" i="80"/>
  <c r="G85" i="80"/>
  <c r="E85" i="80"/>
  <c r="C85" i="80"/>
  <c r="Q84" i="80"/>
  <c r="O84" i="80"/>
  <c r="M84" i="80"/>
  <c r="K84" i="80"/>
  <c r="I84" i="80"/>
  <c r="G84" i="80"/>
  <c r="E84" i="80"/>
  <c r="C84" i="80"/>
  <c r="Q83" i="80"/>
  <c r="O83" i="80"/>
  <c r="M83" i="80"/>
  <c r="K83" i="80"/>
  <c r="I83" i="80"/>
  <c r="G83" i="80"/>
  <c r="E83" i="80"/>
  <c r="C83" i="80"/>
  <c r="Q82" i="80"/>
  <c r="O82" i="80"/>
  <c r="M82" i="80"/>
  <c r="K82" i="80"/>
  <c r="I82" i="80"/>
  <c r="G82" i="80"/>
  <c r="E82" i="80"/>
  <c r="C82" i="80"/>
  <c r="Q81" i="80"/>
  <c r="O81" i="80"/>
  <c r="M81" i="80"/>
  <c r="K81" i="80"/>
  <c r="I81" i="80"/>
  <c r="G81" i="80"/>
  <c r="E81" i="80"/>
  <c r="C81" i="80"/>
  <c r="Q80" i="80"/>
  <c r="O80" i="80"/>
  <c r="M80" i="80"/>
  <c r="K80" i="80"/>
  <c r="I80" i="80"/>
  <c r="G80" i="80"/>
  <c r="E80" i="80"/>
  <c r="C80" i="80"/>
  <c r="Q78" i="80"/>
  <c r="O78" i="80"/>
  <c r="M78" i="80"/>
  <c r="K78" i="80"/>
  <c r="I78" i="80"/>
  <c r="G78" i="80"/>
  <c r="E78" i="80"/>
  <c r="C78" i="80"/>
  <c r="Q77" i="80"/>
  <c r="O77" i="80"/>
  <c r="M77" i="80"/>
  <c r="K77" i="80"/>
  <c r="I77" i="80"/>
  <c r="G77" i="80"/>
  <c r="E77" i="80"/>
  <c r="C77" i="80"/>
  <c r="Q76" i="80"/>
  <c r="O76" i="80"/>
  <c r="M76" i="80"/>
  <c r="K76" i="80"/>
  <c r="I76" i="80"/>
  <c r="G76" i="80"/>
  <c r="E76" i="80"/>
  <c r="C76" i="80"/>
  <c r="Q75" i="80"/>
  <c r="O75" i="80"/>
  <c r="M75" i="80"/>
  <c r="K75" i="80"/>
  <c r="I75" i="80"/>
  <c r="G75" i="80"/>
  <c r="E75" i="80"/>
  <c r="C75" i="80"/>
  <c r="Q74" i="80"/>
  <c r="O74" i="80"/>
  <c r="M74" i="80"/>
  <c r="K74" i="80"/>
  <c r="I74" i="80"/>
  <c r="G74" i="80"/>
  <c r="E74" i="80"/>
  <c r="C74" i="80"/>
  <c r="Q73" i="80"/>
  <c r="O73" i="80"/>
  <c r="M73" i="80"/>
  <c r="K73" i="80"/>
  <c r="I73" i="80"/>
  <c r="G73" i="80"/>
  <c r="E73" i="80"/>
  <c r="C73" i="80"/>
  <c r="K67" i="80"/>
  <c r="C67" i="80"/>
  <c r="K66" i="80"/>
  <c r="C66" i="80"/>
  <c r="K64" i="80"/>
  <c r="C64" i="80"/>
  <c r="K63" i="80"/>
  <c r="C63" i="80"/>
  <c r="K62" i="80"/>
  <c r="C62" i="80"/>
  <c r="K61" i="80"/>
  <c r="C61" i="80"/>
  <c r="K59" i="80"/>
  <c r="C59" i="80"/>
  <c r="K58" i="80"/>
  <c r="C58" i="80"/>
  <c r="K57" i="80"/>
  <c r="C57" i="80"/>
  <c r="K56" i="80"/>
  <c r="C56" i="80"/>
  <c r="K55" i="80"/>
  <c r="C55" i="80"/>
  <c r="K54" i="80"/>
  <c r="C54" i="80"/>
  <c r="K52" i="80"/>
  <c r="C52" i="80"/>
  <c r="K51" i="80"/>
  <c r="C51" i="80"/>
  <c r="K50" i="80"/>
  <c r="C50" i="80"/>
  <c r="K49" i="80"/>
  <c r="C49" i="80"/>
  <c r="K48" i="80"/>
  <c r="C48" i="80"/>
  <c r="K47" i="80"/>
  <c r="C47" i="80"/>
  <c r="K44" i="80"/>
  <c r="C44" i="80"/>
  <c r="Q41" i="80"/>
  <c r="O41" i="80"/>
  <c r="M41" i="80"/>
  <c r="K41" i="80"/>
  <c r="I41" i="80"/>
  <c r="G41" i="80"/>
  <c r="E41" i="80"/>
  <c r="C41" i="80"/>
  <c r="Q40" i="80"/>
  <c r="O40" i="80"/>
  <c r="M40" i="80"/>
  <c r="K40" i="80"/>
  <c r="I40" i="80"/>
  <c r="G40" i="80"/>
  <c r="E40" i="80"/>
  <c r="C40" i="80"/>
  <c r="Q39" i="80"/>
  <c r="O39" i="80"/>
  <c r="M39" i="80"/>
  <c r="K39" i="80"/>
  <c r="I39" i="80"/>
  <c r="G39" i="80"/>
  <c r="E39" i="80"/>
  <c r="C39" i="80"/>
  <c r="Q38" i="80"/>
  <c r="O38" i="80"/>
  <c r="M38" i="80"/>
  <c r="K38" i="80"/>
  <c r="I38" i="80"/>
  <c r="G38" i="80"/>
  <c r="E38" i="80"/>
  <c r="C38" i="80"/>
  <c r="Q36" i="80"/>
  <c r="O36" i="80"/>
  <c r="M36" i="80"/>
  <c r="K36" i="80"/>
  <c r="I36" i="80"/>
  <c r="G36" i="80"/>
  <c r="E36" i="80"/>
  <c r="C36" i="80"/>
  <c r="Q35" i="80"/>
  <c r="O35" i="80"/>
  <c r="M35" i="80"/>
  <c r="K35" i="80"/>
  <c r="I35" i="80"/>
  <c r="G35" i="80"/>
  <c r="E35" i="80"/>
  <c r="C35" i="80"/>
  <c r="Q34" i="80"/>
  <c r="O34" i="80"/>
  <c r="M34" i="80"/>
  <c r="K34" i="80"/>
  <c r="I34" i="80"/>
  <c r="G34" i="80"/>
  <c r="E34" i="80"/>
  <c r="C34" i="80"/>
  <c r="Q32" i="80"/>
  <c r="O32" i="80"/>
  <c r="M32" i="80"/>
  <c r="K32" i="80"/>
  <c r="I32" i="80"/>
  <c r="G32" i="80"/>
  <c r="E32" i="80"/>
  <c r="C32" i="80"/>
  <c r="Q30" i="80"/>
  <c r="O30" i="80"/>
  <c r="M30" i="80"/>
  <c r="K30" i="80"/>
  <c r="I30" i="80"/>
  <c r="G30" i="80"/>
  <c r="E30" i="80"/>
  <c r="C30" i="80"/>
  <c r="Q29" i="80"/>
  <c r="O29" i="80"/>
  <c r="M29" i="80"/>
  <c r="K29" i="80"/>
  <c r="I29" i="80"/>
  <c r="G29" i="80"/>
  <c r="E29" i="80"/>
  <c r="C29" i="80"/>
  <c r="Q27" i="80"/>
  <c r="O27" i="80"/>
  <c r="M27" i="80"/>
  <c r="K27" i="80"/>
  <c r="I27" i="80"/>
  <c r="G27" i="80"/>
  <c r="E27" i="80"/>
  <c r="C27" i="80"/>
  <c r="Q26" i="80"/>
  <c r="O26" i="80"/>
  <c r="M26" i="80"/>
  <c r="K26" i="80"/>
  <c r="I26" i="80"/>
  <c r="G26" i="80"/>
  <c r="E26" i="80"/>
  <c r="C26" i="80"/>
  <c r="Q23" i="80"/>
  <c r="O23" i="80"/>
  <c r="M23" i="80"/>
  <c r="K23" i="80"/>
  <c r="I23" i="80"/>
  <c r="G23" i="80"/>
  <c r="E23" i="80"/>
  <c r="C23" i="80"/>
  <c r="Q22" i="80"/>
  <c r="O22" i="80"/>
  <c r="M22" i="80"/>
  <c r="K22" i="80"/>
  <c r="I22" i="80"/>
  <c r="G22" i="80"/>
  <c r="E22" i="80"/>
  <c r="C22" i="80"/>
  <c r="Q21" i="80"/>
  <c r="O21" i="80"/>
  <c r="M21" i="80"/>
  <c r="K21" i="80"/>
  <c r="I21" i="80"/>
  <c r="G21" i="80"/>
  <c r="E21" i="80"/>
  <c r="C21" i="80"/>
  <c r="Q19" i="80"/>
  <c r="O19" i="80"/>
  <c r="M19" i="80"/>
  <c r="K19" i="80"/>
  <c r="I19" i="80"/>
  <c r="G19" i="80"/>
  <c r="E19" i="80"/>
  <c r="C19" i="80"/>
  <c r="Q18" i="80"/>
  <c r="O18" i="80"/>
  <c r="M18" i="80"/>
  <c r="K18" i="80"/>
  <c r="I18" i="80"/>
  <c r="G18" i="80"/>
  <c r="E18" i="80"/>
  <c r="C18" i="80"/>
  <c r="Q17" i="80"/>
  <c r="O17" i="80"/>
  <c r="M17" i="80"/>
  <c r="K17" i="80"/>
  <c r="I17" i="80"/>
  <c r="G17" i="80"/>
  <c r="E17" i="80"/>
  <c r="C17" i="80"/>
  <c r="Q14" i="80"/>
  <c r="O14" i="80"/>
  <c r="M14" i="80"/>
  <c r="K14" i="80"/>
  <c r="I14" i="80"/>
  <c r="G14" i="80"/>
  <c r="E14" i="80"/>
  <c r="C14" i="80"/>
  <c r="Q13" i="80"/>
  <c r="O13" i="80"/>
  <c r="M13" i="80"/>
  <c r="K13" i="80"/>
  <c r="I13" i="80"/>
  <c r="G13" i="80"/>
  <c r="E13" i="80"/>
  <c r="C13" i="80"/>
  <c r="Q12" i="80"/>
  <c r="O12" i="80"/>
  <c r="M12" i="80"/>
  <c r="K12" i="80"/>
  <c r="I12" i="80"/>
  <c r="G12" i="80"/>
  <c r="E12" i="80"/>
  <c r="C12" i="80"/>
  <c r="Q10" i="80"/>
  <c r="O10" i="80"/>
  <c r="M10" i="80"/>
  <c r="K10" i="80"/>
  <c r="I10" i="80"/>
  <c r="G10" i="80"/>
  <c r="E10" i="80"/>
  <c r="C10" i="80"/>
  <c r="O3" i="79"/>
  <c r="O4" i="79"/>
  <c r="O5" i="79"/>
  <c r="O25" i="79"/>
  <c r="N3" i="79"/>
  <c r="N4" i="79"/>
  <c r="N5" i="79"/>
  <c r="N25" i="79"/>
  <c r="M3" i="79"/>
  <c r="M4" i="79"/>
  <c r="M5" i="79"/>
  <c r="M25" i="79"/>
  <c r="L3" i="79"/>
  <c r="L4" i="79"/>
  <c r="L5" i="79"/>
  <c r="L25" i="79"/>
  <c r="K3" i="79"/>
  <c r="K4" i="79"/>
  <c r="K5" i="79"/>
  <c r="K25" i="79"/>
  <c r="J3" i="79"/>
  <c r="J4" i="79"/>
  <c r="J5" i="79"/>
  <c r="J25" i="79"/>
  <c r="I3" i="79"/>
  <c r="I4" i="79"/>
  <c r="I5" i="79"/>
  <c r="I25" i="79"/>
  <c r="H3" i="79"/>
  <c r="H4" i="79"/>
  <c r="H5" i="79"/>
  <c r="H25" i="79"/>
  <c r="G3" i="79"/>
  <c r="G4" i="79"/>
  <c r="G5" i="79"/>
  <c r="G25" i="79"/>
  <c r="F3" i="79"/>
  <c r="F4" i="79"/>
  <c r="F5" i="79"/>
  <c r="F25" i="79"/>
  <c r="E3" i="79"/>
  <c r="E4" i="79"/>
  <c r="E5" i="79"/>
  <c r="E25" i="79"/>
  <c r="D3" i="79"/>
  <c r="D4" i="79"/>
  <c r="D5" i="79"/>
  <c r="D25" i="79"/>
  <c r="C3" i="79"/>
  <c r="C4" i="79"/>
  <c r="C5" i="79"/>
  <c r="C25" i="79"/>
  <c r="O24" i="79"/>
  <c r="N24" i="79"/>
  <c r="M24" i="79"/>
  <c r="L24" i="79"/>
  <c r="K24" i="79"/>
  <c r="J24" i="79"/>
  <c r="I24" i="79"/>
  <c r="H24" i="79"/>
  <c r="G24" i="79"/>
  <c r="F24" i="79"/>
  <c r="E24" i="79"/>
  <c r="D24" i="79"/>
  <c r="C24" i="79"/>
  <c r="O23" i="79"/>
  <c r="N23" i="79"/>
  <c r="M23" i="79"/>
  <c r="L23" i="79"/>
  <c r="K23" i="79"/>
  <c r="J23" i="79"/>
  <c r="I23" i="79"/>
  <c r="H23" i="79"/>
  <c r="G23" i="79"/>
  <c r="F23" i="79"/>
  <c r="E23" i="79"/>
  <c r="D23" i="79"/>
  <c r="C23" i="79"/>
  <c r="O22" i="79"/>
  <c r="N22" i="79"/>
  <c r="M22" i="79"/>
  <c r="L22" i="79"/>
  <c r="K22" i="79"/>
  <c r="J22" i="79"/>
  <c r="I22" i="79"/>
  <c r="H22" i="79"/>
  <c r="G22" i="79"/>
  <c r="F22" i="79"/>
  <c r="E22" i="79"/>
  <c r="D22" i="79"/>
  <c r="C22" i="79"/>
  <c r="O21" i="79"/>
  <c r="N21" i="79"/>
  <c r="M21" i="79"/>
  <c r="L21" i="79"/>
  <c r="K21" i="79"/>
  <c r="J21" i="79"/>
  <c r="I21" i="79"/>
  <c r="H21" i="79"/>
  <c r="G21" i="79"/>
  <c r="F21" i="79"/>
  <c r="E21" i="79"/>
  <c r="D21" i="79"/>
  <c r="C21" i="79"/>
  <c r="O20" i="79"/>
  <c r="N20" i="79"/>
  <c r="M20" i="79"/>
  <c r="L20" i="79"/>
  <c r="K20" i="79"/>
  <c r="J20" i="79"/>
  <c r="I20" i="79"/>
  <c r="H20" i="79"/>
  <c r="G20" i="79"/>
  <c r="F20" i="79"/>
  <c r="E20" i="79"/>
  <c r="D20" i="79"/>
  <c r="C20" i="79"/>
  <c r="O17" i="79"/>
  <c r="N17" i="79"/>
  <c r="M17" i="79"/>
  <c r="L17" i="79"/>
  <c r="K17" i="79"/>
  <c r="J17" i="79"/>
  <c r="I17" i="79"/>
  <c r="H17" i="79"/>
  <c r="G17" i="79"/>
  <c r="F17" i="79"/>
  <c r="E17" i="79"/>
  <c r="D17" i="79"/>
  <c r="C17" i="79"/>
  <c r="O16" i="79"/>
  <c r="N16" i="79"/>
  <c r="M16" i="79"/>
  <c r="L16" i="79"/>
  <c r="K16" i="79"/>
  <c r="J16" i="79"/>
  <c r="I16" i="79"/>
  <c r="H16" i="79"/>
  <c r="G16" i="79"/>
  <c r="F16" i="79"/>
  <c r="E16" i="79"/>
  <c r="D16" i="79"/>
  <c r="C16" i="79"/>
  <c r="O15" i="79"/>
  <c r="N15" i="79"/>
  <c r="M15" i="79"/>
  <c r="L15" i="79"/>
  <c r="K15" i="79"/>
  <c r="J15" i="79"/>
  <c r="I15" i="79"/>
  <c r="H15" i="79"/>
  <c r="G15" i="79"/>
  <c r="F15" i="79"/>
  <c r="E15" i="79"/>
  <c r="D15" i="79"/>
  <c r="C15" i="79"/>
  <c r="O14" i="79"/>
  <c r="N14" i="79"/>
  <c r="M14" i="79"/>
  <c r="L14" i="79"/>
  <c r="K14" i="79"/>
  <c r="J14" i="79"/>
  <c r="I14" i="79"/>
  <c r="H14" i="79"/>
  <c r="G14" i="79"/>
  <c r="F14" i="79"/>
  <c r="E14" i="79"/>
  <c r="D14" i="79"/>
  <c r="C14" i="79"/>
  <c r="O13" i="79"/>
  <c r="N13" i="79"/>
  <c r="M13" i="79"/>
  <c r="L13" i="79"/>
  <c r="K13" i="79"/>
  <c r="J13" i="79"/>
  <c r="I13" i="79"/>
  <c r="H13" i="79"/>
  <c r="G13" i="79"/>
  <c r="F13" i="79"/>
  <c r="E13" i="79"/>
  <c r="D13" i="79"/>
  <c r="C13" i="79"/>
  <c r="O12" i="79"/>
  <c r="N12" i="79"/>
  <c r="M12" i="79"/>
  <c r="L12" i="79"/>
  <c r="K12" i="79"/>
  <c r="J12" i="79"/>
  <c r="I12" i="79"/>
  <c r="H12" i="79"/>
  <c r="G12" i="79"/>
  <c r="F12" i="79"/>
  <c r="E12" i="79"/>
  <c r="D12" i="79"/>
  <c r="C12" i="79"/>
  <c r="O11" i="79"/>
  <c r="N11" i="79"/>
  <c r="M11" i="79"/>
  <c r="L11" i="79"/>
  <c r="K11" i="79"/>
  <c r="J11" i="79"/>
  <c r="I11" i="79"/>
  <c r="H11" i="79"/>
  <c r="G11" i="79"/>
  <c r="F11" i="79"/>
  <c r="E11" i="79"/>
  <c r="D11" i="79"/>
  <c r="C11" i="79"/>
  <c r="O10" i="79"/>
  <c r="N10" i="79"/>
  <c r="M10" i="79"/>
  <c r="L10" i="79"/>
  <c r="K10" i="79"/>
  <c r="J10" i="79"/>
  <c r="I10" i="79"/>
  <c r="H10" i="79"/>
  <c r="G10" i="79"/>
  <c r="F10" i="79"/>
  <c r="E10" i="79"/>
  <c r="D10" i="79"/>
  <c r="C10" i="79"/>
  <c r="O9" i="79"/>
  <c r="N9" i="79"/>
  <c r="M9" i="79"/>
  <c r="L9" i="79"/>
  <c r="K9" i="79"/>
  <c r="J9" i="79"/>
  <c r="I9" i="79"/>
  <c r="H9" i="79"/>
  <c r="G9" i="79"/>
  <c r="F9" i="79"/>
  <c r="E9" i="79"/>
  <c r="D9" i="79"/>
  <c r="C9" i="79"/>
  <c r="O8" i="79"/>
  <c r="N8" i="79"/>
  <c r="M8" i="79"/>
  <c r="L8" i="79"/>
  <c r="K8" i="79"/>
  <c r="J8" i="79"/>
  <c r="I8" i="79"/>
  <c r="H8" i="79"/>
  <c r="G8" i="79"/>
  <c r="F8" i="79"/>
  <c r="E8" i="79"/>
  <c r="D8" i="79"/>
  <c r="C8" i="79"/>
  <c r="O7" i="79"/>
  <c r="N7" i="79"/>
  <c r="M7" i="79"/>
  <c r="L7" i="79"/>
  <c r="K7" i="79"/>
  <c r="J7" i="79"/>
  <c r="I7" i="79"/>
  <c r="H7" i="79"/>
  <c r="G7" i="79"/>
  <c r="F7" i="79"/>
  <c r="E7" i="79"/>
  <c r="D7" i="79"/>
  <c r="C7" i="79"/>
  <c r="O3" i="78"/>
  <c r="O4" i="78"/>
  <c r="O5" i="78"/>
  <c r="O63" i="78"/>
  <c r="N3" i="78"/>
  <c r="N4" i="78"/>
  <c r="N5" i="78"/>
  <c r="N63" i="78"/>
  <c r="M3" i="78"/>
  <c r="M4" i="78"/>
  <c r="M5" i="78"/>
  <c r="M63" i="78"/>
  <c r="L3" i="78"/>
  <c r="L4" i="78"/>
  <c r="L5" i="78"/>
  <c r="L63" i="78"/>
  <c r="K3" i="78"/>
  <c r="K4" i="78"/>
  <c r="K5" i="78"/>
  <c r="K63" i="78"/>
  <c r="J3" i="78"/>
  <c r="J4" i="78"/>
  <c r="J5" i="78"/>
  <c r="J63" i="78"/>
  <c r="I3" i="78"/>
  <c r="I4" i="78"/>
  <c r="I5" i="78"/>
  <c r="I63" i="78"/>
  <c r="H3" i="78"/>
  <c r="H4" i="78"/>
  <c r="H5" i="78"/>
  <c r="H63" i="78"/>
  <c r="G3" i="78"/>
  <c r="G4" i="78"/>
  <c r="G5" i="78"/>
  <c r="G63" i="78"/>
  <c r="F3" i="78"/>
  <c r="F4" i="78"/>
  <c r="F5" i="78"/>
  <c r="F63" i="78"/>
  <c r="E3" i="78"/>
  <c r="E4" i="78"/>
  <c r="E5" i="78"/>
  <c r="E63" i="78"/>
  <c r="D3" i="78"/>
  <c r="D4" i="78"/>
  <c r="D5" i="78"/>
  <c r="D63" i="78"/>
  <c r="C3" i="78"/>
  <c r="C4" i="78"/>
  <c r="C5" i="78"/>
  <c r="C63" i="78"/>
  <c r="O62" i="78"/>
  <c r="N62" i="78"/>
  <c r="M62" i="78"/>
  <c r="L62" i="78"/>
  <c r="K62" i="78"/>
  <c r="J62" i="78"/>
  <c r="I62" i="78"/>
  <c r="H62" i="78"/>
  <c r="G62" i="78"/>
  <c r="F62" i="78"/>
  <c r="E62" i="78"/>
  <c r="D62" i="78"/>
  <c r="C62" i="78"/>
  <c r="O61" i="78"/>
  <c r="N61" i="78"/>
  <c r="M61" i="78"/>
  <c r="L61" i="78"/>
  <c r="K61" i="78"/>
  <c r="J61" i="78"/>
  <c r="I61" i="78"/>
  <c r="H61" i="78"/>
  <c r="G61" i="78"/>
  <c r="F61" i="78"/>
  <c r="E61" i="78"/>
  <c r="D61" i="78"/>
  <c r="C61" i="78"/>
  <c r="O60" i="78"/>
  <c r="N60" i="78"/>
  <c r="M60" i="78"/>
  <c r="L60" i="78"/>
  <c r="K60" i="78"/>
  <c r="J60" i="78"/>
  <c r="I60" i="78"/>
  <c r="H60" i="78"/>
  <c r="G60" i="78"/>
  <c r="F60" i="78"/>
  <c r="E60" i="78"/>
  <c r="D60" i="78"/>
  <c r="C60" i="78"/>
  <c r="O59" i="78"/>
  <c r="N59" i="78"/>
  <c r="M59" i="78"/>
  <c r="L59" i="78"/>
  <c r="K59" i="78"/>
  <c r="J59" i="78"/>
  <c r="I59" i="78"/>
  <c r="H59" i="78"/>
  <c r="G59" i="78"/>
  <c r="F59" i="78"/>
  <c r="E59" i="78"/>
  <c r="D59" i="78"/>
  <c r="C59" i="78"/>
  <c r="O58" i="78"/>
  <c r="N58" i="78"/>
  <c r="M58" i="78"/>
  <c r="L58" i="78"/>
  <c r="K58" i="78"/>
  <c r="J58" i="78"/>
  <c r="I58" i="78"/>
  <c r="H58" i="78"/>
  <c r="G58" i="78"/>
  <c r="F58" i="78"/>
  <c r="E58" i="78"/>
  <c r="D58" i="78"/>
  <c r="C58" i="78"/>
  <c r="O57" i="78"/>
  <c r="N57" i="78"/>
  <c r="M57" i="78"/>
  <c r="L57" i="78"/>
  <c r="K57" i="78"/>
  <c r="J57" i="78"/>
  <c r="I57" i="78"/>
  <c r="H57" i="78"/>
  <c r="G57" i="78"/>
  <c r="F57" i="78"/>
  <c r="E57" i="78"/>
  <c r="D57" i="78"/>
  <c r="C57" i="78"/>
  <c r="O56" i="78"/>
  <c r="N56" i="78"/>
  <c r="M56" i="78"/>
  <c r="L56" i="78"/>
  <c r="K56" i="78"/>
  <c r="J56" i="78"/>
  <c r="I56" i="78"/>
  <c r="H56" i="78"/>
  <c r="G56" i="78"/>
  <c r="F56" i="78"/>
  <c r="E56" i="78"/>
  <c r="D56" i="78"/>
  <c r="C56" i="78"/>
  <c r="O55" i="78"/>
  <c r="N55" i="78"/>
  <c r="M55" i="78"/>
  <c r="L55" i="78"/>
  <c r="K55" i="78"/>
  <c r="J55" i="78"/>
  <c r="I55" i="78"/>
  <c r="H55" i="78"/>
  <c r="G55" i="78"/>
  <c r="F55" i="78"/>
  <c r="E55" i="78"/>
  <c r="D55" i="78"/>
  <c r="C55" i="78"/>
  <c r="O54" i="78"/>
  <c r="N54" i="78"/>
  <c r="M54" i="78"/>
  <c r="L54" i="78"/>
  <c r="K54" i="78"/>
  <c r="J54" i="78"/>
  <c r="I54" i="78"/>
  <c r="H54" i="78"/>
  <c r="G54" i="78"/>
  <c r="F54" i="78"/>
  <c r="E54" i="78"/>
  <c r="D54" i="78"/>
  <c r="C54" i="78"/>
  <c r="O53" i="78"/>
  <c r="N53" i="78"/>
  <c r="M53" i="78"/>
  <c r="L53" i="78"/>
  <c r="K53" i="78"/>
  <c r="J53" i="78"/>
  <c r="I53" i="78"/>
  <c r="H53" i="78"/>
  <c r="G53" i="78"/>
  <c r="F53" i="78"/>
  <c r="E53" i="78"/>
  <c r="D53" i="78"/>
  <c r="C53" i="78"/>
  <c r="O52" i="78"/>
  <c r="N52" i="78"/>
  <c r="M52" i="78"/>
  <c r="L52" i="78"/>
  <c r="K52" i="78"/>
  <c r="J52" i="78"/>
  <c r="I52" i="78"/>
  <c r="H52" i="78"/>
  <c r="G52" i="78"/>
  <c r="F52" i="78"/>
  <c r="E52" i="78"/>
  <c r="D52" i="78"/>
  <c r="C52" i="78"/>
  <c r="O51" i="78"/>
  <c r="N51" i="78"/>
  <c r="M51" i="78"/>
  <c r="L51" i="78"/>
  <c r="K51" i="78"/>
  <c r="J51" i="78"/>
  <c r="I51" i="78"/>
  <c r="H51" i="78"/>
  <c r="G51" i="78"/>
  <c r="F51" i="78"/>
  <c r="E51" i="78"/>
  <c r="D51" i="78"/>
  <c r="C51" i="78"/>
  <c r="O50" i="78"/>
  <c r="N50" i="78"/>
  <c r="M50" i="78"/>
  <c r="L50" i="78"/>
  <c r="K50" i="78"/>
  <c r="J50" i="78"/>
  <c r="I50" i="78"/>
  <c r="H50" i="78"/>
  <c r="G50" i="78"/>
  <c r="F50" i="78"/>
  <c r="E50" i="78"/>
  <c r="D50" i="78"/>
  <c r="C50" i="78"/>
  <c r="O49" i="78"/>
  <c r="N49" i="78"/>
  <c r="M49" i="78"/>
  <c r="L49" i="78"/>
  <c r="K49" i="78"/>
  <c r="J49" i="78"/>
  <c r="I49" i="78"/>
  <c r="H49" i="78"/>
  <c r="G49" i="78"/>
  <c r="F49" i="78"/>
  <c r="E49" i="78"/>
  <c r="D49" i="78"/>
  <c r="C49" i="78"/>
  <c r="O48" i="78"/>
  <c r="N48" i="78"/>
  <c r="M48" i="78"/>
  <c r="L48" i="78"/>
  <c r="K48" i="78"/>
  <c r="J48" i="78"/>
  <c r="I48" i="78"/>
  <c r="H48" i="78"/>
  <c r="G48" i="78"/>
  <c r="F48" i="78"/>
  <c r="E48" i="78"/>
  <c r="D48" i="78"/>
  <c r="C48" i="78"/>
  <c r="O47" i="78"/>
  <c r="N47" i="78"/>
  <c r="M47" i="78"/>
  <c r="L47" i="78"/>
  <c r="K47" i="78"/>
  <c r="J47" i="78"/>
  <c r="I47" i="78"/>
  <c r="H47" i="78"/>
  <c r="G47" i="78"/>
  <c r="F47" i="78"/>
  <c r="E47" i="78"/>
  <c r="D47" i="78"/>
  <c r="C47" i="78"/>
  <c r="O46" i="78"/>
  <c r="N46" i="78"/>
  <c r="M46" i="78"/>
  <c r="L46" i="78"/>
  <c r="K46" i="78"/>
  <c r="J46" i="78"/>
  <c r="I46" i="78"/>
  <c r="H46" i="78"/>
  <c r="G46" i="78"/>
  <c r="F46" i="78"/>
  <c r="E46" i="78"/>
  <c r="D46" i="78"/>
  <c r="C46" i="78"/>
  <c r="O45" i="78"/>
  <c r="N45" i="78"/>
  <c r="M45" i="78"/>
  <c r="L45" i="78"/>
  <c r="K45" i="78"/>
  <c r="J45" i="78"/>
  <c r="I45" i="78"/>
  <c r="H45" i="78"/>
  <c r="G45" i="78"/>
  <c r="F45" i="78"/>
  <c r="E45" i="78"/>
  <c r="D45" i="78"/>
  <c r="C45" i="78"/>
  <c r="O44" i="78"/>
  <c r="N44" i="78"/>
  <c r="M44" i="78"/>
  <c r="L44" i="78"/>
  <c r="K44" i="78"/>
  <c r="J44" i="78"/>
  <c r="I44" i="78"/>
  <c r="H44" i="78"/>
  <c r="G44" i="78"/>
  <c r="F44" i="78"/>
  <c r="E44" i="78"/>
  <c r="D44" i="78"/>
  <c r="C44" i="78"/>
  <c r="O43" i="78"/>
  <c r="N43" i="78"/>
  <c r="M43" i="78"/>
  <c r="L43" i="78"/>
  <c r="K43" i="78"/>
  <c r="J43" i="78"/>
  <c r="I43" i="78"/>
  <c r="H43" i="78"/>
  <c r="G43" i="78"/>
  <c r="F43" i="78"/>
  <c r="E43" i="78"/>
  <c r="D43" i="78"/>
  <c r="C43" i="78"/>
  <c r="O42" i="78"/>
  <c r="N42" i="78"/>
  <c r="M42" i="78"/>
  <c r="L42" i="78"/>
  <c r="K42" i="78"/>
  <c r="J42" i="78"/>
  <c r="I42" i="78"/>
  <c r="H42" i="78"/>
  <c r="G42" i="78"/>
  <c r="F42" i="78"/>
  <c r="E42" i="78"/>
  <c r="D42" i="78"/>
  <c r="C42" i="78"/>
  <c r="O41" i="78"/>
  <c r="N41" i="78"/>
  <c r="M41" i="78"/>
  <c r="L41" i="78"/>
  <c r="K41" i="78"/>
  <c r="J41" i="78"/>
  <c r="I41" i="78"/>
  <c r="H41" i="78"/>
  <c r="G41" i="78"/>
  <c r="F41" i="78"/>
  <c r="E41" i="78"/>
  <c r="D41" i="78"/>
  <c r="C41" i="78"/>
  <c r="O40" i="78"/>
  <c r="N40" i="78"/>
  <c r="M40" i="78"/>
  <c r="L40" i="78"/>
  <c r="K40" i="78"/>
  <c r="J40" i="78"/>
  <c r="I40" i="78"/>
  <c r="H40" i="78"/>
  <c r="G40" i="78"/>
  <c r="F40" i="78"/>
  <c r="E40" i="78"/>
  <c r="D40" i="78"/>
  <c r="C40" i="78"/>
  <c r="O39" i="78"/>
  <c r="N39" i="78"/>
  <c r="M39" i="78"/>
  <c r="L39" i="78"/>
  <c r="K39" i="78"/>
  <c r="J39" i="78"/>
  <c r="I39" i="78"/>
  <c r="H39" i="78"/>
  <c r="G39" i="78"/>
  <c r="F39" i="78"/>
  <c r="E39" i="78"/>
  <c r="D39" i="78"/>
  <c r="C39" i="78"/>
  <c r="O38" i="78"/>
  <c r="N38" i="78"/>
  <c r="M38" i="78"/>
  <c r="L38" i="78"/>
  <c r="K38" i="78"/>
  <c r="J38" i="78"/>
  <c r="I38" i="78"/>
  <c r="H38" i="78"/>
  <c r="G38" i="78"/>
  <c r="F38" i="78"/>
  <c r="E38" i="78"/>
  <c r="D38" i="78"/>
  <c r="C38" i="78"/>
  <c r="O37" i="78"/>
  <c r="N37" i="78"/>
  <c r="M37" i="78"/>
  <c r="L37" i="78"/>
  <c r="K37" i="78"/>
  <c r="J37" i="78"/>
  <c r="I37" i="78"/>
  <c r="H37" i="78"/>
  <c r="G37" i="78"/>
  <c r="F37" i="78"/>
  <c r="E37" i="78"/>
  <c r="D37" i="78"/>
  <c r="C37" i="78"/>
  <c r="O36" i="78"/>
  <c r="N36" i="78"/>
  <c r="M36" i="78"/>
  <c r="L36" i="78"/>
  <c r="K36" i="78"/>
  <c r="J36" i="78"/>
  <c r="I36" i="78"/>
  <c r="H36" i="78"/>
  <c r="G36" i="78"/>
  <c r="F36" i="78"/>
  <c r="E36" i="78"/>
  <c r="D36" i="78"/>
  <c r="C36" i="78"/>
  <c r="O35" i="78"/>
  <c r="N35" i="78"/>
  <c r="M35" i="78"/>
  <c r="L35" i="78"/>
  <c r="K35" i="78"/>
  <c r="J35" i="78"/>
  <c r="I35" i="78"/>
  <c r="H35" i="78"/>
  <c r="G35" i="78"/>
  <c r="F35" i="78"/>
  <c r="E35" i="78"/>
  <c r="D35" i="78"/>
  <c r="C35" i="78"/>
  <c r="O34" i="78"/>
  <c r="N34" i="78"/>
  <c r="M34" i="78"/>
  <c r="L34" i="78"/>
  <c r="K34" i="78"/>
  <c r="J34" i="78"/>
  <c r="I34" i="78"/>
  <c r="H34" i="78"/>
  <c r="G34" i="78"/>
  <c r="F34" i="78"/>
  <c r="E34" i="78"/>
  <c r="D34" i="78"/>
  <c r="C34" i="78"/>
  <c r="O33" i="78"/>
  <c r="N33" i="78"/>
  <c r="M33" i="78"/>
  <c r="L33" i="78"/>
  <c r="K33" i="78"/>
  <c r="J33" i="78"/>
  <c r="I33" i="78"/>
  <c r="H33" i="78"/>
  <c r="G33" i="78"/>
  <c r="F33" i="78"/>
  <c r="E33" i="78"/>
  <c r="D33" i="78"/>
  <c r="C33" i="78"/>
  <c r="O32" i="78"/>
  <c r="N32" i="78"/>
  <c r="M32" i="78"/>
  <c r="L32" i="78"/>
  <c r="K32" i="78"/>
  <c r="J32" i="78"/>
  <c r="I32" i="78"/>
  <c r="H32" i="78"/>
  <c r="G32" i="78"/>
  <c r="F32" i="78"/>
  <c r="E32" i="78"/>
  <c r="D32" i="78"/>
  <c r="C32" i="78"/>
  <c r="O31" i="78"/>
  <c r="N31" i="78"/>
  <c r="M31" i="78"/>
  <c r="L31" i="78"/>
  <c r="K31" i="78"/>
  <c r="J31" i="78"/>
  <c r="I31" i="78"/>
  <c r="H31" i="78"/>
  <c r="G31" i="78"/>
  <c r="F31" i="78"/>
  <c r="E31" i="78"/>
  <c r="D31" i="78"/>
  <c r="C31" i="78"/>
  <c r="O30" i="78"/>
  <c r="N30" i="78"/>
  <c r="M30" i="78"/>
  <c r="L30" i="78"/>
  <c r="K30" i="78"/>
  <c r="J30" i="78"/>
  <c r="I30" i="78"/>
  <c r="H30" i="78"/>
  <c r="G30" i="78"/>
  <c r="F30" i="78"/>
  <c r="E30" i="78"/>
  <c r="D30" i="78"/>
  <c r="C30" i="78"/>
  <c r="O29" i="78"/>
  <c r="N29" i="78"/>
  <c r="M29" i="78"/>
  <c r="L29" i="78"/>
  <c r="K29" i="78"/>
  <c r="J29" i="78"/>
  <c r="I29" i="78"/>
  <c r="H29" i="78"/>
  <c r="G29" i="78"/>
  <c r="F29" i="78"/>
  <c r="E29" i="78"/>
  <c r="D29" i="78"/>
  <c r="C29" i="78"/>
  <c r="O28" i="78"/>
  <c r="N28" i="78"/>
  <c r="M28" i="78"/>
  <c r="L28" i="78"/>
  <c r="K28" i="78"/>
  <c r="J28" i="78"/>
  <c r="I28" i="78"/>
  <c r="H28" i="78"/>
  <c r="G28" i="78"/>
  <c r="F28" i="78"/>
  <c r="E28" i="78"/>
  <c r="D28" i="78"/>
  <c r="C28" i="78"/>
  <c r="O27" i="78"/>
  <c r="N27" i="78"/>
  <c r="M27" i="78"/>
  <c r="L27" i="78"/>
  <c r="K27" i="78"/>
  <c r="J27" i="78"/>
  <c r="I27" i="78"/>
  <c r="H27" i="78"/>
  <c r="G27" i="78"/>
  <c r="F27" i="78"/>
  <c r="E27" i="78"/>
  <c r="D27" i="78"/>
  <c r="C27" i="78"/>
  <c r="O26" i="78"/>
  <c r="N26" i="78"/>
  <c r="M26" i="78"/>
  <c r="L26" i="78"/>
  <c r="K26" i="78"/>
  <c r="J26" i="78"/>
  <c r="I26" i="78"/>
  <c r="H26" i="78"/>
  <c r="G26" i="78"/>
  <c r="F26" i="78"/>
  <c r="E26" i="78"/>
  <c r="D26" i="78"/>
  <c r="C26" i="78"/>
  <c r="O25" i="78"/>
  <c r="N25" i="78"/>
  <c r="M25" i="78"/>
  <c r="L25" i="78"/>
  <c r="K25" i="78"/>
  <c r="J25" i="78"/>
  <c r="I25" i="78"/>
  <c r="H25" i="78"/>
  <c r="G25" i="78"/>
  <c r="F25" i="78"/>
  <c r="E25" i="78"/>
  <c r="D25" i="78"/>
  <c r="C25" i="78"/>
  <c r="O24" i="78"/>
  <c r="N24" i="78"/>
  <c r="M24" i="78"/>
  <c r="L24" i="78"/>
  <c r="K24" i="78"/>
  <c r="J24" i="78"/>
  <c r="I24" i="78"/>
  <c r="H24" i="78"/>
  <c r="G24" i="78"/>
  <c r="F24" i="78"/>
  <c r="E24" i="78"/>
  <c r="D24" i="78"/>
  <c r="C24" i="78"/>
  <c r="O23" i="78"/>
  <c r="N23" i="78"/>
  <c r="M23" i="78"/>
  <c r="L23" i="78"/>
  <c r="K23" i="78"/>
  <c r="J23" i="78"/>
  <c r="I23" i="78"/>
  <c r="H23" i="78"/>
  <c r="G23" i="78"/>
  <c r="F23" i="78"/>
  <c r="E23" i="78"/>
  <c r="D23" i="78"/>
  <c r="C23" i="78"/>
  <c r="O22" i="78"/>
  <c r="N22" i="78"/>
  <c r="M22" i="78"/>
  <c r="L22" i="78"/>
  <c r="K22" i="78"/>
  <c r="J22" i="78"/>
  <c r="I22" i="78"/>
  <c r="H22" i="78"/>
  <c r="G22" i="78"/>
  <c r="F22" i="78"/>
  <c r="E22" i="78"/>
  <c r="D22" i="78"/>
  <c r="C22" i="78"/>
  <c r="O21" i="78"/>
  <c r="N21" i="78"/>
  <c r="M21" i="78"/>
  <c r="L21" i="78"/>
  <c r="K21" i="78"/>
  <c r="J21" i="78"/>
  <c r="I21" i="78"/>
  <c r="H21" i="78"/>
  <c r="G21" i="78"/>
  <c r="F21" i="78"/>
  <c r="E21" i="78"/>
  <c r="D21" i="78"/>
  <c r="C21" i="78"/>
  <c r="O20" i="78"/>
  <c r="N20" i="78"/>
  <c r="M20" i="78"/>
  <c r="L20" i="78"/>
  <c r="K20" i="78"/>
  <c r="J20" i="78"/>
  <c r="I20" i="78"/>
  <c r="H20" i="78"/>
  <c r="G20" i="78"/>
  <c r="F20" i="78"/>
  <c r="E20" i="78"/>
  <c r="D20" i="78"/>
  <c r="C20" i="78"/>
  <c r="O19" i="78"/>
  <c r="N19" i="78"/>
  <c r="M19" i="78"/>
  <c r="L19" i="78"/>
  <c r="K19" i="78"/>
  <c r="J19" i="78"/>
  <c r="I19" i="78"/>
  <c r="H19" i="78"/>
  <c r="G19" i="78"/>
  <c r="F19" i="78"/>
  <c r="E19" i="78"/>
  <c r="D19" i="78"/>
  <c r="C19" i="78"/>
  <c r="O18" i="78"/>
  <c r="N18" i="78"/>
  <c r="M18" i="78"/>
  <c r="L18" i="78"/>
  <c r="K18" i="78"/>
  <c r="J18" i="78"/>
  <c r="I18" i="78"/>
  <c r="H18" i="78"/>
  <c r="G18" i="78"/>
  <c r="F18" i="78"/>
  <c r="E18" i="78"/>
  <c r="D18" i="78"/>
  <c r="C18" i="78"/>
  <c r="O17" i="78"/>
  <c r="N17" i="78"/>
  <c r="M17" i="78"/>
  <c r="L17" i="78"/>
  <c r="K17" i="78"/>
  <c r="J17" i="78"/>
  <c r="I17" i="78"/>
  <c r="H17" i="78"/>
  <c r="G17" i="78"/>
  <c r="F17" i="78"/>
  <c r="E17" i="78"/>
  <c r="D17" i="78"/>
  <c r="C17" i="78"/>
  <c r="O16" i="78"/>
  <c r="N16" i="78"/>
  <c r="M16" i="78"/>
  <c r="L16" i="78"/>
  <c r="K16" i="78"/>
  <c r="J16" i="78"/>
  <c r="I16" i="78"/>
  <c r="H16" i="78"/>
  <c r="G16" i="78"/>
  <c r="F16" i="78"/>
  <c r="E16" i="78"/>
  <c r="D16" i="78"/>
  <c r="C16" i="78"/>
  <c r="O15" i="78"/>
  <c r="N15" i="78"/>
  <c r="M15" i="78"/>
  <c r="L15" i="78"/>
  <c r="K15" i="78"/>
  <c r="J15" i="78"/>
  <c r="I15" i="78"/>
  <c r="H15" i="78"/>
  <c r="G15" i="78"/>
  <c r="F15" i="78"/>
  <c r="E15" i="78"/>
  <c r="D15" i="78"/>
  <c r="C15" i="78"/>
  <c r="O14" i="78"/>
  <c r="N14" i="78"/>
  <c r="M14" i="78"/>
  <c r="L14" i="78"/>
  <c r="K14" i="78"/>
  <c r="J14" i="78"/>
  <c r="I14" i="78"/>
  <c r="H14" i="78"/>
  <c r="G14" i="78"/>
  <c r="F14" i="78"/>
  <c r="E14" i="78"/>
  <c r="D14" i="78"/>
  <c r="C14" i="78"/>
  <c r="O13" i="78"/>
  <c r="N13" i="78"/>
  <c r="M13" i="78"/>
  <c r="L13" i="78"/>
  <c r="K13" i="78"/>
  <c r="J13" i="78"/>
  <c r="I13" i="78"/>
  <c r="H13" i="78"/>
  <c r="G13" i="78"/>
  <c r="F13" i="78"/>
  <c r="E13" i="78"/>
  <c r="D13" i="78"/>
  <c r="C13" i="78"/>
  <c r="O12" i="78"/>
  <c r="N12" i="78"/>
  <c r="M12" i="78"/>
  <c r="L12" i="78"/>
  <c r="K12" i="78"/>
  <c r="J12" i="78"/>
  <c r="I12" i="78"/>
  <c r="H12" i="78"/>
  <c r="G12" i="78"/>
  <c r="F12" i="78"/>
  <c r="E12" i="78"/>
  <c r="D12" i="78"/>
  <c r="C12" i="78"/>
  <c r="O11" i="78"/>
  <c r="N11" i="78"/>
  <c r="M11" i="78"/>
  <c r="L11" i="78"/>
  <c r="K11" i="78"/>
  <c r="J11" i="78"/>
  <c r="I11" i="78"/>
  <c r="H11" i="78"/>
  <c r="G11" i="78"/>
  <c r="F11" i="78"/>
  <c r="E11" i="78"/>
  <c r="D11" i="78"/>
  <c r="C11" i="78"/>
  <c r="O10" i="78"/>
  <c r="N10" i="78"/>
  <c r="M10" i="78"/>
  <c r="L10" i="78"/>
  <c r="K10" i="78"/>
  <c r="J10" i="78"/>
  <c r="I10" i="78"/>
  <c r="H10" i="78"/>
  <c r="G10" i="78"/>
  <c r="F10" i="78"/>
  <c r="E10" i="78"/>
  <c r="D10" i="78"/>
  <c r="C10" i="78"/>
  <c r="O9" i="78"/>
  <c r="N9" i="78"/>
  <c r="M9" i="78"/>
  <c r="L9" i="78"/>
  <c r="K9" i="78"/>
  <c r="J9" i="78"/>
  <c r="I9" i="78"/>
  <c r="H9" i="78"/>
  <c r="G9" i="78"/>
  <c r="F9" i="78"/>
  <c r="E9" i="78"/>
  <c r="D9" i="78"/>
  <c r="C9" i="78"/>
  <c r="O8" i="78"/>
  <c r="N8" i="78"/>
  <c r="M8" i="78"/>
  <c r="L8" i="78"/>
  <c r="K8" i="78"/>
  <c r="J8" i="78"/>
  <c r="I8" i="78"/>
  <c r="H8" i="78"/>
  <c r="G8" i="78"/>
  <c r="F8" i="78"/>
  <c r="E8" i="78"/>
  <c r="D8" i="78"/>
  <c r="C8" i="78"/>
  <c r="O7" i="78"/>
  <c r="N7" i="78"/>
  <c r="M7" i="78"/>
  <c r="L7" i="78"/>
  <c r="K7" i="78"/>
  <c r="J7" i="78"/>
  <c r="I7" i="78"/>
  <c r="H7" i="78"/>
  <c r="G7" i="78"/>
  <c r="F7" i="78"/>
  <c r="E7" i="78"/>
  <c r="D7" i="78"/>
  <c r="C7" i="78"/>
  <c r="O3" i="77"/>
  <c r="O4" i="77"/>
  <c r="O5" i="77"/>
  <c r="O14" i="77"/>
  <c r="N3" i="77"/>
  <c r="N4" i="77"/>
  <c r="N5" i="77"/>
  <c r="N14" i="77"/>
  <c r="M3" i="77"/>
  <c r="M4" i="77"/>
  <c r="M5" i="77"/>
  <c r="M14" i="77"/>
  <c r="L3" i="77"/>
  <c r="L4" i="77"/>
  <c r="L5" i="77"/>
  <c r="L14" i="77"/>
  <c r="K3" i="77"/>
  <c r="K4" i="77"/>
  <c r="K5" i="77"/>
  <c r="K14" i="77"/>
  <c r="J3" i="77"/>
  <c r="J4" i="77"/>
  <c r="J5" i="77"/>
  <c r="J14" i="77"/>
  <c r="I3" i="77"/>
  <c r="I4" i="77"/>
  <c r="I5" i="77"/>
  <c r="I14" i="77"/>
  <c r="H3" i="77"/>
  <c r="H4" i="77"/>
  <c r="H5" i="77"/>
  <c r="H14" i="77"/>
  <c r="G3" i="77"/>
  <c r="G4" i="77"/>
  <c r="G5" i="77"/>
  <c r="G14" i="77"/>
  <c r="F3" i="77"/>
  <c r="F4" i="77"/>
  <c r="F5" i="77"/>
  <c r="F14" i="77"/>
  <c r="E3" i="77"/>
  <c r="E4" i="77"/>
  <c r="E5" i="77"/>
  <c r="E14" i="77"/>
  <c r="D3" i="77"/>
  <c r="D4" i="77"/>
  <c r="D5" i="77"/>
  <c r="D14" i="77"/>
  <c r="C3" i="77"/>
  <c r="C4" i="77"/>
  <c r="C5" i="77"/>
  <c r="C14" i="77"/>
  <c r="O13" i="77"/>
  <c r="N13" i="77"/>
  <c r="M13" i="77"/>
  <c r="L13" i="77"/>
  <c r="K13" i="77"/>
  <c r="J13" i="77"/>
  <c r="I13" i="77"/>
  <c r="H13" i="77"/>
  <c r="G13" i="77"/>
  <c r="F13" i="77"/>
  <c r="E13" i="77"/>
  <c r="D13" i="77"/>
  <c r="C13" i="77"/>
  <c r="O12" i="77"/>
  <c r="N12" i="77"/>
  <c r="M12" i="77"/>
  <c r="L12" i="77"/>
  <c r="K12" i="77"/>
  <c r="J12" i="77"/>
  <c r="I12" i="77"/>
  <c r="H12" i="77"/>
  <c r="G12" i="77"/>
  <c r="F12" i="77"/>
  <c r="E12" i="77"/>
  <c r="D12" i="77"/>
  <c r="C12" i="77"/>
  <c r="O11" i="77"/>
  <c r="N11" i="77"/>
  <c r="M11" i="77"/>
  <c r="L11" i="77"/>
  <c r="K11" i="77"/>
  <c r="J11" i="77"/>
  <c r="I11" i="77"/>
  <c r="H11" i="77"/>
  <c r="G11" i="77"/>
  <c r="F11" i="77"/>
  <c r="E11" i="77"/>
  <c r="D11" i="77"/>
  <c r="C11" i="77"/>
  <c r="O10" i="77"/>
  <c r="N10" i="77"/>
  <c r="M10" i="77"/>
  <c r="L10" i="77"/>
  <c r="K10" i="77"/>
  <c r="J10" i="77"/>
  <c r="I10" i="77"/>
  <c r="H10" i="77"/>
  <c r="G10" i="77"/>
  <c r="F10" i="77"/>
  <c r="E10" i="77"/>
  <c r="D10" i="77"/>
  <c r="C10" i="77"/>
  <c r="O9" i="77"/>
  <c r="N9" i="77"/>
  <c r="M9" i="77"/>
  <c r="L9" i="77"/>
  <c r="K9" i="77"/>
  <c r="J9" i="77"/>
  <c r="I9" i="77"/>
  <c r="H9" i="77"/>
  <c r="G9" i="77"/>
  <c r="F9" i="77"/>
  <c r="E9" i="77"/>
  <c r="D9" i="77"/>
  <c r="C9" i="77"/>
  <c r="O8" i="77"/>
  <c r="N8" i="77"/>
  <c r="M8" i="77"/>
  <c r="L8" i="77"/>
  <c r="K8" i="77"/>
  <c r="J8" i="77"/>
  <c r="I8" i="77"/>
  <c r="H8" i="77"/>
  <c r="G8" i="77"/>
  <c r="F8" i="77"/>
  <c r="E8" i="77"/>
  <c r="D8" i="77"/>
  <c r="C8" i="77"/>
  <c r="O7" i="77"/>
  <c r="N7" i="77"/>
  <c r="M7" i="77"/>
  <c r="L7" i="77"/>
  <c r="K7" i="77"/>
  <c r="J7" i="77"/>
  <c r="I7" i="77"/>
  <c r="H7" i="77"/>
  <c r="G7" i="77"/>
  <c r="F7" i="77"/>
  <c r="E7" i="77"/>
  <c r="D7" i="77"/>
  <c r="C7" i="77"/>
  <c r="O3" i="98"/>
  <c r="O4" i="98"/>
  <c r="O5" i="98"/>
  <c r="O22" i="98"/>
  <c r="N3" i="98"/>
  <c r="N4" i="98"/>
  <c r="N5" i="98"/>
  <c r="N22" i="98"/>
  <c r="M3" i="98"/>
  <c r="M4" i="98"/>
  <c r="M5" i="98"/>
  <c r="M22" i="98"/>
  <c r="L3" i="98"/>
  <c r="L4" i="98"/>
  <c r="L5" i="98"/>
  <c r="L22" i="98"/>
  <c r="K3" i="98"/>
  <c r="K4" i="98"/>
  <c r="K5" i="98"/>
  <c r="K22" i="98"/>
  <c r="J3" i="98"/>
  <c r="J4" i="98"/>
  <c r="J5" i="98"/>
  <c r="J22" i="98"/>
  <c r="I3" i="98"/>
  <c r="I4" i="98"/>
  <c r="I5" i="98"/>
  <c r="I22" i="98"/>
  <c r="H3" i="98"/>
  <c r="H4" i="98"/>
  <c r="H5" i="98"/>
  <c r="H22" i="98"/>
  <c r="G3" i="98"/>
  <c r="G4" i="98"/>
  <c r="G5" i="98"/>
  <c r="G22" i="98"/>
  <c r="F3" i="98"/>
  <c r="F4" i="98"/>
  <c r="F5" i="98"/>
  <c r="F22" i="98"/>
  <c r="E3" i="98"/>
  <c r="E4" i="98"/>
  <c r="E5" i="98"/>
  <c r="E22" i="98"/>
  <c r="D3" i="98"/>
  <c r="D4" i="98"/>
  <c r="D5" i="98"/>
  <c r="D22" i="98"/>
  <c r="C3" i="98"/>
  <c r="C4" i="98"/>
  <c r="C5" i="98"/>
  <c r="C22" i="98"/>
  <c r="O21" i="98"/>
  <c r="N21" i="98"/>
  <c r="M21" i="98"/>
  <c r="L21" i="98"/>
  <c r="K21" i="98"/>
  <c r="J21" i="98"/>
  <c r="I21" i="98"/>
  <c r="H21" i="98"/>
  <c r="G21" i="98"/>
  <c r="F21" i="98"/>
  <c r="E21" i="98"/>
  <c r="D21" i="98"/>
  <c r="C21" i="98"/>
  <c r="O20" i="98"/>
  <c r="N20" i="98"/>
  <c r="M20" i="98"/>
  <c r="L20" i="98"/>
  <c r="K20" i="98"/>
  <c r="J20" i="98"/>
  <c r="I20" i="98"/>
  <c r="H20" i="98"/>
  <c r="G20" i="98"/>
  <c r="F20" i="98"/>
  <c r="E20" i="98"/>
  <c r="D20" i="98"/>
  <c r="C20" i="98"/>
  <c r="O19" i="98"/>
  <c r="N19" i="98"/>
  <c r="M19" i="98"/>
  <c r="L19" i="98"/>
  <c r="K19" i="98"/>
  <c r="J19" i="98"/>
  <c r="I19" i="98"/>
  <c r="H19" i="98"/>
  <c r="G19" i="98"/>
  <c r="F19" i="98"/>
  <c r="E19" i="98"/>
  <c r="D19" i="98"/>
  <c r="C19" i="98"/>
  <c r="O18" i="98"/>
  <c r="N18" i="98"/>
  <c r="M18" i="98"/>
  <c r="L18" i="98"/>
  <c r="K18" i="98"/>
  <c r="J18" i="98"/>
  <c r="I18" i="98"/>
  <c r="H18" i="98"/>
  <c r="G18" i="98"/>
  <c r="F18" i="98"/>
  <c r="E18" i="98"/>
  <c r="D18" i="98"/>
  <c r="C18" i="98"/>
  <c r="O17" i="98"/>
  <c r="N17" i="98"/>
  <c r="M17" i="98"/>
  <c r="L17" i="98"/>
  <c r="K17" i="98"/>
  <c r="J17" i="98"/>
  <c r="I17" i="98"/>
  <c r="H17" i="98"/>
  <c r="G17" i="98"/>
  <c r="F17" i="98"/>
  <c r="E17" i="98"/>
  <c r="D17" i="98"/>
  <c r="C17" i="98"/>
  <c r="O16" i="98"/>
  <c r="N16" i="98"/>
  <c r="M16" i="98"/>
  <c r="L16" i="98"/>
  <c r="K16" i="98"/>
  <c r="J16" i="98"/>
  <c r="I16" i="98"/>
  <c r="H16" i="98"/>
  <c r="G16" i="98"/>
  <c r="F16" i="98"/>
  <c r="E16" i="98"/>
  <c r="D16" i="98"/>
  <c r="C16" i="98"/>
  <c r="O15" i="98"/>
  <c r="N15" i="98"/>
  <c r="M15" i="98"/>
  <c r="L15" i="98"/>
  <c r="K15" i="98"/>
  <c r="J15" i="98"/>
  <c r="I15" i="98"/>
  <c r="H15" i="98"/>
  <c r="G15" i="98"/>
  <c r="F15" i="98"/>
  <c r="E15" i="98"/>
  <c r="D15" i="98"/>
  <c r="C15" i="98"/>
  <c r="O14" i="98"/>
  <c r="N14" i="98"/>
  <c r="M14" i="98"/>
  <c r="L14" i="98"/>
  <c r="K14" i="98"/>
  <c r="J14" i="98"/>
  <c r="I14" i="98"/>
  <c r="H14" i="98"/>
  <c r="G14" i="98"/>
  <c r="F14" i="98"/>
  <c r="E14" i="98"/>
  <c r="D14" i="98"/>
  <c r="C14" i="98"/>
  <c r="O13" i="98"/>
  <c r="N13" i="98"/>
  <c r="M13" i="98"/>
  <c r="L13" i="98"/>
  <c r="K13" i="98"/>
  <c r="J13" i="98"/>
  <c r="I13" i="98"/>
  <c r="H13" i="98"/>
  <c r="G13" i="98"/>
  <c r="F13" i="98"/>
  <c r="E13" i="98"/>
  <c r="D13" i="98"/>
  <c r="C13" i="98"/>
  <c r="O12" i="98"/>
  <c r="N12" i="98"/>
  <c r="M12" i="98"/>
  <c r="L12" i="98"/>
  <c r="K12" i="98"/>
  <c r="J12" i="98"/>
  <c r="I12" i="98"/>
  <c r="H12" i="98"/>
  <c r="G12" i="98"/>
  <c r="F12" i="98"/>
  <c r="E12" i="98"/>
  <c r="D12" i="98"/>
  <c r="C12" i="98"/>
  <c r="O11" i="98"/>
  <c r="N11" i="98"/>
  <c r="M11" i="98"/>
  <c r="L11" i="98"/>
  <c r="K11" i="98"/>
  <c r="J11" i="98"/>
  <c r="I11" i="98"/>
  <c r="H11" i="98"/>
  <c r="G11" i="98"/>
  <c r="F11" i="98"/>
  <c r="E11" i="98"/>
  <c r="D11" i="98"/>
  <c r="C11" i="98"/>
  <c r="O10" i="98"/>
  <c r="N10" i="98"/>
  <c r="M10" i="98"/>
  <c r="L10" i="98"/>
  <c r="K10" i="98"/>
  <c r="J10" i="98"/>
  <c r="I10" i="98"/>
  <c r="H10" i="98"/>
  <c r="G10" i="98"/>
  <c r="F10" i="98"/>
  <c r="E10" i="98"/>
  <c r="D10" i="98"/>
  <c r="C10" i="98"/>
  <c r="O9" i="98"/>
  <c r="N9" i="98"/>
  <c r="M9" i="98"/>
  <c r="L9" i="98"/>
  <c r="K9" i="98"/>
  <c r="J9" i="98"/>
  <c r="I9" i="98"/>
  <c r="H9" i="98"/>
  <c r="G9" i="98"/>
  <c r="F9" i="98"/>
  <c r="E9" i="98"/>
  <c r="D9" i="98"/>
  <c r="C9" i="98"/>
  <c r="O8" i="98"/>
  <c r="N8" i="98"/>
  <c r="M8" i="98"/>
  <c r="L8" i="98"/>
  <c r="K8" i="98"/>
  <c r="J8" i="98"/>
  <c r="I8" i="98"/>
  <c r="H8" i="98"/>
  <c r="G8" i="98"/>
  <c r="F8" i="98"/>
  <c r="E8" i="98"/>
  <c r="D8" i="98"/>
  <c r="C8" i="98"/>
  <c r="O7" i="98"/>
  <c r="N7" i="98"/>
  <c r="M7" i="98"/>
  <c r="L7" i="98"/>
  <c r="K7" i="98"/>
  <c r="J7" i="98"/>
  <c r="I7" i="98"/>
  <c r="H7" i="98"/>
  <c r="G7" i="98"/>
  <c r="F7" i="98"/>
  <c r="E7" i="98"/>
  <c r="D7" i="98"/>
  <c r="C7" i="98"/>
  <c r="O6" i="98"/>
  <c r="N6" i="98"/>
  <c r="M6" i="98"/>
  <c r="L6" i="98"/>
  <c r="K6" i="98"/>
  <c r="J6" i="98"/>
  <c r="I6" i="98"/>
  <c r="H6" i="98"/>
  <c r="G6" i="98"/>
  <c r="F6" i="98"/>
  <c r="E6" i="98"/>
  <c r="D6" i="98"/>
  <c r="C6" i="98"/>
  <c r="B34" i="76"/>
  <c r="B35" i="76"/>
  <c r="G62" i="76"/>
  <c r="F62" i="76"/>
  <c r="E62" i="76"/>
  <c r="D62" i="76"/>
  <c r="C62" i="76"/>
  <c r="B62" i="76"/>
  <c r="E60" i="76"/>
  <c r="G58" i="76"/>
  <c r="F58" i="76"/>
  <c r="E58" i="76"/>
  <c r="D58" i="76"/>
  <c r="C58" i="76"/>
  <c r="B58" i="76"/>
  <c r="G56" i="76"/>
  <c r="F56" i="76"/>
  <c r="E56" i="76"/>
  <c r="D56" i="76"/>
  <c r="C56" i="76"/>
  <c r="B56" i="76"/>
  <c r="G54" i="76"/>
  <c r="F54" i="76"/>
  <c r="E54" i="76"/>
  <c r="D54" i="76"/>
  <c r="C54" i="76"/>
  <c r="B54" i="76"/>
  <c r="G52" i="76"/>
  <c r="F52" i="76"/>
  <c r="E52" i="76"/>
  <c r="D52" i="76"/>
  <c r="C52" i="76"/>
  <c r="B52" i="76"/>
  <c r="G50" i="76"/>
  <c r="F50" i="76"/>
  <c r="E50" i="76"/>
  <c r="D50" i="76"/>
  <c r="C50" i="76"/>
  <c r="B50" i="76"/>
  <c r="G48" i="76"/>
  <c r="F48" i="76"/>
  <c r="E48" i="76"/>
  <c r="D48" i="76"/>
  <c r="C48" i="76"/>
  <c r="B48" i="76"/>
  <c r="B4" i="76"/>
  <c r="B5" i="76"/>
  <c r="G32" i="76"/>
  <c r="F32" i="76"/>
  <c r="E32" i="76"/>
  <c r="D32" i="76"/>
  <c r="C32" i="76"/>
  <c r="B32" i="76"/>
  <c r="E30" i="76"/>
  <c r="G28" i="76"/>
  <c r="F28" i="76"/>
  <c r="E28" i="76"/>
  <c r="D28" i="76"/>
  <c r="C28" i="76"/>
  <c r="B28" i="76"/>
  <c r="G26" i="76"/>
  <c r="F26" i="76"/>
  <c r="E26" i="76"/>
  <c r="D26" i="76"/>
  <c r="C26" i="76"/>
  <c r="B26" i="76"/>
  <c r="G24" i="76"/>
  <c r="F24" i="76"/>
  <c r="E24" i="76"/>
  <c r="D24" i="76"/>
  <c r="C24" i="76"/>
  <c r="B24" i="76"/>
  <c r="G22" i="76"/>
  <c r="F22" i="76"/>
  <c r="E22" i="76"/>
  <c r="D22" i="76"/>
  <c r="C22" i="76"/>
  <c r="B22" i="76"/>
  <c r="G20" i="76"/>
  <c r="F20" i="76"/>
  <c r="E20" i="76"/>
  <c r="D20" i="76"/>
  <c r="C20" i="76"/>
  <c r="B20" i="76"/>
  <c r="G18" i="76"/>
  <c r="F18" i="76"/>
  <c r="E18" i="76"/>
  <c r="D18" i="76"/>
  <c r="C18" i="76"/>
  <c r="B18" i="76"/>
  <c r="O3" i="75"/>
  <c r="O4" i="75"/>
  <c r="O5" i="75"/>
  <c r="O18" i="75"/>
  <c r="N3" i="75"/>
  <c r="N4" i="75"/>
  <c r="N5" i="75"/>
  <c r="N18" i="75"/>
  <c r="M3" i="75"/>
  <c r="M4" i="75"/>
  <c r="M5" i="75"/>
  <c r="M18" i="75"/>
  <c r="L3" i="75"/>
  <c r="L4" i="75"/>
  <c r="L5" i="75"/>
  <c r="L18" i="75"/>
  <c r="K3" i="75"/>
  <c r="K4" i="75"/>
  <c r="K5" i="75"/>
  <c r="K18" i="75"/>
  <c r="J3" i="75"/>
  <c r="J4" i="75"/>
  <c r="J5" i="75"/>
  <c r="J18" i="75"/>
  <c r="I3" i="75"/>
  <c r="I4" i="75"/>
  <c r="I5" i="75"/>
  <c r="I18" i="75"/>
  <c r="H3" i="75"/>
  <c r="H4" i="75"/>
  <c r="H5" i="75"/>
  <c r="H18" i="75"/>
  <c r="G3" i="75"/>
  <c r="G4" i="75"/>
  <c r="G5" i="75"/>
  <c r="G18" i="75"/>
  <c r="F3" i="75"/>
  <c r="F4" i="75"/>
  <c r="F5" i="75"/>
  <c r="F18" i="75"/>
  <c r="E3" i="75"/>
  <c r="E4" i="75"/>
  <c r="E5" i="75"/>
  <c r="E18" i="75"/>
  <c r="D3" i="75"/>
  <c r="D4" i="75"/>
  <c r="D5" i="75"/>
  <c r="D18" i="75"/>
  <c r="C3" i="75"/>
  <c r="C4" i="75"/>
  <c r="C5" i="75"/>
  <c r="C18" i="75"/>
  <c r="O17" i="75"/>
  <c r="N17" i="75"/>
  <c r="M17" i="75"/>
  <c r="L17" i="75"/>
  <c r="K17" i="75"/>
  <c r="J17" i="75"/>
  <c r="I17" i="75"/>
  <c r="H17" i="75"/>
  <c r="G17" i="75"/>
  <c r="F17" i="75"/>
  <c r="E17" i="75"/>
  <c r="D17" i="75"/>
  <c r="C17" i="75"/>
  <c r="O16" i="75"/>
  <c r="N16" i="75"/>
  <c r="M16" i="75"/>
  <c r="L16" i="75"/>
  <c r="K16" i="75"/>
  <c r="J16" i="75"/>
  <c r="I16" i="75"/>
  <c r="H16" i="75"/>
  <c r="G16" i="75"/>
  <c r="F16" i="75"/>
  <c r="E16" i="75"/>
  <c r="D16" i="75"/>
  <c r="C16" i="75"/>
  <c r="O15" i="75"/>
  <c r="N15" i="75"/>
  <c r="M15" i="75"/>
  <c r="L15" i="75"/>
  <c r="K15" i="75"/>
  <c r="J15" i="75"/>
  <c r="I15" i="75"/>
  <c r="H15" i="75"/>
  <c r="G15" i="75"/>
  <c r="F15" i="75"/>
  <c r="E15" i="75"/>
  <c r="D15" i="75"/>
  <c r="C15" i="75"/>
  <c r="O12" i="75"/>
  <c r="N12" i="75"/>
  <c r="M12" i="75"/>
  <c r="L12" i="75"/>
  <c r="K12" i="75"/>
  <c r="J12" i="75"/>
  <c r="I12" i="75"/>
  <c r="H12" i="75"/>
  <c r="G12" i="75"/>
  <c r="F12" i="75"/>
  <c r="E12" i="75"/>
  <c r="D12" i="75"/>
  <c r="C12" i="75"/>
  <c r="O11" i="75"/>
  <c r="N11" i="75"/>
  <c r="M11" i="75"/>
  <c r="L11" i="75"/>
  <c r="K11" i="75"/>
  <c r="J11" i="75"/>
  <c r="I11" i="75"/>
  <c r="H11" i="75"/>
  <c r="G11" i="75"/>
  <c r="F11" i="75"/>
  <c r="E11" i="75"/>
  <c r="D11" i="75"/>
  <c r="C11" i="75"/>
  <c r="O10" i="75"/>
  <c r="N10" i="75"/>
  <c r="M10" i="75"/>
  <c r="L10" i="75"/>
  <c r="K10" i="75"/>
  <c r="J10" i="75"/>
  <c r="I10" i="75"/>
  <c r="H10" i="75"/>
  <c r="G10" i="75"/>
  <c r="F10" i="75"/>
  <c r="E10" i="75"/>
  <c r="D10" i="75"/>
  <c r="C10" i="75"/>
  <c r="O9" i="75"/>
  <c r="N9" i="75"/>
  <c r="M9" i="75"/>
  <c r="L9" i="75"/>
  <c r="K9" i="75"/>
  <c r="J9" i="75"/>
  <c r="I9" i="75"/>
  <c r="H9" i="75"/>
  <c r="G9" i="75"/>
  <c r="F9" i="75"/>
  <c r="E9" i="75"/>
  <c r="D9" i="75"/>
  <c r="C9" i="75"/>
  <c r="O8" i="75"/>
  <c r="N8" i="75"/>
  <c r="M8" i="75"/>
  <c r="L8" i="75"/>
  <c r="K8" i="75"/>
  <c r="J8" i="75"/>
  <c r="I8" i="75"/>
  <c r="H8" i="75"/>
  <c r="G8" i="75"/>
  <c r="F8" i="75"/>
  <c r="E8" i="75"/>
  <c r="D8" i="75"/>
  <c r="C8" i="75"/>
  <c r="O7" i="75"/>
  <c r="N7" i="75"/>
  <c r="M7" i="75"/>
  <c r="L7" i="75"/>
  <c r="K7" i="75"/>
  <c r="J7" i="75"/>
  <c r="I7" i="75"/>
  <c r="H7" i="75"/>
  <c r="G7" i="75"/>
  <c r="F7" i="75"/>
  <c r="E7" i="75"/>
  <c r="D7" i="75"/>
  <c r="C7" i="75"/>
  <c r="O6" i="75"/>
  <c r="N6" i="75"/>
  <c r="M6" i="75"/>
  <c r="L6" i="75"/>
  <c r="K6" i="75"/>
  <c r="J6" i="75"/>
  <c r="I6" i="75"/>
  <c r="H6" i="75"/>
  <c r="G6" i="75"/>
  <c r="F6" i="75"/>
  <c r="E6" i="75"/>
  <c r="D6" i="75"/>
  <c r="C6" i="75"/>
  <c r="F4" i="73"/>
  <c r="F5" i="73"/>
  <c r="G46" i="73"/>
  <c r="B4" i="73"/>
  <c r="B5" i="73"/>
  <c r="C46" i="73"/>
  <c r="I45" i="73"/>
  <c r="G45" i="73"/>
  <c r="E45" i="73"/>
  <c r="C45" i="73"/>
  <c r="I44" i="73"/>
  <c r="G44" i="73"/>
  <c r="E44" i="73"/>
  <c r="C44" i="73"/>
  <c r="I43" i="73"/>
  <c r="G43" i="73"/>
  <c r="E43" i="73"/>
  <c r="C43" i="73"/>
  <c r="I42" i="73"/>
  <c r="G42" i="73"/>
  <c r="E42" i="73"/>
  <c r="C42" i="73"/>
  <c r="I41" i="73"/>
  <c r="G41" i="73"/>
  <c r="E41" i="73"/>
  <c r="C41" i="73"/>
  <c r="I39" i="73"/>
  <c r="G39" i="73"/>
  <c r="E39" i="73"/>
  <c r="C39" i="73"/>
  <c r="I36" i="73"/>
  <c r="G36" i="73"/>
  <c r="E36" i="73"/>
  <c r="C36" i="73"/>
  <c r="I35" i="73"/>
  <c r="G35" i="73"/>
  <c r="E35" i="73"/>
  <c r="C35" i="73"/>
  <c r="I34" i="73"/>
  <c r="G34" i="73"/>
  <c r="E34" i="73"/>
  <c r="C34" i="73"/>
  <c r="I33" i="73"/>
  <c r="G33" i="73"/>
  <c r="E33" i="73"/>
  <c r="C33" i="73"/>
  <c r="I32" i="73"/>
  <c r="G32" i="73"/>
  <c r="E32" i="73"/>
  <c r="C32" i="73"/>
  <c r="I31" i="73"/>
  <c r="G31" i="73"/>
  <c r="E31" i="73"/>
  <c r="C31" i="73"/>
  <c r="I30" i="73"/>
  <c r="G30" i="73"/>
  <c r="E30" i="73"/>
  <c r="C30" i="73"/>
  <c r="I29" i="73"/>
  <c r="G29" i="73"/>
  <c r="E29" i="73"/>
  <c r="C29" i="73"/>
  <c r="I28" i="73"/>
  <c r="G28" i="73"/>
  <c r="E28" i="73"/>
  <c r="C28" i="73"/>
  <c r="I26" i="73"/>
  <c r="G26" i="73"/>
  <c r="E26" i="73"/>
  <c r="C26" i="73"/>
  <c r="I25" i="73"/>
  <c r="G25" i="73"/>
  <c r="E25" i="73"/>
  <c r="C25" i="73"/>
  <c r="I23" i="73"/>
  <c r="G23" i="73"/>
  <c r="E23" i="73"/>
  <c r="C23" i="73"/>
  <c r="I22" i="73"/>
  <c r="G22" i="73"/>
  <c r="E22" i="73"/>
  <c r="C22" i="73"/>
  <c r="I21" i="73"/>
  <c r="G21" i="73"/>
  <c r="E21" i="73"/>
  <c r="C21" i="73"/>
  <c r="I20" i="73"/>
  <c r="G20" i="73"/>
  <c r="E20" i="73"/>
  <c r="C20" i="73"/>
  <c r="I18" i="73"/>
  <c r="G18" i="73"/>
  <c r="E18" i="73"/>
  <c r="C18" i="73"/>
  <c r="I17" i="73"/>
  <c r="G17" i="73"/>
  <c r="E17" i="73"/>
  <c r="C17" i="73"/>
  <c r="I16" i="73"/>
  <c r="G16" i="73"/>
  <c r="E16" i="73"/>
  <c r="C16" i="73"/>
  <c r="I14" i="73"/>
  <c r="G14" i="73"/>
  <c r="E14" i="73"/>
  <c r="C14" i="73"/>
  <c r="I12" i="73"/>
  <c r="G12" i="73"/>
  <c r="E12" i="73"/>
  <c r="C12" i="73"/>
  <c r="I11" i="73"/>
  <c r="G11" i="73"/>
  <c r="E11" i="73"/>
  <c r="C11" i="73"/>
  <c r="I10" i="73"/>
  <c r="G10" i="73"/>
  <c r="E10" i="73"/>
  <c r="C10" i="73"/>
  <c r="O3" i="72"/>
  <c r="O4" i="72"/>
  <c r="O5" i="72"/>
  <c r="O17" i="72"/>
  <c r="N3" i="72"/>
  <c r="N4" i="72"/>
  <c r="N5" i="72"/>
  <c r="N17" i="72"/>
  <c r="M3" i="72"/>
  <c r="M4" i="72"/>
  <c r="M5" i="72"/>
  <c r="M17" i="72"/>
  <c r="L3" i="72"/>
  <c r="L4" i="72"/>
  <c r="L5" i="72"/>
  <c r="L17" i="72"/>
  <c r="K3" i="72"/>
  <c r="K4" i="72"/>
  <c r="K5" i="72"/>
  <c r="K17" i="72"/>
  <c r="J3" i="72"/>
  <c r="J4" i="72"/>
  <c r="J5" i="72"/>
  <c r="J17" i="72"/>
  <c r="I3" i="72"/>
  <c r="I4" i="72"/>
  <c r="I5" i="72"/>
  <c r="I17" i="72"/>
  <c r="H3" i="72"/>
  <c r="H4" i="72"/>
  <c r="H5" i="72"/>
  <c r="H17" i="72"/>
  <c r="G3" i="72"/>
  <c r="G4" i="72"/>
  <c r="G5" i="72"/>
  <c r="G17" i="72"/>
  <c r="F3" i="72"/>
  <c r="F4" i="72"/>
  <c r="F5" i="72"/>
  <c r="F17" i="72"/>
  <c r="E3" i="72"/>
  <c r="E4" i="72"/>
  <c r="E5" i="72"/>
  <c r="E17" i="72"/>
  <c r="D3" i="72"/>
  <c r="D4" i="72"/>
  <c r="D5" i="72"/>
  <c r="D17" i="72"/>
  <c r="C3" i="72"/>
  <c r="C4" i="72"/>
  <c r="C5" i="72"/>
  <c r="C17" i="72"/>
  <c r="O16" i="72"/>
  <c r="N16" i="72"/>
  <c r="M16" i="72"/>
  <c r="L16" i="72"/>
  <c r="K16" i="72"/>
  <c r="J16" i="72"/>
  <c r="I16" i="72"/>
  <c r="H16" i="72"/>
  <c r="G16" i="72"/>
  <c r="F16" i="72"/>
  <c r="E16" i="72"/>
  <c r="D16" i="72"/>
  <c r="C16" i="72"/>
  <c r="O15" i="72"/>
  <c r="N15" i="72"/>
  <c r="M15" i="72"/>
  <c r="L15" i="72"/>
  <c r="K15" i="72"/>
  <c r="J15" i="72"/>
  <c r="I15" i="72"/>
  <c r="H15" i="72"/>
  <c r="G15" i="72"/>
  <c r="F15" i="72"/>
  <c r="E15" i="72"/>
  <c r="D15" i="72"/>
  <c r="C15" i="72"/>
  <c r="O14" i="72"/>
  <c r="N14" i="72"/>
  <c r="M14" i="72"/>
  <c r="L14" i="72"/>
  <c r="K14" i="72"/>
  <c r="J14" i="72"/>
  <c r="I14" i="72"/>
  <c r="H14" i="72"/>
  <c r="G14" i="72"/>
  <c r="F14" i="72"/>
  <c r="E14" i="72"/>
  <c r="D14" i="72"/>
  <c r="C14" i="72"/>
  <c r="O13" i="72"/>
  <c r="N13" i="72"/>
  <c r="M13" i="72"/>
  <c r="L13" i="72"/>
  <c r="K13" i="72"/>
  <c r="J13" i="72"/>
  <c r="I13" i="72"/>
  <c r="H13" i="72"/>
  <c r="G13" i="72"/>
  <c r="F13" i="72"/>
  <c r="E13" i="72"/>
  <c r="D13" i="72"/>
  <c r="C13" i="72"/>
  <c r="O12" i="72"/>
  <c r="N12" i="72"/>
  <c r="M12" i="72"/>
  <c r="L12" i="72"/>
  <c r="K12" i="72"/>
  <c r="J12" i="72"/>
  <c r="I12" i="72"/>
  <c r="H12" i="72"/>
  <c r="G12" i="72"/>
  <c r="F12" i="72"/>
  <c r="E12" i="72"/>
  <c r="D12" i="72"/>
  <c r="C12" i="72"/>
  <c r="O11" i="72"/>
  <c r="N11" i="72"/>
  <c r="M11" i="72"/>
  <c r="L11" i="72"/>
  <c r="K11" i="72"/>
  <c r="J11" i="72"/>
  <c r="I11" i="72"/>
  <c r="H11" i="72"/>
  <c r="G11" i="72"/>
  <c r="F11" i="72"/>
  <c r="E11" i="72"/>
  <c r="D11" i="72"/>
  <c r="C11" i="72"/>
  <c r="O10" i="72"/>
  <c r="N10" i="72"/>
  <c r="M10" i="72"/>
  <c r="L10" i="72"/>
  <c r="K10" i="72"/>
  <c r="J10" i="72"/>
  <c r="I10" i="72"/>
  <c r="H10" i="72"/>
  <c r="G10" i="72"/>
  <c r="F10" i="72"/>
  <c r="E10" i="72"/>
  <c r="D10" i="72"/>
  <c r="C10" i="72"/>
  <c r="O9" i="72"/>
  <c r="N9" i="72"/>
  <c r="M9" i="72"/>
  <c r="L9" i="72"/>
  <c r="K9" i="72"/>
  <c r="J9" i="72"/>
  <c r="I9" i="72"/>
  <c r="H9" i="72"/>
  <c r="G9" i="72"/>
  <c r="F9" i="72"/>
  <c r="E9" i="72"/>
  <c r="D9" i="72"/>
  <c r="C9" i="72"/>
  <c r="O8" i="72"/>
  <c r="N8" i="72"/>
  <c r="M8" i="72"/>
  <c r="L8" i="72"/>
  <c r="K8" i="72"/>
  <c r="J8" i="72"/>
  <c r="I8" i="72"/>
  <c r="H8" i="72"/>
  <c r="G8" i="72"/>
  <c r="F8" i="72"/>
  <c r="E8" i="72"/>
  <c r="D8" i="72"/>
  <c r="C8" i="72"/>
  <c r="O7" i="72"/>
  <c r="N7" i="72"/>
  <c r="M7" i="72"/>
  <c r="L7" i="72"/>
  <c r="K7" i="72"/>
  <c r="J7" i="72"/>
  <c r="I7" i="72"/>
  <c r="H7" i="72"/>
  <c r="G7" i="72"/>
  <c r="F7" i="72"/>
  <c r="E7" i="72"/>
  <c r="D7" i="72"/>
  <c r="C7" i="72"/>
  <c r="O6" i="72"/>
  <c r="N6" i="72"/>
  <c r="M6" i="72"/>
  <c r="L6" i="72"/>
  <c r="K6" i="72"/>
  <c r="J6" i="72"/>
  <c r="I6" i="72"/>
  <c r="H6" i="72"/>
  <c r="G6" i="72"/>
  <c r="F6" i="72"/>
  <c r="E6" i="72"/>
  <c r="D6" i="72"/>
  <c r="C6" i="72"/>
  <c r="O4" i="4"/>
  <c r="O5" i="4"/>
  <c r="O6" i="4"/>
  <c r="O115" i="4"/>
  <c r="N4" i="4"/>
  <c r="N5" i="4"/>
  <c r="N6" i="4"/>
  <c r="N115" i="4"/>
  <c r="M4" i="4"/>
  <c r="M5" i="4"/>
  <c r="M6" i="4"/>
  <c r="M115" i="4"/>
  <c r="L4" i="4"/>
  <c r="L5" i="4"/>
  <c r="L6" i="4"/>
  <c r="L115" i="4"/>
  <c r="K4" i="4"/>
  <c r="K5" i="4"/>
  <c r="K6" i="4"/>
  <c r="K115" i="4"/>
  <c r="J4" i="4"/>
  <c r="J5" i="4"/>
  <c r="J6" i="4"/>
  <c r="J115" i="4"/>
  <c r="I4" i="4"/>
  <c r="I5" i="4"/>
  <c r="I6" i="4"/>
  <c r="I115" i="4"/>
  <c r="H4" i="4"/>
  <c r="H5" i="4"/>
  <c r="H6" i="4"/>
  <c r="H115" i="4"/>
  <c r="G4" i="4"/>
  <c r="G5" i="4"/>
  <c r="G6" i="4"/>
  <c r="G115" i="4"/>
  <c r="F4" i="4"/>
  <c r="F5" i="4"/>
  <c r="F6" i="4"/>
  <c r="F115" i="4"/>
  <c r="E4" i="4"/>
  <c r="E5" i="4"/>
  <c r="E6" i="4"/>
  <c r="E115" i="4"/>
  <c r="D4" i="4"/>
  <c r="D5" i="4"/>
  <c r="D6" i="4"/>
  <c r="D115" i="4"/>
  <c r="C4" i="4"/>
  <c r="C5" i="4"/>
  <c r="C6" i="4"/>
  <c r="C115" i="4"/>
  <c r="O114" i="4"/>
  <c r="N114" i="4"/>
  <c r="M114" i="4"/>
  <c r="L114" i="4"/>
  <c r="K114" i="4"/>
  <c r="J114" i="4"/>
  <c r="I114" i="4"/>
  <c r="H114" i="4"/>
  <c r="G114" i="4"/>
  <c r="F114" i="4"/>
  <c r="E114" i="4"/>
  <c r="D114" i="4"/>
  <c r="C114" i="4"/>
  <c r="O113" i="4"/>
  <c r="N113" i="4"/>
  <c r="M113" i="4"/>
  <c r="L113" i="4"/>
  <c r="K113" i="4"/>
  <c r="J113" i="4"/>
  <c r="I113" i="4"/>
  <c r="H113" i="4"/>
  <c r="G113" i="4"/>
  <c r="F113" i="4"/>
  <c r="E113" i="4"/>
  <c r="D113" i="4"/>
  <c r="C113" i="4"/>
  <c r="O112" i="4"/>
  <c r="N112" i="4"/>
  <c r="M112" i="4"/>
  <c r="L112" i="4"/>
  <c r="K112" i="4"/>
  <c r="J112" i="4"/>
  <c r="I112" i="4"/>
  <c r="H112" i="4"/>
  <c r="G112" i="4"/>
  <c r="F112" i="4"/>
  <c r="E112" i="4"/>
  <c r="D112" i="4"/>
  <c r="C112" i="4"/>
  <c r="O110" i="4"/>
  <c r="N110" i="4"/>
  <c r="M110" i="4"/>
  <c r="L110" i="4"/>
  <c r="K110" i="4"/>
  <c r="J110" i="4"/>
  <c r="I110" i="4"/>
  <c r="H110" i="4"/>
  <c r="G110" i="4"/>
  <c r="F110" i="4"/>
  <c r="E110" i="4"/>
  <c r="D110" i="4"/>
  <c r="C110" i="4"/>
  <c r="O109" i="4"/>
  <c r="N109" i="4"/>
  <c r="M109" i="4"/>
  <c r="L109" i="4"/>
  <c r="K109" i="4"/>
  <c r="J109" i="4"/>
  <c r="I109" i="4"/>
  <c r="H109" i="4"/>
  <c r="G109" i="4"/>
  <c r="F109" i="4"/>
  <c r="E109" i="4"/>
  <c r="D109" i="4"/>
  <c r="C109" i="4"/>
  <c r="O108" i="4"/>
  <c r="N108" i="4"/>
  <c r="M108" i="4"/>
  <c r="L108" i="4"/>
  <c r="K108" i="4"/>
  <c r="J108" i="4"/>
  <c r="I108" i="4"/>
  <c r="H108" i="4"/>
  <c r="G108" i="4"/>
  <c r="F108" i="4"/>
  <c r="E108" i="4"/>
  <c r="D108" i="4"/>
  <c r="C108" i="4"/>
  <c r="O106" i="4"/>
  <c r="N106" i="4"/>
  <c r="M106" i="4"/>
  <c r="L106" i="4"/>
  <c r="K106" i="4"/>
  <c r="J106" i="4"/>
  <c r="I106" i="4"/>
  <c r="H106" i="4"/>
  <c r="G106" i="4"/>
  <c r="F106" i="4"/>
  <c r="E106" i="4"/>
  <c r="D106" i="4"/>
  <c r="C106" i="4"/>
  <c r="O105" i="4"/>
  <c r="N105" i="4"/>
  <c r="M105" i="4"/>
  <c r="L105" i="4"/>
  <c r="K105" i="4"/>
  <c r="J105" i="4"/>
  <c r="I105" i="4"/>
  <c r="H105" i="4"/>
  <c r="G105" i="4"/>
  <c r="F105" i="4"/>
  <c r="E105" i="4"/>
  <c r="D105" i="4"/>
  <c r="C105" i="4"/>
  <c r="O104" i="4"/>
  <c r="N104" i="4"/>
  <c r="M104" i="4"/>
  <c r="L104" i="4"/>
  <c r="K104" i="4"/>
  <c r="J104" i="4"/>
  <c r="I104" i="4"/>
  <c r="H104" i="4"/>
  <c r="G104" i="4"/>
  <c r="F104" i="4"/>
  <c r="E104" i="4"/>
  <c r="D104" i="4"/>
  <c r="C104" i="4"/>
  <c r="O103" i="4"/>
  <c r="N103" i="4"/>
  <c r="M103" i="4"/>
  <c r="L103" i="4"/>
  <c r="K103" i="4"/>
  <c r="J103" i="4"/>
  <c r="I103" i="4"/>
  <c r="H103" i="4"/>
  <c r="G103" i="4"/>
  <c r="F103" i="4"/>
  <c r="E103" i="4"/>
  <c r="D103" i="4"/>
  <c r="C103" i="4"/>
  <c r="O101" i="4"/>
  <c r="N101" i="4"/>
  <c r="M101" i="4"/>
  <c r="L101" i="4"/>
  <c r="K101" i="4"/>
  <c r="J101" i="4"/>
  <c r="I101" i="4"/>
  <c r="H101" i="4"/>
  <c r="G101" i="4"/>
  <c r="F101" i="4"/>
  <c r="E101" i="4"/>
  <c r="D101" i="4"/>
  <c r="C101" i="4"/>
  <c r="O100" i="4"/>
  <c r="N100" i="4"/>
  <c r="M100" i="4"/>
  <c r="L100" i="4"/>
  <c r="K100" i="4"/>
  <c r="J100" i="4"/>
  <c r="I100" i="4"/>
  <c r="H100" i="4"/>
  <c r="G100" i="4"/>
  <c r="F100" i="4"/>
  <c r="E100" i="4"/>
  <c r="D100" i="4"/>
  <c r="C100" i="4"/>
  <c r="O99" i="4"/>
  <c r="N99" i="4"/>
  <c r="M99" i="4"/>
  <c r="L99" i="4"/>
  <c r="K99" i="4"/>
  <c r="J99" i="4"/>
  <c r="I99" i="4"/>
  <c r="H99" i="4"/>
  <c r="G99" i="4"/>
  <c r="F99" i="4"/>
  <c r="E99" i="4"/>
  <c r="D99" i="4"/>
  <c r="C99" i="4"/>
  <c r="O98" i="4"/>
  <c r="N98" i="4"/>
  <c r="M98" i="4"/>
  <c r="L98" i="4"/>
  <c r="K98" i="4"/>
  <c r="J98" i="4"/>
  <c r="I98" i="4"/>
  <c r="H98" i="4"/>
  <c r="G98" i="4"/>
  <c r="F98" i="4"/>
  <c r="E98" i="4"/>
  <c r="D98" i="4"/>
  <c r="C98" i="4"/>
  <c r="O97" i="4"/>
  <c r="N97" i="4"/>
  <c r="M97" i="4"/>
  <c r="L97" i="4"/>
  <c r="K97" i="4"/>
  <c r="J97" i="4"/>
  <c r="I97" i="4"/>
  <c r="H97" i="4"/>
  <c r="G97" i="4"/>
  <c r="F97" i="4"/>
  <c r="E97" i="4"/>
  <c r="D97" i="4"/>
  <c r="C97" i="4"/>
  <c r="O95" i="4"/>
  <c r="N95" i="4"/>
  <c r="M95" i="4"/>
  <c r="L95" i="4"/>
  <c r="K95" i="4"/>
  <c r="J95" i="4"/>
  <c r="I95" i="4"/>
  <c r="H95" i="4"/>
  <c r="G95" i="4"/>
  <c r="F95" i="4"/>
  <c r="E95" i="4"/>
  <c r="D95" i="4"/>
  <c r="C95" i="4"/>
  <c r="O94" i="4"/>
  <c r="N94" i="4"/>
  <c r="M94" i="4"/>
  <c r="L94" i="4"/>
  <c r="K94" i="4"/>
  <c r="J94" i="4"/>
  <c r="I94" i="4"/>
  <c r="H94" i="4"/>
  <c r="G94" i="4"/>
  <c r="F94" i="4"/>
  <c r="E94" i="4"/>
  <c r="D94" i="4"/>
  <c r="C94" i="4"/>
  <c r="O93" i="4"/>
  <c r="N93" i="4"/>
  <c r="M93" i="4"/>
  <c r="L93" i="4"/>
  <c r="K93" i="4"/>
  <c r="J93" i="4"/>
  <c r="I93" i="4"/>
  <c r="H93" i="4"/>
  <c r="G93" i="4"/>
  <c r="F93" i="4"/>
  <c r="E93" i="4"/>
  <c r="D93" i="4"/>
  <c r="C93" i="4"/>
  <c r="O92" i="4"/>
  <c r="N92" i="4"/>
  <c r="M92" i="4"/>
  <c r="L92" i="4"/>
  <c r="K92" i="4"/>
  <c r="J92" i="4"/>
  <c r="I92" i="4"/>
  <c r="H92" i="4"/>
  <c r="G92" i="4"/>
  <c r="F92" i="4"/>
  <c r="E92" i="4"/>
  <c r="D92" i="4"/>
  <c r="C92" i="4"/>
  <c r="O91" i="4"/>
  <c r="N91" i="4"/>
  <c r="M91" i="4"/>
  <c r="L91" i="4"/>
  <c r="K91" i="4"/>
  <c r="J91" i="4"/>
  <c r="I91" i="4"/>
  <c r="H91" i="4"/>
  <c r="G91" i="4"/>
  <c r="F91" i="4"/>
  <c r="E91" i="4"/>
  <c r="D91" i="4"/>
  <c r="C91" i="4"/>
  <c r="O90" i="4"/>
  <c r="N90" i="4"/>
  <c r="M90" i="4"/>
  <c r="L90" i="4"/>
  <c r="K90" i="4"/>
  <c r="J90" i="4"/>
  <c r="I90" i="4"/>
  <c r="H90" i="4"/>
  <c r="G90" i="4"/>
  <c r="F90" i="4"/>
  <c r="E90" i="4"/>
  <c r="D90" i="4"/>
  <c r="C90" i="4"/>
  <c r="O89" i="4"/>
  <c r="N89" i="4"/>
  <c r="M89" i="4"/>
  <c r="L89" i="4"/>
  <c r="K89" i="4"/>
  <c r="J89" i="4"/>
  <c r="I89" i="4"/>
  <c r="H89" i="4"/>
  <c r="G89" i="4"/>
  <c r="F89" i="4"/>
  <c r="E89" i="4"/>
  <c r="D89" i="4"/>
  <c r="C89" i="4"/>
  <c r="O87" i="4"/>
  <c r="N87" i="4"/>
  <c r="M87" i="4"/>
  <c r="L87" i="4"/>
  <c r="K87" i="4"/>
  <c r="J87" i="4"/>
  <c r="I87" i="4"/>
  <c r="H87" i="4"/>
  <c r="G87" i="4"/>
  <c r="F87" i="4"/>
  <c r="E87" i="4"/>
  <c r="D87" i="4"/>
  <c r="C87" i="4"/>
  <c r="O86" i="4"/>
  <c r="N86" i="4"/>
  <c r="M86" i="4"/>
  <c r="L86" i="4"/>
  <c r="K86" i="4"/>
  <c r="J86" i="4"/>
  <c r="I86" i="4"/>
  <c r="H86" i="4"/>
  <c r="G86" i="4"/>
  <c r="F86" i="4"/>
  <c r="E86" i="4"/>
  <c r="D86" i="4"/>
  <c r="C86" i="4"/>
  <c r="O85" i="4"/>
  <c r="N85" i="4"/>
  <c r="M85" i="4"/>
  <c r="L85" i="4"/>
  <c r="K85" i="4"/>
  <c r="J85" i="4"/>
  <c r="I85" i="4"/>
  <c r="H85" i="4"/>
  <c r="G85" i="4"/>
  <c r="F85" i="4"/>
  <c r="E85" i="4"/>
  <c r="D85" i="4"/>
  <c r="C85" i="4"/>
  <c r="O84" i="4"/>
  <c r="N84" i="4"/>
  <c r="M84" i="4"/>
  <c r="L84" i="4"/>
  <c r="K84" i="4"/>
  <c r="J84" i="4"/>
  <c r="I84" i="4"/>
  <c r="H84" i="4"/>
  <c r="G84" i="4"/>
  <c r="F84" i="4"/>
  <c r="E84" i="4"/>
  <c r="D84" i="4"/>
  <c r="C84" i="4"/>
  <c r="O83" i="4"/>
  <c r="N83" i="4"/>
  <c r="M83" i="4"/>
  <c r="L83" i="4"/>
  <c r="K83" i="4"/>
  <c r="J83" i="4"/>
  <c r="I83" i="4"/>
  <c r="H83" i="4"/>
  <c r="G83" i="4"/>
  <c r="F83" i="4"/>
  <c r="E83" i="4"/>
  <c r="D83" i="4"/>
  <c r="C83" i="4"/>
  <c r="O82" i="4"/>
  <c r="N82" i="4"/>
  <c r="M82" i="4"/>
  <c r="L82" i="4"/>
  <c r="K82" i="4"/>
  <c r="J82" i="4"/>
  <c r="I82" i="4"/>
  <c r="H82" i="4"/>
  <c r="G82" i="4"/>
  <c r="F82" i="4"/>
  <c r="E82" i="4"/>
  <c r="D82" i="4"/>
  <c r="C82" i="4"/>
  <c r="O81" i="4"/>
  <c r="N81" i="4"/>
  <c r="M81" i="4"/>
  <c r="L81" i="4"/>
  <c r="K81" i="4"/>
  <c r="J81" i="4"/>
  <c r="I81" i="4"/>
  <c r="H81" i="4"/>
  <c r="G81" i="4"/>
  <c r="F81" i="4"/>
  <c r="E81" i="4"/>
  <c r="D81" i="4"/>
  <c r="C81" i="4"/>
  <c r="O78" i="4"/>
  <c r="N78" i="4"/>
  <c r="M78" i="4"/>
  <c r="L78" i="4"/>
  <c r="K78" i="4"/>
  <c r="J78" i="4"/>
  <c r="I78" i="4"/>
  <c r="H78" i="4"/>
  <c r="G78" i="4"/>
  <c r="F78" i="4"/>
  <c r="E78" i="4"/>
  <c r="D78" i="4"/>
  <c r="C78" i="4"/>
  <c r="O77" i="4"/>
  <c r="N77" i="4"/>
  <c r="M77" i="4"/>
  <c r="L77" i="4"/>
  <c r="K77" i="4"/>
  <c r="J77" i="4"/>
  <c r="I77" i="4"/>
  <c r="H77" i="4"/>
  <c r="G77" i="4"/>
  <c r="F77" i="4"/>
  <c r="E77" i="4"/>
  <c r="D77" i="4"/>
  <c r="C77" i="4"/>
  <c r="O76" i="4"/>
  <c r="N76" i="4"/>
  <c r="M76" i="4"/>
  <c r="L76" i="4"/>
  <c r="K76" i="4"/>
  <c r="J76" i="4"/>
  <c r="I76" i="4"/>
  <c r="H76" i="4"/>
  <c r="G76" i="4"/>
  <c r="F76" i="4"/>
  <c r="E76" i="4"/>
  <c r="D76" i="4"/>
  <c r="C76" i="4"/>
  <c r="O75" i="4"/>
  <c r="N75" i="4"/>
  <c r="M75" i="4"/>
  <c r="L75" i="4"/>
  <c r="K75" i="4"/>
  <c r="J75" i="4"/>
  <c r="I75" i="4"/>
  <c r="H75" i="4"/>
  <c r="G75" i="4"/>
  <c r="F75" i="4"/>
  <c r="E75" i="4"/>
  <c r="D75" i="4"/>
  <c r="C75" i="4"/>
  <c r="O74" i="4"/>
  <c r="N74" i="4"/>
  <c r="M74" i="4"/>
  <c r="L74" i="4"/>
  <c r="K74" i="4"/>
  <c r="J74" i="4"/>
  <c r="I74" i="4"/>
  <c r="H74" i="4"/>
  <c r="G74" i="4"/>
  <c r="F74" i="4"/>
  <c r="E74" i="4"/>
  <c r="D74" i="4"/>
  <c r="C74" i="4"/>
  <c r="O73" i="4"/>
  <c r="N73" i="4"/>
  <c r="M73" i="4"/>
  <c r="L73" i="4"/>
  <c r="K73" i="4"/>
  <c r="J73" i="4"/>
  <c r="I73" i="4"/>
  <c r="H73" i="4"/>
  <c r="G73" i="4"/>
  <c r="F73" i="4"/>
  <c r="E73" i="4"/>
  <c r="D73" i="4"/>
  <c r="C73" i="4"/>
  <c r="O72" i="4"/>
  <c r="N72" i="4"/>
  <c r="M72" i="4"/>
  <c r="L72" i="4"/>
  <c r="K72" i="4"/>
  <c r="J72" i="4"/>
  <c r="I72" i="4"/>
  <c r="H72" i="4"/>
  <c r="G72" i="4"/>
  <c r="F72" i="4"/>
  <c r="E72" i="4"/>
  <c r="D72" i="4"/>
  <c r="C72" i="4"/>
  <c r="O71" i="4"/>
  <c r="N71" i="4"/>
  <c r="M71" i="4"/>
  <c r="L71" i="4"/>
  <c r="K71" i="4"/>
  <c r="J71" i="4"/>
  <c r="I71" i="4"/>
  <c r="H71" i="4"/>
  <c r="G71" i="4"/>
  <c r="F71" i="4"/>
  <c r="E71" i="4"/>
  <c r="D71" i="4"/>
  <c r="C71" i="4"/>
  <c r="O70" i="4"/>
  <c r="N70" i="4"/>
  <c r="M70" i="4"/>
  <c r="L70" i="4"/>
  <c r="K70" i="4"/>
  <c r="J70" i="4"/>
  <c r="I70" i="4"/>
  <c r="H70" i="4"/>
  <c r="G70" i="4"/>
  <c r="F70" i="4"/>
  <c r="E70" i="4"/>
  <c r="D70" i="4"/>
  <c r="C70" i="4"/>
  <c r="O69" i="4"/>
  <c r="N69" i="4"/>
  <c r="M69" i="4"/>
  <c r="L69" i="4"/>
  <c r="K69" i="4"/>
  <c r="J69" i="4"/>
  <c r="I69" i="4"/>
  <c r="H69" i="4"/>
  <c r="G69" i="4"/>
  <c r="F69" i="4"/>
  <c r="E69" i="4"/>
  <c r="D69" i="4"/>
  <c r="C69" i="4"/>
  <c r="O68" i="4"/>
  <c r="N68" i="4"/>
  <c r="M68" i="4"/>
  <c r="L68" i="4"/>
  <c r="K68" i="4"/>
  <c r="J68" i="4"/>
  <c r="I68" i="4"/>
  <c r="H68" i="4"/>
  <c r="G68" i="4"/>
  <c r="F68" i="4"/>
  <c r="E68" i="4"/>
  <c r="D68" i="4"/>
  <c r="C68" i="4"/>
  <c r="O66" i="4"/>
  <c r="N66" i="4"/>
  <c r="M66" i="4"/>
  <c r="L66" i="4"/>
  <c r="K66" i="4"/>
  <c r="J66" i="4"/>
  <c r="I66" i="4"/>
  <c r="H66" i="4"/>
  <c r="G66" i="4"/>
  <c r="F66" i="4"/>
  <c r="E66" i="4"/>
  <c r="D66" i="4"/>
  <c r="C66" i="4"/>
  <c r="O65" i="4"/>
  <c r="N65" i="4"/>
  <c r="M65" i="4"/>
  <c r="L65" i="4"/>
  <c r="K65" i="4"/>
  <c r="J65" i="4"/>
  <c r="I65" i="4"/>
  <c r="H65" i="4"/>
  <c r="G65" i="4"/>
  <c r="F65" i="4"/>
  <c r="E65" i="4"/>
  <c r="D65" i="4"/>
  <c r="C65" i="4"/>
  <c r="O63" i="4"/>
  <c r="N63" i="4"/>
  <c r="M63" i="4"/>
  <c r="L63" i="4"/>
  <c r="K63" i="4"/>
  <c r="J63" i="4"/>
  <c r="I63" i="4"/>
  <c r="H63" i="4"/>
  <c r="G63" i="4"/>
  <c r="F63" i="4"/>
  <c r="E63" i="4"/>
  <c r="D63" i="4"/>
  <c r="C63" i="4"/>
  <c r="O62" i="4"/>
  <c r="N62" i="4"/>
  <c r="M62" i="4"/>
  <c r="L62" i="4"/>
  <c r="K62" i="4"/>
  <c r="J62" i="4"/>
  <c r="I62" i="4"/>
  <c r="H62" i="4"/>
  <c r="G62" i="4"/>
  <c r="F62" i="4"/>
  <c r="E62" i="4"/>
  <c r="D62" i="4"/>
  <c r="C62" i="4"/>
  <c r="O60" i="4"/>
  <c r="N60" i="4"/>
  <c r="M60" i="4"/>
  <c r="L60" i="4"/>
  <c r="K60" i="4"/>
  <c r="J60" i="4"/>
  <c r="I60" i="4"/>
  <c r="H60" i="4"/>
  <c r="G60" i="4"/>
  <c r="F60" i="4"/>
  <c r="E60" i="4"/>
  <c r="D60" i="4"/>
  <c r="C60" i="4"/>
  <c r="O59" i="4"/>
  <c r="N59" i="4"/>
  <c r="M59" i="4"/>
  <c r="L59" i="4"/>
  <c r="K59" i="4"/>
  <c r="J59" i="4"/>
  <c r="I59" i="4"/>
  <c r="H59" i="4"/>
  <c r="G59" i="4"/>
  <c r="F59" i="4"/>
  <c r="E59" i="4"/>
  <c r="D59" i="4"/>
  <c r="C59" i="4"/>
  <c r="O58" i="4"/>
  <c r="N58" i="4"/>
  <c r="M58" i="4"/>
  <c r="L58" i="4"/>
  <c r="K58" i="4"/>
  <c r="J58" i="4"/>
  <c r="I58" i="4"/>
  <c r="H58" i="4"/>
  <c r="G58" i="4"/>
  <c r="F58" i="4"/>
  <c r="E58" i="4"/>
  <c r="D58" i="4"/>
  <c r="C58" i="4"/>
  <c r="O57" i="4"/>
  <c r="N57" i="4"/>
  <c r="M57" i="4"/>
  <c r="L57" i="4"/>
  <c r="K57" i="4"/>
  <c r="J57" i="4"/>
  <c r="I57" i="4"/>
  <c r="H57" i="4"/>
  <c r="G57" i="4"/>
  <c r="F57" i="4"/>
  <c r="E57" i="4"/>
  <c r="D57" i="4"/>
  <c r="C57" i="4"/>
  <c r="O56" i="4"/>
  <c r="N56" i="4"/>
  <c r="M56" i="4"/>
  <c r="L56" i="4"/>
  <c r="K56" i="4"/>
  <c r="J56" i="4"/>
  <c r="I56" i="4"/>
  <c r="H56" i="4"/>
  <c r="G56" i="4"/>
  <c r="F56" i="4"/>
  <c r="E56" i="4"/>
  <c r="D56" i="4"/>
  <c r="C56" i="4"/>
  <c r="O54" i="4"/>
  <c r="N54" i="4"/>
  <c r="M54" i="4"/>
  <c r="L54" i="4"/>
  <c r="K54" i="4"/>
  <c r="J54" i="4"/>
  <c r="I54" i="4"/>
  <c r="H54" i="4"/>
  <c r="G54" i="4"/>
  <c r="F54" i="4"/>
  <c r="E54" i="4"/>
  <c r="D54" i="4"/>
  <c r="C54" i="4"/>
  <c r="O53" i="4"/>
  <c r="N53" i="4"/>
  <c r="M53" i="4"/>
  <c r="L53" i="4"/>
  <c r="K53" i="4"/>
  <c r="J53" i="4"/>
  <c r="I53" i="4"/>
  <c r="H53" i="4"/>
  <c r="G53" i="4"/>
  <c r="F53" i="4"/>
  <c r="E53" i="4"/>
  <c r="D53" i="4"/>
  <c r="C53" i="4"/>
  <c r="O52" i="4"/>
  <c r="N52" i="4"/>
  <c r="M52" i="4"/>
  <c r="L52" i="4"/>
  <c r="K52" i="4"/>
  <c r="J52" i="4"/>
  <c r="I52" i="4"/>
  <c r="H52" i="4"/>
  <c r="G52" i="4"/>
  <c r="F52" i="4"/>
  <c r="E52" i="4"/>
  <c r="D52" i="4"/>
  <c r="C52" i="4"/>
  <c r="O51" i="4"/>
  <c r="N51" i="4"/>
  <c r="M51" i="4"/>
  <c r="L51" i="4"/>
  <c r="K51" i="4"/>
  <c r="J51" i="4"/>
  <c r="I51" i="4"/>
  <c r="H51" i="4"/>
  <c r="G51" i="4"/>
  <c r="F51" i="4"/>
  <c r="E51" i="4"/>
  <c r="D51" i="4"/>
  <c r="C51" i="4"/>
  <c r="O50" i="4"/>
  <c r="N50" i="4"/>
  <c r="M50" i="4"/>
  <c r="L50" i="4"/>
  <c r="K50" i="4"/>
  <c r="J50" i="4"/>
  <c r="I50" i="4"/>
  <c r="H50" i="4"/>
  <c r="G50" i="4"/>
  <c r="F50" i="4"/>
  <c r="E50" i="4"/>
  <c r="D50" i="4"/>
  <c r="C50" i="4"/>
  <c r="O49" i="4"/>
  <c r="N49" i="4"/>
  <c r="M49" i="4"/>
  <c r="L49" i="4"/>
  <c r="K49" i="4"/>
  <c r="J49" i="4"/>
  <c r="I49" i="4"/>
  <c r="H49" i="4"/>
  <c r="G49" i="4"/>
  <c r="F49" i="4"/>
  <c r="E49" i="4"/>
  <c r="D49" i="4"/>
  <c r="C49" i="4"/>
  <c r="O48" i="4"/>
  <c r="N48" i="4"/>
  <c r="M48" i="4"/>
  <c r="L48" i="4"/>
  <c r="K48" i="4"/>
  <c r="J48" i="4"/>
  <c r="I48" i="4"/>
  <c r="H48" i="4"/>
  <c r="G48" i="4"/>
  <c r="F48" i="4"/>
  <c r="E48" i="4"/>
  <c r="D48" i="4"/>
  <c r="C48" i="4"/>
  <c r="O47" i="4"/>
  <c r="N47" i="4"/>
  <c r="M47" i="4"/>
  <c r="L47" i="4"/>
  <c r="K47" i="4"/>
  <c r="J47" i="4"/>
  <c r="I47" i="4"/>
  <c r="H47" i="4"/>
  <c r="G47" i="4"/>
  <c r="F47" i="4"/>
  <c r="E47" i="4"/>
  <c r="D47" i="4"/>
  <c r="C47" i="4"/>
  <c r="O45" i="4"/>
  <c r="N45" i="4"/>
  <c r="M45" i="4"/>
  <c r="L45" i="4"/>
  <c r="K45" i="4"/>
  <c r="J45" i="4"/>
  <c r="I45" i="4"/>
  <c r="H45" i="4"/>
  <c r="G45" i="4"/>
  <c r="F45" i="4"/>
  <c r="E45" i="4"/>
  <c r="D45" i="4"/>
  <c r="C45" i="4"/>
  <c r="O44" i="4"/>
  <c r="N44" i="4"/>
  <c r="M44" i="4"/>
  <c r="L44" i="4"/>
  <c r="K44" i="4"/>
  <c r="J44" i="4"/>
  <c r="I44" i="4"/>
  <c r="H44" i="4"/>
  <c r="G44" i="4"/>
  <c r="F44" i="4"/>
  <c r="E44" i="4"/>
  <c r="D44" i="4"/>
  <c r="C44" i="4"/>
  <c r="O43" i="4"/>
  <c r="N43" i="4"/>
  <c r="M43" i="4"/>
  <c r="L43" i="4"/>
  <c r="K43" i="4"/>
  <c r="J43" i="4"/>
  <c r="I43" i="4"/>
  <c r="H43" i="4"/>
  <c r="G43" i="4"/>
  <c r="F43" i="4"/>
  <c r="E43" i="4"/>
  <c r="D43" i="4"/>
  <c r="C43" i="4"/>
  <c r="O41" i="4"/>
  <c r="N41" i="4"/>
  <c r="M41" i="4"/>
  <c r="L41" i="4"/>
  <c r="K41" i="4"/>
  <c r="J41" i="4"/>
  <c r="I41" i="4"/>
  <c r="H41" i="4"/>
  <c r="G41" i="4"/>
  <c r="F41" i="4"/>
  <c r="E41" i="4"/>
  <c r="D41" i="4"/>
  <c r="C41" i="4"/>
  <c r="O40" i="4"/>
  <c r="N40" i="4"/>
  <c r="M40" i="4"/>
  <c r="L40" i="4"/>
  <c r="K40" i="4"/>
  <c r="J40" i="4"/>
  <c r="I40" i="4"/>
  <c r="H40" i="4"/>
  <c r="G40" i="4"/>
  <c r="F40" i="4"/>
  <c r="E40" i="4"/>
  <c r="D40" i="4"/>
  <c r="C40" i="4"/>
  <c r="O39" i="4"/>
  <c r="N39" i="4"/>
  <c r="M39" i="4"/>
  <c r="L39" i="4"/>
  <c r="K39" i="4"/>
  <c r="J39" i="4"/>
  <c r="I39" i="4"/>
  <c r="H39" i="4"/>
  <c r="G39" i="4"/>
  <c r="F39" i="4"/>
  <c r="E39" i="4"/>
  <c r="D39" i="4"/>
  <c r="C39" i="4"/>
  <c r="O38" i="4"/>
  <c r="N38" i="4"/>
  <c r="M38" i="4"/>
  <c r="L38" i="4"/>
  <c r="K38" i="4"/>
  <c r="J38" i="4"/>
  <c r="I38" i="4"/>
  <c r="H38" i="4"/>
  <c r="G38" i="4"/>
  <c r="F38" i="4"/>
  <c r="E38" i="4"/>
  <c r="D38" i="4"/>
  <c r="C38" i="4"/>
  <c r="O37" i="4"/>
  <c r="N37" i="4"/>
  <c r="M37" i="4"/>
  <c r="L37" i="4"/>
  <c r="K37" i="4"/>
  <c r="J37" i="4"/>
  <c r="I37" i="4"/>
  <c r="H37" i="4"/>
  <c r="G37" i="4"/>
  <c r="F37" i="4"/>
  <c r="E37" i="4"/>
  <c r="D37" i="4"/>
  <c r="C37" i="4"/>
  <c r="O36" i="4"/>
  <c r="N36" i="4"/>
  <c r="M36" i="4"/>
  <c r="L36" i="4"/>
  <c r="K36" i="4"/>
  <c r="J36" i="4"/>
  <c r="I36" i="4"/>
  <c r="H36" i="4"/>
  <c r="G36" i="4"/>
  <c r="F36" i="4"/>
  <c r="E36" i="4"/>
  <c r="D36" i="4"/>
  <c r="C36" i="4"/>
  <c r="O35" i="4"/>
  <c r="N35" i="4"/>
  <c r="M35" i="4"/>
  <c r="L35" i="4"/>
  <c r="K35" i="4"/>
  <c r="J35" i="4"/>
  <c r="I35" i="4"/>
  <c r="H35" i="4"/>
  <c r="G35" i="4"/>
  <c r="F35" i="4"/>
  <c r="E35" i="4"/>
  <c r="D35" i="4"/>
  <c r="C35" i="4"/>
  <c r="O34" i="4"/>
  <c r="N34" i="4"/>
  <c r="M34" i="4"/>
  <c r="L34" i="4"/>
  <c r="K34" i="4"/>
  <c r="J34" i="4"/>
  <c r="I34" i="4"/>
  <c r="H34" i="4"/>
  <c r="G34" i="4"/>
  <c r="F34" i="4"/>
  <c r="E34" i="4"/>
  <c r="D34" i="4"/>
  <c r="C34" i="4"/>
  <c r="O33" i="4"/>
  <c r="N33" i="4"/>
  <c r="M33" i="4"/>
  <c r="L33" i="4"/>
  <c r="K33" i="4"/>
  <c r="J33" i="4"/>
  <c r="I33" i="4"/>
  <c r="H33" i="4"/>
  <c r="G33" i="4"/>
  <c r="F33" i="4"/>
  <c r="E33" i="4"/>
  <c r="D33" i="4"/>
  <c r="C33" i="4"/>
  <c r="O31" i="4"/>
  <c r="N31" i="4"/>
  <c r="M31" i="4"/>
  <c r="L31" i="4"/>
  <c r="K31" i="4"/>
  <c r="J31" i="4"/>
  <c r="I31" i="4"/>
  <c r="H31" i="4"/>
  <c r="G31" i="4"/>
  <c r="F31" i="4"/>
  <c r="E31" i="4"/>
  <c r="D31" i="4"/>
  <c r="C31" i="4"/>
  <c r="O28" i="4"/>
  <c r="N28" i="4"/>
  <c r="M28" i="4"/>
  <c r="L28" i="4"/>
  <c r="K28" i="4"/>
  <c r="J28" i="4"/>
  <c r="I28" i="4"/>
  <c r="H28" i="4"/>
  <c r="G28" i="4"/>
  <c r="F28" i="4"/>
  <c r="E28" i="4"/>
  <c r="D28" i="4"/>
  <c r="C28" i="4"/>
  <c r="O27" i="4"/>
  <c r="N27" i="4"/>
  <c r="M27" i="4"/>
  <c r="L27" i="4"/>
  <c r="K27" i="4"/>
  <c r="J27" i="4"/>
  <c r="I27" i="4"/>
  <c r="H27" i="4"/>
  <c r="G27" i="4"/>
  <c r="F27" i="4"/>
  <c r="E27" i="4"/>
  <c r="D27" i="4"/>
  <c r="C27" i="4"/>
  <c r="O26" i="4"/>
  <c r="N26" i="4"/>
  <c r="M26" i="4"/>
  <c r="L26" i="4"/>
  <c r="K26" i="4"/>
  <c r="J26" i="4"/>
  <c r="I26" i="4"/>
  <c r="H26" i="4"/>
  <c r="G26" i="4"/>
  <c r="F26" i="4"/>
  <c r="E26" i="4"/>
  <c r="D26" i="4"/>
  <c r="C26" i="4"/>
  <c r="O25" i="4"/>
  <c r="N25" i="4"/>
  <c r="M25" i="4"/>
  <c r="L25" i="4"/>
  <c r="K25" i="4"/>
  <c r="J25" i="4"/>
  <c r="I25" i="4"/>
  <c r="H25" i="4"/>
  <c r="G25" i="4"/>
  <c r="F25" i="4"/>
  <c r="E25" i="4"/>
  <c r="D25" i="4"/>
  <c r="C25" i="4"/>
  <c r="O24" i="4"/>
  <c r="N24" i="4"/>
  <c r="M24" i="4"/>
  <c r="L24" i="4"/>
  <c r="K24" i="4"/>
  <c r="J24" i="4"/>
  <c r="I24" i="4"/>
  <c r="H24" i="4"/>
  <c r="G24" i="4"/>
  <c r="F24" i="4"/>
  <c r="E24" i="4"/>
  <c r="D24" i="4"/>
  <c r="C24" i="4"/>
  <c r="O23" i="4"/>
  <c r="N23" i="4"/>
  <c r="M23" i="4"/>
  <c r="L23" i="4"/>
  <c r="K23" i="4"/>
  <c r="J23" i="4"/>
  <c r="I23" i="4"/>
  <c r="H23" i="4"/>
  <c r="G23" i="4"/>
  <c r="F23" i="4"/>
  <c r="E23" i="4"/>
  <c r="D23" i="4"/>
  <c r="C23" i="4"/>
  <c r="O22" i="4"/>
  <c r="N22" i="4"/>
  <c r="M22" i="4"/>
  <c r="L22" i="4"/>
  <c r="K22" i="4"/>
  <c r="J22" i="4"/>
  <c r="I22" i="4"/>
  <c r="H22" i="4"/>
  <c r="G22" i="4"/>
  <c r="F22" i="4"/>
  <c r="E22" i="4"/>
  <c r="D22" i="4"/>
  <c r="C22" i="4"/>
  <c r="O20" i="4"/>
  <c r="N20" i="4"/>
  <c r="M20" i="4"/>
  <c r="L20" i="4"/>
  <c r="K20" i="4"/>
  <c r="J20" i="4"/>
  <c r="I20" i="4"/>
  <c r="H20" i="4"/>
  <c r="G20" i="4"/>
  <c r="F20" i="4"/>
  <c r="E20" i="4"/>
  <c r="D20" i="4"/>
  <c r="C20" i="4"/>
  <c r="O19" i="4"/>
  <c r="N19" i="4"/>
  <c r="M19" i="4"/>
  <c r="L19" i="4"/>
  <c r="K19" i="4"/>
  <c r="J19" i="4"/>
  <c r="I19" i="4"/>
  <c r="H19" i="4"/>
  <c r="G19" i="4"/>
  <c r="F19" i="4"/>
  <c r="E19" i="4"/>
  <c r="D19" i="4"/>
  <c r="C19" i="4"/>
  <c r="O18" i="4"/>
  <c r="N18" i="4"/>
  <c r="M18" i="4"/>
  <c r="L18" i="4"/>
  <c r="K18" i="4"/>
  <c r="J18" i="4"/>
  <c r="I18" i="4"/>
  <c r="H18" i="4"/>
  <c r="G18" i="4"/>
  <c r="F18" i="4"/>
  <c r="E18" i="4"/>
  <c r="D18" i="4"/>
  <c r="C18" i="4"/>
  <c r="O17" i="4"/>
  <c r="N17" i="4"/>
  <c r="M17" i="4"/>
  <c r="L17" i="4"/>
  <c r="K17" i="4"/>
  <c r="J17" i="4"/>
  <c r="I17" i="4"/>
  <c r="H17" i="4"/>
  <c r="G17" i="4"/>
  <c r="F17" i="4"/>
  <c r="E17" i="4"/>
  <c r="D17" i="4"/>
  <c r="C17" i="4"/>
  <c r="O16" i="4"/>
  <c r="N16" i="4"/>
  <c r="M16" i="4"/>
  <c r="L16" i="4"/>
  <c r="K16" i="4"/>
  <c r="J16" i="4"/>
  <c r="I16" i="4"/>
  <c r="H16" i="4"/>
  <c r="G16" i="4"/>
  <c r="F16" i="4"/>
  <c r="E16" i="4"/>
  <c r="D16" i="4"/>
  <c r="C16" i="4"/>
  <c r="O15" i="4"/>
  <c r="N15" i="4"/>
  <c r="M15" i="4"/>
  <c r="L15" i="4"/>
  <c r="K15" i="4"/>
  <c r="J15" i="4"/>
  <c r="I15" i="4"/>
  <c r="H15" i="4"/>
  <c r="G15" i="4"/>
  <c r="F15" i="4"/>
  <c r="E15" i="4"/>
  <c r="D15" i="4"/>
  <c r="C15" i="4"/>
  <c r="O14" i="4"/>
  <c r="N14" i="4"/>
  <c r="M14" i="4"/>
  <c r="L14" i="4"/>
  <c r="K14" i="4"/>
  <c r="J14" i="4"/>
  <c r="I14" i="4"/>
  <c r="H14" i="4"/>
  <c r="G14" i="4"/>
  <c r="F14" i="4"/>
  <c r="E14" i="4"/>
  <c r="D14" i="4"/>
  <c r="C14" i="4"/>
  <c r="O12" i="4"/>
  <c r="N12" i="4"/>
  <c r="M12" i="4"/>
  <c r="L12" i="4"/>
  <c r="K12" i="4"/>
  <c r="J12" i="4"/>
  <c r="I12" i="4"/>
  <c r="H12" i="4"/>
  <c r="G12" i="4"/>
  <c r="F12" i="4"/>
  <c r="E12" i="4"/>
  <c r="D12" i="4"/>
  <c r="C12" i="4"/>
  <c r="O11" i="4"/>
  <c r="N11" i="4"/>
  <c r="M11" i="4"/>
  <c r="L11" i="4"/>
  <c r="K11" i="4"/>
  <c r="J11" i="4"/>
  <c r="I11" i="4"/>
  <c r="H11" i="4"/>
  <c r="G11" i="4"/>
  <c r="F11" i="4"/>
  <c r="E11" i="4"/>
  <c r="D11" i="4"/>
  <c r="C11" i="4"/>
  <c r="O10" i="4"/>
  <c r="N10" i="4"/>
  <c r="M10" i="4"/>
  <c r="L10" i="4"/>
  <c r="K10" i="4"/>
  <c r="J10" i="4"/>
  <c r="I10" i="4"/>
  <c r="H10" i="4"/>
  <c r="G10" i="4"/>
  <c r="F10" i="4"/>
  <c r="E10" i="4"/>
  <c r="D10" i="4"/>
  <c r="C10" i="4"/>
  <c r="B18" i="1"/>
  <c r="B17" i="1"/>
  <c r="B13" i="1"/>
  <c r="B12" i="1"/>
  <c r="B11" i="1"/>
  <c r="B10" i="1"/>
  <c r="B9" i="1"/>
  <c r="B8" i="1"/>
  <c r="F46" i="73"/>
  <c r="A38" i="1"/>
  <c r="A1" i="100"/>
  <c r="A1" i="99"/>
  <c r="A1" i="98"/>
  <c r="A1" i="97"/>
  <c r="A1" i="94"/>
  <c r="A1" i="93"/>
  <c r="A1" i="92"/>
  <c r="A1" i="91"/>
  <c r="A1" i="90"/>
  <c r="A1" i="89"/>
  <c r="A1" i="88"/>
  <c r="A1" i="87"/>
  <c r="A1" i="86"/>
  <c r="A1" i="85"/>
  <c r="A1" i="84"/>
  <c r="A1" i="83"/>
  <c r="A1" i="82"/>
  <c r="A1" i="80"/>
  <c r="A1" i="79"/>
  <c r="A1" i="78"/>
  <c r="A1" i="77"/>
  <c r="A1" i="76"/>
  <c r="A1" i="75"/>
  <c r="A1" i="73"/>
  <c r="B4" i="4"/>
  <c r="A1" i="72"/>
  <c r="A1" i="4"/>
  <c r="B3" i="71"/>
  <c r="B4" i="71"/>
  <c r="B5" i="71"/>
  <c r="B6" i="71"/>
  <c r="B7" i="71"/>
  <c r="B8" i="71"/>
  <c r="B9" i="71"/>
  <c r="B10" i="71"/>
  <c r="B11" i="71"/>
  <c r="B12" i="71"/>
  <c r="B13" i="71"/>
  <c r="B14" i="71"/>
  <c r="B15" i="71"/>
  <c r="B16" i="71"/>
  <c r="B17" i="71"/>
  <c r="B18" i="71"/>
  <c r="B19" i="71"/>
  <c r="B20" i="71"/>
  <c r="B21" i="71"/>
</calcChain>
</file>

<file path=xl/sharedStrings.xml><?xml version="1.0" encoding="utf-8"?>
<sst xmlns="http://schemas.openxmlformats.org/spreadsheetml/2006/main" count="4912" uniqueCount="3196">
  <si>
    <t>Board of Governors of the Federal Reserve System</t>
  </si>
  <si>
    <t>Federal Deposit Insurance Corporation Office of the Comptroller of the Currency</t>
  </si>
  <si>
    <t>Schedule RI - Income Statement</t>
  </si>
  <si>
    <t>Schedule RI-A - Changes in Bank Equity Capital</t>
  </si>
  <si>
    <t>Schedule RI-B Part I - Charge-offs and Recoveries on Loans and Leases</t>
  </si>
  <si>
    <t>Schedule RI-B Part II - Changes in Allowance for Loan and Lease Losses</t>
  </si>
  <si>
    <t>Schedule RI-C - Disaggregated Data on the Allowance for Loan and Lease Losses</t>
  </si>
  <si>
    <t>Schedule RI-E - Explanations</t>
  </si>
  <si>
    <t>Schedule RC - Balance Sheet</t>
  </si>
  <si>
    <t>Schedule RC-A - Cash and Balances Due From Depository Institutions</t>
  </si>
  <si>
    <t>Schedule RC-B - Securities</t>
  </si>
  <si>
    <t>Schedule RC-C Part I - Loans and Leases</t>
  </si>
  <si>
    <t>Schedule RC-C Part II - Loans to Small Businesses and Small Farms</t>
  </si>
  <si>
    <t>Schedule RC-D - Trading Assets and Liabilities</t>
  </si>
  <si>
    <t>Schedule RC-F - Other Assets</t>
  </si>
  <si>
    <t>Schedule RC-G - Other Liabilities</t>
  </si>
  <si>
    <t>Schedule RC-K - Quarterly Averages</t>
  </si>
  <si>
    <t>Schedule RC-L - Derivatives and Off-Balance Sheet Items</t>
  </si>
  <si>
    <t>Schedule RC-M - Memoranda</t>
  </si>
  <si>
    <t>Schedule RC-N - Past Due and Nonaccrual Loans Leases and Other Assets</t>
  </si>
  <si>
    <t>Schedule RC-O - Other Data for Deposit Insurance and FICO Assessments</t>
  </si>
  <si>
    <t>Schedule RC-P - 1-4 Family Residential Mortgage Banking  Activities</t>
  </si>
  <si>
    <t>Schedule RC-R Part I - Regulatory Capital Components and Ratios</t>
  </si>
  <si>
    <t>Schedule RC-V - Variable Interest Entities</t>
  </si>
  <si>
    <t>Dollar amounts in thousands</t>
  </si>
  <si>
    <t>1. Interest income:</t>
  </si>
  <si>
    <t>a. Interest and fee income on loans:</t>
  </si>
  <si>
    <t>1.a.</t>
  </si>
  <si>
    <t>1. Loans secured by real estate:</t>
  </si>
  <si>
    <t>1.a.1.</t>
  </si>
  <si>
    <t>a. Loans secured by 1-4 family residential properties</t>
  </si>
  <si>
    <t>RIAD4435</t>
  </si>
  <si>
    <t>1.a.1.a.</t>
  </si>
  <si>
    <t>b. All other loans secured by real estate</t>
  </si>
  <si>
    <t>RIAD4436</t>
  </si>
  <si>
    <t>1.a.1.b.</t>
  </si>
  <si>
    <t>2. Commercial and industrial loans</t>
  </si>
  <si>
    <t>RIAD4012</t>
  </si>
  <si>
    <t>1.a.2.</t>
  </si>
  <si>
    <t>3. Loans to individuals for household, family, and other personal expenditures:</t>
  </si>
  <si>
    <t>1.a.3.</t>
  </si>
  <si>
    <t>a. Credit cards</t>
  </si>
  <si>
    <t>RIADB485</t>
  </si>
  <si>
    <t>1.a.3.a.</t>
  </si>
  <si>
    <t>RIADB486</t>
  </si>
  <si>
    <t>1.a.3.b.</t>
  </si>
  <si>
    <t>4. Loans to foreign governments and official institutions</t>
  </si>
  <si>
    <t>RIAD4056</t>
  </si>
  <si>
    <t>1.a.4.</t>
  </si>
  <si>
    <t>5. All other loans</t>
  </si>
  <si>
    <t>RIAD4058</t>
  </si>
  <si>
    <t>1.a.5.</t>
  </si>
  <si>
    <t>6. Total interest and fee income on loans (sum of items 1.a.(1)(a) through 1.a.(5))</t>
  </si>
  <si>
    <t>RIAD4010</t>
  </si>
  <si>
    <t>1.a.6.</t>
  </si>
  <si>
    <t>b. Income from lease financing receivables</t>
  </si>
  <si>
    <t>RIAD4065</t>
  </si>
  <si>
    <t>1.b.</t>
  </si>
  <si>
    <t>c. Interest income on balances due from depository institutions</t>
  </si>
  <si>
    <t>RIAD4115</t>
  </si>
  <si>
    <t>1.c.</t>
  </si>
  <si>
    <t>d. Interest and dividend income on securities:</t>
  </si>
  <si>
    <t>1.d.</t>
  </si>
  <si>
    <t>1. U.S. Treasury securities and U.S. Government agency obligations (excluding mortgage-backed securities).</t>
  </si>
  <si>
    <t>RIADB488</t>
  </si>
  <si>
    <t>1.d.1.</t>
  </si>
  <si>
    <t>2. Mortgage-backed securities</t>
  </si>
  <si>
    <t>RIADB489</t>
  </si>
  <si>
    <t>1.d.2.</t>
  </si>
  <si>
    <t>3. All other securities (includes securities issued by states and political subdivisions in the U.S.)</t>
  </si>
  <si>
    <t>RIAD4060</t>
  </si>
  <si>
    <t>1.d.3.</t>
  </si>
  <si>
    <t>e. Interest income from trading assets</t>
  </si>
  <si>
    <t>RIAD4069</t>
  </si>
  <si>
    <t>1.e.</t>
  </si>
  <si>
    <t>f. Interest income on federal funds sold and securities purchased under agreements to resell</t>
  </si>
  <si>
    <t>RIAD4020</t>
  </si>
  <si>
    <t>1.f.</t>
  </si>
  <si>
    <t>g. Other interest income</t>
  </si>
  <si>
    <t>RIAD4518</t>
  </si>
  <si>
    <t>1.g.</t>
  </si>
  <si>
    <t>h. Total interest income (sum of items 1.a.(6) through 1.g)</t>
  </si>
  <si>
    <t>RIAD4107</t>
  </si>
  <si>
    <t>1.h.</t>
  </si>
  <si>
    <t>2. Interest expense:</t>
  </si>
  <si>
    <t>a. Interest on deposits:</t>
  </si>
  <si>
    <t>2.a.</t>
  </si>
  <si>
    <t>RIAD4508</t>
  </si>
  <si>
    <t>2.a.1.</t>
  </si>
  <si>
    <t>2. Nontransaction accounts:</t>
  </si>
  <si>
    <t>2.a.2.</t>
  </si>
  <si>
    <t>a. Savings deposits (includes MMDAs)</t>
  </si>
  <si>
    <t>RIAD0093</t>
  </si>
  <si>
    <t>2.a.2.a.</t>
  </si>
  <si>
    <t>b. Time deposits of $100,000 or more</t>
  </si>
  <si>
    <t>RIADA517</t>
  </si>
  <si>
    <t>2.a.2.b.</t>
  </si>
  <si>
    <t>c. Time deposits of less than $100,000</t>
  </si>
  <si>
    <t>RIADA518</t>
  </si>
  <si>
    <t>2.a.2.c.</t>
  </si>
  <si>
    <t>b. Expense of federal funds purchased and securities sold under agreements to repurchase</t>
  </si>
  <si>
    <t>RIAD4180</t>
  </si>
  <si>
    <t>2.b.</t>
  </si>
  <si>
    <t>c. Interest on trading liabilities and other borrowed money</t>
  </si>
  <si>
    <t>RIAD4185</t>
  </si>
  <si>
    <t>2.c.</t>
  </si>
  <si>
    <t>d. Interest on subordinated notes and debentures</t>
  </si>
  <si>
    <t>RIAD4200</t>
  </si>
  <si>
    <t>2.d.</t>
  </si>
  <si>
    <t>e. Total interest expense (sum of items 2.a through 2.d)</t>
  </si>
  <si>
    <t>RIAD4073</t>
  </si>
  <si>
    <t>2.e.</t>
  </si>
  <si>
    <t>3. Net interest income (item 1.h minus 2.e)</t>
  </si>
  <si>
    <t>RIAD4074</t>
  </si>
  <si>
    <t>4. Provision for loan and lease losses</t>
  </si>
  <si>
    <t>RIAD4230</t>
  </si>
  <si>
    <t>5. Noninterest income:</t>
  </si>
  <si>
    <t>a. Income from fiduciary activities</t>
  </si>
  <si>
    <t>RIAD4070</t>
  </si>
  <si>
    <t>5.a.</t>
  </si>
  <si>
    <t>b. Service charges on deposit accounts</t>
  </si>
  <si>
    <t>RIAD4080</t>
  </si>
  <si>
    <t>5.b.</t>
  </si>
  <si>
    <t>c. Trading revenue</t>
  </si>
  <si>
    <t>RIADA220</t>
  </si>
  <si>
    <t>5.c.</t>
  </si>
  <si>
    <t>d. Not available</t>
  </si>
  <si>
    <t>5.d.</t>
  </si>
  <si>
    <t>1. Fees and commissions from securities brokerage</t>
  </si>
  <si>
    <t>RIADC886</t>
  </si>
  <si>
    <t>5.d.1.</t>
  </si>
  <si>
    <t>2. Investment banking, advisory, and underwriting fees and commissions</t>
  </si>
  <si>
    <t>RIADC888</t>
  </si>
  <si>
    <t>5.d.2.</t>
  </si>
  <si>
    <t>3. Fees and commissions from annuity sales</t>
  </si>
  <si>
    <t>RIADC887</t>
  </si>
  <si>
    <t>5.d.3.</t>
  </si>
  <si>
    <t>4. Underwriting income from insurance and reinsurance activities</t>
  </si>
  <si>
    <t>RIADC386</t>
  </si>
  <si>
    <t>5.d.4.</t>
  </si>
  <si>
    <t>5. Income from other insurance activities</t>
  </si>
  <si>
    <t>RIADC387</t>
  </si>
  <si>
    <t>5.d.5.</t>
  </si>
  <si>
    <t>e. Venture capital revenue</t>
  </si>
  <si>
    <t>RIADB491</t>
  </si>
  <si>
    <t>5.e.</t>
  </si>
  <si>
    <t>f. Net servicing fees</t>
  </si>
  <si>
    <t>RIADB492</t>
  </si>
  <si>
    <t>5.f.</t>
  </si>
  <si>
    <t>g. Net securitization income</t>
  </si>
  <si>
    <t>RIADB493</t>
  </si>
  <si>
    <t>5.g.</t>
  </si>
  <si>
    <t>h. Not applicable</t>
  </si>
  <si>
    <t>5.h.</t>
  </si>
  <si>
    <t>i. Net gains (losses) on sales of loans and leases</t>
  </si>
  <si>
    <t>RIAD5416</t>
  </si>
  <si>
    <t>5.i.</t>
  </si>
  <si>
    <t>j. Net gains (losses) on sales of other real estate owned</t>
  </si>
  <si>
    <t>RIAD5415</t>
  </si>
  <si>
    <t>5.j.</t>
  </si>
  <si>
    <t>k. Net gains (losses) on sales of other assets (excluding securities)</t>
  </si>
  <si>
    <t>RIADB496</t>
  </si>
  <si>
    <t>5.k.</t>
  </si>
  <si>
    <t>l. Other noninterest income</t>
  </si>
  <si>
    <t>RIADB497</t>
  </si>
  <si>
    <t>5.l.</t>
  </si>
  <si>
    <t>m. Total noninterest income (sum of items 5.a through 5.l)</t>
  </si>
  <si>
    <t>RIAD4079</t>
  </si>
  <si>
    <t>5.m.</t>
  </si>
  <si>
    <t>6. Not available</t>
  </si>
  <si>
    <t>a. Realized gains (losses) on held-to-maturity securities</t>
  </si>
  <si>
    <t>RIAD3521</t>
  </si>
  <si>
    <t>6.a.</t>
  </si>
  <si>
    <t>b. Realized gains (losses) on available-for-sale securities</t>
  </si>
  <si>
    <t>RIAD3196</t>
  </si>
  <si>
    <t>6.b.</t>
  </si>
  <si>
    <t>7. Noninterest expense:</t>
  </si>
  <si>
    <t>a. Salaries and employee benefits</t>
  </si>
  <si>
    <t>RIAD4135</t>
  </si>
  <si>
    <t>7.a.</t>
  </si>
  <si>
    <t>RIAD4217</t>
  </si>
  <si>
    <t>7.b.</t>
  </si>
  <si>
    <t>c. Not available</t>
  </si>
  <si>
    <t>7.c.</t>
  </si>
  <si>
    <t>1. Goodwill impairment losses</t>
  </si>
  <si>
    <t>RIADC216</t>
  </si>
  <si>
    <t>7.c.1.</t>
  </si>
  <si>
    <t>2. Amortization expense and impairment losses for other intangible assets</t>
  </si>
  <si>
    <t>RIADC232</t>
  </si>
  <si>
    <t>7.c.2.</t>
  </si>
  <si>
    <t>d. Other noninterest expense</t>
  </si>
  <si>
    <t>RIAD4092</t>
  </si>
  <si>
    <t>7.d.</t>
  </si>
  <si>
    <t>e. Total noninterest expense (sum of items 7.a through 7.d)</t>
  </si>
  <si>
    <t>RIAD4093</t>
  </si>
  <si>
    <t>7.e.</t>
  </si>
  <si>
    <t>RIAD4301</t>
  </si>
  <si>
    <t>9. Applicable income taxes (on item 8)</t>
  </si>
  <si>
    <t>RIAD4302</t>
  </si>
  <si>
    <t>10. Income (loss) before extraordinary items and other adjustments (item 8 minus item 9)</t>
  </si>
  <si>
    <t>RIAD4300</t>
  </si>
  <si>
    <t>11. Extraordinary items and other adjustments, net of income taxes</t>
  </si>
  <si>
    <t>RIAD4320</t>
  </si>
  <si>
    <t>12. Net income (loss) attributable to bank and noncontrolling (minority) interests (sum of items 10 and 11)</t>
  </si>
  <si>
    <t>RIADG104</t>
  </si>
  <si>
    <t>RIADG103</t>
  </si>
  <si>
    <t>14. Net income (loss) attributable to bank (item 12 minus item 13)</t>
  </si>
  <si>
    <t>RIAD4340</t>
  </si>
  <si>
    <t>Memoranda</t>
  </si>
  <si>
    <t>RIAD4513</t>
  </si>
  <si>
    <t>M.1.</t>
  </si>
  <si>
    <t>2. Income from the sale and servicing of mutual funds and annuities (included in Schedule RI, item 8)</t>
  </si>
  <si>
    <t>RIAD8431</t>
  </si>
  <si>
    <t>M.2.</t>
  </si>
  <si>
    <t>RIAD4313</t>
  </si>
  <si>
    <t>M.3.</t>
  </si>
  <si>
    <t>RIAD4507</t>
  </si>
  <si>
    <t>M.4.</t>
  </si>
  <si>
    <t>5. Number of full-time equivalent employees at end of current period (round to nearest whole number)</t>
  </si>
  <si>
    <t>RIAD4150</t>
  </si>
  <si>
    <t>M.5.</t>
  </si>
  <si>
    <t>RIAD4024</t>
  </si>
  <si>
    <t>M.6.</t>
  </si>
  <si>
    <t>RIAD9106</t>
  </si>
  <si>
    <t>M.7.</t>
  </si>
  <si>
    <t>M.8.</t>
  </si>
  <si>
    <t>a. Interest rate exposures</t>
  </si>
  <si>
    <t>RIAD8757</t>
  </si>
  <si>
    <t>M.8.a.</t>
  </si>
  <si>
    <t>b. Foreign exchange exposures</t>
  </si>
  <si>
    <t>RIAD8758</t>
  </si>
  <si>
    <t>M.8.b.</t>
  </si>
  <si>
    <t>c. Equity security and index exposures</t>
  </si>
  <si>
    <t>RIAD8759</t>
  </si>
  <si>
    <t>M.8.c.</t>
  </si>
  <si>
    <t>d. Commodity and other exposures</t>
  </si>
  <si>
    <t>RIAD8760</t>
  </si>
  <si>
    <t>M.8.d.</t>
  </si>
  <si>
    <t>e. Credit exposures</t>
  </si>
  <si>
    <t>RIADF186</t>
  </si>
  <si>
    <t>M.8.e.</t>
  </si>
  <si>
    <t>RIADK090</t>
  </si>
  <si>
    <t>M.8.f.</t>
  </si>
  <si>
    <t>RIADK094</t>
  </si>
  <si>
    <t>M.8.g.</t>
  </si>
  <si>
    <t>M.9.</t>
  </si>
  <si>
    <t>a. Net gains (losses) on credit derivatives held for trading</t>
  </si>
  <si>
    <t>RIADC889</t>
  </si>
  <si>
    <t>M.9.a.</t>
  </si>
  <si>
    <t>b. Net gains (losses) on credit derivatives held for purposes other than trading</t>
  </si>
  <si>
    <t>RIADC890</t>
  </si>
  <si>
    <t>M.9.b.</t>
  </si>
  <si>
    <t>10. Credit losses on derivatives (see instructions)</t>
  </si>
  <si>
    <t>RIADA251</t>
  </si>
  <si>
    <t>M.10.</t>
  </si>
  <si>
    <t>RIADA530</t>
  </si>
  <si>
    <t>M.11.</t>
  </si>
  <si>
    <t>RIADF228</t>
  </si>
  <si>
    <t>M.12.</t>
  </si>
  <si>
    <t>M.13.</t>
  </si>
  <si>
    <t>a. Net gains (losses) on assets</t>
  </si>
  <si>
    <t>RIADF551</t>
  </si>
  <si>
    <t>M.13.a.</t>
  </si>
  <si>
    <t>1. Estimated net gains (losses) on loans attributable to changes in instrument-specific credit risk</t>
  </si>
  <si>
    <t>RIADF552</t>
  </si>
  <si>
    <t>M.13.a.1.</t>
  </si>
  <si>
    <t>b. Net gains (losses) on liabilities</t>
  </si>
  <si>
    <t>RIADF553</t>
  </si>
  <si>
    <t>M.13.b.</t>
  </si>
  <si>
    <t>1. Estimated net gains (losses) on liabilities attributable to changes in instrument-specific credit risk</t>
  </si>
  <si>
    <t>RIADF554</t>
  </si>
  <si>
    <t>M.13.b.1.</t>
  </si>
  <si>
    <t>14. Other-than-temporary impairment losses on held-to-maturity and available-for-sale debt securities:</t>
  </si>
  <si>
    <t>M.14.</t>
  </si>
  <si>
    <t>a. Total other-than-temporary impairment losses</t>
  </si>
  <si>
    <t>RIADJ319</t>
  </si>
  <si>
    <t>M.14.a.</t>
  </si>
  <si>
    <t>b. Portion of losses recognized in other comprehensive income (before income taxes)</t>
  </si>
  <si>
    <t>RIADJ320</t>
  </si>
  <si>
    <t>M.14.b.</t>
  </si>
  <si>
    <t>RIADJ321</t>
  </si>
  <si>
    <t>M.14.c.</t>
  </si>
  <si>
    <t>M.15.</t>
  </si>
  <si>
    <t>RIADH032</t>
  </si>
  <si>
    <t>M.15.a.</t>
  </si>
  <si>
    <t>RIADH033</t>
  </si>
  <si>
    <t>M.15.b.</t>
  </si>
  <si>
    <t>RIADH034</t>
  </si>
  <si>
    <t>M.15.c.</t>
  </si>
  <si>
    <t>d. All other service charges on deposit accounts</t>
  </si>
  <si>
    <t>RIADH035</t>
  </si>
  <si>
    <t>M.15.d.</t>
  </si>
  <si>
    <t>b. Other (includes revolving credit plans other than credit cards, automobile loans, and other consumer loans)</t>
  </si>
  <si>
    <t>13. LESS: Net income (loss) attributable to noncontrolling (minority) interests (if net income, report as a positive value; if net loss, report as a negative value)</t>
  </si>
  <si>
    <t>8. Income (loss) before income taxes and extraordinary items and other adjustments (item 3 plus or minus items 4, 5.m, 6.a, 6.b, and 7.e)</t>
  </si>
  <si>
    <t>b. Expenses of premises and fixed assets (net of rental income) (excluding salaries and employee benefits and mortgage interest)</t>
  </si>
  <si>
    <t>1. Interest expense incurred to carry tax-exempt securities, loans, and leases acquired after August 7, 1986, that is not deductible for federal income tax purposes</t>
  </si>
  <si>
    <t>3. Income on tax-exempt loans and leases to states and political subdivisions in the U.S. (included in Schedule RI, items 1.a and 1.b)</t>
  </si>
  <si>
    <t>4. Income on tax-exempt securities issued by states and political subdivisions in the U.S. (included in Schedule RI, item 1.d.(3))</t>
  </si>
  <si>
    <t>6. Interest and fee income on loans to finance agricultural production and other loans to farmers (included in Schedule RI, item 1.a.(5))</t>
  </si>
  <si>
    <t>7. If the reporting institution has applied pushdown accounting this calendar year, report the date of the institution'sacquisition (see instructions)</t>
  </si>
  <si>
    <t>8. Trading revenue (from cash instruments and derivative instruments) (sum of Memorandum items 8.a through 8.e must equal Schedule RI, item 5.c):</t>
  </si>
  <si>
    <t>f. Impact on trading revenue of changes in the creditworthiness of the bank's derivatives counterparties on the bank's derivative assets (included in Memorandum items 8.a through 8.e above)</t>
  </si>
  <si>
    <t>g. Impact on trading revenue of changes in the creditworthiness of the bank on the bank's derivative liabilities (included in Memorandum items 8.a through 8.e above)</t>
  </si>
  <si>
    <t>9. Net gains (losses) recognized in earnings on credit derivatives that economically hedge credit exposures held outside the trading account:</t>
  </si>
  <si>
    <t>11. Does the reporting bank have a Subchapter S election in effect for federal income tax purposes for the current tax year?</t>
  </si>
  <si>
    <t>12. Noncash income from negative amortization on closed-end loans secured by 1-4 family residential properties (included in Schedule RI, item 1.a.(1)(a))</t>
  </si>
  <si>
    <t>13. Net gains (losses) recognized in earnings on assets and liabilities that are reported at fair value under a fair value option:</t>
  </si>
  <si>
    <t>15. Components of service charges on deposit accounts in domestic offices (sum of Memorandum items 15.a through 15.d must equal Schedule RI, item 5.b):</t>
  </si>
  <si>
    <t>c. Net impairment losses recognized in earnings (included in Schedule RI, items 6.a and 6.b) (Memorandum item 14.a minus Memorandum item 14.b)</t>
  </si>
  <si>
    <t>a. Consumer overdraft-related service charges levied on those transaction account and nontransaction savings account deposit products intended primarily for individuals for personal, household, or family use</t>
  </si>
  <si>
    <t>b. Consumer account periodic maintenance charges levied on those transaction account and nontransaction savings account deposit products intended primarily for individuals for personal, household, or family use</t>
  </si>
  <si>
    <t>c. Consumer customer automated teller machine (ATM) fees levied on those transaction account and nontransaction savings account deposit products intended primarily for individuals for personal, household, or family use</t>
  </si>
  <si>
    <t>Fiscal Year</t>
  </si>
  <si>
    <t>Fiscal Period</t>
  </si>
  <si>
    <t>Fiscal Period Type</t>
  </si>
  <si>
    <t>FY</t>
  </si>
  <si>
    <t>YTD</t>
  </si>
  <si>
    <t>sequences</t>
  </si>
  <si>
    <t>Fundamental Sequence</t>
  </si>
  <si>
    <t>Federal Financial Institutions Examination Council</t>
  </si>
  <si>
    <t>Institution Name</t>
  </si>
  <si>
    <t>City</t>
  </si>
  <si>
    <t>State</t>
  </si>
  <si>
    <t>Zip Code</t>
  </si>
  <si>
    <t>FDIC Certificate Number</t>
  </si>
  <si>
    <t>Table of Contents</t>
  </si>
  <si>
    <t>fiscal_period_types</t>
  </si>
  <si>
    <t>RIAD3217</t>
  </si>
  <si>
    <t>2. Cumulative effect of changes in accounting principles and corrections of material accounting errors</t>
  </si>
  <si>
    <t>RIADB507</t>
  </si>
  <si>
    <t>3. Balance end of previous calendar year as restated (sum of items 1 and 2)</t>
  </si>
  <si>
    <t>RIADB508</t>
  </si>
  <si>
    <t>4. Net income (loss) attributable to bank (must equal Schedule RI, item 14)</t>
  </si>
  <si>
    <t>5. Sale, conversion, acquisition, or retirement of capital stock, net (excluding treasury stock transactions)</t>
  </si>
  <si>
    <t>RIADB509</t>
  </si>
  <si>
    <t>6. Treasury stock transactions, net</t>
  </si>
  <si>
    <t>RIADB510</t>
  </si>
  <si>
    <t>7. Changes incident to business combinations, net</t>
  </si>
  <si>
    <t>RIAD4356</t>
  </si>
  <si>
    <t>8. LESS: Cash dividends declared on preferred stock</t>
  </si>
  <si>
    <t>RIAD4470</t>
  </si>
  <si>
    <t>9. LESS: Cash dividends declared on common stock</t>
  </si>
  <si>
    <t>RIAD4460</t>
  </si>
  <si>
    <t>10. Other comprehensive income</t>
  </si>
  <si>
    <t>RIADB511</t>
  </si>
  <si>
    <t>RIAD4415</t>
  </si>
  <si>
    <t>RIAD3210</t>
  </si>
  <si>
    <t>(Column A) Charge-offs</t>
  </si>
  <si>
    <t>(Column B) Recoveries Calendar</t>
  </si>
  <si>
    <t>Calendar year-to-date</t>
  </si>
  <si>
    <t>year-to-date</t>
  </si>
  <si>
    <t>a. Construction, land development, and other land loans:</t>
  </si>
  <si>
    <t>1. 1-4 family residential construction loans</t>
  </si>
  <si>
    <t>2. Other construction loans and all land development and other land loans</t>
  </si>
  <si>
    <t>RIADC893</t>
  </si>
  <si>
    <t>RIADC894</t>
  </si>
  <si>
    <t>b. Secured by farmland</t>
  </si>
  <si>
    <t>RIAD3584</t>
  </si>
  <si>
    <t>RIAD3585</t>
  </si>
  <si>
    <t>c. Secured by 1-4 family residential properties:</t>
  </si>
  <si>
    <t>RIAD5411</t>
  </si>
  <si>
    <t>RIAD5412</t>
  </si>
  <si>
    <t>1.c.1.</t>
  </si>
  <si>
    <t>2. Closed-end loans secured by 1-4 family residential properties:</t>
  </si>
  <si>
    <t>1.c.2.</t>
  </si>
  <si>
    <t>a. Secured by first liens</t>
  </si>
  <si>
    <t>RIADC234</t>
  </si>
  <si>
    <t>RIADC217</t>
  </si>
  <si>
    <t>1.c.2.a.</t>
  </si>
  <si>
    <t>b. Secured by junior liens</t>
  </si>
  <si>
    <t>RIADC235</t>
  </si>
  <si>
    <t>RIADC218</t>
  </si>
  <si>
    <t>1.c.2.b.</t>
  </si>
  <si>
    <t>d. Secured by multifamily (5 or more) residential properties</t>
  </si>
  <si>
    <t>RIAD3588</t>
  </si>
  <si>
    <t>RIAD3589</t>
  </si>
  <si>
    <t>e. Secured by nonfarm nonresidential properties:</t>
  </si>
  <si>
    <t>1. Loans secured by owner-occupied nonfarm nonresidential properties</t>
  </si>
  <si>
    <t>RIADC895</t>
  </si>
  <si>
    <t>RIADC896</t>
  </si>
  <si>
    <t>1.e.1.</t>
  </si>
  <si>
    <t>2. Loans secured by other nonfarm nonresidential properties</t>
  </si>
  <si>
    <t>RIADC897</t>
  </si>
  <si>
    <t>RIADC898</t>
  </si>
  <si>
    <t>1.e.2.</t>
  </si>
  <si>
    <t>2. Loans to depository institutions and acceptances of other banks</t>
  </si>
  <si>
    <t>RIAD4481</t>
  </si>
  <si>
    <t>RIAD4482</t>
  </si>
  <si>
    <t>4. Commercial and industrial loans</t>
  </si>
  <si>
    <t>5. Loans to individuals for household, family, and other personal expenditures:</t>
  </si>
  <si>
    <t>RIADB514</t>
  </si>
  <si>
    <t>RIADB515</t>
  </si>
  <si>
    <t>b. Automobile loans</t>
  </si>
  <si>
    <t>RIADK129</t>
  </si>
  <si>
    <t>RIADK133</t>
  </si>
  <si>
    <t>RIADK205</t>
  </si>
  <si>
    <t>RIADK206</t>
  </si>
  <si>
    <t>6. Loans to foreign governments and official institutions</t>
  </si>
  <si>
    <t>RIAD4643</t>
  </si>
  <si>
    <t>RIAD4627</t>
  </si>
  <si>
    <t>7. All other loans</t>
  </si>
  <si>
    <t>RIAD4644</t>
  </si>
  <si>
    <t>RIAD4628</t>
  </si>
  <si>
    <t>8. Lease financing receivables</t>
  </si>
  <si>
    <t>RIAD4266</t>
  </si>
  <si>
    <t>RIAD4267</t>
  </si>
  <si>
    <t>RIAD4635</t>
  </si>
  <si>
    <t>RIAD4605</t>
  </si>
  <si>
    <t>RIAD5409</t>
  </si>
  <si>
    <t>RIAD5410</t>
  </si>
  <si>
    <t>2. Not available</t>
  </si>
  <si>
    <t>RIAD4652</t>
  </si>
  <si>
    <t>RIAD4662</t>
  </si>
  <si>
    <t>M.2.a.</t>
  </si>
  <si>
    <t>RIAD4654</t>
  </si>
  <si>
    <t>RIAD4664</t>
  </si>
  <si>
    <t>M.2.b.</t>
  </si>
  <si>
    <t>RIAD4646</t>
  </si>
  <si>
    <t>RIAD4618</t>
  </si>
  <si>
    <t>M.2.c.</t>
  </si>
  <si>
    <t>RIADF185</t>
  </si>
  <si>
    <t>RIADF187</t>
  </si>
  <si>
    <t>M.2.d.</t>
  </si>
  <si>
    <t>RIAD4655</t>
  </si>
  <si>
    <t>RIAD4665</t>
  </si>
  <si>
    <t>1. Total bank equity capital most recently reported for the December 31, 2014, Reports of Condition and Income (i.e., after adjustments from amended Reports of Income)</t>
  </si>
  <si>
    <t>11. Other transactions with stockholders (including a parent holding company) (not included in items 5, 6, 8, or 9 above)</t>
  </si>
  <si>
    <t xml:space="preserve">12. Total bank equity capital end of current period (sum of items 3 through 11) (must equal Schedule RC, item 27.a).. </t>
  </si>
  <si>
    <t>1. Transaction accounts (interest-bearing demand deposits, NOW accounts, ATS accounts, and telephone and preauthorized transfer accounts)</t>
  </si>
  <si>
    <t>statement_code</t>
  </si>
  <si>
    <t>RI</t>
  </si>
  <si>
    <t>Total Branch</t>
  </si>
  <si>
    <t>RIA</t>
  </si>
  <si>
    <t>1. Revolving, open-end loans secured by 1-4 family residential properties and extended under lines of credit</t>
  </si>
  <si>
    <t>c. Other (includes revolving credit plans other than credit cards and other consumer loans)</t>
  </si>
  <si>
    <t>9. Total (sum of items 1 through 8) Memoranda</t>
  </si>
  <si>
    <t>1. Loans to finance commercial real estate, construction, and land development activities (not secured by real estate) included in Schedule RI-B, part I, items 4 and 7, above</t>
  </si>
  <si>
    <t>a. Loans secured by real estate to non-U.S. addressees (domicile) (included in Schedule RI-B, part I, item 1, above)</t>
  </si>
  <si>
    <t>b. Loans to and acceptances of foreign banks (included in Schedule RI-B, part I, item 2, above)</t>
  </si>
  <si>
    <t>c. Commercial and industrial loans to non-U.S. addressees (domicile) (included in Schedule RI-B, part I, item 4, above)</t>
  </si>
  <si>
    <t>d. Leases to individuals for household, family, and other personal expenditures (included in Schedule RI-B, part I, item 8, above)</t>
  </si>
  <si>
    <t>3. Loans to finance agricultural production and other loans to farmers (included in Schedule RI-B, part I, item 7, above)</t>
  </si>
  <si>
    <t>RIBI</t>
  </si>
  <si>
    <t>RIADC388</t>
  </si>
  <si>
    <t>4. Uncollectible retail credit card fees and finance charges reversed against income (i.e., not included in charge-offs against the allowance for loan and lease losses)</t>
  </si>
  <si>
    <t>RIADB522</t>
  </si>
  <si>
    <t>2. Recoveries (must equal part I, item 9, column B, above)</t>
  </si>
  <si>
    <t>3. LESS: Charge-offs (must equal part I, item 9, column A, above less Schedule RI-B, part II, item 4)</t>
  </si>
  <si>
    <t>RIADC079</t>
  </si>
  <si>
    <t>4. LESS: Write-downs arising from transfers of loans to a held-for-sale account</t>
  </si>
  <si>
    <t>RIAD5523</t>
  </si>
  <si>
    <t>5. Provision for loan and lease losses (must equal Schedule RI, item 4)</t>
  </si>
  <si>
    <t>6. Adjustments (see instructions for this schedule)</t>
  </si>
  <si>
    <t>RIADC233</t>
  </si>
  <si>
    <t>RIAD3123</t>
  </si>
  <si>
    <t>1. Allocated transfer risk reserve included in Schedule RI-B, part II, item 7, above</t>
  </si>
  <si>
    <t>RIADC435</t>
  </si>
  <si>
    <t>2. Separate valuation allowance for uncollectible retail credit card fees and finance charges</t>
  </si>
  <si>
    <t>RIADC389</t>
  </si>
  <si>
    <t>3. Amount of allowance for loan and lease losses attributable to retail credit card fees and finance charges</t>
  </si>
  <si>
    <t>RIADC390</t>
  </si>
  <si>
    <t>RIADC781</t>
  </si>
  <si>
    <t>7. Balance end of current period (sum of items 1, 2, 5, and 6, less items 3 and 4) (must equal Schedule RC, item 4.c)</t>
  </si>
  <si>
    <t>1. Balance most recently reported for the December 31, 2014, Reports of Condition and Income (i.e., after adjustments from amended Reports of Income)</t>
  </si>
  <si>
    <t>RIBII</t>
  </si>
  <si>
    <t>4. Amount of allowance for post-acquisition credit losses on purchased credit-impaired loans accounted for in accordance with FASB ASC 310-30 (former AICPA Statement of Position 03-3) (included in Schedule RI-B, Part II, item 7, above).</t>
  </si>
  <si>
    <t>(Column A)</t>
  </si>
  <si>
    <t>(Column B)</t>
  </si>
  <si>
    <t>(Column C)</t>
  </si>
  <si>
    <t>(Column D)</t>
  </si>
  <si>
    <t>(Column E)</t>
  </si>
  <si>
    <t>(Column F)</t>
  </si>
  <si>
    <t>Recorded</t>
  </si>
  <si>
    <t>Allowance Balance:</t>
  </si>
  <si>
    <t>Investment:</t>
  </si>
  <si>
    <t>Individually</t>
  </si>
  <si>
    <t>Collectively</t>
  </si>
  <si>
    <t>Purchased</t>
  </si>
  <si>
    <t>Evaluated for</t>
  </si>
  <si>
    <t>Credit-Impaired</t>
  </si>
  <si>
    <t>Impairment and</t>
  </si>
  <si>
    <t>Impairment (ASC</t>
  </si>
  <si>
    <t>Loans (ASC 310-30)</t>
  </si>
  <si>
    <t>Determined to be</t>
  </si>
  <si>
    <t>450-20)</t>
  </si>
  <si>
    <t>Impaired (ASC</t>
  </si>
  <si>
    <t>310-10-35)</t>
  </si>
  <si>
    <t>1. Real estate loans:</t>
  </si>
  <si>
    <t>RCONM708</t>
  </si>
  <si>
    <t>RCONM709</t>
  </si>
  <si>
    <t>RCONM710</t>
  </si>
  <si>
    <t>RCONM711</t>
  </si>
  <si>
    <t>RCONM712</t>
  </si>
  <si>
    <t>RCONM713</t>
  </si>
  <si>
    <t>a. Construction loans</t>
  </si>
  <si>
    <t>RCONM714</t>
  </si>
  <si>
    <t>RCONM715</t>
  </si>
  <si>
    <t>RCONM716</t>
  </si>
  <si>
    <t>RCONM717</t>
  </si>
  <si>
    <t>RCONM719</t>
  </si>
  <si>
    <t>RCONM720</t>
  </si>
  <si>
    <t>b. Commercial real estate loans</t>
  </si>
  <si>
    <t>RCONM721</t>
  </si>
  <si>
    <t>RCONM722</t>
  </si>
  <si>
    <t>RCONM723</t>
  </si>
  <si>
    <t>RCONM724</t>
  </si>
  <si>
    <t>RCONM725</t>
  </si>
  <si>
    <t>RCONM726</t>
  </si>
  <si>
    <t>c. Residential real estate loans</t>
  </si>
  <si>
    <t>RCONM727</t>
  </si>
  <si>
    <t>RCONM728</t>
  </si>
  <si>
    <t>RCONM729</t>
  </si>
  <si>
    <t>RCONM730</t>
  </si>
  <si>
    <t>RCONM731</t>
  </si>
  <si>
    <t>RCONM732</t>
  </si>
  <si>
    <t>2. Commercial loans</t>
  </si>
  <si>
    <t>RCONM733</t>
  </si>
  <si>
    <t>RCONM734</t>
  </si>
  <si>
    <t>RCONM735</t>
  </si>
  <si>
    <t>RCONM736</t>
  </si>
  <si>
    <t>RCONM737</t>
  </si>
  <si>
    <t>RCONM738</t>
  </si>
  <si>
    <t>3. Credit cards</t>
  </si>
  <si>
    <t>RCONM739</t>
  </si>
  <si>
    <t>RCONM740</t>
  </si>
  <si>
    <t>RCONM741</t>
  </si>
  <si>
    <t>RCONM742</t>
  </si>
  <si>
    <t>RCONM743</t>
  </si>
  <si>
    <t>RCONM744</t>
  </si>
  <si>
    <t>4. Other consumer loans</t>
  </si>
  <si>
    <t>RCONM745</t>
  </si>
  <si>
    <t>5. Unallocated, if any</t>
  </si>
  <si>
    <t>RCONM746</t>
  </si>
  <si>
    <t>RCONM747</t>
  </si>
  <si>
    <t>RCONM748</t>
  </si>
  <si>
    <t>RCONM749</t>
  </si>
  <si>
    <t>RCONM750</t>
  </si>
  <si>
    <t>RCONM751</t>
  </si>
  <si>
    <t>6. Total (for each column, sum of items 1.a through 5)</t>
  </si>
  <si>
    <t>RIC</t>
  </si>
  <si>
    <t>1. Other noninterest income (from Schedule RI, item 5.l) Itemize and describe amounts greater than $25,000 that exceed 3% of Schedule RI, item 5.l:</t>
  </si>
  <si>
    <t>a. Income and fees from the printing and sale of checks</t>
  </si>
  <si>
    <t>b. Earnings on/increase in value of cash surrender value of life insurance</t>
  </si>
  <si>
    <t>c. Income and fees from automated teller machines (ATMs)</t>
  </si>
  <si>
    <t>d. Rent and other income from other real estate owned</t>
  </si>
  <si>
    <t>e. Safe deposit box rent</t>
  </si>
  <si>
    <t>f. Net change in the fair values of financial instruments accounted for under a fair value option</t>
  </si>
  <si>
    <t>g. Bank card and credit card interchange fees</t>
  </si>
  <si>
    <t>h. Gains on bargain purchases</t>
  </si>
  <si>
    <t>RIADC013</t>
  </si>
  <si>
    <t>RIADC014</t>
  </si>
  <si>
    <t>RIADC016</t>
  </si>
  <si>
    <t>RIAD4042</t>
  </si>
  <si>
    <t>RIADC015</t>
  </si>
  <si>
    <t>RIADF229</t>
  </si>
  <si>
    <t>RIADF555</t>
  </si>
  <si>
    <t>RIADJ447</t>
  </si>
  <si>
    <t>RIE</t>
  </si>
  <si>
    <t>1. Cash and balances due from depository institutions (from Schedule RC-A):</t>
  </si>
  <si>
    <t>a. Noninterest-bearing balances and currency and coin</t>
  </si>
  <si>
    <t>b. Interest-bearing balances</t>
  </si>
  <si>
    <t>2. Securities:</t>
  </si>
  <si>
    <t>a. Held-to-maturity securities (from Schedule RC-B, column A)</t>
  </si>
  <si>
    <t>RCON1754</t>
  </si>
  <si>
    <t>b. Available-for-sale securities (from Schedule RC-B, column D)</t>
  </si>
  <si>
    <t>RCON1773</t>
  </si>
  <si>
    <t>3. Federal funds sold and securities purchased under agreements to resell:</t>
  </si>
  <si>
    <t>RCONB987</t>
  </si>
  <si>
    <t>b. Securities purchased under agreements to resell</t>
  </si>
  <si>
    <t>4. Loans and lease financing receivables (from Schedule RC-C):</t>
  </si>
  <si>
    <t>a. Loans and leases held for sale</t>
  </si>
  <si>
    <t>b. Loans and leases, net of unearned income</t>
  </si>
  <si>
    <t>c. LESS: Allowance for loan and lease losses</t>
  </si>
  <si>
    <t>d. Loans and leases, net of unearned income and allowance (item 4.b minus 4.c)</t>
  </si>
  <si>
    <t>5. Trading assets (from Schedule RC-D)</t>
  </si>
  <si>
    <t>RCON3545</t>
  </si>
  <si>
    <t>6. Premises and fixed assets (including capitalized leases)</t>
  </si>
  <si>
    <t>7. Other real estate owned (from Schedule RC-M)</t>
  </si>
  <si>
    <t>8. Investments in unconsolidated subsidiaries and associated companies</t>
  </si>
  <si>
    <t>9. Direct and indirect investments in real estate ventures</t>
  </si>
  <si>
    <t>10. Intangible assets:</t>
  </si>
  <si>
    <t>a. Goodwill</t>
  </si>
  <si>
    <t>b. Other intangible assets (from Schedule RC-M)</t>
  </si>
  <si>
    <t>11. Other assets (from Schedule RC-F)</t>
  </si>
  <si>
    <t>12. Total assets (sum of items 1 through 11)</t>
  </si>
  <si>
    <t>13. Deposits:</t>
  </si>
  <si>
    <t>RCON2200</t>
  </si>
  <si>
    <t>1. Noninterest-bearing</t>
  </si>
  <si>
    <t>RCON6631</t>
  </si>
  <si>
    <t>2. Interest-bearing</t>
  </si>
  <si>
    <t>RCON6636</t>
  </si>
  <si>
    <t>14. Federal funds purchased and securities sold under agreements to repurchase:</t>
  </si>
  <si>
    <t>RCONB993</t>
  </si>
  <si>
    <t>b. Securities sold under agreements to repurchase</t>
  </si>
  <si>
    <t>15. Trading liabilities (from Schedule RC-D)</t>
  </si>
  <si>
    <t>RCON3548</t>
  </si>
  <si>
    <t>16. Other borrowed money (includes mortgage indebtedness and obligations under capitalized leases) (from Schedule RC-M)</t>
  </si>
  <si>
    <t>RCON3190</t>
  </si>
  <si>
    <t>17. Not applicable</t>
  </si>
  <si>
    <t>18. Not applicable</t>
  </si>
  <si>
    <t>19. Subordinated notes and debentures</t>
  </si>
  <si>
    <t>20. Other liabilities (from Schedule RC-G)</t>
  </si>
  <si>
    <t>21. Total liabilities (sum of items 13 through 20)</t>
  </si>
  <si>
    <t>22. Not applicable</t>
  </si>
  <si>
    <t>23. Perpetual preferred stock and related surplus</t>
  </si>
  <si>
    <t>24. Common stock</t>
  </si>
  <si>
    <t>25. Surplus (exclude all surplus related to preferred stock)</t>
  </si>
  <si>
    <t>26. Not available</t>
  </si>
  <si>
    <t>a. Retained earnings</t>
  </si>
  <si>
    <t>b. Accumulated other comprehensive income</t>
  </si>
  <si>
    <t>c. Other equity capital components</t>
  </si>
  <si>
    <t>27. Not available</t>
  </si>
  <si>
    <t>a. Total bank equity capital (sum of items 23 through 26.c)</t>
  </si>
  <si>
    <t>b. Noncontrolling (minority) interests in consolidated subsidiaries</t>
  </si>
  <si>
    <t>28. Total equity capital (sum of items 27.a and 27.b)</t>
  </si>
  <si>
    <t>29. Total liabilities and equity capital (sum of items 21 and 28)</t>
  </si>
  <si>
    <t>1. Indicate in the box at the right the number of the statement below that best describes the most comprehensive level of auditing work performed for the bank by independent external auditors as of any date during 2014</t>
  </si>
  <si>
    <t>2. Bank's fiscal year-end date</t>
  </si>
  <si>
    <t>RCON8678</t>
  </si>
  <si>
    <t>3.a.</t>
  </si>
  <si>
    <t>3.b.</t>
  </si>
  <si>
    <t>4.a.</t>
  </si>
  <si>
    <t>4.b.</t>
  </si>
  <si>
    <t>4.c.</t>
  </si>
  <si>
    <t>4.d.</t>
  </si>
  <si>
    <t>10.a.</t>
  </si>
  <si>
    <t>10.b.</t>
  </si>
  <si>
    <t>13.a.</t>
  </si>
  <si>
    <t>13.a.1.</t>
  </si>
  <si>
    <t>13.a.2.</t>
  </si>
  <si>
    <t>13.b.</t>
  </si>
  <si>
    <t>14.a.</t>
  </si>
  <si>
    <t>14.b.</t>
  </si>
  <si>
    <t>26.a.</t>
  </si>
  <si>
    <t>26.b.</t>
  </si>
  <si>
    <t>26.c.</t>
  </si>
  <si>
    <t>27.a.</t>
  </si>
  <si>
    <t>27.b.</t>
  </si>
  <si>
    <t>RCB</t>
  </si>
  <si>
    <t>RC</t>
  </si>
  <si>
    <t>1. Cash items in process of collection, unposted debits, and currency and coin:</t>
  </si>
  <si>
    <t>a. Cash items in process of collection and unposted debits</t>
  </si>
  <si>
    <t>RCON0020</t>
  </si>
  <si>
    <t>b. Currency and coin</t>
  </si>
  <si>
    <t>RCON0080</t>
  </si>
  <si>
    <t>2. Balances due from depository institutions in the U.S:</t>
  </si>
  <si>
    <t>a. U.S. branches and agencies of foreign banks</t>
  </si>
  <si>
    <t>b. Other commercial banks in the U.S. and other depository institutions in the U.S</t>
  </si>
  <si>
    <t>3. Balances due from banks in foreign countries and foreign central banks:</t>
  </si>
  <si>
    <t>a. Foreign branches of other U.S. banks</t>
  </si>
  <si>
    <t>b. Other banks in foreign countries and foreign central banks</t>
  </si>
  <si>
    <t>4. Balances due from Federal Reserve Banks</t>
  </si>
  <si>
    <t>RCON0090</t>
  </si>
  <si>
    <t>5. Total</t>
  </si>
  <si>
    <t>RCON0010</t>
  </si>
  <si>
    <t>RCA</t>
  </si>
  <si>
    <t>Held-to-maturity</t>
  </si>
  <si>
    <t>Held-to-maturity Fair</t>
  </si>
  <si>
    <t>Available-for-sale</t>
  </si>
  <si>
    <t>Available-for-sale Fair</t>
  </si>
  <si>
    <t>Amortized Cost</t>
  </si>
  <si>
    <t>Value</t>
  </si>
  <si>
    <t xml:space="preserve">1. U.S. Treasury securities </t>
  </si>
  <si>
    <t>RCON0211</t>
  </si>
  <si>
    <t>RCON0213</t>
  </si>
  <si>
    <t>RCON1286</t>
  </si>
  <si>
    <t>RCON1287</t>
  </si>
  <si>
    <t>2. U.S. Government agency obligations (exclude mortgage-backed securities):</t>
  </si>
  <si>
    <t>a. Issued by U.S. Government agencies</t>
  </si>
  <si>
    <t>RCON1289</t>
  </si>
  <si>
    <t>RCON1290</t>
  </si>
  <si>
    <t>RCON1291</t>
  </si>
  <si>
    <t>RCON1293</t>
  </si>
  <si>
    <t>b. Issued by U.S. Government-sponsored agencies</t>
  </si>
  <si>
    <t>RCON1294</t>
  </si>
  <si>
    <t>RCON1295</t>
  </si>
  <si>
    <t>RCON1297</t>
  </si>
  <si>
    <t>RCON1298</t>
  </si>
  <si>
    <t>3. Securities issued by states and political subdivisions in the U.S</t>
  </si>
  <si>
    <t>RCON8496</t>
  </si>
  <si>
    <t>RCON8497</t>
  </si>
  <si>
    <t>RCON8498</t>
  </si>
  <si>
    <t>RCON8499</t>
  </si>
  <si>
    <t>4. Mortgage-backed securities (MBS):</t>
  </si>
  <si>
    <t>a. Residential mortgage pass-through securities:</t>
  </si>
  <si>
    <t>1. Guaranteed by GNMA</t>
  </si>
  <si>
    <t>RCONG300</t>
  </si>
  <si>
    <t>RCONG301</t>
  </si>
  <si>
    <t>RCONG302</t>
  </si>
  <si>
    <t>RCONG303</t>
  </si>
  <si>
    <t>4.a.1.</t>
  </si>
  <si>
    <t>2. Issued by FNMA and FHLMC</t>
  </si>
  <si>
    <t>RCONG304</t>
  </si>
  <si>
    <t>RCONG305</t>
  </si>
  <si>
    <t>RCONG306</t>
  </si>
  <si>
    <t>RCONG307</t>
  </si>
  <si>
    <t>4.a.2.</t>
  </si>
  <si>
    <t xml:space="preserve">3. Other pass-through securities </t>
  </si>
  <si>
    <t>RCONG308</t>
  </si>
  <si>
    <t>RCONG309</t>
  </si>
  <si>
    <t>RCONG310</t>
  </si>
  <si>
    <t>RCONG311</t>
  </si>
  <si>
    <t>4.a.3.</t>
  </si>
  <si>
    <t>b. Other residential mortgage-backed securities (include CMOs, REMICs, and stripped MBS):</t>
  </si>
  <si>
    <t>1. Issued or guaranteed by U.S. Government agencies or sponsored agencies</t>
  </si>
  <si>
    <t>RCONG312</t>
  </si>
  <si>
    <t>RCONG313</t>
  </si>
  <si>
    <t>RCONG314</t>
  </si>
  <si>
    <t>RCONG315</t>
  </si>
  <si>
    <t>4.b.1.</t>
  </si>
  <si>
    <t>2. Collateralized by MBS issued or guaranteed by U.S. Government agencies or sponsored agencies</t>
  </si>
  <si>
    <t>RCONG316</t>
  </si>
  <si>
    <t>RCONG317</t>
  </si>
  <si>
    <t>RCONG318</t>
  </si>
  <si>
    <t>RCONG319</t>
  </si>
  <si>
    <t>4.b.2.</t>
  </si>
  <si>
    <t>3. All other residential MBS</t>
  </si>
  <si>
    <t>RCONG320</t>
  </si>
  <si>
    <t>RCONG321</t>
  </si>
  <si>
    <t>RCONG322</t>
  </si>
  <si>
    <t>RCONG323</t>
  </si>
  <si>
    <t>4.b.3.</t>
  </si>
  <si>
    <t>c. Commercial MBS:</t>
  </si>
  <si>
    <t>1. Commercial mortgage pass-through securities:</t>
  </si>
  <si>
    <t>4.c.1.</t>
  </si>
  <si>
    <t>a. Issued or guaranteed by FNMA, FHLMC, or GNMA</t>
  </si>
  <si>
    <t>RCONK142</t>
  </si>
  <si>
    <t>RCONK143</t>
  </si>
  <si>
    <t>RCONK144</t>
  </si>
  <si>
    <t>RCONK145</t>
  </si>
  <si>
    <t>4.c.1.a.</t>
  </si>
  <si>
    <t>b. Other pass-through securities</t>
  </si>
  <si>
    <t>RCONK146</t>
  </si>
  <si>
    <t>RCONK147</t>
  </si>
  <si>
    <t>RCONK148</t>
  </si>
  <si>
    <t>RCONK149</t>
  </si>
  <si>
    <t>4.c.1.b.</t>
  </si>
  <si>
    <t>2. Other commercial MBS:</t>
  </si>
  <si>
    <t>4.c.2.</t>
  </si>
  <si>
    <t>a. Issued or guaranteed by U.S. Government agencies or sponsored agencies</t>
  </si>
  <si>
    <t>RCONK150</t>
  </si>
  <si>
    <t>RCONK151</t>
  </si>
  <si>
    <t>RCONK152</t>
  </si>
  <si>
    <t>RCONK153</t>
  </si>
  <si>
    <t>4.c.2.a.</t>
  </si>
  <si>
    <t>b. All other commercial MBS</t>
  </si>
  <si>
    <t>RCONK154</t>
  </si>
  <si>
    <t>RCONK155</t>
  </si>
  <si>
    <t>RCONK156</t>
  </si>
  <si>
    <t>RCONK157</t>
  </si>
  <si>
    <t>4.c.2.b.</t>
  </si>
  <si>
    <t>5. Asset-backed securities and structured financial products:</t>
  </si>
  <si>
    <t>a. Asset-backed securities (ABS)</t>
  </si>
  <si>
    <t>RCONC026</t>
  </si>
  <si>
    <t>RCONC988</t>
  </si>
  <si>
    <t>RCONC989</t>
  </si>
  <si>
    <t>RCONC027</t>
  </si>
  <si>
    <t>b. Structured financial products:</t>
  </si>
  <si>
    <t>1. Cash</t>
  </si>
  <si>
    <t>RCONG336</t>
  </si>
  <si>
    <t>RCONG337</t>
  </si>
  <si>
    <t>RCONG338</t>
  </si>
  <si>
    <t>RCONG339</t>
  </si>
  <si>
    <t>5.b.1.</t>
  </si>
  <si>
    <t>2. Synthetic</t>
  </si>
  <si>
    <t>RCONG340</t>
  </si>
  <si>
    <t>RCONG341</t>
  </si>
  <si>
    <t>RCONG342</t>
  </si>
  <si>
    <t>RCONG343</t>
  </si>
  <si>
    <t>5.b.2.</t>
  </si>
  <si>
    <t>3. Hybrid</t>
  </si>
  <si>
    <t>RCONG344</t>
  </si>
  <si>
    <t>RCONG345</t>
  </si>
  <si>
    <t>RCONG346</t>
  </si>
  <si>
    <t>RCONG347</t>
  </si>
  <si>
    <t>5.b.3.</t>
  </si>
  <si>
    <t>6. Other debt securities:</t>
  </si>
  <si>
    <t>a. Other domestic debt securities</t>
  </si>
  <si>
    <t>RCON1737</t>
  </si>
  <si>
    <t>RCON1738</t>
  </si>
  <si>
    <t>RCON1739</t>
  </si>
  <si>
    <t>RCON1741</t>
  </si>
  <si>
    <t>b. Other foreign debt securities</t>
  </si>
  <si>
    <t>RCON1742</t>
  </si>
  <si>
    <t>RCON1743</t>
  </si>
  <si>
    <t>RCON1744</t>
  </si>
  <si>
    <t>RCON1746</t>
  </si>
  <si>
    <t>7. Investments in mutual funds and other equity securities with readily determinable fair values</t>
  </si>
  <si>
    <t>RCONA510</t>
  </si>
  <si>
    <t>RCONA511</t>
  </si>
  <si>
    <t>8. Total (sum of items 1 through 7) (total of column A must equal Schedule RC, item 2.a) (total of column D must equal Schedule RC, item 2.b)</t>
  </si>
  <si>
    <t>RCON1771</t>
  </si>
  <si>
    <t>RCON1772</t>
  </si>
  <si>
    <t>1. Pledged securities</t>
  </si>
  <si>
    <t>RCON0416</t>
  </si>
  <si>
    <t>2. Maturity and repricing data for debt securities (excluding those in nonaccrual status):</t>
  </si>
  <si>
    <t>1. Three months or less</t>
  </si>
  <si>
    <t>RCONA549</t>
  </si>
  <si>
    <t>M.2.a.1.</t>
  </si>
  <si>
    <t>2. Over three months through 12 months</t>
  </si>
  <si>
    <t>RCONA550</t>
  </si>
  <si>
    <t>M.2.a.2.</t>
  </si>
  <si>
    <t>3. Over one year through three years</t>
  </si>
  <si>
    <t>RCONA551</t>
  </si>
  <si>
    <t>M.2.a.3.</t>
  </si>
  <si>
    <t>4. Over three years through five years</t>
  </si>
  <si>
    <t>RCONA552</t>
  </si>
  <si>
    <t>M.2.a.4.</t>
  </si>
  <si>
    <t>5. Over five years through 15 years</t>
  </si>
  <si>
    <t>RCONA553</t>
  </si>
  <si>
    <t>M.2.a.5.</t>
  </si>
  <si>
    <t>6. Over 15 years</t>
  </si>
  <si>
    <t>RCONA554</t>
  </si>
  <si>
    <t>M.2.a.6.</t>
  </si>
  <si>
    <t>RCONA555</t>
  </si>
  <si>
    <t>M.2.b.1.</t>
  </si>
  <si>
    <t>RCONA556</t>
  </si>
  <si>
    <t>M.2.b.2.</t>
  </si>
  <si>
    <t>RCONA557</t>
  </si>
  <si>
    <t>M.2.b.3.</t>
  </si>
  <si>
    <t>RCONA558</t>
  </si>
  <si>
    <t>M.2.b.4.</t>
  </si>
  <si>
    <t>RCONA559</t>
  </si>
  <si>
    <t>M.2.b.5.</t>
  </si>
  <si>
    <t>RCONA560</t>
  </si>
  <si>
    <t>M.2.b.6.</t>
  </si>
  <si>
    <t>1. Three years or less</t>
  </si>
  <si>
    <t>RCONA561</t>
  </si>
  <si>
    <t>M.2.c.1.</t>
  </si>
  <si>
    <t>2. Over three years</t>
  </si>
  <si>
    <t>RCONA562</t>
  </si>
  <si>
    <t>M.2.c.2.</t>
  </si>
  <si>
    <t>RCONA248</t>
  </si>
  <si>
    <t>RCON1778</t>
  </si>
  <si>
    <t>a. Amortized cost</t>
  </si>
  <si>
    <t>RCON8782</t>
  </si>
  <si>
    <t>M.4.a.</t>
  </si>
  <si>
    <t>b. Fair value</t>
  </si>
  <si>
    <t>RCON8783</t>
  </si>
  <si>
    <t>M.4.b.</t>
  </si>
  <si>
    <t>a. Credit card receivables</t>
  </si>
  <si>
    <t>RCONB838</t>
  </si>
  <si>
    <t>RCONB839</t>
  </si>
  <si>
    <t>RCONB840</t>
  </si>
  <si>
    <t>RCONB841</t>
  </si>
  <si>
    <t>M.5.a.</t>
  </si>
  <si>
    <t>b. Home equity lines</t>
  </si>
  <si>
    <t>RCONB842</t>
  </si>
  <si>
    <t>RCONB843</t>
  </si>
  <si>
    <t>RCONB844</t>
  </si>
  <si>
    <t>RCONB845</t>
  </si>
  <si>
    <t>M.5.b.</t>
  </si>
  <si>
    <t>c. Automobile loans</t>
  </si>
  <si>
    <t>RCONB846</t>
  </si>
  <si>
    <t>RCONB847</t>
  </si>
  <si>
    <t>RCONB848</t>
  </si>
  <si>
    <t>RCONB849</t>
  </si>
  <si>
    <t>M.5.c.</t>
  </si>
  <si>
    <t>d. Other consumer loans</t>
  </si>
  <si>
    <t>RCONB850</t>
  </si>
  <si>
    <t>RCONB851</t>
  </si>
  <si>
    <t>RCONB852</t>
  </si>
  <si>
    <t>RCONB853</t>
  </si>
  <si>
    <t>M.5.d.</t>
  </si>
  <si>
    <t>e. Commercial and industrial loans</t>
  </si>
  <si>
    <t>RCONB854</t>
  </si>
  <si>
    <t>RCONB855</t>
  </si>
  <si>
    <t>RCONB856</t>
  </si>
  <si>
    <t>RCONB857</t>
  </si>
  <si>
    <t>M.5.e.</t>
  </si>
  <si>
    <t>f. Other</t>
  </si>
  <si>
    <t>RCONB858</t>
  </si>
  <si>
    <t>RCONB859</t>
  </si>
  <si>
    <t>RCONB860</t>
  </si>
  <si>
    <t>RCONB861</t>
  </si>
  <si>
    <t>M.5.f.</t>
  </si>
  <si>
    <t>a. Trust preferred securities issued by financial institutions</t>
  </si>
  <si>
    <t>RCONG348</t>
  </si>
  <si>
    <t>RCONG349</t>
  </si>
  <si>
    <t>RCONG350</t>
  </si>
  <si>
    <t>RCONG351</t>
  </si>
  <si>
    <t>M.6.a.</t>
  </si>
  <si>
    <t>RCONG352</t>
  </si>
  <si>
    <t>RCONG353</t>
  </si>
  <si>
    <t>RCONG354</t>
  </si>
  <si>
    <t>RCONG355</t>
  </si>
  <si>
    <t>M.6.b.</t>
  </si>
  <si>
    <t>c. Corporate and similar loans</t>
  </si>
  <si>
    <t>RCONG356</t>
  </si>
  <si>
    <t>RCONG357</t>
  </si>
  <si>
    <t>RCONG358</t>
  </si>
  <si>
    <t>RCONG359</t>
  </si>
  <si>
    <t>M.6.c.</t>
  </si>
  <si>
    <t>RCONG360</t>
  </si>
  <si>
    <t>RCONG361</t>
  </si>
  <si>
    <t>RCONG362</t>
  </si>
  <si>
    <t>RCONG363</t>
  </si>
  <si>
    <t>M.6.d.</t>
  </si>
  <si>
    <t>RCONG364</t>
  </si>
  <si>
    <t>RCONG365</t>
  </si>
  <si>
    <t>RCONG366</t>
  </si>
  <si>
    <t>RCONG367</t>
  </si>
  <si>
    <t>M.6.e.</t>
  </si>
  <si>
    <t>f. Diversified (mixed) pools of structured financial products</t>
  </si>
  <si>
    <t>RCONG368</t>
  </si>
  <si>
    <t>RCONG369</t>
  </si>
  <si>
    <t>RCONG370</t>
  </si>
  <si>
    <t>RCONG371</t>
  </si>
  <si>
    <t>M.6.f.</t>
  </si>
  <si>
    <t>g. Other collateral or reference assets</t>
  </si>
  <si>
    <t>RCONG372</t>
  </si>
  <si>
    <t>RCONG373</t>
  </si>
  <si>
    <t>RCONG374</t>
  </si>
  <si>
    <t>RCONG375</t>
  </si>
  <si>
    <t>M.6.g.</t>
  </si>
  <si>
    <t>a. Securities issued by the U.S. Treasury, U.S. Government agencies, and states and political subdivisions in the U.S.; other non-mortgage debt securities; and mortgage pass-through securities other than those backed by closed-end first lien 1-4 family residential mortgages with a remaining maturity or next repricing date of:</t>
  </si>
  <si>
    <t>b. Mortgage pass-through securities backed by closed-end first lien 1-4 family residential mortgages with a remaining maturity or next repricing date of:</t>
  </si>
  <si>
    <t>c. Other mortgage-backed securities (include CMOs, REMICs, and stripped MBS; exclude mortgage pass-through securities) with an expected average life of:</t>
  </si>
  <si>
    <t>d. Debt securities with a REMAINING MATURITY of one year or less (included in Memorandum items 2.a through 2.c above)</t>
  </si>
  <si>
    <t>3. Amortized cost of held-to-maturity securities sold or transferred to available-for-sale or trading securities during the calendar year-to-date (report the amortized cost at date of sale or transfer)</t>
  </si>
  <si>
    <t>4. Structured notes (included in the held-to-maturity and available-for-sale accounts in Schedule RC-B, items 2, 3, 5, and 6):</t>
  </si>
  <si>
    <t>5. Asset-backed securities (ABS) (for each column, sum of Memorandum items 5.a through 5.f must equal Schedule RC-B, item 5.a):</t>
  </si>
  <si>
    <t>6. Structured financial products by underlying collateral or reference assets (for each column, sum of Memorandum items 6.a through 6.g must equal Schedule RC-B, sum of items 5.b(1) through(3)):</t>
  </si>
  <si>
    <t>b. Trust preferred securities issued by real estate investment trusts</t>
  </si>
  <si>
    <t>d. 1-4 family residential MBS issued or guaranteed by U.S. government-sponsored enterprises (GSEs)</t>
  </si>
  <si>
    <t>e. 1-4 family residential MBS not issued or guaranteed by GSEs</t>
  </si>
  <si>
    <t>1. U.S. Treasury securities</t>
  </si>
  <si>
    <t>RCON3531</t>
  </si>
  <si>
    <t>2. U.S. Government agency obligations (exclude mortgage-backed securities)</t>
  </si>
  <si>
    <t>RCON3532</t>
  </si>
  <si>
    <t>RCON3533</t>
  </si>
  <si>
    <t>a. Residential mortgage pass-through securities issued or guaranteed by FNMA, FHLMC, or GNMA</t>
  </si>
  <si>
    <t>RCONG379</t>
  </si>
  <si>
    <t>b. Other residential MBS issued or guaranteed by U.S. Government agencies or sponsored agencies (include CMOs, REMICs, and stripped MBS)</t>
  </si>
  <si>
    <t>RCONG380</t>
  </si>
  <si>
    <t/>
  </si>
  <si>
    <t>c. All other residential MBS</t>
  </si>
  <si>
    <t>RCONG381</t>
  </si>
  <si>
    <t>d. Commercial MBS issued or guaranteed by U.S. Government agencies or sponsored agencies</t>
  </si>
  <si>
    <t>RCONK197</t>
  </si>
  <si>
    <t>e. All other commercial MBS</t>
  </si>
  <si>
    <t>RCONK198</t>
  </si>
  <si>
    <t>4.e.</t>
  </si>
  <si>
    <t>5. Other debt securities:</t>
  </si>
  <si>
    <t>a. Structured financial products:</t>
  </si>
  <si>
    <t>RCONG383</t>
  </si>
  <si>
    <t>5.a.1.</t>
  </si>
  <si>
    <t>RCONG384</t>
  </si>
  <si>
    <t>5.a.2.</t>
  </si>
  <si>
    <t>RCONG385</t>
  </si>
  <si>
    <t>5.a.3.</t>
  </si>
  <si>
    <t>b. All other debt securities</t>
  </si>
  <si>
    <t>RCONG386</t>
  </si>
  <si>
    <t>6. Loans:</t>
  </si>
  <si>
    <t>1. Construction, land development, and other land loans</t>
  </si>
  <si>
    <t>RCONF604</t>
  </si>
  <si>
    <t>6.a.1.</t>
  </si>
  <si>
    <t>2. Secured by farmland (including farm residential and other improvements)</t>
  </si>
  <si>
    <t>RCONF605</t>
  </si>
  <si>
    <t>6.a.2.</t>
  </si>
  <si>
    <t>3. Secured by 1-4 family residential properties:</t>
  </si>
  <si>
    <t>6.a.3.</t>
  </si>
  <si>
    <t>a. Revolving, open-end loans secured by 1-4 family residential properties and extended under lines of credit</t>
  </si>
  <si>
    <t>RCONF606</t>
  </si>
  <si>
    <t>6.a.3.a.</t>
  </si>
  <si>
    <t>b. Closed-end loans secured by 1-4 family residential properties:</t>
  </si>
  <si>
    <t>6.a.3.b.</t>
  </si>
  <si>
    <t>1. Secured by first liens</t>
  </si>
  <si>
    <t>RCONF607</t>
  </si>
  <si>
    <t>6.a.3.b.1.</t>
  </si>
  <si>
    <t>2. Secured by junior liens</t>
  </si>
  <si>
    <t>RCONF611</t>
  </si>
  <si>
    <t>6.a.3.b.2.</t>
  </si>
  <si>
    <t>4. Secured by multifamily (5 or more) residential properties</t>
  </si>
  <si>
    <t>RCONF612</t>
  </si>
  <si>
    <t>6.a.4.</t>
  </si>
  <si>
    <t>5. Secured by nonfarm nonresidential properties</t>
  </si>
  <si>
    <t>RCONF613</t>
  </si>
  <si>
    <t>6.a.5.</t>
  </si>
  <si>
    <t>b. Commercial and industrial loans</t>
  </si>
  <si>
    <t>RCONF614</t>
  </si>
  <si>
    <t>c. Loans to individuals for household, family, and other personal expenditures (i.e., consumer loans) (includes purchased paper):</t>
  </si>
  <si>
    <t>6.c.</t>
  </si>
  <si>
    <t>1. Credit cards</t>
  </si>
  <si>
    <t>RCONF615</t>
  </si>
  <si>
    <t>6.c.1.</t>
  </si>
  <si>
    <t>2. Other revolving credit plans</t>
  </si>
  <si>
    <t>RCONF616</t>
  </si>
  <si>
    <t>6.c.2.</t>
  </si>
  <si>
    <t>3. Automobile loans</t>
  </si>
  <si>
    <t>RCONK199</t>
  </si>
  <si>
    <t>6.c.3.</t>
  </si>
  <si>
    <t>RCONK210</t>
  </si>
  <si>
    <t>6.c.4.</t>
  </si>
  <si>
    <t>d. Other loans</t>
  </si>
  <si>
    <t>RCONF618</t>
  </si>
  <si>
    <t>6.d.</t>
  </si>
  <si>
    <t>8. Not applicable</t>
  </si>
  <si>
    <t>9. Other trading assets</t>
  </si>
  <si>
    <t>RCON3541</t>
  </si>
  <si>
    <t>10. Not applicable</t>
  </si>
  <si>
    <t>11. Derivatives with a positive fair value</t>
  </si>
  <si>
    <t>RCON3543</t>
  </si>
  <si>
    <t>13. Not available</t>
  </si>
  <si>
    <t>a. Liability for short positions</t>
  </si>
  <si>
    <t>RCON3546</t>
  </si>
  <si>
    <t>b. Other trading liabilities</t>
  </si>
  <si>
    <t>RCONF624</t>
  </si>
  <si>
    <t>14. Derivatives with a negative fair value</t>
  </si>
  <si>
    <t>RCON3547</t>
  </si>
  <si>
    <t>M.1.a.</t>
  </si>
  <si>
    <t>RCD</t>
  </si>
  <si>
    <t>RCONF625</t>
  </si>
  <si>
    <t>RCONF626</t>
  </si>
  <si>
    <t>RCONF627</t>
  </si>
  <si>
    <t>RCONF628</t>
  </si>
  <si>
    <t>RCONF629</t>
  </si>
  <si>
    <t>RCONF630</t>
  </si>
  <si>
    <t>RCONF631</t>
  </si>
  <si>
    <t>RCONF632</t>
  </si>
  <si>
    <t>RCONF633</t>
  </si>
  <si>
    <t>RCONF634</t>
  </si>
  <si>
    <t>RCONK200</t>
  </si>
  <si>
    <t>RCONK211</t>
  </si>
  <si>
    <t>RCONF636</t>
  </si>
  <si>
    <t>2. Loans measured at fair value that are past due 90 days or more:</t>
  </si>
  <si>
    <t>a. Fair value</t>
  </si>
  <si>
    <t>RCONF639</t>
  </si>
  <si>
    <t>b. Unpaid principal balance</t>
  </si>
  <si>
    <t>RCONF640</t>
  </si>
  <si>
    <t>RCONG299</t>
  </si>
  <si>
    <t>RCONG332</t>
  </si>
  <si>
    <t>RCONG333</t>
  </si>
  <si>
    <t>RCONG334</t>
  </si>
  <si>
    <t>RCONG335</t>
  </si>
  <si>
    <t>RCONG651</t>
  </si>
  <si>
    <t>RCONG652</t>
  </si>
  <si>
    <t>4. Pledged trading assets:</t>
  </si>
  <si>
    <t>a. Pledged securities</t>
  </si>
  <si>
    <t>RCONG387</t>
  </si>
  <si>
    <t>RCONG388</t>
  </si>
  <si>
    <t>5. Asset-backed securities:</t>
  </si>
  <si>
    <t>6. Retained beneficial interests in securitizations (first-loss or equity tranches)</t>
  </si>
  <si>
    <t>7. Equity securities (included in Schedule RC-D, item 9, above):</t>
  </si>
  <si>
    <t>a. Readily determinable fair values</t>
  </si>
  <si>
    <t>b. Other</t>
  </si>
  <si>
    <t>M.1.a.1.</t>
  </si>
  <si>
    <t>M.1.a.2.</t>
  </si>
  <si>
    <t>M.1.a.3.</t>
  </si>
  <si>
    <t>M.1.a.3.a.</t>
  </si>
  <si>
    <t>M.1.a.3.b.</t>
  </si>
  <si>
    <t>M.1.a.3.b.1.</t>
  </si>
  <si>
    <t>M.1.a.3.b.2.</t>
  </si>
  <si>
    <t>M.1.a.4.</t>
  </si>
  <si>
    <t>M.1.a.5.</t>
  </si>
  <si>
    <t>M.1.b.</t>
  </si>
  <si>
    <t>M.1.c.</t>
  </si>
  <si>
    <t>M.1.c.1.</t>
  </si>
  <si>
    <t>M.1.c.2.</t>
  </si>
  <si>
    <t>M.1.c.3.</t>
  </si>
  <si>
    <t>M.1.c.4.</t>
  </si>
  <si>
    <t>M.1.d.</t>
  </si>
  <si>
    <t>M.3.a.</t>
  </si>
  <si>
    <t>M.3.b.</t>
  </si>
  <si>
    <t>M.3.c.</t>
  </si>
  <si>
    <t>M.3.d.</t>
  </si>
  <si>
    <t>M.3.e.</t>
  </si>
  <si>
    <t>M.3.f.</t>
  </si>
  <si>
    <t>M.3.g.</t>
  </si>
  <si>
    <t>M.7.a.</t>
  </si>
  <si>
    <t>M.7.b.</t>
  </si>
  <si>
    <t>1. Individuals, partnerships, and corporations (include all certified and official checks)</t>
  </si>
  <si>
    <t>RCONB549</t>
  </si>
  <si>
    <t>2. U.S. Government</t>
  </si>
  <si>
    <t>RCON2202</t>
  </si>
  <si>
    <t>3. States and political subdivisions in the U.S</t>
  </si>
  <si>
    <t>RCON2203</t>
  </si>
  <si>
    <t>4. Commercial banks and other depository institutions in the U.S</t>
  </si>
  <si>
    <t>RCONB551</t>
  </si>
  <si>
    <t>5. Banks in foreign countries</t>
  </si>
  <si>
    <t>RCON2213</t>
  </si>
  <si>
    <t>6. Foreign governments and official institutions (including foreign central banks)</t>
  </si>
  <si>
    <t>RCON2216</t>
  </si>
  <si>
    <t>7. Total (sum of items 1 through 6) (sum of columns A and C must equal Schedule RC, item 13.a)</t>
  </si>
  <si>
    <t>RCON2215</t>
  </si>
  <si>
    <t>RCON2210</t>
  </si>
  <si>
    <t>(Column C) Nontransaction Accounts Total nontransaction accounts (including MMDAs)</t>
  </si>
  <si>
    <t>RCONB550</t>
  </si>
  <si>
    <t>RCON2520</t>
  </si>
  <si>
    <t>RCON2530</t>
  </si>
  <si>
    <t>RCONB552</t>
  </si>
  <si>
    <t>RCON2236</t>
  </si>
  <si>
    <t>RCON2377</t>
  </si>
  <si>
    <t>RCON2385</t>
  </si>
  <si>
    <t>1. Selected components of total deposits (i.e., sum of item 7, columns A and C):</t>
  </si>
  <si>
    <t>a. Total Individual Retirement Accounts (IRAs) and Keogh Plan accounts</t>
  </si>
  <si>
    <t>RCON6835</t>
  </si>
  <si>
    <t>b. Total brokered deposits</t>
  </si>
  <si>
    <t>RCON2365</t>
  </si>
  <si>
    <t>c. Fully insured brokered deposits (included in Memorandum item 1.b above):</t>
  </si>
  <si>
    <t>1. Brokered deposits of less than $100,000</t>
  </si>
  <si>
    <t>RCON2343</t>
  </si>
  <si>
    <t>2. Brokered deposits of $100,000 through $250,000 and certain brokered retirement deposit accounts</t>
  </si>
  <si>
    <t>RCONJ472</t>
  </si>
  <si>
    <t>d. Maturity data for brokered deposits:</t>
  </si>
  <si>
    <t>1. Brokered deposits of less than $100,000 with a remaining maturity of one year or less (included in Memorandum item 1.c.(1) above)</t>
  </si>
  <si>
    <t>RCONA243</t>
  </si>
  <si>
    <t>2. Brokered deposits of $100,000 through $250,000 with a remaining maturity of one year or less (included in Memorandum item 1.c.(2) above)</t>
  </si>
  <si>
    <t>RCONK219</t>
  </si>
  <si>
    <t>3. Brokered deposits of more than $250,000 with a remaining maturity of one year or less (included in Memorandum item 1.b above)</t>
  </si>
  <si>
    <t>RCONK220</t>
  </si>
  <si>
    <t>e. Preferred deposits (uninsured deposits of states and political subdivisions in the U.S. reported in item 3 above which are secured or collateralized as required under state law) (to be completed for the December report only).</t>
  </si>
  <si>
    <t>RCON5590</t>
  </si>
  <si>
    <t>f. Estimated amount of deposits obtained through the use of deposit listing services that are not brokered deposits</t>
  </si>
  <si>
    <t>RCONK223</t>
  </si>
  <si>
    <t>2. Components of total nontransaction accounts (sum of Memorandum items 2.a through 2.d must equal item 7, column C above):</t>
  </si>
  <si>
    <t>a. Savings deposits:</t>
  </si>
  <si>
    <t>1. Money market deposit accounts (MMDAs)</t>
  </si>
  <si>
    <t>RCON6810</t>
  </si>
  <si>
    <t>2. Other savings deposits (excludes MMDAs)</t>
  </si>
  <si>
    <t>RCON0352</t>
  </si>
  <si>
    <t>b. Total time deposits of less than $100,000</t>
  </si>
  <si>
    <t>RCON6648</t>
  </si>
  <si>
    <t>c. Total time deposits of $100,000 through $250,000</t>
  </si>
  <si>
    <t>RCONJ473</t>
  </si>
  <si>
    <t>d. Total time deposits of more than $250,000</t>
  </si>
  <si>
    <t>RCONJ474</t>
  </si>
  <si>
    <t>e. Individual Retirement Accounts (IRAs) and Keogh Plan accounts of $100,000 or more included in Memorandum items 2.c and 2.d above</t>
  </si>
  <si>
    <t>RCONF233</t>
  </si>
  <si>
    <t>3. Maturity and repricing data for time deposits of less than $100,000:</t>
  </si>
  <si>
    <t>a. Time deposits of less than $100,000 with a remaining maturity or next repricing date of:</t>
  </si>
  <si>
    <t>RCONA579</t>
  </si>
  <si>
    <t>RCONA580</t>
  </si>
  <si>
    <t>RCONA581</t>
  </si>
  <si>
    <t>4. Over three years</t>
  </si>
  <si>
    <t>RCONA582</t>
  </si>
  <si>
    <t>b. Time deposits of less than $100,000 with a REMAINING MATURITY of one year or less (included in Memorandum items 3.a.(1) and 3.a.(2) above)</t>
  </si>
  <si>
    <t>RCONA241</t>
  </si>
  <si>
    <t>4. Maturity and repricing data for time deposits of $100,000 or more:</t>
  </si>
  <si>
    <t>a. Time deposits of $100,000 or more with a remaining maturity or next repricing date of:</t>
  </si>
  <si>
    <t>RCONA584</t>
  </si>
  <si>
    <t>RCONA585</t>
  </si>
  <si>
    <t>RCONA586</t>
  </si>
  <si>
    <t>RCONA587</t>
  </si>
  <si>
    <t>b. Time deposits of $100,000 through $250,000 with a REMAINING MATURITY of one year or less (included in Memorandum items 4.a.(1) and 4.a.(2) above)</t>
  </si>
  <si>
    <t>RCONK221</t>
  </si>
  <si>
    <t>c. Time deposits of more than $250,000 with a REMAINING MATURITY of one year or less (included in Memorandum items 4.a.(1) and 4.a.(2) above)</t>
  </si>
  <si>
    <t>RCONK222</t>
  </si>
  <si>
    <t>5. Does your institution offer one or more consumer deposit account products, i.e., transaction account or nontransaction savings account deposit products intended primarily for individuals for personal, household, or family use?</t>
  </si>
  <si>
    <t>RCONP752</t>
  </si>
  <si>
    <t>6. Components of total transaction account deposits of individuals, partnerships, and corporations (sum of Memorandum items 6.a, 6.b, and 6.c must equal item 1, column A, above):</t>
  </si>
  <si>
    <t>a. Total deposits in those noninterest-bearing transaction account deposit products intended primarily for individuals for personal, household, or family use</t>
  </si>
  <si>
    <t>RCONP753</t>
  </si>
  <si>
    <t>b. Total deposits in those interest-bearing transaction account deposit products intended primarily for individuals for personal, household, or family use</t>
  </si>
  <si>
    <t>RCONP754</t>
  </si>
  <si>
    <t>M.1.d.1.</t>
  </si>
  <si>
    <t>M.1.d.2.</t>
  </si>
  <si>
    <t>M.1.d.3.</t>
  </si>
  <si>
    <t>M.1.e.</t>
  </si>
  <si>
    <t>M.1.f.</t>
  </si>
  <si>
    <t>M.2.e.</t>
  </si>
  <si>
    <t>M.3.a.1.</t>
  </si>
  <si>
    <t>M.3.a.2.</t>
  </si>
  <si>
    <t>M.3.a.3.</t>
  </si>
  <si>
    <t>M.3.a.4.</t>
  </si>
  <si>
    <t>M.4.a.1.</t>
  </si>
  <si>
    <t>M.4.a.2.</t>
  </si>
  <si>
    <t>M.4.a.3.</t>
  </si>
  <si>
    <t>M.4.a.4.</t>
  </si>
  <si>
    <t>M.4.c.</t>
  </si>
  <si>
    <t>M.7.a.1.</t>
  </si>
  <si>
    <t>M.7.a.2.</t>
  </si>
  <si>
    <t>M.7.b.1.</t>
  </si>
  <si>
    <t>M.7.b.2.</t>
  </si>
  <si>
    <t>c. Total deposits in all other transaction accounts of individuals, partnerships, and corporations</t>
  </si>
  <si>
    <t>RCONP755</t>
  </si>
  <si>
    <t>7. Components of total nontransaction account deposits of individuals, partnerships, and corporations (sum of Memorandum items 7.a.(1), 7.a.(2), 7.b.(1), and 7.b.(2) plus all time deposits of individuals, partnerships, and corporations must equal item 1, column C, above):</t>
  </si>
  <si>
    <t>a. Money market deposit accounts (MMDAs) of individuals, partnerships, and corporations (sum of Memorandum items 7.a.(1) and 7.a.(2) must be less than or equal to Memorandum item 2.a.(1) above):</t>
  </si>
  <si>
    <t>1. Total deposits in those MMDA deposit products intended primarily for individuals for personal, household, or family use</t>
  </si>
  <si>
    <t>RCONP756</t>
  </si>
  <si>
    <t>2. Deposits in all other MMDAs of individuals, partnerships, and corporations</t>
  </si>
  <si>
    <t>RCONP757</t>
  </si>
  <si>
    <t>b. Other savings deposit accounts of individuals, partnerships, and corporations (sum of Memorandum items 7.b.(1) and 7.b.(2) must be less than or equal to Memorandum item 2.a.(2) above):</t>
  </si>
  <si>
    <t>1. Total deposits in those other savings deposit account deposit products intended primarily for individuals for personal, household, or family use</t>
  </si>
  <si>
    <t>RCONP758</t>
  </si>
  <si>
    <t>2. Deposits in all other savings deposit accounts of individuals, partnerships, and corporations</t>
  </si>
  <si>
    <t>RCONP759</t>
  </si>
  <si>
    <t>1. To U.S. branches and agencies of foreign banks</t>
  </si>
  <si>
    <t>2. To other commercial banks in the U.S</t>
  </si>
  <si>
    <t>b. To other depository institutions in the U.S</t>
  </si>
  <si>
    <t>1. To foreign branches of other U.S. banks</t>
  </si>
  <si>
    <t>2. To other banks in foreign countries</t>
  </si>
  <si>
    <t>a. To U.S. addressees (domicile)</t>
  </si>
  <si>
    <t>b. To non-U.S. addressees (domicile)</t>
  </si>
  <si>
    <t>1. Loans for purchasing or carrying securities (secured and unsecured)</t>
  </si>
  <si>
    <t>2. All other loans (exclude consumer loans)</t>
  </si>
  <si>
    <t>a. Leases to individuals for household, family, and other personal expenditures (i.e., consumer leases)</t>
  </si>
  <si>
    <t>b. All other leases</t>
  </si>
  <si>
    <t>b. Secured by farmland (including farm residential and other improvements)</t>
  </si>
  <si>
    <t>3. Loans to finance agricultural production and other loans to farmers</t>
  </si>
  <si>
    <t>5. Not applicable</t>
  </si>
  <si>
    <t>6. Loans to individuals for household, family, and other personal expenditures (i.e., consumer loans) (includes purchased paper):</t>
  </si>
  <si>
    <t>b. Other revolving credit plans</t>
  </si>
  <si>
    <t>7. Loans to foreign governments and official institutions (including foreign central banks)</t>
  </si>
  <si>
    <t>8. Obligations (other than securities and leases) of states and political subdivisions in the U.S</t>
  </si>
  <si>
    <t>a. Loans to nondepository financial institutions</t>
  </si>
  <si>
    <t>10. Lease financing receivables (net of unearned income)</t>
  </si>
  <si>
    <t>11. LESS: Any unearned income on loans reflected in items 1-9 above</t>
  </si>
  <si>
    <t>1. Loans restructured in troubled debt restructurings that are in compliance with their modified terms (included in Schedule RC-C, part 1, and not reported as past due or nonaccrual in Schedule RC-N, Memorandum item 1):</t>
  </si>
  <si>
    <t>1. To U.S. addressees (domicile)</t>
  </si>
  <si>
    <t>2. To non-U.S. addressees (domicile)</t>
  </si>
  <si>
    <t>f. All other loans (include loans to individuals for household, family, and other personal expenditures)</t>
  </si>
  <si>
    <t>4. Loans to individuals for household, family, and other personal expenditures:</t>
  </si>
  <si>
    <t>5. Loans to foreign governments and official institutions</t>
  </si>
  <si>
    <t>6. Other loans</t>
  </si>
  <si>
    <t>2. Maturity and repricing data for loans and leases (excluding those in nonaccrual status):</t>
  </si>
  <si>
    <t>a. Outstanding balance</t>
  </si>
  <si>
    <t>a. Loans secured by real estate</t>
  </si>
  <si>
    <t>RCONB534</t>
  </si>
  <si>
    <t>RCON1763</t>
  </si>
  <si>
    <t>RCON1764</t>
  </si>
  <si>
    <t>RCON1545</t>
  </si>
  <si>
    <t>RCONJ451</t>
  </si>
  <si>
    <t>RCONF158</t>
  </si>
  <si>
    <t>RCONF159</t>
  </si>
  <si>
    <t>RCON1420</t>
  </si>
  <si>
    <t>RCON1797</t>
  </si>
  <si>
    <t>RCON5367</t>
  </si>
  <si>
    <t>RCON5368</t>
  </si>
  <si>
    <t>RCON1460</t>
  </si>
  <si>
    <t>RCONF160</t>
  </si>
  <si>
    <t>RCONF161</t>
  </si>
  <si>
    <t>RCON1590</t>
  </si>
  <si>
    <t>RCONB538</t>
  </si>
  <si>
    <t>RCONB539</t>
  </si>
  <si>
    <t>RCONK137</t>
  </si>
  <si>
    <t>RCONK207</t>
  </si>
  <si>
    <t>RCON2081</t>
  </si>
  <si>
    <t>RCON2107</t>
  </si>
  <si>
    <t>RCONJ454</t>
  </si>
  <si>
    <t>RCON2165</t>
  </si>
  <si>
    <t>RCON2123</t>
  </si>
  <si>
    <t>RCON2122</t>
  </si>
  <si>
    <t>RCONK158</t>
  </si>
  <si>
    <t>RCONK159</t>
  </si>
  <si>
    <t>RCONF576</t>
  </si>
  <si>
    <t>RCONK160</t>
  </si>
  <si>
    <t>RCONK161</t>
  </si>
  <si>
    <t>RCONK162</t>
  </si>
  <si>
    <t>RCONK166</t>
  </si>
  <si>
    <t>RCONA564</t>
  </si>
  <si>
    <t>RCONA565</t>
  </si>
  <si>
    <t>RCONA566</t>
  </si>
  <si>
    <t>RCONA567</t>
  </si>
  <si>
    <t>RCONA568</t>
  </si>
  <si>
    <t>RCONA569</t>
  </si>
  <si>
    <t>RCON5370</t>
  </si>
  <si>
    <t>2.c.1.</t>
  </si>
  <si>
    <t>2.c.2.</t>
  </si>
  <si>
    <t>9.b.1.</t>
  </si>
  <si>
    <t>9.b.2.</t>
  </si>
  <si>
    <t>9.a.</t>
  </si>
  <si>
    <t>9.b.</t>
  </si>
  <si>
    <t>M.1.e.1.</t>
  </si>
  <si>
    <t>M.1.e.2.</t>
  </si>
  <si>
    <t>M.1.f.1.</t>
  </si>
  <si>
    <t>M.1.f.2.</t>
  </si>
  <si>
    <t>M.1.f.3.</t>
  </si>
  <si>
    <t>M.1.f.4.</t>
  </si>
  <si>
    <t>M.1.f.4.a.</t>
  </si>
  <si>
    <t>M.1.f.4.b.</t>
  </si>
  <si>
    <t>M.1.f.4.c.</t>
  </si>
  <si>
    <t>M.1.f.5.</t>
  </si>
  <si>
    <t>M.1.f.6.</t>
  </si>
  <si>
    <t>M.1.f.6.a.</t>
  </si>
  <si>
    <t>M.10.a.</t>
  </si>
  <si>
    <t>M.10.b.</t>
  </si>
  <si>
    <t>RCCI</t>
  </si>
  <si>
    <t>RCON6999</t>
  </si>
  <si>
    <t>2. Report the total number of loans currently outstanding for each of the following Schedule RC-C, part I, loan categories:</t>
  </si>
  <si>
    <t>RCON5562</t>
  </si>
  <si>
    <t>RCON5563</t>
  </si>
  <si>
    <t>a. With original amounts of $100,000 or less</t>
  </si>
  <si>
    <t>RCON5564</t>
  </si>
  <si>
    <t>b. With original amounts of more than $100,000 through $250,000</t>
  </si>
  <si>
    <t>RCON5566</t>
  </si>
  <si>
    <t>c. With original amounts of more than $250,000 through $1,000,000</t>
  </si>
  <si>
    <t>RCON5568</t>
  </si>
  <si>
    <t>RCON5570</t>
  </si>
  <si>
    <t>RCON5572</t>
  </si>
  <si>
    <t>RCON5574</t>
  </si>
  <si>
    <t>RCON5565</t>
  </si>
  <si>
    <t>RCON5569</t>
  </si>
  <si>
    <t>RCON5571</t>
  </si>
  <si>
    <t>RCON5575</t>
  </si>
  <si>
    <t>6. Report the total number of loans currently outstanding for each of the following Schedule RC-C, part I, loan categories:</t>
  </si>
  <si>
    <t>RCON5578</t>
  </si>
  <si>
    <t>RCON5580</t>
  </si>
  <si>
    <t>RCON5582</t>
  </si>
  <si>
    <t>RCON5584</t>
  </si>
  <si>
    <t>RCON5586</t>
  </si>
  <si>
    <t>RCON5588</t>
  </si>
  <si>
    <t>RCON5579</t>
  </si>
  <si>
    <t>RCON5581</t>
  </si>
  <si>
    <t>RCON5583</t>
  </si>
  <si>
    <t>RCON5585</t>
  </si>
  <si>
    <t>RCON5587</t>
  </si>
  <si>
    <t>RCON5589</t>
  </si>
  <si>
    <t>3.c.</t>
  </si>
  <si>
    <t>8.a.</t>
  </si>
  <si>
    <t>8.b.</t>
  </si>
  <si>
    <t>8.c.</t>
  </si>
  <si>
    <t>RCCII</t>
  </si>
  <si>
    <t>1. Accrued interest receivable</t>
  </si>
  <si>
    <t>2. Net deferred tax assets</t>
  </si>
  <si>
    <t>3. Interest-only strips receivable (not in the form of a security) on:</t>
  </si>
  <si>
    <t>a. Mortgage loans</t>
  </si>
  <si>
    <t>b. Other financial assets</t>
  </si>
  <si>
    <t>4. Equity securities that DO NOT have readily determinable fair values</t>
  </si>
  <si>
    <t>RCON1752</t>
  </si>
  <si>
    <t>5. Life insurance assets:</t>
  </si>
  <si>
    <t>a. General account life insurance assets</t>
  </si>
  <si>
    <t>b. Separate account life insurance assets</t>
  </si>
  <si>
    <t>c. Hybrid account life insurance assets</t>
  </si>
  <si>
    <t>6. All other assets (itemize and describe amounts greater than $25,000 that exceed 25% of this item)</t>
  </si>
  <si>
    <t>a. Prepaid expenses</t>
  </si>
  <si>
    <t>b. Repossessed personal property (including vehicles)</t>
  </si>
  <si>
    <t>c. Derivatives with a positive fair value held for purposes other than trading</t>
  </si>
  <si>
    <t>d. Retained interests in accrued interest receivable related to securitized credit cards</t>
  </si>
  <si>
    <t>e. FDIC loss-sharing indemnification assets</t>
  </si>
  <si>
    <t>f. Not applicable</t>
  </si>
  <si>
    <t>1. Describe component</t>
  </si>
  <si>
    <t>2. Amount of component</t>
  </si>
  <si>
    <t xml:space="preserve">7. Total (sum of items 1 through 6) (must equal Schedule RC, item 11) </t>
  </si>
  <si>
    <t>6.e.</t>
  </si>
  <si>
    <t>6.f.</t>
  </si>
  <si>
    <t>RCF</t>
  </si>
  <si>
    <t>RCG</t>
  </si>
  <si>
    <t>RCON3645</t>
  </si>
  <si>
    <t>b. Other expenses accrued and unpaid (includes accrued income taxes payable)</t>
  </si>
  <si>
    <t>2. Net deferred tax liabilities</t>
  </si>
  <si>
    <t>3. Allowance for credit losses on off-balance sheet credit exposures</t>
  </si>
  <si>
    <t>4. All other liabilities (itemize and describe amounts greater than $25,000 that exceed 25 percent of this item)</t>
  </si>
  <si>
    <t>a. Accounts payable</t>
  </si>
  <si>
    <t>b. Deferred compensation liabilities</t>
  </si>
  <si>
    <t>c. Dividends declared but not yet payable</t>
  </si>
  <si>
    <t>d. Derivatives with a negative fair value held for purposes other than trading</t>
  </si>
  <si>
    <t>f. Disclose component and the dollar amount of that component:</t>
  </si>
  <si>
    <t xml:space="preserve">5. Total </t>
  </si>
  <si>
    <t>RCK</t>
  </si>
  <si>
    <t>1. Interest-bearing balances due from depository institutions</t>
  </si>
  <si>
    <t>2. U.S. Treasury securities and U.S. Government agency obligations (excluding mortgage-backed securities)</t>
  </si>
  <si>
    <t>3. Mortgage-backed securities</t>
  </si>
  <si>
    <t>4. All other securities (includes securities issued by states and political subdivisions in the U.S.)</t>
  </si>
  <si>
    <t>5. Federal funds sold and securities purchased under agreements to resell</t>
  </si>
  <si>
    <t>RCON3360</t>
  </si>
  <si>
    <t>RCON3465</t>
  </si>
  <si>
    <t>RCON3466</t>
  </si>
  <si>
    <t>c. Commercial and industrial loans</t>
  </si>
  <si>
    <t>RCON3387</t>
  </si>
  <si>
    <t>d. Loans to individuals for household, family, and other personal expenditures:</t>
  </si>
  <si>
    <t>RCONB561</t>
  </si>
  <si>
    <t>RCONB562</t>
  </si>
  <si>
    <t>7. Trading assets</t>
  </si>
  <si>
    <t>8. Lease financing receivables (net of unearned income)</t>
  </si>
  <si>
    <t>9. Total assets</t>
  </si>
  <si>
    <t>RCON3485</t>
  </si>
  <si>
    <t>RCONB563</t>
  </si>
  <si>
    <t>RCONA514</t>
  </si>
  <si>
    <t>RCONA529</t>
  </si>
  <si>
    <t>RCON3386</t>
  </si>
  <si>
    <t>11.a.</t>
  </si>
  <si>
    <t>11.b.</t>
  </si>
  <si>
    <t>11.c.</t>
  </si>
  <si>
    <t>a. Revolving, open-end lines secured by 1-4 family residential properties, i.e., home equity lines</t>
  </si>
  <si>
    <t>RCONJ477</t>
  </si>
  <si>
    <t>RCONJ478</t>
  </si>
  <si>
    <t>b. Credit card lines (Sum of items 1.b.(1) and 1.b.(2) must equal item 1.b)</t>
  </si>
  <si>
    <t>1. Unused consumer credit card lines</t>
  </si>
  <si>
    <t>2. Other unused credit card lines</t>
  </si>
  <si>
    <t>c. Commitments to fund commercial real estate, construction, and land development loans:</t>
  </si>
  <si>
    <t>1. Secured by real estate:</t>
  </si>
  <si>
    <t>a. 1-4 family residential construction loan commitments</t>
  </si>
  <si>
    <t>b. Commercial real estate, other construction loan, and land development loan commitments</t>
  </si>
  <si>
    <t>2. Not secured by real estate</t>
  </si>
  <si>
    <t>d. Securities underwriting</t>
  </si>
  <si>
    <t>e. Other unused commitments:</t>
  </si>
  <si>
    <t>1. Commercial and industrial loans</t>
  </si>
  <si>
    <t>2. Loans to financial institutions</t>
  </si>
  <si>
    <t>3. All other unused commitments</t>
  </si>
  <si>
    <t>a. Amount of financial standby letters of credit conveyed to others</t>
  </si>
  <si>
    <t>a. Amount of performance standby letters of credit conveyed to others</t>
  </si>
  <si>
    <t>4. Commercial and similar letters of credit</t>
  </si>
  <si>
    <t>6. Securities lent and borrowed:</t>
  </si>
  <si>
    <t>a. Securities lent (including customers' securities lent where the customer is indemnified against loss by the reporting bank)</t>
  </si>
  <si>
    <t>7. Credit derivatives:</t>
  </si>
  <si>
    <t>a. Notional amounts:</t>
  </si>
  <si>
    <t>1. Credit default swaps</t>
  </si>
  <si>
    <t>2. Total return swaps</t>
  </si>
  <si>
    <t>3. Credit options</t>
  </si>
  <si>
    <t>4. Other credit derivatives</t>
  </si>
  <si>
    <t>b. Gross fair values:</t>
  </si>
  <si>
    <t>1. Gross positive fair value</t>
  </si>
  <si>
    <t>2. Gross negative fair value</t>
  </si>
  <si>
    <t>1. Positions covered under the Market Risk Rule:</t>
  </si>
  <si>
    <t>a. Sold protection</t>
  </si>
  <si>
    <t>b. Purchased protection</t>
  </si>
  <si>
    <t>2. All other positions:</t>
  </si>
  <si>
    <t>b. Purchased protection that is recognized as a guarantee for regulatory capital purposes</t>
  </si>
  <si>
    <t>c. Purchased protection that is not recognized as a guarantee for regulatory capital purposes (Column A) Remaining Maturity of One Year or Less</t>
  </si>
  <si>
    <t>d. Notional amounts by remaining maturity:</t>
  </si>
  <si>
    <t>1. Sold credit protection:</t>
  </si>
  <si>
    <t>a. Investment grade</t>
  </si>
  <si>
    <t>b. Subinvestment grade</t>
  </si>
  <si>
    <t>2. Purchased credit protection:</t>
  </si>
  <si>
    <t>b. Subinvestment grade (Column C) Remaining Maturity of Over Five Years</t>
  </si>
  <si>
    <t>8. Spot foreign exchange contracts</t>
  </si>
  <si>
    <t>9. All other off-balance sheet liabilities (exclude derivatives) (itemize and describe each component of this item over 25% of Schedule RC, item 27.a, "Total bank equity capital")</t>
  </si>
  <si>
    <t>a. Not applicable</t>
  </si>
  <si>
    <t>b. Commitments to purchase when-issued securities</t>
  </si>
  <si>
    <t>c. Standby letters of credit issued by another party (e.g., a Federal Home Loan Bank) on the bank's behalf</t>
  </si>
  <si>
    <t>d. Disclose component and the dollar amount of that component:</t>
  </si>
  <si>
    <t>TEXT3555</t>
  </si>
  <si>
    <t>e. Disclose component and the dollar amount of that component:</t>
  </si>
  <si>
    <t>TEXT3556</t>
  </si>
  <si>
    <t>TEXT3557</t>
  </si>
  <si>
    <t>10. All other off-balance sheet assets (exclude derivatives) (itemize and describe each component of this item over 25% of Schedule RC, item 27.a, "Total bank equity capital")</t>
  </si>
  <si>
    <t>a. Commitments to sell when-issued securities</t>
  </si>
  <si>
    <t>b. Disclose component and the dollar amount of that component:</t>
  </si>
  <si>
    <t>TEXT5592</t>
  </si>
  <si>
    <t>c. Disclose component and the dollar amount of that component:</t>
  </si>
  <si>
    <t>TEXT5593</t>
  </si>
  <si>
    <t>TEXT5594</t>
  </si>
  <si>
    <t>TEXT5595</t>
  </si>
  <si>
    <t>11. Year-to-date merchant credit card sales volume:</t>
  </si>
  <si>
    <t>a. Sales for which the reporting bank is the acquiring bank</t>
  </si>
  <si>
    <t xml:space="preserve">b. Sales for which the reporting bank is the agent bank with risk </t>
  </si>
  <si>
    <t>(Column A) Interest Rate Contracts</t>
  </si>
  <si>
    <t>12. Gross amounts (e.g., notional amounts):</t>
  </si>
  <si>
    <t>a. Futures contracts</t>
  </si>
  <si>
    <t>b. Forward contracts</t>
  </si>
  <si>
    <t>c. Exchange-traded option contracts:</t>
  </si>
  <si>
    <t>1. Written options</t>
  </si>
  <si>
    <t>2. Purchased options</t>
  </si>
  <si>
    <t>d. Over-the-counter option contracts:</t>
  </si>
  <si>
    <t>e. Swaps</t>
  </si>
  <si>
    <t>13. Total gross notional amount of derivative contracts held for trading</t>
  </si>
  <si>
    <t>14. Total gross notional amount of derivative contracts held for purposes other than trading</t>
  </si>
  <si>
    <t>a. Interest rate swaps where the bank has agreed to pay a fixed rate</t>
  </si>
  <si>
    <t>15. Gross fair values of derivative contracts:</t>
  </si>
  <si>
    <t>a. Contracts held for trading:</t>
  </si>
  <si>
    <t>b. Contracts held for purposes other than trading:</t>
  </si>
  <si>
    <t>(Column B) Foreign Exchange Contracts</t>
  </si>
  <si>
    <t>(Column C) Equity Derivative Contracts</t>
  </si>
  <si>
    <t>(Column D) Commodity and Other Contracts</t>
  </si>
  <si>
    <t xml:space="preserve">2. Gross negative fair value </t>
  </si>
  <si>
    <t>1.b.1.</t>
  </si>
  <si>
    <t>1.b.2.</t>
  </si>
  <si>
    <t>1.c.1.a.</t>
  </si>
  <si>
    <t>1.c.1.b.</t>
  </si>
  <si>
    <t>1.e.3.</t>
  </si>
  <si>
    <t>7.a.1.</t>
  </si>
  <si>
    <t>7.a.2.</t>
  </si>
  <si>
    <t>7.a.3.</t>
  </si>
  <si>
    <t>7.a.4.</t>
  </si>
  <si>
    <t>7.b.1.</t>
  </si>
  <si>
    <t>7.b.2.</t>
  </si>
  <si>
    <t>7.c.1.a.</t>
  </si>
  <si>
    <t>7.c.1.b.</t>
  </si>
  <si>
    <t>7.c.2.a.</t>
  </si>
  <si>
    <t>7.c.2.b.</t>
  </si>
  <si>
    <t>7.c.2.c.</t>
  </si>
  <si>
    <t>7.d.1.</t>
  </si>
  <si>
    <t>7.d.1.a.</t>
  </si>
  <si>
    <t>7.d.1.b.</t>
  </si>
  <si>
    <t>7.d.2.</t>
  </si>
  <si>
    <t>7.d.2.a.</t>
  </si>
  <si>
    <t>7.d.2.b.</t>
  </si>
  <si>
    <t>9.c.</t>
  </si>
  <si>
    <t>9.d.</t>
  </si>
  <si>
    <t>9.d.1.</t>
  </si>
  <si>
    <t>9.d.2.</t>
  </si>
  <si>
    <t>9.e.</t>
  </si>
  <si>
    <t>9.e.1.</t>
  </si>
  <si>
    <t>9.e.2.</t>
  </si>
  <si>
    <t>9.f.</t>
  </si>
  <si>
    <t>9.f.1.</t>
  </si>
  <si>
    <t>9.f.2.</t>
  </si>
  <si>
    <t>10.b.1.</t>
  </si>
  <si>
    <t>10.b.2.</t>
  </si>
  <si>
    <t>10.c.</t>
  </si>
  <si>
    <t>10.c.1.</t>
  </si>
  <si>
    <t>10.c.2.</t>
  </si>
  <si>
    <t>10.d.</t>
  </si>
  <si>
    <t>10.d.1.</t>
  </si>
  <si>
    <t>10.d.2.</t>
  </si>
  <si>
    <t>10.e.</t>
  </si>
  <si>
    <t>10.e.1.</t>
  </si>
  <si>
    <t>10.e.2.</t>
  </si>
  <si>
    <t>12.a.</t>
  </si>
  <si>
    <t>12.b.</t>
  </si>
  <si>
    <t>12.c.</t>
  </si>
  <si>
    <t>12.c.1.</t>
  </si>
  <si>
    <t>12.c.2.</t>
  </si>
  <si>
    <t>12.d.</t>
  </si>
  <si>
    <t>12.d.1.</t>
  </si>
  <si>
    <t>12.d.2.</t>
  </si>
  <si>
    <t>12.e.</t>
  </si>
  <si>
    <t>15.a.</t>
  </si>
  <si>
    <t>15.a.1.</t>
  </si>
  <si>
    <t>15.a.2.</t>
  </si>
  <si>
    <t>15.b.</t>
  </si>
  <si>
    <t>15.b.1.</t>
  </si>
  <si>
    <t>15.b.2.</t>
  </si>
  <si>
    <t>RCL</t>
  </si>
  <si>
    <t>2. Intangible assets other than goodwill:</t>
  </si>
  <si>
    <t>a. Mortgage servicing assets</t>
  </si>
  <si>
    <t>1. Estimated fair value of mortgage servicing assets</t>
  </si>
  <si>
    <t>b. Purchased credit card relationships and nonmortgage servicing assets</t>
  </si>
  <si>
    <t>c. All other identifiable intangible assets</t>
  </si>
  <si>
    <t>d. Total (sum of items 2.a, 2.b, and 2.c) (must equal Schedule RC, item 10.b)</t>
  </si>
  <si>
    <t>3. Other real estate owned:</t>
  </si>
  <si>
    <t>RCON5508</t>
  </si>
  <si>
    <t>RCON5509</t>
  </si>
  <si>
    <t>RCON5510</t>
  </si>
  <si>
    <t>RCON5511</t>
  </si>
  <si>
    <t>RCON5512</t>
  </si>
  <si>
    <t>f. Foreclosed properties from "GNMA loans"</t>
  </si>
  <si>
    <t>RCONC979</t>
  </si>
  <si>
    <t>4. Not applicable</t>
  </si>
  <si>
    <t>5. Other borrowed money:</t>
  </si>
  <si>
    <t>a. Federal Home Loan Bank advances:</t>
  </si>
  <si>
    <t>1. Advances with a remaining maturity or next repricing date of:</t>
  </si>
  <si>
    <t>a. One year or less</t>
  </si>
  <si>
    <t>b. Over one year through three years</t>
  </si>
  <si>
    <t>c. Over three years through five years</t>
  </si>
  <si>
    <t>d. Over five years</t>
  </si>
  <si>
    <t>2. Advances with a remaining maturity of one year or less (included in item 5.a.(1)(a) above)</t>
  </si>
  <si>
    <t>3. Structured advances (included in items 5.a.(1)(a) - (d) above)</t>
  </si>
  <si>
    <t>b. Other borrowings:</t>
  </si>
  <si>
    <t>1. Other borrowings with a remaining maturity of next repricing date of:</t>
  </si>
  <si>
    <t>2. Other borrowings with a remaining maturity of one year or less (included in item 5.b.(1)(a) above)</t>
  </si>
  <si>
    <t>c. Total (sum of items 5.a.(1)(a)-(d) and items 5.b.(1)(a)-(d)) (must equal Schedule RC, item 16)</t>
  </si>
  <si>
    <t>6. Does the reporting bank sell private label or third party mutual funds and annuities?</t>
  </si>
  <si>
    <t>7. Assets under the reporting bank's management in proprietary mutual funds and annuities</t>
  </si>
  <si>
    <t>8. Internet Web site addresses and physical office trade names:</t>
  </si>
  <si>
    <t>TEXT4087</t>
  </si>
  <si>
    <t>1. URL 1</t>
  </si>
  <si>
    <t>TE01N528</t>
  </si>
  <si>
    <t>2. URL 2</t>
  </si>
  <si>
    <t>TE02N528</t>
  </si>
  <si>
    <t>3. URL 3</t>
  </si>
  <si>
    <t>TE03N528</t>
  </si>
  <si>
    <t>4. URL 4</t>
  </si>
  <si>
    <t>TE04N528</t>
  </si>
  <si>
    <t>5. URL 5</t>
  </si>
  <si>
    <t>TE05N528</t>
  </si>
  <si>
    <t>6. URL 6</t>
  </si>
  <si>
    <t>TE06N528</t>
  </si>
  <si>
    <t>7. URL 7</t>
  </si>
  <si>
    <t>TE07N528</t>
  </si>
  <si>
    <t>8. URL 8</t>
  </si>
  <si>
    <t>TE08N528</t>
  </si>
  <si>
    <t>9. URL 9</t>
  </si>
  <si>
    <t>TE09N528</t>
  </si>
  <si>
    <t>10. URL 10</t>
  </si>
  <si>
    <t>TE10N528</t>
  </si>
  <si>
    <t>c. Trade names other than the reporting institution's legal title used to identify one or more of the institution's physical offices at which deposits are accepted or solicited from the public, if any:</t>
  </si>
  <si>
    <t>1. Trade name 1</t>
  </si>
  <si>
    <t>TE01N529</t>
  </si>
  <si>
    <t>2. Trade name 2</t>
  </si>
  <si>
    <t>TE02N529</t>
  </si>
  <si>
    <t>3. Trade name 3</t>
  </si>
  <si>
    <t>TE03N529</t>
  </si>
  <si>
    <t>4. Trade name 4</t>
  </si>
  <si>
    <t>TE04N529</t>
  </si>
  <si>
    <t>5. Trade name 5</t>
  </si>
  <si>
    <t>TE05N529</t>
  </si>
  <si>
    <t>6. Trade name 6</t>
  </si>
  <si>
    <t>TE06N529</t>
  </si>
  <si>
    <t>9. Do any of the bank's Internet Web sites have transactional capability, i.e., allow the bank's customers to execute transactions on their accounts through the Web site?</t>
  </si>
  <si>
    <t>10. Secured liabilities:</t>
  </si>
  <si>
    <t>RCONF064</t>
  </si>
  <si>
    <t>b. Amount of "Other borrowings" that are secured (included in Schedule RC-M, items 5.b.(1)(a) - (d))</t>
  </si>
  <si>
    <t>11. Does the bank act as trustee or custodian for Individual Retirement Accounts, Health Savings Accounts, and other similar accounts?</t>
  </si>
  <si>
    <t>RCONG463</t>
  </si>
  <si>
    <t>12. Does the bank provide custody, safekeeping, or other services involving the acceptance of orders for the sale or purchase of securities?</t>
  </si>
  <si>
    <t>RCONG464</t>
  </si>
  <si>
    <t>13. Assets covered by loss-sharing agreements with the FDIC:</t>
  </si>
  <si>
    <t>a. Loans and leases (included in Schedule RC, items 4.a and 4.b):</t>
  </si>
  <si>
    <t>RCONK169</t>
  </si>
  <si>
    <t>RCONK170</t>
  </si>
  <si>
    <t>RCONK171</t>
  </si>
  <si>
    <t>RCONK172</t>
  </si>
  <si>
    <t>RCONK173</t>
  </si>
  <si>
    <t>RCONK174</t>
  </si>
  <si>
    <t>RCONK175</t>
  </si>
  <si>
    <t>RCONK176</t>
  </si>
  <si>
    <t>RCONK177</t>
  </si>
  <si>
    <t>2. Not applicable</t>
  </si>
  <si>
    <t>3. Commercial and industrial loans</t>
  </si>
  <si>
    <t>5. All other loans and all leases</t>
  </si>
  <si>
    <t>a. Loans to depository institutions and acceptances of other banks</t>
  </si>
  <si>
    <t>b. Loans to foreign governments and official institutions</t>
  </si>
  <si>
    <t>c. Other loans</t>
  </si>
  <si>
    <t>d. Lease financing receivables</t>
  </si>
  <si>
    <t>b. Other real estate owned (included in Schedule RC, item 7):</t>
  </si>
  <si>
    <t>RCONK187</t>
  </si>
  <si>
    <t>RCONK188</t>
  </si>
  <si>
    <t>RCONK189</t>
  </si>
  <si>
    <t>RCONK190</t>
  </si>
  <si>
    <t>RCONK191</t>
  </si>
  <si>
    <t>c. Debt securities (included in Schedule RC, items 2.a and 2.b)</t>
  </si>
  <si>
    <t>d. Other assets (exclude FDIC loss-sharing indemnification assets)</t>
  </si>
  <si>
    <t>14. Captive insurance and reinsurance subsidiaries:</t>
  </si>
  <si>
    <t>a. Total assets of captive insurance subsidiaries</t>
  </si>
  <si>
    <t>b. Total assets of captive reinsurance subsidiaries</t>
  </si>
  <si>
    <t xml:space="preserve">15. Qualified Thrift Lender (QTL) test: </t>
  </si>
  <si>
    <t>RCONL133</t>
  </si>
  <si>
    <t>b. Has the institution been in compliance with the HOLA QTL test as of each month end during the quarter or the IRS DBLA test for its most recent taxable year, as applicable?</t>
  </si>
  <si>
    <t>RCONL135</t>
  </si>
  <si>
    <t>16. International remittance transfers offered to consumers:</t>
  </si>
  <si>
    <t>a. As of the report date, did your institution offer to consumers in any state any of the following mechanisms for sending international remittance transfers?</t>
  </si>
  <si>
    <t>1. International wire transfers</t>
  </si>
  <si>
    <t>RCONN517</t>
  </si>
  <si>
    <t>2. International ACH transactions</t>
  </si>
  <si>
    <t>RCONN518</t>
  </si>
  <si>
    <t>3. Other proprietary services operated by your institution</t>
  </si>
  <si>
    <t>RCONN519</t>
  </si>
  <si>
    <t>RCONN520</t>
  </si>
  <si>
    <t>RCONN521</t>
  </si>
  <si>
    <t>RCONN522</t>
  </si>
  <si>
    <t>1. Estimated number of international remittance transfers</t>
  </si>
  <si>
    <t>RCONN523</t>
  </si>
  <si>
    <t>2. Estimated dollar value of international remittance transfers</t>
  </si>
  <si>
    <t>RCONN524</t>
  </si>
  <si>
    <t>RCONN527</t>
  </si>
  <si>
    <t>3.d.</t>
  </si>
  <si>
    <t>3.e.</t>
  </si>
  <si>
    <t>3.f.</t>
  </si>
  <si>
    <t>3.g.</t>
  </si>
  <si>
    <t>5.a.1.a.</t>
  </si>
  <si>
    <t>5.a.1.b.</t>
  </si>
  <si>
    <t>5.a.1.c.</t>
  </si>
  <si>
    <t>5.a.1.d.</t>
  </si>
  <si>
    <t>5.b.1.a.</t>
  </si>
  <si>
    <t>5.b.1.b.</t>
  </si>
  <si>
    <t>5.b.1.c.</t>
  </si>
  <si>
    <t>5.b.1.d.</t>
  </si>
  <si>
    <t>8.b.1.</t>
  </si>
  <si>
    <t>8.b.2.</t>
  </si>
  <si>
    <t>8.b.3.</t>
  </si>
  <si>
    <t>8.b.4.</t>
  </si>
  <si>
    <t>8.b.5.</t>
  </si>
  <si>
    <t>8.b.6.</t>
  </si>
  <si>
    <t>8.b.7.</t>
  </si>
  <si>
    <t>8.b.8.</t>
  </si>
  <si>
    <t>8.b.9.</t>
  </si>
  <si>
    <t>8.b.10.</t>
  </si>
  <si>
    <t>8.c.1.</t>
  </si>
  <si>
    <t>8.c.2.</t>
  </si>
  <si>
    <t>8.c.3.</t>
  </si>
  <si>
    <t>8.c.4.</t>
  </si>
  <si>
    <t>8.c.5.</t>
  </si>
  <si>
    <t>8.c.6.</t>
  </si>
  <si>
    <t>13.a.1.a.</t>
  </si>
  <si>
    <t>13.a.1.a.1.</t>
  </si>
  <si>
    <t>13.a.1.a.2.</t>
  </si>
  <si>
    <t>13.a.1.b.</t>
  </si>
  <si>
    <t>13.a.1.c.</t>
  </si>
  <si>
    <t>13.a.1.c.1.</t>
  </si>
  <si>
    <t>13.a.1.c.2.</t>
  </si>
  <si>
    <t>13.a.1.c.2.a.</t>
  </si>
  <si>
    <t>13.a.1.c.2.b.</t>
  </si>
  <si>
    <t>13.a.1.d.</t>
  </si>
  <si>
    <t>13.a.1.e.</t>
  </si>
  <si>
    <t>13.a.1.e.1.</t>
  </si>
  <si>
    <t>13.a.1.e.2.</t>
  </si>
  <si>
    <t>13.a.3.</t>
  </si>
  <si>
    <t>13.a.4.</t>
  </si>
  <si>
    <t>13.a.4.a.</t>
  </si>
  <si>
    <t>13.a.4.b.</t>
  </si>
  <si>
    <t>13.a.4.c.</t>
  </si>
  <si>
    <t>13.a.5.</t>
  </si>
  <si>
    <t>13.a.5.a.</t>
  </si>
  <si>
    <t>13.a.5.b.</t>
  </si>
  <si>
    <t>13.a.5.c.</t>
  </si>
  <si>
    <t>13.a.5.d.</t>
  </si>
  <si>
    <t>13.b.1.</t>
  </si>
  <si>
    <t>13.b.2.</t>
  </si>
  <si>
    <t>13.b.3.</t>
  </si>
  <si>
    <t>13.b.4.</t>
  </si>
  <si>
    <t>13.b.5.</t>
  </si>
  <si>
    <t>13.b.6.</t>
  </si>
  <si>
    <t>13.b.7.</t>
  </si>
  <si>
    <t>13.c.</t>
  </si>
  <si>
    <t>13.d.</t>
  </si>
  <si>
    <t>16.a.</t>
  </si>
  <si>
    <t>16.a.1.</t>
  </si>
  <si>
    <t>16.a.2.</t>
  </si>
  <si>
    <t>16.a.3.</t>
  </si>
  <si>
    <t>16.a.4.</t>
  </si>
  <si>
    <t>16.b.</t>
  </si>
  <si>
    <t>16.c.</t>
  </si>
  <si>
    <t>16.d.1.</t>
  </si>
  <si>
    <t>16.d.2.</t>
  </si>
  <si>
    <t>16.d.3.</t>
  </si>
  <si>
    <t>RCM</t>
  </si>
  <si>
    <t>(Column A) Past due 30</t>
  </si>
  <si>
    <t>(Column B) Past due 90</t>
  </si>
  <si>
    <t>(Column C) Nonaccrual</t>
  </si>
  <si>
    <t>through 89 days and still</t>
  </si>
  <si>
    <t>days or more and still</t>
  </si>
  <si>
    <t>accruing</t>
  </si>
  <si>
    <t>RCONF172</t>
  </si>
  <si>
    <t>RCONF174</t>
  </si>
  <si>
    <t>RCONF176</t>
  </si>
  <si>
    <t>RCONF173</t>
  </si>
  <si>
    <t>RCONF175</t>
  </si>
  <si>
    <t>RCONF177</t>
  </si>
  <si>
    <t>RCON3493</t>
  </si>
  <si>
    <t>RCON3494</t>
  </si>
  <si>
    <t>RCON3495</t>
  </si>
  <si>
    <t>RCON5398</t>
  </si>
  <si>
    <t>RCON5399</t>
  </si>
  <si>
    <t>RCON5400</t>
  </si>
  <si>
    <t>RCONC236</t>
  </si>
  <si>
    <t>RCONC237</t>
  </si>
  <si>
    <t>RCONC229</t>
  </si>
  <si>
    <t>RCONC238</t>
  </si>
  <si>
    <t>RCONC239</t>
  </si>
  <si>
    <t>RCONC230</t>
  </si>
  <si>
    <t>RCON3499</t>
  </si>
  <si>
    <t>RCON3500</t>
  </si>
  <si>
    <t>RCON3501</t>
  </si>
  <si>
    <t>RCONF178</t>
  </si>
  <si>
    <t>RCONF180</t>
  </si>
  <si>
    <t>RCONF182</t>
  </si>
  <si>
    <t>RCONF179</t>
  </si>
  <si>
    <t>RCONF181</t>
  </si>
  <si>
    <t>RCONF183</t>
  </si>
  <si>
    <t>a. Guaranteed portion of loans and leases included in item 10 above, excluding rebooked "GNMA loans"</t>
  </si>
  <si>
    <t>1. Construction, land development, and other land loans:</t>
  </si>
  <si>
    <t>11.a.1.</t>
  </si>
  <si>
    <t>a. 1-4 family residential construction loans</t>
  </si>
  <si>
    <t>RCONK045</t>
  </si>
  <si>
    <t>RCONK046</t>
  </si>
  <si>
    <t>RCONK047</t>
  </si>
  <si>
    <t>11.a.1.a.</t>
  </si>
  <si>
    <t>b. Other construction loans and all land development and other land loans</t>
  </si>
  <si>
    <t>RCONK048</t>
  </si>
  <si>
    <t>RCONK049</t>
  </si>
  <si>
    <t>RCONK050</t>
  </si>
  <si>
    <t>11.a.1.b.</t>
  </si>
  <si>
    <t>2. Secured by farmland</t>
  </si>
  <si>
    <t>RCONK051</t>
  </si>
  <si>
    <t>RCONK052</t>
  </si>
  <si>
    <t>RCONK053</t>
  </si>
  <si>
    <t>11.a.2.</t>
  </si>
  <si>
    <t>11.a.3.</t>
  </si>
  <si>
    <t>RCONK054</t>
  </si>
  <si>
    <t>RCONK055</t>
  </si>
  <si>
    <t>RCONK056</t>
  </si>
  <si>
    <t>11.a.3.a.</t>
  </si>
  <si>
    <t>11.a.3.b.</t>
  </si>
  <si>
    <t>RCONK057</t>
  </si>
  <si>
    <t>RCONK058</t>
  </si>
  <si>
    <t>RCONK059</t>
  </si>
  <si>
    <t>11.a.3.b.1.</t>
  </si>
  <si>
    <t>RCONK060</t>
  </si>
  <si>
    <t>RCONK061</t>
  </si>
  <si>
    <t>RCONK062</t>
  </si>
  <si>
    <t>11.a.3.b.2.</t>
  </si>
  <si>
    <t>RCONK063</t>
  </si>
  <si>
    <t>RCONK064</t>
  </si>
  <si>
    <t>RCONK065</t>
  </si>
  <si>
    <t>11.a.4.</t>
  </si>
  <si>
    <t>5. Secured by nonfarm nonresidential properties:</t>
  </si>
  <si>
    <t>11.a.5.</t>
  </si>
  <si>
    <t>a. Loans secured by owner-occupied nonfarm nonresidential properties</t>
  </si>
  <si>
    <t>RCONK066</t>
  </si>
  <si>
    <t>RCONK067</t>
  </si>
  <si>
    <t>RCONK068</t>
  </si>
  <si>
    <t>11.a.5.a.</t>
  </si>
  <si>
    <t>b. Loans secured by other nonfarm nonresidential properties</t>
  </si>
  <si>
    <t>RCONK069</t>
  </si>
  <si>
    <t>RCONK070</t>
  </si>
  <si>
    <t>RCONK071</t>
  </si>
  <si>
    <t>11.a.5.b.</t>
  </si>
  <si>
    <t>11.d.</t>
  </si>
  <si>
    <t>11.d.1.</t>
  </si>
  <si>
    <t>2. Automobile loans</t>
  </si>
  <si>
    <t>11.d.2.</t>
  </si>
  <si>
    <t>3. Other (includes revolving credit plans other than credit cards and other consumer loans)</t>
  </si>
  <si>
    <t>11.d.3.</t>
  </si>
  <si>
    <t>e. All other loans and all leases</t>
  </si>
  <si>
    <t>11.e.</t>
  </si>
  <si>
    <t>1. Loans to depository institutions and acceptances of other banks...</t>
  </si>
  <si>
    <t>11.e.1.</t>
  </si>
  <si>
    <t>2. Loans to foreign governments and official institutions</t>
  </si>
  <si>
    <t>11.e.2.</t>
  </si>
  <si>
    <t>3. Other loans</t>
  </si>
  <si>
    <t>11.e.3.</t>
  </si>
  <si>
    <t>11.e.3.a.</t>
  </si>
  <si>
    <t>4. Lease financing receivables</t>
  </si>
  <si>
    <t>11.e.4.</t>
  </si>
  <si>
    <t>11.f.</t>
  </si>
  <si>
    <t>1. Loans restructured in troubled debt restructurings included in Schedule RC-N, items 1 through 7, above (and not reported in Schedule RC-C, Part 1, Memorandum item 1):</t>
  </si>
  <si>
    <t>RCONK105</t>
  </si>
  <si>
    <t>RCONK106</t>
  </si>
  <si>
    <t>RCONK107</t>
  </si>
  <si>
    <t>RCONK108</t>
  </si>
  <si>
    <t>RCONK109</t>
  </si>
  <si>
    <t>RCONK110</t>
  </si>
  <si>
    <t>RCONF661</t>
  </si>
  <si>
    <t>RCONF662</t>
  </si>
  <si>
    <t>RCONF663</t>
  </si>
  <si>
    <t>RCONK111</t>
  </si>
  <si>
    <t>RCONK112</t>
  </si>
  <si>
    <t>RCONK113</t>
  </si>
  <si>
    <t>RCONK114</t>
  </si>
  <si>
    <t>RCONK115</t>
  </si>
  <si>
    <t>RCONK116</t>
  </si>
  <si>
    <t>RCONK117</t>
  </si>
  <si>
    <t>RCONK118</t>
  </si>
  <si>
    <t>RCONK119</t>
  </si>
  <si>
    <t>RCONK130</t>
  </si>
  <si>
    <t>RCONK131</t>
  </si>
  <si>
    <t>RCONK132</t>
  </si>
  <si>
    <t>2. Loans to depository institutions and acceptances of other banks...</t>
  </si>
  <si>
    <t>2. Loans to finance commercial real estate, construction, and land development activities (not secured by real estate) included in Schedule RC-N, items 4 and 7, above</t>
  </si>
  <si>
    <t xml:space="preserve">5. Loans and leases held for sale and loans measured at fair value (included in Schedule RC-N, items 1 through 8, above): </t>
  </si>
  <si>
    <t>b. Loans measured at fair value:</t>
  </si>
  <si>
    <t>1. Fair value</t>
  </si>
  <si>
    <t>M.5.b.1.</t>
  </si>
  <si>
    <t>2. Unpaid principal balance</t>
  </si>
  <si>
    <t>M.5.b.2.</t>
  </si>
  <si>
    <t>6. Derivative contracts: Fair value of amounts carried as assets</t>
  </si>
  <si>
    <t>7. Additions to nonaccrual assets during the quarter</t>
  </si>
  <si>
    <t>8. Nonaccrual assets sold during the quarter</t>
  </si>
  <si>
    <t>RCN</t>
  </si>
  <si>
    <t>1. Total deposit liabilities before exclusions (gross) as defined in Section 3(l) of the Federal Deposit Insurance Act and FDIC regulations</t>
  </si>
  <si>
    <t>4. Average consolidated total assets for the calendar quarter</t>
  </si>
  <si>
    <t>a. Averaging method used (for daily averaging, enter 1; for weekly averaging, enter 2)</t>
  </si>
  <si>
    <t>5. Average tangible equity for the calendar quarter</t>
  </si>
  <si>
    <t>6. Holdings of long-term unsecured debt issued by other FDIC-insured depository institutions</t>
  </si>
  <si>
    <t>7. Unsecured "Other borrowings" with a remaining maturity of (sum of items 7.a through 7.d must be less than or equal to Schedule RC-M, items 5.b.(1)(a)-(d) minus item 10.b):</t>
  </si>
  <si>
    <t>8. Subordinated notes and debentures with a remaining maturity of (sum of items 8.a through 8.d must equal Schedule RC, item 19):</t>
  </si>
  <si>
    <t>9. Reciprocal brokered deposits (included in Schedule RC-E, part I, Memorandum item 1.b)</t>
  </si>
  <si>
    <t>RCONG803</t>
  </si>
  <si>
    <t>RCONL190</t>
  </si>
  <si>
    <t>10. Banker's bank certification: Does the reporting institution meet both the statutory definition of a banker's bank and the business conduct test set forth in FDIC regulations? If the answer to item 10 is "YES," complete items 10.a and 10.b</t>
  </si>
  <si>
    <t>a. Banker's bank deduction</t>
  </si>
  <si>
    <t>b. Banker's bank deduction limit</t>
  </si>
  <si>
    <t>11. Custodial bank certification: Does the reporting institution meet the definition of a custodial bank set forth in FDIC regulations? If the answer to item 11 is "YES," complete items 11.a and 11.b</t>
  </si>
  <si>
    <t>a. Custodial bank deduction</t>
  </si>
  <si>
    <t>8.d.</t>
  </si>
  <si>
    <t>RCO</t>
  </si>
  <si>
    <t>1. Total deposit liabilities of the bank (including related interest accrued and unpaid) less allowable exclusions (including related interest accrued and unpaid) (sum of Memorandum items 1.a.(1), 1.b.(1), 1.c.(1), and 1.d.(1) must equal Schedule RC-O, item 1 less item 2):</t>
  </si>
  <si>
    <t>a. Deposit accounts (excluding retirement accounts) of $250,000 or less:</t>
  </si>
  <si>
    <t>1. Amount of deposit accounts (excluding retirement accounts) of $250,000 or less</t>
  </si>
  <si>
    <t>RCONF049</t>
  </si>
  <si>
    <t>2. Number of deposit accounts (excluding retirement accounts) of $250,000 or less</t>
  </si>
  <si>
    <t>RCONF050</t>
  </si>
  <si>
    <t>b. Deposit accounts (excluding retirement accounts) of more than $250,000:</t>
  </si>
  <si>
    <t>1. Amount of deposit accounts (excluding retirement accounts) of more than $250,000</t>
  </si>
  <si>
    <t>RCONF051</t>
  </si>
  <si>
    <t>2. Number of deposit accounts (excluding retirement accounts) of more than $250,000</t>
  </si>
  <si>
    <t>RCONF052</t>
  </si>
  <si>
    <t>c. Retirement deposit accounts of $250,000 or less:</t>
  </si>
  <si>
    <t>1. Amount of retirement deposit accounts of $250,000 or less</t>
  </si>
  <si>
    <t>RCONF045</t>
  </si>
  <si>
    <t>2. Number of retirement deposit accounts of $250,000 or less</t>
  </si>
  <si>
    <t>RCONF046</t>
  </si>
  <si>
    <t>d. Retirement deposit accounts of more than $250,000:</t>
  </si>
  <si>
    <t>1. Amount of retirement deposit accounts of more than $250,000</t>
  </si>
  <si>
    <t>RCONF047</t>
  </si>
  <si>
    <t>2. Number of retirement deposit accounts of more than $250,000</t>
  </si>
  <si>
    <t>RCONF048</t>
  </si>
  <si>
    <t>RCON5597</t>
  </si>
  <si>
    <t>3. Has the reporting institution been consolidated with a parent bank or savings association in that parent bank's or parent savings association's Call Report? If so, report the legal title and FDIC Certificate Number of the parent bank or parent savings association:</t>
  </si>
  <si>
    <t>a. Legal title</t>
  </si>
  <si>
    <t>b. FDIC Certificate Number</t>
  </si>
  <si>
    <t>RCONA545</t>
  </si>
  <si>
    <t>6. Criticized and classified items:</t>
  </si>
  <si>
    <t>a. Special mention</t>
  </si>
  <si>
    <t>b. Substandard</t>
  </si>
  <si>
    <t>c. Doubtful</t>
  </si>
  <si>
    <t>d. Loss</t>
  </si>
  <si>
    <t>7. "Nontraditional 1-4 family residential mortgage loans" as defined for assessment purposes only in FDIC regulations:</t>
  </si>
  <si>
    <t>a. Nontraditional 1-4 family residential mortgage loans</t>
  </si>
  <si>
    <t>b. Securitizations of nontraditional 1-4 family residential mortgage loans</t>
  </si>
  <si>
    <t>8. "Higher-risk consumer loans" as defined for assessment purposes only in FDIC regulations:</t>
  </si>
  <si>
    <t>a. Higher-risk consumer loans</t>
  </si>
  <si>
    <t>b. Securitizations of higher-risk consumer loans</t>
  </si>
  <si>
    <t>9. "Higher-risk commercial and industrial loans and securities" as defined for assessment purposes only in FDIC regulations:</t>
  </si>
  <si>
    <t>a. Higher-risk commercial and industrial loans and securities</t>
  </si>
  <si>
    <t>b. Securitizations of higher-risk commercial and industrial loans and securities</t>
  </si>
  <si>
    <t>a. Total unfunded commitments</t>
  </si>
  <si>
    <t>b. Portion of unfunded commitments guaranteed or insured by the U.S. government (including the FDIC)</t>
  </si>
  <si>
    <t>11. Amount of other real estate owned recoverable from the U.S. government under guarantee or insurance provisions (excluding FDIC loss-sharing agreements)</t>
  </si>
  <si>
    <t>RCONK678</t>
  </si>
  <si>
    <t>a. Construction, land development, and other land loans secured by real estate</t>
  </si>
  <si>
    <t>b. Loans secured by multifamily residential and nonfarm nonresidential properties</t>
  </si>
  <si>
    <t>c. Closed-end loans secured by first liens on 1-4 family residential properties</t>
  </si>
  <si>
    <t>d. Closed-end loans secured by junior liens on 1-4 family residential properties and revolving, open-end loans secured by 1-4 family residential properties and extended under lines of credit</t>
  </si>
  <si>
    <t>f. Credit card loans to individuals for household, family, and other personal expenditures</t>
  </si>
  <si>
    <t>g. All other loans to individuals for household, family, and other personal expenditures</t>
  </si>
  <si>
    <t>h. Non-agency residential mortgage-backed securities</t>
  </si>
  <si>
    <t>14. Amount of the institution's largest counterparty exposure</t>
  </si>
  <si>
    <t>16. Portion of loans restructured in troubled debt restructurings that are in compliance with their modified terms and are guaranteed or insured by the U.S. government (including the FDIC) (included in Schedule RC-C, part I, Memorandum item 1)</t>
  </si>
  <si>
    <t>17. Selected fully consolidated data for deposit insurance assessment purposes:</t>
  </si>
  <si>
    <t>c. Unsecured "Other borrowings" with a remaining maturity of one year or less</t>
  </si>
  <si>
    <t>RCONL197</t>
  </si>
  <si>
    <t>M.1.b.1.</t>
  </si>
  <si>
    <t>M.1.b.2.</t>
  </si>
  <si>
    <t>M.13.c.</t>
  </si>
  <si>
    <t>M.13.d.</t>
  </si>
  <si>
    <t>M.13.e.</t>
  </si>
  <si>
    <t>M.13.f.</t>
  </si>
  <si>
    <t>M.13.g.</t>
  </si>
  <si>
    <t>M.13.h.</t>
  </si>
  <si>
    <t>M.16.</t>
  </si>
  <si>
    <t>M.17.</t>
  </si>
  <si>
    <t>M.17.a.</t>
  </si>
  <si>
    <t>M.17.b.</t>
  </si>
  <si>
    <t>M.17.c.</t>
  </si>
  <si>
    <t>M.17.d.</t>
  </si>
  <si>
    <t>Schedule RC-P - 1-4 Family Residential Mortgage Banking Activities</t>
  </si>
  <si>
    <t>a. Closed-end first liens</t>
  </si>
  <si>
    <t>RCONF066</t>
  </si>
  <si>
    <t>b. Closed-end junior liens</t>
  </si>
  <si>
    <t>RCONF067</t>
  </si>
  <si>
    <t>c. Open-end loans extended under lines of credit:</t>
  </si>
  <si>
    <t>1. Total commitment under the lines of credit</t>
  </si>
  <si>
    <t>RCONF670</t>
  </si>
  <si>
    <t>2. Principal amount funded under the lines of credit</t>
  </si>
  <si>
    <t>RCONF671</t>
  </si>
  <si>
    <t>2. Wholesale originations and purchases during the quarter of 1-4 family residential mortgage loans for sale:</t>
  </si>
  <si>
    <t>RCONF068</t>
  </si>
  <si>
    <t>RCONF069</t>
  </si>
  <si>
    <t>RCONF672</t>
  </si>
  <si>
    <t>RCONF673</t>
  </si>
  <si>
    <t>3. 1-4 family residential mortgages sold during the quarter:</t>
  </si>
  <si>
    <t>RCONF070</t>
  </si>
  <si>
    <t>RCONF071</t>
  </si>
  <si>
    <t>RCONF674</t>
  </si>
  <si>
    <t>RCONF675</t>
  </si>
  <si>
    <t>4. 1-4 family residential mortgages held for sale at quarter-end (included in Schedule RC, item 4.a):</t>
  </si>
  <si>
    <t>RCONF072</t>
  </si>
  <si>
    <t>RCONF073</t>
  </si>
  <si>
    <t>RCONF676</t>
  </si>
  <si>
    <t>RCONF677</t>
  </si>
  <si>
    <t>5. Noninterest income for the quarter from the sale, securitization, and servicing of 1-4 family residential mortgage loans (included in Schedule RI, items 5.c, 5.f, 5.g, and 5.i):</t>
  </si>
  <si>
    <t>a. Closed-end 1-4 family residential mortgage loans</t>
  </si>
  <si>
    <t>RIADF184</t>
  </si>
  <si>
    <t>b. Open-end 1-4 family residential mortgage loans extended under lines of credit</t>
  </si>
  <si>
    <t>RIADF560</t>
  </si>
  <si>
    <t>6. Repurchases and indemnifications of 1-4 family residential mortgage loans during the quarter:</t>
  </si>
  <si>
    <t>RCONF678</t>
  </si>
  <si>
    <t>RCONF679</t>
  </si>
  <si>
    <t>c. Open-end loans extended under line of credit:</t>
  </si>
  <si>
    <t>RCONF680</t>
  </si>
  <si>
    <t>RCONF681</t>
  </si>
  <si>
    <t>7. Representation and warranty reserves for 1-4 family residential mortgage loans sold:</t>
  </si>
  <si>
    <t>a. For representations and warranties made to U.S. government agencies and government-sponsored agencies..</t>
  </si>
  <si>
    <t>RCONL191</t>
  </si>
  <si>
    <t>b. For representations and warranties made to other parties</t>
  </si>
  <si>
    <t>RCONL192</t>
  </si>
  <si>
    <t>RCONM288</t>
  </si>
  <si>
    <t>3.c.1.</t>
  </si>
  <si>
    <t>3.c.2.</t>
  </si>
  <si>
    <t>RCP</t>
  </si>
  <si>
    <t>Schedule RC-R Part I - Regulatory Capital Components and Ratios Dollar amounts in thousands</t>
  </si>
  <si>
    <t>1. Common stock plus related surplus, net of treasury stock and unearned employee stock ownership plan (ESOP) shares</t>
  </si>
  <si>
    <t>2. Retained earnings</t>
  </si>
  <si>
    <t>3. Accumulated other comprehensive income (AOCI)</t>
  </si>
  <si>
    <t>a. AOCI opt-out election (enter "1" for Yes; enter "0" for No.) (Advanced approaches institutions must enter "0" for No.)</t>
  </si>
  <si>
    <t>RCOAP838</t>
  </si>
  <si>
    <t>4. Common equity tier 1 minority interest includable in common equity tier 1 capital</t>
  </si>
  <si>
    <t>5. Common equity tier 1 capital before adjustments and deductions (sum of items 1 through 4)</t>
  </si>
  <si>
    <t>6. LESS: Goodwill net of associated deferred tax liabilities (DTLs)</t>
  </si>
  <si>
    <t>7. LESS: Intangible assets (other than goodwill and mortgage servicing assets (MSAs)), net of associated DTLs</t>
  </si>
  <si>
    <t>9. AOCI-related adjustments (items 9.a through 9.e are effective January 1, 2015) (if entered "1" for Yes in item 3.a, complete only items 9.a through 9.e; if entered "0" for No in item 3.a, complete only item 9.f):</t>
  </si>
  <si>
    <t>a. LESS: Net unrealized gains (losses) on available-for-sale securities (if a gain, report as a positive value; if a loss, report as a negative value)</t>
  </si>
  <si>
    <t>b. LESS: Net unrealized loss on available-for-sale preferred stock classified as an equity security under GAAP and available-for-sale equity exposures (report loss as a positive value)</t>
  </si>
  <si>
    <t>10. Other deductions from (additions to) common equity tier 1 capital before threshold-based deductions:</t>
  </si>
  <si>
    <t>a. LESS: Unrealized net gain (loss) related to changes in the fair value of liabilities that are due to changes in own credit risk (if a gain, report as a positive value; if a loss, report as a negative value)</t>
  </si>
  <si>
    <t>b. LESS: All other deductions from (additions to) common equity tier 1 capital before threshold-based deductions.</t>
  </si>
  <si>
    <t>11. LESS: Non-significant investments in the capital of unconsolidated financial institutions in the form of common stock that exceed the 10 percent threshold for non-significant investments</t>
  </si>
  <si>
    <t>12. Subtotal (item 5 minus items 6 through 11)</t>
  </si>
  <si>
    <t>13. LESS: Significant investments in the capital of unconsolidated financial institutions in the form of common stock, net of associated DTLs, that exceed the 10 percent common equity tier 1 capital deduction threshold</t>
  </si>
  <si>
    <t>17. LESS: Deductions applied to common equity tier 1 capital due to insufficient amounts of additional tier 1 capital and tier 2 capital to cover deductions</t>
  </si>
  <si>
    <t>18. Total adjustments and deductions for common equity tier 1 capital (sum of items 13 through 17)</t>
  </si>
  <si>
    <t>19. Common equity tier 1 capital (item 12 minus item 18)</t>
  </si>
  <si>
    <t>20. Additional tier 1 capital instruments plus related surplus</t>
  </si>
  <si>
    <t>21. Non-qualifying capital instruments subject to phase out from additional tier 1 capital</t>
  </si>
  <si>
    <t>22. Tier 1 minority interest not included in common equity tier 1 capital</t>
  </si>
  <si>
    <t>23. Additional tier 1 capital before deductions (sum of items 20, 21, and 22)</t>
  </si>
  <si>
    <t>24. LESS: Additional tier 1 capital deductions</t>
  </si>
  <si>
    <t>25. Additional tier 1 capital (greater of item 23 minus item 24, or zero)</t>
  </si>
  <si>
    <t>27. Tier 2 capital instruments plus related surplus</t>
  </si>
  <si>
    <t>28. Non-qualifying capital instruments subject to phase out from tier 2 capital</t>
  </si>
  <si>
    <t>29. Total capital minority interest that is not included in tier 1 capital</t>
  </si>
  <si>
    <t>30. Allowance for loan and lease losses and eligible credit reserves includable in tier 2 capital</t>
  </si>
  <si>
    <t>a. Allowance for loan and lease losses includable in tier 2 capital</t>
  </si>
  <si>
    <t>b. (Advanced approaches institutions that exit parallel run only): Eligible credit reserves includable in tier 2 capital.</t>
  </si>
  <si>
    <t>31. Unrealized gains on available-for-sale preferred stock classified as an equity security under GAAP and available-for-sale equity exposures includable in tier 2 capital</t>
  </si>
  <si>
    <t>32. Tier 2 capital before deductions</t>
  </si>
  <si>
    <t>a. Tier 2 capital before deductions (sum of items 27 through 30.a, plus item 31)</t>
  </si>
  <si>
    <t>b. (Advanced approaches institutions that exit parallel run only): Tier 2 capital before deductions (sum of items 27 through 29, plus items 30.b and 31)</t>
  </si>
  <si>
    <t>33. LESS: Tier 2 capital deductions</t>
  </si>
  <si>
    <t>34. Tier 2 capital</t>
  </si>
  <si>
    <t>a. Tier 2 capital (greater of item 32.a minus item 33, or zero)</t>
  </si>
  <si>
    <t>b. (Advanced approaches institutions that exit parallel run only): Tier 2 capital (greater of item 32.b minus item 33, or zero)</t>
  </si>
  <si>
    <t>35. Total capital</t>
  </si>
  <si>
    <t>a. Total capital (sum of items 26 and 34.a)</t>
  </si>
  <si>
    <t>b. (Advanced approaches institutions that exit parallel run only): Total capital (sum of items 26 and 34.b)</t>
  </si>
  <si>
    <t>36. Average total consolidated assets</t>
  </si>
  <si>
    <t>37. LESS: Deductions from common equity tier 1 capital and additional tier 1 capital (sum of items 6, 7, 8, 10.b, 11, 13 through 17, and certain elements of item 24 - see instructions)</t>
  </si>
  <si>
    <t>38. LESS: Other deductions from (additions to) assets for leverage ratio purposes</t>
  </si>
  <si>
    <t>39. Total assets for the leverage ratio (item 36 minus items 37 and 38)</t>
  </si>
  <si>
    <t>40. Total risk-weighted assets</t>
  </si>
  <si>
    <t>a. Total risk-weighted assets (from Schedule RC-R, Part II, item 31)</t>
  </si>
  <si>
    <t>(Column A) Percentage</t>
  </si>
  <si>
    <t>41. Common equity tier 1 capital ratio (Column A: item 19 divided by item 40.a) (Advanced approaches institutions that exit parallel run only: Column B: item 19 divided by item 40.b)</t>
  </si>
  <si>
    <t>42. Tier 1 capital ratio (Column A: item 26 divided by item 40.a) (Advanced approaches institutions that exit parallel run only: Column B: item 26 divided by item 40.b)</t>
  </si>
  <si>
    <t>43. Total capital ratio (Column A: item 35.a divided by item 40.a) (Advanced approaches institutions that exit parallel run only: Column B: item 35.b divided by item 40.b)</t>
  </si>
  <si>
    <t>(Column B) Percentage</t>
  </si>
  <si>
    <t>30.a.</t>
  </si>
  <si>
    <t>30.b.</t>
  </si>
  <si>
    <t>32.a.</t>
  </si>
  <si>
    <t>32.b.</t>
  </si>
  <si>
    <t>34.a.</t>
  </si>
  <si>
    <t>34.b.</t>
  </si>
  <si>
    <t>35.a.</t>
  </si>
  <si>
    <t>35.b.</t>
  </si>
  <si>
    <t>40.a.</t>
  </si>
  <si>
    <t>40.b.</t>
  </si>
  <si>
    <t>RCRI</t>
  </si>
  <si>
    <t>(Column A) Securitization</t>
  </si>
  <si>
    <t>(Column B) ABCP</t>
  </si>
  <si>
    <t>(Column C) Other VIEs</t>
  </si>
  <si>
    <t>Vehicles</t>
  </si>
  <si>
    <t>Conduits</t>
  </si>
  <si>
    <t>1. Assets of consolidated variable interest entities (VIEs) that can be used only to settle obligations of the consolidated VIEs:</t>
  </si>
  <si>
    <t>a. Cash and balances due from depository institutions</t>
  </si>
  <si>
    <t>RCONJ983</t>
  </si>
  <si>
    <t>b. Held-to-maturity securities</t>
  </si>
  <si>
    <t>RCONJ986</t>
  </si>
  <si>
    <t>c. Available-for-sale securities</t>
  </si>
  <si>
    <t>RCONJ989</t>
  </si>
  <si>
    <t>d. Securities purchased under agreements to resell</t>
  </si>
  <si>
    <t>RCONJ992</t>
  </si>
  <si>
    <t>e. Loans and leases held for sale</t>
  </si>
  <si>
    <t>RCONJ995</t>
  </si>
  <si>
    <t>f. Loans and leases, net of unearned income</t>
  </si>
  <si>
    <t>RCONJ998</t>
  </si>
  <si>
    <t>g. Less: Allowance for loan and lease losses</t>
  </si>
  <si>
    <t>RCONK002</t>
  </si>
  <si>
    <t>h. Trading assets (other than derivatives)</t>
  </si>
  <si>
    <t>RCONK005</t>
  </si>
  <si>
    <t>i. Derivative trading assets</t>
  </si>
  <si>
    <t>RCONK008</t>
  </si>
  <si>
    <t>1.i.</t>
  </si>
  <si>
    <t>j. Other real estate owned</t>
  </si>
  <si>
    <t>RCONK011</t>
  </si>
  <si>
    <t>1.j.</t>
  </si>
  <si>
    <t>k. Other assets</t>
  </si>
  <si>
    <t>RCONK014</t>
  </si>
  <si>
    <t>1.k.</t>
  </si>
  <si>
    <t>2. Liabilities of consolidated VIEs for which creditors do not have recourse to the general credit of the reporting bank:</t>
  </si>
  <si>
    <t>a. Securities sold under agreements to repurchase</t>
  </si>
  <si>
    <t>RCONK017</t>
  </si>
  <si>
    <t>b. Derivative trading liabilities</t>
  </si>
  <si>
    <t>RCONK020</t>
  </si>
  <si>
    <t>c. Commercial paper</t>
  </si>
  <si>
    <t>RCONK023</t>
  </si>
  <si>
    <t>d. Other borrowed money (exclude commercial paper)</t>
  </si>
  <si>
    <t>RCONK026</t>
  </si>
  <si>
    <t>e. Other liabilities</t>
  </si>
  <si>
    <t>RCONK029</t>
  </si>
  <si>
    <t>3. All other assets of consolidated VIEs (not included in items 1.a. through 1.k above)</t>
  </si>
  <si>
    <t>RCONK032</t>
  </si>
  <si>
    <t>4. All other liabilities of consolidated VIEs (not included in items 2.a through 2.e above)</t>
  </si>
  <si>
    <t>RCONK035</t>
  </si>
  <si>
    <t>RCV</t>
  </si>
  <si>
    <t>Consolidated Reports of Condition and Income for A Bank With Domestic and Foreign Offices - FFIEC 031</t>
  </si>
  <si>
    <t>Schedule RI-D - Income from Foreign Offices</t>
  </si>
  <si>
    <t>RIADC891</t>
  </si>
  <si>
    <t>RIADC892</t>
  </si>
  <si>
    <t>RIAD4645</t>
  </si>
  <si>
    <t>RIAD4617</t>
  </si>
  <si>
    <t>a. Leases to individuals for household, family, and other personal expenditures</t>
  </si>
  <si>
    <t>RIADC880</t>
  </si>
  <si>
    <t>RIADF188</t>
  </si>
  <si>
    <t>RCFDM708</t>
  </si>
  <si>
    <t>RCFDM709</t>
  </si>
  <si>
    <t>RCFDM710</t>
  </si>
  <si>
    <t>RCFDM711</t>
  </si>
  <si>
    <t>RCFDM712</t>
  </si>
  <si>
    <t>RCFDM713</t>
  </si>
  <si>
    <t>RCFDM714</t>
  </si>
  <si>
    <t>RCFDM715</t>
  </si>
  <si>
    <t>RCFDM716</t>
  </si>
  <si>
    <t>RCFDM717</t>
  </si>
  <si>
    <t>RCFDM719</t>
  </si>
  <si>
    <t>RCFDM720</t>
  </si>
  <si>
    <t>RCFDM721</t>
  </si>
  <si>
    <t>RCFDM722</t>
  </si>
  <si>
    <t>RCFDM723</t>
  </si>
  <si>
    <t>RCFDM724</t>
  </si>
  <si>
    <t>RCFDM725</t>
  </si>
  <si>
    <t>RCFDM726</t>
  </si>
  <si>
    <t>RCFDM727</t>
  </si>
  <si>
    <t>RCFDM728</t>
  </si>
  <si>
    <t>RCFDM729</t>
  </si>
  <si>
    <t>RCFDM730</t>
  </si>
  <si>
    <t>RCFDM731</t>
  </si>
  <si>
    <t>RCFDM732</t>
  </si>
  <si>
    <t>RCFDM733</t>
  </si>
  <si>
    <t>RCFDM734</t>
  </si>
  <si>
    <t>RCFDM735</t>
  </si>
  <si>
    <t>RCFDM736</t>
  </si>
  <si>
    <t>RCFDM737</t>
  </si>
  <si>
    <t>RCFDM738</t>
  </si>
  <si>
    <t>RCFDM739</t>
  </si>
  <si>
    <t>RCFDM740</t>
  </si>
  <si>
    <t>RCFDM741</t>
  </si>
  <si>
    <t>RCFDM742</t>
  </si>
  <si>
    <t>RCFDM743</t>
  </si>
  <si>
    <t>RCFDM744</t>
  </si>
  <si>
    <t>RCFDM745</t>
  </si>
  <si>
    <t>RCFDM746</t>
  </si>
  <si>
    <t>RCFDM747</t>
  </si>
  <si>
    <t>RCFDM748</t>
  </si>
  <si>
    <t>RCFDM749</t>
  </si>
  <si>
    <t>RCFDM750</t>
  </si>
  <si>
    <t>RCFDM751</t>
  </si>
  <si>
    <t>1. Total interest income in foreign offices</t>
  </si>
  <si>
    <t>2. Total interest expense in foreign offices</t>
  </si>
  <si>
    <t>3. Provision for loan and lease losses in foreign offices</t>
  </si>
  <si>
    <t>4. Noninterest income in foreign offices:</t>
  </si>
  <si>
    <t>a. Trading revenue</t>
  </si>
  <si>
    <t>b. Investment banking, advisory, brokerage, and underwriting fees and commissions</t>
  </si>
  <si>
    <t>c. Net securitization income</t>
  </si>
  <si>
    <t>d. Other noninterest income</t>
  </si>
  <si>
    <t>5. Realized gains (losses) on held-to-maturity and available-for-sale securities in foreign offices</t>
  </si>
  <si>
    <t>6. Total noninterest expense in foreign offices</t>
  </si>
  <si>
    <t>7. Adjustments to pretax income in foreign offices for internal allocations to foreign offices to reflect the effects of equity capital on overall bank funding costs</t>
  </si>
  <si>
    <t>8. Applicable income taxes (on items 1 through 7)</t>
  </si>
  <si>
    <t>9. Extraordinary items and other adjustments, net of income taxes, in foreign offices</t>
  </si>
  <si>
    <t>10. Net income attributable to foreign offices before internal allocations of income and expense (item 1 plus or minus items 2 through 9)</t>
  </si>
  <si>
    <t>11. Not applicable</t>
  </si>
  <si>
    <t>12. Eliminations arising from the consolidation of foreign offices with domestic offices</t>
  </si>
  <si>
    <t>13. Consolidated net income attributable to foreign offices (sum of items 10 and 12)</t>
  </si>
  <si>
    <t>RIADC899</t>
  </si>
  <si>
    <t>RIADC900</t>
  </si>
  <si>
    <t>RIADC901</t>
  </si>
  <si>
    <t>RIADC902</t>
  </si>
  <si>
    <t>RIADC903</t>
  </si>
  <si>
    <t>RIADC904</t>
  </si>
  <si>
    <t>RIADC905</t>
  </si>
  <si>
    <t>RIADC906</t>
  </si>
  <si>
    <t>RIADC907</t>
  </si>
  <si>
    <t>RIADC908</t>
  </si>
  <si>
    <t>RIADC909</t>
  </si>
  <si>
    <t>RIADC910</t>
  </si>
  <si>
    <t>RIADC911</t>
  </si>
  <si>
    <t>RIADC913</t>
  </si>
  <si>
    <t>RIADC914</t>
  </si>
  <si>
    <t>RID</t>
  </si>
  <si>
    <t>a. Federal funds sold in domestic offices</t>
  </si>
  <si>
    <t>a. In domestic offices (sum of totals of columns A and C from Schedule RC-E, part I)</t>
  </si>
  <si>
    <t>b. In foreign offices, Edge and Agreement subsidiaries, and IBFs (from Schedule RC-E, part II)</t>
  </si>
  <si>
    <t>a. Federal funds purchased in domestic offices</t>
  </si>
  <si>
    <t>RCFD0081</t>
  </si>
  <si>
    <t>RCFD0071</t>
  </si>
  <si>
    <t>RCFD1754</t>
  </si>
  <si>
    <t>RCFD1773</t>
  </si>
  <si>
    <t>RCFDB989</t>
  </si>
  <si>
    <t>RCFD5369</t>
  </si>
  <si>
    <t>RCFDB528</t>
  </si>
  <si>
    <t>RCFD3123</t>
  </si>
  <si>
    <t>RCFDB529</t>
  </si>
  <si>
    <t>RCFD3545</t>
  </si>
  <si>
    <t>RCFD2145</t>
  </si>
  <si>
    <t>RCFD2150</t>
  </si>
  <si>
    <t>RCFD2130</t>
  </si>
  <si>
    <t>RCFD3656</t>
  </si>
  <si>
    <t>RCFD3163</t>
  </si>
  <si>
    <t>RCFD0426</t>
  </si>
  <si>
    <t>RCFD2160</t>
  </si>
  <si>
    <t>RCFD2170</t>
  </si>
  <si>
    <t>RCFN2200</t>
  </si>
  <si>
    <t>RCFN6631</t>
  </si>
  <si>
    <t>RCFN6636</t>
  </si>
  <si>
    <t>RCFDB995</t>
  </si>
  <si>
    <t>RCFD3548</t>
  </si>
  <si>
    <t>RCFD3190</t>
  </si>
  <si>
    <t>RCFD3200</t>
  </si>
  <si>
    <t>RCFD2930</t>
  </si>
  <si>
    <t>RCFD2948</t>
  </si>
  <si>
    <t>RCFD3838</t>
  </si>
  <si>
    <t>RCFD3230</t>
  </si>
  <si>
    <t>RCFD3839</t>
  </si>
  <si>
    <t>RCFD3632</t>
  </si>
  <si>
    <t>RCFDB530</t>
  </si>
  <si>
    <t>RCFDA130</t>
  </si>
  <si>
    <t>RCFD3210</t>
  </si>
  <si>
    <t>RCFD3000</t>
  </si>
  <si>
    <t>RCFDG105</t>
  </si>
  <si>
    <t>RCFD3300</t>
  </si>
  <si>
    <t>RCFD6724</t>
  </si>
  <si>
    <t>(Column A) Consolidated Bank</t>
  </si>
  <si>
    <t>(Column B) Domestic Offices</t>
  </si>
  <si>
    <t>RCFD0022</t>
  </si>
  <si>
    <t>1. Cash items in process of collection, unposted debits, and currency and coin</t>
  </si>
  <si>
    <t>RCFD0083</t>
  </si>
  <si>
    <t>RCFD0085</t>
  </si>
  <si>
    <t>RCFD0073</t>
  </si>
  <si>
    <t>RCFD0074</t>
  </si>
  <si>
    <t>RCFD0090</t>
  </si>
  <si>
    <t>RCFD0010</t>
  </si>
  <si>
    <t>RCON0082</t>
  </si>
  <si>
    <t>RCON0070</t>
  </si>
  <si>
    <t>RCFD0211</t>
  </si>
  <si>
    <t>RCFD1289</t>
  </si>
  <si>
    <t>RCFD1294</t>
  </si>
  <si>
    <t>RCFD8496</t>
  </si>
  <si>
    <t>RCFDG300</t>
  </si>
  <si>
    <t>RCFDG304</t>
  </si>
  <si>
    <t>RCFDG308</t>
  </si>
  <si>
    <t>RCFDG312</t>
  </si>
  <si>
    <t>RCFDG316</t>
  </si>
  <si>
    <t>RCFDG320</t>
  </si>
  <si>
    <t>RCFDK142</t>
  </si>
  <si>
    <t>RCFDK146</t>
  </si>
  <si>
    <t>RCFDK150</t>
  </si>
  <si>
    <t>RCFDK154</t>
  </si>
  <si>
    <t>RCFDC026</t>
  </si>
  <si>
    <t>RCFDG336</t>
  </si>
  <si>
    <t>RCFDG340</t>
  </si>
  <si>
    <t>RCFDG344</t>
  </si>
  <si>
    <t>RCFD1737</t>
  </si>
  <si>
    <t>RCFD1742</t>
  </si>
  <si>
    <t>RCFD0213</t>
  </si>
  <si>
    <t>RCFD1290</t>
  </si>
  <si>
    <t>RCFD1295</t>
  </si>
  <si>
    <t>RCFD8497</t>
  </si>
  <si>
    <t>RCFDG301</t>
  </si>
  <si>
    <t>RCFDG305</t>
  </si>
  <si>
    <t>RCFDG309</t>
  </si>
  <si>
    <t>RCFDG313</t>
  </si>
  <si>
    <t>RCFDG317</t>
  </si>
  <si>
    <t>RCFDG321</t>
  </si>
  <si>
    <t>RCFDK143</t>
  </si>
  <si>
    <t>RCFDK147</t>
  </si>
  <si>
    <t>RCFDK151</t>
  </si>
  <si>
    <t>RCFDK155</t>
  </si>
  <si>
    <t>RCFDC988</t>
  </si>
  <si>
    <t>RCFDG337</t>
  </si>
  <si>
    <t>RCFDG341</t>
  </si>
  <si>
    <t>RCFDG345</t>
  </si>
  <si>
    <t>RCFD1738</t>
  </si>
  <si>
    <t>RCFD1743</t>
  </si>
  <si>
    <t>RCFD1771</t>
  </si>
  <si>
    <t>RCFD1286</t>
  </si>
  <si>
    <t>RCFD1291</t>
  </si>
  <si>
    <t>RCFD1297</t>
  </si>
  <si>
    <t>RCFD8498</t>
  </si>
  <si>
    <t>RCFDG302</t>
  </si>
  <si>
    <t>RCFDG306</t>
  </si>
  <si>
    <t>RCFDG310</t>
  </si>
  <si>
    <t>RCFDG314</t>
  </si>
  <si>
    <t>RCFDG318</t>
  </si>
  <si>
    <t>RCFDG322</t>
  </si>
  <si>
    <t>RCFDK144</t>
  </si>
  <si>
    <t>RCFDK148</t>
  </si>
  <si>
    <t>RCFDK152</t>
  </si>
  <si>
    <t>RCFDK156</t>
  </si>
  <si>
    <t>RCFDC989</t>
  </si>
  <si>
    <t>RCFDG338</t>
  </si>
  <si>
    <t>RCFDG342</t>
  </si>
  <si>
    <t>RCFDG346</t>
  </si>
  <si>
    <t>RCFD1739</t>
  </si>
  <si>
    <t>RCFD1744</t>
  </si>
  <si>
    <t>RCFDA510</t>
  </si>
  <si>
    <t>RCFD1772</t>
  </si>
  <si>
    <t>RCFD1287</t>
  </si>
  <si>
    <t>RCFD1293</t>
  </si>
  <si>
    <t>RCFD1298</t>
  </si>
  <si>
    <t>RCFD8499</t>
  </si>
  <si>
    <t>RCFDG303</t>
  </si>
  <si>
    <t>RCFDG307</t>
  </si>
  <si>
    <t>RCFDG311</t>
  </si>
  <si>
    <t>RCFDG315</t>
  </si>
  <si>
    <t>RCFDG319</t>
  </si>
  <si>
    <t>RCFDG323</t>
  </si>
  <si>
    <t>RCFDK145</t>
  </si>
  <si>
    <t>RCFDK149</t>
  </si>
  <si>
    <t>RCFDK153</t>
  </si>
  <si>
    <t>RCFDK157</t>
  </si>
  <si>
    <t>RCFDC027</t>
  </si>
  <si>
    <t>RCFDG339</t>
  </si>
  <si>
    <t>RCFDG343</t>
  </si>
  <si>
    <t>RCFDG347</t>
  </si>
  <si>
    <t>RCFD1741</t>
  </si>
  <si>
    <t>RCFD1746</t>
  </si>
  <si>
    <t>RCFDA511</t>
  </si>
  <si>
    <t>RCFD0416</t>
  </si>
  <si>
    <t>RCFDA549</t>
  </si>
  <si>
    <t>RCFDA550</t>
  </si>
  <si>
    <t>RCFDA551</t>
  </si>
  <si>
    <t>RCFDA552</t>
  </si>
  <si>
    <t>RCFDA553</t>
  </si>
  <si>
    <t>RCFDA554</t>
  </si>
  <si>
    <t>RCFDA555</t>
  </si>
  <si>
    <t>RCFDA556</t>
  </si>
  <si>
    <t>RCFDA557</t>
  </si>
  <si>
    <t>RCFDA558</t>
  </si>
  <si>
    <t>RCFDA559</t>
  </si>
  <si>
    <t>RCFDA560</t>
  </si>
  <si>
    <t>RCFDA561</t>
  </si>
  <si>
    <t>RCFDA562</t>
  </si>
  <si>
    <t>RCFDA248</t>
  </si>
  <si>
    <t>RCFD1778</t>
  </si>
  <si>
    <t>RCFD8782</t>
  </si>
  <si>
    <t>RCFD8783</t>
  </si>
  <si>
    <t>RCFDB838</t>
  </si>
  <si>
    <t>RCFDB842</t>
  </si>
  <si>
    <t>RCFDB846</t>
  </si>
  <si>
    <t>RCFDB850</t>
  </si>
  <si>
    <t>RCFDB854</t>
  </si>
  <si>
    <t>RCFDB858</t>
  </si>
  <si>
    <t>RCFDG348</t>
  </si>
  <si>
    <t>RCFDG352</t>
  </si>
  <si>
    <t>RCFDG356</t>
  </si>
  <si>
    <t>RCFDG360</t>
  </si>
  <si>
    <t>RCFDG364</t>
  </si>
  <si>
    <t>RCFDG368</t>
  </si>
  <si>
    <t>RCFDG372</t>
  </si>
  <si>
    <t>RCFDB839</t>
  </si>
  <si>
    <t>RCFDB843</t>
  </si>
  <si>
    <t>RCFDB847</t>
  </si>
  <si>
    <t>RCFDB851</t>
  </si>
  <si>
    <t>RCFDB855</t>
  </si>
  <si>
    <t>RCFDB859</t>
  </si>
  <si>
    <t>RCFDG349</t>
  </si>
  <si>
    <t>RCFDG353</t>
  </si>
  <si>
    <t>RCFDG357</t>
  </si>
  <si>
    <t>RCFDG361</t>
  </si>
  <si>
    <t>RCFDG365</t>
  </si>
  <si>
    <t>RCFDG369</t>
  </si>
  <si>
    <t>RCFDG373</t>
  </si>
  <si>
    <t>RCFDB840</t>
  </si>
  <si>
    <t>RCFDB844</t>
  </si>
  <si>
    <t>RCFDB848</t>
  </si>
  <si>
    <t>RCFDB852</t>
  </si>
  <si>
    <t>RCFDB856</t>
  </si>
  <si>
    <t>RCFDB860</t>
  </si>
  <si>
    <t>RCFDG350</t>
  </si>
  <si>
    <t>RCFDG354</t>
  </si>
  <si>
    <t>RCFDG358</t>
  </si>
  <si>
    <t>RCFDG362</t>
  </si>
  <si>
    <t>RCFDG366</t>
  </si>
  <si>
    <t>RCFDG370</t>
  </si>
  <si>
    <t>RCFDG374</t>
  </si>
  <si>
    <t>RCFDB841</t>
  </si>
  <si>
    <t>RCFDB845</t>
  </si>
  <si>
    <t>RCFDB849</t>
  </si>
  <si>
    <t>RCFDB853</t>
  </si>
  <si>
    <t>RCFDB857</t>
  </si>
  <si>
    <t>RCFDB861</t>
  </si>
  <si>
    <t>RCFDG351</t>
  </si>
  <si>
    <t>RCFDG355</t>
  </si>
  <si>
    <t>RCFDG359</t>
  </si>
  <si>
    <t>RCFDG363</t>
  </si>
  <si>
    <t>RCFDG367</t>
  </si>
  <si>
    <t>RCFDG371</t>
  </si>
  <si>
    <t>RCFDG375</t>
  </si>
  <si>
    <t>Ticker or RSSD ID</t>
  </si>
  <si>
    <t>1. Loans secured by real estate</t>
  </si>
  <si>
    <t>RCFD1410</t>
  </si>
  <si>
    <t>RCFDF158</t>
  </si>
  <si>
    <t>RCFDF159</t>
  </si>
  <si>
    <t>RCFD1420</t>
  </si>
  <si>
    <t>RCFD1797</t>
  </si>
  <si>
    <t>RCFD5367</t>
  </si>
  <si>
    <t>RCFD5368</t>
  </si>
  <si>
    <t>RCFD1460</t>
  </si>
  <si>
    <t>RCFDF160</t>
  </si>
  <si>
    <t>RCFDF161</t>
  </si>
  <si>
    <t>2. Loans to depository institutions and acceptances of other banks:</t>
  </si>
  <si>
    <t>a. To commercial banks in the U.S</t>
  </si>
  <si>
    <t>RCFDB532</t>
  </si>
  <si>
    <t>RCFDB533</t>
  </si>
  <si>
    <t>RCFDB534</t>
  </si>
  <si>
    <t>c. To banks in foreign countries</t>
  </si>
  <si>
    <t>RCFDB536</t>
  </si>
  <si>
    <t>RCFDB537</t>
  </si>
  <si>
    <t>RCFD1590</t>
  </si>
  <si>
    <t>4. Commercial and industrial loans:</t>
  </si>
  <si>
    <t>RCFD1763</t>
  </si>
  <si>
    <t>RCFD1764</t>
  </si>
  <si>
    <t>RCFDB538</t>
  </si>
  <si>
    <t>RCFDB539</t>
  </si>
  <si>
    <t>RCFDK137</t>
  </si>
  <si>
    <t>d. Other consumer loans (includes single payment and installment loans other than automobile loans, and all student loans)</t>
  </si>
  <si>
    <t>RCFDK207</t>
  </si>
  <si>
    <t>RCFD2081</t>
  </si>
  <si>
    <t>RCFD2107</t>
  </si>
  <si>
    <t>9. Loans to nondepository financial institutions and other loans</t>
  </si>
  <si>
    <t>RCFD1563</t>
  </si>
  <si>
    <t>b. Other loans:</t>
  </si>
  <si>
    <t>RCFDF162</t>
  </si>
  <si>
    <t>RCFDF163</t>
  </si>
  <si>
    <t>RCFD2123</t>
  </si>
  <si>
    <t>12. Total loans and leases, net of unearned income (item 12, column A must equal Schedule RC, sum of items 4.a and 4.b)</t>
  </si>
  <si>
    <t>RCFD2122</t>
  </si>
  <si>
    <t>RCONB531</t>
  </si>
  <si>
    <t>RCONB535</t>
  </si>
  <si>
    <t>a. Construction, land development, and other land loans in domestic offices:</t>
  </si>
  <si>
    <t>b. Loans secured by 1-4 family residential properties in domestic offices</t>
  </si>
  <si>
    <t>c. Secured by multifamily (5 or more) residential properties in domestic offices</t>
  </si>
  <si>
    <t>d. Secured by nonfarm nonresidential properties in domestic offices:</t>
  </si>
  <si>
    <t>e. Commercial and industrial loans:</t>
  </si>
  <si>
    <t>1. Loans secured by farmland in domestic offices</t>
  </si>
  <si>
    <t>7. Loans secured by real estate in foreign offices</t>
  </si>
  <si>
    <t>a. Closed-end loans secured by first liens on 1-4 family residential properties in domestic offices (reported in Schedule RC-C, part I, item 1.c.(2)(a), column B) with a remaining maturity or next repricing date of:</t>
  </si>
  <si>
    <t>b. All loans and leases (reported in Schedule RC-C, part I, items 1 through 10, column A) EXCLUDING closed-end loans secured by first liens on 1-4 family residential properties in domestic offices (reported in Schedule RC-C, part I, item 1.c.(2)(a), column B) with a remaining maturity or next repricing date of:</t>
  </si>
  <si>
    <t>c. Loans and leases (reported in Schedule RC-C, part I, items 1 through 10, column A) with a REMAINING MATURITY of one year or less (excluding those in nonaccrual status)</t>
  </si>
  <si>
    <t>3. Loans to finance commercial real estate, construction, and land development activities (not secured by real estate) included in Schedule RC-C, part I, items 4 and 9, column A</t>
  </si>
  <si>
    <t>4. Adjustable rate closed-end loans secured by first liens on 1-4 family residential properties in domestic offices (included in Schedule RC-C, part I, item 1.c.(2)(a), column B)</t>
  </si>
  <si>
    <t>5. Loans secured by real estate to non-U.S. addressees (domicile) (included in Schedule RC-C, Part I, item 1, column A, or Schedule RC-C, Part I, items 1.a.(1) through 1.e.(2), column A, as appropriate)</t>
  </si>
  <si>
    <t>6. Outstanding credit card fees and finance charges included in Schedule RC-C, part I, item 6.a, column A</t>
  </si>
  <si>
    <t>RCFDK163</t>
  </si>
  <si>
    <t>RCFDK164</t>
  </si>
  <si>
    <t>RCFDK165</t>
  </si>
  <si>
    <t>RCFDK167</t>
  </si>
  <si>
    <t>RCFDK168</t>
  </si>
  <si>
    <t>RCFDK098</t>
  </si>
  <si>
    <t>RCFDK203</t>
  </si>
  <si>
    <t>RCFDK204</t>
  </si>
  <si>
    <t>RCFDK212</t>
  </si>
  <si>
    <t>RCFDK267</t>
  </si>
  <si>
    <t>RCFNK289</t>
  </si>
  <si>
    <t>RCFDA570</t>
  </si>
  <si>
    <t>RCFDA571</t>
  </si>
  <si>
    <t>RCFDA572</t>
  </si>
  <si>
    <t>RCFDA573</t>
  </si>
  <si>
    <t>RCFDA574</t>
  </si>
  <si>
    <t>RCFDA575</t>
  </si>
  <si>
    <t>RCFDA247</t>
  </si>
  <si>
    <t>RCFD2746</t>
  </si>
  <si>
    <t>RCFDB837</t>
  </si>
  <si>
    <t>RCFDC391</t>
  </si>
  <si>
    <t>M.1.f.7.</t>
  </si>
  <si>
    <t>1. Indicate in the appropriate box at the right whether all or substantially all of the dollar volume of your bank's "Loans secured by nonfarm nonresidential properties" in domestic offices reported in Schedule RC-C, part I, items 1.e.(1) and 1.e.(2), column B, and all or substantially all of the dollar volume of your bank's "Commercial and industrial loans to U.S. addressees" in domestic offices reported in Schedule RC-C, part I, item 4.a, column B, have original amounts of $100,000 or less</t>
  </si>
  <si>
    <t>a. "Loans secured by nonfarm nonresidential properties" in domestic offices reported in Schedule RC-C, part I, items 1.e.(1) and 1.e.(2), column B</t>
  </si>
  <si>
    <t>b. "Commercial and industrial loans to U.S. addressees" in domestic offices reported in Schedule RC-C, part I, item 4.a, column B</t>
  </si>
  <si>
    <t>(Column A) Number of Loans</t>
  </si>
  <si>
    <t>3. Number and amount currently outstanding of "Loans secured by nonfarm nonresidential properties" in domestic offices reported in Schedule RC-C, part I, items 1.e.(1) and 1.e.(2), column B:</t>
  </si>
  <si>
    <t>4. Number and amount currently outstanding of "Commercial and industrial loans to U.S. addressees" in domestic offices reported in Schedule RC-C, part I, item 4.a, column B:</t>
  </si>
  <si>
    <t>5. Indicate in the appropriate box at the right whether all or substantially all of the dollar volume of your bank's "Loans secured by farmland (including farm residential and other improvements)" in domestic offices reported in Schedule RC-C, part I, item 1.b, column B, and all or substantially all of the dollar volume of your bank's "Loans to finance agricultural production and other loans to farmers" in domestic offices reported in Schedule RC-C, part I, item 3, column B, have original amounts of $100,000 or less</t>
  </si>
  <si>
    <t>a. "Loans secured by farmland (including farm residential and other improvements)" in domestic offices reported in Schedule RC-C, part I, item 1.b, column B</t>
  </si>
  <si>
    <t>b. "Loans to finance agricultural production and other loans to farmers" in domestic offices reported in Schedule RC-C, part I, item 3, column B</t>
  </si>
  <si>
    <t>7. Number and amount currently outstanding of "Loans secured by farmland (including farm residential and other improvements)" in domestic offices reported in Schedule RC-C, part I, item 1.b, column B:</t>
  </si>
  <si>
    <t>c. With original amounts of more than $250,000 through $500,000</t>
  </si>
  <si>
    <t>8. Number and amount currently outstanding of "Loans to finance agricultural production and other loans to farmers" in domestic offices reported in Schedule RC-C, part I, item 3, column B:</t>
  </si>
  <si>
    <t>(Column B) Amount Currently Outstanding</t>
  </si>
  <si>
    <t>RCON5567</t>
  </si>
  <si>
    <t>RCON5573</t>
  </si>
  <si>
    <t>RCFD3531</t>
  </si>
  <si>
    <t>RCFD3532</t>
  </si>
  <si>
    <t>RCFD3533</t>
  </si>
  <si>
    <t>RCFDG379</t>
  </si>
  <si>
    <t>RCFDG380</t>
  </si>
  <si>
    <t>RCFDG381</t>
  </si>
  <si>
    <t>RCFDK197</t>
  </si>
  <si>
    <t>RCFDK198</t>
  </si>
  <si>
    <t>RCFDG383</t>
  </si>
  <si>
    <t>RCFDG384</t>
  </si>
  <si>
    <t>RCFDG385</t>
  </si>
  <si>
    <t>RCFDG386</t>
  </si>
  <si>
    <t>RCFDF610</t>
  </si>
  <si>
    <t>RCFDF614</t>
  </si>
  <si>
    <t>RCFDF615</t>
  </si>
  <si>
    <t>RCFDF616</t>
  </si>
  <si>
    <t>RCFDK199</t>
  </si>
  <si>
    <t>RCFDK210</t>
  </si>
  <si>
    <t>RCFDF618</t>
  </si>
  <si>
    <t>7. Not appliable</t>
  </si>
  <si>
    <t>RCFD3541</t>
  </si>
  <si>
    <t>RCFD3543</t>
  </si>
  <si>
    <t>12. Total trading assets (sum of items 1 through 11) (total of column A must equal Schedule RC, item 5)</t>
  </si>
  <si>
    <t>RCFD3546</t>
  </si>
  <si>
    <t>RCFDF624</t>
  </si>
  <si>
    <t>RCFD3547</t>
  </si>
  <si>
    <t xml:space="preserve">15. Total trading liabilities (sum of items 13.a through 14) (total of column A must equal Schedule RC, item 15) </t>
  </si>
  <si>
    <t>1. Unpaid principal balance of loans measured at fair value (reported in Schedule RC-D, items 6.a through 6.d):</t>
  </si>
  <si>
    <t>RCFDF790</t>
  </si>
  <si>
    <t>RCFDF632</t>
  </si>
  <si>
    <t>RCFDF633</t>
  </si>
  <si>
    <t>RCFDF634</t>
  </si>
  <si>
    <t>RCFDK200</t>
  </si>
  <si>
    <t>RCFDK211</t>
  </si>
  <si>
    <t>RCFDF636</t>
  </si>
  <si>
    <t>RCFDF639</t>
  </si>
  <si>
    <t>RCFDF640</t>
  </si>
  <si>
    <t>3. Structured financial products by underlying collateral or reference assets (for each column, sum of Memorandum items 3.a through 3.g must equal Schedule RC-D, sum of items 5.a.(1) through (3)):</t>
  </si>
  <si>
    <t>RCFDG299</t>
  </si>
  <si>
    <t>RCFDG332</t>
  </si>
  <si>
    <t>RCFDG333</t>
  </si>
  <si>
    <t>RCFDG334</t>
  </si>
  <si>
    <t>RCFDG335</t>
  </si>
  <si>
    <t>RCFDG651</t>
  </si>
  <si>
    <t>RCFDG652</t>
  </si>
  <si>
    <t>RCFDG387</t>
  </si>
  <si>
    <t xml:space="preserve">b. Pledged loans </t>
  </si>
  <si>
    <t>RCFDG388</t>
  </si>
  <si>
    <t>RCFDF643</t>
  </si>
  <si>
    <t>RCFDF644</t>
  </si>
  <si>
    <t>RCFDF645</t>
  </si>
  <si>
    <t>RCFDF646</t>
  </si>
  <si>
    <t>RCFDF647</t>
  </si>
  <si>
    <t>RCFDF648</t>
  </si>
  <si>
    <t>RCFDF651</t>
  </si>
  <si>
    <t>RCFDF652</t>
  </si>
  <si>
    <t>RCFDF653</t>
  </si>
  <si>
    <t xml:space="preserve">8. Loans pending securitization </t>
  </si>
  <si>
    <t>RCFDF654</t>
  </si>
  <si>
    <t>(Column A) Transaction Accounts Total Transaction accounts (including total demand deposits)</t>
  </si>
  <si>
    <t>Deposits of:</t>
  </si>
  <si>
    <t>7. Total (sum of items 1 through 6) (sum of columns A and C must equal Schedule RC, item 13.a) (Column B) Transaction Accounts Memo: Total demand deposits (included in column A)</t>
  </si>
  <si>
    <t>(Column B) Transaction Accounts Memo: Total demand deposits (included in column A) Deposits of:</t>
  </si>
  <si>
    <t xml:space="preserve">7. Total (sum of items 1 through 6) (sum of columns A and C must equal Schedule RC, item 13.a) </t>
  </si>
  <si>
    <t>RCEI</t>
  </si>
  <si>
    <t>Schedule RC-E Part II - Deposits in Foreign Offices including Edge and Agreement subsidiaries and IBFs</t>
  </si>
  <si>
    <t>Schedule RC-E Part I - Deposits in Domestic Offices</t>
  </si>
  <si>
    <t>RCFNB553</t>
  </si>
  <si>
    <t>2. U.S. banks (including IBFs and foreign branches of U.S. banks) and other U.S. depository institutions</t>
  </si>
  <si>
    <t>RCFNB554</t>
  </si>
  <si>
    <t>3. Foreign banks (including U.S. branches and agencies of foreign banks, including their IBFs)</t>
  </si>
  <si>
    <t>RCFN2625</t>
  </si>
  <si>
    <t>4. Foreign governments and official institutions (including foreign central banks)</t>
  </si>
  <si>
    <t>RCFN2650</t>
  </si>
  <si>
    <t>5. U.S. Government and states and political subdivisions in the U.S</t>
  </si>
  <si>
    <t>RCFNB555</t>
  </si>
  <si>
    <t xml:space="preserve">6. Total </t>
  </si>
  <si>
    <t>1. Time deposits with a remaining maturity of one year or less (included in Part II, item 6 above)</t>
  </si>
  <si>
    <t>RCFNA245</t>
  </si>
  <si>
    <t>RCEII</t>
  </si>
  <si>
    <t>RCFDB556</t>
  </si>
  <si>
    <t>RCFD2148</t>
  </si>
  <si>
    <t>RCFDA519</t>
  </si>
  <si>
    <t>RCFDA520</t>
  </si>
  <si>
    <t>RCFD1752</t>
  </si>
  <si>
    <t>RCFDK201</t>
  </si>
  <si>
    <t>RCFDK202</t>
  </si>
  <si>
    <t>RCFDK270</t>
  </si>
  <si>
    <t>RCFD2168</t>
  </si>
  <si>
    <t>RCFD2166</t>
  </si>
  <si>
    <t>RCFD1578</t>
  </si>
  <si>
    <t>RCFDC010</t>
  </si>
  <si>
    <t>RCFDC436</t>
  </si>
  <si>
    <t>RCFDJ448</t>
  </si>
  <si>
    <t>1. Not available</t>
  </si>
  <si>
    <t>a. Interest accrued and unpaid on deposits in domestic offices</t>
  </si>
  <si>
    <t>RCFD3646</t>
  </si>
  <si>
    <t>RCFD3049</t>
  </si>
  <si>
    <t>RCFDB557</t>
  </si>
  <si>
    <t>RCFD2938</t>
  </si>
  <si>
    <t>RCFD3066</t>
  </si>
  <si>
    <t>RCFDC011</t>
  </si>
  <si>
    <t>RCFD2932</t>
  </si>
  <si>
    <t>RCFDC012</t>
  </si>
  <si>
    <t>1. Not applicable</t>
  </si>
  <si>
    <t>3. Securities purchased under agreements to resell</t>
  </si>
  <si>
    <t>RCONB989</t>
  </si>
  <si>
    <t>4. Securities sold under agreements to repurchase</t>
  </si>
  <si>
    <t>RCONB995</t>
  </si>
  <si>
    <t>5. Other borrowed money</t>
  </si>
  <si>
    <t>6. Net due from own foreign offices, Edge and Agreement subsidiaries, and IBFs</t>
  </si>
  <si>
    <t>RCON2163</t>
  </si>
  <si>
    <t>7. Net due to own foreign offices, Edge and Agreement subsidiaries, and IBFs</t>
  </si>
  <si>
    <t>RCON2941</t>
  </si>
  <si>
    <t>8. Total assets (excludes net due from foreign offices, Edge and Agreement subsidiaries, and IBFs)</t>
  </si>
  <si>
    <t>RCON2192</t>
  </si>
  <si>
    <t xml:space="preserve">9. Total liabilities (excludes net due to foreign offices, Edge and Agreement subsidiaries, and IBFs) </t>
  </si>
  <si>
    <t>RCON3129</t>
  </si>
  <si>
    <t>(Column A) Amortized Cost of Held-to-Maturity Securities</t>
  </si>
  <si>
    <t>10. U.S. Treasury securities</t>
  </si>
  <si>
    <t>11. U.S. Government agency obligations (exclude mortgage-backed securities)</t>
  </si>
  <si>
    <t>RCON8492</t>
  </si>
  <si>
    <t>12. Securities issued by states and political subdivisions in the U.S</t>
  </si>
  <si>
    <t>13. Mortgage-backed securities (MBS):</t>
  </si>
  <si>
    <t>a. Mortgage pass-through securities:</t>
  </si>
  <si>
    <t>1. Issued or guaranteed by FNMA, FHLMC, or GNMA</t>
  </si>
  <si>
    <t>RCONG389</t>
  </si>
  <si>
    <t>2. Other mortgage pass-through securities</t>
  </si>
  <si>
    <t>RCON1709</t>
  </si>
  <si>
    <t>b. Other mortgage-backed securities (include CMOs, REMICs, and stripped MBS):</t>
  </si>
  <si>
    <t>RCONG393</t>
  </si>
  <si>
    <t>2. All other mortgage-backed securities</t>
  </si>
  <si>
    <t>RCON1733</t>
  </si>
  <si>
    <t>14. Other domestic debt securities (include domestic structured financial products and domestic asset-backed securities)</t>
  </si>
  <si>
    <t>RCONG397</t>
  </si>
  <si>
    <t>15. Other foreign debt securities (include foreign structured financial products and foreign asset-backed securities)</t>
  </si>
  <si>
    <t>RCONG399</t>
  </si>
  <si>
    <t>16. Investments in mutual funds and other equity securities with readily determinable fair values</t>
  </si>
  <si>
    <t>17. Total held-to-maturity and available-for-sale securities (sum of items 10 through 16)</t>
  </si>
  <si>
    <t xml:space="preserve">18. Equity securities that do not have readily determinable fair values </t>
  </si>
  <si>
    <t>(Column B) Fair Value of Available-for-Sale Securities</t>
  </si>
  <si>
    <t>RCON8495</t>
  </si>
  <si>
    <t>RCONG390</t>
  </si>
  <si>
    <t>RCON1713</t>
  </si>
  <si>
    <t>RCONG394</t>
  </si>
  <si>
    <t>RCON1736</t>
  </si>
  <si>
    <t>RCONG398</t>
  </si>
  <si>
    <t>RCONG400</t>
  </si>
  <si>
    <t>Schedule RC-H - Selected Balance Sheet Items for Domestic Offices</t>
  </si>
  <si>
    <t>RCH</t>
  </si>
  <si>
    <t>RCFD3381</t>
  </si>
  <si>
    <t>RCFDB558</t>
  </si>
  <si>
    <t>RCFDB559</t>
  </si>
  <si>
    <t>RCFDB560</t>
  </si>
  <si>
    <t>RCFD3365</t>
  </si>
  <si>
    <t>a. Loans in domestic offices:</t>
  </si>
  <si>
    <t>1. Total loans</t>
  </si>
  <si>
    <t>2. Loans secured by real estate:</t>
  </si>
  <si>
    <t>b. Total loans in foreign offices, Edge and Agreement subsidiaries, and IBFs</t>
  </si>
  <si>
    <t>RCFN3360</t>
  </si>
  <si>
    <t>RCFD3401</t>
  </si>
  <si>
    <t>RCFD3484</t>
  </si>
  <si>
    <t>RCFD3368</t>
  </si>
  <si>
    <t>10. Interest-bearing transaction accounts in domestic offices (interest-bearing demand deposits, NOW accounts, ATS accounts, and telephone and preauthorized transfer accounts)</t>
  </si>
  <si>
    <t>11. Nontransaction accounts in domestic offices:</t>
  </si>
  <si>
    <t>12. Interest-bearing deposits in foreign offices, EDGE and Agreement subsidiaries, and IBFs</t>
  </si>
  <si>
    <t>RCFN3404</t>
  </si>
  <si>
    <t>13. Federal funds purchased and securities sold under agreements to repurchase</t>
  </si>
  <si>
    <t>RCFD3353</t>
  </si>
  <si>
    <t xml:space="preserve">14. Other borrowed money (includes mortgage indebtedness and obligations under capitalized leases) </t>
  </si>
  <si>
    <t>RCFD3355</t>
  </si>
  <si>
    <t>6.a.2.a.</t>
  </si>
  <si>
    <t>6.a.2.b.</t>
  </si>
  <si>
    <t>6.a.5.a.</t>
  </si>
  <si>
    <t>6.a.5.b.</t>
  </si>
  <si>
    <t>1. Unused commitments:</t>
  </si>
  <si>
    <t>RCFD3814</t>
  </si>
  <si>
    <t>1. Unused commitments for Home Equity Conversion Mortgage (HECM) reverse mortgages outstanding thatare held for investment in domestic offices (included in item 1.a above)</t>
  </si>
  <si>
    <t>2. Unused commitments for proprietary reverse mortgages outstanding that are held for investment in domestic offices (included in item 1.a above)</t>
  </si>
  <si>
    <t>RCFD3815</t>
  </si>
  <si>
    <t>RCFDJ455</t>
  </si>
  <si>
    <t>RCFDJ456</t>
  </si>
  <si>
    <t>RCFDF164</t>
  </si>
  <si>
    <t>RCFDF165</t>
  </si>
  <si>
    <t>RCFD6550</t>
  </si>
  <si>
    <t>RCFD3817</t>
  </si>
  <si>
    <t>RCFDJ457</t>
  </si>
  <si>
    <t>RCFDJ458</t>
  </si>
  <si>
    <t>RCFDJ459</t>
  </si>
  <si>
    <t>2. Financial standby letters of credit and foreign office guarantees</t>
  </si>
  <si>
    <t>RCFD3819</t>
  </si>
  <si>
    <t>RCFD3820</t>
  </si>
  <si>
    <t>3. Performance standby letters of credit and foreign office guarantees</t>
  </si>
  <si>
    <t>RCFD3821</t>
  </si>
  <si>
    <t>RCFD3822</t>
  </si>
  <si>
    <t>RCFD3411</t>
  </si>
  <si>
    <t>RCFD3433</t>
  </si>
  <si>
    <t>b. Securities borrowed</t>
  </si>
  <si>
    <t>RCFD3432</t>
  </si>
  <si>
    <t>RCFDC968</t>
  </si>
  <si>
    <t>RCFDC970</t>
  </si>
  <si>
    <t>RCFDC972</t>
  </si>
  <si>
    <t>RCFDC974</t>
  </si>
  <si>
    <t>RCFDC219</t>
  </si>
  <si>
    <t>RCFDC220</t>
  </si>
  <si>
    <t>(Column B) PurchasedProtection</t>
  </si>
  <si>
    <t>RCFDC969</t>
  </si>
  <si>
    <t>RCFDC971</t>
  </si>
  <si>
    <t>RCFDC973</t>
  </si>
  <si>
    <t>RCFDC975</t>
  </si>
  <si>
    <t>RCFDC221</t>
  </si>
  <si>
    <t>RCFDC222</t>
  </si>
  <si>
    <t>c. Notional amounts by regulatory capital treatment:</t>
  </si>
  <si>
    <t>RCFDG401</t>
  </si>
  <si>
    <t>RCFDG402</t>
  </si>
  <si>
    <t>RCFDG403</t>
  </si>
  <si>
    <t>RCFDG404</t>
  </si>
  <si>
    <t>RCFDG405</t>
  </si>
  <si>
    <t>(Column A) Remaining Maturity of One Year or Less</t>
  </si>
  <si>
    <t>RCFDG406</t>
  </si>
  <si>
    <t>RCFDG409</t>
  </si>
  <si>
    <t>RCFDG412</t>
  </si>
  <si>
    <t>RCFDG415</t>
  </si>
  <si>
    <t>(Column B) Remaining Maturity of Over One Year Through Five Years</t>
  </si>
  <si>
    <t>RCFDG407</t>
  </si>
  <si>
    <t>RCFDG410</t>
  </si>
  <si>
    <t>RCFDG413</t>
  </si>
  <si>
    <t>RCFDG416</t>
  </si>
  <si>
    <t>(Column C) Remaining Maturity of Over Five Years</t>
  </si>
  <si>
    <t>RCFDG408</t>
  </si>
  <si>
    <t>RCFDG411</t>
  </si>
  <si>
    <t>RCFDG414</t>
  </si>
  <si>
    <t>RCFDG417</t>
  </si>
  <si>
    <t>RCFD8765</t>
  </si>
  <si>
    <t>RCFD3430</t>
  </si>
  <si>
    <t>RCFD3434</t>
  </si>
  <si>
    <t>RCFDC978</t>
  </si>
  <si>
    <t>RCFD3555</t>
  </si>
  <si>
    <t>RCFD3556</t>
  </si>
  <si>
    <t>RCFD3557</t>
  </si>
  <si>
    <t>RCFD5591</t>
  </si>
  <si>
    <t>RCFD3435</t>
  </si>
  <si>
    <t>RCFD5592</t>
  </si>
  <si>
    <t>RCFD5593</t>
  </si>
  <si>
    <t>RCFD5594</t>
  </si>
  <si>
    <t>RCFD5595</t>
  </si>
  <si>
    <t>RCFDC223</t>
  </si>
  <si>
    <t>RCFDC224</t>
  </si>
  <si>
    <t>RCFD8693</t>
  </si>
  <si>
    <t>RCFD8697</t>
  </si>
  <si>
    <t>RCFD8701</t>
  </si>
  <si>
    <t>RCFD8705</t>
  </si>
  <si>
    <t>RCFD8709</t>
  </si>
  <si>
    <t>RCFD8713</t>
  </si>
  <si>
    <t>RCFD3450</t>
  </si>
  <si>
    <t>RCFDA126</t>
  </si>
  <si>
    <t>RCFD8725</t>
  </si>
  <si>
    <t>RCFDA589</t>
  </si>
  <si>
    <t>RCFD8733</t>
  </si>
  <si>
    <t>RCFD8737</t>
  </si>
  <si>
    <t>RCFD8741</t>
  </si>
  <si>
    <t>RCFD8745</t>
  </si>
  <si>
    <t>RCFD8694</t>
  </si>
  <si>
    <t>RCFD8698</t>
  </si>
  <si>
    <t>RCFD8702</t>
  </si>
  <si>
    <t>RCFD8706</t>
  </si>
  <si>
    <t>RCFD8710</t>
  </si>
  <si>
    <t>RCFD8714</t>
  </si>
  <si>
    <t>RCFD3826</t>
  </si>
  <si>
    <t>RCFDA127</t>
  </si>
  <si>
    <t>RCFD8726</t>
  </si>
  <si>
    <t>RCFD8734</t>
  </si>
  <si>
    <t>RCFD8738</t>
  </si>
  <si>
    <t>RCFD8742</t>
  </si>
  <si>
    <t>RCFD8746</t>
  </si>
  <si>
    <t>RCFD8695</t>
  </si>
  <si>
    <t>RCFD8699</t>
  </si>
  <si>
    <t>RCFD8703</t>
  </si>
  <si>
    <t>RCFD8707</t>
  </si>
  <si>
    <t>RCFD8711</t>
  </si>
  <si>
    <t>RCFD8715</t>
  </si>
  <si>
    <t>RCFD8719</t>
  </si>
  <si>
    <t>RCFD8723</t>
  </si>
  <si>
    <t>RCFD8727</t>
  </si>
  <si>
    <t>RCFD8735</t>
  </si>
  <si>
    <t>RCFD8739</t>
  </si>
  <si>
    <t>RCFD8743</t>
  </si>
  <si>
    <t>RCFD8747</t>
  </si>
  <si>
    <t>RCFD8696</t>
  </si>
  <si>
    <t>RCFD8700</t>
  </si>
  <si>
    <t>RCFD8704</t>
  </si>
  <si>
    <t>RCFD8708</t>
  </si>
  <si>
    <t>RCFD8712</t>
  </si>
  <si>
    <t>RCFD8716</t>
  </si>
  <si>
    <t>RCFD8720</t>
  </si>
  <si>
    <t>RCFD8724</t>
  </si>
  <si>
    <t>RCFD8728</t>
  </si>
  <si>
    <t>RCFD8736</t>
  </si>
  <si>
    <t>RCFD8740</t>
  </si>
  <si>
    <t>RCFD8744</t>
  </si>
  <si>
    <t>RCFD8748</t>
  </si>
  <si>
    <t>1. Extensions of credit by the reporting bank to its executive officers, directors, principal shareholders, and their related interests as of the report date:</t>
  </si>
  <si>
    <t>a. Aggregate amount of all extensions of credit to all executive officers, directors, principal shareholders, and their related interests</t>
  </si>
  <si>
    <t>RCFD6164</t>
  </si>
  <si>
    <t>b. Number of executive officers, directors, and principal shareholders to whom the amount of all extensions of credit by the reporting bank (including extensions of credit to related interests) equals or exceeds the lesser of $500,000 or 5 percent of total capital as defined for this purpose in agency regulations</t>
  </si>
  <si>
    <t>RCFD6165</t>
  </si>
  <si>
    <t>RCFD3164</t>
  </si>
  <si>
    <t>RCFDA590</t>
  </si>
  <si>
    <t>RCFDB026</t>
  </si>
  <si>
    <t>RCFD5507</t>
  </si>
  <si>
    <t>a. Construction, land development, and other land in domestic offices</t>
  </si>
  <si>
    <t>b. Farmland in domestic offices</t>
  </si>
  <si>
    <t>c. 1-4 family residential properties in domestic offices</t>
  </si>
  <si>
    <t>d. Multifamily (5 or more) residential properties in domestic offices</t>
  </si>
  <si>
    <t>e. Nonfarm nonresidential properties in domestic offices</t>
  </si>
  <si>
    <t>g. In foreign offices</t>
  </si>
  <si>
    <t>RCFN5513</t>
  </si>
  <si>
    <t>h. Total (sum of items 3.a through 3.g) (must equal Schedule RC, item 7)</t>
  </si>
  <si>
    <t>RCFDF055</t>
  </si>
  <si>
    <t>RCFDF056</t>
  </si>
  <si>
    <t>RCFDF057</t>
  </si>
  <si>
    <t>RCFDF058</t>
  </si>
  <si>
    <t>RCFD2651</t>
  </si>
  <si>
    <t>RCFDF059</t>
  </si>
  <si>
    <t>RCFDF060</t>
  </si>
  <si>
    <t>RCFDF061</t>
  </si>
  <si>
    <t>RCFDF062</t>
  </si>
  <si>
    <t>RCFDF063</t>
  </si>
  <si>
    <t>RCFDB571</t>
  </si>
  <si>
    <t>RCFDB569</t>
  </si>
  <si>
    <t>RCFDB570</t>
  </si>
  <si>
    <t>a. Uniform Resource Locator (URL) of the reporting institution's primary Internet Web site (home page), if any (Example: www.examplebank.com):</t>
  </si>
  <si>
    <t>b. URLs of all other public-facing Internet Web sites that the reporting institution uses to accept or solicit deposits from the public, if any (Example: www.examplebank.biz):</t>
  </si>
  <si>
    <t>RCFD4088</t>
  </si>
  <si>
    <t>a. Amount of "Federal funds purchased in domestic offices" that are secured (included in Schedule RC, item 14.a)</t>
  </si>
  <si>
    <t>RCFDF065</t>
  </si>
  <si>
    <t>1. Loans secured by real estate in domestic offices:</t>
  </si>
  <si>
    <t>2. Loans to finance agricultural production and other loans to farmers</t>
  </si>
  <si>
    <t>RCFDK178</t>
  </si>
  <si>
    <t>RCFDK179</t>
  </si>
  <si>
    <t>RCFDK180</t>
  </si>
  <si>
    <t>RCFDK181</t>
  </si>
  <si>
    <t>RCFDK182</t>
  </si>
  <si>
    <t>RCFDK183</t>
  </si>
  <si>
    <t>RCFDK184</t>
  </si>
  <si>
    <t>RCFDK185</t>
  </si>
  <si>
    <t>RCFDK186</t>
  </si>
  <si>
    <t>RCFDK273</t>
  </si>
  <si>
    <t>e. Loans secured by real estate in foreign offices</t>
  </si>
  <si>
    <t>RCFNK290</t>
  </si>
  <si>
    <t>1. Construction, land development, and other land in domestic offices</t>
  </si>
  <si>
    <t>2. Farmland in domestic offices</t>
  </si>
  <si>
    <t>3. 1-4 family residential properties in domestic offices</t>
  </si>
  <si>
    <t>4. Multifamily (5 or more) residential properties in domestic offices</t>
  </si>
  <si>
    <t>5. Nonfarm nonresidential properties in domestic offices</t>
  </si>
  <si>
    <t>6. In foreign offices</t>
  </si>
  <si>
    <t>RCFNK260</t>
  </si>
  <si>
    <t>7. Portion of covered other real estate owned included in items 13.b.(1) through (6) above that is protected by FDIC loss-sharing agreements</t>
  </si>
  <si>
    <t>RCFDK192</t>
  </si>
  <si>
    <t>RCFDJ461</t>
  </si>
  <si>
    <t>RCFDJ462</t>
  </si>
  <si>
    <t>RCFDK193</t>
  </si>
  <si>
    <t>RCFDK194</t>
  </si>
  <si>
    <t>a. Does the institution use the Home Owners' Loan Act (HOLA) QTL test or the Internal Revenue Service Domestic Building and Loan Association (IRS DBLA) test to determine its QTL compliance? (for the HOLA QTL test, enter 1; for the IRS DBLA test, enter 2)</t>
  </si>
  <si>
    <t>4. Other proprietary services operated by another party b. Did your institution provide more than 100 international remittance transfers in the previous calendar year or</t>
  </si>
  <si>
    <t>b. Did your institution provide more than 100 international remittance transfers in the previous calendar year or does your institution estimate that it will provide more than 100 international remittance transfers in the current calendar year?</t>
  </si>
  <si>
    <t>c. Indicate which of the mechanisms described in items 16.a.(1), (2), and (3) above is the mechanism that your institution estimates accounted for the largest number of international remittance transfers your institution provided during the two calendar quarters ending on the report date. (For international wire transfers, enter 1; for international ACH transactions, enter 2; for other proprietary services operated by your institution, enter 3. If your institution did not provide any international remittance transfers using the mechanisms described in items 16.a.(1), (2), and (3) above during the two calendar quarters ending on the report date, enter 0.</t>
  </si>
  <si>
    <t>3. Estimated number of international remittance transfers for which your institution applied the temporary exception</t>
  </si>
  <si>
    <t>3.h.</t>
  </si>
  <si>
    <t>13.a.5.e.</t>
  </si>
  <si>
    <t>b. Secured by farmland in domestic offices</t>
  </si>
  <si>
    <t>c. Secured by 1-4 family residential properties in domestic offices:</t>
  </si>
  <si>
    <t>d. Secured by multifamily (5 or more) residential properties in domestic offices</t>
  </si>
  <si>
    <t>e. Secured by nonfarm nonresidential properties in domestic offices:</t>
  </si>
  <si>
    <t>f. In foreign offices</t>
  </si>
  <si>
    <t>RCFNB572</t>
  </si>
  <si>
    <t>a. To U.S. banks and other U.S. depository institutions</t>
  </si>
  <si>
    <t>RCFD5377</t>
  </si>
  <si>
    <t>b. To foreign banks</t>
  </si>
  <si>
    <t>RCFD5380</t>
  </si>
  <si>
    <t>RCFD1594</t>
  </si>
  <si>
    <t>RCFD1251</t>
  </si>
  <si>
    <t>RCFD1254</t>
  </si>
  <si>
    <t>RCFDB575</t>
  </si>
  <si>
    <t>RCFDK213</t>
  </si>
  <si>
    <t>RCFDK216</t>
  </si>
  <si>
    <t>RCFD5389</t>
  </si>
  <si>
    <t>RCFD5459</t>
  </si>
  <si>
    <t>8. Lease financing receivables:</t>
  </si>
  <si>
    <t>RCFDF166</t>
  </si>
  <si>
    <t>RCFDF169</t>
  </si>
  <si>
    <t>9. Debt securities and other assets (exclude other real estate owned and other repossessed assets)</t>
  </si>
  <si>
    <t>RCFD3505</t>
  </si>
  <si>
    <t>10. Loans and leases reported in items 1 through 8 above that are wholly or partially guaranteed by the U.S. Government, excluding loans and leases covered by loss-sharing agreements with the FDIC:</t>
  </si>
  <si>
    <t>RCFDK036</t>
  </si>
  <si>
    <t>RCFDK039</t>
  </si>
  <si>
    <t>b. Rebooked "GNMA loans" that have been repurchased or are eligible for repurchase included in item 10 above</t>
  </si>
  <si>
    <t>RCFDK042</t>
  </si>
  <si>
    <t>11. Loans and leases reported in items 1 through 8 above that are covered by loss-sharing agreements with the FDIC:</t>
  </si>
  <si>
    <t>a. Loans secured by real estate in domestic offices:</t>
  </si>
  <si>
    <t>b. Loans to finance agricultural production and other loans to farmers</t>
  </si>
  <si>
    <t>RCFDK072</t>
  </si>
  <si>
    <t>RCFDK075</t>
  </si>
  <si>
    <t>RCFDK078</t>
  </si>
  <si>
    <t>RCFDK081</t>
  </si>
  <si>
    <t>RCFDK084</t>
  </si>
  <si>
    <t>RCFDK087</t>
  </si>
  <si>
    <t>RCFDK091</t>
  </si>
  <si>
    <t>RCFDK095</t>
  </si>
  <si>
    <t>RCFDK099</t>
  </si>
  <si>
    <t>RCFDK269</t>
  </si>
  <si>
    <t>5. Loans secured by real estate in foreign offices</t>
  </si>
  <si>
    <t>RCFNK291</t>
  </si>
  <si>
    <t>f. Portion of covered loans and leases included in items 11.a through 11.e above that is protected by FDIC loss-sharing agreements</t>
  </si>
  <si>
    <t>RCFDK102</t>
  </si>
  <si>
    <t>b. Loans secured by 1-4 family residential properties in domestic offices..</t>
  </si>
  <si>
    <t>RCFDK120</t>
  </si>
  <si>
    <t>RCFDK123</t>
  </si>
  <si>
    <t>RCFDK126</t>
  </si>
  <si>
    <t>RCFDK134</t>
  </si>
  <si>
    <t>RCFDK138</t>
  </si>
  <si>
    <t>RCFDK274</t>
  </si>
  <si>
    <t>RCFDK277</t>
  </si>
  <si>
    <t>RCFDK280</t>
  </si>
  <si>
    <t>RCFDK283</t>
  </si>
  <si>
    <t>RCFDK286</t>
  </si>
  <si>
    <t>7. Loans secured by real estate in foreign offices 2. Loans to finance commercial real estate, construction, and land development</t>
  </si>
  <si>
    <t>RCFNK294</t>
  </si>
  <si>
    <t>RCFD6558</t>
  </si>
  <si>
    <t>7, above 3. Loans secured by real estate to non-U.S. addressees (domicile) (included in Schedule RC-N, item 1, above)</t>
  </si>
  <si>
    <t>RCFD1248</t>
  </si>
  <si>
    <t>RCFDC240</t>
  </si>
  <si>
    <t>RCFDF664</t>
  </si>
  <si>
    <t>RCFDF667</t>
  </si>
  <si>
    <t xml:space="preserve">9. Purchased credit-impaired loans accounted for in accordance with FASB ASC 310-30 (former AICPA Stament of Position 03-3): </t>
  </si>
  <si>
    <t>RCFDL183</t>
  </si>
  <si>
    <t xml:space="preserve">b. Amount included in Schedule RC-N, items 1 through 7, above  </t>
  </si>
  <si>
    <t>RCFDL186</t>
  </si>
  <si>
    <t>RCFNB573</t>
  </si>
  <si>
    <t>RCFD5378</t>
  </si>
  <si>
    <t>RCFD5381</t>
  </si>
  <si>
    <t>RCFD1597</t>
  </si>
  <si>
    <t>RCFD1252</t>
  </si>
  <si>
    <t>RCFD1255</t>
  </si>
  <si>
    <t>RCFDB576</t>
  </si>
  <si>
    <t>RCFDK214</t>
  </si>
  <si>
    <t>RCFDK217</t>
  </si>
  <si>
    <t>RCFD5390</t>
  </si>
  <si>
    <t>RCFD5460</t>
  </si>
  <si>
    <t>RCFDF167</t>
  </si>
  <si>
    <t>RCFDF170</t>
  </si>
  <si>
    <t>RCFD3506</t>
  </si>
  <si>
    <t>RCFDK037</t>
  </si>
  <si>
    <t>RCFDK040</t>
  </si>
  <si>
    <t>RCFDK043</t>
  </si>
  <si>
    <t>RCFDK073</t>
  </si>
  <si>
    <t>RCFDK076</t>
  </si>
  <si>
    <t>RCFDK079</t>
  </si>
  <si>
    <t>RCFDK082</t>
  </si>
  <si>
    <t>RCFDK085</t>
  </si>
  <si>
    <t>RCFDK088</t>
  </si>
  <si>
    <t>RCFDK092</t>
  </si>
  <si>
    <t>RCFDK096</t>
  </si>
  <si>
    <t>RCFDK100</t>
  </si>
  <si>
    <t>RCFDK271</t>
  </si>
  <si>
    <t>RCFNK292</t>
  </si>
  <si>
    <t>RCFDK103</t>
  </si>
  <si>
    <t>RCFDK121</t>
  </si>
  <si>
    <t>RCFDK124</t>
  </si>
  <si>
    <t>RCFDK127</t>
  </si>
  <si>
    <t>RCFDK135</t>
  </si>
  <si>
    <t>RCFDK139</t>
  </si>
  <si>
    <t>RCFDK275</t>
  </si>
  <si>
    <t>RCFDK278</t>
  </si>
  <si>
    <t>RCFDK281</t>
  </si>
  <si>
    <t>RCFDK284</t>
  </si>
  <si>
    <t>RCFDK287</t>
  </si>
  <si>
    <t>RCFNK295</t>
  </si>
  <si>
    <t>RCFD6559</t>
  </si>
  <si>
    <t>RCFD1249</t>
  </si>
  <si>
    <t>RCFDC241</t>
  </si>
  <si>
    <t>RCFDF665</t>
  </si>
  <si>
    <t>RCFDF668</t>
  </si>
  <si>
    <t>RCFD3529</t>
  </si>
  <si>
    <t>RCFDL184</t>
  </si>
  <si>
    <t>RCFDL187</t>
  </si>
  <si>
    <t>RCFNB574</t>
  </si>
  <si>
    <t>RCFD5379</t>
  </si>
  <si>
    <t>RCFD5382</t>
  </si>
  <si>
    <t>RCFD1583</t>
  </si>
  <si>
    <t>RCFD1253</t>
  </si>
  <si>
    <t>RCFD1256</t>
  </si>
  <si>
    <t>RCFDB577</t>
  </si>
  <si>
    <t>RCFDK215</t>
  </si>
  <si>
    <t>RCFDK218</t>
  </si>
  <si>
    <t>RCFD5391</t>
  </si>
  <si>
    <t>RCFD5461</t>
  </si>
  <si>
    <t>RCFDF168</t>
  </si>
  <si>
    <t>RCFDF171</t>
  </si>
  <si>
    <t>RCFD3507</t>
  </si>
  <si>
    <t>RCFDK038</t>
  </si>
  <si>
    <t>RCFDK041</t>
  </si>
  <si>
    <t>RCFDK044</t>
  </si>
  <si>
    <t>RCFDK074</t>
  </si>
  <si>
    <t>RCFDK077</t>
  </si>
  <si>
    <t>RCFDK080</t>
  </si>
  <si>
    <t>RCFDK083</t>
  </si>
  <si>
    <t>RCFDK086</t>
  </si>
  <si>
    <t>RCFDK089</t>
  </si>
  <si>
    <t>RCFDK093</t>
  </si>
  <si>
    <t>RCFDK097</t>
  </si>
  <si>
    <t>RCFDK101</t>
  </si>
  <si>
    <t>RCFDK272</t>
  </si>
  <si>
    <t>RCFNK293</t>
  </si>
  <si>
    <t>RCFDK104</t>
  </si>
  <si>
    <t>RCFDK122</t>
  </si>
  <si>
    <t>RCFDK125</t>
  </si>
  <si>
    <t>RCFDK128</t>
  </si>
  <si>
    <t>RCFDK136</t>
  </si>
  <si>
    <t>RCFDK140</t>
  </si>
  <si>
    <t>RCFDK276</t>
  </si>
  <si>
    <t>RCFDK279</t>
  </si>
  <si>
    <t>RCFDK282</t>
  </si>
  <si>
    <t>RCFDK285</t>
  </si>
  <si>
    <t>RCFDK288</t>
  </si>
  <si>
    <t>RCFNK296</t>
  </si>
  <si>
    <t>RCFD6560</t>
  </si>
  <si>
    <t>RCFD1250</t>
  </si>
  <si>
    <t>RCFDC226</t>
  </si>
  <si>
    <t>RCFDF666</t>
  </si>
  <si>
    <t>RCFDF669</t>
  </si>
  <si>
    <t>RCFD3530</t>
  </si>
  <si>
    <t>RCFDC410</t>
  </si>
  <si>
    <t>RCFDC411</t>
  </si>
  <si>
    <t>RCFDL185</t>
  </si>
  <si>
    <t>RCFDL188</t>
  </si>
  <si>
    <t>RCFDF236</t>
  </si>
  <si>
    <t>2. Total allowable exclusions, including interest accrued and unpaid on allowable exclusions (including foreign deposits)</t>
  </si>
  <si>
    <t>RCFDF237</t>
  </si>
  <si>
    <t>3. Total foreign deposits, including interest accrued and unpaid thereon (included in item 2 above)</t>
  </si>
  <si>
    <t>RCFNF234</t>
  </si>
  <si>
    <t>RCFDK652</t>
  </si>
  <si>
    <t>RCFDK653</t>
  </si>
  <si>
    <t>RCFDK654</t>
  </si>
  <si>
    <t>RCFDK655</t>
  </si>
  <si>
    <t>RCFDG465</t>
  </si>
  <si>
    <t>RCFDG466</t>
  </si>
  <si>
    <t>RCFDG467</t>
  </si>
  <si>
    <t>RCFDG468</t>
  </si>
  <si>
    <t>RCFDG469</t>
  </si>
  <si>
    <t>RCFDG470</t>
  </si>
  <si>
    <t>RCFDG471</t>
  </si>
  <si>
    <t>RCFDG472</t>
  </si>
  <si>
    <t>a. Fully consolidated reciprocal brokered deposits 10. Banker's bank certification: Does the reporting institution meet both the statutory definition of a banker's bank and</t>
  </si>
  <si>
    <t>RCFDK656</t>
  </si>
  <si>
    <t>RCFDK657</t>
  </si>
  <si>
    <t>RCFDK658</t>
  </si>
  <si>
    <t>RCFDK659</t>
  </si>
  <si>
    <t>RCFDK660</t>
  </si>
  <si>
    <t>b. Custodial bank deduction limit Memoranda</t>
  </si>
  <si>
    <t>RCFDK661</t>
  </si>
  <si>
    <t xml:space="preserve">2. Estimated amount of uninsured deposits in domestic offices of the bank and in insured branches in Puerto Rico and U.S. territories and possessions, including related interest accrued and unpaid (see instructions) </t>
  </si>
  <si>
    <t>TEXT</t>
  </si>
  <si>
    <t>RCFDK663</t>
  </si>
  <si>
    <t>RCFDK664</t>
  </si>
  <si>
    <t>RCFDK665</t>
  </si>
  <si>
    <t>RCFDK666</t>
  </si>
  <si>
    <t>RCFDN025</t>
  </si>
  <si>
    <t>RCFDN026</t>
  </si>
  <si>
    <t>RCFDN027</t>
  </si>
  <si>
    <t>RCFDN028</t>
  </si>
  <si>
    <t>RCFDN029</t>
  </si>
  <si>
    <t>RCFDN030</t>
  </si>
  <si>
    <t>10. Commitments to fund construction, land development, and other land loans secured by real estate for the consolidated bank:</t>
  </si>
  <si>
    <t>RCFDK676</t>
  </si>
  <si>
    <t>RCFDK677</t>
  </si>
  <si>
    <t>RCFDK669</t>
  </si>
  <si>
    <t>12. Nonbrokered time deposits of more than $250,000 in domestic offices (included in Schedule RC-E, Memorandum item 2.d)</t>
  </si>
  <si>
    <t>13. Portion of funded loans and securities in domestic and foreign offices guaranteed or insured by the U.S. government (including FDIC loss-sharing agreements):</t>
  </si>
  <si>
    <t>RCFDN177</t>
  </si>
  <si>
    <t>RCFDN178</t>
  </si>
  <si>
    <t>RCFDN179</t>
  </si>
  <si>
    <t>RCFDN180</t>
  </si>
  <si>
    <t>RCFDN181</t>
  </si>
  <si>
    <t>RCFDN182</t>
  </si>
  <si>
    <t>RCFDN183</t>
  </si>
  <si>
    <t>RCFDM963</t>
  </si>
  <si>
    <t>RCFDK673</t>
  </si>
  <si>
    <t>15. Total amount of the institution's 20 largest counterparty exposures 16. Portion of loans restructured in troubled debt restructurings that are in compliance with their modified terms and</t>
  </si>
  <si>
    <t>RCFDK674</t>
  </si>
  <si>
    <t>RCFDL189</t>
  </si>
  <si>
    <t>a. Total deposit liabilities before exclusions (gross) as defined in Section 3(l) of the Fderal Deposit Insurance Act and FDIC regulations</t>
  </si>
  <si>
    <t>RCFDL194</t>
  </si>
  <si>
    <t>b. Total allowable exclusions, including interest accrued and unpaid on allowable exclusions (including foreign deposits)</t>
  </si>
  <si>
    <t>RCFDL195</t>
  </si>
  <si>
    <t>RCFDL196</t>
  </si>
  <si>
    <t>d. Estimated amount of uninsured deposits in domestic offices of the institution and in insured branches in Puerto Rico and U.S. territories and possessions, including related interest accrued and unpaid</t>
  </si>
  <si>
    <t xml:space="preserve">1. Retail originations during the quarter of 1-4 family residential mortgage loans for sale: </t>
  </si>
  <si>
    <t xml:space="preserve">c. Total representation and warranty reserves (sum of items 7.a and 7.b) </t>
  </si>
  <si>
    <t>RCFAP742</t>
  </si>
  <si>
    <t>RCFAB530</t>
  </si>
  <si>
    <t>RCFAP839</t>
  </si>
  <si>
    <t>RCFAP840</t>
  </si>
  <si>
    <t>RCFAP841</t>
  </si>
  <si>
    <t>RCFAP842</t>
  </si>
  <si>
    <t>8. LESS: Deferred tax assets (DTAs) that arise from net operating loss and tax credit carryforwards, net of any related valuation allowances and net of DTLs</t>
  </si>
  <si>
    <t>RCFAP843</t>
  </si>
  <si>
    <t>RCFAP844</t>
  </si>
  <si>
    <t>RCFAP845</t>
  </si>
  <si>
    <t>c. LESS: Accumulated net gains (losses) on cash flow hedges (if a gain, report as a positive value; if a loss, report as a negative value)</t>
  </si>
  <si>
    <t>RCFAP846</t>
  </si>
  <si>
    <t>d. LESS: Amounts recorded in AOCI attributed to defined benefit postretirement plans resulting from the initial and subsequent application of the relevant GAAP standards that pertain to such plans (if a gain, report as a positive value; if a loss, report as a negative value)</t>
  </si>
  <si>
    <t>RCFAP847</t>
  </si>
  <si>
    <t>e. LESS: Net unrealized gains (losses) on held-to-maturity securities that are included in AOCI (if a gain, report as a positive value; if a loss, report as a negative value)</t>
  </si>
  <si>
    <t>RCFAP848</t>
  </si>
  <si>
    <t>f. LESS: Accumulated net gain (loss) on cash flow hedges included in AOCI, net of applicable income taxes, that relate to the hedging of items that are not recognized at fair value on the balance sheet (if a gain, report as a positive value; if a loss, report as a negative value) (To be completed only by institutions that entered "0" for No in item 3.a)</t>
  </si>
  <si>
    <t>RCFAP849</t>
  </si>
  <si>
    <t>RCFAQ258</t>
  </si>
  <si>
    <t>RCFAP850</t>
  </si>
  <si>
    <t>RCFAP851</t>
  </si>
  <si>
    <t>RCFAP852</t>
  </si>
  <si>
    <t>RCFAP853</t>
  </si>
  <si>
    <t>14. LESS: MSAs, net of associated DTLs, that exceed the 10 percent common equity tier 1 capital deduction threshold</t>
  </si>
  <si>
    <t>RCFAP854</t>
  </si>
  <si>
    <t>15. LESS: DTAs arising from temporary differences that could not be realized through net operating loss carrybacks, net of related valuation allowances and net of DTLs, that exceed the 10 percent common equity tier 1 capital deduction threshold</t>
  </si>
  <si>
    <t>RCFAP855</t>
  </si>
  <si>
    <t>16. LESS: Amount of significant investments in the capital of unconsolidated financial institutions in the form of common stock, net of associated DTLs; MSAs, net of associated DTLs; and DTAs arising from temporary differences that could not be realized through net operating loss carrybacks, net of related valuation allowances and net of DTLs; that exceeds</t>
  </si>
  <si>
    <t>RCFAP856</t>
  </si>
  <si>
    <t>RCFAP857</t>
  </si>
  <si>
    <t>RCFAP858</t>
  </si>
  <si>
    <t>RCFAP859</t>
  </si>
  <si>
    <t>RCFAP860</t>
  </si>
  <si>
    <t>RCFAP861</t>
  </si>
  <si>
    <t>RCFAP862</t>
  </si>
  <si>
    <t>RCFAP863</t>
  </si>
  <si>
    <t>RCFAP864</t>
  </si>
  <si>
    <t>RCFAP865</t>
  </si>
  <si>
    <t>26. Tier 1 capital (sum of items 19 and 25)</t>
  </si>
  <si>
    <t>RCFA8274</t>
  </si>
  <si>
    <t>RCFAP866</t>
  </si>
  <si>
    <t>RCFAP867</t>
  </si>
  <si>
    <t>RCFAP868</t>
  </si>
  <si>
    <t>RCFA5310</t>
  </si>
  <si>
    <t>RCFW5310</t>
  </si>
  <si>
    <t>RCFAQ257</t>
  </si>
  <si>
    <t>RCFAP870</t>
  </si>
  <si>
    <t>RCFWP870</t>
  </si>
  <si>
    <t>RCFAP872</t>
  </si>
  <si>
    <t>RCFA5311</t>
  </si>
  <si>
    <t>RCFW5311</t>
  </si>
  <si>
    <t>RCFA3792</t>
  </si>
  <si>
    <t>RCFW3792</t>
  </si>
  <si>
    <t>RCFAP875</t>
  </si>
  <si>
    <t>RCFAB596</t>
  </si>
  <si>
    <t>RCFAA224</t>
  </si>
  <si>
    <t>RCFAA223</t>
  </si>
  <si>
    <t>b. (Advanced approaches institutions that exit parallel run only): Total riskweighted assets using advanced approaches rule (from FFIEC 101 Schedule A, item 60)</t>
  </si>
  <si>
    <t>RCFWA223</t>
  </si>
  <si>
    <t>RCFAP793</t>
  </si>
  <si>
    <t>RCFA7206</t>
  </si>
  <si>
    <t>RCFA7205</t>
  </si>
  <si>
    <t>RCFWP793</t>
  </si>
  <si>
    <t>RCFW7206</t>
  </si>
  <si>
    <t>RCFW7205</t>
  </si>
  <si>
    <t xml:space="preserve"> 44. Tier 1 leverage ratio (item 26 divided by item 39) </t>
  </si>
  <si>
    <t>RCFA7204</t>
  </si>
  <si>
    <t>RCFDJ981</t>
  </si>
  <si>
    <t>RCFDJ984</t>
  </si>
  <si>
    <t>RCFDJ987</t>
  </si>
  <si>
    <t>RCFDJ990</t>
  </si>
  <si>
    <t>RCFDJ993</t>
  </si>
  <si>
    <t>RCFDJ996</t>
  </si>
  <si>
    <t>RCFDJ999</t>
  </si>
  <si>
    <t>RCFDK003</t>
  </si>
  <si>
    <t>RCFDK006</t>
  </si>
  <si>
    <t>RCFDK009</t>
  </si>
  <si>
    <t>RCFDK012</t>
  </si>
  <si>
    <t>RCFDK015</t>
  </si>
  <si>
    <t>RCFDK018</t>
  </si>
  <si>
    <t>RCFDK021</t>
  </si>
  <si>
    <t>RCFDK024</t>
  </si>
  <si>
    <t>RCFDK027</t>
  </si>
  <si>
    <t>RCFDK030</t>
  </si>
  <si>
    <t>RCFDK033</t>
  </si>
  <si>
    <t>RCFDJ982</t>
  </si>
  <si>
    <t>RCFDJ985</t>
  </si>
  <si>
    <t>RCFDJ988</t>
  </si>
  <si>
    <t>RCFDJ991</t>
  </si>
  <si>
    <t>RCFDJ994</t>
  </si>
  <si>
    <t>RCFDJ997</t>
  </si>
  <si>
    <t>RCFDK001</t>
  </si>
  <si>
    <t>RCFDK004</t>
  </si>
  <si>
    <t>RCFDK007</t>
  </si>
  <si>
    <t>RCFDK010</t>
  </si>
  <si>
    <t>RCFDK013</t>
  </si>
  <si>
    <t>RCFDK016</t>
  </si>
  <si>
    <t>RCFDK019</t>
  </si>
  <si>
    <t>RCFDK022</t>
  </si>
  <si>
    <t>RCFDK025</t>
  </si>
  <si>
    <t>RCFDK028</t>
  </si>
  <si>
    <t>RCFDK031</t>
  </si>
  <si>
    <t>RCFDK034</t>
  </si>
  <si>
    <t>RCFDJ983</t>
  </si>
  <si>
    <t>RCFDJ986</t>
  </si>
  <si>
    <t>RCFDJ989</t>
  </si>
  <si>
    <t>RCFDJ992</t>
  </si>
  <si>
    <t>RCFDJ995</t>
  </si>
  <si>
    <t>RCFDJ998</t>
  </si>
  <si>
    <t>RCFDK002</t>
  </si>
  <si>
    <t>RCFDK005</t>
  </si>
  <si>
    <t>RCFDK008</t>
  </si>
  <si>
    <t>RCFDK011</t>
  </si>
  <si>
    <t>RCFDK014</t>
  </si>
  <si>
    <t>RCFDK017</t>
  </si>
  <si>
    <t>RCFDK020</t>
  </si>
  <si>
    <t>RCFDK023</t>
  </si>
  <si>
    <t>RCFDK026</t>
  </si>
  <si>
    <t>RCFDK029</t>
  </si>
  <si>
    <t>RCFDK032</t>
  </si>
  <si>
    <t>RCFDK035</t>
  </si>
  <si>
    <t>TTM</t>
  </si>
  <si>
    <t>QTR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</si>
</sst>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_(* \(#,##0.00\);_(* &quot;-&quot;??_);_(@_)"/>
    <numFmt numFmtId="164" formatCode="_(* #,##0_);_(* \(#,##0\);_(* &quot;-&quot;??_);_(@_)"/>
    <numFmt numFmtId="165" formatCode="0.0000%"/>
  </numFmts>
  <fonts count="27" x14ac:knownFonts="1">
    <font>
      <sz val="10"/>
      <color rgb="FF000000"/>
      <name val="Times New Roman"/>
      <charset val="204"/>
    </font>
    <font>
      <u/>
      <sz val="10"/>
      <color theme="10"/>
      <name val="Times New Roman"/>
      <family val="1"/>
    </font>
    <font>
      <sz val="10"/>
      <color rgb="FF000000"/>
      <name val="Times New Roman"/>
      <family val="1"/>
    </font>
    <font>
      <sz val="12"/>
      <name val="Arial Bold"/>
      <family val="2"/>
    </font>
    <font>
      <sz val="10"/>
      <color rgb="FF000000"/>
      <name val="Calibri"/>
      <family val="2"/>
      <scheme val="minor"/>
    </font>
    <font>
      <sz val="11"/>
      <name val="Calibri"/>
      <family val="2"/>
      <scheme val="minor"/>
    </font>
    <font>
      <b/>
      <sz val="11"/>
      <color rgb="FF000000"/>
      <name val="Calibri"/>
      <family val="2"/>
      <scheme val="minor"/>
    </font>
    <font>
      <sz val="14"/>
      <name val="Calibri"/>
      <family val="2"/>
    </font>
    <font>
      <sz val="14"/>
      <color rgb="FF000000"/>
      <name val="Calibri"/>
      <family val="2"/>
    </font>
    <font>
      <b/>
      <sz val="14"/>
      <color rgb="FF000000"/>
      <name val="Calibri"/>
      <family val="2"/>
    </font>
    <font>
      <b/>
      <sz val="14"/>
      <name val="Calibri"/>
      <family val="2"/>
    </font>
    <font>
      <b/>
      <sz val="14"/>
      <name val="Calibri"/>
      <family val="2"/>
      <scheme val="minor"/>
    </font>
    <font>
      <sz val="14"/>
      <color rgb="FF000000"/>
      <name val="Calibri"/>
      <family val="2"/>
      <scheme val="minor"/>
    </font>
    <font>
      <sz val="14"/>
      <name val="Calibri"/>
      <family val="2"/>
      <scheme val="minor"/>
    </font>
    <font>
      <b/>
      <sz val="14"/>
      <color rgb="FF000000"/>
      <name val="Calibri"/>
      <family val="2"/>
      <scheme val="minor"/>
    </font>
    <font>
      <u/>
      <sz val="14"/>
      <color theme="10"/>
      <name val="Calibri"/>
      <family val="2"/>
      <scheme val="minor"/>
    </font>
    <font>
      <sz val="11"/>
      <name val="Calibri"/>
      <family val="2"/>
    </font>
    <font>
      <sz val="9"/>
      <name val="Calibri"/>
      <family val="2"/>
      <scheme val="minor"/>
    </font>
    <font>
      <sz val="11"/>
      <color rgb="FF000000"/>
      <name val="Calibri"/>
      <family val="2"/>
    </font>
    <font>
      <b/>
      <sz val="11"/>
      <color rgb="FF000000"/>
      <name val="Calibri"/>
      <family val="2"/>
    </font>
    <font>
      <sz val="11"/>
      <color rgb="FF000000"/>
      <name val="Calibri"/>
      <family val="2"/>
      <scheme val="minor"/>
    </font>
    <font>
      <sz val="14"/>
      <color theme="0"/>
      <name val="Calibri"/>
      <family val="2"/>
    </font>
    <font>
      <sz val="14"/>
      <color theme="0"/>
      <name val="Calibri"/>
      <family val="2"/>
      <scheme val="minor"/>
    </font>
    <font>
      <sz val="9"/>
      <color rgb="FF000000"/>
      <name val="Calibri"/>
      <family val="2"/>
      <scheme val="minor"/>
    </font>
    <font>
      <sz val="10"/>
      <color rgb="FF000000"/>
      <name val="Times New Roman"/>
      <family val="1"/>
    </font>
    <font>
      <b/>
      <sz val="12"/>
      <name val="Calibri"/>
      <family val="2"/>
      <scheme val="minor"/>
    </font>
    <font>
      <b/>
      <sz val="10"/>
      <color rgb="FF000000"/>
      <name val="Calibri"/>
      <family val="2"/>
    </font>
  </fonts>
  <fills count="4">
    <fill>
      <patternFill patternType="none"/>
    </fill>
    <fill>
      <patternFill patternType="gray125"/>
    </fill>
    <fill>
      <patternFill patternType="solid">
        <fgColor rgb="FFBFBFBF"/>
      </patternFill>
    </fill>
    <fill>
      <patternFill patternType="solid">
        <fgColor theme="6" tint="0.79998168889431442"/>
        <bgColor indexed="64"/>
      </patternFill>
    </fill>
  </fills>
  <borders count="16">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style="thin">
        <color indexed="64"/>
      </left>
      <right/>
      <top/>
      <bottom/>
      <diagonal/>
    </border>
    <border>
      <left style="thin">
        <color rgb="FF000000"/>
      </left>
      <right/>
      <top/>
      <bottom style="thin">
        <color rgb="FF000000"/>
      </bottom>
      <diagonal/>
    </border>
    <border>
      <left style="thin">
        <color rgb="FF000000"/>
      </left>
      <right/>
      <top/>
      <bottom style="thin">
        <color indexed="64"/>
      </bottom>
      <diagonal/>
    </border>
    <border>
      <left style="thin">
        <color rgb="FF000000"/>
      </left>
      <right/>
      <top style="thin">
        <color rgb="FF000000"/>
      </top>
      <bottom/>
      <diagonal/>
    </border>
    <border>
      <left/>
      <right/>
      <top style="thin">
        <color rgb="FF000000"/>
      </top>
      <bottom/>
      <diagonal/>
    </border>
    <border>
      <left/>
      <right/>
      <top/>
      <bottom style="thin">
        <color rgb="FF000000"/>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rgb="FF000000"/>
      </bottom>
      <diagonal/>
    </border>
  </borders>
  <cellStyleXfs count="4">
    <xf numFmtId="0" fontId="0" fillId="0" borderId="0"/>
    <xf numFmtId="0" fontId="1" fillId="0" borderId="0" applyNumberFormat="0" applyFill="0" applyBorder="0" applyAlignment="0" applyProtection="0"/>
    <xf numFmtId="43" fontId="2" fillId="0" borderId="0" applyFont="0" applyFill="0" applyBorder="0" applyAlignment="0" applyProtection="0"/>
    <xf numFmtId="9" fontId="24" fillId="0" borderId="0" applyFont="0" applyFill="0" applyBorder="0" applyAlignment="0" applyProtection="0"/>
  </cellStyleXfs>
  <cellXfs count="130">
    <xf numFmtId="0" fontId="0" fillId="0" borderId="0" xfId="0" applyFill="1" applyBorder="1" applyAlignment="1">
      <alignment horizontal="left" vertical="top"/>
    </xf>
    <xf numFmtId="0" fontId="3" fillId="0" borderId="0" xfId="0" applyNumberFormat="1" applyFont="1"/>
    <xf numFmtId="0" fontId="2" fillId="0" borderId="0" xfId="0" applyFont="1" applyFill="1" applyBorder="1" applyAlignment="1">
      <alignment horizontal="left" vertical="top"/>
    </xf>
    <xf numFmtId="0" fontId="4" fillId="0" borderId="0" xfId="0" applyFont="1" applyFill="1" applyBorder="1" applyAlignment="1">
      <alignment horizontal="left" vertical="top"/>
    </xf>
    <xf numFmtId="0" fontId="8" fillId="0" borderId="0" xfId="0" applyFont="1" applyFill="1" applyBorder="1" applyAlignment="1">
      <alignment horizontal="left" vertical="center"/>
    </xf>
    <xf numFmtId="164" fontId="8" fillId="0" borderId="0" xfId="2" applyNumberFormat="1" applyFont="1" applyFill="1" applyBorder="1" applyAlignment="1">
      <alignment horizontal="left" vertical="center"/>
    </xf>
    <xf numFmtId="0" fontId="8" fillId="0" borderId="0" xfId="0" applyFont="1" applyFill="1" applyBorder="1" applyAlignment="1">
      <alignment horizontal="left" vertical="top"/>
    </xf>
    <xf numFmtId="0" fontId="8" fillId="0" borderId="0" xfId="0" applyFont="1" applyAlignment="1">
      <alignment vertical="center"/>
    </xf>
    <xf numFmtId="164" fontId="8" fillId="0" borderId="0" xfId="2" applyNumberFormat="1" applyFont="1" applyAlignment="1">
      <alignment vertical="center"/>
    </xf>
    <xf numFmtId="0" fontId="8" fillId="0" borderId="0" xfId="0" applyFont="1" applyAlignment="1">
      <alignment vertical="center" wrapText="1"/>
    </xf>
    <xf numFmtId="0" fontId="8" fillId="0" borderId="0" xfId="0" applyFont="1" applyFill="1" applyBorder="1" applyAlignment="1">
      <alignment horizontal="left" vertical="center" wrapText="1"/>
    </xf>
    <xf numFmtId="0" fontId="10" fillId="0" borderId="0" xfId="0" applyNumberFormat="1" applyFont="1" applyAlignment="1">
      <alignment vertical="center" wrapText="1"/>
    </xf>
    <xf numFmtId="0" fontId="11" fillId="0" borderId="0" xfId="0" applyFont="1" applyFill="1" applyBorder="1" applyAlignment="1">
      <alignment horizontal="left" vertical="top"/>
    </xf>
    <xf numFmtId="0" fontId="12" fillId="0" borderId="0" xfId="0" applyFont="1" applyFill="1" applyBorder="1" applyAlignment="1">
      <alignment horizontal="left" vertical="top"/>
    </xf>
    <xf numFmtId="0" fontId="13" fillId="0" borderId="0" xfId="0" applyFont="1" applyFill="1" applyBorder="1" applyAlignment="1">
      <alignment vertical="top" wrapText="1"/>
    </xf>
    <xf numFmtId="1" fontId="14" fillId="3" borderId="3" xfId="0" applyNumberFormat="1" applyFont="1" applyFill="1" applyBorder="1" applyAlignment="1">
      <alignment horizontal="center" vertical="center" wrapText="1"/>
    </xf>
    <xf numFmtId="1" fontId="14" fillId="0" borderId="0" xfId="0" applyNumberFormat="1" applyFont="1" applyFill="1" applyBorder="1" applyAlignment="1">
      <alignment horizontal="center" vertical="center" wrapText="1"/>
    </xf>
    <xf numFmtId="1" fontId="12" fillId="0" borderId="0" xfId="0" applyNumberFormat="1" applyFont="1" applyFill="1" applyBorder="1" applyAlignment="1">
      <alignment horizontal="right" vertical="top"/>
    </xf>
    <xf numFmtId="0" fontId="15" fillId="0" borderId="0" xfId="1" applyFont="1" applyFill="1" applyBorder="1" applyAlignment="1">
      <alignment horizontal="left" vertical="top"/>
    </xf>
    <xf numFmtId="0" fontId="16" fillId="0" borderId="0" xfId="0" applyNumberFormat="1" applyFont="1" applyAlignment="1">
      <alignment vertical="center" wrapText="1"/>
    </xf>
    <xf numFmtId="0" fontId="4" fillId="0" borderId="0" xfId="0" applyFont="1"/>
    <xf numFmtId="0" fontId="4" fillId="0" borderId="0" xfId="0" applyFont="1" applyAlignment="1">
      <alignment horizontal="left"/>
    </xf>
    <xf numFmtId="0" fontId="17" fillId="0" borderId="0" xfId="0" applyNumberFormat="1" applyFont="1"/>
    <xf numFmtId="0" fontId="13" fillId="0" borderId="0" xfId="0" applyNumberFormat="1" applyFont="1"/>
    <xf numFmtId="0" fontId="12" fillId="0" borderId="0" xfId="0" applyFont="1"/>
    <xf numFmtId="0" fontId="12" fillId="0" borderId="0" xfId="0" applyFont="1" applyAlignment="1">
      <alignment horizontal="left"/>
    </xf>
    <xf numFmtId="0" fontId="9" fillId="0" borderId="0" xfId="2" applyNumberFormat="1" applyFont="1" applyAlignment="1">
      <alignment horizontal="center" vertical="center"/>
    </xf>
    <xf numFmtId="1" fontId="10" fillId="0" borderId="0" xfId="2" applyNumberFormat="1" applyFont="1" applyAlignment="1">
      <alignment horizontal="center" vertical="center"/>
    </xf>
    <xf numFmtId="0" fontId="8" fillId="0" borderId="0" xfId="0" applyFont="1" applyFill="1" applyAlignment="1">
      <alignment vertical="center"/>
    </xf>
    <xf numFmtId="164" fontId="8" fillId="0" borderId="0" xfId="2" applyNumberFormat="1" applyFont="1" applyFill="1" applyAlignment="1">
      <alignment vertical="center"/>
    </xf>
    <xf numFmtId="0" fontId="9" fillId="0" borderId="0" xfId="2" applyNumberFormat="1" applyFont="1" applyFill="1" applyAlignment="1">
      <alignment horizontal="center" vertical="center"/>
    </xf>
    <xf numFmtId="1" fontId="10" fillId="0" borderId="0" xfId="2" applyNumberFormat="1" applyFont="1" applyFill="1" applyAlignment="1">
      <alignment horizontal="center" vertical="center"/>
    </xf>
    <xf numFmtId="0" fontId="7" fillId="0" borderId="0" xfId="0" applyFont="1" applyFill="1" applyBorder="1" applyAlignment="1">
      <alignment horizontal="center" vertical="center" wrapText="1"/>
    </xf>
    <xf numFmtId="164" fontId="8" fillId="0" borderId="0" xfId="2" applyNumberFormat="1" applyFont="1" applyFill="1" applyBorder="1" applyAlignment="1">
      <alignment horizontal="right" vertical="center" wrapText="1"/>
    </xf>
    <xf numFmtId="0" fontId="18" fillId="2" borderId="1" xfId="0" applyFont="1" applyFill="1" applyBorder="1" applyAlignment="1">
      <alignment horizontal="left" vertical="center" wrapText="1"/>
    </xf>
    <xf numFmtId="164" fontId="18" fillId="2" borderId="1" xfId="2" applyNumberFormat="1" applyFont="1" applyFill="1" applyBorder="1" applyAlignment="1">
      <alignment horizontal="left" vertical="center" wrapText="1"/>
    </xf>
    <xf numFmtId="0" fontId="18" fillId="0" borderId="0" xfId="0" applyFont="1" applyFill="1" applyBorder="1" applyAlignment="1">
      <alignment horizontal="left" vertical="top"/>
    </xf>
    <xf numFmtId="0" fontId="16" fillId="0" borderId="1" xfId="0" applyFont="1" applyFill="1" applyBorder="1" applyAlignment="1">
      <alignment horizontal="center" vertical="center" wrapText="1"/>
    </xf>
    <xf numFmtId="164" fontId="19" fillId="0" borderId="1" xfId="2" applyNumberFormat="1" applyFont="1" applyFill="1" applyBorder="1" applyAlignment="1">
      <alignment horizontal="right" vertical="center" wrapText="1"/>
    </xf>
    <xf numFmtId="0" fontId="5" fillId="0" borderId="0" xfId="0" applyNumberFormat="1" applyFont="1" applyAlignment="1">
      <alignment vertical="center" wrapText="1"/>
    </xf>
    <xf numFmtId="0" fontId="20" fillId="0" borderId="0" xfId="0" applyFont="1" applyFill="1" applyBorder="1" applyAlignment="1">
      <alignment horizontal="left" vertical="top"/>
    </xf>
    <xf numFmtId="0" fontId="16" fillId="0" borderId="0" xfId="0" applyNumberFormat="1" applyFont="1" applyAlignment="1">
      <alignment horizontal="left" vertical="center" wrapText="1" indent="1"/>
    </xf>
    <xf numFmtId="0" fontId="16" fillId="0" borderId="0" xfId="0" applyNumberFormat="1" applyFont="1" applyAlignment="1">
      <alignment horizontal="left" vertical="center" wrapText="1" indent="2"/>
    </xf>
    <xf numFmtId="0" fontId="16" fillId="0" borderId="0" xfId="0" applyNumberFormat="1" applyFont="1" applyAlignment="1">
      <alignment horizontal="left" vertical="center" wrapText="1" indent="3"/>
    </xf>
    <xf numFmtId="0" fontId="8" fillId="0" borderId="0" xfId="0" applyFont="1" applyFill="1" applyBorder="1" applyAlignment="1">
      <alignment horizontal="left" vertical="center" indent="1"/>
    </xf>
    <xf numFmtId="0" fontId="8" fillId="0" borderId="0" xfId="0" applyFont="1" applyAlignment="1">
      <alignment horizontal="left" vertical="center" indent="1"/>
    </xf>
    <xf numFmtId="0" fontId="16" fillId="0" borderId="0" xfId="0" applyNumberFormat="1" applyFont="1" applyAlignment="1">
      <alignment horizontal="left" vertical="center" indent="1"/>
    </xf>
    <xf numFmtId="0" fontId="12" fillId="0" borderId="0" xfId="0" applyFont="1" applyFill="1" applyBorder="1" applyAlignment="1">
      <alignment horizontal="left" vertical="top" indent="1"/>
    </xf>
    <xf numFmtId="0" fontId="12" fillId="0" borderId="0" xfId="0" applyFont="1" applyAlignment="1">
      <alignment horizontal="left" indent="1"/>
    </xf>
    <xf numFmtId="0" fontId="5" fillId="0" borderId="0" xfId="0" applyNumberFormat="1" applyFont="1" applyAlignment="1">
      <alignment horizontal="left" vertical="center" indent="1"/>
    </xf>
    <xf numFmtId="1" fontId="21" fillId="0" borderId="0" xfId="2" applyNumberFormat="1" applyFont="1" applyAlignment="1">
      <alignment vertical="center"/>
    </xf>
    <xf numFmtId="164" fontId="19" fillId="0" borderId="0" xfId="2" applyNumberFormat="1" applyFont="1" applyFill="1" applyBorder="1" applyAlignment="1">
      <alignment horizontal="right" vertical="center" wrapText="1"/>
    </xf>
    <xf numFmtId="1" fontId="21" fillId="0" borderId="0" xfId="2" applyNumberFormat="1" applyFont="1" applyFill="1" applyAlignment="1">
      <alignment vertical="center"/>
    </xf>
    <xf numFmtId="0" fontId="10" fillId="0" borderId="0" xfId="0" applyNumberFormat="1" applyFont="1" applyAlignment="1">
      <alignment horizontal="left" vertical="center" wrapText="1"/>
    </xf>
    <xf numFmtId="0" fontId="10" fillId="0" borderId="0" xfId="0" applyNumberFormat="1" applyFont="1" applyAlignment="1">
      <alignment horizontal="left" vertical="center"/>
    </xf>
    <xf numFmtId="0" fontId="10" fillId="0" borderId="0" xfId="0" applyNumberFormat="1" applyFont="1" applyAlignment="1">
      <alignment vertical="top"/>
    </xf>
    <xf numFmtId="0" fontId="4" fillId="0" borderId="0" xfId="0" applyFont="1" applyFill="1" applyBorder="1" applyAlignment="1">
      <alignment horizontal="left"/>
    </xf>
    <xf numFmtId="0" fontId="20" fillId="0" borderId="0" xfId="0" applyFont="1" applyAlignment="1">
      <alignment horizontal="left"/>
    </xf>
    <xf numFmtId="0" fontId="5" fillId="0" borderId="0" xfId="0" applyNumberFormat="1" applyFont="1"/>
    <xf numFmtId="0" fontId="20" fillId="0" borderId="0" xfId="0" applyFont="1"/>
    <xf numFmtId="0" fontId="5" fillId="0" borderId="0" xfId="0" applyNumberFormat="1" applyFont="1" applyAlignment="1">
      <alignment wrapText="1"/>
    </xf>
    <xf numFmtId="0" fontId="5" fillId="0" borderId="0" xfId="0" applyNumberFormat="1" applyFont="1" applyAlignment="1">
      <alignment horizontal="left" wrapText="1"/>
    </xf>
    <xf numFmtId="0" fontId="4" fillId="0" borderId="0" xfId="0" applyFont="1" applyFill="1" applyBorder="1" applyAlignment="1">
      <alignment horizontal="left" vertical="top" wrapText="1"/>
    </xf>
    <xf numFmtId="0" fontId="5" fillId="0" borderId="0" xfId="0" applyNumberFormat="1" applyFont="1" applyAlignment="1"/>
    <xf numFmtId="0" fontId="11" fillId="0" borderId="0" xfId="0" applyNumberFormat="1" applyFont="1" applyAlignment="1">
      <alignment vertical="top"/>
    </xf>
    <xf numFmtId="0" fontId="11" fillId="0" borderId="0" xfId="0" applyNumberFormat="1" applyFont="1" applyAlignment="1">
      <alignment horizontal="left" vertical="center"/>
    </xf>
    <xf numFmtId="0" fontId="14" fillId="0" borderId="0" xfId="2" applyNumberFormat="1" applyFont="1" applyAlignment="1">
      <alignment horizontal="center" vertical="center"/>
    </xf>
    <xf numFmtId="1" fontId="11" fillId="0" borderId="0" xfId="2" applyNumberFormat="1" applyFont="1" applyAlignment="1">
      <alignment horizontal="center" vertical="center"/>
    </xf>
    <xf numFmtId="0" fontId="5" fillId="0" borderId="1" xfId="0" applyFont="1" applyFill="1" applyBorder="1" applyAlignment="1">
      <alignment horizontal="center" vertical="center" wrapText="1"/>
    </xf>
    <xf numFmtId="164" fontId="6" fillId="0" borderId="1" xfId="2" applyNumberFormat="1" applyFont="1" applyFill="1" applyBorder="1" applyAlignment="1">
      <alignment horizontal="right" vertical="center" wrapText="1"/>
    </xf>
    <xf numFmtId="0" fontId="13" fillId="0" borderId="0" xfId="0" applyNumberFormat="1" applyFont="1" applyAlignment="1"/>
    <xf numFmtId="0" fontId="22" fillId="0" borderId="0" xfId="0" applyFont="1" applyFill="1" applyBorder="1" applyAlignment="1">
      <alignment horizontal="left" vertical="top"/>
    </xf>
    <xf numFmtId="164" fontId="18" fillId="0" borderId="2" xfId="2" applyNumberFormat="1" applyFont="1" applyFill="1" applyBorder="1" applyAlignment="1">
      <alignment horizontal="left" vertical="center" wrapText="1"/>
    </xf>
    <xf numFmtId="164" fontId="18" fillId="0" borderId="0" xfId="2" applyNumberFormat="1" applyFont="1" applyFill="1" applyBorder="1" applyAlignment="1">
      <alignment horizontal="left" vertical="center" wrapText="1"/>
    </xf>
    <xf numFmtId="0" fontId="13" fillId="0" borderId="0" xfId="0" applyFont="1" applyFill="1" applyBorder="1" applyAlignment="1">
      <alignment horizontal="right" vertical="top" wrapText="1" indent="1"/>
    </xf>
    <xf numFmtId="0" fontId="20" fillId="2" borderId="1" xfId="0" applyFont="1" applyFill="1" applyBorder="1" applyAlignment="1">
      <alignment horizontal="left" vertical="center" wrapText="1"/>
    </xf>
    <xf numFmtId="0" fontId="17" fillId="0" borderId="0" xfId="0" applyNumberFormat="1" applyFont="1" applyAlignment="1">
      <alignment horizontal="center" vertical="center"/>
    </xf>
    <xf numFmtId="0" fontId="23" fillId="0" borderId="0" xfId="0" applyFont="1" applyAlignment="1">
      <alignment horizontal="center" vertical="center"/>
    </xf>
    <xf numFmtId="0" fontId="17" fillId="0" borderId="4" xfId="0" applyNumberFormat="1" applyFont="1" applyBorder="1" applyAlignment="1">
      <alignment horizontal="center" vertical="center"/>
    </xf>
    <xf numFmtId="0" fontId="23" fillId="0" borderId="4" xfId="0" applyFont="1" applyBorder="1" applyAlignment="1">
      <alignment horizontal="center" vertical="center"/>
    </xf>
    <xf numFmtId="164" fontId="18" fillId="0" borderId="1" xfId="2" applyNumberFormat="1" applyFont="1" applyFill="1" applyBorder="1" applyAlignment="1">
      <alignment horizontal="center" vertical="center" wrapText="1"/>
    </xf>
    <xf numFmtId="164" fontId="18" fillId="2" borderId="1" xfId="2" applyNumberFormat="1" applyFont="1" applyFill="1" applyBorder="1" applyAlignment="1">
      <alignment horizontal="center" vertical="center" wrapText="1"/>
    </xf>
    <xf numFmtId="0" fontId="14" fillId="0" borderId="0" xfId="2" applyNumberFormat="1" applyFont="1" applyFill="1" applyAlignment="1">
      <alignment vertical="center"/>
    </xf>
    <xf numFmtId="1" fontId="11" fillId="0" borderId="4" xfId="2" applyNumberFormat="1" applyFont="1" applyFill="1" applyBorder="1" applyAlignment="1">
      <alignment vertical="center"/>
    </xf>
    <xf numFmtId="0" fontId="11" fillId="0" borderId="0" xfId="0" applyFont="1" applyFill="1" applyBorder="1" applyAlignment="1">
      <alignment horizontal="left" vertical="center"/>
    </xf>
    <xf numFmtId="1" fontId="14" fillId="0" borderId="0" xfId="0" applyNumberFormat="1" applyFont="1" applyFill="1" applyBorder="1" applyAlignment="1">
      <alignment horizontal="left" vertical="center"/>
    </xf>
    <xf numFmtId="0" fontId="14" fillId="0" borderId="0" xfId="0" applyNumberFormat="1" applyFont="1" applyFill="1" applyBorder="1" applyAlignment="1">
      <alignment horizontal="left" vertical="center"/>
    </xf>
    <xf numFmtId="1" fontId="14" fillId="3" borderId="5" xfId="0" applyNumberFormat="1" applyFont="1" applyFill="1" applyBorder="1" applyAlignment="1">
      <alignment horizontal="center" vertical="center" wrapText="1"/>
    </xf>
    <xf numFmtId="0" fontId="9" fillId="0" borderId="0" xfId="2" applyNumberFormat="1" applyFont="1" applyFill="1" applyAlignment="1">
      <alignment horizontal="center" vertical="center"/>
    </xf>
    <xf numFmtId="0" fontId="0" fillId="0" borderId="0" xfId="0"/>
    <xf numFmtId="0" fontId="16" fillId="0" borderId="0" xfId="0" applyFont="1" applyFill="1" applyBorder="1" applyAlignment="1">
      <alignment horizontal="center" vertical="center" wrapText="1"/>
    </xf>
    <xf numFmtId="164" fontId="18" fillId="2" borderId="6" xfId="2" applyNumberFormat="1" applyFont="1" applyFill="1" applyBorder="1" applyAlignment="1">
      <alignment horizontal="left" vertical="center" wrapText="1"/>
    </xf>
    <xf numFmtId="164" fontId="18" fillId="2" borderId="0" xfId="2" applyNumberFormat="1" applyFont="1" applyFill="1" applyBorder="1" applyAlignment="1">
      <alignment horizontal="left" vertical="center" wrapText="1"/>
    </xf>
    <xf numFmtId="164" fontId="18" fillId="0" borderId="7" xfId="2" applyNumberFormat="1" applyFont="1" applyFill="1" applyBorder="1" applyAlignment="1">
      <alignment horizontal="left" vertical="center" wrapText="1"/>
    </xf>
    <xf numFmtId="0" fontId="16" fillId="0" borderId="10" xfId="0" applyFont="1" applyFill="1" applyBorder="1" applyAlignment="1">
      <alignment horizontal="center" vertical="center" wrapText="1"/>
    </xf>
    <xf numFmtId="164" fontId="19" fillId="0" borderId="11" xfId="2" applyNumberFormat="1" applyFont="1" applyFill="1" applyBorder="1" applyAlignment="1">
      <alignment horizontal="right" vertical="center" wrapText="1"/>
    </xf>
    <xf numFmtId="165" fontId="19" fillId="0" borderId="1" xfId="3" applyNumberFormat="1" applyFont="1" applyFill="1" applyBorder="1" applyAlignment="1">
      <alignment horizontal="right" vertical="center" wrapText="1"/>
    </xf>
    <xf numFmtId="0" fontId="5" fillId="0" borderId="0" xfId="0" applyNumberFormat="1" applyFont="1" applyAlignment="1">
      <alignment horizontal="left" wrapText="1" indent="2"/>
    </xf>
    <xf numFmtId="0" fontId="5" fillId="0" borderId="0" xfId="0" applyNumberFormat="1" applyFont="1" applyAlignment="1">
      <alignment horizontal="left" wrapText="1" indent="3"/>
    </xf>
    <xf numFmtId="0" fontId="5" fillId="0" borderId="0" xfId="0" applyNumberFormat="1" applyFont="1" applyAlignment="1">
      <alignment horizontal="left" wrapText="1" indent="4"/>
    </xf>
    <xf numFmtId="0" fontId="5" fillId="0" borderId="0" xfId="0" applyNumberFormat="1" applyFont="1" applyAlignment="1">
      <alignment horizontal="left" wrapText="1" indent="1"/>
    </xf>
    <xf numFmtId="0" fontId="25" fillId="0" borderId="0" xfId="0" applyFont="1" applyFill="1" applyBorder="1" applyAlignment="1">
      <alignment horizontal="center" vertical="top"/>
    </xf>
    <xf numFmtId="0" fontId="11" fillId="0" borderId="0" xfId="0" applyFont="1" applyFill="1" applyBorder="1" applyAlignment="1">
      <alignment horizontal="center" vertical="top"/>
    </xf>
    <xf numFmtId="0" fontId="9" fillId="0" borderId="0" xfId="2" applyNumberFormat="1" applyFont="1" applyFill="1" applyAlignment="1">
      <alignment horizontal="center" vertical="center"/>
    </xf>
    <xf numFmtId="1" fontId="10" fillId="0" borderId="4" xfId="2" applyNumberFormat="1" applyFont="1" applyFill="1" applyBorder="1" applyAlignment="1">
      <alignment horizontal="center" vertical="center"/>
    </xf>
    <xf numFmtId="0" fontId="17" fillId="0" borderId="0" xfId="0" applyNumberFormat="1" applyFont="1" applyAlignment="1">
      <alignment horizontal="center"/>
    </xf>
    <xf numFmtId="0" fontId="17" fillId="0" borderId="4" xfId="0" applyNumberFormat="1" applyFont="1" applyBorder="1" applyAlignment="1">
      <alignment horizontal="center"/>
    </xf>
    <xf numFmtId="0" fontId="14" fillId="0" borderId="0" xfId="2" applyNumberFormat="1" applyFont="1" applyFill="1" applyAlignment="1">
      <alignment horizontal="center" vertical="center"/>
    </xf>
    <xf numFmtId="1" fontId="11" fillId="0" borderId="4" xfId="2" applyNumberFormat="1" applyFont="1" applyFill="1" applyBorder="1" applyAlignment="1">
      <alignment horizontal="center" vertical="center"/>
    </xf>
    <xf numFmtId="0" fontId="17" fillId="0" borderId="8" xfId="0" applyNumberFormat="1" applyFont="1" applyBorder="1" applyAlignment="1">
      <alignment horizontal="center"/>
    </xf>
    <xf numFmtId="0" fontId="17" fillId="0" borderId="12" xfId="0" applyNumberFormat="1" applyFont="1" applyBorder="1" applyAlignment="1">
      <alignment horizontal="center"/>
    </xf>
    <xf numFmtId="0" fontId="17" fillId="0" borderId="2" xfId="0" applyNumberFormat="1" applyFont="1" applyBorder="1" applyAlignment="1">
      <alignment horizontal="center"/>
    </xf>
    <xf numFmtId="0" fontId="17" fillId="0" borderId="0" xfId="0" applyNumberFormat="1" applyFont="1" applyBorder="1" applyAlignment="1">
      <alignment horizontal="center"/>
    </xf>
    <xf numFmtId="1" fontId="11" fillId="0" borderId="9" xfId="2" applyNumberFormat="1" applyFont="1" applyFill="1" applyBorder="1" applyAlignment="1">
      <alignment horizontal="center" vertical="center"/>
    </xf>
    <xf numFmtId="0" fontId="14" fillId="0" borderId="2" xfId="2" applyNumberFormat="1" applyFont="1" applyFill="1" applyBorder="1" applyAlignment="1">
      <alignment horizontal="center" vertical="center"/>
    </xf>
    <xf numFmtId="0" fontId="14" fillId="0" borderId="0" xfId="2" applyNumberFormat="1" applyFont="1" applyFill="1" applyBorder="1" applyAlignment="1">
      <alignment horizontal="center" vertical="center"/>
    </xf>
    <xf numFmtId="0" fontId="17" fillId="0" borderId="9" xfId="0" applyNumberFormat="1" applyFont="1" applyBorder="1" applyAlignment="1">
      <alignment horizontal="center"/>
    </xf>
    <xf numFmtId="0" fontId="8" fillId="0" borderId="2" xfId="0" applyFont="1" applyFill="1" applyBorder="1" applyAlignment="1">
      <alignment horizontal="center" vertical="center"/>
    </xf>
    <xf numFmtId="0" fontId="8" fillId="0" borderId="0" xfId="0" applyFont="1" applyFill="1" applyBorder="1" applyAlignment="1">
      <alignment horizontal="center" vertical="center"/>
    </xf>
    <xf numFmtId="0" fontId="8" fillId="0" borderId="9" xfId="0" applyFont="1" applyFill="1" applyBorder="1" applyAlignment="1">
      <alignment horizontal="center" vertical="center"/>
    </xf>
    <xf numFmtId="0" fontId="8" fillId="0" borderId="4" xfId="0" applyFont="1" applyFill="1" applyBorder="1" applyAlignment="1">
      <alignment horizontal="center" vertical="center"/>
    </xf>
    <xf numFmtId="0" fontId="18" fillId="0" borderId="2"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0" xfId="0" applyFont="1" applyFill="1" applyAlignment="1">
      <alignment horizontal="center" vertical="center"/>
    </xf>
    <xf numFmtId="0" fontId="8" fillId="0" borderId="0" xfId="0" applyFont="1" applyFill="1" applyAlignment="1">
      <alignment horizontal="center" vertical="center"/>
    </xf>
    <xf numFmtId="0" fontId="18" fillId="0" borderId="8" xfId="0" applyFont="1" applyFill="1" applyBorder="1" applyAlignment="1">
      <alignment horizontal="center" vertical="center"/>
    </xf>
    <xf numFmtId="0" fontId="18" fillId="0" borderId="12"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4" xfId="0" applyFont="1" applyFill="1" applyBorder="1" applyAlignment="1">
      <alignment horizontal="center" vertical="center"/>
    </xf>
  </cellXfs>
  <cellStyles count="4">
    <cellStyle name="Comma" xfId="2" builtinId="3"/>
    <cellStyle name="Hyperlink" xfId="1" builtinId="8"/>
    <cellStyle name="Normal" xfId="0" builtinId="0"/>
    <cellStyle name="Percent" xfId="3"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123825</xdr:colOff>
          <xdr:row>6</xdr:row>
          <xdr:rowOff>0</xdr:rowOff>
        </xdr:from>
        <xdr:to>
          <xdr:col>2</xdr:col>
          <xdr:colOff>847725</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Intrinio\Dropbox\Projects\Intrinio%20Excel%20Addin\Intrinio_Excel_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ntrinioBankFinancials"/>
      <definedName name="IntrinioBankFundamentals"/>
      <definedName name="IntrinioDataPoint"/>
    </definedNames>
    <sheetDataSet>
      <sheetData sheetId="0"/>
    </sheetDataSet>
  </externalBook>
</externalLink>
</file>

<file path=xl/theme/theme1.xml><?xml version="1.0" encoding="utf-8"?>
<a:theme xmlns:a="http://schemas.openxmlformats.org/drawingml/2006/main" name="Basis">
  <a:themeElements>
    <a:clrScheme name="Green">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sis">
      <a:fillStyleLst>
        <a:solidFill>
          <a:schemeClr val="phClr"/>
        </a:solidFill>
        <a:solidFill>
          <a:schemeClr val="phClr">
            <a:tint val="55000"/>
            <a:satMod val="130000"/>
          </a:schemeClr>
        </a:solidFill>
        <a:gradFill rotWithShape="1">
          <a:gsLst>
            <a:gs pos="0">
              <a:schemeClr val="phClr"/>
            </a:gs>
            <a:gs pos="90000">
              <a:schemeClr val="phClr">
                <a:shade val="100000"/>
                <a:satMod val="105000"/>
              </a:schemeClr>
            </a:gs>
            <a:gs pos="100000">
              <a:schemeClr val="phClr">
                <a:shade val="80000"/>
                <a:satMod val="120000"/>
              </a:schemeClr>
            </a:gs>
          </a:gsLst>
          <a:path path="circle">
            <a:fillToRect l="100000" t="100000" r="100000" b="100000"/>
          </a:path>
        </a:gradFill>
      </a:fillStyleLst>
      <a:lnStyleLst>
        <a:ln w="10000" cap="flat" cmpd="sng" algn="ctr">
          <a:solidFill>
            <a:schemeClr val="phClr"/>
          </a:solidFill>
          <a:prstDash val="solid"/>
        </a:ln>
        <a:ln w="19050" cap="flat" cmpd="sng" algn="ctr">
          <a:solidFill>
            <a:schemeClr val="phClr"/>
          </a:solidFill>
          <a:prstDash val="solid"/>
        </a:ln>
        <a:ln w="53975" cap="flat" cmpd="dbl"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38100" dist="25400" dir="5400000" rotWithShape="0">
              <a:srgbClr val="000000">
                <a:alpha val="45000"/>
              </a:srgbClr>
            </a:outerShdw>
          </a:effectLst>
          <a:scene3d>
            <a:camera prst="orthographicFront">
              <a:rot lat="0" lon="0" rev="0"/>
            </a:camera>
            <a:lightRig rig="brightRoom" dir="t"/>
          </a:scene3d>
          <a:sp3d extrusionH="12700" contourW="25400" prstMaterial="flat">
            <a:bevelT w="63500" h="152400" prst="angle"/>
            <a:contourClr>
              <a:schemeClr val="phClr">
                <a:shade val="27000"/>
                <a:satMod val="120000"/>
              </a:schemeClr>
            </a:contourClr>
          </a:sp3d>
        </a:effectStyle>
      </a:effectStyleLst>
      <a:bgFillStyleLst>
        <a:solidFill>
          <a:schemeClr val="phClr"/>
        </a:solidFill>
        <a:solidFill>
          <a:schemeClr val="phClr">
            <a:tint val="95000"/>
            <a:shade val="95000"/>
            <a:satMod val="140000"/>
          </a:schemeClr>
        </a:solidFill>
        <a:solidFill>
          <a:schemeClr val="phClr">
            <a:tint val="90000"/>
            <a:shade val="85000"/>
            <a:satMod val="160000"/>
            <a:lumMod val="110000"/>
          </a:schemeClr>
        </a:solidFill>
      </a:bgFillStyleLst>
    </a:fmtScheme>
  </a:themeElements>
  <a:objectDefaults/>
  <a:extraClrSchemeLst/>
  <a:extLst>
    <a:ext uri="{05A4C25C-085E-4340-85A3-A5531E510DB2}">
      <thm15:themeFamily xmlns:thm15="http://schemas.microsoft.com/office/thememl/2012/main" name="Basis" id="{5665723A-49BA-4B57-8411-A56F8F207965}" vid="{90E45F77-AEFC-46EF-A7C1-5B338C297B02}"/>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pageSetUpPr fitToPage="1"/>
  </sheetPr>
  <dimension ref="A1:C46"/>
  <sheetViews>
    <sheetView tabSelected="1" view="pageBreakPreview" zoomScaleNormal="100" zoomScaleSheetLayoutView="100" workbookViewId="0">
      <selection activeCell="B7" sqref="B7"/>
    </sheetView>
  </sheetViews>
  <sheetFormatPr defaultColWidth="9.140625" defaultRowHeight="18" x14ac:dyDescent="0.4"/>
  <cols>
    <col min="1" max="1" width="48.5" style="13" customWidth="1"/>
    <col min="2" max="2" width="19.35546875" style="13" customWidth="1"/>
    <col min="3" max="3" width="40" style="13" customWidth="1"/>
    <col min="4" max="16384" width="9.140625" style="13"/>
  </cols>
  <sheetData>
    <row r="1" spans="1:3" x14ac:dyDescent="0.4">
      <c r="A1" s="102" t="s">
        <v>320</v>
      </c>
      <c r="B1" s="102"/>
      <c r="C1" s="102"/>
    </row>
    <row r="2" spans="1:3" x14ac:dyDescent="0.4">
      <c r="A2" s="102" t="s">
        <v>0</v>
      </c>
      <c r="B2" s="102"/>
      <c r="C2" s="102"/>
    </row>
    <row r="3" spans="1:3" x14ac:dyDescent="0.4">
      <c r="A3" s="102" t="s">
        <v>1</v>
      </c>
      <c r="B3" s="102"/>
      <c r="C3" s="102"/>
    </row>
    <row r="4" spans="1:3" x14ac:dyDescent="0.4">
      <c r="A4" s="12"/>
    </row>
    <row r="5" spans="1:3" x14ac:dyDescent="0.4">
      <c r="A5" s="101" t="s">
        <v>2088</v>
      </c>
      <c r="B5" s="101"/>
      <c r="C5" s="101"/>
    </row>
    <row r="6" spans="1:3" ht="18.399999999999999" thickBot="1" x14ac:dyDescent="0.45">
      <c r="A6" s="12"/>
    </row>
    <row r="7" spans="1:3" ht="18.399999999999999" thickBot="1" x14ac:dyDescent="0.45">
      <c r="A7" s="74" t="s">
        <v>2382</v>
      </c>
      <c r="B7" s="15"/>
    </row>
    <row r="8" spans="1:3" x14ac:dyDescent="0.4">
      <c r="A8" s="74" t="s">
        <v>321</v>
      </c>
      <c r="B8" s="84" t="str">
        <f>[1]!IntrinioDataPoint(rssd_id,"bank_name")</f>
        <v/>
      </c>
    </row>
    <row r="9" spans="1:3" x14ac:dyDescent="0.4">
      <c r="A9" s="74" t="s">
        <v>322</v>
      </c>
      <c r="B9" s="84" t="str">
        <f>[1]!IntrinioDataPoint(rssd_id,"bank_city")</f>
        <v/>
      </c>
    </row>
    <row r="10" spans="1:3" x14ac:dyDescent="0.4">
      <c r="A10" s="74" t="s">
        <v>323</v>
      </c>
      <c r="B10" s="84" t="str">
        <f>[1]!IntrinioDataPoint(rssd_id,"bank_state")</f>
        <v/>
      </c>
    </row>
    <row r="11" spans="1:3" x14ac:dyDescent="0.4">
      <c r="A11" s="74" t="s">
        <v>324</v>
      </c>
      <c r="B11" s="85" t="str">
        <f>[1]!IntrinioDataPoint(rssd_id,"bank_zip_code")</f>
        <v/>
      </c>
    </row>
    <row r="12" spans="1:3" x14ac:dyDescent="0.4">
      <c r="A12" s="74" t="s">
        <v>432</v>
      </c>
      <c r="B12" s="86" t="str">
        <f>[1]!IntrinioDataPoint(rssd_id,"total_branches")</f>
        <v/>
      </c>
    </row>
    <row r="13" spans="1:3" x14ac:dyDescent="0.4">
      <c r="A13" s="74" t="s">
        <v>325</v>
      </c>
      <c r="B13" s="85" t="str">
        <f>[1]!IntrinioDataPoint(rssd_id,"fdic_certificate_number")</f>
        <v/>
      </c>
    </row>
    <row r="14" spans="1:3" x14ac:dyDescent="0.4">
      <c r="A14" s="74"/>
      <c r="B14" s="16"/>
    </row>
    <row r="15" spans="1:3" x14ac:dyDescent="0.4">
      <c r="A15" s="74" t="s">
        <v>315</v>
      </c>
      <c r="B15" s="87" t="s">
        <v>316</v>
      </c>
    </row>
    <row r="16" spans="1:3" x14ac:dyDescent="0.4">
      <c r="A16" s="74" t="s">
        <v>319</v>
      </c>
      <c r="B16" s="87">
        <v>0</v>
      </c>
    </row>
    <row r="17" spans="1:2" x14ac:dyDescent="0.4">
      <c r="A17" s="74" t="s">
        <v>313</v>
      </c>
      <c r="B17" s="16" t="str">
        <f>[1]!IntrinioBankFundamentals(rssd_id,"RI",fiscal_period_type,fiscal_period_sequence,"fiscal_year")</f>
        <v/>
      </c>
    </row>
    <row r="18" spans="1:2" x14ac:dyDescent="0.4">
      <c r="A18" s="74" t="s">
        <v>314</v>
      </c>
      <c r="B18" s="16" t="str">
        <f>[1]!IntrinioBankFundamentals(rssd_id,"RI",fiscal_period_type,fiscal_period_sequence,"fiscal_period")</f>
        <v/>
      </c>
    </row>
    <row r="19" spans="1:2" x14ac:dyDescent="0.4">
      <c r="A19" s="14"/>
      <c r="B19" s="16"/>
    </row>
    <row r="20" spans="1:2" x14ac:dyDescent="0.4">
      <c r="A20" s="17"/>
    </row>
    <row r="21" spans="1:2" x14ac:dyDescent="0.4">
      <c r="A21" s="12" t="s">
        <v>326</v>
      </c>
    </row>
    <row r="22" spans="1:2" x14ac:dyDescent="0.4">
      <c r="A22" s="18" t="s">
        <v>2</v>
      </c>
    </row>
    <row r="23" spans="1:2" x14ac:dyDescent="0.4">
      <c r="A23" s="18" t="s">
        <v>3</v>
      </c>
    </row>
    <row r="24" spans="1:2" x14ac:dyDescent="0.4">
      <c r="A24" s="18" t="s">
        <v>4</v>
      </c>
    </row>
    <row r="25" spans="1:2" x14ac:dyDescent="0.4">
      <c r="A25" s="18" t="s">
        <v>5</v>
      </c>
    </row>
    <row r="26" spans="1:2" x14ac:dyDescent="0.4">
      <c r="A26" s="18" t="s">
        <v>6</v>
      </c>
    </row>
    <row r="27" spans="1:2" x14ac:dyDescent="0.4">
      <c r="A27" s="18" t="s">
        <v>7</v>
      </c>
    </row>
    <row r="28" spans="1:2" x14ac:dyDescent="0.4">
      <c r="A28" s="18" t="s">
        <v>8</v>
      </c>
    </row>
    <row r="29" spans="1:2" x14ac:dyDescent="0.4">
      <c r="A29" s="18" t="s">
        <v>9</v>
      </c>
    </row>
    <row r="30" spans="1:2" x14ac:dyDescent="0.4">
      <c r="A30" s="18" t="s">
        <v>10</v>
      </c>
    </row>
    <row r="31" spans="1:2" x14ac:dyDescent="0.4">
      <c r="A31" s="18" t="s">
        <v>11</v>
      </c>
    </row>
    <row r="32" spans="1:2" x14ac:dyDescent="0.4">
      <c r="A32" s="18" t="s">
        <v>12</v>
      </c>
    </row>
    <row r="33" spans="1:1" x14ac:dyDescent="0.4">
      <c r="A33" s="18" t="s">
        <v>13</v>
      </c>
    </row>
    <row r="34" spans="1:1" x14ac:dyDescent="0.4">
      <c r="A34" s="18" t="s">
        <v>2540</v>
      </c>
    </row>
    <row r="35" spans="1:1" x14ac:dyDescent="0.4">
      <c r="A35" s="18" t="s">
        <v>2539</v>
      </c>
    </row>
    <row r="36" spans="1:1" x14ac:dyDescent="0.4">
      <c r="A36" s="18" t="s">
        <v>14</v>
      </c>
    </row>
    <row r="37" spans="1:1" x14ac:dyDescent="0.4">
      <c r="A37" s="18" t="s">
        <v>15</v>
      </c>
    </row>
    <row r="38" spans="1:1" x14ac:dyDescent="0.4">
      <c r="A38" s="18" t="str">
        <f>RCH!A2</f>
        <v>Schedule RC-H - Selected Balance Sheet Items for Domestic Offices</v>
      </c>
    </row>
    <row r="39" spans="1:1" x14ac:dyDescent="0.4">
      <c r="A39" s="18" t="s">
        <v>16</v>
      </c>
    </row>
    <row r="40" spans="1:1" x14ac:dyDescent="0.4">
      <c r="A40" s="18" t="s">
        <v>17</v>
      </c>
    </row>
    <row r="41" spans="1:1" x14ac:dyDescent="0.4">
      <c r="A41" s="18" t="s">
        <v>18</v>
      </c>
    </row>
    <row r="42" spans="1:1" x14ac:dyDescent="0.4">
      <c r="A42" s="18" t="s">
        <v>19</v>
      </c>
    </row>
    <row r="43" spans="1:1" x14ac:dyDescent="0.4">
      <c r="A43" s="18" t="s">
        <v>20</v>
      </c>
    </row>
    <row r="44" spans="1:1" x14ac:dyDescent="0.4">
      <c r="A44" s="18" t="s">
        <v>21</v>
      </c>
    </row>
    <row r="45" spans="1:1" x14ac:dyDescent="0.4">
      <c r="A45" s="18" t="s">
        <v>22</v>
      </c>
    </row>
    <row r="46" spans="1:1" x14ac:dyDescent="0.4">
      <c r="A46" s="18" t="s">
        <v>23</v>
      </c>
    </row>
  </sheetData>
  <mergeCells count="4">
    <mergeCell ref="A5:C5"/>
    <mergeCell ref="A1:C1"/>
    <mergeCell ref="A2:C2"/>
    <mergeCell ref="A3:C3"/>
  </mergeCells>
  <dataValidations count="2">
    <dataValidation type="list" allowBlank="1" showInputMessage="1" showErrorMessage="1" sqref="B16">
      <formula1>sequences</formula1>
    </dataValidation>
    <dataValidation type="list" allowBlank="1" showInputMessage="1" showErrorMessage="1" sqref="B15">
      <formula1>fiscal_period_types</formula1>
    </dataValidation>
  </dataValidations>
  <hyperlinks>
    <hyperlink ref="A22" location="RI!A1" display="Schedule RI - Income Statement"/>
    <hyperlink ref="A23" location="RIA!A1" display="Schedule RI-A - Changes in Bank Equity Capital"/>
    <hyperlink ref="A24" location="RIBI!A1" display="Schedule RI-B Part I - Charge-offs and Recoveries on Loans and Leases"/>
    <hyperlink ref="A25" location="RIBII!A1" display="Schedule RI-B Part II - Changes in Allowance for Loan and Lease Losses"/>
    <hyperlink ref="A26" location="RIC!A1" display="Schedule RI-C - Disaggregated Data on the Allowance for Loan and Lease Losses"/>
    <hyperlink ref="A27" location="RIE!A1" display="Schedule RI-E - Explanations"/>
    <hyperlink ref="A28" location="'RC'!A1" display="Schedule RC - Balance Sheet"/>
    <hyperlink ref="A29" location="RCA!A1" display="Schedule RC-A - Cash and Balances Due From Depository Institutions"/>
    <hyperlink ref="A30" location="RCB!A1" display="Schedule RC-B - Securities"/>
    <hyperlink ref="A33" location="RCD!A1" display="Schedule RC-D - Trading Assets and Liabilities"/>
    <hyperlink ref="A34" location="RCEI!A1" display="Schedule RC-E Part I - Deposits in Domestic Offices"/>
    <hyperlink ref="A36" location="RCF!A1" display="Schedule RC-F - Other Assets"/>
    <hyperlink ref="A37" location="RCG!A1" display="Schedule RC-G - Other Liabilities"/>
    <hyperlink ref="A39" location="RCK!A1" display="Schedule RC-K - Quarterly Averages"/>
    <hyperlink ref="A40" location="RCL!A1" display="Schedule RC-L - Derivatives and Off-Balance Sheet Items"/>
    <hyperlink ref="A31" location="RCCI!A1" display="Schedule RC-C Part I - Loans and Leases"/>
    <hyperlink ref="A32" location="RCCII!A1" display="Schedule RC-C Part II - Loans to Small Businesses and Small Farms"/>
    <hyperlink ref="A41" location="RCM!A1" display="Schedule RC-M - Memoranda"/>
    <hyperlink ref="A42" location="RCN!A1" display="Schedule RC-N - Past Due and Nonaccrual Loans Leases and Other Assets"/>
    <hyperlink ref="A43" location="RCO!A1" display="Schedule RC-O - Other Data for Deposit Insurance and FICO Assessments"/>
    <hyperlink ref="A44" location="RCP!A1" display="Schedule RC-P - 1-4 Family Residential Mortgage Banking  Activities"/>
    <hyperlink ref="A45" location="RCRI!A1" display="Schedule RC-R Part I - Regulatory Capital Components and Ratios"/>
    <hyperlink ref="A46" location="RCV!A1" display="Schedule RC-V - Variable Interest Entities"/>
    <hyperlink ref="A35" location="RCEII!A1" display="Schedule RC-E Part II - Deposits in Foreign Offices including Edge and Agreement subsidiaries and IBFs"/>
  </hyperlinks>
  <printOptions horizontalCentered="1"/>
  <pageMargins left="0.7" right="0.7" top="0.75" bottom="0.75" header="0.3" footer="0.3"/>
  <pageSetup scale="72" orientation="portrait" r:id="rId1"/>
  <headerFooter>
    <oddFooter>&amp;L&amp;G&amp;R&amp;P</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ThisWorkbook.Update">
                <anchor moveWithCells="1" sizeWithCells="1">
                  <from>
                    <xdr:col>2</xdr:col>
                    <xdr:colOff>123825</xdr:colOff>
                    <xdr:row>6</xdr:row>
                    <xdr:rowOff>0</xdr:rowOff>
                  </from>
                  <to>
                    <xdr:col>2</xdr:col>
                    <xdr:colOff>847725</xdr:colOff>
                    <xdr:row>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B21"/>
  <sheetViews>
    <sheetView workbookViewId="0">
      <selection activeCell="A5" sqref="A5"/>
    </sheetView>
  </sheetViews>
  <sheetFormatPr defaultRowHeight="13.15" x14ac:dyDescent="0.4"/>
  <sheetData>
    <row r="1" spans="1:2" x14ac:dyDescent="0.4">
      <c r="A1" s="2" t="s">
        <v>327</v>
      </c>
      <c r="B1" s="2" t="s">
        <v>318</v>
      </c>
    </row>
    <row r="2" spans="1:2" x14ac:dyDescent="0.4">
      <c r="A2" s="2" t="s">
        <v>316</v>
      </c>
      <c r="B2">
        <v>0</v>
      </c>
    </row>
    <row r="3" spans="1:2" x14ac:dyDescent="0.4">
      <c r="A3" s="2" t="s">
        <v>3194</v>
      </c>
      <c r="B3">
        <f>+B2+1</f>
        <v>1</v>
      </c>
    </row>
    <row r="4" spans="1:2" x14ac:dyDescent="0.4">
      <c r="A4" s="2" t="s">
        <v>3195</v>
      </c>
      <c r="B4">
        <f>+B3+1</f>
        <v>2</v>
      </c>
    </row>
    <row r="5" spans="1:2" x14ac:dyDescent="0.4">
      <c r="A5" s="2" t="s">
        <v>317</v>
      </c>
      <c r="B5">
        <f t="shared" ref="B5:B21" si="0">+B4+1</f>
        <v>3</v>
      </c>
    </row>
    <row r="6" spans="1:2" x14ac:dyDescent="0.4">
      <c r="B6">
        <f t="shared" si="0"/>
        <v>4</v>
      </c>
    </row>
    <row r="7" spans="1:2" x14ac:dyDescent="0.4">
      <c r="B7">
        <f t="shared" si="0"/>
        <v>5</v>
      </c>
    </row>
    <row r="8" spans="1:2" x14ac:dyDescent="0.4">
      <c r="B8">
        <f t="shared" si="0"/>
        <v>6</v>
      </c>
    </row>
    <row r="9" spans="1:2" x14ac:dyDescent="0.4">
      <c r="B9">
        <f t="shared" si="0"/>
        <v>7</v>
      </c>
    </row>
    <row r="10" spans="1:2" x14ac:dyDescent="0.4">
      <c r="B10">
        <f t="shared" si="0"/>
        <v>8</v>
      </c>
    </row>
    <row r="11" spans="1:2" x14ac:dyDescent="0.4">
      <c r="B11">
        <f t="shared" si="0"/>
        <v>9</v>
      </c>
    </row>
    <row r="12" spans="1:2" x14ac:dyDescent="0.4">
      <c r="B12">
        <f t="shared" si="0"/>
        <v>10</v>
      </c>
    </row>
    <row r="13" spans="1:2" x14ac:dyDescent="0.4">
      <c r="B13">
        <f t="shared" si="0"/>
        <v>11</v>
      </c>
    </row>
    <row r="14" spans="1:2" x14ac:dyDescent="0.4">
      <c r="B14">
        <f t="shared" si="0"/>
        <v>12</v>
      </c>
    </row>
    <row r="15" spans="1:2" x14ac:dyDescent="0.4">
      <c r="B15">
        <f t="shared" si="0"/>
        <v>13</v>
      </c>
    </row>
    <row r="16" spans="1:2" x14ac:dyDescent="0.4">
      <c r="B16">
        <f t="shared" si="0"/>
        <v>14</v>
      </c>
    </row>
    <row r="17" spans="2:2" x14ac:dyDescent="0.4">
      <c r="B17">
        <f t="shared" si="0"/>
        <v>15</v>
      </c>
    </row>
    <row r="18" spans="2:2" x14ac:dyDescent="0.4">
      <c r="B18">
        <f t="shared" si="0"/>
        <v>16</v>
      </c>
    </row>
    <row r="19" spans="2:2" x14ac:dyDescent="0.4">
      <c r="B19">
        <f t="shared" si="0"/>
        <v>17</v>
      </c>
    </row>
    <row r="20" spans="2:2" x14ac:dyDescent="0.4">
      <c r="B20">
        <f t="shared" si="0"/>
        <v>18</v>
      </c>
    </row>
    <row r="21" spans="2:2" x14ac:dyDescent="0.4">
      <c r="B21">
        <f t="shared" si="0"/>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pageSetUpPr fitToPage="1"/>
  </sheetPr>
  <dimension ref="A1:S115"/>
  <sheetViews>
    <sheetView view="pageBreakPreview" zoomScaleNormal="100" zoomScaleSheetLayoutView="100" workbookViewId="0">
      <pane xSplit="1" ySplit="6" topLeftCell="B7" activePane="bottomRight" state="frozen"/>
      <selection pane="topRight"/>
      <selection pane="bottomLeft"/>
      <selection pane="bottomRight"/>
    </sheetView>
  </sheetViews>
  <sheetFormatPr defaultColWidth="12.640625" defaultRowHeight="18" outlineLevelCol="1" x14ac:dyDescent="0.4"/>
  <cols>
    <col min="1" max="1" width="71.35546875" style="10"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11" style="44" bestFit="1" customWidth="1"/>
    <col min="17" max="17" width="12.640625" style="6"/>
    <col min="18" max="18" width="18.5" style="6" bestFit="1" customWidth="1"/>
    <col min="19" max="16384" width="12.640625" style="6"/>
  </cols>
  <sheetData>
    <row r="1" spans="1:19" x14ac:dyDescent="0.4">
      <c r="A1" s="11" t="str">
        <f>name</f>
        <v/>
      </c>
    </row>
    <row r="2" spans="1:19" x14ac:dyDescent="0.4">
      <c r="A2" s="11" t="s">
        <v>2</v>
      </c>
      <c r="B2" s="7"/>
      <c r="C2" s="8"/>
      <c r="D2" s="8"/>
      <c r="E2" s="8"/>
      <c r="F2" s="8"/>
      <c r="G2" s="8"/>
      <c r="H2" s="8"/>
      <c r="I2" s="8"/>
      <c r="J2" s="8"/>
      <c r="K2" s="8"/>
      <c r="L2" s="8"/>
      <c r="M2" s="8"/>
      <c r="N2" s="8"/>
      <c r="O2" s="8"/>
      <c r="P2" s="45"/>
      <c r="R2" s="6" t="s">
        <v>430</v>
      </c>
      <c r="S2" s="6" t="s">
        <v>431</v>
      </c>
    </row>
    <row r="3" spans="1:19" x14ac:dyDescent="0.4">
      <c r="A3" s="19" t="s">
        <v>24</v>
      </c>
      <c r="B3" s="7"/>
      <c r="C3" s="8"/>
      <c r="D3" s="8"/>
      <c r="E3" s="8"/>
      <c r="F3" s="8"/>
      <c r="G3" s="8"/>
      <c r="H3" s="8"/>
      <c r="I3" s="8"/>
      <c r="J3" s="8"/>
      <c r="K3" s="8"/>
      <c r="L3" s="8"/>
      <c r="M3" s="8"/>
      <c r="N3" s="8"/>
      <c r="O3" s="8"/>
      <c r="P3" s="45"/>
    </row>
    <row r="4" spans="1:19" x14ac:dyDescent="0.4">
      <c r="A4" s="19"/>
      <c r="B4" s="50">
        <f>J4+1</f>
        <v>6</v>
      </c>
      <c r="C4" s="50">
        <f t="shared" ref="C4" si="0">D4+1</f>
        <v>12</v>
      </c>
      <c r="D4" s="50">
        <f t="shared" ref="D4:E4" si="1">E4+1</f>
        <v>11</v>
      </c>
      <c r="E4" s="50">
        <f t="shared" si="1"/>
        <v>10</v>
      </c>
      <c r="F4" s="50">
        <f t="shared" ref="F4:G4" si="2">G4+1</f>
        <v>9</v>
      </c>
      <c r="G4" s="50">
        <f t="shared" si="2"/>
        <v>8</v>
      </c>
      <c r="H4" s="50">
        <f t="shared" ref="H4:I4" si="3">I4+1</f>
        <v>7</v>
      </c>
      <c r="I4" s="50">
        <f t="shared" si="3"/>
        <v>6</v>
      </c>
      <c r="J4" s="50">
        <f t="shared" ref="J4:M4" si="4">K4+1</f>
        <v>5</v>
      </c>
      <c r="K4" s="50">
        <f t="shared" si="4"/>
        <v>4</v>
      </c>
      <c r="L4" s="50">
        <f t="shared" si="4"/>
        <v>3</v>
      </c>
      <c r="M4" s="50">
        <f t="shared" si="4"/>
        <v>2</v>
      </c>
      <c r="N4" s="50">
        <f>O4+1</f>
        <v>1</v>
      </c>
      <c r="O4" s="50">
        <f>fiscal_period_sequence</f>
        <v>0</v>
      </c>
      <c r="P4" s="45"/>
    </row>
    <row r="5" spans="1:19" x14ac:dyDescent="0.4">
      <c r="A5" s="9"/>
      <c r="B5" s="7"/>
      <c r="C5" s="26" t="str">
        <f>[1]!IntrinioBankFundamentals(rssd_id,$S$2,fiscal_period_type,C$4,"fiscal_period")</f>
        <v/>
      </c>
      <c r="D5" s="26" t="str">
        <f>[1]!IntrinioBankFundamentals(rssd_id,$S$2,fiscal_period_type,D$4,"fiscal_period")</f>
        <v/>
      </c>
      <c r="E5" s="26" t="str">
        <f>[1]!IntrinioBankFundamentals(rssd_id,$S$2,fiscal_period_type,E$4,"fiscal_period")</f>
        <v/>
      </c>
      <c r="F5" s="26" t="str">
        <f>[1]!IntrinioBankFundamentals(rssd_id,$S$2,fiscal_period_type,F$4,"fiscal_period")</f>
        <v/>
      </c>
      <c r="G5" s="26" t="str">
        <f>[1]!IntrinioBankFundamentals(rssd_id,$S$2,fiscal_period_type,G$4,"fiscal_period")</f>
        <v/>
      </c>
      <c r="H5" s="26" t="str">
        <f>[1]!IntrinioBankFundamentals(rssd_id,$S$2,fiscal_period_type,H$4,"fiscal_period")</f>
        <v/>
      </c>
      <c r="I5" s="26" t="str">
        <f>[1]!IntrinioBankFundamentals(rssd_id,$S$2,fiscal_period_type,I$4,"fiscal_period")</f>
        <v/>
      </c>
      <c r="J5" s="26" t="str">
        <f>[1]!IntrinioBankFundamentals(rssd_id,$S$2,fiscal_period_type,J$4,"fiscal_period")</f>
        <v/>
      </c>
      <c r="K5" s="26" t="str">
        <f>[1]!IntrinioBankFundamentals(rssd_id,$S$2,fiscal_period_type,K$4,"fiscal_period")</f>
        <v/>
      </c>
      <c r="L5" s="26" t="str">
        <f>[1]!IntrinioBankFundamentals(rssd_id,$S$2,fiscal_period_type,L$4,"fiscal_period")</f>
        <v/>
      </c>
      <c r="M5" s="26" t="str">
        <f>[1]!IntrinioBankFundamentals(rssd_id,$S$2,fiscal_period_type,M$4,"fiscal_period")</f>
        <v/>
      </c>
      <c r="N5" s="26" t="str">
        <f>[1]!IntrinioBankFundamentals(rssd_id,$S$2,fiscal_period_type,N$4,"fiscal_period")</f>
        <v/>
      </c>
      <c r="O5" s="26" t="str">
        <f>[1]!IntrinioBankFundamentals(rssd_id,$S$2,fiscal_period_type,O$4,"fiscal_period")</f>
        <v/>
      </c>
      <c r="P5" s="45"/>
    </row>
    <row r="6" spans="1:19" x14ac:dyDescent="0.4">
      <c r="B6" s="7"/>
      <c r="C6" s="27" t="str">
        <f>[1]!IntrinioBankFundamentals(rssd_id,$S$2,fiscal_period_type,C$4,"fiscal_year")</f>
        <v/>
      </c>
      <c r="D6" s="27" t="str">
        <f>[1]!IntrinioBankFundamentals(rssd_id,$S$2,fiscal_period_type,D$4,"fiscal_year")</f>
        <v/>
      </c>
      <c r="E6" s="27" t="str">
        <f>[1]!IntrinioBankFundamentals(rssd_id,$S$2,fiscal_period_type,E$4,"fiscal_year")</f>
        <v/>
      </c>
      <c r="F6" s="27" t="str">
        <f>[1]!IntrinioBankFundamentals(rssd_id,$S$2,fiscal_period_type,F$4,"fiscal_year")</f>
        <v/>
      </c>
      <c r="G6" s="27" t="str">
        <f>[1]!IntrinioBankFundamentals(rssd_id,$S$2,fiscal_period_type,G$4,"fiscal_year")</f>
        <v/>
      </c>
      <c r="H6" s="27" t="str">
        <f>[1]!IntrinioBankFundamentals(rssd_id,$S$2,fiscal_period_type,H$4,"fiscal_year")</f>
        <v/>
      </c>
      <c r="I6" s="27" t="str">
        <f>[1]!IntrinioBankFundamentals(rssd_id,$S$2,fiscal_period_type,I$4,"fiscal_year")</f>
        <v/>
      </c>
      <c r="J6" s="27" t="str">
        <f>[1]!IntrinioBankFundamentals(rssd_id,$S$2,fiscal_period_type,J$4,"fiscal_year")</f>
        <v/>
      </c>
      <c r="K6" s="27" t="str">
        <f>[1]!IntrinioBankFundamentals(rssd_id,$S$2,fiscal_period_type,K$4,"fiscal_year")</f>
        <v/>
      </c>
      <c r="L6" s="27" t="str">
        <f>[1]!IntrinioBankFundamentals(rssd_id,$S$2,fiscal_period_type,L$4,"fiscal_year")</f>
        <v/>
      </c>
      <c r="M6" s="27" t="str">
        <f>[1]!IntrinioBankFundamentals(rssd_id,$S$2,fiscal_period_type,M$4,"fiscal_year")</f>
        <v/>
      </c>
      <c r="N6" s="27" t="str">
        <f>[1]!IntrinioBankFundamentals(rssd_id,$S$2,fiscal_period_type,N$4,"fiscal_year")</f>
        <v/>
      </c>
      <c r="O6" s="27" t="str">
        <f>[1]!IntrinioBankFundamentals(rssd_id,$S$2,fiscal_period_type,O$4,"fiscal_year")</f>
        <v/>
      </c>
      <c r="P6" s="45"/>
    </row>
    <row r="7" spans="1:19" s="36" customFormat="1" ht="14.25" x14ac:dyDescent="0.4">
      <c r="A7" s="19" t="s">
        <v>25</v>
      </c>
      <c r="B7" s="34"/>
      <c r="C7" s="35"/>
      <c r="D7" s="35"/>
      <c r="E7" s="35"/>
      <c r="F7" s="35"/>
      <c r="G7" s="35"/>
      <c r="H7" s="35"/>
      <c r="I7" s="35"/>
      <c r="J7" s="35"/>
      <c r="K7" s="35"/>
      <c r="L7" s="35"/>
      <c r="M7" s="35"/>
      <c r="N7" s="35"/>
      <c r="O7" s="35"/>
      <c r="P7" s="46">
        <v>1</v>
      </c>
    </row>
    <row r="8" spans="1:19" s="36" customFormat="1" ht="14.25" x14ac:dyDescent="0.4">
      <c r="A8" s="41" t="s">
        <v>26</v>
      </c>
      <c r="B8" s="34"/>
      <c r="C8" s="35"/>
      <c r="D8" s="35"/>
      <c r="E8" s="35"/>
      <c r="F8" s="35"/>
      <c r="G8" s="35"/>
      <c r="H8" s="35"/>
      <c r="I8" s="35"/>
      <c r="J8" s="35"/>
      <c r="K8" s="35"/>
      <c r="L8" s="35"/>
      <c r="M8" s="35"/>
      <c r="N8" s="35"/>
      <c r="O8" s="35"/>
      <c r="P8" s="46" t="s">
        <v>27</v>
      </c>
    </row>
    <row r="9" spans="1:19" s="36" customFormat="1" ht="14.25" x14ac:dyDescent="0.4">
      <c r="A9" s="42" t="s">
        <v>28</v>
      </c>
      <c r="B9" s="34"/>
      <c r="C9" s="35"/>
      <c r="D9" s="35"/>
      <c r="E9" s="35"/>
      <c r="F9" s="35"/>
      <c r="G9" s="35"/>
      <c r="H9" s="35"/>
      <c r="I9" s="35"/>
      <c r="J9" s="35"/>
      <c r="K9" s="35"/>
      <c r="L9" s="35"/>
      <c r="M9" s="35"/>
      <c r="N9" s="35"/>
      <c r="O9" s="35"/>
      <c r="P9" s="46" t="s">
        <v>29</v>
      </c>
    </row>
    <row r="10" spans="1:19" s="36" customFormat="1" ht="14.25" x14ac:dyDescent="0.4">
      <c r="A10" s="43" t="s">
        <v>30</v>
      </c>
      <c r="B10" s="37" t="s">
        <v>31</v>
      </c>
      <c r="C10" s="38" t="str">
        <f>IFERROR([1]!IntrinioBankFinancials(rssd_id,$S$2,C$6,C$5,$B10,"K"),"")</f>
        <v/>
      </c>
      <c r="D10" s="38" t="str">
        <f>IFERROR([1]!IntrinioBankFinancials(rssd_id,$S$2,D$6,D$5,$B10,"K"),"")</f>
        <v/>
      </c>
      <c r="E10" s="38" t="str">
        <f>IFERROR([1]!IntrinioBankFinancials(rssd_id,$S$2,E$6,E$5,$B10,"K"),"")</f>
        <v/>
      </c>
      <c r="F10" s="38" t="str">
        <f>IFERROR([1]!IntrinioBankFinancials(rssd_id,$S$2,F$6,F$5,$B10,"K"),"")</f>
        <v/>
      </c>
      <c r="G10" s="38" t="str">
        <f>IFERROR([1]!IntrinioBankFinancials(rssd_id,$S$2,G$6,G$5,$B10,"K"),"")</f>
        <v/>
      </c>
      <c r="H10" s="38" t="str">
        <f>IFERROR([1]!IntrinioBankFinancials(rssd_id,$S$2,H$6,H$5,$B10,"K"),"")</f>
        <v/>
      </c>
      <c r="I10" s="38" t="str">
        <f>IFERROR([1]!IntrinioBankFinancials(rssd_id,$S$2,I$6,I$5,$B10,"K"),"")</f>
        <v/>
      </c>
      <c r="J10" s="38" t="str">
        <f>IFERROR([1]!IntrinioBankFinancials(rssd_id,$S$2,J$6,J$5,$B10,"K"),"")</f>
        <v/>
      </c>
      <c r="K10" s="38" t="str">
        <f>IFERROR([1]!IntrinioBankFinancials(rssd_id,$S$2,K$6,K$5,$B10,"K"),"")</f>
        <v/>
      </c>
      <c r="L10" s="38" t="str">
        <f>IFERROR([1]!IntrinioBankFinancials(rssd_id,$S$2,L$6,L$5,$B10,"K"),"")</f>
        <v/>
      </c>
      <c r="M10" s="38" t="str">
        <f>IFERROR([1]!IntrinioBankFinancials(rssd_id,$S$2,M$6,M$5,$B10,"K"),"")</f>
        <v/>
      </c>
      <c r="N10" s="38" t="str">
        <f>IFERROR([1]!IntrinioBankFinancials(rssd_id,$S$2,N$6,N$5,$B10,"K"),"")</f>
        <v/>
      </c>
      <c r="O10" s="38" t="str">
        <f>IFERROR([1]!IntrinioBankFinancials(rssd_id,$S$2,O$6,O$5,$B10,"K"),"")</f>
        <v/>
      </c>
      <c r="P10" s="46" t="s">
        <v>32</v>
      </c>
    </row>
    <row r="11" spans="1:19" s="36" customFormat="1" ht="14.25" x14ac:dyDescent="0.4">
      <c r="A11" s="43" t="s">
        <v>33</v>
      </c>
      <c r="B11" s="37" t="s">
        <v>34</v>
      </c>
      <c r="C11" s="38" t="str">
        <f>IFERROR([1]!IntrinioBankFinancials(rssd_id,$S$2,C$6,C$5,$B11,"K"),"")</f>
        <v/>
      </c>
      <c r="D11" s="38" t="str">
        <f>IFERROR([1]!IntrinioBankFinancials(rssd_id,$S$2,D$6,D$5,$B11,"K"),"")</f>
        <v/>
      </c>
      <c r="E11" s="38" t="str">
        <f>IFERROR([1]!IntrinioBankFinancials(rssd_id,$S$2,E$6,E$5,$B11,"K"),"")</f>
        <v/>
      </c>
      <c r="F11" s="38" t="str">
        <f>IFERROR([1]!IntrinioBankFinancials(rssd_id,$S$2,F$6,F$5,$B11,"K"),"")</f>
        <v/>
      </c>
      <c r="G11" s="38" t="str">
        <f>IFERROR([1]!IntrinioBankFinancials(rssd_id,$S$2,G$6,G$5,$B11,"K"),"")</f>
        <v/>
      </c>
      <c r="H11" s="38" t="str">
        <f>IFERROR([1]!IntrinioBankFinancials(rssd_id,$S$2,H$6,H$5,$B11,"K"),"")</f>
        <v/>
      </c>
      <c r="I11" s="38" t="str">
        <f>IFERROR([1]!IntrinioBankFinancials(rssd_id,$S$2,I$6,I$5,$B11,"K"),"")</f>
        <v/>
      </c>
      <c r="J11" s="38" t="str">
        <f>IFERROR([1]!IntrinioBankFinancials(rssd_id,$S$2,J$6,J$5,$B11,"K"),"")</f>
        <v/>
      </c>
      <c r="K11" s="38" t="str">
        <f>IFERROR([1]!IntrinioBankFinancials(rssd_id,$S$2,K$6,K$5,$B11,"K"),"")</f>
        <v/>
      </c>
      <c r="L11" s="38" t="str">
        <f>IFERROR([1]!IntrinioBankFinancials(rssd_id,$S$2,L$6,L$5,$B11,"K"),"")</f>
        <v/>
      </c>
      <c r="M11" s="38" t="str">
        <f>IFERROR([1]!IntrinioBankFinancials(rssd_id,$S$2,M$6,M$5,$B11,"K"),"")</f>
        <v/>
      </c>
      <c r="N11" s="38" t="str">
        <f>IFERROR([1]!IntrinioBankFinancials(rssd_id,$S$2,N$6,N$5,$B11,"K"),"")</f>
        <v/>
      </c>
      <c r="O11" s="38" t="str">
        <f>IFERROR([1]!IntrinioBankFinancials(rssd_id,$S$2,O$6,O$5,$B11,"K"),"")</f>
        <v/>
      </c>
      <c r="P11" s="46" t="s">
        <v>35</v>
      </c>
    </row>
    <row r="12" spans="1:19" s="36" customFormat="1" ht="14.25" x14ac:dyDescent="0.4">
      <c r="A12" s="42" t="s">
        <v>36</v>
      </c>
      <c r="B12" s="37" t="s">
        <v>37</v>
      </c>
      <c r="C12" s="38" t="str">
        <f>IFERROR([1]!IntrinioBankFinancials(rssd_id,$S$2,C$6,C$5,$B12,"K"),"")</f>
        <v/>
      </c>
      <c r="D12" s="38" t="str">
        <f>IFERROR([1]!IntrinioBankFinancials(rssd_id,$S$2,D$6,D$5,$B12,"K"),"")</f>
        <v/>
      </c>
      <c r="E12" s="38" t="str">
        <f>IFERROR([1]!IntrinioBankFinancials(rssd_id,$S$2,E$6,E$5,$B12,"K"),"")</f>
        <v/>
      </c>
      <c r="F12" s="38" t="str">
        <f>IFERROR([1]!IntrinioBankFinancials(rssd_id,$S$2,F$6,F$5,$B12,"K"),"")</f>
        <v/>
      </c>
      <c r="G12" s="38" t="str">
        <f>IFERROR([1]!IntrinioBankFinancials(rssd_id,$S$2,G$6,G$5,$B12,"K"),"")</f>
        <v/>
      </c>
      <c r="H12" s="38" t="str">
        <f>IFERROR([1]!IntrinioBankFinancials(rssd_id,$S$2,H$6,H$5,$B12,"K"),"")</f>
        <v/>
      </c>
      <c r="I12" s="38" t="str">
        <f>IFERROR([1]!IntrinioBankFinancials(rssd_id,$S$2,I$6,I$5,$B12,"K"),"")</f>
        <v/>
      </c>
      <c r="J12" s="38" t="str">
        <f>IFERROR([1]!IntrinioBankFinancials(rssd_id,$S$2,J$6,J$5,$B12,"K"),"")</f>
        <v/>
      </c>
      <c r="K12" s="38" t="str">
        <f>IFERROR([1]!IntrinioBankFinancials(rssd_id,$S$2,K$6,K$5,$B12,"K"),"")</f>
        <v/>
      </c>
      <c r="L12" s="38" t="str">
        <f>IFERROR([1]!IntrinioBankFinancials(rssd_id,$S$2,L$6,L$5,$B12,"K"),"")</f>
        <v/>
      </c>
      <c r="M12" s="38" t="str">
        <f>IFERROR([1]!IntrinioBankFinancials(rssd_id,$S$2,M$6,M$5,$B12,"K"),"")</f>
        <v/>
      </c>
      <c r="N12" s="38" t="str">
        <f>IFERROR([1]!IntrinioBankFinancials(rssd_id,$S$2,N$6,N$5,$B12,"K"),"")</f>
        <v/>
      </c>
      <c r="O12" s="38" t="str">
        <f>IFERROR([1]!IntrinioBankFinancials(rssd_id,$S$2,O$6,O$5,$B12,"K"),"")</f>
        <v/>
      </c>
      <c r="P12" s="46" t="s">
        <v>38</v>
      </c>
    </row>
    <row r="13" spans="1:19" s="36" customFormat="1" ht="14.25" x14ac:dyDescent="0.4">
      <c r="A13" s="42" t="s">
        <v>39</v>
      </c>
      <c r="B13" s="34"/>
      <c r="C13" s="35"/>
      <c r="D13" s="35"/>
      <c r="E13" s="35"/>
      <c r="F13" s="35"/>
      <c r="G13" s="35"/>
      <c r="H13" s="35"/>
      <c r="I13" s="35"/>
      <c r="J13" s="35"/>
      <c r="K13" s="35"/>
      <c r="L13" s="35"/>
      <c r="M13" s="35"/>
      <c r="N13" s="35"/>
      <c r="O13" s="35"/>
      <c r="P13" s="46" t="s">
        <v>40</v>
      </c>
    </row>
    <row r="14" spans="1:19" s="36" customFormat="1" ht="14.25" x14ac:dyDescent="0.4">
      <c r="A14" s="43" t="s">
        <v>41</v>
      </c>
      <c r="B14" s="37" t="s">
        <v>42</v>
      </c>
      <c r="C14" s="38" t="str">
        <f>IFERROR([1]!IntrinioBankFinancials(rssd_id,$S$2,C$6,C$5,$B14,"K"),"")</f>
        <v/>
      </c>
      <c r="D14" s="38" t="str">
        <f>IFERROR([1]!IntrinioBankFinancials(rssd_id,$S$2,D$6,D$5,$B14,"K"),"")</f>
        <v/>
      </c>
      <c r="E14" s="38" t="str">
        <f>IFERROR([1]!IntrinioBankFinancials(rssd_id,$S$2,E$6,E$5,$B14,"K"),"")</f>
        <v/>
      </c>
      <c r="F14" s="38" t="str">
        <f>IFERROR([1]!IntrinioBankFinancials(rssd_id,$S$2,F$6,F$5,$B14,"K"),"")</f>
        <v/>
      </c>
      <c r="G14" s="38" t="str">
        <f>IFERROR([1]!IntrinioBankFinancials(rssd_id,$S$2,G$6,G$5,$B14,"K"),"")</f>
        <v/>
      </c>
      <c r="H14" s="38" t="str">
        <f>IFERROR([1]!IntrinioBankFinancials(rssd_id,$S$2,H$6,H$5,$B14,"K"),"")</f>
        <v/>
      </c>
      <c r="I14" s="38" t="str">
        <f>IFERROR([1]!IntrinioBankFinancials(rssd_id,$S$2,I$6,I$5,$B14,"K"),"")</f>
        <v/>
      </c>
      <c r="J14" s="38" t="str">
        <f>IFERROR([1]!IntrinioBankFinancials(rssd_id,$S$2,J$6,J$5,$B14,"K"),"")</f>
        <v/>
      </c>
      <c r="K14" s="38" t="str">
        <f>IFERROR([1]!IntrinioBankFinancials(rssd_id,$S$2,K$6,K$5,$B14,"K"),"")</f>
        <v/>
      </c>
      <c r="L14" s="38" t="str">
        <f>IFERROR([1]!IntrinioBankFinancials(rssd_id,$S$2,L$6,L$5,$B14,"K"),"")</f>
        <v/>
      </c>
      <c r="M14" s="38" t="str">
        <f>IFERROR([1]!IntrinioBankFinancials(rssd_id,$S$2,M$6,M$5,$B14,"K"),"")</f>
        <v/>
      </c>
      <c r="N14" s="38" t="str">
        <f>IFERROR([1]!IntrinioBankFinancials(rssd_id,$S$2,N$6,N$5,$B14,"K"),"")</f>
        <v/>
      </c>
      <c r="O14" s="38" t="str">
        <f>IFERROR([1]!IntrinioBankFinancials(rssd_id,$S$2,O$6,O$5,$B14,"K"),"")</f>
        <v/>
      </c>
      <c r="P14" s="46" t="s">
        <v>43</v>
      </c>
    </row>
    <row r="15" spans="1:19" s="36" customFormat="1" ht="28.5" x14ac:dyDescent="0.4">
      <c r="A15" s="43" t="s">
        <v>292</v>
      </c>
      <c r="B15" s="37" t="s">
        <v>44</v>
      </c>
      <c r="C15" s="38" t="str">
        <f>IFERROR([1]!IntrinioBankFinancials(rssd_id,$S$2,C$6,C$5,$B15,"K"),"")</f>
        <v/>
      </c>
      <c r="D15" s="38" t="str">
        <f>IFERROR([1]!IntrinioBankFinancials(rssd_id,$S$2,D$6,D$5,$B15,"K"),"")</f>
        <v/>
      </c>
      <c r="E15" s="38" t="str">
        <f>IFERROR([1]!IntrinioBankFinancials(rssd_id,$S$2,E$6,E$5,$B15,"K"),"")</f>
        <v/>
      </c>
      <c r="F15" s="38" t="str">
        <f>IFERROR([1]!IntrinioBankFinancials(rssd_id,$S$2,F$6,F$5,$B15,"K"),"")</f>
        <v/>
      </c>
      <c r="G15" s="38" t="str">
        <f>IFERROR([1]!IntrinioBankFinancials(rssd_id,$S$2,G$6,G$5,$B15,"K"),"")</f>
        <v/>
      </c>
      <c r="H15" s="38" t="str">
        <f>IFERROR([1]!IntrinioBankFinancials(rssd_id,$S$2,H$6,H$5,$B15,"K"),"")</f>
        <v/>
      </c>
      <c r="I15" s="38" t="str">
        <f>IFERROR([1]!IntrinioBankFinancials(rssd_id,$S$2,I$6,I$5,$B15,"K"),"")</f>
        <v/>
      </c>
      <c r="J15" s="38" t="str">
        <f>IFERROR([1]!IntrinioBankFinancials(rssd_id,$S$2,J$6,J$5,$B15,"K"),"")</f>
        <v/>
      </c>
      <c r="K15" s="38" t="str">
        <f>IFERROR([1]!IntrinioBankFinancials(rssd_id,$S$2,K$6,K$5,$B15,"K"),"")</f>
        <v/>
      </c>
      <c r="L15" s="38" t="str">
        <f>IFERROR([1]!IntrinioBankFinancials(rssd_id,$S$2,L$6,L$5,$B15,"K"),"")</f>
        <v/>
      </c>
      <c r="M15" s="38" t="str">
        <f>IFERROR([1]!IntrinioBankFinancials(rssd_id,$S$2,M$6,M$5,$B15,"K"),"")</f>
        <v/>
      </c>
      <c r="N15" s="38" t="str">
        <f>IFERROR([1]!IntrinioBankFinancials(rssd_id,$S$2,N$6,N$5,$B15,"K"),"")</f>
        <v/>
      </c>
      <c r="O15" s="38" t="str">
        <f>IFERROR([1]!IntrinioBankFinancials(rssd_id,$S$2,O$6,O$5,$B15,"K"),"")</f>
        <v/>
      </c>
      <c r="P15" s="46" t="s">
        <v>45</v>
      </c>
    </row>
    <row r="16" spans="1:19" s="36" customFormat="1" ht="14.25" x14ac:dyDescent="0.4">
      <c r="A16" s="42" t="s">
        <v>46</v>
      </c>
      <c r="B16" s="37" t="s">
        <v>47</v>
      </c>
      <c r="C16" s="38" t="str">
        <f>IFERROR([1]!IntrinioBankFinancials(rssd_id,$S$2,C$6,C$5,$B16,"K"),"")</f>
        <v/>
      </c>
      <c r="D16" s="38" t="str">
        <f>IFERROR([1]!IntrinioBankFinancials(rssd_id,$S$2,D$6,D$5,$B16,"K"),"")</f>
        <v/>
      </c>
      <c r="E16" s="38" t="str">
        <f>IFERROR([1]!IntrinioBankFinancials(rssd_id,$S$2,E$6,E$5,$B16,"K"),"")</f>
        <v/>
      </c>
      <c r="F16" s="38" t="str">
        <f>IFERROR([1]!IntrinioBankFinancials(rssd_id,$S$2,F$6,F$5,$B16,"K"),"")</f>
        <v/>
      </c>
      <c r="G16" s="38" t="str">
        <f>IFERROR([1]!IntrinioBankFinancials(rssd_id,$S$2,G$6,G$5,$B16,"K"),"")</f>
        <v/>
      </c>
      <c r="H16" s="38" t="str">
        <f>IFERROR([1]!IntrinioBankFinancials(rssd_id,$S$2,H$6,H$5,$B16,"K"),"")</f>
        <v/>
      </c>
      <c r="I16" s="38" t="str">
        <f>IFERROR([1]!IntrinioBankFinancials(rssd_id,$S$2,I$6,I$5,$B16,"K"),"")</f>
        <v/>
      </c>
      <c r="J16" s="38" t="str">
        <f>IFERROR([1]!IntrinioBankFinancials(rssd_id,$S$2,J$6,J$5,$B16,"K"),"")</f>
        <v/>
      </c>
      <c r="K16" s="38" t="str">
        <f>IFERROR([1]!IntrinioBankFinancials(rssd_id,$S$2,K$6,K$5,$B16,"K"),"")</f>
        <v/>
      </c>
      <c r="L16" s="38" t="str">
        <f>IFERROR([1]!IntrinioBankFinancials(rssd_id,$S$2,L$6,L$5,$B16,"K"),"")</f>
        <v/>
      </c>
      <c r="M16" s="38" t="str">
        <f>IFERROR([1]!IntrinioBankFinancials(rssd_id,$S$2,M$6,M$5,$B16,"K"),"")</f>
        <v/>
      </c>
      <c r="N16" s="38" t="str">
        <f>IFERROR([1]!IntrinioBankFinancials(rssd_id,$S$2,N$6,N$5,$B16,"K"),"")</f>
        <v/>
      </c>
      <c r="O16" s="38" t="str">
        <f>IFERROR([1]!IntrinioBankFinancials(rssd_id,$S$2,O$6,O$5,$B16,"K"),"")</f>
        <v/>
      </c>
      <c r="P16" s="46" t="s">
        <v>48</v>
      </c>
    </row>
    <row r="17" spans="1:16" s="36" customFormat="1" ht="14.25" x14ac:dyDescent="0.4">
      <c r="A17" s="42" t="s">
        <v>49</v>
      </c>
      <c r="B17" s="37" t="s">
        <v>50</v>
      </c>
      <c r="C17" s="38" t="str">
        <f>IFERROR([1]!IntrinioBankFinancials(rssd_id,$S$2,C$6,C$5,$B17,"K"),"")</f>
        <v/>
      </c>
      <c r="D17" s="38" t="str">
        <f>IFERROR([1]!IntrinioBankFinancials(rssd_id,$S$2,D$6,D$5,$B17,"K"),"")</f>
        <v/>
      </c>
      <c r="E17" s="38" t="str">
        <f>IFERROR([1]!IntrinioBankFinancials(rssd_id,$S$2,E$6,E$5,$B17,"K"),"")</f>
        <v/>
      </c>
      <c r="F17" s="38" t="str">
        <f>IFERROR([1]!IntrinioBankFinancials(rssd_id,$S$2,F$6,F$5,$B17,"K"),"")</f>
        <v/>
      </c>
      <c r="G17" s="38" t="str">
        <f>IFERROR([1]!IntrinioBankFinancials(rssd_id,$S$2,G$6,G$5,$B17,"K"),"")</f>
        <v/>
      </c>
      <c r="H17" s="38" t="str">
        <f>IFERROR([1]!IntrinioBankFinancials(rssd_id,$S$2,H$6,H$5,$B17,"K"),"")</f>
        <v/>
      </c>
      <c r="I17" s="38" t="str">
        <f>IFERROR([1]!IntrinioBankFinancials(rssd_id,$S$2,I$6,I$5,$B17,"K"),"")</f>
        <v/>
      </c>
      <c r="J17" s="38" t="str">
        <f>IFERROR([1]!IntrinioBankFinancials(rssd_id,$S$2,J$6,J$5,$B17,"K"),"")</f>
        <v/>
      </c>
      <c r="K17" s="38" t="str">
        <f>IFERROR([1]!IntrinioBankFinancials(rssd_id,$S$2,K$6,K$5,$B17,"K"),"")</f>
        <v/>
      </c>
      <c r="L17" s="38" t="str">
        <f>IFERROR([1]!IntrinioBankFinancials(rssd_id,$S$2,L$6,L$5,$B17,"K"),"")</f>
        <v/>
      </c>
      <c r="M17" s="38" t="str">
        <f>IFERROR([1]!IntrinioBankFinancials(rssd_id,$S$2,M$6,M$5,$B17,"K"),"")</f>
        <v/>
      </c>
      <c r="N17" s="38" t="str">
        <f>IFERROR([1]!IntrinioBankFinancials(rssd_id,$S$2,N$6,N$5,$B17,"K"),"")</f>
        <v/>
      </c>
      <c r="O17" s="38" t="str">
        <f>IFERROR([1]!IntrinioBankFinancials(rssd_id,$S$2,O$6,O$5,$B17,"K"),"")</f>
        <v/>
      </c>
      <c r="P17" s="46" t="s">
        <v>51</v>
      </c>
    </row>
    <row r="18" spans="1:16" s="36" customFormat="1" ht="28.5" x14ac:dyDescent="0.4">
      <c r="A18" s="42" t="s">
        <v>52</v>
      </c>
      <c r="B18" s="37" t="s">
        <v>53</v>
      </c>
      <c r="C18" s="38" t="str">
        <f>IFERROR([1]!IntrinioBankFinancials(rssd_id,$S$2,C$6,C$5,$B18,"K"),"")</f>
        <v/>
      </c>
      <c r="D18" s="38" t="str">
        <f>IFERROR([1]!IntrinioBankFinancials(rssd_id,$S$2,D$6,D$5,$B18,"K"),"")</f>
        <v/>
      </c>
      <c r="E18" s="38" t="str">
        <f>IFERROR([1]!IntrinioBankFinancials(rssd_id,$S$2,E$6,E$5,$B18,"K"),"")</f>
        <v/>
      </c>
      <c r="F18" s="38" t="str">
        <f>IFERROR([1]!IntrinioBankFinancials(rssd_id,$S$2,F$6,F$5,$B18,"K"),"")</f>
        <v/>
      </c>
      <c r="G18" s="38" t="str">
        <f>IFERROR([1]!IntrinioBankFinancials(rssd_id,$S$2,G$6,G$5,$B18,"K"),"")</f>
        <v/>
      </c>
      <c r="H18" s="38" t="str">
        <f>IFERROR([1]!IntrinioBankFinancials(rssd_id,$S$2,H$6,H$5,$B18,"K"),"")</f>
        <v/>
      </c>
      <c r="I18" s="38" t="str">
        <f>IFERROR([1]!IntrinioBankFinancials(rssd_id,$S$2,I$6,I$5,$B18,"K"),"")</f>
        <v/>
      </c>
      <c r="J18" s="38" t="str">
        <f>IFERROR([1]!IntrinioBankFinancials(rssd_id,$S$2,J$6,J$5,$B18,"K"),"")</f>
        <v/>
      </c>
      <c r="K18" s="38" t="str">
        <f>IFERROR([1]!IntrinioBankFinancials(rssd_id,$S$2,K$6,K$5,$B18,"K"),"")</f>
        <v/>
      </c>
      <c r="L18" s="38" t="str">
        <f>IFERROR([1]!IntrinioBankFinancials(rssd_id,$S$2,L$6,L$5,$B18,"K"),"")</f>
        <v/>
      </c>
      <c r="M18" s="38" t="str">
        <f>IFERROR([1]!IntrinioBankFinancials(rssd_id,$S$2,M$6,M$5,$B18,"K"),"")</f>
        <v/>
      </c>
      <c r="N18" s="38" t="str">
        <f>IFERROR([1]!IntrinioBankFinancials(rssd_id,$S$2,N$6,N$5,$B18,"K"),"")</f>
        <v/>
      </c>
      <c r="O18" s="38" t="str">
        <f>IFERROR([1]!IntrinioBankFinancials(rssd_id,$S$2,O$6,O$5,$B18,"K"),"")</f>
        <v/>
      </c>
      <c r="P18" s="46" t="s">
        <v>54</v>
      </c>
    </row>
    <row r="19" spans="1:16" s="36" customFormat="1" ht="14.25" x14ac:dyDescent="0.4">
      <c r="A19" s="41" t="s">
        <v>55</v>
      </c>
      <c r="B19" s="37" t="s">
        <v>56</v>
      </c>
      <c r="C19" s="38" t="str">
        <f>IFERROR([1]!IntrinioBankFinancials(rssd_id,$S$2,C$6,C$5,$B19,"K"),"")</f>
        <v/>
      </c>
      <c r="D19" s="38" t="str">
        <f>IFERROR([1]!IntrinioBankFinancials(rssd_id,$S$2,D$6,D$5,$B19,"K"),"")</f>
        <v/>
      </c>
      <c r="E19" s="38" t="str">
        <f>IFERROR([1]!IntrinioBankFinancials(rssd_id,$S$2,E$6,E$5,$B19,"K"),"")</f>
        <v/>
      </c>
      <c r="F19" s="38" t="str">
        <f>IFERROR([1]!IntrinioBankFinancials(rssd_id,$S$2,F$6,F$5,$B19,"K"),"")</f>
        <v/>
      </c>
      <c r="G19" s="38" t="str">
        <f>IFERROR([1]!IntrinioBankFinancials(rssd_id,$S$2,G$6,G$5,$B19,"K"),"")</f>
        <v/>
      </c>
      <c r="H19" s="38" t="str">
        <f>IFERROR([1]!IntrinioBankFinancials(rssd_id,$S$2,H$6,H$5,$B19,"K"),"")</f>
        <v/>
      </c>
      <c r="I19" s="38" t="str">
        <f>IFERROR([1]!IntrinioBankFinancials(rssd_id,$S$2,I$6,I$5,$B19,"K"),"")</f>
        <v/>
      </c>
      <c r="J19" s="38" t="str">
        <f>IFERROR([1]!IntrinioBankFinancials(rssd_id,$S$2,J$6,J$5,$B19,"K"),"")</f>
        <v/>
      </c>
      <c r="K19" s="38" t="str">
        <f>IFERROR([1]!IntrinioBankFinancials(rssd_id,$S$2,K$6,K$5,$B19,"K"),"")</f>
        <v/>
      </c>
      <c r="L19" s="38" t="str">
        <f>IFERROR([1]!IntrinioBankFinancials(rssd_id,$S$2,L$6,L$5,$B19,"K"),"")</f>
        <v/>
      </c>
      <c r="M19" s="38" t="str">
        <f>IFERROR([1]!IntrinioBankFinancials(rssd_id,$S$2,M$6,M$5,$B19,"K"),"")</f>
        <v/>
      </c>
      <c r="N19" s="38" t="str">
        <f>IFERROR([1]!IntrinioBankFinancials(rssd_id,$S$2,N$6,N$5,$B19,"K"),"")</f>
        <v/>
      </c>
      <c r="O19" s="38" t="str">
        <f>IFERROR([1]!IntrinioBankFinancials(rssd_id,$S$2,O$6,O$5,$B19,"K"),"")</f>
        <v/>
      </c>
      <c r="P19" s="46" t="s">
        <v>57</v>
      </c>
    </row>
    <row r="20" spans="1:16" s="36" customFormat="1" ht="14.25" x14ac:dyDescent="0.4">
      <c r="A20" s="41" t="s">
        <v>58</v>
      </c>
      <c r="B20" s="37" t="s">
        <v>59</v>
      </c>
      <c r="C20" s="38" t="str">
        <f>IFERROR([1]!IntrinioBankFinancials(rssd_id,$S$2,C$6,C$5,$B20,"K"),"")</f>
        <v/>
      </c>
      <c r="D20" s="38" t="str">
        <f>IFERROR([1]!IntrinioBankFinancials(rssd_id,$S$2,D$6,D$5,$B20,"K"),"")</f>
        <v/>
      </c>
      <c r="E20" s="38" t="str">
        <f>IFERROR([1]!IntrinioBankFinancials(rssd_id,$S$2,E$6,E$5,$B20,"K"),"")</f>
        <v/>
      </c>
      <c r="F20" s="38" t="str">
        <f>IFERROR([1]!IntrinioBankFinancials(rssd_id,$S$2,F$6,F$5,$B20,"K"),"")</f>
        <v/>
      </c>
      <c r="G20" s="38" t="str">
        <f>IFERROR([1]!IntrinioBankFinancials(rssd_id,$S$2,G$6,G$5,$B20,"K"),"")</f>
        <v/>
      </c>
      <c r="H20" s="38" t="str">
        <f>IFERROR([1]!IntrinioBankFinancials(rssd_id,$S$2,H$6,H$5,$B20,"K"),"")</f>
        <v/>
      </c>
      <c r="I20" s="38" t="str">
        <f>IFERROR([1]!IntrinioBankFinancials(rssd_id,$S$2,I$6,I$5,$B20,"K"),"")</f>
        <v/>
      </c>
      <c r="J20" s="38" t="str">
        <f>IFERROR([1]!IntrinioBankFinancials(rssd_id,$S$2,J$6,J$5,$B20,"K"),"")</f>
        <v/>
      </c>
      <c r="K20" s="38" t="str">
        <f>IFERROR([1]!IntrinioBankFinancials(rssd_id,$S$2,K$6,K$5,$B20,"K"),"")</f>
        <v/>
      </c>
      <c r="L20" s="38" t="str">
        <f>IFERROR([1]!IntrinioBankFinancials(rssd_id,$S$2,L$6,L$5,$B20,"K"),"")</f>
        <v/>
      </c>
      <c r="M20" s="38" t="str">
        <f>IFERROR([1]!IntrinioBankFinancials(rssd_id,$S$2,M$6,M$5,$B20,"K"),"")</f>
        <v/>
      </c>
      <c r="N20" s="38" t="str">
        <f>IFERROR([1]!IntrinioBankFinancials(rssd_id,$S$2,N$6,N$5,$B20,"K"),"")</f>
        <v/>
      </c>
      <c r="O20" s="38" t="str">
        <f>IFERROR([1]!IntrinioBankFinancials(rssd_id,$S$2,O$6,O$5,$B20,"K"),"")</f>
        <v/>
      </c>
      <c r="P20" s="46" t="s">
        <v>60</v>
      </c>
    </row>
    <row r="21" spans="1:16" s="36" customFormat="1" ht="14.25" x14ac:dyDescent="0.4">
      <c r="A21" s="41" t="s">
        <v>61</v>
      </c>
      <c r="B21" s="34"/>
      <c r="C21" s="35"/>
      <c r="D21" s="35"/>
      <c r="E21" s="35"/>
      <c r="F21" s="35"/>
      <c r="G21" s="35"/>
      <c r="H21" s="35"/>
      <c r="I21" s="35"/>
      <c r="J21" s="35"/>
      <c r="K21" s="35"/>
      <c r="L21" s="35"/>
      <c r="M21" s="35"/>
      <c r="N21" s="35"/>
      <c r="O21" s="35"/>
      <c r="P21" s="46" t="s">
        <v>62</v>
      </c>
    </row>
    <row r="22" spans="1:16" s="36" customFormat="1" ht="28.5" x14ac:dyDescent="0.4">
      <c r="A22" s="42" t="s">
        <v>63</v>
      </c>
      <c r="B22" s="37" t="s">
        <v>64</v>
      </c>
      <c r="C22" s="38" t="str">
        <f>IFERROR([1]!IntrinioBankFinancials(rssd_id,$S$2,C$6,C$5,$B22,"K"),"")</f>
        <v/>
      </c>
      <c r="D22" s="38" t="str">
        <f>IFERROR([1]!IntrinioBankFinancials(rssd_id,$S$2,D$6,D$5,$B22,"K"),"")</f>
        <v/>
      </c>
      <c r="E22" s="38" t="str">
        <f>IFERROR([1]!IntrinioBankFinancials(rssd_id,$S$2,E$6,E$5,$B22,"K"),"")</f>
        <v/>
      </c>
      <c r="F22" s="38" t="str">
        <f>IFERROR([1]!IntrinioBankFinancials(rssd_id,$S$2,F$6,F$5,$B22,"K"),"")</f>
        <v/>
      </c>
      <c r="G22" s="38" t="str">
        <f>IFERROR([1]!IntrinioBankFinancials(rssd_id,$S$2,G$6,G$5,$B22,"K"),"")</f>
        <v/>
      </c>
      <c r="H22" s="38" t="str">
        <f>IFERROR([1]!IntrinioBankFinancials(rssd_id,$S$2,H$6,H$5,$B22,"K"),"")</f>
        <v/>
      </c>
      <c r="I22" s="38" t="str">
        <f>IFERROR([1]!IntrinioBankFinancials(rssd_id,$S$2,I$6,I$5,$B22,"K"),"")</f>
        <v/>
      </c>
      <c r="J22" s="38" t="str">
        <f>IFERROR([1]!IntrinioBankFinancials(rssd_id,$S$2,J$6,J$5,$B22,"K"),"")</f>
        <v/>
      </c>
      <c r="K22" s="38" t="str">
        <f>IFERROR([1]!IntrinioBankFinancials(rssd_id,$S$2,K$6,K$5,$B22,"K"),"")</f>
        <v/>
      </c>
      <c r="L22" s="38" t="str">
        <f>IFERROR([1]!IntrinioBankFinancials(rssd_id,$S$2,L$6,L$5,$B22,"K"),"")</f>
        <v/>
      </c>
      <c r="M22" s="38" t="str">
        <f>IFERROR([1]!IntrinioBankFinancials(rssd_id,$S$2,M$6,M$5,$B22,"K"),"")</f>
        <v/>
      </c>
      <c r="N22" s="38" t="str">
        <f>IFERROR([1]!IntrinioBankFinancials(rssd_id,$S$2,N$6,N$5,$B22,"K"),"")</f>
        <v/>
      </c>
      <c r="O22" s="38" t="str">
        <f>IFERROR([1]!IntrinioBankFinancials(rssd_id,$S$2,O$6,O$5,$B22,"K"),"")</f>
        <v/>
      </c>
      <c r="P22" s="46" t="s">
        <v>65</v>
      </c>
    </row>
    <row r="23" spans="1:16" s="36" customFormat="1" ht="14.25" x14ac:dyDescent="0.4">
      <c r="A23" s="42" t="s">
        <v>66</v>
      </c>
      <c r="B23" s="37" t="s">
        <v>67</v>
      </c>
      <c r="C23" s="38" t="str">
        <f>IFERROR([1]!IntrinioBankFinancials(rssd_id,$S$2,C$6,C$5,$B23,"K"),"")</f>
        <v/>
      </c>
      <c r="D23" s="38" t="str">
        <f>IFERROR([1]!IntrinioBankFinancials(rssd_id,$S$2,D$6,D$5,$B23,"K"),"")</f>
        <v/>
      </c>
      <c r="E23" s="38" t="str">
        <f>IFERROR([1]!IntrinioBankFinancials(rssd_id,$S$2,E$6,E$5,$B23,"K"),"")</f>
        <v/>
      </c>
      <c r="F23" s="38" t="str">
        <f>IFERROR([1]!IntrinioBankFinancials(rssd_id,$S$2,F$6,F$5,$B23,"K"),"")</f>
        <v/>
      </c>
      <c r="G23" s="38" t="str">
        <f>IFERROR([1]!IntrinioBankFinancials(rssd_id,$S$2,G$6,G$5,$B23,"K"),"")</f>
        <v/>
      </c>
      <c r="H23" s="38" t="str">
        <f>IFERROR([1]!IntrinioBankFinancials(rssd_id,$S$2,H$6,H$5,$B23,"K"),"")</f>
        <v/>
      </c>
      <c r="I23" s="38" t="str">
        <f>IFERROR([1]!IntrinioBankFinancials(rssd_id,$S$2,I$6,I$5,$B23,"K"),"")</f>
        <v/>
      </c>
      <c r="J23" s="38" t="str">
        <f>IFERROR([1]!IntrinioBankFinancials(rssd_id,$S$2,J$6,J$5,$B23,"K"),"")</f>
        <v/>
      </c>
      <c r="K23" s="38" t="str">
        <f>IFERROR([1]!IntrinioBankFinancials(rssd_id,$S$2,K$6,K$5,$B23,"K"),"")</f>
        <v/>
      </c>
      <c r="L23" s="38" t="str">
        <f>IFERROR([1]!IntrinioBankFinancials(rssd_id,$S$2,L$6,L$5,$B23,"K"),"")</f>
        <v/>
      </c>
      <c r="M23" s="38" t="str">
        <f>IFERROR([1]!IntrinioBankFinancials(rssd_id,$S$2,M$6,M$5,$B23,"K"),"")</f>
        <v/>
      </c>
      <c r="N23" s="38" t="str">
        <f>IFERROR([1]!IntrinioBankFinancials(rssd_id,$S$2,N$6,N$5,$B23,"K"),"")</f>
        <v/>
      </c>
      <c r="O23" s="38" t="str">
        <f>IFERROR([1]!IntrinioBankFinancials(rssd_id,$S$2,O$6,O$5,$B23,"K"),"")</f>
        <v/>
      </c>
      <c r="P23" s="46" t="s">
        <v>68</v>
      </c>
    </row>
    <row r="24" spans="1:16" s="36" customFormat="1" ht="28.5" x14ac:dyDescent="0.4">
      <c r="A24" s="42" t="s">
        <v>69</v>
      </c>
      <c r="B24" s="37" t="s">
        <v>70</v>
      </c>
      <c r="C24" s="38" t="str">
        <f>IFERROR([1]!IntrinioBankFinancials(rssd_id,$S$2,C$6,C$5,$B24,"K"),"")</f>
        <v/>
      </c>
      <c r="D24" s="38" t="str">
        <f>IFERROR([1]!IntrinioBankFinancials(rssd_id,$S$2,D$6,D$5,$B24,"K"),"")</f>
        <v/>
      </c>
      <c r="E24" s="38" t="str">
        <f>IFERROR([1]!IntrinioBankFinancials(rssd_id,$S$2,E$6,E$5,$B24,"K"),"")</f>
        <v/>
      </c>
      <c r="F24" s="38" t="str">
        <f>IFERROR([1]!IntrinioBankFinancials(rssd_id,$S$2,F$6,F$5,$B24,"K"),"")</f>
        <v/>
      </c>
      <c r="G24" s="38" t="str">
        <f>IFERROR([1]!IntrinioBankFinancials(rssd_id,$S$2,G$6,G$5,$B24,"K"),"")</f>
        <v/>
      </c>
      <c r="H24" s="38" t="str">
        <f>IFERROR([1]!IntrinioBankFinancials(rssd_id,$S$2,H$6,H$5,$B24,"K"),"")</f>
        <v/>
      </c>
      <c r="I24" s="38" t="str">
        <f>IFERROR([1]!IntrinioBankFinancials(rssd_id,$S$2,I$6,I$5,$B24,"K"),"")</f>
        <v/>
      </c>
      <c r="J24" s="38" t="str">
        <f>IFERROR([1]!IntrinioBankFinancials(rssd_id,$S$2,J$6,J$5,$B24,"K"),"")</f>
        <v/>
      </c>
      <c r="K24" s="38" t="str">
        <f>IFERROR([1]!IntrinioBankFinancials(rssd_id,$S$2,K$6,K$5,$B24,"K"),"")</f>
        <v/>
      </c>
      <c r="L24" s="38" t="str">
        <f>IFERROR([1]!IntrinioBankFinancials(rssd_id,$S$2,L$6,L$5,$B24,"K"),"")</f>
        <v/>
      </c>
      <c r="M24" s="38" t="str">
        <f>IFERROR([1]!IntrinioBankFinancials(rssd_id,$S$2,M$6,M$5,$B24,"K"),"")</f>
        <v/>
      </c>
      <c r="N24" s="38" t="str">
        <f>IFERROR([1]!IntrinioBankFinancials(rssd_id,$S$2,N$6,N$5,$B24,"K"),"")</f>
        <v/>
      </c>
      <c r="O24" s="38" t="str">
        <f>IFERROR([1]!IntrinioBankFinancials(rssd_id,$S$2,O$6,O$5,$B24,"K"),"")</f>
        <v/>
      </c>
      <c r="P24" s="46" t="s">
        <v>71</v>
      </c>
    </row>
    <row r="25" spans="1:16" s="36" customFormat="1" ht="14.25" x14ac:dyDescent="0.4">
      <c r="A25" s="41" t="s">
        <v>72</v>
      </c>
      <c r="B25" s="37" t="s">
        <v>73</v>
      </c>
      <c r="C25" s="38" t="str">
        <f>IFERROR([1]!IntrinioBankFinancials(rssd_id,$S$2,C$6,C$5,$B25,"K"),"")</f>
        <v/>
      </c>
      <c r="D25" s="38" t="str">
        <f>IFERROR([1]!IntrinioBankFinancials(rssd_id,$S$2,D$6,D$5,$B25,"K"),"")</f>
        <v/>
      </c>
      <c r="E25" s="38" t="str">
        <f>IFERROR([1]!IntrinioBankFinancials(rssd_id,$S$2,E$6,E$5,$B25,"K"),"")</f>
        <v/>
      </c>
      <c r="F25" s="38" t="str">
        <f>IFERROR([1]!IntrinioBankFinancials(rssd_id,$S$2,F$6,F$5,$B25,"K"),"")</f>
        <v/>
      </c>
      <c r="G25" s="38" t="str">
        <f>IFERROR([1]!IntrinioBankFinancials(rssd_id,$S$2,G$6,G$5,$B25,"K"),"")</f>
        <v/>
      </c>
      <c r="H25" s="38" t="str">
        <f>IFERROR([1]!IntrinioBankFinancials(rssd_id,$S$2,H$6,H$5,$B25,"K"),"")</f>
        <v/>
      </c>
      <c r="I25" s="38" t="str">
        <f>IFERROR([1]!IntrinioBankFinancials(rssd_id,$S$2,I$6,I$5,$B25,"K"),"")</f>
        <v/>
      </c>
      <c r="J25" s="38" t="str">
        <f>IFERROR([1]!IntrinioBankFinancials(rssd_id,$S$2,J$6,J$5,$B25,"K"),"")</f>
        <v/>
      </c>
      <c r="K25" s="38" t="str">
        <f>IFERROR([1]!IntrinioBankFinancials(rssd_id,$S$2,K$6,K$5,$B25,"K"),"")</f>
        <v/>
      </c>
      <c r="L25" s="38" t="str">
        <f>IFERROR([1]!IntrinioBankFinancials(rssd_id,$S$2,L$6,L$5,$B25,"K"),"")</f>
        <v/>
      </c>
      <c r="M25" s="38" t="str">
        <f>IFERROR([1]!IntrinioBankFinancials(rssd_id,$S$2,M$6,M$5,$B25,"K"),"")</f>
        <v/>
      </c>
      <c r="N25" s="38" t="str">
        <f>IFERROR([1]!IntrinioBankFinancials(rssd_id,$S$2,N$6,N$5,$B25,"K"),"")</f>
        <v/>
      </c>
      <c r="O25" s="38" t="str">
        <f>IFERROR([1]!IntrinioBankFinancials(rssd_id,$S$2,O$6,O$5,$B25,"K"),"")</f>
        <v/>
      </c>
      <c r="P25" s="46" t="s">
        <v>74</v>
      </c>
    </row>
    <row r="26" spans="1:16" s="36" customFormat="1" ht="28.5" x14ac:dyDescent="0.4">
      <c r="A26" s="41" t="s">
        <v>75</v>
      </c>
      <c r="B26" s="37" t="s">
        <v>76</v>
      </c>
      <c r="C26" s="38" t="str">
        <f>IFERROR([1]!IntrinioBankFinancials(rssd_id,$S$2,C$6,C$5,$B26,"K"),"")</f>
        <v/>
      </c>
      <c r="D26" s="38" t="str">
        <f>IFERROR([1]!IntrinioBankFinancials(rssd_id,$S$2,D$6,D$5,$B26,"K"),"")</f>
        <v/>
      </c>
      <c r="E26" s="38" t="str">
        <f>IFERROR([1]!IntrinioBankFinancials(rssd_id,$S$2,E$6,E$5,$B26,"K"),"")</f>
        <v/>
      </c>
      <c r="F26" s="38" t="str">
        <f>IFERROR([1]!IntrinioBankFinancials(rssd_id,$S$2,F$6,F$5,$B26,"K"),"")</f>
        <v/>
      </c>
      <c r="G26" s="38" t="str">
        <f>IFERROR([1]!IntrinioBankFinancials(rssd_id,$S$2,G$6,G$5,$B26,"K"),"")</f>
        <v/>
      </c>
      <c r="H26" s="38" t="str">
        <f>IFERROR([1]!IntrinioBankFinancials(rssd_id,$S$2,H$6,H$5,$B26,"K"),"")</f>
        <v/>
      </c>
      <c r="I26" s="38" t="str">
        <f>IFERROR([1]!IntrinioBankFinancials(rssd_id,$S$2,I$6,I$5,$B26,"K"),"")</f>
        <v/>
      </c>
      <c r="J26" s="38" t="str">
        <f>IFERROR([1]!IntrinioBankFinancials(rssd_id,$S$2,J$6,J$5,$B26,"K"),"")</f>
        <v/>
      </c>
      <c r="K26" s="38" t="str">
        <f>IFERROR([1]!IntrinioBankFinancials(rssd_id,$S$2,K$6,K$5,$B26,"K"),"")</f>
        <v/>
      </c>
      <c r="L26" s="38" t="str">
        <f>IFERROR([1]!IntrinioBankFinancials(rssd_id,$S$2,L$6,L$5,$B26,"K"),"")</f>
        <v/>
      </c>
      <c r="M26" s="38" t="str">
        <f>IFERROR([1]!IntrinioBankFinancials(rssd_id,$S$2,M$6,M$5,$B26,"K"),"")</f>
        <v/>
      </c>
      <c r="N26" s="38" t="str">
        <f>IFERROR([1]!IntrinioBankFinancials(rssd_id,$S$2,N$6,N$5,$B26,"K"),"")</f>
        <v/>
      </c>
      <c r="O26" s="38" t="str">
        <f>IFERROR([1]!IntrinioBankFinancials(rssd_id,$S$2,O$6,O$5,$B26,"K"),"")</f>
        <v/>
      </c>
      <c r="P26" s="46" t="s">
        <v>77</v>
      </c>
    </row>
    <row r="27" spans="1:16" s="36" customFormat="1" ht="14.25" x14ac:dyDescent="0.4">
      <c r="A27" s="41" t="s">
        <v>78</v>
      </c>
      <c r="B27" s="37" t="s">
        <v>79</v>
      </c>
      <c r="C27" s="38" t="str">
        <f>IFERROR([1]!IntrinioBankFinancials(rssd_id,$S$2,C$6,C$5,$B27,"K"),"")</f>
        <v/>
      </c>
      <c r="D27" s="38" t="str">
        <f>IFERROR([1]!IntrinioBankFinancials(rssd_id,$S$2,D$6,D$5,$B27,"K"),"")</f>
        <v/>
      </c>
      <c r="E27" s="38" t="str">
        <f>IFERROR([1]!IntrinioBankFinancials(rssd_id,$S$2,E$6,E$5,$B27,"K"),"")</f>
        <v/>
      </c>
      <c r="F27" s="38" t="str">
        <f>IFERROR([1]!IntrinioBankFinancials(rssd_id,$S$2,F$6,F$5,$B27,"K"),"")</f>
        <v/>
      </c>
      <c r="G27" s="38" t="str">
        <f>IFERROR([1]!IntrinioBankFinancials(rssd_id,$S$2,G$6,G$5,$B27,"K"),"")</f>
        <v/>
      </c>
      <c r="H27" s="38" t="str">
        <f>IFERROR([1]!IntrinioBankFinancials(rssd_id,$S$2,H$6,H$5,$B27,"K"),"")</f>
        <v/>
      </c>
      <c r="I27" s="38" t="str">
        <f>IFERROR([1]!IntrinioBankFinancials(rssd_id,$S$2,I$6,I$5,$B27,"K"),"")</f>
        <v/>
      </c>
      <c r="J27" s="38" t="str">
        <f>IFERROR([1]!IntrinioBankFinancials(rssd_id,$S$2,J$6,J$5,$B27,"K"),"")</f>
        <v/>
      </c>
      <c r="K27" s="38" t="str">
        <f>IFERROR([1]!IntrinioBankFinancials(rssd_id,$S$2,K$6,K$5,$B27,"K"),"")</f>
        <v/>
      </c>
      <c r="L27" s="38" t="str">
        <f>IFERROR([1]!IntrinioBankFinancials(rssd_id,$S$2,L$6,L$5,$B27,"K"),"")</f>
        <v/>
      </c>
      <c r="M27" s="38" t="str">
        <f>IFERROR([1]!IntrinioBankFinancials(rssd_id,$S$2,M$6,M$5,$B27,"K"),"")</f>
        <v/>
      </c>
      <c r="N27" s="38" t="str">
        <f>IFERROR([1]!IntrinioBankFinancials(rssd_id,$S$2,N$6,N$5,$B27,"K"),"")</f>
        <v/>
      </c>
      <c r="O27" s="38" t="str">
        <f>IFERROR([1]!IntrinioBankFinancials(rssd_id,$S$2,O$6,O$5,$B27,"K"),"")</f>
        <v/>
      </c>
      <c r="P27" s="46" t="s">
        <v>80</v>
      </c>
    </row>
    <row r="28" spans="1:16" s="36" customFormat="1" ht="14.25" x14ac:dyDescent="0.4">
      <c r="A28" s="41" t="s">
        <v>81</v>
      </c>
      <c r="B28" s="37" t="s">
        <v>82</v>
      </c>
      <c r="C28" s="38" t="str">
        <f>IFERROR([1]!IntrinioBankFinancials(rssd_id,$S$2,C$6,C$5,$B28,"K"),"")</f>
        <v/>
      </c>
      <c r="D28" s="38" t="str">
        <f>IFERROR([1]!IntrinioBankFinancials(rssd_id,$S$2,D$6,D$5,$B28,"K"),"")</f>
        <v/>
      </c>
      <c r="E28" s="38" t="str">
        <f>IFERROR([1]!IntrinioBankFinancials(rssd_id,$S$2,E$6,E$5,$B28,"K"),"")</f>
        <v/>
      </c>
      <c r="F28" s="38" t="str">
        <f>IFERROR([1]!IntrinioBankFinancials(rssd_id,$S$2,F$6,F$5,$B28,"K"),"")</f>
        <v/>
      </c>
      <c r="G28" s="38" t="str">
        <f>IFERROR([1]!IntrinioBankFinancials(rssd_id,$S$2,G$6,G$5,$B28,"K"),"")</f>
        <v/>
      </c>
      <c r="H28" s="38" t="str">
        <f>IFERROR([1]!IntrinioBankFinancials(rssd_id,$S$2,H$6,H$5,$B28,"K"),"")</f>
        <v/>
      </c>
      <c r="I28" s="38" t="str">
        <f>IFERROR([1]!IntrinioBankFinancials(rssd_id,$S$2,I$6,I$5,$B28,"K"),"")</f>
        <v/>
      </c>
      <c r="J28" s="38" t="str">
        <f>IFERROR([1]!IntrinioBankFinancials(rssd_id,$S$2,J$6,J$5,$B28,"K"),"")</f>
        <v/>
      </c>
      <c r="K28" s="38" t="str">
        <f>IFERROR([1]!IntrinioBankFinancials(rssd_id,$S$2,K$6,K$5,$B28,"K"),"")</f>
        <v/>
      </c>
      <c r="L28" s="38" t="str">
        <f>IFERROR([1]!IntrinioBankFinancials(rssd_id,$S$2,L$6,L$5,$B28,"K"),"")</f>
        <v/>
      </c>
      <c r="M28" s="38" t="str">
        <f>IFERROR([1]!IntrinioBankFinancials(rssd_id,$S$2,M$6,M$5,$B28,"K"),"")</f>
        <v/>
      </c>
      <c r="N28" s="38" t="str">
        <f>IFERROR([1]!IntrinioBankFinancials(rssd_id,$S$2,N$6,N$5,$B28,"K"),"")</f>
        <v/>
      </c>
      <c r="O28" s="38" t="str">
        <f>IFERROR([1]!IntrinioBankFinancials(rssd_id,$S$2,O$6,O$5,$B28,"K"),"")</f>
        <v/>
      </c>
      <c r="P28" s="46" t="s">
        <v>83</v>
      </c>
    </row>
    <row r="29" spans="1:16" s="36" customFormat="1" ht="14.25" x14ac:dyDescent="0.4">
      <c r="A29" s="19" t="s">
        <v>84</v>
      </c>
      <c r="B29" s="34"/>
      <c r="C29" s="35"/>
      <c r="D29" s="35"/>
      <c r="E29" s="35"/>
      <c r="F29" s="35"/>
      <c r="G29" s="35"/>
      <c r="H29" s="35"/>
      <c r="I29" s="35"/>
      <c r="J29" s="35"/>
      <c r="K29" s="35"/>
      <c r="L29" s="35"/>
      <c r="M29" s="35"/>
      <c r="N29" s="35"/>
      <c r="O29" s="35"/>
      <c r="P29" s="46">
        <v>2</v>
      </c>
    </row>
    <row r="30" spans="1:16" s="36" customFormat="1" ht="14.25" x14ac:dyDescent="0.4">
      <c r="A30" s="41" t="s">
        <v>85</v>
      </c>
      <c r="B30" s="34"/>
      <c r="C30" s="35"/>
      <c r="D30" s="35"/>
      <c r="E30" s="35"/>
      <c r="F30" s="35"/>
      <c r="G30" s="35"/>
      <c r="H30" s="35"/>
      <c r="I30" s="35"/>
      <c r="J30" s="35"/>
      <c r="K30" s="35"/>
      <c r="L30" s="35"/>
      <c r="M30" s="35"/>
      <c r="N30" s="35"/>
      <c r="O30" s="35"/>
      <c r="P30" s="46" t="s">
        <v>86</v>
      </c>
    </row>
    <row r="31" spans="1:16" s="36" customFormat="1" ht="28.5" x14ac:dyDescent="0.4">
      <c r="A31" s="42" t="s">
        <v>429</v>
      </c>
      <c r="B31" s="37" t="s">
        <v>87</v>
      </c>
      <c r="C31" s="38" t="str">
        <f>IFERROR([1]!IntrinioBankFinancials(rssd_id,$S$2,C$6,C$5,$B31,"K"),"")</f>
        <v/>
      </c>
      <c r="D31" s="38" t="str">
        <f>IFERROR([1]!IntrinioBankFinancials(rssd_id,$S$2,D$6,D$5,$B31,"K"),"")</f>
        <v/>
      </c>
      <c r="E31" s="38" t="str">
        <f>IFERROR([1]!IntrinioBankFinancials(rssd_id,$S$2,E$6,E$5,$B31,"K"),"")</f>
        <v/>
      </c>
      <c r="F31" s="38" t="str">
        <f>IFERROR([1]!IntrinioBankFinancials(rssd_id,$S$2,F$6,F$5,$B31,"K"),"")</f>
        <v/>
      </c>
      <c r="G31" s="38" t="str">
        <f>IFERROR([1]!IntrinioBankFinancials(rssd_id,$S$2,G$6,G$5,$B31,"K"),"")</f>
        <v/>
      </c>
      <c r="H31" s="38" t="str">
        <f>IFERROR([1]!IntrinioBankFinancials(rssd_id,$S$2,H$6,H$5,$B31,"K"),"")</f>
        <v/>
      </c>
      <c r="I31" s="38" t="str">
        <f>IFERROR([1]!IntrinioBankFinancials(rssd_id,$S$2,I$6,I$5,$B31,"K"),"")</f>
        <v/>
      </c>
      <c r="J31" s="38" t="str">
        <f>IFERROR([1]!IntrinioBankFinancials(rssd_id,$S$2,J$6,J$5,$B31,"K"),"")</f>
        <v/>
      </c>
      <c r="K31" s="38" t="str">
        <f>IFERROR([1]!IntrinioBankFinancials(rssd_id,$S$2,K$6,K$5,$B31,"K"),"")</f>
        <v/>
      </c>
      <c r="L31" s="38" t="str">
        <f>IFERROR([1]!IntrinioBankFinancials(rssd_id,$S$2,L$6,L$5,$B31,"K"),"")</f>
        <v/>
      </c>
      <c r="M31" s="38" t="str">
        <f>IFERROR([1]!IntrinioBankFinancials(rssd_id,$S$2,M$6,M$5,$B31,"K"),"")</f>
        <v/>
      </c>
      <c r="N31" s="38" t="str">
        <f>IFERROR([1]!IntrinioBankFinancials(rssd_id,$S$2,N$6,N$5,$B31,"K"),"")</f>
        <v/>
      </c>
      <c r="O31" s="38" t="str">
        <f>IFERROR([1]!IntrinioBankFinancials(rssd_id,$S$2,O$6,O$5,$B31,"K"),"")</f>
        <v/>
      </c>
      <c r="P31" s="46" t="s">
        <v>88</v>
      </c>
    </row>
    <row r="32" spans="1:16" s="36" customFormat="1" ht="14.25" x14ac:dyDescent="0.4">
      <c r="A32" s="42" t="s">
        <v>89</v>
      </c>
      <c r="B32" s="34"/>
      <c r="C32" s="35"/>
      <c r="D32" s="35"/>
      <c r="E32" s="35"/>
      <c r="F32" s="35"/>
      <c r="G32" s="35"/>
      <c r="H32" s="35"/>
      <c r="I32" s="35"/>
      <c r="J32" s="35"/>
      <c r="K32" s="35"/>
      <c r="L32" s="35"/>
      <c r="M32" s="35"/>
      <c r="N32" s="35"/>
      <c r="O32" s="35"/>
      <c r="P32" s="46" t="s">
        <v>90</v>
      </c>
    </row>
    <row r="33" spans="1:16" s="36" customFormat="1" ht="14.25" x14ac:dyDescent="0.4">
      <c r="A33" s="43" t="s">
        <v>91</v>
      </c>
      <c r="B33" s="37" t="s">
        <v>92</v>
      </c>
      <c r="C33" s="38" t="str">
        <f>IFERROR([1]!IntrinioBankFinancials(rssd_id,$S$2,C$6,C$5,$B33,"K"),"")</f>
        <v/>
      </c>
      <c r="D33" s="38" t="str">
        <f>IFERROR([1]!IntrinioBankFinancials(rssd_id,$S$2,D$6,D$5,$B33,"K"),"")</f>
        <v/>
      </c>
      <c r="E33" s="38" t="str">
        <f>IFERROR([1]!IntrinioBankFinancials(rssd_id,$S$2,E$6,E$5,$B33,"K"),"")</f>
        <v/>
      </c>
      <c r="F33" s="38" t="str">
        <f>IFERROR([1]!IntrinioBankFinancials(rssd_id,$S$2,F$6,F$5,$B33,"K"),"")</f>
        <v/>
      </c>
      <c r="G33" s="38" t="str">
        <f>IFERROR([1]!IntrinioBankFinancials(rssd_id,$S$2,G$6,G$5,$B33,"K"),"")</f>
        <v/>
      </c>
      <c r="H33" s="38" t="str">
        <f>IFERROR([1]!IntrinioBankFinancials(rssd_id,$S$2,H$6,H$5,$B33,"K"),"")</f>
        <v/>
      </c>
      <c r="I33" s="38" t="str">
        <f>IFERROR([1]!IntrinioBankFinancials(rssd_id,$S$2,I$6,I$5,$B33,"K"),"")</f>
        <v/>
      </c>
      <c r="J33" s="38" t="str">
        <f>IFERROR([1]!IntrinioBankFinancials(rssd_id,$S$2,J$6,J$5,$B33,"K"),"")</f>
        <v/>
      </c>
      <c r="K33" s="38" t="str">
        <f>IFERROR([1]!IntrinioBankFinancials(rssd_id,$S$2,K$6,K$5,$B33,"K"),"")</f>
        <v/>
      </c>
      <c r="L33" s="38" t="str">
        <f>IFERROR([1]!IntrinioBankFinancials(rssd_id,$S$2,L$6,L$5,$B33,"K"),"")</f>
        <v/>
      </c>
      <c r="M33" s="38" t="str">
        <f>IFERROR([1]!IntrinioBankFinancials(rssd_id,$S$2,M$6,M$5,$B33,"K"),"")</f>
        <v/>
      </c>
      <c r="N33" s="38" t="str">
        <f>IFERROR([1]!IntrinioBankFinancials(rssd_id,$S$2,N$6,N$5,$B33,"K"),"")</f>
        <v/>
      </c>
      <c r="O33" s="38" t="str">
        <f>IFERROR([1]!IntrinioBankFinancials(rssd_id,$S$2,O$6,O$5,$B33,"K"),"")</f>
        <v/>
      </c>
      <c r="P33" s="46" t="s">
        <v>93</v>
      </c>
    </row>
    <row r="34" spans="1:16" s="36" customFormat="1" ht="14.25" x14ac:dyDescent="0.4">
      <c r="A34" s="43" t="s">
        <v>94</v>
      </c>
      <c r="B34" s="37" t="s">
        <v>95</v>
      </c>
      <c r="C34" s="38" t="str">
        <f>IFERROR([1]!IntrinioBankFinancials(rssd_id,$S$2,C$6,C$5,$B34,"K"),"")</f>
        <v/>
      </c>
      <c r="D34" s="38" t="str">
        <f>IFERROR([1]!IntrinioBankFinancials(rssd_id,$S$2,D$6,D$5,$B34,"K"),"")</f>
        <v/>
      </c>
      <c r="E34" s="38" t="str">
        <f>IFERROR([1]!IntrinioBankFinancials(rssd_id,$S$2,E$6,E$5,$B34,"K"),"")</f>
        <v/>
      </c>
      <c r="F34" s="38" t="str">
        <f>IFERROR([1]!IntrinioBankFinancials(rssd_id,$S$2,F$6,F$5,$B34,"K"),"")</f>
        <v/>
      </c>
      <c r="G34" s="38" t="str">
        <f>IFERROR([1]!IntrinioBankFinancials(rssd_id,$S$2,G$6,G$5,$B34,"K"),"")</f>
        <v/>
      </c>
      <c r="H34" s="38" t="str">
        <f>IFERROR([1]!IntrinioBankFinancials(rssd_id,$S$2,H$6,H$5,$B34,"K"),"")</f>
        <v/>
      </c>
      <c r="I34" s="38" t="str">
        <f>IFERROR([1]!IntrinioBankFinancials(rssd_id,$S$2,I$6,I$5,$B34,"K"),"")</f>
        <v/>
      </c>
      <c r="J34" s="38" t="str">
        <f>IFERROR([1]!IntrinioBankFinancials(rssd_id,$S$2,J$6,J$5,$B34,"K"),"")</f>
        <v/>
      </c>
      <c r="K34" s="38" t="str">
        <f>IFERROR([1]!IntrinioBankFinancials(rssd_id,$S$2,K$6,K$5,$B34,"K"),"")</f>
        <v/>
      </c>
      <c r="L34" s="38" t="str">
        <f>IFERROR([1]!IntrinioBankFinancials(rssd_id,$S$2,L$6,L$5,$B34,"K"),"")</f>
        <v/>
      </c>
      <c r="M34" s="38" t="str">
        <f>IFERROR([1]!IntrinioBankFinancials(rssd_id,$S$2,M$6,M$5,$B34,"K"),"")</f>
        <v/>
      </c>
      <c r="N34" s="38" t="str">
        <f>IFERROR([1]!IntrinioBankFinancials(rssd_id,$S$2,N$6,N$5,$B34,"K"),"")</f>
        <v/>
      </c>
      <c r="O34" s="38" t="str">
        <f>IFERROR([1]!IntrinioBankFinancials(rssd_id,$S$2,O$6,O$5,$B34,"K"),"")</f>
        <v/>
      </c>
      <c r="P34" s="46" t="s">
        <v>96</v>
      </c>
    </row>
    <row r="35" spans="1:16" s="36" customFormat="1" ht="14.25" x14ac:dyDescent="0.4">
      <c r="A35" s="43" t="s">
        <v>97</v>
      </c>
      <c r="B35" s="37" t="s">
        <v>98</v>
      </c>
      <c r="C35" s="38" t="str">
        <f>IFERROR([1]!IntrinioBankFinancials(rssd_id,$S$2,C$6,C$5,$B35,"K"),"")</f>
        <v/>
      </c>
      <c r="D35" s="38" t="str">
        <f>IFERROR([1]!IntrinioBankFinancials(rssd_id,$S$2,D$6,D$5,$B35,"K"),"")</f>
        <v/>
      </c>
      <c r="E35" s="38" t="str">
        <f>IFERROR([1]!IntrinioBankFinancials(rssd_id,$S$2,E$6,E$5,$B35,"K"),"")</f>
        <v/>
      </c>
      <c r="F35" s="38" t="str">
        <f>IFERROR([1]!IntrinioBankFinancials(rssd_id,$S$2,F$6,F$5,$B35,"K"),"")</f>
        <v/>
      </c>
      <c r="G35" s="38" t="str">
        <f>IFERROR([1]!IntrinioBankFinancials(rssd_id,$S$2,G$6,G$5,$B35,"K"),"")</f>
        <v/>
      </c>
      <c r="H35" s="38" t="str">
        <f>IFERROR([1]!IntrinioBankFinancials(rssd_id,$S$2,H$6,H$5,$B35,"K"),"")</f>
        <v/>
      </c>
      <c r="I35" s="38" t="str">
        <f>IFERROR([1]!IntrinioBankFinancials(rssd_id,$S$2,I$6,I$5,$B35,"K"),"")</f>
        <v/>
      </c>
      <c r="J35" s="38" t="str">
        <f>IFERROR([1]!IntrinioBankFinancials(rssd_id,$S$2,J$6,J$5,$B35,"K"),"")</f>
        <v/>
      </c>
      <c r="K35" s="38" t="str">
        <f>IFERROR([1]!IntrinioBankFinancials(rssd_id,$S$2,K$6,K$5,$B35,"K"),"")</f>
        <v/>
      </c>
      <c r="L35" s="38" t="str">
        <f>IFERROR([1]!IntrinioBankFinancials(rssd_id,$S$2,L$6,L$5,$B35,"K"),"")</f>
        <v/>
      </c>
      <c r="M35" s="38" t="str">
        <f>IFERROR([1]!IntrinioBankFinancials(rssd_id,$S$2,M$6,M$5,$B35,"K"),"")</f>
        <v/>
      </c>
      <c r="N35" s="38" t="str">
        <f>IFERROR([1]!IntrinioBankFinancials(rssd_id,$S$2,N$6,N$5,$B35,"K"),"")</f>
        <v/>
      </c>
      <c r="O35" s="38" t="str">
        <f>IFERROR([1]!IntrinioBankFinancials(rssd_id,$S$2,O$6,O$5,$B35,"K"),"")</f>
        <v/>
      </c>
      <c r="P35" s="46" t="s">
        <v>99</v>
      </c>
    </row>
    <row r="36" spans="1:16" s="36" customFormat="1" ht="28.5" x14ac:dyDescent="0.4">
      <c r="A36" s="41" t="s">
        <v>100</v>
      </c>
      <c r="B36" s="37" t="s">
        <v>101</v>
      </c>
      <c r="C36" s="38" t="str">
        <f>IFERROR([1]!IntrinioBankFinancials(rssd_id,$S$2,C$6,C$5,$B36,"K"),"")</f>
        <v/>
      </c>
      <c r="D36" s="38" t="str">
        <f>IFERROR([1]!IntrinioBankFinancials(rssd_id,$S$2,D$6,D$5,$B36,"K"),"")</f>
        <v/>
      </c>
      <c r="E36" s="38" t="str">
        <f>IFERROR([1]!IntrinioBankFinancials(rssd_id,$S$2,E$6,E$5,$B36,"K"),"")</f>
        <v/>
      </c>
      <c r="F36" s="38" t="str">
        <f>IFERROR([1]!IntrinioBankFinancials(rssd_id,$S$2,F$6,F$5,$B36,"K"),"")</f>
        <v/>
      </c>
      <c r="G36" s="38" t="str">
        <f>IFERROR([1]!IntrinioBankFinancials(rssd_id,$S$2,G$6,G$5,$B36,"K"),"")</f>
        <v/>
      </c>
      <c r="H36" s="38" t="str">
        <f>IFERROR([1]!IntrinioBankFinancials(rssd_id,$S$2,H$6,H$5,$B36,"K"),"")</f>
        <v/>
      </c>
      <c r="I36" s="38" t="str">
        <f>IFERROR([1]!IntrinioBankFinancials(rssd_id,$S$2,I$6,I$5,$B36,"K"),"")</f>
        <v/>
      </c>
      <c r="J36" s="38" t="str">
        <f>IFERROR([1]!IntrinioBankFinancials(rssd_id,$S$2,J$6,J$5,$B36,"K"),"")</f>
        <v/>
      </c>
      <c r="K36" s="38" t="str">
        <f>IFERROR([1]!IntrinioBankFinancials(rssd_id,$S$2,K$6,K$5,$B36,"K"),"")</f>
        <v/>
      </c>
      <c r="L36" s="38" t="str">
        <f>IFERROR([1]!IntrinioBankFinancials(rssd_id,$S$2,L$6,L$5,$B36,"K"),"")</f>
        <v/>
      </c>
      <c r="M36" s="38" t="str">
        <f>IFERROR([1]!IntrinioBankFinancials(rssd_id,$S$2,M$6,M$5,$B36,"K"),"")</f>
        <v/>
      </c>
      <c r="N36" s="38" t="str">
        <f>IFERROR([1]!IntrinioBankFinancials(rssd_id,$S$2,N$6,N$5,$B36,"K"),"")</f>
        <v/>
      </c>
      <c r="O36" s="38" t="str">
        <f>IFERROR([1]!IntrinioBankFinancials(rssd_id,$S$2,O$6,O$5,$B36,"K"),"")</f>
        <v/>
      </c>
      <c r="P36" s="46" t="s">
        <v>102</v>
      </c>
    </row>
    <row r="37" spans="1:16" s="36" customFormat="1" ht="14.25" x14ac:dyDescent="0.4">
      <c r="A37" s="41" t="s">
        <v>103</v>
      </c>
      <c r="B37" s="37" t="s">
        <v>104</v>
      </c>
      <c r="C37" s="38" t="str">
        <f>IFERROR([1]!IntrinioBankFinancials(rssd_id,$S$2,C$6,C$5,$B37,"K"),"")</f>
        <v/>
      </c>
      <c r="D37" s="38" t="str">
        <f>IFERROR([1]!IntrinioBankFinancials(rssd_id,$S$2,D$6,D$5,$B37,"K"),"")</f>
        <v/>
      </c>
      <c r="E37" s="38" t="str">
        <f>IFERROR([1]!IntrinioBankFinancials(rssd_id,$S$2,E$6,E$5,$B37,"K"),"")</f>
        <v/>
      </c>
      <c r="F37" s="38" t="str">
        <f>IFERROR([1]!IntrinioBankFinancials(rssd_id,$S$2,F$6,F$5,$B37,"K"),"")</f>
        <v/>
      </c>
      <c r="G37" s="38" t="str">
        <f>IFERROR([1]!IntrinioBankFinancials(rssd_id,$S$2,G$6,G$5,$B37,"K"),"")</f>
        <v/>
      </c>
      <c r="H37" s="38" t="str">
        <f>IFERROR([1]!IntrinioBankFinancials(rssd_id,$S$2,H$6,H$5,$B37,"K"),"")</f>
        <v/>
      </c>
      <c r="I37" s="38" t="str">
        <f>IFERROR([1]!IntrinioBankFinancials(rssd_id,$S$2,I$6,I$5,$B37,"K"),"")</f>
        <v/>
      </c>
      <c r="J37" s="38" t="str">
        <f>IFERROR([1]!IntrinioBankFinancials(rssd_id,$S$2,J$6,J$5,$B37,"K"),"")</f>
        <v/>
      </c>
      <c r="K37" s="38" t="str">
        <f>IFERROR([1]!IntrinioBankFinancials(rssd_id,$S$2,K$6,K$5,$B37,"K"),"")</f>
        <v/>
      </c>
      <c r="L37" s="38" t="str">
        <f>IFERROR([1]!IntrinioBankFinancials(rssd_id,$S$2,L$6,L$5,$B37,"K"),"")</f>
        <v/>
      </c>
      <c r="M37" s="38" t="str">
        <f>IFERROR([1]!IntrinioBankFinancials(rssd_id,$S$2,M$6,M$5,$B37,"K"),"")</f>
        <v/>
      </c>
      <c r="N37" s="38" t="str">
        <f>IFERROR([1]!IntrinioBankFinancials(rssd_id,$S$2,N$6,N$5,$B37,"K"),"")</f>
        <v/>
      </c>
      <c r="O37" s="38" t="str">
        <f>IFERROR([1]!IntrinioBankFinancials(rssd_id,$S$2,O$6,O$5,$B37,"K"),"")</f>
        <v/>
      </c>
      <c r="P37" s="46" t="s">
        <v>105</v>
      </c>
    </row>
    <row r="38" spans="1:16" s="36" customFormat="1" ht="14.25" x14ac:dyDescent="0.4">
      <c r="A38" s="41" t="s">
        <v>106</v>
      </c>
      <c r="B38" s="37" t="s">
        <v>107</v>
      </c>
      <c r="C38" s="38" t="str">
        <f>IFERROR([1]!IntrinioBankFinancials(rssd_id,$S$2,C$6,C$5,$B38,"K"),"")</f>
        <v/>
      </c>
      <c r="D38" s="38" t="str">
        <f>IFERROR([1]!IntrinioBankFinancials(rssd_id,$S$2,D$6,D$5,$B38,"K"),"")</f>
        <v/>
      </c>
      <c r="E38" s="38" t="str">
        <f>IFERROR([1]!IntrinioBankFinancials(rssd_id,$S$2,E$6,E$5,$B38,"K"),"")</f>
        <v/>
      </c>
      <c r="F38" s="38" t="str">
        <f>IFERROR([1]!IntrinioBankFinancials(rssd_id,$S$2,F$6,F$5,$B38,"K"),"")</f>
        <v/>
      </c>
      <c r="G38" s="38" t="str">
        <f>IFERROR([1]!IntrinioBankFinancials(rssd_id,$S$2,G$6,G$5,$B38,"K"),"")</f>
        <v/>
      </c>
      <c r="H38" s="38" t="str">
        <f>IFERROR([1]!IntrinioBankFinancials(rssd_id,$S$2,H$6,H$5,$B38,"K"),"")</f>
        <v/>
      </c>
      <c r="I38" s="38" t="str">
        <f>IFERROR([1]!IntrinioBankFinancials(rssd_id,$S$2,I$6,I$5,$B38,"K"),"")</f>
        <v/>
      </c>
      <c r="J38" s="38" t="str">
        <f>IFERROR([1]!IntrinioBankFinancials(rssd_id,$S$2,J$6,J$5,$B38,"K"),"")</f>
        <v/>
      </c>
      <c r="K38" s="38" t="str">
        <f>IFERROR([1]!IntrinioBankFinancials(rssd_id,$S$2,K$6,K$5,$B38,"K"),"")</f>
        <v/>
      </c>
      <c r="L38" s="38" t="str">
        <f>IFERROR([1]!IntrinioBankFinancials(rssd_id,$S$2,L$6,L$5,$B38,"K"),"")</f>
        <v/>
      </c>
      <c r="M38" s="38" t="str">
        <f>IFERROR([1]!IntrinioBankFinancials(rssd_id,$S$2,M$6,M$5,$B38,"K"),"")</f>
        <v/>
      </c>
      <c r="N38" s="38" t="str">
        <f>IFERROR([1]!IntrinioBankFinancials(rssd_id,$S$2,N$6,N$5,$B38,"K"),"")</f>
        <v/>
      </c>
      <c r="O38" s="38" t="str">
        <f>IFERROR([1]!IntrinioBankFinancials(rssd_id,$S$2,O$6,O$5,$B38,"K"),"")</f>
        <v/>
      </c>
      <c r="P38" s="46" t="s">
        <v>108</v>
      </c>
    </row>
    <row r="39" spans="1:16" s="36" customFormat="1" ht="14.25" x14ac:dyDescent="0.4">
      <c r="A39" s="41" t="s">
        <v>109</v>
      </c>
      <c r="B39" s="37" t="s">
        <v>110</v>
      </c>
      <c r="C39" s="38" t="str">
        <f>IFERROR([1]!IntrinioBankFinancials(rssd_id,$S$2,C$6,C$5,$B39,"K"),"")</f>
        <v/>
      </c>
      <c r="D39" s="38" t="str">
        <f>IFERROR([1]!IntrinioBankFinancials(rssd_id,$S$2,D$6,D$5,$B39,"K"),"")</f>
        <v/>
      </c>
      <c r="E39" s="38" t="str">
        <f>IFERROR([1]!IntrinioBankFinancials(rssd_id,$S$2,E$6,E$5,$B39,"K"),"")</f>
        <v/>
      </c>
      <c r="F39" s="38" t="str">
        <f>IFERROR([1]!IntrinioBankFinancials(rssd_id,$S$2,F$6,F$5,$B39,"K"),"")</f>
        <v/>
      </c>
      <c r="G39" s="38" t="str">
        <f>IFERROR([1]!IntrinioBankFinancials(rssd_id,$S$2,G$6,G$5,$B39,"K"),"")</f>
        <v/>
      </c>
      <c r="H39" s="38" t="str">
        <f>IFERROR([1]!IntrinioBankFinancials(rssd_id,$S$2,H$6,H$5,$B39,"K"),"")</f>
        <v/>
      </c>
      <c r="I39" s="38" t="str">
        <f>IFERROR([1]!IntrinioBankFinancials(rssd_id,$S$2,I$6,I$5,$B39,"K"),"")</f>
        <v/>
      </c>
      <c r="J39" s="38" t="str">
        <f>IFERROR([1]!IntrinioBankFinancials(rssd_id,$S$2,J$6,J$5,$B39,"K"),"")</f>
        <v/>
      </c>
      <c r="K39" s="38" t="str">
        <f>IFERROR([1]!IntrinioBankFinancials(rssd_id,$S$2,K$6,K$5,$B39,"K"),"")</f>
        <v/>
      </c>
      <c r="L39" s="38" t="str">
        <f>IFERROR([1]!IntrinioBankFinancials(rssd_id,$S$2,L$6,L$5,$B39,"K"),"")</f>
        <v/>
      </c>
      <c r="M39" s="38" t="str">
        <f>IFERROR([1]!IntrinioBankFinancials(rssd_id,$S$2,M$6,M$5,$B39,"K"),"")</f>
        <v/>
      </c>
      <c r="N39" s="38" t="str">
        <f>IFERROR([1]!IntrinioBankFinancials(rssd_id,$S$2,N$6,N$5,$B39,"K"),"")</f>
        <v/>
      </c>
      <c r="O39" s="38" t="str">
        <f>IFERROR([1]!IntrinioBankFinancials(rssd_id,$S$2,O$6,O$5,$B39,"K"),"")</f>
        <v/>
      </c>
      <c r="P39" s="46" t="s">
        <v>111</v>
      </c>
    </row>
    <row r="40" spans="1:16" s="36" customFormat="1" ht="14.25" x14ac:dyDescent="0.4">
      <c r="A40" s="19" t="s">
        <v>112</v>
      </c>
      <c r="B40" s="37" t="s">
        <v>113</v>
      </c>
      <c r="C40" s="38" t="str">
        <f>IFERROR([1]!IntrinioBankFinancials(rssd_id,$S$2,C$6,C$5,$B40,"K"),"")</f>
        <v/>
      </c>
      <c r="D40" s="38" t="str">
        <f>IFERROR([1]!IntrinioBankFinancials(rssd_id,$S$2,D$6,D$5,$B40,"K"),"")</f>
        <v/>
      </c>
      <c r="E40" s="38" t="str">
        <f>IFERROR([1]!IntrinioBankFinancials(rssd_id,$S$2,E$6,E$5,$B40,"K"),"")</f>
        <v/>
      </c>
      <c r="F40" s="38" t="str">
        <f>IFERROR([1]!IntrinioBankFinancials(rssd_id,$S$2,F$6,F$5,$B40,"K"),"")</f>
        <v/>
      </c>
      <c r="G40" s="38" t="str">
        <f>IFERROR([1]!IntrinioBankFinancials(rssd_id,$S$2,G$6,G$5,$B40,"K"),"")</f>
        <v/>
      </c>
      <c r="H40" s="38" t="str">
        <f>IFERROR([1]!IntrinioBankFinancials(rssd_id,$S$2,H$6,H$5,$B40,"K"),"")</f>
        <v/>
      </c>
      <c r="I40" s="38" t="str">
        <f>IFERROR([1]!IntrinioBankFinancials(rssd_id,$S$2,I$6,I$5,$B40,"K"),"")</f>
        <v/>
      </c>
      <c r="J40" s="38" t="str">
        <f>IFERROR([1]!IntrinioBankFinancials(rssd_id,$S$2,J$6,J$5,$B40,"K"),"")</f>
        <v/>
      </c>
      <c r="K40" s="38" t="str">
        <f>IFERROR([1]!IntrinioBankFinancials(rssd_id,$S$2,K$6,K$5,$B40,"K"),"")</f>
        <v/>
      </c>
      <c r="L40" s="38" t="str">
        <f>IFERROR([1]!IntrinioBankFinancials(rssd_id,$S$2,L$6,L$5,$B40,"K"),"")</f>
        <v/>
      </c>
      <c r="M40" s="38" t="str">
        <f>IFERROR([1]!IntrinioBankFinancials(rssd_id,$S$2,M$6,M$5,$B40,"K"),"")</f>
        <v/>
      </c>
      <c r="N40" s="38" t="str">
        <f>IFERROR([1]!IntrinioBankFinancials(rssd_id,$S$2,N$6,N$5,$B40,"K"),"")</f>
        <v/>
      </c>
      <c r="O40" s="38" t="str">
        <f>IFERROR([1]!IntrinioBankFinancials(rssd_id,$S$2,O$6,O$5,$B40,"K"),"")</f>
        <v/>
      </c>
      <c r="P40" s="46">
        <v>3</v>
      </c>
    </row>
    <row r="41" spans="1:16" s="36" customFormat="1" ht="14.25" x14ac:dyDescent="0.4">
      <c r="A41" s="19" t="s">
        <v>114</v>
      </c>
      <c r="B41" s="37" t="s">
        <v>115</v>
      </c>
      <c r="C41" s="38" t="str">
        <f>IFERROR([1]!IntrinioBankFinancials(rssd_id,$S$2,C$6,C$5,$B41,"K"),"")</f>
        <v/>
      </c>
      <c r="D41" s="38" t="str">
        <f>IFERROR([1]!IntrinioBankFinancials(rssd_id,$S$2,D$6,D$5,$B41,"K"),"")</f>
        <v/>
      </c>
      <c r="E41" s="38" t="str">
        <f>IFERROR([1]!IntrinioBankFinancials(rssd_id,$S$2,E$6,E$5,$B41,"K"),"")</f>
        <v/>
      </c>
      <c r="F41" s="38" t="str">
        <f>IFERROR([1]!IntrinioBankFinancials(rssd_id,$S$2,F$6,F$5,$B41,"K"),"")</f>
        <v/>
      </c>
      <c r="G41" s="38" t="str">
        <f>IFERROR([1]!IntrinioBankFinancials(rssd_id,$S$2,G$6,G$5,$B41,"K"),"")</f>
        <v/>
      </c>
      <c r="H41" s="38" t="str">
        <f>IFERROR([1]!IntrinioBankFinancials(rssd_id,$S$2,H$6,H$5,$B41,"K"),"")</f>
        <v/>
      </c>
      <c r="I41" s="38" t="str">
        <f>IFERROR([1]!IntrinioBankFinancials(rssd_id,$S$2,I$6,I$5,$B41,"K"),"")</f>
        <v/>
      </c>
      <c r="J41" s="38" t="str">
        <f>IFERROR([1]!IntrinioBankFinancials(rssd_id,$S$2,J$6,J$5,$B41,"K"),"")</f>
        <v/>
      </c>
      <c r="K41" s="38" t="str">
        <f>IFERROR([1]!IntrinioBankFinancials(rssd_id,$S$2,K$6,K$5,$B41,"K"),"")</f>
        <v/>
      </c>
      <c r="L41" s="38" t="str">
        <f>IFERROR([1]!IntrinioBankFinancials(rssd_id,$S$2,L$6,L$5,$B41,"K"),"")</f>
        <v/>
      </c>
      <c r="M41" s="38" t="str">
        <f>IFERROR([1]!IntrinioBankFinancials(rssd_id,$S$2,M$6,M$5,$B41,"K"),"")</f>
        <v/>
      </c>
      <c r="N41" s="38" t="str">
        <f>IFERROR([1]!IntrinioBankFinancials(rssd_id,$S$2,N$6,N$5,$B41,"K"),"")</f>
        <v/>
      </c>
      <c r="O41" s="38" t="str">
        <f>IFERROR([1]!IntrinioBankFinancials(rssd_id,$S$2,O$6,O$5,$B41,"K"),"")</f>
        <v/>
      </c>
      <c r="P41" s="46">
        <v>4</v>
      </c>
    </row>
    <row r="42" spans="1:16" s="36" customFormat="1" ht="14.25" x14ac:dyDescent="0.4">
      <c r="A42" s="19" t="s">
        <v>116</v>
      </c>
      <c r="B42" s="34"/>
      <c r="C42" s="35"/>
      <c r="D42" s="35"/>
      <c r="E42" s="35"/>
      <c r="F42" s="35"/>
      <c r="G42" s="35"/>
      <c r="H42" s="35"/>
      <c r="I42" s="35"/>
      <c r="J42" s="35"/>
      <c r="K42" s="35"/>
      <c r="L42" s="35"/>
      <c r="M42" s="35"/>
      <c r="N42" s="35"/>
      <c r="O42" s="35"/>
      <c r="P42" s="46">
        <v>5</v>
      </c>
    </row>
    <row r="43" spans="1:16" s="36" customFormat="1" ht="14.25" x14ac:dyDescent="0.4">
      <c r="A43" s="41" t="s">
        <v>117</v>
      </c>
      <c r="B43" s="37" t="s">
        <v>118</v>
      </c>
      <c r="C43" s="38" t="str">
        <f>IFERROR([1]!IntrinioBankFinancials(rssd_id,$S$2,C$6,C$5,$B43,"K"),"")</f>
        <v/>
      </c>
      <c r="D43" s="38" t="str">
        <f>IFERROR([1]!IntrinioBankFinancials(rssd_id,$S$2,D$6,D$5,$B43,"K"),"")</f>
        <v/>
      </c>
      <c r="E43" s="38" t="str">
        <f>IFERROR([1]!IntrinioBankFinancials(rssd_id,$S$2,E$6,E$5,$B43,"K"),"")</f>
        <v/>
      </c>
      <c r="F43" s="38" t="str">
        <f>IFERROR([1]!IntrinioBankFinancials(rssd_id,$S$2,F$6,F$5,$B43,"K"),"")</f>
        <v/>
      </c>
      <c r="G43" s="38" t="str">
        <f>IFERROR([1]!IntrinioBankFinancials(rssd_id,$S$2,G$6,G$5,$B43,"K"),"")</f>
        <v/>
      </c>
      <c r="H43" s="38" t="str">
        <f>IFERROR([1]!IntrinioBankFinancials(rssd_id,$S$2,H$6,H$5,$B43,"K"),"")</f>
        <v/>
      </c>
      <c r="I43" s="38" t="str">
        <f>IFERROR([1]!IntrinioBankFinancials(rssd_id,$S$2,I$6,I$5,$B43,"K"),"")</f>
        <v/>
      </c>
      <c r="J43" s="38" t="str">
        <f>IFERROR([1]!IntrinioBankFinancials(rssd_id,$S$2,J$6,J$5,$B43,"K"),"")</f>
        <v/>
      </c>
      <c r="K43" s="38" t="str">
        <f>IFERROR([1]!IntrinioBankFinancials(rssd_id,$S$2,K$6,K$5,$B43,"K"),"")</f>
        <v/>
      </c>
      <c r="L43" s="38" t="str">
        <f>IFERROR([1]!IntrinioBankFinancials(rssd_id,$S$2,L$6,L$5,$B43,"K"),"")</f>
        <v/>
      </c>
      <c r="M43" s="38" t="str">
        <f>IFERROR([1]!IntrinioBankFinancials(rssd_id,$S$2,M$6,M$5,$B43,"K"),"")</f>
        <v/>
      </c>
      <c r="N43" s="38" t="str">
        <f>IFERROR([1]!IntrinioBankFinancials(rssd_id,$S$2,N$6,N$5,$B43,"K"),"")</f>
        <v/>
      </c>
      <c r="O43" s="38" t="str">
        <f>IFERROR([1]!IntrinioBankFinancials(rssd_id,$S$2,O$6,O$5,$B43,"K"),"")</f>
        <v/>
      </c>
      <c r="P43" s="46" t="s">
        <v>119</v>
      </c>
    </row>
    <row r="44" spans="1:16" s="36" customFormat="1" ht="14.25" x14ac:dyDescent="0.4">
      <c r="A44" s="41" t="s">
        <v>120</v>
      </c>
      <c r="B44" s="37" t="s">
        <v>121</v>
      </c>
      <c r="C44" s="38" t="str">
        <f>IFERROR([1]!IntrinioBankFinancials(rssd_id,$S$2,C$6,C$5,$B44,"K"),"")</f>
        <v/>
      </c>
      <c r="D44" s="38" t="str">
        <f>IFERROR([1]!IntrinioBankFinancials(rssd_id,$S$2,D$6,D$5,$B44,"K"),"")</f>
        <v/>
      </c>
      <c r="E44" s="38" t="str">
        <f>IFERROR([1]!IntrinioBankFinancials(rssd_id,$S$2,E$6,E$5,$B44,"K"),"")</f>
        <v/>
      </c>
      <c r="F44" s="38" t="str">
        <f>IFERROR([1]!IntrinioBankFinancials(rssd_id,$S$2,F$6,F$5,$B44,"K"),"")</f>
        <v/>
      </c>
      <c r="G44" s="38" t="str">
        <f>IFERROR([1]!IntrinioBankFinancials(rssd_id,$S$2,G$6,G$5,$B44,"K"),"")</f>
        <v/>
      </c>
      <c r="H44" s="38" t="str">
        <f>IFERROR([1]!IntrinioBankFinancials(rssd_id,$S$2,H$6,H$5,$B44,"K"),"")</f>
        <v/>
      </c>
      <c r="I44" s="38" t="str">
        <f>IFERROR([1]!IntrinioBankFinancials(rssd_id,$S$2,I$6,I$5,$B44,"K"),"")</f>
        <v/>
      </c>
      <c r="J44" s="38" t="str">
        <f>IFERROR([1]!IntrinioBankFinancials(rssd_id,$S$2,J$6,J$5,$B44,"K"),"")</f>
        <v/>
      </c>
      <c r="K44" s="38" t="str">
        <f>IFERROR([1]!IntrinioBankFinancials(rssd_id,$S$2,K$6,K$5,$B44,"K"),"")</f>
        <v/>
      </c>
      <c r="L44" s="38" t="str">
        <f>IFERROR([1]!IntrinioBankFinancials(rssd_id,$S$2,L$6,L$5,$B44,"K"),"")</f>
        <v/>
      </c>
      <c r="M44" s="38" t="str">
        <f>IFERROR([1]!IntrinioBankFinancials(rssd_id,$S$2,M$6,M$5,$B44,"K"),"")</f>
        <v/>
      </c>
      <c r="N44" s="38" t="str">
        <f>IFERROR([1]!IntrinioBankFinancials(rssd_id,$S$2,N$6,N$5,$B44,"K"),"")</f>
        <v/>
      </c>
      <c r="O44" s="38" t="str">
        <f>IFERROR([1]!IntrinioBankFinancials(rssd_id,$S$2,O$6,O$5,$B44,"K"),"")</f>
        <v/>
      </c>
      <c r="P44" s="46" t="s">
        <v>122</v>
      </c>
    </row>
    <row r="45" spans="1:16" s="36" customFormat="1" ht="14.25" x14ac:dyDescent="0.4">
      <c r="A45" s="41" t="s">
        <v>123</v>
      </c>
      <c r="B45" s="37" t="s">
        <v>124</v>
      </c>
      <c r="C45" s="38" t="str">
        <f>IFERROR([1]!IntrinioBankFinancials(rssd_id,$S$2,C$6,C$5,$B45,"K"),"")</f>
        <v/>
      </c>
      <c r="D45" s="38" t="str">
        <f>IFERROR([1]!IntrinioBankFinancials(rssd_id,$S$2,D$6,D$5,$B45,"K"),"")</f>
        <v/>
      </c>
      <c r="E45" s="38" t="str">
        <f>IFERROR([1]!IntrinioBankFinancials(rssd_id,$S$2,E$6,E$5,$B45,"K"),"")</f>
        <v/>
      </c>
      <c r="F45" s="38" t="str">
        <f>IFERROR([1]!IntrinioBankFinancials(rssd_id,$S$2,F$6,F$5,$B45,"K"),"")</f>
        <v/>
      </c>
      <c r="G45" s="38" t="str">
        <f>IFERROR([1]!IntrinioBankFinancials(rssd_id,$S$2,G$6,G$5,$B45,"K"),"")</f>
        <v/>
      </c>
      <c r="H45" s="38" t="str">
        <f>IFERROR([1]!IntrinioBankFinancials(rssd_id,$S$2,H$6,H$5,$B45,"K"),"")</f>
        <v/>
      </c>
      <c r="I45" s="38" t="str">
        <f>IFERROR([1]!IntrinioBankFinancials(rssd_id,$S$2,I$6,I$5,$B45,"K"),"")</f>
        <v/>
      </c>
      <c r="J45" s="38" t="str">
        <f>IFERROR([1]!IntrinioBankFinancials(rssd_id,$S$2,J$6,J$5,$B45,"K"),"")</f>
        <v/>
      </c>
      <c r="K45" s="38" t="str">
        <f>IFERROR([1]!IntrinioBankFinancials(rssd_id,$S$2,K$6,K$5,$B45,"K"),"")</f>
        <v/>
      </c>
      <c r="L45" s="38" t="str">
        <f>IFERROR([1]!IntrinioBankFinancials(rssd_id,$S$2,L$6,L$5,$B45,"K"),"")</f>
        <v/>
      </c>
      <c r="M45" s="38" t="str">
        <f>IFERROR([1]!IntrinioBankFinancials(rssd_id,$S$2,M$6,M$5,$B45,"K"),"")</f>
        <v/>
      </c>
      <c r="N45" s="38" t="str">
        <f>IFERROR([1]!IntrinioBankFinancials(rssd_id,$S$2,N$6,N$5,$B45,"K"),"")</f>
        <v/>
      </c>
      <c r="O45" s="38" t="str">
        <f>IFERROR([1]!IntrinioBankFinancials(rssd_id,$S$2,O$6,O$5,$B45,"K"),"")</f>
        <v/>
      </c>
      <c r="P45" s="46" t="s">
        <v>125</v>
      </c>
    </row>
    <row r="46" spans="1:16" s="36" customFormat="1" ht="14.25" x14ac:dyDescent="0.4">
      <c r="A46" s="41" t="s">
        <v>126</v>
      </c>
      <c r="B46" s="34"/>
      <c r="C46" s="35"/>
      <c r="D46" s="35"/>
      <c r="E46" s="35"/>
      <c r="F46" s="35"/>
      <c r="G46" s="35"/>
      <c r="H46" s="35"/>
      <c r="I46" s="35"/>
      <c r="J46" s="35"/>
      <c r="K46" s="35"/>
      <c r="L46" s="35"/>
      <c r="M46" s="35"/>
      <c r="N46" s="35"/>
      <c r="O46" s="35"/>
      <c r="P46" s="46" t="s">
        <v>127</v>
      </c>
    </row>
    <row r="47" spans="1:16" s="36" customFormat="1" ht="14.25" x14ac:dyDescent="0.4">
      <c r="A47" s="42" t="s">
        <v>128</v>
      </c>
      <c r="B47" s="37" t="s">
        <v>129</v>
      </c>
      <c r="C47" s="38" t="str">
        <f>IFERROR([1]!IntrinioBankFinancials(rssd_id,$S$2,C$6,C$5,$B47,"K"),"")</f>
        <v/>
      </c>
      <c r="D47" s="38" t="str">
        <f>IFERROR([1]!IntrinioBankFinancials(rssd_id,$S$2,D$6,D$5,$B47,"K"),"")</f>
        <v/>
      </c>
      <c r="E47" s="38" t="str">
        <f>IFERROR([1]!IntrinioBankFinancials(rssd_id,$S$2,E$6,E$5,$B47,"K"),"")</f>
        <v/>
      </c>
      <c r="F47" s="38" t="str">
        <f>IFERROR([1]!IntrinioBankFinancials(rssd_id,$S$2,F$6,F$5,$B47,"K"),"")</f>
        <v/>
      </c>
      <c r="G47" s="38" t="str">
        <f>IFERROR([1]!IntrinioBankFinancials(rssd_id,$S$2,G$6,G$5,$B47,"K"),"")</f>
        <v/>
      </c>
      <c r="H47" s="38" t="str">
        <f>IFERROR([1]!IntrinioBankFinancials(rssd_id,$S$2,H$6,H$5,$B47,"K"),"")</f>
        <v/>
      </c>
      <c r="I47" s="38" t="str">
        <f>IFERROR([1]!IntrinioBankFinancials(rssd_id,$S$2,I$6,I$5,$B47,"K"),"")</f>
        <v/>
      </c>
      <c r="J47" s="38" t="str">
        <f>IFERROR([1]!IntrinioBankFinancials(rssd_id,$S$2,J$6,J$5,$B47,"K"),"")</f>
        <v/>
      </c>
      <c r="K47" s="38" t="str">
        <f>IFERROR([1]!IntrinioBankFinancials(rssd_id,$S$2,K$6,K$5,$B47,"K"),"")</f>
        <v/>
      </c>
      <c r="L47" s="38" t="str">
        <f>IFERROR([1]!IntrinioBankFinancials(rssd_id,$S$2,L$6,L$5,$B47,"K"),"")</f>
        <v/>
      </c>
      <c r="M47" s="38" t="str">
        <f>IFERROR([1]!IntrinioBankFinancials(rssd_id,$S$2,M$6,M$5,$B47,"K"),"")</f>
        <v/>
      </c>
      <c r="N47" s="38" t="str">
        <f>IFERROR([1]!IntrinioBankFinancials(rssd_id,$S$2,N$6,N$5,$B47,"K"),"")</f>
        <v/>
      </c>
      <c r="O47" s="38" t="str">
        <f>IFERROR([1]!IntrinioBankFinancials(rssd_id,$S$2,O$6,O$5,$B47,"K"),"")</f>
        <v/>
      </c>
      <c r="P47" s="46" t="s">
        <v>130</v>
      </c>
    </row>
    <row r="48" spans="1:16" s="36" customFormat="1" ht="14.25" x14ac:dyDescent="0.4">
      <c r="A48" s="42" t="s">
        <v>131</v>
      </c>
      <c r="B48" s="37" t="s">
        <v>132</v>
      </c>
      <c r="C48" s="38" t="str">
        <f>IFERROR([1]!IntrinioBankFinancials(rssd_id,$S$2,C$6,C$5,$B48,"K"),"")</f>
        <v/>
      </c>
      <c r="D48" s="38" t="str">
        <f>IFERROR([1]!IntrinioBankFinancials(rssd_id,$S$2,D$6,D$5,$B48,"K"),"")</f>
        <v/>
      </c>
      <c r="E48" s="38" t="str">
        <f>IFERROR([1]!IntrinioBankFinancials(rssd_id,$S$2,E$6,E$5,$B48,"K"),"")</f>
        <v/>
      </c>
      <c r="F48" s="38" t="str">
        <f>IFERROR([1]!IntrinioBankFinancials(rssd_id,$S$2,F$6,F$5,$B48,"K"),"")</f>
        <v/>
      </c>
      <c r="G48" s="38" t="str">
        <f>IFERROR([1]!IntrinioBankFinancials(rssd_id,$S$2,G$6,G$5,$B48,"K"),"")</f>
        <v/>
      </c>
      <c r="H48" s="38" t="str">
        <f>IFERROR([1]!IntrinioBankFinancials(rssd_id,$S$2,H$6,H$5,$B48,"K"),"")</f>
        <v/>
      </c>
      <c r="I48" s="38" t="str">
        <f>IFERROR([1]!IntrinioBankFinancials(rssd_id,$S$2,I$6,I$5,$B48,"K"),"")</f>
        <v/>
      </c>
      <c r="J48" s="38" t="str">
        <f>IFERROR([1]!IntrinioBankFinancials(rssd_id,$S$2,J$6,J$5,$B48,"K"),"")</f>
        <v/>
      </c>
      <c r="K48" s="38" t="str">
        <f>IFERROR([1]!IntrinioBankFinancials(rssd_id,$S$2,K$6,K$5,$B48,"K"),"")</f>
        <v/>
      </c>
      <c r="L48" s="38" t="str">
        <f>IFERROR([1]!IntrinioBankFinancials(rssd_id,$S$2,L$6,L$5,$B48,"K"),"")</f>
        <v/>
      </c>
      <c r="M48" s="38" t="str">
        <f>IFERROR([1]!IntrinioBankFinancials(rssd_id,$S$2,M$6,M$5,$B48,"K"),"")</f>
        <v/>
      </c>
      <c r="N48" s="38" t="str">
        <f>IFERROR([1]!IntrinioBankFinancials(rssd_id,$S$2,N$6,N$5,$B48,"K"),"")</f>
        <v/>
      </c>
      <c r="O48" s="38" t="str">
        <f>IFERROR([1]!IntrinioBankFinancials(rssd_id,$S$2,O$6,O$5,$B48,"K"),"")</f>
        <v/>
      </c>
      <c r="P48" s="46" t="s">
        <v>133</v>
      </c>
    </row>
    <row r="49" spans="1:16" s="36" customFormat="1" ht="14.25" x14ac:dyDescent="0.4">
      <c r="A49" s="42" t="s">
        <v>134</v>
      </c>
      <c r="B49" s="37" t="s">
        <v>135</v>
      </c>
      <c r="C49" s="38" t="str">
        <f>IFERROR([1]!IntrinioBankFinancials(rssd_id,$S$2,C$6,C$5,$B49,"K"),"")</f>
        <v/>
      </c>
      <c r="D49" s="38" t="str">
        <f>IFERROR([1]!IntrinioBankFinancials(rssd_id,$S$2,D$6,D$5,$B49,"K"),"")</f>
        <v/>
      </c>
      <c r="E49" s="38" t="str">
        <f>IFERROR([1]!IntrinioBankFinancials(rssd_id,$S$2,E$6,E$5,$B49,"K"),"")</f>
        <v/>
      </c>
      <c r="F49" s="38" t="str">
        <f>IFERROR([1]!IntrinioBankFinancials(rssd_id,$S$2,F$6,F$5,$B49,"K"),"")</f>
        <v/>
      </c>
      <c r="G49" s="38" t="str">
        <f>IFERROR([1]!IntrinioBankFinancials(rssd_id,$S$2,G$6,G$5,$B49,"K"),"")</f>
        <v/>
      </c>
      <c r="H49" s="38" t="str">
        <f>IFERROR([1]!IntrinioBankFinancials(rssd_id,$S$2,H$6,H$5,$B49,"K"),"")</f>
        <v/>
      </c>
      <c r="I49" s="38" t="str">
        <f>IFERROR([1]!IntrinioBankFinancials(rssd_id,$S$2,I$6,I$5,$B49,"K"),"")</f>
        <v/>
      </c>
      <c r="J49" s="38" t="str">
        <f>IFERROR([1]!IntrinioBankFinancials(rssd_id,$S$2,J$6,J$5,$B49,"K"),"")</f>
        <v/>
      </c>
      <c r="K49" s="38" t="str">
        <f>IFERROR([1]!IntrinioBankFinancials(rssd_id,$S$2,K$6,K$5,$B49,"K"),"")</f>
        <v/>
      </c>
      <c r="L49" s="38" t="str">
        <f>IFERROR([1]!IntrinioBankFinancials(rssd_id,$S$2,L$6,L$5,$B49,"K"),"")</f>
        <v/>
      </c>
      <c r="M49" s="38" t="str">
        <f>IFERROR([1]!IntrinioBankFinancials(rssd_id,$S$2,M$6,M$5,$B49,"K"),"")</f>
        <v/>
      </c>
      <c r="N49" s="38" t="str">
        <f>IFERROR([1]!IntrinioBankFinancials(rssd_id,$S$2,N$6,N$5,$B49,"K"),"")</f>
        <v/>
      </c>
      <c r="O49" s="38" t="str">
        <f>IFERROR([1]!IntrinioBankFinancials(rssd_id,$S$2,O$6,O$5,$B49,"K"),"")</f>
        <v/>
      </c>
      <c r="P49" s="46" t="s">
        <v>136</v>
      </c>
    </row>
    <row r="50" spans="1:16" s="36" customFormat="1" ht="14.25" x14ac:dyDescent="0.4">
      <c r="A50" s="42" t="s">
        <v>137</v>
      </c>
      <c r="B50" s="37" t="s">
        <v>138</v>
      </c>
      <c r="C50" s="38" t="str">
        <f>IFERROR([1]!IntrinioBankFinancials(rssd_id,$S$2,C$6,C$5,$B50,"K"),"")</f>
        <v/>
      </c>
      <c r="D50" s="38" t="str">
        <f>IFERROR([1]!IntrinioBankFinancials(rssd_id,$S$2,D$6,D$5,$B50,"K"),"")</f>
        <v/>
      </c>
      <c r="E50" s="38" t="str">
        <f>IFERROR([1]!IntrinioBankFinancials(rssd_id,$S$2,E$6,E$5,$B50,"K"),"")</f>
        <v/>
      </c>
      <c r="F50" s="38" t="str">
        <f>IFERROR([1]!IntrinioBankFinancials(rssd_id,$S$2,F$6,F$5,$B50,"K"),"")</f>
        <v/>
      </c>
      <c r="G50" s="38" t="str">
        <f>IFERROR([1]!IntrinioBankFinancials(rssd_id,$S$2,G$6,G$5,$B50,"K"),"")</f>
        <v/>
      </c>
      <c r="H50" s="38" t="str">
        <f>IFERROR([1]!IntrinioBankFinancials(rssd_id,$S$2,H$6,H$5,$B50,"K"),"")</f>
        <v/>
      </c>
      <c r="I50" s="38" t="str">
        <f>IFERROR([1]!IntrinioBankFinancials(rssd_id,$S$2,I$6,I$5,$B50,"K"),"")</f>
        <v/>
      </c>
      <c r="J50" s="38" t="str">
        <f>IFERROR([1]!IntrinioBankFinancials(rssd_id,$S$2,J$6,J$5,$B50,"K"),"")</f>
        <v/>
      </c>
      <c r="K50" s="38" t="str">
        <f>IFERROR([1]!IntrinioBankFinancials(rssd_id,$S$2,K$6,K$5,$B50,"K"),"")</f>
        <v/>
      </c>
      <c r="L50" s="38" t="str">
        <f>IFERROR([1]!IntrinioBankFinancials(rssd_id,$S$2,L$6,L$5,$B50,"K"),"")</f>
        <v/>
      </c>
      <c r="M50" s="38" t="str">
        <f>IFERROR([1]!IntrinioBankFinancials(rssd_id,$S$2,M$6,M$5,$B50,"K"),"")</f>
        <v/>
      </c>
      <c r="N50" s="38" t="str">
        <f>IFERROR([1]!IntrinioBankFinancials(rssd_id,$S$2,N$6,N$5,$B50,"K"),"")</f>
        <v/>
      </c>
      <c r="O50" s="38" t="str">
        <f>IFERROR([1]!IntrinioBankFinancials(rssd_id,$S$2,O$6,O$5,$B50,"K"),"")</f>
        <v/>
      </c>
      <c r="P50" s="46" t="s">
        <v>139</v>
      </c>
    </row>
    <row r="51" spans="1:16" s="36" customFormat="1" ht="14.25" x14ac:dyDescent="0.4">
      <c r="A51" s="42" t="s">
        <v>140</v>
      </c>
      <c r="B51" s="37" t="s">
        <v>141</v>
      </c>
      <c r="C51" s="38" t="str">
        <f>IFERROR([1]!IntrinioBankFinancials(rssd_id,$S$2,C$6,C$5,$B51,"K"),"")</f>
        <v/>
      </c>
      <c r="D51" s="38" t="str">
        <f>IFERROR([1]!IntrinioBankFinancials(rssd_id,$S$2,D$6,D$5,$B51,"K"),"")</f>
        <v/>
      </c>
      <c r="E51" s="38" t="str">
        <f>IFERROR([1]!IntrinioBankFinancials(rssd_id,$S$2,E$6,E$5,$B51,"K"),"")</f>
        <v/>
      </c>
      <c r="F51" s="38" t="str">
        <f>IFERROR([1]!IntrinioBankFinancials(rssd_id,$S$2,F$6,F$5,$B51,"K"),"")</f>
        <v/>
      </c>
      <c r="G51" s="38" t="str">
        <f>IFERROR([1]!IntrinioBankFinancials(rssd_id,$S$2,G$6,G$5,$B51,"K"),"")</f>
        <v/>
      </c>
      <c r="H51" s="38" t="str">
        <f>IFERROR([1]!IntrinioBankFinancials(rssd_id,$S$2,H$6,H$5,$B51,"K"),"")</f>
        <v/>
      </c>
      <c r="I51" s="38" t="str">
        <f>IFERROR([1]!IntrinioBankFinancials(rssd_id,$S$2,I$6,I$5,$B51,"K"),"")</f>
        <v/>
      </c>
      <c r="J51" s="38" t="str">
        <f>IFERROR([1]!IntrinioBankFinancials(rssd_id,$S$2,J$6,J$5,$B51,"K"),"")</f>
        <v/>
      </c>
      <c r="K51" s="38" t="str">
        <f>IFERROR([1]!IntrinioBankFinancials(rssd_id,$S$2,K$6,K$5,$B51,"K"),"")</f>
        <v/>
      </c>
      <c r="L51" s="38" t="str">
        <f>IFERROR([1]!IntrinioBankFinancials(rssd_id,$S$2,L$6,L$5,$B51,"K"),"")</f>
        <v/>
      </c>
      <c r="M51" s="38" t="str">
        <f>IFERROR([1]!IntrinioBankFinancials(rssd_id,$S$2,M$6,M$5,$B51,"K"),"")</f>
        <v/>
      </c>
      <c r="N51" s="38" t="str">
        <f>IFERROR([1]!IntrinioBankFinancials(rssd_id,$S$2,N$6,N$5,$B51,"K"),"")</f>
        <v/>
      </c>
      <c r="O51" s="38" t="str">
        <f>IFERROR([1]!IntrinioBankFinancials(rssd_id,$S$2,O$6,O$5,$B51,"K"),"")</f>
        <v/>
      </c>
      <c r="P51" s="46" t="s">
        <v>142</v>
      </c>
    </row>
    <row r="52" spans="1:16" s="36" customFormat="1" ht="14.25" x14ac:dyDescent="0.4">
      <c r="A52" s="41" t="s">
        <v>143</v>
      </c>
      <c r="B52" s="37" t="s">
        <v>144</v>
      </c>
      <c r="C52" s="38" t="str">
        <f>IFERROR([1]!IntrinioBankFinancials(rssd_id,$S$2,C$6,C$5,$B52,"K"),"")</f>
        <v/>
      </c>
      <c r="D52" s="38" t="str">
        <f>IFERROR([1]!IntrinioBankFinancials(rssd_id,$S$2,D$6,D$5,$B52,"K"),"")</f>
        <v/>
      </c>
      <c r="E52" s="38" t="str">
        <f>IFERROR([1]!IntrinioBankFinancials(rssd_id,$S$2,E$6,E$5,$B52,"K"),"")</f>
        <v/>
      </c>
      <c r="F52" s="38" t="str">
        <f>IFERROR([1]!IntrinioBankFinancials(rssd_id,$S$2,F$6,F$5,$B52,"K"),"")</f>
        <v/>
      </c>
      <c r="G52" s="38" t="str">
        <f>IFERROR([1]!IntrinioBankFinancials(rssd_id,$S$2,G$6,G$5,$B52,"K"),"")</f>
        <v/>
      </c>
      <c r="H52" s="38" t="str">
        <f>IFERROR([1]!IntrinioBankFinancials(rssd_id,$S$2,H$6,H$5,$B52,"K"),"")</f>
        <v/>
      </c>
      <c r="I52" s="38" t="str">
        <f>IFERROR([1]!IntrinioBankFinancials(rssd_id,$S$2,I$6,I$5,$B52,"K"),"")</f>
        <v/>
      </c>
      <c r="J52" s="38" t="str">
        <f>IFERROR([1]!IntrinioBankFinancials(rssd_id,$S$2,J$6,J$5,$B52,"K"),"")</f>
        <v/>
      </c>
      <c r="K52" s="38" t="str">
        <f>IFERROR([1]!IntrinioBankFinancials(rssd_id,$S$2,K$6,K$5,$B52,"K"),"")</f>
        <v/>
      </c>
      <c r="L52" s="38" t="str">
        <f>IFERROR([1]!IntrinioBankFinancials(rssd_id,$S$2,L$6,L$5,$B52,"K"),"")</f>
        <v/>
      </c>
      <c r="M52" s="38" t="str">
        <f>IFERROR([1]!IntrinioBankFinancials(rssd_id,$S$2,M$6,M$5,$B52,"K"),"")</f>
        <v/>
      </c>
      <c r="N52" s="38" t="str">
        <f>IFERROR([1]!IntrinioBankFinancials(rssd_id,$S$2,N$6,N$5,$B52,"K"),"")</f>
        <v/>
      </c>
      <c r="O52" s="38" t="str">
        <f>IFERROR([1]!IntrinioBankFinancials(rssd_id,$S$2,O$6,O$5,$B52,"K"),"")</f>
        <v/>
      </c>
      <c r="P52" s="46" t="s">
        <v>145</v>
      </c>
    </row>
    <row r="53" spans="1:16" s="36" customFormat="1" ht="14.25" x14ac:dyDescent="0.4">
      <c r="A53" s="41" t="s">
        <v>146</v>
      </c>
      <c r="B53" s="37" t="s">
        <v>147</v>
      </c>
      <c r="C53" s="38" t="str">
        <f>IFERROR([1]!IntrinioBankFinancials(rssd_id,$S$2,C$6,C$5,$B53,"K"),"")</f>
        <v/>
      </c>
      <c r="D53" s="38" t="str">
        <f>IFERROR([1]!IntrinioBankFinancials(rssd_id,$S$2,D$6,D$5,$B53,"K"),"")</f>
        <v/>
      </c>
      <c r="E53" s="38" t="str">
        <f>IFERROR([1]!IntrinioBankFinancials(rssd_id,$S$2,E$6,E$5,$B53,"K"),"")</f>
        <v/>
      </c>
      <c r="F53" s="38" t="str">
        <f>IFERROR([1]!IntrinioBankFinancials(rssd_id,$S$2,F$6,F$5,$B53,"K"),"")</f>
        <v/>
      </c>
      <c r="G53" s="38" t="str">
        <f>IFERROR([1]!IntrinioBankFinancials(rssd_id,$S$2,G$6,G$5,$B53,"K"),"")</f>
        <v/>
      </c>
      <c r="H53" s="38" t="str">
        <f>IFERROR([1]!IntrinioBankFinancials(rssd_id,$S$2,H$6,H$5,$B53,"K"),"")</f>
        <v/>
      </c>
      <c r="I53" s="38" t="str">
        <f>IFERROR([1]!IntrinioBankFinancials(rssd_id,$S$2,I$6,I$5,$B53,"K"),"")</f>
        <v/>
      </c>
      <c r="J53" s="38" t="str">
        <f>IFERROR([1]!IntrinioBankFinancials(rssd_id,$S$2,J$6,J$5,$B53,"K"),"")</f>
        <v/>
      </c>
      <c r="K53" s="38" t="str">
        <f>IFERROR([1]!IntrinioBankFinancials(rssd_id,$S$2,K$6,K$5,$B53,"K"),"")</f>
        <v/>
      </c>
      <c r="L53" s="38" t="str">
        <f>IFERROR([1]!IntrinioBankFinancials(rssd_id,$S$2,L$6,L$5,$B53,"K"),"")</f>
        <v/>
      </c>
      <c r="M53" s="38" t="str">
        <f>IFERROR([1]!IntrinioBankFinancials(rssd_id,$S$2,M$6,M$5,$B53,"K"),"")</f>
        <v/>
      </c>
      <c r="N53" s="38" t="str">
        <f>IFERROR([1]!IntrinioBankFinancials(rssd_id,$S$2,N$6,N$5,$B53,"K"),"")</f>
        <v/>
      </c>
      <c r="O53" s="38" t="str">
        <f>IFERROR([1]!IntrinioBankFinancials(rssd_id,$S$2,O$6,O$5,$B53,"K"),"")</f>
        <v/>
      </c>
      <c r="P53" s="46" t="s">
        <v>148</v>
      </c>
    </row>
    <row r="54" spans="1:16" s="36" customFormat="1" ht="14.25" x14ac:dyDescent="0.4">
      <c r="A54" s="41" t="s">
        <v>149</v>
      </c>
      <c r="B54" s="37" t="s">
        <v>150</v>
      </c>
      <c r="C54" s="38" t="str">
        <f>IFERROR([1]!IntrinioBankFinancials(rssd_id,$S$2,C$6,C$5,$B54,"K"),"")</f>
        <v/>
      </c>
      <c r="D54" s="38" t="str">
        <f>IFERROR([1]!IntrinioBankFinancials(rssd_id,$S$2,D$6,D$5,$B54,"K"),"")</f>
        <v/>
      </c>
      <c r="E54" s="38" t="str">
        <f>IFERROR([1]!IntrinioBankFinancials(rssd_id,$S$2,E$6,E$5,$B54,"K"),"")</f>
        <v/>
      </c>
      <c r="F54" s="38" t="str">
        <f>IFERROR([1]!IntrinioBankFinancials(rssd_id,$S$2,F$6,F$5,$B54,"K"),"")</f>
        <v/>
      </c>
      <c r="G54" s="38" t="str">
        <f>IFERROR([1]!IntrinioBankFinancials(rssd_id,$S$2,G$6,G$5,$B54,"K"),"")</f>
        <v/>
      </c>
      <c r="H54" s="38" t="str">
        <f>IFERROR([1]!IntrinioBankFinancials(rssd_id,$S$2,H$6,H$5,$B54,"K"),"")</f>
        <v/>
      </c>
      <c r="I54" s="38" t="str">
        <f>IFERROR([1]!IntrinioBankFinancials(rssd_id,$S$2,I$6,I$5,$B54,"K"),"")</f>
        <v/>
      </c>
      <c r="J54" s="38" t="str">
        <f>IFERROR([1]!IntrinioBankFinancials(rssd_id,$S$2,J$6,J$5,$B54,"K"),"")</f>
        <v/>
      </c>
      <c r="K54" s="38" t="str">
        <f>IFERROR([1]!IntrinioBankFinancials(rssd_id,$S$2,K$6,K$5,$B54,"K"),"")</f>
        <v/>
      </c>
      <c r="L54" s="38" t="str">
        <f>IFERROR([1]!IntrinioBankFinancials(rssd_id,$S$2,L$6,L$5,$B54,"K"),"")</f>
        <v/>
      </c>
      <c r="M54" s="38" t="str">
        <f>IFERROR([1]!IntrinioBankFinancials(rssd_id,$S$2,M$6,M$5,$B54,"K"),"")</f>
        <v/>
      </c>
      <c r="N54" s="38" t="str">
        <f>IFERROR([1]!IntrinioBankFinancials(rssd_id,$S$2,N$6,N$5,$B54,"K"),"")</f>
        <v/>
      </c>
      <c r="O54" s="38" t="str">
        <f>IFERROR([1]!IntrinioBankFinancials(rssd_id,$S$2,O$6,O$5,$B54,"K"),"")</f>
        <v/>
      </c>
      <c r="P54" s="46" t="s">
        <v>151</v>
      </c>
    </row>
    <row r="55" spans="1:16" s="36" customFormat="1" ht="14.25" x14ac:dyDescent="0.4">
      <c r="A55" s="41" t="s">
        <v>152</v>
      </c>
      <c r="B55" s="34"/>
      <c r="C55" s="35"/>
      <c r="D55" s="35"/>
      <c r="E55" s="35"/>
      <c r="F55" s="35"/>
      <c r="G55" s="35"/>
      <c r="H55" s="35"/>
      <c r="I55" s="35"/>
      <c r="J55" s="35"/>
      <c r="K55" s="35"/>
      <c r="L55" s="35"/>
      <c r="M55" s="35"/>
      <c r="N55" s="35"/>
      <c r="O55" s="35"/>
      <c r="P55" s="46" t="s">
        <v>153</v>
      </c>
    </row>
    <row r="56" spans="1:16" s="36" customFormat="1" ht="14.25" x14ac:dyDescent="0.4">
      <c r="A56" s="41" t="s">
        <v>154</v>
      </c>
      <c r="B56" s="37" t="s">
        <v>155</v>
      </c>
      <c r="C56" s="38" t="str">
        <f>IFERROR([1]!IntrinioBankFinancials(rssd_id,$S$2,C$6,C$5,$B56,"K"),"")</f>
        <v/>
      </c>
      <c r="D56" s="38" t="str">
        <f>IFERROR([1]!IntrinioBankFinancials(rssd_id,$S$2,D$6,D$5,$B56,"K"),"")</f>
        <v/>
      </c>
      <c r="E56" s="38" t="str">
        <f>IFERROR([1]!IntrinioBankFinancials(rssd_id,$S$2,E$6,E$5,$B56,"K"),"")</f>
        <v/>
      </c>
      <c r="F56" s="38" t="str">
        <f>IFERROR([1]!IntrinioBankFinancials(rssd_id,$S$2,F$6,F$5,$B56,"K"),"")</f>
        <v/>
      </c>
      <c r="G56" s="38" t="str">
        <f>IFERROR([1]!IntrinioBankFinancials(rssd_id,$S$2,G$6,G$5,$B56,"K"),"")</f>
        <v/>
      </c>
      <c r="H56" s="38" t="str">
        <f>IFERROR([1]!IntrinioBankFinancials(rssd_id,$S$2,H$6,H$5,$B56,"K"),"")</f>
        <v/>
      </c>
      <c r="I56" s="38" t="str">
        <f>IFERROR([1]!IntrinioBankFinancials(rssd_id,$S$2,I$6,I$5,$B56,"K"),"")</f>
        <v/>
      </c>
      <c r="J56" s="38" t="str">
        <f>IFERROR([1]!IntrinioBankFinancials(rssd_id,$S$2,J$6,J$5,$B56,"K"),"")</f>
        <v/>
      </c>
      <c r="K56" s="38" t="str">
        <f>IFERROR([1]!IntrinioBankFinancials(rssd_id,$S$2,K$6,K$5,$B56,"K"),"")</f>
        <v/>
      </c>
      <c r="L56" s="38" t="str">
        <f>IFERROR([1]!IntrinioBankFinancials(rssd_id,$S$2,L$6,L$5,$B56,"K"),"")</f>
        <v/>
      </c>
      <c r="M56" s="38" t="str">
        <f>IFERROR([1]!IntrinioBankFinancials(rssd_id,$S$2,M$6,M$5,$B56,"K"),"")</f>
        <v/>
      </c>
      <c r="N56" s="38" t="str">
        <f>IFERROR([1]!IntrinioBankFinancials(rssd_id,$S$2,N$6,N$5,$B56,"K"),"")</f>
        <v/>
      </c>
      <c r="O56" s="38" t="str">
        <f>IFERROR([1]!IntrinioBankFinancials(rssd_id,$S$2,O$6,O$5,$B56,"K"),"")</f>
        <v/>
      </c>
      <c r="P56" s="46" t="s">
        <v>156</v>
      </c>
    </row>
    <row r="57" spans="1:16" s="36" customFormat="1" ht="14.25" x14ac:dyDescent="0.4">
      <c r="A57" s="41" t="s">
        <v>157</v>
      </c>
      <c r="B57" s="37" t="s">
        <v>158</v>
      </c>
      <c r="C57" s="38" t="str">
        <f>IFERROR([1]!IntrinioBankFinancials(rssd_id,$S$2,C$6,C$5,$B57,"K"),"")</f>
        <v/>
      </c>
      <c r="D57" s="38" t="str">
        <f>IFERROR([1]!IntrinioBankFinancials(rssd_id,$S$2,D$6,D$5,$B57,"K"),"")</f>
        <v/>
      </c>
      <c r="E57" s="38" t="str">
        <f>IFERROR([1]!IntrinioBankFinancials(rssd_id,$S$2,E$6,E$5,$B57,"K"),"")</f>
        <v/>
      </c>
      <c r="F57" s="38" t="str">
        <f>IFERROR([1]!IntrinioBankFinancials(rssd_id,$S$2,F$6,F$5,$B57,"K"),"")</f>
        <v/>
      </c>
      <c r="G57" s="38" t="str">
        <f>IFERROR([1]!IntrinioBankFinancials(rssd_id,$S$2,G$6,G$5,$B57,"K"),"")</f>
        <v/>
      </c>
      <c r="H57" s="38" t="str">
        <f>IFERROR([1]!IntrinioBankFinancials(rssd_id,$S$2,H$6,H$5,$B57,"K"),"")</f>
        <v/>
      </c>
      <c r="I57" s="38" t="str">
        <f>IFERROR([1]!IntrinioBankFinancials(rssd_id,$S$2,I$6,I$5,$B57,"K"),"")</f>
        <v/>
      </c>
      <c r="J57" s="38" t="str">
        <f>IFERROR([1]!IntrinioBankFinancials(rssd_id,$S$2,J$6,J$5,$B57,"K"),"")</f>
        <v/>
      </c>
      <c r="K57" s="38" t="str">
        <f>IFERROR([1]!IntrinioBankFinancials(rssd_id,$S$2,K$6,K$5,$B57,"K"),"")</f>
        <v/>
      </c>
      <c r="L57" s="38" t="str">
        <f>IFERROR([1]!IntrinioBankFinancials(rssd_id,$S$2,L$6,L$5,$B57,"K"),"")</f>
        <v/>
      </c>
      <c r="M57" s="38" t="str">
        <f>IFERROR([1]!IntrinioBankFinancials(rssd_id,$S$2,M$6,M$5,$B57,"K"),"")</f>
        <v/>
      </c>
      <c r="N57" s="38" t="str">
        <f>IFERROR([1]!IntrinioBankFinancials(rssd_id,$S$2,N$6,N$5,$B57,"K"),"")</f>
        <v/>
      </c>
      <c r="O57" s="38" t="str">
        <f>IFERROR([1]!IntrinioBankFinancials(rssd_id,$S$2,O$6,O$5,$B57,"K"),"")</f>
        <v/>
      </c>
      <c r="P57" s="46" t="s">
        <v>159</v>
      </c>
    </row>
    <row r="58" spans="1:16" s="36" customFormat="1" ht="14.25" x14ac:dyDescent="0.4">
      <c r="A58" s="41" t="s">
        <v>160</v>
      </c>
      <c r="B58" s="37" t="s">
        <v>161</v>
      </c>
      <c r="C58" s="38" t="str">
        <f>IFERROR([1]!IntrinioBankFinancials(rssd_id,$S$2,C$6,C$5,$B58,"K"),"")</f>
        <v/>
      </c>
      <c r="D58" s="38" t="str">
        <f>IFERROR([1]!IntrinioBankFinancials(rssd_id,$S$2,D$6,D$5,$B58,"K"),"")</f>
        <v/>
      </c>
      <c r="E58" s="38" t="str">
        <f>IFERROR([1]!IntrinioBankFinancials(rssd_id,$S$2,E$6,E$5,$B58,"K"),"")</f>
        <v/>
      </c>
      <c r="F58" s="38" t="str">
        <f>IFERROR([1]!IntrinioBankFinancials(rssd_id,$S$2,F$6,F$5,$B58,"K"),"")</f>
        <v/>
      </c>
      <c r="G58" s="38" t="str">
        <f>IFERROR([1]!IntrinioBankFinancials(rssd_id,$S$2,G$6,G$5,$B58,"K"),"")</f>
        <v/>
      </c>
      <c r="H58" s="38" t="str">
        <f>IFERROR([1]!IntrinioBankFinancials(rssd_id,$S$2,H$6,H$5,$B58,"K"),"")</f>
        <v/>
      </c>
      <c r="I58" s="38" t="str">
        <f>IFERROR([1]!IntrinioBankFinancials(rssd_id,$S$2,I$6,I$5,$B58,"K"),"")</f>
        <v/>
      </c>
      <c r="J58" s="38" t="str">
        <f>IFERROR([1]!IntrinioBankFinancials(rssd_id,$S$2,J$6,J$5,$B58,"K"),"")</f>
        <v/>
      </c>
      <c r="K58" s="38" t="str">
        <f>IFERROR([1]!IntrinioBankFinancials(rssd_id,$S$2,K$6,K$5,$B58,"K"),"")</f>
        <v/>
      </c>
      <c r="L58" s="38" t="str">
        <f>IFERROR([1]!IntrinioBankFinancials(rssd_id,$S$2,L$6,L$5,$B58,"K"),"")</f>
        <v/>
      </c>
      <c r="M58" s="38" t="str">
        <f>IFERROR([1]!IntrinioBankFinancials(rssd_id,$S$2,M$6,M$5,$B58,"K"),"")</f>
        <v/>
      </c>
      <c r="N58" s="38" t="str">
        <f>IFERROR([1]!IntrinioBankFinancials(rssd_id,$S$2,N$6,N$5,$B58,"K"),"")</f>
        <v/>
      </c>
      <c r="O58" s="38" t="str">
        <f>IFERROR([1]!IntrinioBankFinancials(rssd_id,$S$2,O$6,O$5,$B58,"K"),"")</f>
        <v/>
      </c>
      <c r="P58" s="46" t="s">
        <v>162</v>
      </c>
    </row>
    <row r="59" spans="1:16" s="36" customFormat="1" ht="14.25" x14ac:dyDescent="0.4">
      <c r="A59" s="41" t="s">
        <v>163</v>
      </c>
      <c r="B59" s="37" t="s">
        <v>164</v>
      </c>
      <c r="C59" s="38" t="str">
        <f>IFERROR([1]!IntrinioBankFinancials(rssd_id,$S$2,C$6,C$5,$B59,"K"),"")</f>
        <v/>
      </c>
      <c r="D59" s="38" t="str">
        <f>IFERROR([1]!IntrinioBankFinancials(rssd_id,$S$2,D$6,D$5,$B59,"K"),"")</f>
        <v/>
      </c>
      <c r="E59" s="38" t="str">
        <f>IFERROR([1]!IntrinioBankFinancials(rssd_id,$S$2,E$6,E$5,$B59,"K"),"")</f>
        <v/>
      </c>
      <c r="F59" s="38" t="str">
        <f>IFERROR([1]!IntrinioBankFinancials(rssd_id,$S$2,F$6,F$5,$B59,"K"),"")</f>
        <v/>
      </c>
      <c r="G59" s="38" t="str">
        <f>IFERROR([1]!IntrinioBankFinancials(rssd_id,$S$2,G$6,G$5,$B59,"K"),"")</f>
        <v/>
      </c>
      <c r="H59" s="38" t="str">
        <f>IFERROR([1]!IntrinioBankFinancials(rssd_id,$S$2,H$6,H$5,$B59,"K"),"")</f>
        <v/>
      </c>
      <c r="I59" s="38" t="str">
        <f>IFERROR([1]!IntrinioBankFinancials(rssd_id,$S$2,I$6,I$5,$B59,"K"),"")</f>
        <v/>
      </c>
      <c r="J59" s="38" t="str">
        <f>IFERROR([1]!IntrinioBankFinancials(rssd_id,$S$2,J$6,J$5,$B59,"K"),"")</f>
        <v/>
      </c>
      <c r="K59" s="38" t="str">
        <f>IFERROR([1]!IntrinioBankFinancials(rssd_id,$S$2,K$6,K$5,$B59,"K"),"")</f>
        <v/>
      </c>
      <c r="L59" s="38" t="str">
        <f>IFERROR([1]!IntrinioBankFinancials(rssd_id,$S$2,L$6,L$5,$B59,"K"),"")</f>
        <v/>
      </c>
      <c r="M59" s="38" t="str">
        <f>IFERROR([1]!IntrinioBankFinancials(rssd_id,$S$2,M$6,M$5,$B59,"K"),"")</f>
        <v/>
      </c>
      <c r="N59" s="38" t="str">
        <f>IFERROR([1]!IntrinioBankFinancials(rssd_id,$S$2,N$6,N$5,$B59,"K"),"")</f>
        <v/>
      </c>
      <c r="O59" s="38" t="str">
        <f>IFERROR([1]!IntrinioBankFinancials(rssd_id,$S$2,O$6,O$5,$B59,"K"),"")</f>
        <v/>
      </c>
      <c r="P59" s="46" t="s">
        <v>165</v>
      </c>
    </row>
    <row r="60" spans="1:16" s="36" customFormat="1" ht="14.25" x14ac:dyDescent="0.4">
      <c r="A60" s="41" t="s">
        <v>166</v>
      </c>
      <c r="B60" s="37" t="s">
        <v>167</v>
      </c>
      <c r="C60" s="38" t="str">
        <f>IFERROR([1]!IntrinioBankFinancials(rssd_id,$S$2,C$6,C$5,$B60,"K"),"")</f>
        <v/>
      </c>
      <c r="D60" s="38" t="str">
        <f>IFERROR([1]!IntrinioBankFinancials(rssd_id,$S$2,D$6,D$5,$B60,"K"),"")</f>
        <v/>
      </c>
      <c r="E60" s="38" t="str">
        <f>IFERROR([1]!IntrinioBankFinancials(rssd_id,$S$2,E$6,E$5,$B60,"K"),"")</f>
        <v/>
      </c>
      <c r="F60" s="38" t="str">
        <f>IFERROR([1]!IntrinioBankFinancials(rssd_id,$S$2,F$6,F$5,$B60,"K"),"")</f>
        <v/>
      </c>
      <c r="G60" s="38" t="str">
        <f>IFERROR([1]!IntrinioBankFinancials(rssd_id,$S$2,G$6,G$5,$B60,"K"),"")</f>
        <v/>
      </c>
      <c r="H60" s="38" t="str">
        <f>IFERROR([1]!IntrinioBankFinancials(rssd_id,$S$2,H$6,H$5,$B60,"K"),"")</f>
        <v/>
      </c>
      <c r="I60" s="38" t="str">
        <f>IFERROR([1]!IntrinioBankFinancials(rssd_id,$S$2,I$6,I$5,$B60,"K"),"")</f>
        <v/>
      </c>
      <c r="J60" s="38" t="str">
        <f>IFERROR([1]!IntrinioBankFinancials(rssd_id,$S$2,J$6,J$5,$B60,"K"),"")</f>
        <v/>
      </c>
      <c r="K60" s="38" t="str">
        <f>IFERROR([1]!IntrinioBankFinancials(rssd_id,$S$2,K$6,K$5,$B60,"K"),"")</f>
        <v/>
      </c>
      <c r="L60" s="38" t="str">
        <f>IFERROR([1]!IntrinioBankFinancials(rssd_id,$S$2,L$6,L$5,$B60,"K"),"")</f>
        <v/>
      </c>
      <c r="M60" s="38" t="str">
        <f>IFERROR([1]!IntrinioBankFinancials(rssd_id,$S$2,M$6,M$5,$B60,"K"),"")</f>
        <v/>
      </c>
      <c r="N60" s="38" t="str">
        <f>IFERROR([1]!IntrinioBankFinancials(rssd_id,$S$2,N$6,N$5,$B60,"K"),"")</f>
        <v/>
      </c>
      <c r="O60" s="38" t="str">
        <f>IFERROR([1]!IntrinioBankFinancials(rssd_id,$S$2,O$6,O$5,$B60,"K"),"")</f>
        <v/>
      </c>
      <c r="P60" s="46" t="s">
        <v>168</v>
      </c>
    </row>
    <row r="61" spans="1:16" s="36" customFormat="1" ht="14.25" x14ac:dyDescent="0.4">
      <c r="A61" s="19" t="s">
        <v>169</v>
      </c>
      <c r="B61" s="34"/>
      <c r="C61" s="35"/>
      <c r="D61" s="35"/>
      <c r="E61" s="35"/>
      <c r="F61" s="35"/>
      <c r="G61" s="35"/>
      <c r="H61" s="35"/>
      <c r="I61" s="35"/>
      <c r="J61" s="35"/>
      <c r="K61" s="35"/>
      <c r="L61" s="35"/>
      <c r="M61" s="35"/>
      <c r="N61" s="35"/>
      <c r="O61" s="35"/>
      <c r="P61" s="46">
        <v>6</v>
      </c>
    </row>
    <row r="62" spans="1:16" s="36" customFormat="1" ht="14.25" x14ac:dyDescent="0.4">
      <c r="A62" s="41" t="s">
        <v>170</v>
      </c>
      <c r="B62" s="37" t="s">
        <v>171</v>
      </c>
      <c r="C62" s="38" t="str">
        <f>IFERROR([1]!IntrinioBankFinancials(rssd_id,$S$2,C$6,C$5,$B62,"K"),"")</f>
        <v/>
      </c>
      <c r="D62" s="38" t="str">
        <f>IFERROR([1]!IntrinioBankFinancials(rssd_id,$S$2,D$6,D$5,$B62,"K"),"")</f>
        <v/>
      </c>
      <c r="E62" s="38" t="str">
        <f>IFERROR([1]!IntrinioBankFinancials(rssd_id,$S$2,E$6,E$5,$B62,"K"),"")</f>
        <v/>
      </c>
      <c r="F62" s="38" t="str">
        <f>IFERROR([1]!IntrinioBankFinancials(rssd_id,$S$2,F$6,F$5,$B62,"K"),"")</f>
        <v/>
      </c>
      <c r="G62" s="38" t="str">
        <f>IFERROR([1]!IntrinioBankFinancials(rssd_id,$S$2,G$6,G$5,$B62,"K"),"")</f>
        <v/>
      </c>
      <c r="H62" s="38" t="str">
        <f>IFERROR([1]!IntrinioBankFinancials(rssd_id,$S$2,H$6,H$5,$B62,"K"),"")</f>
        <v/>
      </c>
      <c r="I62" s="38" t="str">
        <f>IFERROR([1]!IntrinioBankFinancials(rssd_id,$S$2,I$6,I$5,$B62,"K"),"")</f>
        <v/>
      </c>
      <c r="J62" s="38" t="str">
        <f>IFERROR([1]!IntrinioBankFinancials(rssd_id,$S$2,J$6,J$5,$B62,"K"),"")</f>
        <v/>
      </c>
      <c r="K62" s="38" t="str">
        <f>IFERROR([1]!IntrinioBankFinancials(rssd_id,$S$2,K$6,K$5,$B62,"K"),"")</f>
        <v/>
      </c>
      <c r="L62" s="38" t="str">
        <f>IFERROR([1]!IntrinioBankFinancials(rssd_id,$S$2,L$6,L$5,$B62,"K"),"")</f>
        <v/>
      </c>
      <c r="M62" s="38" t="str">
        <f>IFERROR([1]!IntrinioBankFinancials(rssd_id,$S$2,M$6,M$5,$B62,"K"),"")</f>
        <v/>
      </c>
      <c r="N62" s="38" t="str">
        <f>IFERROR([1]!IntrinioBankFinancials(rssd_id,$S$2,N$6,N$5,$B62,"K"),"")</f>
        <v/>
      </c>
      <c r="O62" s="38" t="str">
        <f>IFERROR([1]!IntrinioBankFinancials(rssd_id,$S$2,O$6,O$5,$B62,"K"),"")</f>
        <v/>
      </c>
      <c r="P62" s="46" t="s">
        <v>172</v>
      </c>
    </row>
    <row r="63" spans="1:16" s="36" customFormat="1" ht="14.25" x14ac:dyDescent="0.4">
      <c r="A63" s="41" t="s">
        <v>173</v>
      </c>
      <c r="B63" s="37" t="s">
        <v>174</v>
      </c>
      <c r="C63" s="38" t="str">
        <f>IFERROR([1]!IntrinioBankFinancials(rssd_id,$S$2,C$6,C$5,$B63,"K"),"")</f>
        <v/>
      </c>
      <c r="D63" s="38" t="str">
        <f>IFERROR([1]!IntrinioBankFinancials(rssd_id,$S$2,D$6,D$5,$B63,"K"),"")</f>
        <v/>
      </c>
      <c r="E63" s="38" t="str">
        <f>IFERROR([1]!IntrinioBankFinancials(rssd_id,$S$2,E$6,E$5,$B63,"K"),"")</f>
        <v/>
      </c>
      <c r="F63" s="38" t="str">
        <f>IFERROR([1]!IntrinioBankFinancials(rssd_id,$S$2,F$6,F$5,$B63,"K"),"")</f>
        <v/>
      </c>
      <c r="G63" s="38" t="str">
        <f>IFERROR([1]!IntrinioBankFinancials(rssd_id,$S$2,G$6,G$5,$B63,"K"),"")</f>
        <v/>
      </c>
      <c r="H63" s="38" t="str">
        <f>IFERROR([1]!IntrinioBankFinancials(rssd_id,$S$2,H$6,H$5,$B63,"K"),"")</f>
        <v/>
      </c>
      <c r="I63" s="38" t="str">
        <f>IFERROR([1]!IntrinioBankFinancials(rssd_id,$S$2,I$6,I$5,$B63,"K"),"")</f>
        <v/>
      </c>
      <c r="J63" s="38" t="str">
        <f>IFERROR([1]!IntrinioBankFinancials(rssd_id,$S$2,J$6,J$5,$B63,"K"),"")</f>
        <v/>
      </c>
      <c r="K63" s="38" t="str">
        <f>IFERROR([1]!IntrinioBankFinancials(rssd_id,$S$2,K$6,K$5,$B63,"K"),"")</f>
        <v/>
      </c>
      <c r="L63" s="38" t="str">
        <f>IFERROR([1]!IntrinioBankFinancials(rssd_id,$S$2,L$6,L$5,$B63,"K"),"")</f>
        <v/>
      </c>
      <c r="M63" s="38" t="str">
        <f>IFERROR([1]!IntrinioBankFinancials(rssd_id,$S$2,M$6,M$5,$B63,"K"),"")</f>
        <v/>
      </c>
      <c r="N63" s="38" t="str">
        <f>IFERROR([1]!IntrinioBankFinancials(rssd_id,$S$2,N$6,N$5,$B63,"K"),"")</f>
        <v/>
      </c>
      <c r="O63" s="38" t="str">
        <f>IFERROR([1]!IntrinioBankFinancials(rssd_id,$S$2,O$6,O$5,$B63,"K"),"")</f>
        <v/>
      </c>
      <c r="P63" s="46" t="s">
        <v>175</v>
      </c>
    </row>
    <row r="64" spans="1:16" s="36" customFormat="1" ht="14.25" x14ac:dyDescent="0.4">
      <c r="A64" s="19" t="s">
        <v>176</v>
      </c>
      <c r="B64" s="34"/>
      <c r="C64" s="35"/>
      <c r="D64" s="35"/>
      <c r="E64" s="35"/>
      <c r="F64" s="35"/>
      <c r="G64" s="35"/>
      <c r="H64" s="35"/>
      <c r="I64" s="35"/>
      <c r="J64" s="35"/>
      <c r="K64" s="35"/>
      <c r="L64" s="35"/>
      <c r="M64" s="35"/>
      <c r="N64" s="35"/>
      <c r="O64" s="35"/>
      <c r="P64" s="46">
        <v>7</v>
      </c>
    </row>
    <row r="65" spans="1:16" s="36" customFormat="1" ht="14.25" x14ac:dyDescent="0.4">
      <c r="A65" s="41" t="s">
        <v>177</v>
      </c>
      <c r="B65" s="37" t="s">
        <v>178</v>
      </c>
      <c r="C65" s="38" t="str">
        <f>IFERROR([1]!IntrinioBankFinancials(rssd_id,$S$2,C$6,C$5,$B65,"K"),"")</f>
        <v/>
      </c>
      <c r="D65" s="38" t="str">
        <f>IFERROR([1]!IntrinioBankFinancials(rssd_id,$S$2,D$6,D$5,$B65,"K"),"")</f>
        <v/>
      </c>
      <c r="E65" s="38" t="str">
        <f>IFERROR([1]!IntrinioBankFinancials(rssd_id,$S$2,E$6,E$5,$B65,"K"),"")</f>
        <v/>
      </c>
      <c r="F65" s="38" t="str">
        <f>IFERROR([1]!IntrinioBankFinancials(rssd_id,$S$2,F$6,F$5,$B65,"K"),"")</f>
        <v/>
      </c>
      <c r="G65" s="38" t="str">
        <f>IFERROR([1]!IntrinioBankFinancials(rssd_id,$S$2,G$6,G$5,$B65,"K"),"")</f>
        <v/>
      </c>
      <c r="H65" s="38" t="str">
        <f>IFERROR([1]!IntrinioBankFinancials(rssd_id,$S$2,H$6,H$5,$B65,"K"),"")</f>
        <v/>
      </c>
      <c r="I65" s="38" t="str">
        <f>IFERROR([1]!IntrinioBankFinancials(rssd_id,$S$2,I$6,I$5,$B65,"K"),"")</f>
        <v/>
      </c>
      <c r="J65" s="38" t="str">
        <f>IFERROR([1]!IntrinioBankFinancials(rssd_id,$S$2,J$6,J$5,$B65,"K"),"")</f>
        <v/>
      </c>
      <c r="K65" s="38" t="str">
        <f>IFERROR([1]!IntrinioBankFinancials(rssd_id,$S$2,K$6,K$5,$B65,"K"),"")</f>
        <v/>
      </c>
      <c r="L65" s="38" t="str">
        <f>IFERROR([1]!IntrinioBankFinancials(rssd_id,$S$2,L$6,L$5,$B65,"K"),"")</f>
        <v/>
      </c>
      <c r="M65" s="38" t="str">
        <f>IFERROR([1]!IntrinioBankFinancials(rssd_id,$S$2,M$6,M$5,$B65,"K"),"")</f>
        <v/>
      </c>
      <c r="N65" s="38" t="str">
        <f>IFERROR([1]!IntrinioBankFinancials(rssd_id,$S$2,N$6,N$5,$B65,"K"),"")</f>
        <v/>
      </c>
      <c r="O65" s="38" t="str">
        <f>IFERROR([1]!IntrinioBankFinancials(rssd_id,$S$2,O$6,O$5,$B65,"K"),"")</f>
        <v/>
      </c>
      <c r="P65" s="46" t="s">
        <v>179</v>
      </c>
    </row>
    <row r="66" spans="1:16" s="36" customFormat="1" ht="28.5" x14ac:dyDescent="0.4">
      <c r="A66" s="41" t="s">
        <v>295</v>
      </c>
      <c r="B66" s="37" t="s">
        <v>180</v>
      </c>
      <c r="C66" s="38" t="str">
        <f>IFERROR([1]!IntrinioBankFinancials(rssd_id,$S$2,C$6,C$5,$B66,"K"),"")</f>
        <v/>
      </c>
      <c r="D66" s="38" t="str">
        <f>IFERROR([1]!IntrinioBankFinancials(rssd_id,$S$2,D$6,D$5,$B66,"K"),"")</f>
        <v/>
      </c>
      <c r="E66" s="38" t="str">
        <f>IFERROR([1]!IntrinioBankFinancials(rssd_id,$S$2,E$6,E$5,$B66,"K"),"")</f>
        <v/>
      </c>
      <c r="F66" s="38" t="str">
        <f>IFERROR([1]!IntrinioBankFinancials(rssd_id,$S$2,F$6,F$5,$B66,"K"),"")</f>
        <v/>
      </c>
      <c r="G66" s="38" t="str">
        <f>IFERROR([1]!IntrinioBankFinancials(rssd_id,$S$2,G$6,G$5,$B66,"K"),"")</f>
        <v/>
      </c>
      <c r="H66" s="38" t="str">
        <f>IFERROR([1]!IntrinioBankFinancials(rssd_id,$S$2,H$6,H$5,$B66,"K"),"")</f>
        <v/>
      </c>
      <c r="I66" s="38" t="str">
        <f>IFERROR([1]!IntrinioBankFinancials(rssd_id,$S$2,I$6,I$5,$B66,"K"),"")</f>
        <v/>
      </c>
      <c r="J66" s="38" t="str">
        <f>IFERROR([1]!IntrinioBankFinancials(rssd_id,$S$2,J$6,J$5,$B66,"K"),"")</f>
        <v/>
      </c>
      <c r="K66" s="38" t="str">
        <f>IFERROR([1]!IntrinioBankFinancials(rssd_id,$S$2,K$6,K$5,$B66,"K"),"")</f>
        <v/>
      </c>
      <c r="L66" s="38" t="str">
        <f>IFERROR([1]!IntrinioBankFinancials(rssd_id,$S$2,L$6,L$5,$B66,"K"),"")</f>
        <v/>
      </c>
      <c r="M66" s="38" t="str">
        <f>IFERROR([1]!IntrinioBankFinancials(rssd_id,$S$2,M$6,M$5,$B66,"K"),"")</f>
        <v/>
      </c>
      <c r="N66" s="38" t="str">
        <f>IFERROR([1]!IntrinioBankFinancials(rssd_id,$S$2,N$6,N$5,$B66,"K"),"")</f>
        <v/>
      </c>
      <c r="O66" s="38" t="str">
        <f>IFERROR([1]!IntrinioBankFinancials(rssd_id,$S$2,O$6,O$5,$B66,"K"),"")</f>
        <v/>
      </c>
      <c r="P66" s="46" t="s">
        <v>181</v>
      </c>
    </row>
    <row r="67" spans="1:16" s="36" customFormat="1" ht="14.25" x14ac:dyDescent="0.4">
      <c r="A67" s="41" t="s">
        <v>182</v>
      </c>
      <c r="B67" s="34"/>
      <c r="C67" s="35"/>
      <c r="D67" s="35"/>
      <c r="E67" s="35"/>
      <c r="F67" s="35"/>
      <c r="G67" s="35"/>
      <c r="H67" s="35"/>
      <c r="I67" s="35"/>
      <c r="J67" s="35"/>
      <c r="K67" s="35"/>
      <c r="L67" s="35"/>
      <c r="M67" s="35"/>
      <c r="N67" s="35"/>
      <c r="O67" s="35"/>
      <c r="P67" s="46" t="s">
        <v>183</v>
      </c>
    </row>
    <row r="68" spans="1:16" s="36" customFormat="1" ht="14.25" x14ac:dyDescent="0.4">
      <c r="A68" s="42" t="s">
        <v>184</v>
      </c>
      <c r="B68" s="37" t="s">
        <v>185</v>
      </c>
      <c r="C68" s="38" t="str">
        <f>IFERROR([1]!IntrinioBankFinancials(rssd_id,$S$2,C$6,C$5,$B68,"K"),"")</f>
        <v/>
      </c>
      <c r="D68" s="38" t="str">
        <f>IFERROR([1]!IntrinioBankFinancials(rssd_id,$S$2,D$6,D$5,$B68,"K"),"")</f>
        <v/>
      </c>
      <c r="E68" s="38" t="str">
        <f>IFERROR([1]!IntrinioBankFinancials(rssd_id,$S$2,E$6,E$5,$B68,"K"),"")</f>
        <v/>
      </c>
      <c r="F68" s="38" t="str">
        <f>IFERROR([1]!IntrinioBankFinancials(rssd_id,$S$2,F$6,F$5,$B68,"K"),"")</f>
        <v/>
      </c>
      <c r="G68" s="38" t="str">
        <f>IFERROR([1]!IntrinioBankFinancials(rssd_id,$S$2,G$6,G$5,$B68,"K"),"")</f>
        <v/>
      </c>
      <c r="H68" s="38" t="str">
        <f>IFERROR([1]!IntrinioBankFinancials(rssd_id,$S$2,H$6,H$5,$B68,"K"),"")</f>
        <v/>
      </c>
      <c r="I68" s="38" t="str">
        <f>IFERROR([1]!IntrinioBankFinancials(rssd_id,$S$2,I$6,I$5,$B68,"K"),"")</f>
        <v/>
      </c>
      <c r="J68" s="38" t="str">
        <f>IFERROR([1]!IntrinioBankFinancials(rssd_id,$S$2,J$6,J$5,$B68,"K"),"")</f>
        <v/>
      </c>
      <c r="K68" s="38" t="str">
        <f>IFERROR([1]!IntrinioBankFinancials(rssd_id,$S$2,K$6,K$5,$B68,"K"),"")</f>
        <v/>
      </c>
      <c r="L68" s="38" t="str">
        <f>IFERROR([1]!IntrinioBankFinancials(rssd_id,$S$2,L$6,L$5,$B68,"K"),"")</f>
        <v/>
      </c>
      <c r="M68" s="38" t="str">
        <f>IFERROR([1]!IntrinioBankFinancials(rssd_id,$S$2,M$6,M$5,$B68,"K"),"")</f>
        <v/>
      </c>
      <c r="N68" s="38" t="str">
        <f>IFERROR([1]!IntrinioBankFinancials(rssd_id,$S$2,N$6,N$5,$B68,"K"),"")</f>
        <v/>
      </c>
      <c r="O68" s="38" t="str">
        <f>IFERROR([1]!IntrinioBankFinancials(rssd_id,$S$2,O$6,O$5,$B68,"K"),"")</f>
        <v/>
      </c>
      <c r="P68" s="46" t="s">
        <v>186</v>
      </c>
    </row>
    <row r="69" spans="1:16" s="36" customFormat="1" ht="14.25" x14ac:dyDescent="0.4">
      <c r="A69" s="42" t="s">
        <v>187</v>
      </c>
      <c r="B69" s="37" t="s">
        <v>188</v>
      </c>
      <c r="C69" s="38" t="str">
        <f>IFERROR([1]!IntrinioBankFinancials(rssd_id,$S$2,C$6,C$5,$B69,"K"),"")</f>
        <v/>
      </c>
      <c r="D69" s="38" t="str">
        <f>IFERROR([1]!IntrinioBankFinancials(rssd_id,$S$2,D$6,D$5,$B69,"K"),"")</f>
        <v/>
      </c>
      <c r="E69" s="38" t="str">
        <f>IFERROR([1]!IntrinioBankFinancials(rssd_id,$S$2,E$6,E$5,$B69,"K"),"")</f>
        <v/>
      </c>
      <c r="F69" s="38" t="str">
        <f>IFERROR([1]!IntrinioBankFinancials(rssd_id,$S$2,F$6,F$5,$B69,"K"),"")</f>
        <v/>
      </c>
      <c r="G69" s="38" t="str">
        <f>IFERROR([1]!IntrinioBankFinancials(rssd_id,$S$2,G$6,G$5,$B69,"K"),"")</f>
        <v/>
      </c>
      <c r="H69" s="38" t="str">
        <f>IFERROR([1]!IntrinioBankFinancials(rssd_id,$S$2,H$6,H$5,$B69,"K"),"")</f>
        <v/>
      </c>
      <c r="I69" s="38" t="str">
        <f>IFERROR([1]!IntrinioBankFinancials(rssd_id,$S$2,I$6,I$5,$B69,"K"),"")</f>
        <v/>
      </c>
      <c r="J69" s="38" t="str">
        <f>IFERROR([1]!IntrinioBankFinancials(rssd_id,$S$2,J$6,J$5,$B69,"K"),"")</f>
        <v/>
      </c>
      <c r="K69" s="38" t="str">
        <f>IFERROR([1]!IntrinioBankFinancials(rssd_id,$S$2,K$6,K$5,$B69,"K"),"")</f>
        <v/>
      </c>
      <c r="L69" s="38" t="str">
        <f>IFERROR([1]!IntrinioBankFinancials(rssd_id,$S$2,L$6,L$5,$B69,"K"),"")</f>
        <v/>
      </c>
      <c r="M69" s="38" t="str">
        <f>IFERROR([1]!IntrinioBankFinancials(rssd_id,$S$2,M$6,M$5,$B69,"K"),"")</f>
        <v/>
      </c>
      <c r="N69" s="38" t="str">
        <f>IFERROR([1]!IntrinioBankFinancials(rssd_id,$S$2,N$6,N$5,$B69,"K"),"")</f>
        <v/>
      </c>
      <c r="O69" s="38" t="str">
        <f>IFERROR([1]!IntrinioBankFinancials(rssd_id,$S$2,O$6,O$5,$B69,"K"),"")</f>
        <v/>
      </c>
      <c r="P69" s="46" t="s">
        <v>189</v>
      </c>
    </row>
    <row r="70" spans="1:16" s="36" customFormat="1" ht="14.25" x14ac:dyDescent="0.4">
      <c r="A70" s="41" t="s">
        <v>190</v>
      </c>
      <c r="B70" s="37" t="s">
        <v>191</v>
      </c>
      <c r="C70" s="38" t="str">
        <f>IFERROR([1]!IntrinioBankFinancials(rssd_id,$S$2,C$6,C$5,$B70,"K"),"")</f>
        <v/>
      </c>
      <c r="D70" s="38" t="str">
        <f>IFERROR([1]!IntrinioBankFinancials(rssd_id,$S$2,D$6,D$5,$B70,"K"),"")</f>
        <v/>
      </c>
      <c r="E70" s="38" t="str">
        <f>IFERROR([1]!IntrinioBankFinancials(rssd_id,$S$2,E$6,E$5,$B70,"K"),"")</f>
        <v/>
      </c>
      <c r="F70" s="38" t="str">
        <f>IFERROR([1]!IntrinioBankFinancials(rssd_id,$S$2,F$6,F$5,$B70,"K"),"")</f>
        <v/>
      </c>
      <c r="G70" s="38" t="str">
        <f>IFERROR([1]!IntrinioBankFinancials(rssd_id,$S$2,G$6,G$5,$B70,"K"),"")</f>
        <v/>
      </c>
      <c r="H70" s="38" t="str">
        <f>IFERROR([1]!IntrinioBankFinancials(rssd_id,$S$2,H$6,H$5,$B70,"K"),"")</f>
        <v/>
      </c>
      <c r="I70" s="38" t="str">
        <f>IFERROR([1]!IntrinioBankFinancials(rssd_id,$S$2,I$6,I$5,$B70,"K"),"")</f>
        <v/>
      </c>
      <c r="J70" s="38" t="str">
        <f>IFERROR([1]!IntrinioBankFinancials(rssd_id,$S$2,J$6,J$5,$B70,"K"),"")</f>
        <v/>
      </c>
      <c r="K70" s="38" t="str">
        <f>IFERROR([1]!IntrinioBankFinancials(rssd_id,$S$2,K$6,K$5,$B70,"K"),"")</f>
        <v/>
      </c>
      <c r="L70" s="38" t="str">
        <f>IFERROR([1]!IntrinioBankFinancials(rssd_id,$S$2,L$6,L$5,$B70,"K"),"")</f>
        <v/>
      </c>
      <c r="M70" s="38" t="str">
        <f>IFERROR([1]!IntrinioBankFinancials(rssd_id,$S$2,M$6,M$5,$B70,"K"),"")</f>
        <v/>
      </c>
      <c r="N70" s="38" t="str">
        <f>IFERROR([1]!IntrinioBankFinancials(rssd_id,$S$2,N$6,N$5,$B70,"K"),"")</f>
        <v/>
      </c>
      <c r="O70" s="38" t="str">
        <f>IFERROR([1]!IntrinioBankFinancials(rssd_id,$S$2,O$6,O$5,$B70,"K"),"")</f>
        <v/>
      </c>
      <c r="P70" s="46" t="s">
        <v>192</v>
      </c>
    </row>
    <row r="71" spans="1:16" s="36" customFormat="1" ht="14.25" x14ac:dyDescent="0.4">
      <c r="A71" s="41" t="s">
        <v>193</v>
      </c>
      <c r="B71" s="37" t="s">
        <v>194</v>
      </c>
      <c r="C71" s="38" t="str">
        <f>IFERROR([1]!IntrinioBankFinancials(rssd_id,$S$2,C$6,C$5,$B71,"K"),"")</f>
        <v/>
      </c>
      <c r="D71" s="38" t="str">
        <f>IFERROR([1]!IntrinioBankFinancials(rssd_id,$S$2,D$6,D$5,$B71,"K"),"")</f>
        <v/>
      </c>
      <c r="E71" s="38" t="str">
        <f>IFERROR([1]!IntrinioBankFinancials(rssd_id,$S$2,E$6,E$5,$B71,"K"),"")</f>
        <v/>
      </c>
      <c r="F71" s="38" t="str">
        <f>IFERROR([1]!IntrinioBankFinancials(rssd_id,$S$2,F$6,F$5,$B71,"K"),"")</f>
        <v/>
      </c>
      <c r="G71" s="38" t="str">
        <f>IFERROR([1]!IntrinioBankFinancials(rssd_id,$S$2,G$6,G$5,$B71,"K"),"")</f>
        <v/>
      </c>
      <c r="H71" s="38" t="str">
        <f>IFERROR([1]!IntrinioBankFinancials(rssd_id,$S$2,H$6,H$5,$B71,"K"),"")</f>
        <v/>
      </c>
      <c r="I71" s="38" t="str">
        <f>IFERROR([1]!IntrinioBankFinancials(rssd_id,$S$2,I$6,I$5,$B71,"K"),"")</f>
        <v/>
      </c>
      <c r="J71" s="38" t="str">
        <f>IFERROR([1]!IntrinioBankFinancials(rssd_id,$S$2,J$6,J$5,$B71,"K"),"")</f>
        <v/>
      </c>
      <c r="K71" s="38" t="str">
        <f>IFERROR([1]!IntrinioBankFinancials(rssd_id,$S$2,K$6,K$5,$B71,"K"),"")</f>
        <v/>
      </c>
      <c r="L71" s="38" t="str">
        <f>IFERROR([1]!IntrinioBankFinancials(rssd_id,$S$2,L$6,L$5,$B71,"K"),"")</f>
        <v/>
      </c>
      <c r="M71" s="38" t="str">
        <f>IFERROR([1]!IntrinioBankFinancials(rssd_id,$S$2,M$6,M$5,$B71,"K"),"")</f>
        <v/>
      </c>
      <c r="N71" s="38" t="str">
        <f>IFERROR([1]!IntrinioBankFinancials(rssd_id,$S$2,N$6,N$5,$B71,"K"),"")</f>
        <v/>
      </c>
      <c r="O71" s="38" t="str">
        <f>IFERROR([1]!IntrinioBankFinancials(rssd_id,$S$2,O$6,O$5,$B71,"K"),"")</f>
        <v/>
      </c>
      <c r="P71" s="46" t="s">
        <v>195</v>
      </c>
    </row>
    <row r="72" spans="1:16" s="36" customFormat="1" ht="28.5" x14ac:dyDescent="0.4">
      <c r="A72" s="19" t="s">
        <v>294</v>
      </c>
      <c r="B72" s="37" t="s">
        <v>196</v>
      </c>
      <c r="C72" s="38" t="str">
        <f>IFERROR([1]!IntrinioBankFinancials(rssd_id,$S$2,C$6,C$5,$B72,"K"),"")</f>
        <v/>
      </c>
      <c r="D72" s="38" t="str">
        <f>IFERROR([1]!IntrinioBankFinancials(rssd_id,$S$2,D$6,D$5,$B72,"K"),"")</f>
        <v/>
      </c>
      <c r="E72" s="38" t="str">
        <f>IFERROR([1]!IntrinioBankFinancials(rssd_id,$S$2,E$6,E$5,$B72,"K"),"")</f>
        <v/>
      </c>
      <c r="F72" s="38" t="str">
        <f>IFERROR([1]!IntrinioBankFinancials(rssd_id,$S$2,F$6,F$5,$B72,"K"),"")</f>
        <v/>
      </c>
      <c r="G72" s="38" t="str">
        <f>IFERROR([1]!IntrinioBankFinancials(rssd_id,$S$2,G$6,G$5,$B72,"K"),"")</f>
        <v/>
      </c>
      <c r="H72" s="38" t="str">
        <f>IFERROR([1]!IntrinioBankFinancials(rssd_id,$S$2,H$6,H$5,$B72,"K"),"")</f>
        <v/>
      </c>
      <c r="I72" s="38" t="str">
        <f>IFERROR([1]!IntrinioBankFinancials(rssd_id,$S$2,I$6,I$5,$B72,"K"),"")</f>
        <v/>
      </c>
      <c r="J72" s="38" t="str">
        <f>IFERROR([1]!IntrinioBankFinancials(rssd_id,$S$2,J$6,J$5,$B72,"K"),"")</f>
        <v/>
      </c>
      <c r="K72" s="38" t="str">
        <f>IFERROR([1]!IntrinioBankFinancials(rssd_id,$S$2,K$6,K$5,$B72,"K"),"")</f>
        <v/>
      </c>
      <c r="L72" s="38" t="str">
        <f>IFERROR([1]!IntrinioBankFinancials(rssd_id,$S$2,L$6,L$5,$B72,"K"),"")</f>
        <v/>
      </c>
      <c r="M72" s="38" t="str">
        <f>IFERROR([1]!IntrinioBankFinancials(rssd_id,$S$2,M$6,M$5,$B72,"K"),"")</f>
        <v/>
      </c>
      <c r="N72" s="38" t="str">
        <f>IFERROR([1]!IntrinioBankFinancials(rssd_id,$S$2,N$6,N$5,$B72,"K"),"")</f>
        <v/>
      </c>
      <c r="O72" s="38" t="str">
        <f>IFERROR([1]!IntrinioBankFinancials(rssd_id,$S$2,O$6,O$5,$B72,"K"),"")</f>
        <v/>
      </c>
      <c r="P72" s="46">
        <v>8</v>
      </c>
    </row>
    <row r="73" spans="1:16" s="36" customFormat="1" ht="14.25" x14ac:dyDescent="0.4">
      <c r="A73" s="19" t="s">
        <v>197</v>
      </c>
      <c r="B73" s="37" t="s">
        <v>198</v>
      </c>
      <c r="C73" s="38" t="str">
        <f>IFERROR([1]!IntrinioBankFinancials(rssd_id,$S$2,C$6,C$5,$B73,"K"),"")</f>
        <v/>
      </c>
      <c r="D73" s="38" t="str">
        <f>IFERROR([1]!IntrinioBankFinancials(rssd_id,$S$2,D$6,D$5,$B73,"K"),"")</f>
        <v/>
      </c>
      <c r="E73" s="38" t="str">
        <f>IFERROR([1]!IntrinioBankFinancials(rssd_id,$S$2,E$6,E$5,$B73,"K"),"")</f>
        <v/>
      </c>
      <c r="F73" s="38" t="str">
        <f>IFERROR([1]!IntrinioBankFinancials(rssd_id,$S$2,F$6,F$5,$B73,"K"),"")</f>
        <v/>
      </c>
      <c r="G73" s="38" t="str">
        <f>IFERROR([1]!IntrinioBankFinancials(rssd_id,$S$2,G$6,G$5,$B73,"K"),"")</f>
        <v/>
      </c>
      <c r="H73" s="38" t="str">
        <f>IFERROR([1]!IntrinioBankFinancials(rssd_id,$S$2,H$6,H$5,$B73,"K"),"")</f>
        <v/>
      </c>
      <c r="I73" s="38" t="str">
        <f>IFERROR([1]!IntrinioBankFinancials(rssd_id,$S$2,I$6,I$5,$B73,"K"),"")</f>
        <v/>
      </c>
      <c r="J73" s="38" t="str">
        <f>IFERROR([1]!IntrinioBankFinancials(rssd_id,$S$2,J$6,J$5,$B73,"K"),"")</f>
        <v/>
      </c>
      <c r="K73" s="38" t="str">
        <f>IFERROR([1]!IntrinioBankFinancials(rssd_id,$S$2,K$6,K$5,$B73,"K"),"")</f>
        <v/>
      </c>
      <c r="L73" s="38" t="str">
        <f>IFERROR([1]!IntrinioBankFinancials(rssd_id,$S$2,L$6,L$5,$B73,"K"),"")</f>
        <v/>
      </c>
      <c r="M73" s="38" t="str">
        <f>IFERROR([1]!IntrinioBankFinancials(rssd_id,$S$2,M$6,M$5,$B73,"K"),"")</f>
        <v/>
      </c>
      <c r="N73" s="38" t="str">
        <f>IFERROR([1]!IntrinioBankFinancials(rssd_id,$S$2,N$6,N$5,$B73,"K"),"")</f>
        <v/>
      </c>
      <c r="O73" s="38" t="str">
        <f>IFERROR([1]!IntrinioBankFinancials(rssd_id,$S$2,O$6,O$5,$B73,"K"),"")</f>
        <v/>
      </c>
      <c r="P73" s="46">
        <v>9</v>
      </c>
    </row>
    <row r="74" spans="1:16" s="36" customFormat="1" ht="28.5" x14ac:dyDescent="0.4">
      <c r="A74" s="19" t="s">
        <v>199</v>
      </c>
      <c r="B74" s="37" t="s">
        <v>200</v>
      </c>
      <c r="C74" s="38" t="str">
        <f>IFERROR([1]!IntrinioBankFinancials(rssd_id,$S$2,C$6,C$5,$B74,"K"),"")</f>
        <v/>
      </c>
      <c r="D74" s="38" t="str">
        <f>IFERROR([1]!IntrinioBankFinancials(rssd_id,$S$2,D$6,D$5,$B74,"K"),"")</f>
        <v/>
      </c>
      <c r="E74" s="38" t="str">
        <f>IFERROR([1]!IntrinioBankFinancials(rssd_id,$S$2,E$6,E$5,$B74,"K"),"")</f>
        <v/>
      </c>
      <c r="F74" s="38" t="str">
        <f>IFERROR([1]!IntrinioBankFinancials(rssd_id,$S$2,F$6,F$5,$B74,"K"),"")</f>
        <v/>
      </c>
      <c r="G74" s="38" t="str">
        <f>IFERROR([1]!IntrinioBankFinancials(rssd_id,$S$2,G$6,G$5,$B74,"K"),"")</f>
        <v/>
      </c>
      <c r="H74" s="38" t="str">
        <f>IFERROR([1]!IntrinioBankFinancials(rssd_id,$S$2,H$6,H$5,$B74,"K"),"")</f>
        <v/>
      </c>
      <c r="I74" s="38" t="str">
        <f>IFERROR([1]!IntrinioBankFinancials(rssd_id,$S$2,I$6,I$5,$B74,"K"),"")</f>
        <v/>
      </c>
      <c r="J74" s="38" t="str">
        <f>IFERROR([1]!IntrinioBankFinancials(rssd_id,$S$2,J$6,J$5,$B74,"K"),"")</f>
        <v/>
      </c>
      <c r="K74" s="38" t="str">
        <f>IFERROR([1]!IntrinioBankFinancials(rssd_id,$S$2,K$6,K$5,$B74,"K"),"")</f>
        <v/>
      </c>
      <c r="L74" s="38" t="str">
        <f>IFERROR([1]!IntrinioBankFinancials(rssd_id,$S$2,L$6,L$5,$B74,"K"),"")</f>
        <v/>
      </c>
      <c r="M74" s="38" t="str">
        <f>IFERROR([1]!IntrinioBankFinancials(rssd_id,$S$2,M$6,M$5,$B74,"K"),"")</f>
        <v/>
      </c>
      <c r="N74" s="38" t="str">
        <f>IFERROR([1]!IntrinioBankFinancials(rssd_id,$S$2,N$6,N$5,$B74,"K"),"")</f>
        <v/>
      </c>
      <c r="O74" s="38" t="str">
        <f>IFERROR([1]!IntrinioBankFinancials(rssd_id,$S$2,O$6,O$5,$B74,"K"),"")</f>
        <v/>
      </c>
      <c r="P74" s="46">
        <v>10</v>
      </c>
    </row>
    <row r="75" spans="1:16" s="36" customFormat="1" ht="14.25" x14ac:dyDescent="0.4">
      <c r="A75" s="19" t="s">
        <v>201</v>
      </c>
      <c r="B75" s="37" t="s">
        <v>202</v>
      </c>
      <c r="C75" s="38" t="str">
        <f>IFERROR([1]!IntrinioBankFinancials(rssd_id,$S$2,C$6,C$5,$B75,"K"),"")</f>
        <v/>
      </c>
      <c r="D75" s="38" t="str">
        <f>IFERROR([1]!IntrinioBankFinancials(rssd_id,$S$2,D$6,D$5,$B75,"K"),"")</f>
        <v/>
      </c>
      <c r="E75" s="38" t="str">
        <f>IFERROR([1]!IntrinioBankFinancials(rssd_id,$S$2,E$6,E$5,$B75,"K"),"")</f>
        <v/>
      </c>
      <c r="F75" s="38" t="str">
        <f>IFERROR([1]!IntrinioBankFinancials(rssd_id,$S$2,F$6,F$5,$B75,"K"),"")</f>
        <v/>
      </c>
      <c r="G75" s="38" t="str">
        <f>IFERROR([1]!IntrinioBankFinancials(rssd_id,$S$2,G$6,G$5,$B75,"K"),"")</f>
        <v/>
      </c>
      <c r="H75" s="38" t="str">
        <f>IFERROR([1]!IntrinioBankFinancials(rssd_id,$S$2,H$6,H$5,$B75,"K"),"")</f>
        <v/>
      </c>
      <c r="I75" s="38" t="str">
        <f>IFERROR([1]!IntrinioBankFinancials(rssd_id,$S$2,I$6,I$5,$B75,"K"),"")</f>
        <v/>
      </c>
      <c r="J75" s="38" t="str">
        <f>IFERROR([1]!IntrinioBankFinancials(rssd_id,$S$2,J$6,J$5,$B75,"K"),"")</f>
        <v/>
      </c>
      <c r="K75" s="38" t="str">
        <f>IFERROR([1]!IntrinioBankFinancials(rssd_id,$S$2,K$6,K$5,$B75,"K"),"")</f>
        <v/>
      </c>
      <c r="L75" s="38" t="str">
        <f>IFERROR([1]!IntrinioBankFinancials(rssd_id,$S$2,L$6,L$5,$B75,"K"),"")</f>
        <v/>
      </c>
      <c r="M75" s="38" t="str">
        <f>IFERROR([1]!IntrinioBankFinancials(rssd_id,$S$2,M$6,M$5,$B75,"K"),"")</f>
        <v/>
      </c>
      <c r="N75" s="38" t="str">
        <f>IFERROR([1]!IntrinioBankFinancials(rssd_id,$S$2,N$6,N$5,$B75,"K"),"")</f>
        <v/>
      </c>
      <c r="O75" s="38" t="str">
        <f>IFERROR([1]!IntrinioBankFinancials(rssd_id,$S$2,O$6,O$5,$B75,"K"),"")</f>
        <v/>
      </c>
      <c r="P75" s="46">
        <v>11</v>
      </c>
    </row>
    <row r="76" spans="1:16" s="36" customFormat="1" ht="28.5" x14ac:dyDescent="0.4">
      <c r="A76" s="19" t="s">
        <v>203</v>
      </c>
      <c r="B76" s="37" t="s">
        <v>204</v>
      </c>
      <c r="C76" s="38" t="str">
        <f>IFERROR([1]!IntrinioBankFinancials(rssd_id,$S$2,C$6,C$5,$B76,"K"),"")</f>
        <v/>
      </c>
      <c r="D76" s="38" t="str">
        <f>IFERROR([1]!IntrinioBankFinancials(rssd_id,$S$2,D$6,D$5,$B76,"K"),"")</f>
        <v/>
      </c>
      <c r="E76" s="38" t="str">
        <f>IFERROR([1]!IntrinioBankFinancials(rssd_id,$S$2,E$6,E$5,$B76,"K"),"")</f>
        <v/>
      </c>
      <c r="F76" s="38" t="str">
        <f>IFERROR([1]!IntrinioBankFinancials(rssd_id,$S$2,F$6,F$5,$B76,"K"),"")</f>
        <v/>
      </c>
      <c r="G76" s="38" t="str">
        <f>IFERROR([1]!IntrinioBankFinancials(rssd_id,$S$2,G$6,G$5,$B76,"K"),"")</f>
        <v/>
      </c>
      <c r="H76" s="38" t="str">
        <f>IFERROR([1]!IntrinioBankFinancials(rssd_id,$S$2,H$6,H$5,$B76,"K"),"")</f>
        <v/>
      </c>
      <c r="I76" s="38" t="str">
        <f>IFERROR([1]!IntrinioBankFinancials(rssd_id,$S$2,I$6,I$5,$B76,"K"),"")</f>
        <v/>
      </c>
      <c r="J76" s="38" t="str">
        <f>IFERROR([1]!IntrinioBankFinancials(rssd_id,$S$2,J$6,J$5,$B76,"K"),"")</f>
        <v/>
      </c>
      <c r="K76" s="38" t="str">
        <f>IFERROR([1]!IntrinioBankFinancials(rssd_id,$S$2,K$6,K$5,$B76,"K"),"")</f>
        <v/>
      </c>
      <c r="L76" s="38" t="str">
        <f>IFERROR([1]!IntrinioBankFinancials(rssd_id,$S$2,L$6,L$5,$B76,"K"),"")</f>
        <v/>
      </c>
      <c r="M76" s="38" t="str">
        <f>IFERROR([1]!IntrinioBankFinancials(rssd_id,$S$2,M$6,M$5,$B76,"K"),"")</f>
        <v/>
      </c>
      <c r="N76" s="38" t="str">
        <f>IFERROR([1]!IntrinioBankFinancials(rssd_id,$S$2,N$6,N$5,$B76,"K"),"")</f>
        <v/>
      </c>
      <c r="O76" s="38" t="str">
        <f>IFERROR([1]!IntrinioBankFinancials(rssd_id,$S$2,O$6,O$5,$B76,"K"),"")</f>
        <v/>
      </c>
      <c r="P76" s="46">
        <v>12</v>
      </c>
    </row>
    <row r="77" spans="1:16" s="36" customFormat="1" ht="28.5" x14ac:dyDescent="0.4">
      <c r="A77" s="19" t="s">
        <v>293</v>
      </c>
      <c r="B77" s="37" t="s">
        <v>205</v>
      </c>
      <c r="C77" s="38" t="str">
        <f>IFERROR([1]!IntrinioBankFinancials(rssd_id,$S$2,C$6,C$5,$B77,"K"),"")</f>
        <v/>
      </c>
      <c r="D77" s="38" t="str">
        <f>IFERROR([1]!IntrinioBankFinancials(rssd_id,$S$2,D$6,D$5,$B77,"K"),"")</f>
        <v/>
      </c>
      <c r="E77" s="38" t="str">
        <f>IFERROR([1]!IntrinioBankFinancials(rssd_id,$S$2,E$6,E$5,$B77,"K"),"")</f>
        <v/>
      </c>
      <c r="F77" s="38" t="str">
        <f>IFERROR([1]!IntrinioBankFinancials(rssd_id,$S$2,F$6,F$5,$B77,"K"),"")</f>
        <v/>
      </c>
      <c r="G77" s="38" t="str">
        <f>IFERROR([1]!IntrinioBankFinancials(rssd_id,$S$2,G$6,G$5,$B77,"K"),"")</f>
        <v/>
      </c>
      <c r="H77" s="38" t="str">
        <f>IFERROR([1]!IntrinioBankFinancials(rssd_id,$S$2,H$6,H$5,$B77,"K"),"")</f>
        <v/>
      </c>
      <c r="I77" s="38" t="str">
        <f>IFERROR([1]!IntrinioBankFinancials(rssd_id,$S$2,I$6,I$5,$B77,"K"),"")</f>
        <v/>
      </c>
      <c r="J77" s="38" t="str">
        <f>IFERROR([1]!IntrinioBankFinancials(rssd_id,$S$2,J$6,J$5,$B77,"K"),"")</f>
        <v/>
      </c>
      <c r="K77" s="38" t="str">
        <f>IFERROR([1]!IntrinioBankFinancials(rssd_id,$S$2,K$6,K$5,$B77,"K"),"")</f>
        <v/>
      </c>
      <c r="L77" s="38" t="str">
        <f>IFERROR([1]!IntrinioBankFinancials(rssd_id,$S$2,L$6,L$5,$B77,"K"),"")</f>
        <v/>
      </c>
      <c r="M77" s="38" t="str">
        <f>IFERROR([1]!IntrinioBankFinancials(rssd_id,$S$2,M$6,M$5,$B77,"K"),"")</f>
        <v/>
      </c>
      <c r="N77" s="38" t="str">
        <f>IFERROR([1]!IntrinioBankFinancials(rssd_id,$S$2,N$6,N$5,$B77,"K"),"")</f>
        <v/>
      </c>
      <c r="O77" s="38" t="str">
        <f>IFERROR([1]!IntrinioBankFinancials(rssd_id,$S$2,O$6,O$5,$B77,"K"),"")</f>
        <v/>
      </c>
      <c r="P77" s="46">
        <v>13</v>
      </c>
    </row>
    <row r="78" spans="1:16" s="36" customFormat="1" ht="14.25" x14ac:dyDescent="0.4">
      <c r="A78" s="19" t="s">
        <v>206</v>
      </c>
      <c r="B78" s="37" t="s">
        <v>207</v>
      </c>
      <c r="C78" s="38" t="str">
        <f>IFERROR([1]!IntrinioBankFinancials(rssd_id,$S$2,C$6,C$5,$B78,"K"),"")</f>
        <v/>
      </c>
      <c r="D78" s="38" t="str">
        <f>IFERROR([1]!IntrinioBankFinancials(rssd_id,$S$2,D$6,D$5,$B78,"K"),"")</f>
        <v/>
      </c>
      <c r="E78" s="38" t="str">
        <f>IFERROR([1]!IntrinioBankFinancials(rssd_id,$S$2,E$6,E$5,$B78,"K"),"")</f>
        <v/>
      </c>
      <c r="F78" s="38" t="str">
        <f>IFERROR([1]!IntrinioBankFinancials(rssd_id,$S$2,F$6,F$5,$B78,"K"),"")</f>
        <v/>
      </c>
      <c r="G78" s="38" t="str">
        <f>IFERROR([1]!IntrinioBankFinancials(rssd_id,$S$2,G$6,G$5,$B78,"K"),"")</f>
        <v/>
      </c>
      <c r="H78" s="38" t="str">
        <f>IFERROR([1]!IntrinioBankFinancials(rssd_id,$S$2,H$6,H$5,$B78,"K"),"")</f>
        <v/>
      </c>
      <c r="I78" s="38" t="str">
        <f>IFERROR([1]!IntrinioBankFinancials(rssd_id,$S$2,I$6,I$5,$B78,"K"),"")</f>
        <v/>
      </c>
      <c r="J78" s="38" t="str">
        <f>IFERROR([1]!IntrinioBankFinancials(rssd_id,$S$2,J$6,J$5,$B78,"K"),"")</f>
        <v/>
      </c>
      <c r="K78" s="38" t="str">
        <f>IFERROR([1]!IntrinioBankFinancials(rssd_id,$S$2,K$6,K$5,$B78,"K"),"")</f>
        <v/>
      </c>
      <c r="L78" s="38" t="str">
        <f>IFERROR([1]!IntrinioBankFinancials(rssd_id,$S$2,L$6,L$5,$B78,"K"),"")</f>
        <v/>
      </c>
      <c r="M78" s="38" t="str">
        <f>IFERROR([1]!IntrinioBankFinancials(rssd_id,$S$2,M$6,M$5,$B78,"K"),"")</f>
        <v/>
      </c>
      <c r="N78" s="38" t="str">
        <f>IFERROR([1]!IntrinioBankFinancials(rssd_id,$S$2,N$6,N$5,$B78,"K"),"")</f>
        <v/>
      </c>
      <c r="O78" s="38" t="str">
        <f>IFERROR([1]!IntrinioBankFinancials(rssd_id,$S$2,O$6,O$5,$B78,"K"),"")</f>
        <v/>
      </c>
      <c r="P78" s="46">
        <v>14</v>
      </c>
    </row>
    <row r="79" spans="1:16" s="36" customFormat="1" ht="14.25" x14ac:dyDescent="0.4">
      <c r="A79" s="19"/>
      <c r="B79" s="34"/>
      <c r="C79" s="35"/>
      <c r="D79" s="35"/>
      <c r="E79" s="35"/>
      <c r="F79" s="35"/>
      <c r="G79" s="35"/>
      <c r="H79" s="35"/>
      <c r="I79" s="35"/>
      <c r="J79" s="35"/>
      <c r="K79" s="35"/>
      <c r="L79" s="35"/>
      <c r="M79" s="35"/>
      <c r="N79" s="35"/>
      <c r="O79" s="35"/>
      <c r="P79" s="46"/>
    </row>
    <row r="80" spans="1:16" s="36" customFormat="1" x14ac:dyDescent="0.4">
      <c r="A80" s="11" t="s">
        <v>208</v>
      </c>
      <c r="B80" s="34"/>
      <c r="C80" s="35"/>
      <c r="D80" s="35"/>
      <c r="E80" s="35"/>
      <c r="F80" s="35"/>
      <c r="G80" s="35"/>
      <c r="H80" s="35"/>
      <c r="I80" s="35"/>
      <c r="J80" s="35"/>
      <c r="K80" s="35"/>
      <c r="L80" s="35"/>
      <c r="M80" s="35"/>
      <c r="N80" s="35"/>
      <c r="O80" s="35"/>
      <c r="P80" s="46"/>
    </row>
    <row r="81" spans="1:16" s="36" customFormat="1" ht="42.75" x14ac:dyDescent="0.4">
      <c r="A81" s="41" t="s">
        <v>296</v>
      </c>
      <c r="B81" s="37" t="s">
        <v>209</v>
      </c>
      <c r="C81" s="38" t="str">
        <f>IFERROR([1]!IntrinioBankFinancials(rssd_id,$S$2,C$6,C$5,$B81,"K"),"")</f>
        <v/>
      </c>
      <c r="D81" s="38" t="str">
        <f>IFERROR([1]!IntrinioBankFinancials(rssd_id,$S$2,D$6,D$5,$B81,"K"),"")</f>
        <v/>
      </c>
      <c r="E81" s="38" t="str">
        <f>IFERROR([1]!IntrinioBankFinancials(rssd_id,$S$2,E$6,E$5,$B81,"K"),"")</f>
        <v/>
      </c>
      <c r="F81" s="38" t="str">
        <f>IFERROR([1]!IntrinioBankFinancials(rssd_id,$S$2,F$6,F$5,$B81,"K"),"")</f>
        <v/>
      </c>
      <c r="G81" s="38" t="str">
        <f>IFERROR([1]!IntrinioBankFinancials(rssd_id,$S$2,G$6,G$5,$B81,"K"),"")</f>
        <v/>
      </c>
      <c r="H81" s="38" t="str">
        <f>IFERROR([1]!IntrinioBankFinancials(rssd_id,$S$2,H$6,H$5,$B81,"K"),"")</f>
        <v/>
      </c>
      <c r="I81" s="38" t="str">
        <f>IFERROR([1]!IntrinioBankFinancials(rssd_id,$S$2,I$6,I$5,$B81,"K"),"")</f>
        <v/>
      </c>
      <c r="J81" s="38" t="str">
        <f>IFERROR([1]!IntrinioBankFinancials(rssd_id,$S$2,J$6,J$5,$B81,"K"),"")</f>
        <v/>
      </c>
      <c r="K81" s="38" t="str">
        <f>IFERROR([1]!IntrinioBankFinancials(rssd_id,$S$2,K$6,K$5,$B81,"K"),"")</f>
        <v/>
      </c>
      <c r="L81" s="38" t="str">
        <f>IFERROR([1]!IntrinioBankFinancials(rssd_id,$S$2,L$6,L$5,$B81,"K"),"")</f>
        <v/>
      </c>
      <c r="M81" s="38" t="str">
        <f>IFERROR([1]!IntrinioBankFinancials(rssd_id,$S$2,M$6,M$5,$B81,"K"),"")</f>
        <v/>
      </c>
      <c r="N81" s="38" t="str">
        <f>IFERROR([1]!IntrinioBankFinancials(rssd_id,$S$2,N$6,N$5,$B81,"K"),"")</f>
        <v/>
      </c>
      <c r="O81" s="38" t="str">
        <f>IFERROR([1]!IntrinioBankFinancials(rssd_id,$S$2,O$6,O$5,$B81,"K"),"")</f>
        <v/>
      </c>
      <c r="P81" s="46" t="s">
        <v>210</v>
      </c>
    </row>
    <row r="82" spans="1:16" s="36" customFormat="1" ht="28.5" x14ac:dyDescent="0.4">
      <c r="A82" s="41" t="s">
        <v>211</v>
      </c>
      <c r="B82" s="37" t="s">
        <v>212</v>
      </c>
      <c r="C82" s="38" t="str">
        <f>IFERROR([1]!IntrinioBankFinancials(rssd_id,$S$2,C$6,C$5,$B82,"K"),"")</f>
        <v/>
      </c>
      <c r="D82" s="38" t="str">
        <f>IFERROR([1]!IntrinioBankFinancials(rssd_id,$S$2,D$6,D$5,$B82,"K"),"")</f>
        <v/>
      </c>
      <c r="E82" s="38" t="str">
        <f>IFERROR([1]!IntrinioBankFinancials(rssd_id,$S$2,E$6,E$5,$B82,"K"),"")</f>
        <v/>
      </c>
      <c r="F82" s="38" t="str">
        <f>IFERROR([1]!IntrinioBankFinancials(rssd_id,$S$2,F$6,F$5,$B82,"K"),"")</f>
        <v/>
      </c>
      <c r="G82" s="38" t="str">
        <f>IFERROR([1]!IntrinioBankFinancials(rssd_id,$S$2,G$6,G$5,$B82,"K"),"")</f>
        <v/>
      </c>
      <c r="H82" s="38" t="str">
        <f>IFERROR([1]!IntrinioBankFinancials(rssd_id,$S$2,H$6,H$5,$B82,"K"),"")</f>
        <v/>
      </c>
      <c r="I82" s="38" t="str">
        <f>IFERROR([1]!IntrinioBankFinancials(rssd_id,$S$2,I$6,I$5,$B82,"K"),"")</f>
        <v/>
      </c>
      <c r="J82" s="38" t="str">
        <f>IFERROR([1]!IntrinioBankFinancials(rssd_id,$S$2,J$6,J$5,$B82,"K"),"")</f>
        <v/>
      </c>
      <c r="K82" s="38" t="str">
        <f>IFERROR([1]!IntrinioBankFinancials(rssd_id,$S$2,K$6,K$5,$B82,"K"),"")</f>
        <v/>
      </c>
      <c r="L82" s="38" t="str">
        <f>IFERROR([1]!IntrinioBankFinancials(rssd_id,$S$2,L$6,L$5,$B82,"K"),"")</f>
        <v/>
      </c>
      <c r="M82" s="38" t="str">
        <f>IFERROR([1]!IntrinioBankFinancials(rssd_id,$S$2,M$6,M$5,$B82,"K"),"")</f>
        <v/>
      </c>
      <c r="N82" s="38" t="str">
        <f>IFERROR([1]!IntrinioBankFinancials(rssd_id,$S$2,N$6,N$5,$B82,"K"),"")</f>
        <v/>
      </c>
      <c r="O82" s="38" t="str">
        <f>IFERROR([1]!IntrinioBankFinancials(rssd_id,$S$2,O$6,O$5,$B82,"K"),"")</f>
        <v/>
      </c>
      <c r="P82" s="46" t="s">
        <v>213</v>
      </c>
    </row>
    <row r="83" spans="1:16" s="36" customFormat="1" ht="28.5" x14ac:dyDescent="0.4">
      <c r="A83" s="41" t="s">
        <v>297</v>
      </c>
      <c r="B83" s="37" t="s">
        <v>214</v>
      </c>
      <c r="C83" s="38" t="str">
        <f>IFERROR([1]!IntrinioBankFinancials(rssd_id,$S$2,C$6,C$5,$B83,"K"),"")</f>
        <v/>
      </c>
      <c r="D83" s="38" t="str">
        <f>IFERROR([1]!IntrinioBankFinancials(rssd_id,$S$2,D$6,D$5,$B83,"K"),"")</f>
        <v/>
      </c>
      <c r="E83" s="38" t="str">
        <f>IFERROR([1]!IntrinioBankFinancials(rssd_id,$S$2,E$6,E$5,$B83,"K"),"")</f>
        <v/>
      </c>
      <c r="F83" s="38" t="str">
        <f>IFERROR([1]!IntrinioBankFinancials(rssd_id,$S$2,F$6,F$5,$B83,"K"),"")</f>
        <v/>
      </c>
      <c r="G83" s="38" t="str">
        <f>IFERROR([1]!IntrinioBankFinancials(rssd_id,$S$2,G$6,G$5,$B83,"K"),"")</f>
        <v/>
      </c>
      <c r="H83" s="38" t="str">
        <f>IFERROR([1]!IntrinioBankFinancials(rssd_id,$S$2,H$6,H$5,$B83,"K"),"")</f>
        <v/>
      </c>
      <c r="I83" s="38" t="str">
        <f>IFERROR([1]!IntrinioBankFinancials(rssd_id,$S$2,I$6,I$5,$B83,"K"),"")</f>
        <v/>
      </c>
      <c r="J83" s="38" t="str">
        <f>IFERROR([1]!IntrinioBankFinancials(rssd_id,$S$2,J$6,J$5,$B83,"K"),"")</f>
        <v/>
      </c>
      <c r="K83" s="38" t="str">
        <f>IFERROR([1]!IntrinioBankFinancials(rssd_id,$S$2,K$6,K$5,$B83,"K"),"")</f>
        <v/>
      </c>
      <c r="L83" s="38" t="str">
        <f>IFERROR([1]!IntrinioBankFinancials(rssd_id,$S$2,L$6,L$5,$B83,"K"),"")</f>
        <v/>
      </c>
      <c r="M83" s="38" t="str">
        <f>IFERROR([1]!IntrinioBankFinancials(rssd_id,$S$2,M$6,M$5,$B83,"K"),"")</f>
        <v/>
      </c>
      <c r="N83" s="38" t="str">
        <f>IFERROR([1]!IntrinioBankFinancials(rssd_id,$S$2,N$6,N$5,$B83,"K"),"")</f>
        <v/>
      </c>
      <c r="O83" s="38" t="str">
        <f>IFERROR([1]!IntrinioBankFinancials(rssd_id,$S$2,O$6,O$5,$B83,"K"),"")</f>
        <v/>
      </c>
      <c r="P83" s="46" t="s">
        <v>215</v>
      </c>
    </row>
    <row r="84" spans="1:16" s="36" customFormat="1" ht="28.5" x14ac:dyDescent="0.4">
      <c r="A84" s="41" t="s">
        <v>298</v>
      </c>
      <c r="B84" s="37" t="s">
        <v>216</v>
      </c>
      <c r="C84" s="38" t="str">
        <f>IFERROR([1]!IntrinioBankFinancials(rssd_id,$S$2,C$6,C$5,$B84,"K"),"")</f>
        <v/>
      </c>
      <c r="D84" s="38" t="str">
        <f>IFERROR([1]!IntrinioBankFinancials(rssd_id,$S$2,D$6,D$5,$B84,"K"),"")</f>
        <v/>
      </c>
      <c r="E84" s="38" t="str">
        <f>IFERROR([1]!IntrinioBankFinancials(rssd_id,$S$2,E$6,E$5,$B84,"K"),"")</f>
        <v/>
      </c>
      <c r="F84" s="38" t="str">
        <f>IFERROR([1]!IntrinioBankFinancials(rssd_id,$S$2,F$6,F$5,$B84,"K"),"")</f>
        <v/>
      </c>
      <c r="G84" s="38" t="str">
        <f>IFERROR([1]!IntrinioBankFinancials(rssd_id,$S$2,G$6,G$5,$B84,"K"),"")</f>
        <v/>
      </c>
      <c r="H84" s="38" t="str">
        <f>IFERROR([1]!IntrinioBankFinancials(rssd_id,$S$2,H$6,H$5,$B84,"K"),"")</f>
        <v/>
      </c>
      <c r="I84" s="38" t="str">
        <f>IFERROR([1]!IntrinioBankFinancials(rssd_id,$S$2,I$6,I$5,$B84,"K"),"")</f>
        <v/>
      </c>
      <c r="J84" s="38" t="str">
        <f>IFERROR([1]!IntrinioBankFinancials(rssd_id,$S$2,J$6,J$5,$B84,"K"),"")</f>
        <v/>
      </c>
      <c r="K84" s="38" t="str">
        <f>IFERROR([1]!IntrinioBankFinancials(rssd_id,$S$2,K$6,K$5,$B84,"K"),"")</f>
        <v/>
      </c>
      <c r="L84" s="38" t="str">
        <f>IFERROR([1]!IntrinioBankFinancials(rssd_id,$S$2,L$6,L$5,$B84,"K"),"")</f>
        <v/>
      </c>
      <c r="M84" s="38" t="str">
        <f>IFERROR([1]!IntrinioBankFinancials(rssd_id,$S$2,M$6,M$5,$B84,"K"),"")</f>
        <v/>
      </c>
      <c r="N84" s="38" t="str">
        <f>IFERROR([1]!IntrinioBankFinancials(rssd_id,$S$2,N$6,N$5,$B84,"K"),"")</f>
        <v/>
      </c>
      <c r="O84" s="38" t="str">
        <f>IFERROR([1]!IntrinioBankFinancials(rssd_id,$S$2,O$6,O$5,$B84,"K"),"")</f>
        <v/>
      </c>
      <c r="P84" s="46" t="s">
        <v>217</v>
      </c>
    </row>
    <row r="85" spans="1:16" s="36" customFormat="1" ht="28.5" x14ac:dyDescent="0.4">
      <c r="A85" s="41" t="s">
        <v>218</v>
      </c>
      <c r="B85" s="37" t="s">
        <v>219</v>
      </c>
      <c r="C85" s="38" t="str">
        <f>IFERROR([1]!IntrinioBankFinancials(rssd_id,$S$2,C$6,C$5,$B85,"K"),"")</f>
        <v/>
      </c>
      <c r="D85" s="38" t="str">
        <f>IFERROR([1]!IntrinioBankFinancials(rssd_id,$S$2,D$6,D$5,$B85,"K"),"")</f>
        <v/>
      </c>
      <c r="E85" s="38" t="str">
        <f>IFERROR([1]!IntrinioBankFinancials(rssd_id,$S$2,E$6,E$5,$B85,"K"),"")</f>
        <v/>
      </c>
      <c r="F85" s="38" t="str">
        <f>IFERROR([1]!IntrinioBankFinancials(rssd_id,$S$2,F$6,F$5,$B85,"K"),"")</f>
        <v/>
      </c>
      <c r="G85" s="38" t="str">
        <f>IFERROR([1]!IntrinioBankFinancials(rssd_id,$S$2,G$6,G$5,$B85,"K"),"")</f>
        <v/>
      </c>
      <c r="H85" s="38" t="str">
        <f>IFERROR([1]!IntrinioBankFinancials(rssd_id,$S$2,H$6,H$5,$B85,"K"),"")</f>
        <v/>
      </c>
      <c r="I85" s="38" t="str">
        <f>IFERROR([1]!IntrinioBankFinancials(rssd_id,$S$2,I$6,I$5,$B85,"K"),"")</f>
        <v/>
      </c>
      <c r="J85" s="38" t="str">
        <f>IFERROR([1]!IntrinioBankFinancials(rssd_id,$S$2,J$6,J$5,$B85,"K"),"")</f>
        <v/>
      </c>
      <c r="K85" s="38" t="str">
        <f>IFERROR([1]!IntrinioBankFinancials(rssd_id,$S$2,K$6,K$5,$B85,"K"),"")</f>
        <v/>
      </c>
      <c r="L85" s="38" t="str">
        <f>IFERROR([1]!IntrinioBankFinancials(rssd_id,$S$2,L$6,L$5,$B85,"K"),"")</f>
        <v/>
      </c>
      <c r="M85" s="38" t="str">
        <f>IFERROR([1]!IntrinioBankFinancials(rssd_id,$S$2,M$6,M$5,$B85,"K"),"")</f>
        <v/>
      </c>
      <c r="N85" s="38" t="str">
        <f>IFERROR([1]!IntrinioBankFinancials(rssd_id,$S$2,N$6,N$5,$B85,"K"),"")</f>
        <v/>
      </c>
      <c r="O85" s="38" t="str">
        <f>IFERROR([1]!IntrinioBankFinancials(rssd_id,$S$2,O$6,O$5,$B85,"K"),"")</f>
        <v/>
      </c>
      <c r="P85" s="46" t="s">
        <v>220</v>
      </c>
    </row>
    <row r="86" spans="1:16" s="36" customFormat="1" ht="28.5" x14ac:dyDescent="0.4">
      <c r="A86" s="41" t="s">
        <v>299</v>
      </c>
      <c r="B86" s="37" t="s">
        <v>221</v>
      </c>
      <c r="C86" s="38" t="str">
        <f>IFERROR([1]!IntrinioBankFinancials(rssd_id,$S$2,C$6,C$5,$B86,"K"),"")</f>
        <v/>
      </c>
      <c r="D86" s="38" t="str">
        <f>IFERROR([1]!IntrinioBankFinancials(rssd_id,$S$2,D$6,D$5,$B86,"K"),"")</f>
        <v/>
      </c>
      <c r="E86" s="38" t="str">
        <f>IFERROR([1]!IntrinioBankFinancials(rssd_id,$S$2,E$6,E$5,$B86,"K"),"")</f>
        <v/>
      </c>
      <c r="F86" s="38" t="str">
        <f>IFERROR([1]!IntrinioBankFinancials(rssd_id,$S$2,F$6,F$5,$B86,"K"),"")</f>
        <v/>
      </c>
      <c r="G86" s="38" t="str">
        <f>IFERROR([1]!IntrinioBankFinancials(rssd_id,$S$2,G$6,G$5,$B86,"K"),"")</f>
        <v/>
      </c>
      <c r="H86" s="38" t="str">
        <f>IFERROR([1]!IntrinioBankFinancials(rssd_id,$S$2,H$6,H$5,$B86,"K"),"")</f>
        <v/>
      </c>
      <c r="I86" s="38" t="str">
        <f>IFERROR([1]!IntrinioBankFinancials(rssd_id,$S$2,I$6,I$5,$B86,"K"),"")</f>
        <v/>
      </c>
      <c r="J86" s="38" t="str">
        <f>IFERROR([1]!IntrinioBankFinancials(rssd_id,$S$2,J$6,J$5,$B86,"K"),"")</f>
        <v/>
      </c>
      <c r="K86" s="38" t="str">
        <f>IFERROR([1]!IntrinioBankFinancials(rssd_id,$S$2,K$6,K$5,$B86,"K"),"")</f>
        <v/>
      </c>
      <c r="L86" s="38" t="str">
        <f>IFERROR([1]!IntrinioBankFinancials(rssd_id,$S$2,L$6,L$5,$B86,"K"),"")</f>
        <v/>
      </c>
      <c r="M86" s="38" t="str">
        <f>IFERROR([1]!IntrinioBankFinancials(rssd_id,$S$2,M$6,M$5,$B86,"K"),"")</f>
        <v/>
      </c>
      <c r="N86" s="38" t="str">
        <f>IFERROR([1]!IntrinioBankFinancials(rssd_id,$S$2,N$6,N$5,$B86,"K"),"")</f>
        <v/>
      </c>
      <c r="O86" s="38" t="str">
        <f>IFERROR([1]!IntrinioBankFinancials(rssd_id,$S$2,O$6,O$5,$B86,"K"),"")</f>
        <v/>
      </c>
      <c r="P86" s="46" t="s">
        <v>222</v>
      </c>
    </row>
    <row r="87" spans="1:16" s="36" customFormat="1" ht="28.5" x14ac:dyDescent="0.4">
      <c r="A87" s="41" t="s">
        <v>300</v>
      </c>
      <c r="B87" s="37" t="s">
        <v>223</v>
      </c>
      <c r="C87" s="38" t="str">
        <f>IFERROR([1]!IntrinioBankFinancials(rssd_id,$S$2,C$6,C$5,$B87,"K"),"")</f>
        <v/>
      </c>
      <c r="D87" s="38" t="str">
        <f>IFERROR([1]!IntrinioBankFinancials(rssd_id,$S$2,D$6,D$5,$B87,"K"),"")</f>
        <v/>
      </c>
      <c r="E87" s="38" t="str">
        <f>IFERROR([1]!IntrinioBankFinancials(rssd_id,$S$2,E$6,E$5,$B87,"K"),"")</f>
        <v/>
      </c>
      <c r="F87" s="38" t="str">
        <f>IFERROR([1]!IntrinioBankFinancials(rssd_id,$S$2,F$6,F$5,$B87,"K"),"")</f>
        <v/>
      </c>
      <c r="G87" s="38" t="str">
        <f>IFERROR([1]!IntrinioBankFinancials(rssd_id,$S$2,G$6,G$5,$B87,"K"),"")</f>
        <v/>
      </c>
      <c r="H87" s="38" t="str">
        <f>IFERROR([1]!IntrinioBankFinancials(rssd_id,$S$2,H$6,H$5,$B87,"K"),"")</f>
        <v/>
      </c>
      <c r="I87" s="38" t="str">
        <f>IFERROR([1]!IntrinioBankFinancials(rssd_id,$S$2,I$6,I$5,$B87,"K"),"")</f>
        <v/>
      </c>
      <c r="J87" s="38" t="str">
        <f>IFERROR([1]!IntrinioBankFinancials(rssd_id,$S$2,J$6,J$5,$B87,"K"),"")</f>
        <v/>
      </c>
      <c r="K87" s="38" t="str">
        <f>IFERROR([1]!IntrinioBankFinancials(rssd_id,$S$2,K$6,K$5,$B87,"K"),"")</f>
        <v/>
      </c>
      <c r="L87" s="38" t="str">
        <f>IFERROR([1]!IntrinioBankFinancials(rssd_id,$S$2,L$6,L$5,$B87,"K"),"")</f>
        <v/>
      </c>
      <c r="M87" s="38" t="str">
        <f>IFERROR([1]!IntrinioBankFinancials(rssd_id,$S$2,M$6,M$5,$B87,"K"),"")</f>
        <v/>
      </c>
      <c r="N87" s="38" t="str">
        <f>IFERROR([1]!IntrinioBankFinancials(rssd_id,$S$2,N$6,N$5,$B87,"K"),"")</f>
        <v/>
      </c>
      <c r="O87" s="38" t="str">
        <f>IFERROR([1]!IntrinioBankFinancials(rssd_id,$S$2,O$6,O$5,$B87,"K"),"")</f>
        <v/>
      </c>
      <c r="P87" s="46" t="s">
        <v>224</v>
      </c>
    </row>
    <row r="88" spans="1:16" s="36" customFormat="1" ht="28.5" x14ac:dyDescent="0.4">
      <c r="A88" s="41" t="s">
        <v>301</v>
      </c>
      <c r="B88" s="34"/>
      <c r="C88" s="35"/>
      <c r="D88" s="35"/>
      <c r="E88" s="35"/>
      <c r="F88" s="35"/>
      <c r="G88" s="35"/>
      <c r="H88" s="35"/>
      <c r="I88" s="35"/>
      <c r="J88" s="35"/>
      <c r="K88" s="35"/>
      <c r="L88" s="35"/>
      <c r="M88" s="35"/>
      <c r="N88" s="35"/>
      <c r="O88" s="35"/>
      <c r="P88" s="46" t="s">
        <v>225</v>
      </c>
    </row>
    <row r="89" spans="1:16" s="36" customFormat="1" ht="14.25" x14ac:dyDescent="0.4">
      <c r="A89" s="42" t="s">
        <v>226</v>
      </c>
      <c r="B89" s="37" t="s">
        <v>227</v>
      </c>
      <c r="C89" s="38" t="str">
        <f>IFERROR([1]!IntrinioBankFinancials(rssd_id,$S$2,C$6,C$5,$B89,"K"),"")</f>
        <v/>
      </c>
      <c r="D89" s="38" t="str">
        <f>IFERROR([1]!IntrinioBankFinancials(rssd_id,$S$2,D$6,D$5,$B89,"K"),"")</f>
        <v/>
      </c>
      <c r="E89" s="38" t="str">
        <f>IFERROR([1]!IntrinioBankFinancials(rssd_id,$S$2,E$6,E$5,$B89,"K"),"")</f>
        <v/>
      </c>
      <c r="F89" s="38" t="str">
        <f>IFERROR([1]!IntrinioBankFinancials(rssd_id,$S$2,F$6,F$5,$B89,"K"),"")</f>
        <v/>
      </c>
      <c r="G89" s="38" t="str">
        <f>IFERROR([1]!IntrinioBankFinancials(rssd_id,$S$2,G$6,G$5,$B89,"K"),"")</f>
        <v/>
      </c>
      <c r="H89" s="38" t="str">
        <f>IFERROR([1]!IntrinioBankFinancials(rssd_id,$S$2,H$6,H$5,$B89,"K"),"")</f>
        <v/>
      </c>
      <c r="I89" s="38" t="str">
        <f>IFERROR([1]!IntrinioBankFinancials(rssd_id,$S$2,I$6,I$5,$B89,"K"),"")</f>
        <v/>
      </c>
      <c r="J89" s="38" t="str">
        <f>IFERROR([1]!IntrinioBankFinancials(rssd_id,$S$2,J$6,J$5,$B89,"K"),"")</f>
        <v/>
      </c>
      <c r="K89" s="38" t="str">
        <f>IFERROR([1]!IntrinioBankFinancials(rssd_id,$S$2,K$6,K$5,$B89,"K"),"")</f>
        <v/>
      </c>
      <c r="L89" s="38" t="str">
        <f>IFERROR([1]!IntrinioBankFinancials(rssd_id,$S$2,L$6,L$5,$B89,"K"),"")</f>
        <v/>
      </c>
      <c r="M89" s="38" t="str">
        <f>IFERROR([1]!IntrinioBankFinancials(rssd_id,$S$2,M$6,M$5,$B89,"K"),"")</f>
        <v/>
      </c>
      <c r="N89" s="38" t="str">
        <f>IFERROR([1]!IntrinioBankFinancials(rssd_id,$S$2,N$6,N$5,$B89,"K"),"")</f>
        <v/>
      </c>
      <c r="O89" s="38" t="str">
        <f>IFERROR([1]!IntrinioBankFinancials(rssd_id,$S$2,O$6,O$5,$B89,"K"),"")</f>
        <v/>
      </c>
      <c r="P89" s="46" t="s">
        <v>228</v>
      </c>
    </row>
    <row r="90" spans="1:16" s="36" customFormat="1" ht="14.25" x14ac:dyDescent="0.4">
      <c r="A90" s="42" t="s">
        <v>229</v>
      </c>
      <c r="B90" s="37" t="s">
        <v>230</v>
      </c>
      <c r="C90" s="38" t="str">
        <f>IFERROR([1]!IntrinioBankFinancials(rssd_id,$S$2,C$6,C$5,$B90,"K"),"")</f>
        <v/>
      </c>
      <c r="D90" s="38" t="str">
        <f>IFERROR([1]!IntrinioBankFinancials(rssd_id,$S$2,D$6,D$5,$B90,"K"),"")</f>
        <v/>
      </c>
      <c r="E90" s="38" t="str">
        <f>IFERROR([1]!IntrinioBankFinancials(rssd_id,$S$2,E$6,E$5,$B90,"K"),"")</f>
        <v/>
      </c>
      <c r="F90" s="38" t="str">
        <f>IFERROR([1]!IntrinioBankFinancials(rssd_id,$S$2,F$6,F$5,$B90,"K"),"")</f>
        <v/>
      </c>
      <c r="G90" s="38" t="str">
        <f>IFERROR([1]!IntrinioBankFinancials(rssd_id,$S$2,G$6,G$5,$B90,"K"),"")</f>
        <v/>
      </c>
      <c r="H90" s="38" t="str">
        <f>IFERROR([1]!IntrinioBankFinancials(rssd_id,$S$2,H$6,H$5,$B90,"K"),"")</f>
        <v/>
      </c>
      <c r="I90" s="38" t="str">
        <f>IFERROR([1]!IntrinioBankFinancials(rssd_id,$S$2,I$6,I$5,$B90,"K"),"")</f>
        <v/>
      </c>
      <c r="J90" s="38" t="str">
        <f>IFERROR([1]!IntrinioBankFinancials(rssd_id,$S$2,J$6,J$5,$B90,"K"),"")</f>
        <v/>
      </c>
      <c r="K90" s="38" t="str">
        <f>IFERROR([1]!IntrinioBankFinancials(rssd_id,$S$2,K$6,K$5,$B90,"K"),"")</f>
        <v/>
      </c>
      <c r="L90" s="38" t="str">
        <f>IFERROR([1]!IntrinioBankFinancials(rssd_id,$S$2,L$6,L$5,$B90,"K"),"")</f>
        <v/>
      </c>
      <c r="M90" s="38" t="str">
        <f>IFERROR([1]!IntrinioBankFinancials(rssd_id,$S$2,M$6,M$5,$B90,"K"),"")</f>
        <v/>
      </c>
      <c r="N90" s="38" t="str">
        <f>IFERROR([1]!IntrinioBankFinancials(rssd_id,$S$2,N$6,N$5,$B90,"K"),"")</f>
        <v/>
      </c>
      <c r="O90" s="38" t="str">
        <f>IFERROR([1]!IntrinioBankFinancials(rssd_id,$S$2,O$6,O$5,$B90,"K"),"")</f>
        <v/>
      </c>
      <c r="P90" s="46" t="s">
        <v>231</v>
      </c>
    </row>
    <row r="91" spans="1:16" s="36" customFormat="1" ht="14.25" x14ac:dyDescent="0.4">
      <c r="A91" s="42" t="s">
        <v>232</v>
      </c>
      <c r="B91" s="37" t="s">
        <v>233</v>
      </c>
      <c r="C91" s="38" t="str">
        <f>IFERROR([1]!IntrinioBankFinancials(rssd_id,$S$2,C$6,C$5,$B91,"K"),"")</f>
        <v/>
      </c>
      <c r="D91" s="38" t="str">
        <f>IFERROR([1]!IntrinioBankFinancials(rssd_id,$S$2,D$6,D$5,$B91,"K"),"")</f>
        <v/>
      </c>
      <c r="E91" s="38" t="str">
        <f>IFERROR([1]!IntrinioBankFinancials(rssd_id,$S$2,E$6,E$5,$B91,"K"),"")</f>
        <v/>
      </c>
      <c r="F91" s="38" t="str">
        <f>IFERROR([1]!IntrinioBankFinancials(rssd_id,$S$2,F$6,F$5,$B91,"K"),"")</f>
        <v/>
      </c>
      <c r="G91" s="38" t="str">
        <f>IFERROR([1]!IntrinioBankFinancials(rssd_id,$S$2,G$6,G$5,$B91,"K"),"")</f>
        <v/>
      </c>
      <c r="H91" s="38" t="str">
        <f>IFERROR([1]!IntrinioBankFinancials(rssd_id,$S$2,H$6,H$5,$B91,"K"),"")</f>
        <v/>
      </c>
      <c r="I91" s="38" t="str">
        <f>IFERROR([1]!IntrinioBankFinancials(rssd_id,$S$2,I$6,I$5,$B91,"K"),"")</f>
        <v/>
      </c>
      <c r="J91" s="38" t="str">
        <f>IFERROR([1]!IntrinioBankFinancials(rssd_id,$S$2,J$6,J$5,$B91,"K"),"")</f>
        <v/>
      </c>
      <c r="K91" s="38" t="str">
        <f>IFERROR([1]!IntrinioBankFinancials(rssd_id,$S$2,K$6,K$5,$B91,"K"),"")</f>
        <v/>
      </c>
      <c r="L91" s="38" t="str">
        <f>IFERROR([1]!IntrinioBankFinancials(rssd_id,$S$2,L$6,L$5,$B91,"K"),"")</f>
        <v/>
      </c>
      <c r="M91" s="38" t="str">
        <f>IFERROR([1]!IntrinioBankFinancials(rssd_id,$S$2,M$6,M$5,$B91,"K"),"")</f>
        <v/>
      </c>
      <c r="N91" s="38" t="str">
        <f>IFERROR([1]!IntrinioBankFinancials(rssd_id,$S$2,N$6,N$5,$B91,"K"),"")</f>
        <v/>
      </c>
      <c r="O91" s="38" t="str">
        <f>IFERROR([1]!IntrinioBankFinancials(rssd_id,$S$2,O$6,O$5,$B91,"K"),"")</f>
        <v/>
      </c>
      <c r="P91" s="46" t="s">
        <v>234</v>
      </c>
    </row>
    <row r="92" spans="1:16" s="36" customFormat="1" ht="14.25" x14ac:dyDescent="0.4">
      <c r="A92" s="42" t="s">
        <v>235</v>
      </c>
      <c r="B92" s="37" t="s">
        <v>236</v>
      </c>
      <c r="C92" s="38" t="str">
        <f>IFERROR([1]!IntrinioBankFinancials(rssd_id,$S$2,C$6,C$5,$B92,"K"),"")</f>
        <v/>
      </c>
      <c r="D92" s="38" t="str">
        <f>IFERROR([1]!IntrinioBankFinancials(rssd_id,$S$2,D$6,D$5,$B92,"K"),"")</f>
        <v/>
      </c>
      <c r="E92" s="38" t="str">
        <f>IFERROR([1]!IntrinioBankFinancials(rssd_id,$S$2,E$6,E$5,$B92,"K"),"")</f>
        <v/>
      </c>
      <c r="F92" s="38" t="str">
        <f>IFERROR([1]!IntrinioBankFinancials(rssd_id,$S$2,F$6,F$5,$B92,"K"),"")</f>
        <v/>
      </c>
      <c r="G92" s="38" t="str">
        <f>IFERROR([1]!IntrinioBankFinancials(rssd_id,$S$2,G$6,G$5,$B92,"K"),"")</f>
        <v/>
      </c>
      <c r="H92" s="38" t="str">
        <f>IFERROR([1]!IntrinioBankFinancials(rssd_id,$S$2,H$6,H$5,$B92,"K"),"")</f>
        <v/>
      </c>
      <c r="I92" s="38" t="str">
        <f>IFERROR([1]!IntrinioBankFinancials(rssd_id,$S$2,I$6,I$5,$B92,"K"),"")</f>
        <v/>
      </c>
      <c r="J92" s="38" t="str">
        <f>IFERROR([1]!IntrinioBankFinancials(rssd_id,$S$2,J$6,J$5,$B92,"K"),"")</f>
        <v/>
      </c>
      <c r="K92" s="38" t="str">
        <f>IFERROR([1]!IntrinioBankFinancials(rssd_id,$S$2,K$6,K$5,$B92,"K"),"")</f>
        <v/>
      </c>
      <c r="L92" s="38" t="str">
        <f>IFERROR([1]!IntrinioBankFinancials(rssd_id,$S$2,L$6,L$5,$B92,"K"),"")</f>
        <v/>
      </c>
      <c r="M92" s="38" t="str">
        <f>IFERROR([1]!IntrinioBankFinancials(rssd_id,$S$2,M$6,M$5,$B92,"K"),"")</f>
        <v/>
      </c>
      <c r="N92" s="38" t="str">
        <f>IFERROR([1]!IntrinioBankFinancials(rssd_id,$S$2,N$6,N$5,$B92,"K"),"")</f>
        <v/>
      </c>
      <c r="O92" s="38" t="str">
        <f>IFERROR([1]!IntrinioBankFinancials(rssd_id,$S$2,O$6,O$5,$B92,"K"),"")</f>
        <v/>
      </c>
      <c r="P92" s="46" t="s">
        <v>237</v>
      </c>
    </row>
    <row r="93" spans="1:16" s="36" customFormat="1" ht="14.25" x14ac:dyDescent="0.4">
      <c r="A93" s="42" t="s">
        <v>238</v>
      </c>
      <c r="B93" s="37" t="s">
        <v>239</v>
      </c>
      <c r="C93" s="38" t="str">
        <f>IFERROR([1]!IntrinioBankFinancials(rssd_id,$S$2,C$6,C$5,$B93,"K"),"")</f>
        <v/>
      </c>
      <c r="D93" s="38" t="str">
        <f>IFERROR([1]!IntrinioBankFinancials(rssd_id,$S$2,D$6,D$5,$B93,"K"),"")</f>
        <v/>
      </c>
      <c r="E93" s="38" t="str">
        <f>IFERROR([1]!IntrinioBankFinancials(rssd_id,$S$2,E$6,E$5,$B93,"K"),"")</f>
        <v/>
      </c>
      <c r="F93" s="38" t="str">
        <f>IFERROR([1]!IntrinioBankFinancials(rssd_id,$S$2,F$6,F$5,$B93,"K"),"")</f>
        <v/>
      </c>
      <c r="G93" s="38" t="str">
        <f>IFERROR([1]!IntrinioBankFinancials(rssd_id,$S$2,G$6,G$5,$B93,"K"),"")</f>
        <v/>
      </c>
      <c r="H93" s="38" t="str">
        <f>IFERROR([1]!IntrinioBankFinancials(rssd_id,$S$2,H$6,H$5,$B93,"K"),"")</f>
        <v/>
      </c>
      <c r="I93" s="38" t="str">
        <f>IFERROR([1]!IntrinioBankFinancials(rssd_id,$S$2,I$6,I$5,$B93,"K"),"")</f>
        <v/>
      </c>
      <c r="J93" s="38" t="str">
        <f>IFERROR([1]!IntrinioBankFinancials(rssd_id,$S$2,J$6,J$5,$B93,"K"),"")</f>
        <v/>
      </c>
      <c r="K93" s="38" t="str">
        <f>IFERROR([1]!IntrinioBankFinancials(rssd_id,$S$2,K$6,K$5,$B93,"K"),"")</f>
        <v/>
      </c>
      <c r="L93" s="38" t="str">
        <f>IFERROR([1]!IntrinioBankFinancials(rssd_id,$S$2,L$6,L$5,$B93,"K"),"")</f>
        <v/>
      </c>
      <c r="M93" s="38" t="str">
        <f>IFERROR([1]!IntrinioBankFinancials(rssd_id,$S$2,M$6,M$5,$B93,"K"),"")</f>
        <v/>
      </c>
      <c r="N93" s="38" t="str">
        <f>IFERROR([1]!IntrinioBankFinancials(rssd_id,$S$2,N$6,N$5,$B93,"K"),"")</f>
        <v/>
      </c>
      <c r="O93" s="38" t="str">
        <f>IFERROR([1]!IntrinioBankFinancials(rssd_id,$S$2,O$6,O$5,$B93,"K"),"")</f>
        <v/>
      </c>
      <c r="P93" s="46" t="s">
        <v>240</v>
      </c>
    </row>
    <row r="94" spans="1:16" s="36" customFormat="1" ht="42.75" x14ac:dyDescent="0.4">
      <c r="A94" s="42" t="s">
        <v>302</v>
      </c>
      <c r="B94" s="37" t="s">
        <v>241</v>
      </c>
      <c r="C94" s="38" t="str">
        <f>IFERROR([1]!IntrinioBankFinancials(rssd_id,$S$2,C$6,C$5,$B94,"K"),"")</f>
        <v/>
      </c>
      <c r="D94" s="38" t="str">
        <f>IFERROR([1]!IntrinioBankFinancials(rssd_id,$S$2,D$6,D$5,$B94,"K"),"")</f>
        <v/>
      </c>
      <c r="E94" s="38" t="str">
        <f>IFERROR([1]!IntrinioBankFinancials(rssd_id,$S$2,E$6,E$5,$B94,"K"),"")</f>
        <v/>
      </c>
      <c r="F94" s="38" t="str">
        <f>IFERROR([1]!IntrinioBankFinancials(rssd_id,$S$2,F$6,F$5,$B94,"K"),"")</f>
        <v/>
      </c>
      <c r="G94" s="38" t="str">
        <f>IFERROR([1]!IntrinioBankFinancials(rssd_id,$S$2,G$6,G$5,$B94,"K"),"")</f>
        <v/>
      </c>
      <c r="H94" s="38" t="str">
        <f>IFERROR([1]!IntrinioBankFinancials(rssd_id,$S$2,H$6,H$5,$B94,"K"),"")</f>
        <v/>
      </c>
      <c r="I94" s="38" t="str">
        <f>IFERROR([1]!IntrinioBankFinancials(rssd_id,$S$2,I$6,I$5,$B94,"K"),"")</f>
        <v/>
      </c>
      <c r="J94" s="38" t="str">
        <f>IFERROR([1]!IntrinioBankFinancials(rssd_id,$S$2,J$6,J$5,$B94,"K"),"")</f>
        <v/>
      </c>
      <c r="K94" s="38" t="str">
        <f>IFERROR([1]!IntrinioBankFinancials(rssd_id,$S$2,K$6,K$5,$B94,"K"),"")</f>
        <v/>
      </c>
      <c r="L94" s="38" t="str">
        <f>IFERROR([1]!IntrinioBankFinancials(rssd_id,$S$2,L$6,L$5,$B94,"K"),"")</f>
        <v/>
      </c>
      <c r="M94" s="38" t="str">
        <f>IFERROR([1]!IntrinioBankFinancials(rssd_id,$S$2,M$6,M$5,$B94,"K"),"")</f>
        <v/>
      </c>
      <c r="N94" s="38" t="str">
        <f>IFERROR([1]!IntrinioBankFinancials(rssd_id,$S$2,N$6,N$5,$B94,"K"),"")</f>
        <v/>
      </c>
      <c r="O94" s="38" t="str">
        <f>IFERROR([1]!IntrinioBankFinancials(rssd_id,$S$2,O$6,O$5,$B94,"K"),"")</f>
        <v/>
      </c>
      <c r="P94" s="46" t="s">
        <v>242</v>
      </c>
    </row>
    <row r="95" spans="1:16" s="36" customFormat="1" ht="42.75" x14ac:dyDescent="0.4">
      <c r="A95" s="42" t="s">
        <v>303</v>
      </c>
      <c r="B95" s="37" t="s">
        <v>243</v>
      </c>
      <c r="C95" s="38" t="str">
        <f>IFERROR([1]!IntrinioBankFinancials(rssd_id,$S$2,C$6,C$5,$B95,"K"),"")</f>
        <v/>
      </c>
      <c r="D95" s="38" t="str">
        <f>IFERROR([1]!IntrinioBankFinancials(rssd_id,$S$2,D$6,D$5,$B95,"K"),"")</f>
        <v/>
      </c>
      <c r="E95" s="38" t="str">
        <f>IFERROR([1]!IntrinioBankFinancials(rssd_id,$S$2,E$6,E$5,$B95,"K"),"")</f>
        <v/>
      </c>
      <c r="F95" s="38" t="str">
        <f>IFERROR([1]!IntrinioBankFinancials(rssd_id,$S$2,F$6,F$5,$B95,"K"),"")</f>
        <v/>
      </c>
      <c r="G95" s="38" t="str">
        <f>IFERROR([1]!IntrinioBankFinancials(rssd_id,$S$2,G$6,G$5,$B95,"K"),"")</f>
        <v/>
      </c>
      <c r="H95" s="38" t="str">
        <f>IFERROR([1]!IntrinioBankFinancials(rssd_id,$S$2,H$6,H$5,$B95,"K"),"")</f>
        <v/>
      </c>
      <c r="I95" s="38" t="str">
        <f>IFERROR([1]!IntrinioBankFinancials(rssd_id,$S$2,I$6,I$5,$B95,"K"),"")</f>
        <v/>
      </c>
      <c r="J95" s="38" t="str">
        <f>IFERROR([1]!IntrinioBankFinancials(rssd_id,$S$2,J$6,J$5,$B95,"K"),"")</f>
        <v/>
      </c>
      <c r="K95" s="38" t="str">
        <f>IFERROR([1]!IntrinioBankFinancials(rssd_id,$S$2,K$6,K$5,$B95,"K"),"")</f>
        <v/>
      </c>
      <c r="L95" s="38" t="str">
        <f>IFERROR([1]!IntrinioBankFinancials(rssd_id,$S$2,L$6,L$5,$B95,"K"),"")</f>
        <v/>
      </c>
      <c r="M95" s="38" t="str">
        <f>IFERROR([1]!IntrinioBankFinancials(rssd_id,$S$2,M$6,M$5,$B95,"K"),"")</f>
        <v/>
      </c>
      <c r="N95" s="38" t="str">
        <f>IFERROR([1]!IntrinioBankFinancials(rssd_id,$S$2,N$6,N$5,$B95,"K"),"")</f>
        <v/>
      </c>
      <c r="O95" s="38" t="str">
        <f>IFERROR([1]!IntrinioBankFinancials(rssd_id,$S$2,O$6,O$5,$B95,"K"),"")</f>
        <v/>
      </c>
      <c r="P95" s="46" t="s">
        <v>244</v>
      </c>
    </row>
    <row r="96" spans="1:16" s="36" customFormat="1" ht="28.5" x14ac:dyDescent="0.4">
      <c r="A96" s="41" t="s">
        <v>304</v>
      </c>
      <c r="B96" s="34"/>
      <c r="C96" s="35"/>
      <c r="D96" s="35"/>
      <c r="E96" s="35"/>
      <c r="F96" s="35"/>
      <c r="G96" s="35"/>
      <c r="H96" s="35"/>
      <c r="I96" s="35"/>
      <c r="J96" s="35"/>
      <c r="K96" s="35"/>
      <c r="L96" s="35"/>
      <c r="M96" s="35"/>
      <c r="N96" s="35"/>
      <c r="O96" s="35"/>
      <c r="P96" s="46" t="s">
        <v>245</v>
      </c>
    </row>
    <row r="97" spans="1:16" s="36" customFormat="1" ht="14.25" x14ac:dyDescent="0.4">
      <c r="A97" s="42" t="s">
        <v>246</v>
      </c>
      <c r="B97" s="37" t="s">
        <v>247</v>
      </c>
      <c r="C97" s="38" t="str">
        <f>IFERROR([1]!IntrinioBankFinancials(rssd_id,$S$2,C$6,C$5,$B97,"K"),"")</f>
        <v/>
      </c>
      <c r="D97" s="38" t="str">
        <f>IFERROR([1]!IntrinioBankFinancials(rssd_id,$S$2,D$6,D$5,$B97,"K"),"")</f>
        <v/>
      </c>
      <c r="E97" s="38" t="str">
        <f>IFERROR([1]!IntrinioBankFinancials(rssd_id,$S$2,E$6,E$5,$B97,"K"),"")</f>
        <v/>
      </c>
      <c r="F97" s="38" t="str">
        <f>IFERROR([1]!IntrinioBankFinancials(rssd_id,$S$2,F$6,F$5,$B97,"K"),"")</f>
        <v/>
      </c>
      <c r="G97" s="38" t="str">
        <f>IFERROR([1]!IntrinioBankFinancials(rssd_id,$S$2,G$6,G$5,$B97,"K"),"")</f>
        <v/>
      </c>
      <c r="H97" s="38" t="str">
        <f>IFERROR([1]!IntrinioBankFinancials(rssd_id,$S$2,H$6,H$5,$B97,"K"),"")</f>
        <v/>
      </c>
      <c r="I97" s="38" t="str">
        <f>IFERROR([1]!IntrinioBankFinancials(rssd_id,$S$2,I$6,I$5,$B97,"K"),"")</f>
        <v/>
      </c>
      <c r="J97" s="38" t="str">
        <f>IFERROR([1]!IntrinioBankFinancials(rssd_id,$S$2,J$6,J$5,$B97,"K"),"")</f>
        <v/>
      </c>
      <c r="K97" s="38" t="str">
        <f>IFERROR([1]!IntrinioBankFinancials(rssd_id,$S$2,K$6,K$5,$B97,"K"),"")</f>
        <v/>
      </c>
      <c r="L97" s="38" t="str">
        <f>IFERROR([1]!IntrinioBankFinancials(rssd_id,$S$2,L$6,L$5,$B97,"K"),"")</f>
        <v/>
      </c>
      <c r="M97" s="38" t="str">
        <f>IFERROR([1]!IntrinioBankFinancials(rssd_id,$S$2,M$6,M$5,$B97,"K"),"")</f>
        <v/>
      </c>
      <c r="N97" s="38" t="str">
        <f>IFERROR([1]!IntrinioBankFinancials(rssd_id,$S$2,N$6,N$5,$B97,"K"),"")</f>
        <v/>
      </c>
      <c r="O97" s="38" t="str">
        <f>IFERROR([1]!IntrinioBankFinancials(rssd_id,$S$2,O$6,O$5,$B97,"K"),"")</f>
        <v/>
      </c>
      <c r="P97" s="46" t="s">
        <v>248</v>
      </c>
    </row>
    <row r="98" spans="1:16" s="36" customFormat="1" ht="14.25" x14ac:dyDescent="0.4">
      <c r="A98" s="42" t="s">
        <v>249</v>
      </c>
      <c r="B98" s="37" t="s">
        <v>250</v>
      </c>
      <c r="C98" s="38" t="str">
        <f>IFERROR([1]!IntrinioBankFinancials(rssd_id,$S$2,C$6,C$5,$B98,"K"),"")</f>
        <v/>
      </c>
      <c r="D98" s="38" t="str">
        <f>IFERROR([1]!IntrinioBankFinancials(rssd_id,$S$2,D$6,D$5,$B98,"K"),"")</f>
        <v/>
      </c>
      <c r="E98" s="38" t="str">
        <f>IFERROR([1]!IntrinioBankFinancials(rssd_id,$S$2,E$6,E$5,$B98,"K"),"")</f>
        <v/>
      </c>
      <c r="F98" s="38" t="str">
        <f>IFERROR([1]!IntrinioBankFinancials(rssd_id,$S$2,F$6,F$5,$B98,"K"),"")</f>
        <v/>
      </c>
      <c r="G98" s="38" t="str">
        <f>IFERROR([1]!IntrinioBankFinancials(rssd_id,$S$2,G$6,G$5,$B98,"K"),"")</f>
        <v/>
      </c>
      <c r="H98" s="38" t="str">
        <f>IFERROR([1]!IntrinioBankFinancials(rssd_id,$S$2,H$6,H$5,$B98,"K"),"")</f>
        <v/>
      </c>
      <c r="I98" s="38" t="str">
        <f>IFERROR([1]!IntrinioBankFinancials(rssd_id,$S$2,I$6,I$5,$B98,"K"),"")</f>
        <v/>
      </c>
      <c r="J98" s="38" t="str">
        <f>IFERROR([1]!IntrinioBankFinancials(rssd_id,$S$2,J$6,J$5,$B98,"K"),"")</f>
        <v/>
      </c>
      <c r="K98" s="38" t="str">
        <f>IFERROR([1]!IntrinioBankFinancials(rssd_id,$S$2,K$6,K$5,$B98,"K"),"")</f>
        <v/>
      </c>
      <c r="L98" s="38" t="str">
        <f>IFERROR([1]!IntrinioBankFinancials(rssd_id,$S$2,L$6,L$5,$B98,"K"),"")</f>
        <v/>
      </c>
      <c r="M98" s="38" t="str">
        <f>IFERROR([1]!IntrinioBankFinancials(rssd_id,$S$2,M$6,M$5,$B98,"K"),"")</f>
        <v/>
      </c>
      <c r="N98" s="38" t="str">
        <f>IFERROR([1]!IntrinioBankFinancials(rssd_id,$S$2,N$6,N$5,$B98,"K"),"")</f>
        <v/>
      </c>
      <c r="O98" s="38" t="str">
        <f>IFERROR([1]!IntrinioBankFinancials(rssd_id,$S$2,O$6,O$5,$B98,"K"),"")</f>
        <v/>
      </c>
      <c r="P98" s="46" t="s">
        <v>251</v>
      </c>
    </row>
    <row r="99" spans="1:16" s="36" customFormat="1" ht="14.25" x14ac:dyDescent="0.4">
      <c r="A99" s="41" t="s">
        <v>252</v>
      </c>
      <c r="B99" s="37" t="s">
        <v>253</v>
      </c>
      <c r="C99" s="38" t="str">
        <f>IFERROR([1]!IntrinioBankFinancials(rssd_id,$S$2,C$6,C$5,$B99,"K"),"")</f>
        <v/>
      </c>
      <c r="D99" s="38" t="str">
        <f>IFERROR([1]!IntrinioBankFinancials(rssd_id,$S$2,D$6,D$5,$B99,"K"),"")</f>
        <v/>
      </c>
      <c r="E99" s="38" t="str">
        <f>IFERROR([1]!IntrinioBankFinancials(rssd_id,$S$2,E$6,E$5,$B99,"K"),"")</f>
        <v/>
      </c>
      <c r="F99" s="38" t="str">
        <f>IFERROR([1]!IntrinioBankFinancials(rssd_id,$S$2,F$6,F$5,$B99,"K"),"")</f>
        <v/>
      </c>
      <c r="G99" s="38" t="str">
        <f>IFERROR([1]!IntrinioBankFinancials(rssd_id,$S$2,G$6,G$5,$B99,"K"),"")</f>
        <v/>
      </c>
      <c r="H99" s="38" t="str">
        <f>IFERROR([1]!IntrinioBankFinancials(rssd_id,$S$2,H$6,H$5,$B99,"K"),"")</f>
        <v/>
      </c>
      <c r="I99" s="38" t="str">
        <f>IFERROR([1]!IntrinioBankFinancials(rssd_id,$S$2,I$6,I$5,$B99,"K"),"")</f>
        <v/>
      </c>
      <c r="J99" s="38" t="str">
        <f>IFERROR([1]!IntrinioBankFinancials(rssd_id,$S$2,J$6,J$5,$B99,"K"),"")</f>
        <v/>
      </c>
      <c r="K99" s="38" t="str">
        <f>IFERROR([1]!IntrinioBankFinancials(rssd_id,$S$2,K$6,K$5,$B99,"K"),"")</f>
        <v/>
      </c>
      <c r="L99" s="38" t="str">
        <f>IFERROR([1]!IntrinioBankFinancials(rssd_id,$S$2,L$6,L$5,$B99,"K"),"")</f>
        <v/>
      </c>
      <c r="M99" s="38" t="str">
        <f>IFERROR([1]!IntrinioBankFinancials(rssd_id,$S$2,M$6,M$5,$B99,"K"),"")</f>
        <v/>
      </c>
      <c r="N99" s="38" t="str">
        <f>IFERROR([1]!IntrinioBankFinancials(rssd_id,$S$2,N$6,N$5,$B99,"K"),"")</f>
        <v/>
      </c>
      <c r="O99" s="38" t="str">
        <f>IFERROR([1]!IntrinioBankFinancials(rssd_id,$S$2,O$6,O$5,$B99,"K"),"")</f>
        <v/>
      </c>
      <c r="P99" s="46" t="s">
        <v>254</v>
      </c>
    </row>
    <row r="100" spans="1:16" s="36" customFormat="1" ht="28.5" x14ac:dyDescent="0.4">
      <c r="A100" s="41" t="s">
        <v>305</v>
      </c>
      <c r="B100" s="37" t="s">
        <v>255</v>
      </c>
      <c r="C100" s="38" t="str">
        <f>IFERROR([1]!IntrinioBankFinancials(rssd_id,$S$2,C$6,C$5,$B100,"K"),"")</f>
        <v/>
      </c>
      <c r="D100" s="38" t="str">
        <f>IFERROR([1]!IntrinioBankFinancials(rssd_id,$S$2,D$6,D$5,$B100,"K"),"")</f>
        <v/>
      </c>
      <c r="E100" s="38" t="str">
        <f>IFERROR([1]!IntrinioBankFinancials(rssd_id,$S$2,E$6,E$5,$B100,"K"),"")</f>
        <v/>
      </c>
      <c r="F100" s="38" t="str">
        <f>IFERROR([1]!IntrinioBankFinancials(rssd_id,$S$2,F$6,F$5,$B100,"K"),"")</f>
        <v/>
      </c>
      <c r="G100" s="38" t="str">
        <f>IFERROR([1]!IntrinioBankFinancials(rssd_id,$S$2,G$6,G$5,$B100,"K"),"")</f>
        <v/>
      </c>
      <c r="H100" s="38" t="str">
        <f>IFERROR([1]!IntrinioBankFinancials(rssd_id,$S$2,H$6,H$5,$B100,"K"),"")</f>
        <v/>
      </c>
      <c r="I100" s="38" t="str">
        <f>IFERROR([1]!IntrinioBankFinancials(rssd_id,$S$2,I$6,I$5,$B100,"K"),"")</f>
        <v/>
      </c>
      <c r="J100" s="38" t="str">
        <f>IFERROR([1]!IntrinioBankFinancials(rssd_id,$S$2,J$6,J$5,$B100,"K"),"")</f>
        <v/>
      </c>
      <c r="K100" s="38" t="str">
        <f>IFERROR([1]!IntrinioBankFinancials(rssd_id,$S$2,K$6,K$5,$B100,"K"),"")</f>
        <v/>
      </c>
      <c r="L100" s="38" t="str">
        <f>IFERROR([1]!IntrinioBankFinancials(rssd_id,$S$2,L$6,L$5,$B100,"K"),"")</f>
        <v/>
      </c>
      <c r="M100" s="38" t="str">
        <f>IFERROR([1]!IntrinioBankFinancials(rssd_id,$S$2,M$6,M$5,$B100,"K"),"")</f>
        <v/>
      </c>
      <c r="N100" s="38" t="str">
        <f>IFERROR([1]!IntrinioBankFinancials(rssd_id,$S$2,N$6,N$5,$B100,"K"),"")</f>
        <v/>
      </c>
      <c r="O100" s="38" t="str">
        <f>IFERROR([1]!IntrinioBankFinancials(rssd_id,$S$2,O$6,O$5,$B100,"K"),"")</f>
        <v/>
      </c>
      <c r="P100" s="46" t="s">
        <v>256</v>
      </c>
    </row>
    <row r="101" spans="1:16" s="36" customFormat="1" ht="28.5" x14ac:dyDescent="0.4">
      <c r="A101" s="41" t="s">
        <v>306</v>
      </c>
      <c r="B101" s="37" t="s">
        <v>257</v>
      </c>
      <c r="C101" s="38" t="str">
        <f>IFERROR([1]!IntrinioBankFinancials(rssd_id,$S$2,C$6,C$5,$B101,"K"),"")</f>
        <v/>
      </c>
      <c r="D101" s="38" t="str">
        <f>IFERROR([1]!IntrinioBankFinancials(rssd_id,$S$2,D$6,D$5,$B101,"K"),"")</f>
        <v/>
      </c>
      <c r="E101" s="38" t="str">
        <f>IFERROR([1]!IntrinioBankFinancials(rssd_id,$S$2,E$6,E$5,$B101,"K"),"")</f>
        <v/>
      </c>
      <c r="F101" s="38" t="str">
        <f>IFERROR([1]!IntrinioBankFinancials(rssd_id,$S$2,F$6,F$5,$B101,"K"),"")</f>
        <v/>
      </c>
      <c r="G101" s="38" t="str">
        <f>IFERROR([1]!IntrinioBankFinancials(rssd_id,$S$2,G$6,G$5,$B101,"K"),"")</f>
        <v/>
      </c>
      <c r="H101" s="38" t="str">
        <f>IFERROR([1]!IntrinioBankFinancials(rssd_id,$S$2,H$6,H$5,$B101,"K"),"")</f>
        <v/>
      </c>
      <c r="I101" s="38" t="str">
        <f>IFERROR([1]!IntrinioBankFinancials(rssd_id,$S$2,I$6,I$5,$B101,"K"),"")</f>
        <v/>
      </c>
      <c r="J101" s="38" t="str">
        <f>IFERROR([1]!IntrinioBankFinancials(rssd_id,$S$2,J$6,J$5,$B101,"K"),"")</f>
        <v/>
      </c>
      <c r="K101" s="38" t="str">
        <f>IFERROR([1]!IntrinioBankFinancials(rssd_id,$S$2,K$6,K$5,$B101,"K"),"")</f>
        <v/>
      </c>
      <c r="L101" s="38" t="str">
        <f>IFERROR([1]!IntrinioBankFinancials(rssd_id,$S$2,L$6,L$5,$B101,"K"),"")</f>
        <v/>
      </c>
      <c r="M101" s="38" t="str">
        <f>IFERROR([1]!IntrinioBankFinancials(rssd_id,$S$2,M$6,M$5,$B101,"K"),"")</f>
        <v/>
      </c>
      <c r="N101" s="38" t="str">
        <f>IFERROR([1]!IntrinioBankFinancials(rssd_id,$S$2,N$6,N$5,$B101,"K"),"")</f>
        <v/>
      </c>
      <c r="O101" s="38" t="str">
        <f>IFERROR([1]!IntrinioBankFinancials(rssd_id,$S$2,O$6,O$5,$B101,"K"),"")</f>
        <v/>
      </c>
      <c r="P101" s="46" t="s">
        <v>258</v>
      </c>
    </row>
    <row r="102" spans="1:16" s="36" customFormat="1" ht="28.5" x14ac:dyDescent="0.4">
      <c r="A102" s="41" t="s">
        <v>307</v>
      </c>
      <c r="B102" s="34"/>
      <c r="C102" s="35"/>
      <c r="D102" s="35"/>
      <c r="E102" s="35"/>
      <c r="F102" s="35"/>
      <c r="G102" s="35"/>
      <c r="H102" s="35"/>
      <c r="I102" s="35"/>
      <c r="J102" s="35"/>
      <c r="K102" s="35"/>
      <c r="L102" s="35"/>
      <c r="M102" s="35"/>
      <c r="N102" s="35"/>
      <c r="O102" s="35"/>
      <c r="P102" s="46" t="s">
        <v>259</v>
      </c>
    </row>
    <row r="103" spans="1:16" s="36" customFormat="1" ht="14.25" x14ac:dyDescent="0.4">
      <c r="A103" s="42" t="s">
        <v>260</v>
      </c>
      <c r="B103" s="37" t="s">
        <v>261</v>
      </c>
      <c r="C103" s="38" t="str">
        <f>IFERROR([1]!IntrinioBankFinancials(rssd_id,$S$2,C$6,C$5,$B103,"K"),"")</f>
        <v/>
      </c>
      <c r="D103" s="38" t="str">
        <f>IFERROR([1]!IntrinioBankFinancials(rssd_id,$S$2,D$6,D$5,$B103,"K"),"")</f>
        <v/>
      </c>
      <c r="E103" s="38" t="str">
        <f>IFERROR([1]!IntrinioBankFinancials(rssd_id,$S$2,E$6,E$5,$B103,"K"),"")</f>
        <v/>
      </c>
      <c r="F103" s="38" t="str">
        <f>IFERROR([1]!IntrinioBankFinancials(rssd_id,$S$2,F$6,F$5,$B103,"K"),"")</f>
        <v/>
      </c>
      <c r="G103" s="38" t="str">
        <f>IFERROR([1]!IntrinioBankFinancials(rssd_id,$S$2,G$6,G$5,$B103,"K"),"")</f>
        <v/>
      </c>
      <c r="H103" s="38" t="str">
        <f>IFERROR([1]!IntrinioBankFinancials(rssd_id,$S$2,H$6,H$5,$B103,"K"),"")</f>
        <v/>
      </c>
      <c r="I103" s="38" t="str">
        <f>IFERROR([1]!IntrinioBankFinancials(rssd_id,$S$2,I$6,I$5,$B103,"K"),"")</f>
        <v/>
      </c>
      <c r="J103" s="38" t="str">
        <f>IFERROR([1]!IntrinioBankFinancials(rssd_id,$S$2,J$6,J$5,$B103,"K"),"")</f>
        <v/>
      </c>
      <c r="K103" s="38" t="str">
        <f>IFERROR([1]!IntrinioBankFinancials(rssd_id,$S$2,K$6,K$5,$B103,"K"),"")</f>
        <v/>
      </c>
      <c r="L103" s="38" t="str">
        <f>IFERROR([1]!IntrinioBankFinancials(rssd_id,$S$2,L$6,L$5,$B103,"K"),"")</f>
        <v/>
      </c>
      <c r="M103" s="38" t="str">
        <f>IFERROR([1]!IntrinioBankFinancials(rssd_id,$S$2,M$6,M$5,$B103,"K"),"")</f>
        <v/>
      </c>
      <c r="N103" s="38" t="str">
        <f>IFERROR([1]!IntrinioBankFinancials(rssd_id,$S$2,N$6,N$5,$B103,"K"),"")</f>
        <v/>
      </c>
      <c r="O103" s="38" t="str">
        <f>IFERROR([1]!IntrinioBankFinancials(rssd_id,$S$2,O$6,O$5,$B103,"K"),"")</f>
        <v/>
      </c>
      <c r="P103" s="46" t="s">
        <v>262</v>
      </c>
    </row>
    <row r="104" spans="1:16" s="36" customFormat="1" ht="28.5" x14ac:dyDescent="0.4">
      <c r="A104" s="43" t="s">
        <v>263</v>
      </c>
      <c r="B104" s="37" t="s">
        <v>264</v>
      </c>
      <c r="C104" s="38" t="str">
        <f>IFERROR([1]!IntrinioBankFinancials(rssd_id,$S$2,C$6,C$5,$B104,"K"),"")</f>
        <v/>
      </c>
      <c r="D104" s="38" t="str">
        <f>IFERROR([1]!IntrinioBankFinancials(rssd_id,$S$2,D$6,D$5,$B104,"K"),"")</f>
        <v/>
      </c>
      <c r="E104" s="38" t="str">
        <f>IFERROR([1]!IntrinioBankFinancials(rssd_id,$S$2,E$6,E$5,$B104,"K"),"")</f>
        <v/>
      </c>
      <c r="F104" s="38" t="str">
        <f>IFERROR([1]!IntrinioBankFinancials(rssd_id,$S$2,F$6,F$5,$B104,"K"),"")</f>
        <v/>
      </c>
      <c r="G104" s="38" t="str">
        <f>IFERROR([1]!IntrinioBankFinancials(rssd_id,$S$2,G$6,G$5,$B104,"K"),"")</f>
        <v/>
      </c>
      <c r="H104" s="38" t="str">
        <f>IFERROR([1]!IntrinioBankFinancials(rssd_id,$S$2,H$6,H$5,$B104,"K"),"")</f>
        <v/>
      </c>
      <c r="I104" s="38" t="str">
        <f>IFERROR([1]!IntrinioBankFinancials(rssd_id,$S$2,I$6,I$5,$B104,"K"),"")</f>
        <v/>
      </c>
      <c r="J104" s="38" t="str">
        <f>IFERROR([1]!IntrinioBankFinancials(rssd_id,$S$2,J$6,J$5,$B104,"K"),"")</f>
        <v/>
      </c>
      <c r="K104" s="38" t="str">
        <f>IFERROR([1]!IntrinioBankFinancials(rssd_id,$S$2,K$6,K$5,$B104,"K"),"")</f>
        <v/>
      </c>
      <c r="L104" s="38" t="str">
        <f>IFERROR([1]!IntrinioBankFinancials(rssd_id,$S$2,L$6,L$5,$B104,"K"),"")</f>
        <v/>
      </c>
      <c r="M104" s="38" t="str">
        <f>IFERROR([1]!IntrinioBankFinancials(rssd_id,$S$2,M$6,M$5,$B104,"K"),"")</f>
        <v/>
      </c>
      <c r="N104" s="38" t="str">
        <f>IFERROR([1]!IntrinioBankFinancials(rssd_id,$S$2,N$6,N$5,$B104,"K"),"")</f>
        <v/>
      </c>
      <c r="O104" s="38" t="str">
        <f>IFERROR([1]!IntrinioBankFinancials(rssd_id,$S$2,O$6,O$5,$B104,"K"),"")</f>
        <v/>
      </c>
      <c r="P104" s="46" t="s">
        <v>265</v>
      </c>
    </row>
    <row r="105" spans="1:16" s="36" customFormat="1" ht="14.25" x14ac:dyDescent="0.4">
      <c r="A105" s="42" t="s">
        <v>266</v>
      </c>
      <c r="B105" s="37" t="s">
        <v>267</v>
      </c>
      <c r="C105" s="38" t="str">
        <f>IFERROR([1]!IntrinioBankFinancials(rssd_id,$S$2,C$6,C$5,$B105,"K"),"")</f>
        <v/>
      </c>
      <c r="D105" s="38" t="str">
        <f>IFERROR([1]!IntrinioBankFinancials(rssd_id,$S$2,D$6,D$5,$B105,"K"),"")</f>
        <v/>
      </c>
      <c r="E105" s="38" t="str">
        <f>IFERROR([1]!IntrinioBankFinancials(rssd_id,$S$2,E$6,E$5,$B105,"K"),"")</f>
        <v/>
      </c>
      <c r="F105" s="38" t="str">
        <f>IFERROR([1]!IntrinioBankFinancials(rssd_id,$S$2,F$6,F$5,$B105,"K"),"")</f>
        <v/>
      </c>
      <c r="G105" s="38" t="str">
        <f>IFERROR([1]!IntrinioBankFinancials(rssd_id,$S$2,G$6,G$5,$B105,"K"),"")</f>
        <v/>
      </c>
      <c r="H105" s="38" t="str">
        <f>IFERROR([1]!IntrinioBankFinancials(rssd_id,$S$2,H$6,H$5,$B105,"K"),"")</f>
        <v/>
      </c>
      <c r="I105" s="38" t="str">
        <f>IFERROR([1]!IntrinioBankFinancials(rssd_id,$S$2,I$6,I$5,$B105,"K"),"")</f>
        <v/>
      </c>
      <c r="J105" s="38" t="str">
        <f>IFERROR([1]!IntrinioBankFinancials(rssd_id,$S$2,J$6,J$5,$B105,"K"),"")</f>
        <v/>
      </c>
      <c r="K105" s="38" t="str">
        <f>IFERROR([1]!IntrinioBankFinancials(rssd_id,$S$2,K$6,K$5,$B105,"K"),"")</f>
        <v/>
      </c>
      <c r="L105" s="38" t="str">
        <f>IFERROR([1]!IntrinioBankFinancials(rssd_id,$S$2,L$6,L$5,$B105,"K"),"")</f>
        <v/>
      </c>
      <c r="M105" s="38" t="str">
        <f>IFERROR([1]!IntrinioBankFinancials(rssd_id,$S$2,M$6,M$5,$B105,"K"),"")</f>
        <v/>
      </c>
      <c r="N105" s="38" t="str">
        <f>IFERROR([1]!IntrinioBankFinancials(rssd_id,$S$2,N$6,N$5,$B105,"K"),"")</f>
        <v/>
      </c>
      <c r="O105" s="38" t="str">
        <f>IFERROR([1]!IntrinioBankFinancials(rssd_id,$S$2,O$6,O$5,$B105,"K"),"")</f>
        <v/>
      </c>
      <c r="P105" s="46" t="s">
        <v>268</v>
      </c>
    </row>
    <row r="106" spans="1:16" s="36" customFormat="1" ht="28.5" x14ac:dyDescent="0.4">
      <c r="A106" s="43" t="s">
        <v>269</v>
      </c>
      <c r="B106" s="37" t="s">
        <v>270</v>
      </c>
      <c r="C106" s="38" t="str">
        <f>IFERROR([1]!IntrinioBankFinancials(rssd_id,$S$2,C$6,C$5,$B106,"K"),"")</f>
        <v/>
      </c>
      <c r="D106" s="38" t="str">
        <f>IFERROR([1]!IntrinioBankFinancials(rssd_id,$S$2,D$6,D$5,$B106,"K"),"")</f>
        <v/>
      </c>
      <c r="E106" s="38" t="str">
        <f>IFERROR([1]!IntrinioBankFinancials(rssd_id,$S$2,E$6,E$5,$B106,"K"),"")</f>
        <v/>
      </c>
      <c r="F106" s="38" t="str">
        <f>IFERROR([1]!IntrinioBankFinancials(rssd_id,$S$2,F$6,F$5,$B106,"K"),"")</f>
        <v/>
      </c>
      <c r="G106" s="38" t="str">
        <f>IFERROR([1]!IntrinioBankFinancials(rssd_id,$S$2,G$6,G$5,$B106,"K"),"")</f>
        <v/>
      </c>
      <c r="H106" s="38" t="str">
        <f>IFERROR([1]!IntrinioBankFinancials(rssd_id,$S$2,H$6,H$5,$B106,"K"),"")</f>
        <v/>
      </c>
      <c r="I106" s="38" t="str">
        <f>IFERROR([1]!IntrinioBankFinancials(rssd_id,$S$2,I$6,I$5,$B106,"K"),"")</f>
        <v/>
      </c>
      <c r="J106" s="38" t="str">
        <f>IFERROR([1]!IntrinioBankFinancials(rssd_id,$S$2,J$6,J$5,$B106,"K"),"")</f>
        <v/>
      </c>
      <c r="K106" s="38" t="str">
        <f>IFERROR([1]!IntrinioBankFinancials(rssd_id,$S$2,K$6,K$5,$B106,"K"),"")</f>
        <v/>
      </c>
      <c r="L106" s="38" t="str">
        <f>IFERROR([1]!IntrinioBankFinancials(rssd_id,$S$2,L$6,L$5,$B106,"K"),"")</f>
        <v/>
      </c>
      <c r="M106" s="38" t="str">
        <f>IFERROR([1]!IntrinioBankFinancials(rssd_id,$S$2,M$6,M$5,$B106,"K"),"")</f>
        <v/>
      </c>
      <c r="N106" s="38" t="str">
        <f>IFERROR([1]!IntrinioBankFinancials(rssd_id,$S$2,N$6,N$5,$B106,"K"),"")</f>
        <v/>
      </c>
      <c r="O106" s="38" t="str">
        <f>IFERROR([1]!IntrinioBankFinancials(rssd_id,$S$2,O$6,O$5,$B106,"K"),"")</f>
        <v/>
      </c>
      <c r="P106" s="46" t="s">
        <v>271</v>
      </c>
    </row>
    <row r="107" spans="1:16" s="36" customFormat="1" ht="28.5" x14ac:dyDescent="0.4">
      <c r="A107" s="41" t="s">
        <v>272</v>
      </c>
      <c r="B107" s="34"/>
      <c r="C107" s="35"/>
      <c r="D107" s="35"/>
      <c r="E107" s="35"/>
      <c r="F107" s="35"/>
      <c r="G107" s="35"/>
      <c r="H107" s="35"/>
      <c r="I107" s="35"/>
      <c r="J107" s="35"/>
      <c r="K107" s="35"/>
      <c r="L107" s="35"/>
      <c r="M107" s="35"/>
      <c r="N107" s="35"/>
      <c r="O107" s="35"/>
      <c r="P107" s="46" t="s">
        <v>273</v>
      </c>
    </row>
    <row r="108" spans="1:16" s="36" customFormat="1" ht="14.25" x14ac:dyDescent="0.4">
      <c r="A108" s="42" t="s">
        <v>274</v>
      </c>
      <c r="B108" s="37" t="s">
        <v>275</v>
      </c>
      <c r="C108" s="38" t="str">
        <f>IFERROR([1]!IntrinioBankFinancials(rssd_id,$S$2,C$6,C$5,$B108,"K"),"")</f>
        <v/>
      </c>
      <c r="D108" s="38" t="str">
        <f>IFERROR([1]!IntrinioBankFinancials(rssd_id,$S$2,D$6,D$5,$B108,"K"),"")</f>
        <v/>
      </c>
      <c r="E108" s="38" t="str">
        <f>IFERROR([1]!IntrinioBankFinancials(rssd_id,$S$2,E$6,E$5,$B108,"K"),"")</f>
        <v/>
      </c>
      <c r="F108" s="38" t="str">
        <f>IFERROR([1]!IntrinioBankFinancials(rssd_id,$S$2,F$6,F$5,$B108,"K"),"")</f>
        <v/>
      </c>
      <c r="G108" s="38" t="str">
        <f>IFERROR([1]!IntrinioBankFinancials(rssd_id,$S$2,G$6,G$5,$B108,"K"),"")</f>
        <v/>
      </c>
      <c r="H108" s="38" t="str">
        <f>IFERROR([1]!IntrinioBankFinancials(rssd_id,$S$2,H$6,H$5,$B108,"K"),"")</f>
        <v/>
      </c>
      <c r="I108" s="38" t="str">
        <f>IFERROR([1]!IntrinioBankFinancials(rssd_id,$S$2,I$6,I$5,$B108,"K"),"")</f>
        <v/>
      </c>
      <c r="J108" s="38" t="str">
        <f>IFERROR([1]!IntrinioBankFinancials(rssd_id,$S$2,J$6,J$5,$B108,"K"),"")</f>
        <v/>
      </c>
      <c r="K108" s="38" t="str">
        <f>IFERROR([1]!IntrinioBankFinancials(rssd_id,$S$2,K$6,K$5,$B108,"K"),"")</f>
        <v/>
      </c>
      <c r="L108" s="38" t="str">
        <f>IFERROR([1]!IntrinioBankFinancials(rssd_id,$S$2,L$6,L$5,$B108,"K"),"")</f>
        <v/>
      </c>
      <c r="M108" s="38" t="str">
        <f>IFERROR([1]!IntrinioBankFinancials(rssd_id,$S$2,M$6,M$5,$B108,"K"),"")</f>
        <v/>
      </c>
      <c r="N108" s="38" t="str">
        <f>IFERROR([1]!IntrinioBankFinancials(rssd_id,$S$2,N$6,N$5,$B108,"K"),"")</f>
        <v/>
      </c>
      <c r="O108" s="38" t="str">
        <f>IFERROR([1]!IntrinioBankFinancials(rssd_id,$S$2,O$6,O$5,$B108,"K"),"")</f>
        <v/>
      </c>
      <c r="P108" s="46" t="s">
        <v>276</v>
      </c>
    </row>
    <row r="109" spans="1:16" s="36" customFormat="1" ht="28.5" x14ac:dyDescent="0.4">
      <c r="A109" s="42" t="s">
        <v>277</v>
      </c>
      <c r="B109" s="37" t="s">
        <v>278</v>
      </c>
      <c r="C109" s="38" t="str">
        <f>IFERROR([1]!IntrinioBankFinancials(rssd_id,$S$2,C$6,C$5,$B109,"K"),"")</f>
        <v/>
      </c>
      <c r="D109" s="38" t="str">
        <f>IFERROR([1]!IntrinioBankFinancials(rssd_id,$S$2,D$6,D$5,$B109,"K"),"")</f>
        <v/>
      </c>
      <c r="E109" s="38" t="str">
        <f>IFERROR([1]!IntrinioBankFinancials(rssd_id,$S$2,E$6,E$5,$B109,"K"),"")</f>
        <v/>
      </c>
      <c r="F109" s="38" t="str">
        <f>IFERROR([1]!IntrinioBankFinancials(rssd_id,$S$2,F$6,F$5,$B109,"K"),"")</f>
        <v/>
      </c>
      <c r="G109" s="38" t="str">
        <f>IFERROR([1]!IntrinioBankFinancials(rssd_id,$S$2,G$6,G$5,$B109,"K"),"")</f>
        <v/>
      </c>
      <c r="H109" s="38" t="str">
        <f>IFERROR([1]!IntrinioBankFinancials(rssd_id,$S$2,H$6,H$5,$B109,"K"),"")</f>
        <v/>
      </c>
      <c r="I109" s="38" t="str">
        <f>IFERROR([1]!IntrinioBankFinancials(rssd_id,$S$2,I$6,I$5,$B109,"K"),"")</f>
        <v/>
      </c>
      <c r="J109" s="38" t="str">
        <f>IFERROR([1]!IntrinioBankFinancials(rssd_id,$S$2,J$6,J$5,$B109,"K"),"")</f>
        <v/>
      </c>
      <c r="K109" s="38" t="str">
        <f>IFERROR([1]!IntrinioBankFinancials(rssd_id,$S$2,K$6,K$5,$B109,"K"),"")</f>
        <v/>
      </c>
      <c r="L109" s="38" t="str">
        <f>IFERROR([1]!IntrinioBankFinancials(rssd_id,$S$2,L$6,L$5,$B109,"K"),"")</f>
        <v/>
      </c>
      <c r="M109" s="38" t="str">
        <f>IFERROR([1]!IntrinioBankFinancials(rssd_id,$S$2,M$6,M$5,$B109,"K"),"")</f>
        <v/>
      </c>
      <c r="N109" s="38" t="str">
        <f>IFERROR([1]!IntrinioBankFinancials(rssd_id,$S$2,N$6,N$5,$B109,"K"),"")</f>
        <v/>
      </c>
      <c r="O109" s="38" t="str">
        <f>IFERROR([1]!IntrinioBankFinancials(rssd_id,$S$2,O$6,O$5,$B109,"K"),"")</f>
        <v/>
      </c>
      <c r="P109" s="46" t="s">
        <v>279</v>
      </c>
    </row>
    <row r="110" spans="1:16" s="36" customFormat="1" ht="28.5" x14ac:dyDescent="0.4">
      <c r="A110" s="42" t="s">
        <v>309</v>
      </c>
      <c r="B110" s="37" t="s">
        <v>280</v>
      </c>
      <c r="C110" s="38" t="str">
        <f>IFERROR([1]!IntrinioBankFinancials(rssd_id,$S$2,C$6,C$5,$B110,"K"),"")</f>
        <v/>
      </c>
      <c r="D110" s="38" t="str">
        <f>IFERROR([1]!IntrinioBankFinancials(rssd_id,$S$2,D$6,D$5,$B110,"K"),"")</f>
        <v/>
      </c>
      <c r="E110" s="38" t="str">
        <f>IFERROR([1]!IntrinioBankFinancials(rssd_id,$S$2,E$6,E$5,$B110,"K"),"")</f>
        <v/>
      </c>
      <c r="F110" s="38" t="str">
        <f>IFERROR([1]!IntrinioBankFinancials(rssd_id,$S$2,F$6,F$5,$B110,"K"),"")</f>
        <v/>
      </c>
      <c r="G110" s="38" t="str">
        <f>IFERROR([1]!IntrinioBankFinancials(rssd_id,$S$2,G$6,G$5,$B110,"K"),"")</f>
        <v/>
      </c>
      <c r="H110" s="38" t="str">
        <f>IFERROR([1]!IntrinioBankFinancials(rssd_id,$S$2,H$6,H$5,$B110,"K"),"")</f>
        <v/>
      </c>
      <c r="I110" s="38" t="str">
        <f>IFERROR([1]!IntrinioBankFinancials(rssd_id,$S$2,I$6,I$5,$B110,"K"),"")</f>
        <v/>
      </c>
      <c r="J110" s="38" t="str">
        <f>IFERROR([1]!IntrinioBankFinancials(rssd_id,$S$2,J$6,J$5,$B110,"K"),"")</f>
        <v/>
      </c>
      <c r="K110" s="38" t="str">
        <f>IFERROR([1]!IntrinioBankFinancials(rssd_id,$S$2,K$6,K$5,$B110,"K"),"")</f>
        <v/>
      </c>
      <c r="L110" s="38" t="str">
        <f>IFERROR([1]!IntrinioBankFinancials(rssd_id,$S$2,L$6,L$5,$B110,"K"),"")</f>
        <v/>
      </c>
      <c r="M110" s="38" t="str">
        <f>IFERROR([1]!IntrinioBankFinancials(rssd_id,$S$2,M$6,M$5,$B110,"K"),"")</f>
        <v/>
      </c>
      <c r="N110" s="38" t="str">
        <f>IFERROR([1]!IntrinioBankFinancials(rssd_id,$S$2,N$6,N$5,$B110,"K"),"")</f>
        <v/>
      </c>
      <c r="O110" s="38" t="str">
        <f>IFERROR([1]!IntrinioBankFinancials(rssd_id,$S$2,O$6,O$5,$B110,"K"),"")</f>
        <v/>
      </c>
      <c r="P110" s="46" t="s">
        <v>281</v>
      </c>
    </row>
    <row r="111" spans="1:16" s="36" customFormat="1" ht="28.5" x14ac:dyDescent="0.4">
      <c r="A111" s="41" t="s">
        <v>308</v>
      </c>
      <c r="B111" s="34"/>
      <c r="C111" s="35"/>
      <c r="D111" s="35"/>
      <c r="E111" s="35"/>
      <c r="F111" s="35"/>
      <c r="G111" s="35"/>
      <c r="H111" s="35"/>
      <c r="I111" s="35"/>
      <c r="J111" s="35"/>
      <c r="K111" s="35"/>
      <c r="L111" s="35"/>
      <c r="M111" s="35"/>
      <c r="N111" s="35"/>
      <c r="O111" s="35"/>
      <c r="P111" s="46" t="s">
        <v>282</v>
      </c>
    </row>
    <row r="112" spans="1:16" s="36" customFormat="1" ht="42.75" x14ac:dyDescent="0.4">
      <c r="A112" s="42" t="s">
        <v>310</v>
      </c>
      <c r="B112" s="37" t="s">
        <v>283</v>
      </c>
      <c r="C112" s="38" t="str">
        <f>IFERROR([1]!IntrinioBankFinancials(rssd_id,$S$2,C$6,C$5,$B112,"K"),"")</f>
        <v/>
      </c>
      <c r="D112" s="38" t="str">
        <f>IFERROR([1]!IntrinioBankFinancials(rssd_id,$S$2,D$6,D$5,$B112,"K"),"")</f>
        <v/>
      </c>
      <c r="E112" s="38" t="str">
        <f>IFERROR([1]!IntrinioBankFinancials(rssd_id,$S$2,E$6,E$5,$B112,"K"),"")</f>
        <v/>
      </c>
      <c r="F112" s="38" t="str">
        <f>IFERROR([1]!IntrinioBankFinancials(rssd_id,$S$2,F$6,F$5,$B112,"K"),"")</f>
        <v/>
      </c>
      <c r="G112" s="38" t="str">
        <f>IFERROR([1]!IntrinioBankFinancials(rssd_id,$S$2,G$6,G$5,$B112,"K"),"")</f>
        <v/>
      </c>
      <c r="H112" s="38" t="str">
        <f>IFERROR([1]!IntrinioBankFinancials(rssd_id,$S$2,H$6,H$5,$B112,"K"),"")</f>
        <v/>
      </c>
      <c r="I112" s="38" t="str">
        <f>IFERROR([1]!IntrinioBankFinancials(rssd_id,$S$2,I$6,I$5,$B112,"K"),"")</f>
        <v/>
      </c>
      <c r="J112" s="38" t="str">
        <f>IFERROR([1]!IntrinioBankFinancials(rssd_id,$S$2,J$6,J$5,$B112,"K"),"")</f>
        <v/>
      </c>
      <c r="K112" s="38" t="str">
        <f>IFERROR([1]!IntrinioBankFinancials(rssd_id,$S$2,K$6,K$5,$B112,"K"),"")</f>
        <v/>
      </c>
      <c r="L112" s="38" t="str">
        <f>IFERROR([1]!IntrinioBankFinancials(rssd_id,$S$2,L$6,L$5,$B112,"K"),"")</f>
        <v/>
      </c>
      <c r="M112" s="38" t="str">
        <f>IFERROR([1]!IntrinioBankFinancials(rssd_id,$S$2,M$6,M$5,$B112,"K"),"")</f>
        <v/>
      </c>
      <c r="N112" s="38" t="str">
        <f>IFERROR([1]!IntrinioBankFinancials(rssd_id,$S$2,N$6,N$5,$B112,"K"),"")</f>
        <v/>
      </c>
      <c r="O112" s="38" t="str">
        <f>IFERROR([1]!IntrinioBankFinancials(rssd_id,$S$2,O$6,O$5,$B112,"K"),"")</f>
        <v/>
      </c>
      <c r="P112" s="46" t="s">
        <v>284</v>
      </c>
    </row>
    <row r="113" spans="1:16" s="36" customFormat="1" ht="42.75" x14ac:dyDescent="0.4">
      <c r="A113" s="42" t="s">
        <v>311</v>
      </c>
      <c r="B113" s="37" t="s">
        <v>285</v>
      </c>
      <c r="C113" s="38" t="str">
        <f>IFERROR([1]!IntrinioBankFinancials(rssd_id,$S$2,C$6,C$5,$B113,"K"),"")</f>
        <v/>
      </c>
      <c r="D113" s="38" t="str">
        <f>IFERROR([1]!IntrinioBankFinancials(rssd_id,$S$2,D$6,D$5,$B113,"K"),"")</f>
        <v/>
      </c>
      <c r="E113" s="38" t="str">
        <f>IFERROR([1]!IntrinioBankFinancials(rssd_id,$S$2,E$6,E$5,$B113,"K"),"")</f>
        <v/>
      </c>
      <c r="F113" s="38" t="str">
        <f>IFERROR([1]!IntrinioBankFinancials(rssd_id,$S$2,F$6,F$5,$B113,"K"),"")</f>
        <v/>
      </c>
      <c r="G113" s="38" t="str">
        <f>IFERROR([1]!IntrinioBankFinancials(rssd_id,$S$2,G$6,G$5,$B113,"K"),"")</f>
        <v/>
      </c>
      <c r="H113" s="38" t="str">
        <f>IFERROR([1]!IntrinioBankFinancials(rssd_id,$S$2,H$6,H$5,$B113,"K"),"")</f>
        <v/>
      </c>
      <c r="I113" s="38" t="str">
        <f>IFERROR([1]!IntrinioBankFinancials(rssd_id,$S$2,I$6,I$5,$B113,"K"),"")</f>
        <v/>
      </c>
      <c r="J113" s="38" t="str">
        <f>IFERROR([1]!IntrinioBankFinancials(rssd_id,$S$2,J$6,J$5,$B113,"K"),"")</f>
        <v/>
      </c>
      <c r="K113" s="38" t="str">
        <f>IFERROR([1]!IntrinioBankFinancials(rssd_id,$S$2,K$6,K$5,$B113,"K"),"")</f>
        <v/>
      </c>
      <c r="L113" s="38" t="str">
        <f>IFERROR([1]!IntrinioBankFinancials(rssd_id,$S$2,L$6,L$5,$B113,"K"),"")</f>
        <v/>
      </c>
      <c r="M113" s="38" t="str">
        <f>IFERROR([1]!IntrinioBankFinancials(rssd_id,$S$2,M$6,M$5,$B113,"K"),"")</f>
        <v/>
      </c>
      <c r="N113" s="38" t="str">
        <f>IFERROR([1]!IntrinioBankFinancials(rssd_id,$S$2,N$6,N$5,$B113,"K"),"")</f>
        <v/>
      </c>
      <c r="O113" s="38" t="str">
        <f>IFERROR([1]!IntrinioBankFinancials(rssd_id,$S$2,O$6,O$5,$B113,"K"),"")</f>
        <v/>
      </c>
      <c r="P113" s="46" t="s">
        <v>286</v>
      </c>
    </row>
    <row r="114" spans="1:16" s="36" customFormat="1" ht="42.75" x14ac:dyDescent="0.4">
      <c r="A114" s="42" t="s">
        <v>312</v>
      </c>
      <c r="B114" s="37" t="s">
        <v>287</v>
      </c>
      <c r="C114" s="38" t="str">
        <f>IFERROR([1]!IntrinioBankFinancials(rssd_id,$S$2,C$6,C$5,$B114,"K"),"")</f>
        <v/>
      </c>
      <c r="D114" s="38" t="str">
        <f>IFERROR([1]!IntrinioBankFinancials(rssd_id,$S$2,D$6,D$5,$B114,"K"),"")</f>
        <v/>
      </c>
      <c r="E114" s="38" t="str">
        <f>IFERROR([1]!IntrinioBankFinancials(rssd_id,$S$2,E$6,E$5,$B114,"K"),"")</f>
        <v/>
      </c>
      <c r="F114" s="38" t="str">
        <f>IFERROR([1]!IntrinioBankFinancials(rssd_id,$S$2,F$6,F$5,$B114,"K"),"")</f>
        <v/>
      </c>
      <c r="G114" s="38" t="str">
        <f>IFERROR([1]!IntrinioBankFinancials(rssd_id,$S$2,G$6,G$5,$B114,"K"),"")</f>
        <v/>
      </c>
      <c r="H114" s="38" t="str">
        <f>IFERROR([1]!IntrinioBankFinancials(rssd_id,$S$2,H$6,H$5,$B114,"K"),"")</f>
        <v/>
      </c>
      <c r="I114" s="38" t="str">
        <f>IFERROR([1]!IntrinioBankFinancials(rssd_id,$S$2,I$6,I$5,$B114,"K"),"")</f>
        <v/>
      </c>
      <c r="J114" s="38" t="str">
        <f>IFERROR([1]!IntrinioBankFinancials(rssd_id,$S$2,J$6,J$5,$B114,"K"),"")</f>
        <v/>
      </c>
      <c r="K114" s="38" t="str">
        <f>IFERROR([1]!IntrinioBankFinancials(rssd_id,$S$2,K$6,K$5,$B114,"K"),"")</f>
        <v/>
      </c>
      <c r="L114" s="38" t="str">
        <f>IFERROR([1]!IntrinioBankFinancials(rssd_id,$S$2,L$6,L$5,$B114,"K"),"")</f>
        <v/>
      </c>
      <c r="M114" s="38" t="str">
        <f>IFERROR([1]!IntrinioBankFinancials(rssd_id,$S$2,M$6,M$5,$B114,"K"),"")</f>
        <v/>
      </c>
      <c r="N114" s="38" t="str">
        <f>IFERROR([1]!IntrinioBankFinancials(rssd_id,$S$2,N$6,N$5,$B114,"K"),"")</f>
        <v/>
      </c>
      <c r="O114" s="38" t="str">
        <f>IFERROR([1]!IntrinioBankFinancials(rssd_id,$S$2,O$6,O$5,$B114,"K"),"")</f>
        <v/>
      </c>
      <c r="P114" s="46" t="s">
        <v>288</v>
      </c>
    </row>
    <row r="115" spans="1:16" s="36" customFormat="1" ht="14.25" x14ac:dyDescent="0.4">
      <c r="A115" s="42" t="s">
        <v>289</v>
      </c>
      <c r="B115" s="37" t="s">
        <v>290</v>
      </c>
      <c r="C115" s="38" t="str">
        <f>IFERROR([1]!IntrinioBankFinancials(rssd_id,$S$2,C$6,C$5,$B115,"K"),"")</f>
        <v/>
      </c>
      <c r="D115" s="38" t="str">
        <f>IFERROR([1]!IntrinioBankFinancials(rssd_id,$S$2,D$6,D$5,$B115,"K"),"")</f>
        <v/>
      </c>
      <c r="E115" s="38" t="str">
        <f>IFERROR([1]!IntrinioBankFinancials(rssd_id,$S$2,E$6,E$5,$B115,"K"),"")</f>
        <v/>
      </c>
      <c r="F115" s="38" t="str">
        <f>IFERROR([1]!IntrinioBankFinancials(rssd_id,$S$2,F$6,F$5,$B115,"K"),"")</f>
        <v/>
      </c>
      <c r="G115" s="38" t="str">
        <f>IFERROR([1]!IntrinioBankFinancials(rssd_id,$S$2,G$6,G$5,$B115,"K"),"")</f>
        <v/>
      </c>
      <c r="H115" s="38" t="str">
        <f>IFERROR([1]!IntrinioBankFinancials(rssd_id,$S$2,H$6,H$5,$B115,"K"),"")</f>
        <v/>
      </c>
      <c r="I115" s="38" t="str">
        <f>IFERROR([1]!IntrinioBankFinancials(rssd_id,$S$2,I$6,I$5,$B115,"K"),"")</f>
        <v/>
      </c>
      <c r="J115" s="38" t="str">
        <f>IFERROR([1]!IntrinioBankFinancials(rssd_id,$S$2,J$6,J$5,$B115,"K"),"")</f>
        <v/>
      </c>
      <c r="K115" s="38" t="str">
        <f>IFERROR([1]!IntrinioBankFinancials(rssd_id,$S$2,K$6,K$5,$B115,"K"),"")</f>
        <v/>
      </c>
      <c r="L115" s="38" t="str">
        <f>IFERROR([1]!IntrinioBankFinancials(rssd_id,$S$2,L$6,L$5,$B115,"K"),"")</f>
        <v/>
      </c>
      <c r="M115" s="38" t="str">
        <f>IFERROR([1]!IntrinioBankFinancials(rssd_id,$S$2,M$6,M$5,$B115,"K"),"")</f>
        <v/>
      </c>
      <c r="N115" s="38" t="str">
        <f>IFERROR([1]!IntrinioBankFinancials(rssd_id,$S$2,N$6,N$5,$B115,"K"),"")</f>
        <v/>
      </c>
      <c r="O115" s="38" t="str">
        <f>IFERROR([1]!IntrinioBankFinancials(rssd_id,$S$2,O$6,O$5,$B115,"K"),"")</f>
        <v/>
      </c>
      <c r="P115" s="46" t="s">
        <v>291</v>
      </c>
    </row>
  </sheetData>
  <pageMargins left="0.7" right="0.7" top="0.75" bottom="0.75" header="0.3" footer="0.3"/>
  <pageSetup scale="83" fitToHeight="0" orientation="landscape" r:id="rId1"/>
  <headerFooter>
    <oddFooter>&amp;L&amp;G&amp;R&amp;P</oddFooter>
  </headerFooter>
  <rowBreaks count="1" manualBreakCount="1">
    <brk id="78" max="8"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79998168889431442"/>
    <pageSetUpPr fitToPage="1"/>
  </sheetPr>
  <dimension ref="A1:S145"/>
  <sheetViews>
    <sheetView view="pageBreakPreview" zoomScaleNormal="100" zoomScaleSheetLayoutView="100" workbookViewId="0">
      <pane xSplit="1" ySplit="5" topLeftCell="B6" activePane="bottomRight" state="frozen"/>
      <selection pane="topRight"/>
      <selection pane="bottomLeft"/>
      <selection pane="bottomRight"/>
    </sheetView>
  </sheetViews>
  <sheetFormatPr defaultColWidth="9.140625" defaultRowHeight="18" outlineLevelCol="1" x14ac:dyDescent="0.4"/>
  <cols>
    <col min="1" max="1" width="67.1406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4.640625"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1" t="s">
        <v>3</v>
      </c>
      <c r="B2" s="28"/>
      <c r="C2" s="29"/>
      <c r="D2" s="29"/>
      <c r="E2" s="29"/>
      <c r="F2" s="29"/>
      <c r="G2" s="29"/>
      <c r="H2" s="29"/>
      <c r="I2" s="29"/>
      <c r="J2" s="29"/>
      <c r="K2" s="29"/>
      <c r="L2" s="29"/>
      <c r="M2" s="29"/>
      <c r="N2" s="29"/>
      <c r="O2" s="29"/>
      <c r="P2" s="48"/>
      <c r="R2" s="6" t="s">
        <v>430</v>
      </c>
      <c r="S2" s="6" t="s">
        <v>433</v>
      </c>
    </row>
    <row r="3" spans="1:19" x14ac:dyDescent="0.55000000000000004">
      <c r="A3" s="19" t="s">
        <v>24</v>
      </c>
      <c r="B3" s="28"/>
      <c r="C3" s="52">
        <f t="shared" ref="C3:N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 t="shared" si="0"/>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42.75" x14ac:dyDescent="0.4">
      <c r="A6" s="39" t="s">
        <v>426</v>
      </c>
      <c r="B6" s="37" t="s">
        <v>328</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329</v>
      </c>
      <c r="B7" s="37" t="s">
        <v>330</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331</v>
      </c>
      <c r="B8" s="37" t="s">
        <v>332</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333</v>
      </c>
      <c r="B9" s="37" t="s">
        <v>207</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28.5" x14ac:dyDescent="0.4">
      <c r="A10" s="39" t="s">
        <v>334</v>
      </c>
      <c r="B10" s="37" t="s">
        <v>335</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5</v>
      </c>
    </row>
    <row r="11" spans="1:19" s="40" customFormat="1" ht="14.25" x14ac:dyDescent="0.4">
      <c r="A11" s="39" t="s">
        <v>336</v>
      </c>
      <c r="B11" s="37" t="s">
        <v>337</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6</v>
      </c>
    </row>
    <row r="12" spans="1:19" s="40" customFormat="1" ht="14.25" x14ac:dyDescent="0.4">
      <c r="A12" s="39" t="s">
        <v>338</v>
      </c>
      <c r="B12" s="37" t="s">
        <v>339</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7</v>
      </c>
    </row>
    <row r="13" spans="1:19" s="40" customFormat="1" ht="14.25" x14ac:dyDescent="0.4">
      <c r="A13" s="39" t="s">
        <v>340</v>
      </c>
      <c r="B13" s="37" t="s">
        <v>341</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8</v>
      </c>
    </row>
    <row r="14" spans="1:19" s="40" customFormat="1" ht="14.25" x14ac:dyDescent="0.4">
      <c r="A14" s="39" t="s">
        <v>342</v>
      </c>
      <c r="B14" s="37" t="s">
        <v>343</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9</v>
      </c>
    </row>
    <row r="15" spans="1:19" s="40" customFormat="1" ht="14.25" x14ac:dyDescent="0.4">
      <c r="A15" s="39" t="s">
        <v>344</v>
      </c>
      <c r="B15" s="37" t="s">
        <v>345</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10</v>
      </c>
    </row>
    <row r="16" spans="1:19" s="40" customFormat="1" ht="28.5" x14ac:dyDescent="0.4">
      <c r="A16" s="39" t="s">
        <v>427</v>
      </c>
      <c r="B16" s="37" t="s">
        <v>346</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11</v>
      </c>
    </row>
    <row r="17" spans="1:16" s="40" customFormat="1" ht="28.5" x14ac:dyDescent="0.4">
      <c r="A17" s="39" t="s">
        <v>428</v>
      </c>
      <c r="B17" s="37" t="s">
        <v>347</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v>12</v>
      </c>
    </row>
    <row r="18" spans="1:16" x14ac:dyDescent="0.4">
      <c r="B18" s="32"/>
      <c r="C18" s="33"/>
      <c r="D18" s="33"/>
      <c r="E18" s="33"/>
      <c r="F18" s="33"/>
      <c r="G18" s="33"/>
      <c r="H18" s="33"/>
      <c r="I18" s="33"/>
      <c r="J18" s="33"/>
      <c r="K18" s="33"/>
      <c r="L18" s="33"/>
      <c r="M18" s="33"/>
      <c r="N18" s="33"/>
      <c r="O18" s="33"/>
    </row>
    <row r="19" spans="1:16" x14ac:dyDescent="0.4">
      <c r="B19" s="32"/>
      <c r="C19" s="33"/>
      <c r="D19" s="33"/>
      <c r="E19" s="33"/>
      <c r="F19" s="33"/>
      <c r="G19" s="33"/>
      <c r="H19" s="33"/>
      <c r="I19" s="33"/>
      <c r="J19" s="33"/>
      <c r="K19" s="33"/>
      <c r="L19" s="33"/>
      <c r="M19" s="33"/>
      <c r="N19" s="33"/>
      <c r="O19" s="33"/>
    </row>
    <row r="20" spans="1:16" x14ac:dyDescent="0.4">
      <c r="B20" s="32"/>
      <c r="C20" s="33"/>
      <c r="D20" s="33"/>
      <c r="E20" s="33"/>
      <c r="F20" s="33"/>
      <c r="G20" s="33"/>
      <c r="H20" s="33"/>
      <c r="I20" s="33"/>
      <c r="J20" s="33"/>
      <c r="K20" s="33"/>
      <c r="L20" s="33"/>
      <c r="M20" s="33"/>
      <c r="N20" s="33"/>
      <c r="O20" s="33"/>
    </row>
    <row r="21" spans="1:16" x14ac:dyDescent="0.4">
      <c r="B21" s="32"/>
      <c r="C21" s="33"/>
      <c r="D21" s="33"/>
      <c r="E21" s="33"/>
      <c r="F21" s="33"/>
      <c r="G21" s="33"/>
      <c r="H21" s="33"/>
      <c r="I21" s="33"/>
      <c r="J21" s="33"/>
      <c r="K21" s="33"/>
      <c r="L21" s="33"/>
      <c r="M21" s="33"/>
      <c r="N21" s="33"/>
      <c r="O21" s="33"/>
    </row>
    <row r="22" spans="1:16" x14ac:dyDescent="0.4">
      <c r="B22" s="32"/>
      <c r="C22" s="33"/>
      <c r="D22" s="33"/>
      <c r="E22" s="33"/>
      <c r="F22" s="33"/>
      <c r="G22" s="33"/>
      <c r="H22" s="33"/>
      <c r="I22" s="33"/>
      <c r="J22" s="33"/>
      <c r="K22" s="33"/>
      <c r="L22" s="33"/>
      <c r="M22" s="33"/>
      <c r="N22" s="33"/>
      <c r="O22" s="33"/>
    </row>
    <row r="23" spans="1:16" x14ac:dyDescent="0.4">
      <c r="B23" s="32"/>
      <c r="C23" s="33"/>
      <c r="D23" s="33"/>
      <c r="E23" s="33"/>
      <c r="F23" s="33"/>
      <c r="G23" s="33"/>
      <c r="H23" s="33"/>
      <c r="I23" s="33"/>
      <c r="J23" s="33"/>
      <c r="K23" s="33"/>
      <c r="L23" s="33"/>
      <c r="M23" s="33"/>
      <c r="N23" s="33"/>
      <c r="O23" s="33"/>
    </row>
    <row r="24" spans="1:16" x14ac:dyDescent="0.4">
      <c r="B24" s="32"/>
      <c r="C24" s="33"/>
      <c r="D24" s="33"/>
      <c r="E24" s="33"/>
      <c r="F24" s="33"/>
      <c r="G24" s="33"/>
      <c r="H24" s="33"/>
      <c r="I24" s="33"/>
      <c r="J24" s="33"/>
      <c r="K24" s="33"/>
      <c r="L24" s="33"/>
      <c r="M24" s="33"/>
      <c r="N24" s="33"/>
      <c r="O24" s="33"/>
    </row>
    <row r="25" spans="1:16" x14ac:dyDescent="0.4">
      <c r="B25" s="32"/>
      <c r="C25" s="33"/>
      <c r="D25" s="33"/>
      <c r="E25" s="33"/>
      <c r="F25" s="33"/>
      <c r="G25" s="33"/>
      <c r="H25" s="33"/>
      <c r="I25" s="33"/>
      <c r="J25" s="33"/>
      <c r="K25" s="33"/>
      <c r="L25" s="33"/>
      <c r="M25" s="33"/>
      <c r="N25" s="33"/>
      <c r="O25" s="33"/>
    </row>
    <row r="26" spans="1:16" x14ac:dyDescent="0.4">
      <c r="B26" s="32"/>
      <c r="C26" s="33"/>
      <c r="D26" s="33"/>
      <c r="E26" s="33"/>
      <c r="F26" s="33"/>
      <c r="G26" s="33"/>
      <c r="H26" s="33"/>
      <c r="I26" s="33"/>
      <c r="J26" s="33"/>
      <c r="K26" s="33"/>
      <c r="L26" s="33"/>
      <c r="M26" s="33"/>
      <c r="N26" s="33"/>
      <c r="O26" s="33"/>
    </row>
    <row r="27" spans="1:16" x14ac:dyDescent="0.4">
      <c r="B27" s="32"/>
      <c r="C27" s="33"/>
      <c r="D27" s="33"/>
      <c r="E27" s="33"/>
      <c r="F27" s="33"/>
      <c r="G27" s="33"/>
      <c r="H27" s="33"/>
      <c r="I27" s="33"/>
      <c r="J27" s="33"/>
      <c r="K27" s="33"/>
      <c r="L27" s="33"/>
      <c r="M27" s="33"/>
      <c r="N27" s="33"/>
      <c r="O27" s="33"/>
    </row>
    <row r="28" spans="1:16" x14ac:dyDescent="0.4">
      <c r="B28" s="32"/>
      <c r="C28" s="33"/>
      <c r="D28" s="33"/>
      <c r="E28" s="33"/>
      <c r="F28" s="33"/>
      <c r="G28" s="33"/>
      <c r="H28" s="33"/>
      <c r="I28" s="33"/>
      <c r="J28" s="33"/>
      <c r="K28" s="33"/>
      <c r="L28" s="33"/>
      <c r="M28" s="33"/>
      <c r="N28" s="33"/>
      <c r="O28" s="33"/>
    </row>
    <row r="29" spans="1:16" x14ac:dyDescent="0.4">
      <c r="B29" s="32"/>
      <c r="C29" s="33"/>
      <c r="D29" s="33"/>
      <c r="E29" s="33"/>
      <c r="F29" s="33"/>
      <c r="G29" s="33"/>
      <c r="H29" s="33"/>
      <c r="I29" s="33"/>
      <c r="J29" s="33"/>
      <c r="K29" s="33"/>
      <c r="L29" s="33"/>
      <c r="M29" s="33"/>
      <c r="N29" s="33"/>
      <c r="O29" s="33"/>
    </row>
    <row r="30" spans="1:16" x14ac:dyDescent="0.4">
      <c r="B30" s="32"/>
      <c r="C30" s="33"/>
      <c r="D30" s="33"/>
      <c r="E30" s="33"/>
      <c r="F30" s="33"/>
      <c r="G30" s="33"/>
      <c r="H30" s="33"/>
      <c r="I30" s="33"/>
      <c r="J30" s="33"/>
      <c r="K30" s="33"/>
      <c r="L30" s="33"/>
      <c r="M30" s="33"/>
      <c r="N30" s="33"/>
      <c r="O30" s="33"/>
    </row>
    <row r="31" spans="1:16" x14ac:dyDescent="0.4">
      <c r="B31" s="32"/>
      <c r="C31" s="33"/>
      <c r="D31" s="33"/>
      <c r="E31" s="33"/>
      <c r="F31" s="33"/>
      <c r="G31" s="33"/>
      <c r="H31" s="33"/>
      <c r="I31" s="33"/>
      <c r="J31" s="33"/>
      <c r="K31" s="33"/>
      <c r="L31" s="33"/>
      <c r="M31" s="33"/>
      <c r="N31" s="33"/>
      <c r="O31" s="33"/>
    </row>
    <row r="32" spans="1:16" x14ac:dyDescent="0.4">
      <c r="B32" s="32"/>
      <c r="C32" s="33"/>
      <c r="D32" s="33"/>
      <c r="E32" s="33"/>
      <c r="F32" s="33"/>
      <c r="G32" s="33"/>
      <c r="H32" s="33"/>
      <c r="I32" s="33"/>
      <c r="J32" s="33"/>
      <c r="K32" s="33"/>
      <c r="L32" s="33"/>
      <c r="M32" s="33"/>
      <c r="N32" s="33"/>
      <c r="O32" s="33"/>
    </row>
    <row r="33" spans="2:15" x14ac:dyDescent="0.4">
      <c r="B33" s="32"/>
      <c r="C33" s="33"/>
      <c r="D33" s="33"/>
      <c r="E33" s="33"/>
      <c r="F33" s="33"/>
      <c r="G33" s="33"/>
      <c r="H33" s="33"/>
      <c r="I33" s="33"/>
      <c r="J33" s="33"/>
      <c r="K33" s="33"/>
      <c r="L33" s="33"/>
      <c r="M33" s="33"/>
      <c r="N33" s="33"/>
      <c r="O33" s="33"/>
    </row>
    <row r="34" spans="2:15" x14ac:dyDescent="0.4">
      <c r="B34" s="32"/>
      <c r="C34" s="33"/>
      <c r="D34" s="33"/>
      <c r="E34" s="33"/>
      <c r="F34" s="33"/>
      <c r="G34" s="33"/>
      <c r="H34" s="33"/>
      <c r="I34" s="33"/>
      <c r="J34" s="33"/>
      <c r="K34" s="33"/>
      <c r="L34" s="33"/>
      <c r="M34" s="33"/>
      <c r="N34" s="33"/>
      <c r="O34" s="33"/>
    </row>
    <row r="35" spans="2:15" x14ac:dyDescent="0.4">
      <c r="B35" s="32"/>
      <c r="C35" s="33"/>
      <c r="D35" s="33"/>
      <c r="E35" s="33"/>
      <c r="F35" s="33"/>
      <c r="G35" s="33"/>
      <c r="H35" s="33"/>
      <c r="I35" s="33"/>
      <c r="J35" s="33"/>
      <c r="K35" s="33"/>
      <c r="L35" s="33"/>
      <c r="M35" s="33"/>
      <c r="N35" s="33"/>
      <c r="O35" s="33"/>
    </row>
    <row r="36" spans="2:15" x14ac:dyDescent="0.4">
      <c r="B36" s="32"/>
      <c r="C36" s="33"/>
      <c r="D36" s="33"/>
      <c r="E36" s="33"/>
      <c r="F36" s="33"/>
      <c r="G36" s="33"/>
      <c r="H36" s="33"/>
      <c r="I36" s="33"/>
      <c r="J36" s="33"/>
      <c r="K36" s="33"/>
      <c r="L36" s="33"/>
      <c r="M36" s="33"/>
      <c r="N36" s="33"/>
      <c r="O36" s="33"/>
    </row>
    <row r="37" spans="2:15" x14ac:dyDescent="0.4">
      <c r="B37" s="32"/>
      <c r="C37" s="33"/>
      <c r="D37" s="33"/>
      <c r="E37" s="33"/>
      <c r="F37" s="33"/>
      <c r="G37" s="33"/>
      <c r="H37" s="33"/>
      <c r="I37" s="33"/>
      <c r="J37" s="33"/>
      <c r="K37" s="33"/>
      <c r="L37" s="33"/>
      <c r="M37" s="33"/>
      <c r="N37" s="33"/>
      <c r="O37" s="33"/>
    </row>
    <row r="38" spans="2:15" x14ac:dyDescent="0.4">
      <c r="B38" s="32"/>
      <c r="C38" s="33"/>
      <c r="D38" s="33"/>
      <c r="E38" s="33"/>
      <c r="F38" s="33"/>
      <c r="G38" s="33"/>
      <c r="H38" s="33"/>
      <c r="I38" s="33"/>
      <c r="J38" s="33"/>
      <c r="K38" s="33"/>
      <c r="L38" s="33"/>
      <c r="M38" s="33"/>
      <c r="N38" s="33"/>
      <c r="O38" s="33"/>
    </row>
    <row r="39" spans="2:15" x14ac:dyDescent="0.4">
      <c r="B39" s="32"/>
      <c r="C39" s="33"/>
      <c r="D39" s="33"/>
      <c r="E39" s="33"/>
      <c r="F39" s="33"/>
      <c r="G39" s="33"/>
      <c r="H39" s="33"/>
      <c r="I39" s="33"/>
      <c r="J39" s="33"/>
      <c r="K39" s="33"/>
      <c r="L39" s="33"/>
      <c r="M39" s="33"/>
      <c r="N39" s="33"/>
      <c r="O39" s="33"/>
    </row>
    <row r="40" spans="2:15" x14ac:dyDescent="0.4">
      <c r="B40" s="32"/>
      <c r="C40" s="33"/>
      <c r="D40" s="33"/>
      <c r="E40" s="33"/>
      <c r="F40" s="33"/>
      <c r="G40" s="33"/>
      <c r="H40" s="33"/>
      <c r="I40" s="33"/>
      <c r="J40" s="33"/>
      <c r="K40" s="33"/>
      <c r="L40" s="33"/>
      <c r="M40" s="33"/>
      <c r="N40" s="33"/>
      <c r="O40" s="33"/>
    </row>
    <row r="41" spans="2:15" x14ac:dyDescent="0.4">
      <c r="B41" s="32"/>
      <c r="C41" s="33"/>
      <c r="D41" s="33"/>
      <c r="E41" s="33"/>
      <c r="F41" s="33"/>
      <c r="G41" s="33"/>
      <c r="H41" s="33"/>
      <c r="I41" s="33"/>
      <c r="J41" s="33"/>
      <c r="K41" s="33"/>
      <c r="L41" s="33"/>
      <c r="M41" s="33"/>
      <c r="N41" s="33"/>
      <c r="O41" s="33"/>
    </row>
    <row r="42" spans="2:15" x14ac:dyDescent="0.4">
      <c r="B42" s="32"/>
      <c r="C42" s="33"/>
      <c r="D42" s="33"/>
      <c r="E42" s="33"/>
      <c r="F42" s="33"/>
      <c r="G42" s="33"/>
      <c r="H42" s="33"/>
      <c r="I42" s="33"/>
      <c r="J42" s="33"/>
      <c r="K42" s="33"/>
      <c r="L42" s="33"/>
      <c r="M42" s="33"/>
      <c r="N42" s="33"/>
      <c r="O42" s="33"/>
    </row>
    <row r="43" spans="2:15" x14ac:dyDescent="0.4">
      <c r="B43" s="32"/>
      <c r="C43" s="33"/>
      <c r="D43" s="33"/>
      <c r="E43" s="33"/>
      <c r="F43" s="33"/>
      <c r="G43" s="33"/>
      <c r="H43" s="33"/>
      <c r="I43" s="33"/>
      <c r="J43" s="33"/>
      <c r="K43" s="33"/>
      <c r="L43" s="33"/>
      <c r="M43" s="33"/>
      <c r="N43" s="33"/>
      <c r="O43" s="33"/>
    </row>
    <row r="44" spans="2:15" x14ac:dyDescent="0.4">
      <c r="B44" s="32"/>
      <c r="C44" s="33"/>
      <c r="D44" s="33"/>
      <c r="E44" s="33"/>
      <c r="F44" s="33"/>
      <c r="G44" s="33"/>
      <c r="H44" s="33"/>
      <c r="I44" s="33"/>
      <c r="J44" s="33"/>
      <c r="K44" s="33"/>
      <c r="L44" s="33"/>
      <c r="M44" s="33"/>
      <c r="N44" s="33"/>
      <c r="O44" s="33"/>
    </row>
    <row r="45" spans="2:15" x14ac:dyDescent="0.4">
      <c r="B45" s="32"/>
      <c r="C45" s="33"/>
      <c r="D45" s="33"/>
      <c r="E45" s="33"/>
      <c r="F45" s="33"/>
      <c r="G45" s="33"/>
      <c r="H45" s="33"/>
      <c r="I45" s="33"/>
      <c r="J45" s="33"/>
      <c r="K45" s="33"/>
      <c r="L45" s="33"/>
      <c r="M45" s="33"/>
      <c r="N45" s="33"/>
      <c r="O45" s="33"/>
    </row>
    <row r="46" spans="2:15" x14ac:dyDescent="0.4">
      <c r="B46" s="32"/>
      <c r="C46" s="33"/>
      <c r="D46" s="33"/>
      <c r="E46" s="33"/>
      <c r="F46" s="33"/>
      <c r="G46" s="33"/>
      <c r="H46" s="33"/>
      <c r="I46" s="33"/>
      <c r="J46" s="33"/>
      <c r="K46" s="33"/>
      <c r="L46" s="33"/>
      <c r="M46" s="33"/>
      <c r="N46" s="33"/>
      <c r="O46" s="33"/>
    </row>
    <row r="47" spans="2:15" x14ac:dyDescent="0.4">
      <c r="B47" s="32"/>
      <c r="C47" s="33"/>
      <c r="D47" s="33"/>
      <c r="E47" s="33"/>
      <c r="F47" s="33"/>
      <c r="G47" s="33"/>
      <c r="H47" s="33"/>
      <c r="I47" s="33"/>
      <c r="J47" s="33"/>
      <c r="K47" s="33"/>
      <c r="L47" s="33"/>
      <c r="M47" s="33"/>
      <c r="N47" s="33"/>
      <c r="O47" s="33"/>
    </row>
    <row r="48" spans="2:15" x14ac:dyDescent="0.4">
      <c r="B48" s="32"/>
      <c r="C48" s="33"/>
      <c r="D48" s="33"/>
      <c r="E48" s="33"/>
      <c r="F48" s="33"/>
      <c r="G48" s="33"/>
      <c r="H48" s="33"/>
      <c r="I48" s="33"/>
      <c r="J48" s="33"/>
      <c r="K48" s="33"/>
      <c r="L48" s="33"/>
      <c r="M48" s="33"/>
      <c r="N48" s="33"/>
      <c r="O48" s="33"/>
    </row>
    <row r="49" spans="2:15" x14ac:dyDescent="0.4">
      <c r="B49" s="32"/>
      <c r="C49" s="33"/>
      <c r="D49" s="33"/>
      <c r="E49" s="33"/>
      <c r="F49" s="33"/>
      <c r="G49" s="33"/>
      <c r="H49" s="33"/>
      <c r="I49" s="33"/>
      <c r="J49" s="33"/>
      <c r="K49" s="33"/>
      <c r="L49" s="33"/>
      <c r="M49" s="33"/>
      <c r="N49" s="33"/>
      <c r="O49" s="33"/>
    </row>
    <row r="50" spans="2:15" x14ac:dyDescent="0.4">
      <c r="B50" s="32"/>
      <c r="C50" s="33"/>
      <c r="D50" s="33"/>
      <c r="E50" s="33"/>
      <c r="F50" s="33"/>
      <c r="G50" s="33"/>
      <c r="H50" s="33"/>
      <c r="I50" s="33"/>
      <c r="J50" s="33"/>
      <c r="K50" s="33"/>
      <c r="L50" s="33"/>
      <c r="M50" s="33"/>
      <c r="N50" s="33"/>
      <c r="O50" s="33"/>
    </row>
    <row r="51" spans="2:15" x14ac:dyDescent="0.4">
      <c r="B51" s="32"/>
      <c r="C51" s="33"/>
      <c r="D51" s="33"/>
      <c r="E51" s="33"/>
      <c r="F51" s="33"/>
      <c r="G51" s="33"/>
      <c r="H51" s="33"/>
      <c r="I51" s="33"/>
      <c r="J51" s="33"/>
      <c r="K51" s="33"/>
      <c r="L51" s="33"/>
      <c r="M51" s="33"/>
      <c r="N51" s="33"/>
      <c r="O51" s="33"/>
    </row>
    <row r="52" spans="2:15" x14ac:dyDescent="0.4">
      <c r="B52" s="32"/>
      <c r="C52" s="33"/>
      <c r="D52" s="33"/>
      <c r="E52" s="33"/>
      <c r="F52" s="33"/>
      <c r="G52" s="33"/>
      <c r="H52" s="33"/>
      <c r="I52" s="33"/>
      <c r="J52" s="33"/>
      <c r="K52" s="33"/>
      <c r="L52" s="33"/>
      <c r="M52" s="33"/>
      <c r="N52" s="33"/>
      <c r="O52" s="33"/>
    </row>
    <row r="53" spans="2:15" x14ac:dyDescent="0.4">
      <c r="B53" s="32"/>
      <c r="C53" s="33"/>
      <c r="D53" s="33"/>
      <c r="E53" s="33"/>
      <c r="F53" s="33"/>
      <c r="G53" s="33"/>
      <c r="H53" s="33"/>
      <c r="I53" s="33"/>
      <c r="J53" s="33"/>
      <c r="K53" s="33"/>
      <c r="L53" s="33"/>
      <c r="M53" s="33"/>
      <c r="N53" s="33"/>
      <c r="O53" s="33"/>
    </row>
    <row r="54" spans="2:15" x14ac:dyDescent="0.4">
      <c r="B54" s="32"/>
      <c r="C54" s="33"/>
      <c r="D54" s="33"/>
      <c r="E54" s="33"/>
      <c r="F54" s="33"/>
      <c r="G54" s="33"/>
      <c r="H54" s="33"/>
      <c r="I54" s="33"/>
      <c r="J54" s="33"/>
      <c r="K54" s="33"/>
      <c r="L54" s="33"/>
      <c r="M54" s="33"/>
      <c r="N54" s="33"/>
      <c r="O54" s="33"/>
    </row>
    <row r="55" spans="2:15" x14ac:dyDescent="0.4">
      <c r="B55" s="32"/>
      <c r="C55" s="33"/>
      <c r="D55" s="33"/>
      <c r="E55" s="33"/>
      <c r="F55" s="33"/>
      <c r="G55" s="33"/>
      <c r="H55" s="33"/>
      <c r="I55" s="33"/>
      <c r="J55" s="33"/>
      <c r="K55" s="33"/>
      <c r="L55" s="33"/>
      <c r="M55" s="33"/>
      <c r="N55" s="33"/>
      <c r="O55" s="33"/>
    </row>
    <row r="56" spans="2:15" x14ac:dyDescent="0.4">
      <c r="B56" s="32"/>
      <c r="C56" s="33"/>
      <c r="D56" s="33"/>
      <c r="E56" s="33"/>
      <c r="F56" s="33"/>
      <c r="G56" s="33"/>
      <c r="H56" s="33"/>
      <c r="I56" s="33"/>
      <c r="J56" s="33"/>
      <c r="K56" s="33"/>
      <c r="L56" s="33"/>
      <c r="M56" s="33"/>
      <c r="N56" s="33"/>
      <c r="O56" s="33"/>
    </row>
    <row r="57" spans="2:15" x14ac:dyDescent="0.4">
      <c r="B57" s="32"/>
      <c r="C57" s="33"/>
      <c r="D57" s="33"/>
      <c r="E57" s="33"/>
      <c r="F57" s="33"/>
      <c r="G57" s="33"/>
      <c r="H57" s="33"/>
      <c r="I57" s="33"/>
      <c r="J57" s="33"/>
      <c r="K57" s="33"/>
      <c r="L57" s="33"/>
      <c r="M57" s="33"/>
      <c r="N57" s="33"/>
      <c r="O57" s="33"/>
    </row>
    <row r="58" spans="2:15" x14ac:dyDescent="0.4">
      <c r="B58" s="32"/>
      <c r="C58" s="33"/>
      <c r="D58" s="33"/>
      <c r="E58" s="33"/>
      <c r="F58" s="33"/>
      <c r="G58" s="33"/>
      <c r="H58" s="33"/>
      <c r="I58" s="33"/>
      <c r="J58" s="33"/>
      <c r="K58" s="33"/>
      <c r="L58" s="33"/>
      <c r="M58" s="33"/>
      <c r="N58" s="33"/>
      <c r="O58" s="33"/>
    </row>
    <row r="59" spans="2:15" x14ac:dyDescent="0.4">
      <c r="B59" s="32"/>
      <c r="C59" s="33"/>
      <c r="D59" s="33"/>
      <c r="E59" s="33"/>
      <c r="F59" s="33"/>
      <c r="G59" s="33"/>
      <c r="H59" s="33"/>
      <c r="I59" s="33"/>
      <c r="J59" s="33"/>
      <c r="K59" s="33"/>
      <c r="L59" s="33"/>
      <c r="M59" s="33"/>
      <c r="N59" s="33"/>
      <c r="O59" s="33"/>
    </row>
    <row r="60" spans="2:15" x14ac:dyDescent="0.4">
      <c r="B60" s="32"/>
      <c r="C60" s="33"/>
      <c r="D60" s="33"/>
      <c r="E60" s="33"/>
      <c r="F60" s="33"/>
      <c r="G60" s="33"/>
      <c r="H60" s="33"/>
      <c r="I60" s="33"/>
      <c r="J60" s="33"/>
      <c r="K60" s="33"/>
      <c r="L60" s="33"/>
      <c r="M60" s="33"/>
      <c r="N60" s="33"/>
      <c r="O60" s="33"/>
    </row>
    <row r="61" spans="2:15" x14ac:dyDescent="0.4">
      <c r="B61" s="32"/>
      <c r="C61" s="33"/>
      <c r="D61" s="33"/>
      <c r="E61" s="33"/>
      <c r="F61" s="33"/>
      <c r="G61" s="33"/>
      <c r="H61" s="33"/>
      <c r="I61" s="33"/>
      <c r="J61" s="33"/>
      <c r="K61" s="33"/>
      <c r="L61" s="33"/>
      <c r="M61" s="33"/>
      <c r="N61" s="33"/>
      <c r="O61" s="33"/>
    </row>
    <row r="62" spans="2:15" x14ac:dyDescent="0.4">
      <c r="B62" s="32"/>
      <c r="C62" s="33"/>
      <c r="D62" s="33"/>
      <c r="E62" s="33"/>
      <c r="F62" s="33"/>
      <c r="G62" s="33"/>
      <c r="H62" s="33"/>
      <c r="I62" s="33"/>
      <c r="J62" s="33"/>
      <c r="K62" s="33"/>
      <c r="L62" s="33"/>
      <c r="M62" s="33"/>
      <c r="N62" s="33"/>
      <c r="O62" s="33"/>
    </row>
    <row r="63" spans="2:15" x14ac:dyDescent="0.4">
      <c r="B63" s="32"/>
      <c r="C63" s="33"/>
      <c r="D63" s="33"/>
      <c r="E63" s="33"/>
      <c r="F63" s="33"/>
      <c r="G63" s="33"/>
      <c r="H63" s="33"/>
      <c r="I63" s="33"/>
      <c r="J63" s="33"/>
      <c r="K63" s="33"/>
      <c r="L63" s="33"/>
      <c r="M63" s="33"/>
      <c r="N63" s="33"/>
      <c r="O63" s="33"/>
    </row>
    <row r="64" spans="2:15" x14ac:dyDescent="0.4">
      <c r="B64" s="32"/>
      <c r="C64" s="33"/>
      <c r="D64" s="33"/>
      <c r="E64" s="33"/>
      <c r="F64" s="33"/>
      <c r="G64" s="33"/>
      <c r="H64" s="33"/>
      <c r="I64" s="33"/>
      <c r="J64" s="33"/>
      <c r="K64" s="33"/>
      <c r="L64" s="33"/>
      <c r="M64" s="33"/>
      <c r="N64" s="33"/>
      <c r="O64" s="33"/>
    </row>
    <row r="65" spans="2:15" x14ac:dyDescent="0.4">
      <c r="B65" s="32"/>
      <c r="C65" s="33"/>
      <c r="D65" s="33"/>
      <c r="E65" s="33"/>
      <c r="F65" s="33"/>
      <c r="G65" s="33"/>
      <c r="H65" s="33"/>
      <c r="I65" s="33"/>
      <c r="J65" s="33"/>
      <c r="K65" s="33"/>
      <c r="L65" s="33"/>
      <c r="M65" s="33"/>
      <c r="N65" s="33"/>
      <c r="O65" s="33"/>
    </row>
    <row r="66" spans="2:15" x14ac:dyDescent="0.4">
      <c r="B66" s="32"/>
      <c r="C66" s="33"/>
      <c r="D66" s="33"/>
      <c r="E66" s="33"/>
      <c r="F66" s="33"/>
      <c r="G66" s="33"/>
      <c r="H66" s="33"/>
      <c r="I66" s="33"/>
      <c r="J66" s="33"/>
      <c r="K66" s="33"/>
      <c r="L66" s="33"/>
      <c r="M66" s="33"/>
      <c r="N66" s="33"/>
      <c r="O66" s="33"/>
    </row>
    <row r="67" spans="2:15" x14ac:dyDescent="0.4">
      <c r="B67" s="32"/>
      <c r="C67" s="33"/>
      <c r="D67" s="33"/>
      <c r="E67" s="33"/>
      <c r="F67" s="33"/>
      <c r="G67" s="33"/>
      <c r="H67" s="33"/>
      <c r="I67" s="33"/>
      <c r="J67" s="33"/>
      <c r="K67" s="33"/>
      <c r="L67" s="33"/>
      <c r="M67" s="33"/>
      <c r="N67" s="33"/>
      <c r="O67" s="33"/>
    </row>
    <row r="68" spans="2:15" x14ac:dyDescent="0.4">
      <c r="B68" s="32"/>
      <c r="C68" s="33"/>
      <c r="D68" s="33"/>
      <c r="E68" s="33"/>
      <c r="F68" s="33"/>
      <c r="G68" s="33"/>
      <c r="H68" s="33"/>
      <c r="I68" s="33"/>
      <c r="J68" s="33"/>
      <c r="K68" s="33"/>
      <c r="L68" s="33"/>
      <c r="M68" s="33"/>
      <c r="N68" s="33"/>
      <c r="O68" s="33"/>
    </row>
    <row r="69" spans="2:15" x14ac:dyDescent="0.4">
      <c r="B69" s="32"/>
      <c r="C69" s="33"/>
      <c r="D69" s="33"/>
      <c r="E69" s="33"/>
      <c r="F69" s="33"/>
      <c r="G69" s="33"/>
      <c r="H69" s="33"/>
      <c r="I69" s="33"/>
      <c r="J69" s="33"/>
      <c r="K69" s="33"/>
      <c r="L69" s="33"/>
      <c r="M69" s="33"/>
      <c r="N69" s="33"/>
      <c r="O69" s="33"/>
    </row>
    <row r="70" spans="2:15" x14ac:dyDescent="0.4">
      <c r="B70" s="32"/>
      <c r="C70" s="33"/>
      <c r="D70" s="33"/>
      <c r="E70" s="33"/>
      <c r="F70" s="33"/>
      <c r="G70" s="33"/>
      <c r="H70" s="33"/>
      <c r="I70" s="33"/>
      <c r="J70" s="33"/>
      <c r="K70" s="33"/>
      <c r="L70" s="33"/>
      <c r="M70" s="33"/>
      <c r="N70" s="33"/>
      <c r="O70" s="33"/>
    </row>
    <row r="71" spans="2:15" x14ac:dyDescent="0.4">
      <c r="B71" s="32"/>
      <c r="C71" s="33"/>
      <c r="D71" s="33"/>
      <c r="E71" s="33"/>
      <c r="F71" s="33"/>
      <c r="G71" s="33"/>
      <c r="H71" s="33"/>
      <c r="I71" s="33"/>
      <c r="J71" s="33"/>
      <c r="K71" s="33"/>
      <c r="L71" s="33"/>
      <c r="M71" s="33"/>
      <c r="N71" s="33"/>
      <c r="O71" s="33"/>
    </row>
    <row r="72" spans="2:15" x14ac:dyDescent="0.4">
      <c r="B72" s="32"/>
      <c r="C72" s="33"/>
      <c r="D72" s="33"/>
      <c r="E72" s="33"/>
      <c r="F72" s="33"/>
      <c r="G72" s="33"/>
      <c r="H72" s="33"/>
      <c r="I72" s="33"/>
      <c r="J72" s="33"/>
      <c r="K72" s="33"/>
      <c r="L72" s="33"/>
      <c r="M72" s="33"/>
      <c r="N72" s="33"/>
      <c r="O72" s="33"/>
    </row>
    <row r="73" spans="2:15" x14ac:dyDescent="0.4">
      <c r="B73" s="32"/>
      <c r="C73" s="33"/>
      <c r="D73" s="33"/>
      <c r="E73" s="33"/>
      <c r="F73" s="33"/>
      <c r="G73" s="33"/>
      <c r="H73" s="33"/>
      <c r="I73" s="33"/>
      <c r="J73" s="33"/>
      <c r="K73" s="33"/>
      <c r="L73" s="33"/>
      <c r="M73" s="33"/>
      <c r="N73" s="33"/>
      <c r="O73" s="33"/>
    </row>
    <row r="74" spans="2:15" x14ac:dyDescent="0.4">
      <c r="B74" s="32"/>
      <c r="C74" s="33"/>
      <c r="D74" s="33"/>
      <c r="E74" s="33"/>
      <c r="F74" s="33"/>
      <c r="G74" s="33"/>
      <c r="H74" s="33"/>
      <c r="I74" s="33"/>
      <c r="J74" s="33"/>
      <c r="K74" s="33"/>
      <c r="L74" s="33"/>
      <c r="M74" s="33"/>
      <c r="N74" s="33"/>
      <c r="O74" s="33"/>
    </row>
    <row r="75" spans="2:15" x14ac:dyDescent="0.4">
      <c r="B75" s="32"/>
      <c r="C75" s="33"/>
      <c r="D75" s="33"/>
      <c r="E75" s="33"/>
      <c r="F75" s="33"/>
      <c r="G75" s="33"/>
      <c r="H75" s="33"/>
      <c r="I75" s="33"/>
      <c r="J75" s="33"/>
      <c r="K75" s="33"/>
      <c r="L75" s="33"/>
      <c r="M75" s="33"/>
      <c r="N75" s="33"/>
      <c r="O75" s="33"/>
    </row>
    <row r="76" spans="2:15" x14ac:dyDescent="0.4">
      <c r="B76" s="32"/>
      <c r="C76" s="33"/>
      <c r="D76" s="33"/>
      <c r="E76" s="33"/>
      <c r="F76" s="33"/>
      <c r="G76" s="33"/>
      <c r="H76" s="33"/>
      <c r="I76" s="33"/>
      <c r="J76" s="33"/>
      <c r="K76" s="33"/>
      <c r="L76" s="33"/>
      <c r="M76" s="33"/>
      <c r="N76" s="33"/>
      <c r="O76" s="33"/>
    </row>
    <row r="77" spans="2:15" x14ac:dyDescent="0.4">
      <c r="B77" s="32"/>
      <c r="C77" s="33"/>
      <c r="D77" s="33"/>
      <c r="E77" s="33"/>
      <c r="F77" s="33"/>
      <c r="G77" s="33"/>
      <c r="H77" s="33"/>
      <c r="I77" s="33"/>
      <c r="J77" s="33"/>
      <c r="K77" s="33"/>
      <c r="L77" s="33"/>
      <c r="M77" s="33"/>
      <c r="N77" s="33"/>
      <c r="O77" s="33"/>
    </row>
    <row r="78" spans="2:15" x14ac:dyDescent="0.4">
      <c r="B78" s="32"/>
      <c r="C78" s="33"/>
      <c r="D78" s="33"/>
      <c r="E78" s="33"/>
      <c r="F78" s="33"/>
      <c r="G78" s="33"/>
      <c r="H78" s="33"/>
      <c r="I78" s="33"/>
      <c r="J78" s="33"/>
      <c r="K78" s="33"/>
      <c r="L78" s="33"/>
      <c r="M78" s="33"/>
      <c r="N78" s="33"/>
      <c r="O78" s="33"/>
    </row>
    <row r="79" spans="2:15" x14ac:dyDescent="0.4">
      <c r="B79" s="32"/>
      <c r="C79" s="33"/>
      <c r="D79" s="33"/>
      <c r="E79" s="33"/>
      <c r="F79" s="33"/>
      <c r="G79" s="33"/>
      <c r="H79" s="33"/>
      <c r="I79" s="33"/>
      <c r="J79" s="33"/>
      <c r="K79" s="33"/>
      <c r="L79" s="33"/>
      <c r="M79" s="33"/>
      <c r="N79" s="33"/>
      <c r="O79" s="33"/>
    </row>
    <row r="80" spans="2:15" x14ac:dyDescent="0.4">
      <c r="B80" s="32"/>
      <c r="C80" s="33"/>
      <c r="D80" s="33"/>
      <c r="E80" s="33"/>
      <c r="F80" s="33"/>
      <c r="G80" s="33"/>
      <c r="H80" s="33"/>
      <c r="I80" s="33"/>
      <c r="J80" s="33"/>
      <c r="K80" s="33"/>
      <c r="L80" s="33"/>
      <c r="M80" s="33"/>
      <c r="N80" s="33"/>
      <c r="O80" s="33"/>
    </row>
    <row r="81" spans="2:15" x14ac:dyDescent="0.4">
      <c r="B81" s="32"/>
      <c r="C81" s="33"/>
      <c r="D81" s="33"/>
      <c r="E81" s="33"/>
      <c r="F81" s="33"/>
      <c r="G81" s="33"/>
      <c r="H81" s="33"/>
      <c r="I81" s="33"/>
      <c r="J81" s="33"/>
      <c r="K81" s="33"/>
      <c r="L81" s="33"/>
      <c r="M81" s="33"/>
      <c r="N81" s="33"/>
      <c r="O81" s="33"/>
    </row>
    <row r="82" spans="2:15" x14ac:dyDescent="0.4">
      <c r="B82" s="32"/>
      <c r="C82" s="33"/>
      <c r="D82" s="33"/>
      <c r="E82" s="33"/>
      <c r="F82" s="33"/>
      <c r="G82" s="33"/>
      <c r="H82" s="33"/>
      <c r="I82" s="33"/>
      <c r="J82" s="33"/>
      <c r="K82" s="33"/>
      <c r="L82" s="33"/>
      <c r="M82" s="33"/>
      <c r="N82" s="33"/>
      <c r="O82" s="33"/>
    </row>
    <row r="83" spans="2:15" x14ac:dyDescent="0.4">
      <c r="B83" s="32"/>
      <c r="C83" s="33"/>
      <c r="D83" s="33"/>
      <c r="E83" s="33"/>
      <c r="F83" s="33"/>
      <c r="G83" s="33"/>
      <c r="H83" s="33"/>
      <c r="I83" s="33"/>
      <c r="J83" s="33"/>
      <c r="K83" s="33"/>
      <c r="L83" s="33"/>
      <c r="M83" s="33"/>
      <c r="N83" s="33"/>
      <c r="O83" s="33"/>
    </row>
    <row r="84" spans="2:15" x14ac:dyDescent="0.4">
      <c r="B84" s="32"/>
      <c r="C84" s="33"/>
      <c r="D84" s="33"/>
      <c r="E84" s="33"/>
      <c r="F84" s="33"/>
      <c r="G84" s="33"/>
      <c r="H84" s="33"/>
      <c r="I84" s="33"/>
      <c r="J84" s="33"/>
      <c r="K84" s="33"/>
      <c r="L84" s="33"/>
      <c r="M84" s="33"/>
      <c r="N84" s="33"/>
      <c r="O84" s="33"/>
    </row>
    <row r="85" spans="2:15" x14ac:dyDescent="0.4">
      <c r="B85" s="32"/>
      <c r="C85" s="33"/>
      <c r="D85" s="33"/>
      <c r="E85" s="33"/>
      <c r="F85" s="33"/>
      <c r="G85" s="33"/>
      <c r="H85" s="33"/>
      <c r="I85" s="33"/>
      <c r="J85" s="33"/>
      <c r="K85" s="33"/>
      <c r="L85" s="33"/>
      <c r="M85" s="33"/>
      <c r="N85" s="33"/>
      <c r="O85" s="33"/>
    </row>
    <row r="86" spans="2:15" x14ac:dyDescent="0.4">
      <c r="B86" s="32"/>
      <c r="C86" s="33"/>
      <c r="D86" s="33"/>
      <c r="E86" s="33"/>
      <c r="F86" s="33"/>
      <c r="G86" s="33"/>
      <c r="H86" s="33"/>
      <c r="I86" s="33"/>
      <c r="J86" s="33"/>
      <c r="K86" s="33"/>
      <c r="L86" s="33"/>
      <c r="M86" s="33"/>
      <c r="N86" s="33"/>
      <c r="O86" s="33"/>
    </row>
    <row r="87" spans="2:15" x14ac:dyDescent="0.4">
      <c r="B87" s="32"/>
      <c r="C87" s="33"/>
      <c r="D87" s="33"/>
      <c r="E87" s="33"/>
      <c r="F87" s="33"/>
      <c r="G87" s="33"/>
      <c r="H87" s="33"/>
      <c r="I87" s="33"/>
      <c r="J87" s="33"/>
      <c r="K87" s="33"/>
      <c r="L87" s="33"/>
      <c r="M87" s="33"/>
      <c r="N87" s="33"/>
      <c r="O87" s="33"/>
    </row>
    <row r="88" spans="2:15" x14ac:dyDescent="0.4">
      <c r="B88" s="32"/>
      <c r="C88" s="33"/>
      <c r="D88" s="33"/>
      <c r="E88" s="33"/>
      <c r="F88" s="33"/>
      <c r="G88" s="33"/>
      <c r="H88" s="33"/>
      <c r="I88" s="33"/>
      <c r="J88" s="33"/>
      <c r="K88" s="33"/>
      <c r="L88" s="33"/>
      <c r="M88" s="33"/>
      <c r="N88" s="33"/>
      <c r="O88" s="33"/>
    </row>
    <row r="89" spans="2:15" x14ac:dyDescent="0.4">
      <c r="B89" s="32"/>
      <c r="C89" s="33"/>
      <c r="D89" s="33"/>
      <c r="E89" s="33"/>
      <c r="F89" s="33"/>
      <c r="G89" s="33"/>
      <c r="H89" s="33"/>
      <c r="I89" s="33"/>
      <c r="J89" s="33"/>
      <c r="K89" s="33"/>
      <c r="L89" s="33"/>
      <c r="M89" s="33"/>
      <c r="N89" s="33"/>
      <c r="O89" s="33"/>
    </row>
    <row r="90" spans="2:15" x14ac:dyDescent="0.4">
      <c r="B90" s="32"/>
      <c r="C90" s="33"/>
      <c r="D90" s="33"/>
      <c r="E90" s="33"/>
      <c r="F90" s="33"/>
      <c r="G90" s="33"/>
      <c r="H90" s="33"/>
      <c r="I90" s="33"/>
      <c r="J90" s="33"/>
      <c r="K90" s="33"/>
      <c r="L90" s="33"/>
      <c r="M90" s="33"/>
      <c r="N90" s="33"/>
      <c r="O90" s="33"/>
    </row>
    <row r="91" spans="2:15" x14ac:dyDescent="0.4">
      <c r="B91" s="32"/>
      <c r="C91" s="33"/>
      <c r="D91" s="33"/>
      <c r="E91" s="33"/>
      <c r="F91" s="33"/>
      <c r="G91" s="33"/>
      <c r="H91" s="33"/>
      <c r="I91" s="33"/>
      <c r="J91" s="33"/>
      <c r="K91" s="33"/>
      <c r="L91" s="33"/>
      <c r="M91" s="33"/>
      <c r="N91" s="33"/>
      <c r="O91" s="33"/>
    </row>
    <row r="92" spans="2:15" x14ac:dyDescent="0.4">
      <c r="B92" s="32"/>
      <c r="C92" s="33"/>
      <c r="D92" s="33"/>
      <c r="E92" s="33"/>
      <c r="F92" s="33"/>
      <c r="G92" s="33"/>
      <c r="H92" s="33"/>
      <c r="I92" s="33"/>
      <c r="J92" s="33"/>
      <c r="K92" s="33"/>
      <c r="L92" s="33"/>
      <c r="M92" s="33"/>
      <c r="N92" s="33"/>
      <c r="O92" s="33"/>
    </row>
    <row r="93" spans="2:15" x14ac:dyDescent="0.4">
      <c r="B93" s="32"/>
      <c r="C93" s="33"/>
      <c r="D93" s="33"/>
      <c r="E93" s="33"/>
      <c r="F93" s="33"/>
      <c r="G93" s="33"/>
      <c r="H93" s="33"/>
      <c r="I93" s="33"/>
      <c r="J93" s="33"/>
      <c r="K93" s="33"/>
      <c r="L93" s="33"/>
      <c r="M93" s="33"/>
      <c r="N93" s="33"/>
      <c r="O93" s="33"/>
    </row>
    <row r="94" spans="2:15" x14ac:dyDescent="0.4">
      <c r="B94" s="32"/>
      <c r="C94" s="33"/>
      <c r="D94" s="33"/>
      <c r="E94" s="33"/>
      <c r="F94" s="33"/>
      <c r="G94" s="33"/>
      <c r="H94" s="33"/>
      <c r="I94" s="33"/>
      <c r="J94" s="33"/>
      <c r="K94" s="33"/>
      <c r="L94" s="33"/>
      <c r="M94" s="33"/>
      <c r="N94" s="33"/>
      <c r="O94" s="33"/>
    </row>
    <row r="95" spans="2:15" x14ac:dyDescent="0.4">
      <c r="B95" s="32"/>
      <c r="C95" s="33"/>
      <c r="D95" s="33"/>
      <c r="E95" s="33"/>
      <c r="F95" s="33"/>
      <c r="G95" s="33"/>
      <c r="H95" s="33"/>
      <c r="I95" s="33"/>
      <c r="J95" s="33"/>
      <c r="K95" s="33"/>
      <c r="L95" s="33"/>
      <c r="M95" s="33"/>
      <c r="N95" s="33"/>
      <c r="O95" s="33"/>
    </row>
    <row r="96" spans="2:15" x14ac:dyDescent="0.4">
      <c r="B96" s="32"/>
      <c r="C96" s="33"/>
      <c r="D96" s="33"/>
      <c r="E96" s="33"/>
      <c r="F96" s="33"/>
      <c r="G96" s="33"/>
      <c r="H96" s="33"/>
      <c r="I96" s="33"/>
      <c r="J96" s="33"/>
      <c r="K96" s="33"/>
      <c r="L96" s="33"/>
      <c r="M96" s="33"/>
      <c r="N96" s="33"/>
      <c r="O96" s="33"/>
    </row>
    <row r="97" spans="2:15" x14ac:dyDescent="0.4">
      <c r="B97" s="32"/>
      <c r="C97" s="33"/>
      <c r="D97" s="33"/>
      <c r="E97" s="33"/>
      <c r="F97" s="33"/>
      <c r="G97" s="33"/>
      <c r="H97" s="33"/>
      <c r="I97" s="33"/>
      <c r="J97" s="33"/>
      <c r="K97" s="33"/>
      <c r="L97" s="33"/>
      <c r="M97" s="33"/>
      <c r="N97" s="33"/>
      <c r="O97" s="33"/>
    </row>
    <row r="98" spans="2:15" x14ac:dyDescent="0.4">
      <c r="B98" s="32"/>
      <c r="C98" s="33"/>
      <c r="D98" s="33"/>
      <c r="E98" s="33"/>
      <c r="F98" s="33"/>
      <c r="G98" s="33"/>
      <c r="H98" s="33"/>
      <c r="I98" s="33"/>
      <c r="J98" s="33"/>
      <c r="K98" s="33"/>
      <c r="L98" s="33"/>
      <c r="M98" s="33"/>
      <c r="N98" s="33"/>
      <c r="O98" s="33"/>
    </row>
    <row r="99" spans="2:15" x14ac:dyDescent="0.4">
      <c r="B99" s="32"/>
      <c r="C99" s="33"/>
      <c r="D99" s="33"/>
      <c r="E99" s="33"/>
      <c r="F99" s="33"/>
      <c r="G99" s="33"/>
      <c r="H99" s="33"/>
      <c r="I99" s="33"/>
      <c r="J99" s="33"/>
      <c r="K99" s="33"/>
      <c r="L99" s="33"/>
      <c r="M99" s="33"/>
      <c r="N99" s="33"/>
      <c r="O99" s="33"/>
    </row>
    <row r="100" spans="2:15" x14ac:dyDescent="0.4">
      <c r="B100" s="32"/>
      <c r="C100" s="33"/>
      <c r="D100" s="33"/>
      <c r="E100" s="33"/>
      <c r="F100" s="33"/>
      <c r="G100" s="33"/>
      <c r="H100" s="33"/>
      <c r="I100" s="33"/>
      <c r="J100" s="33"/>
      <c r="K100" s="33"/>
      <c r="L100" s="33"/>
      <c r="M100" s="33"/>
      <c r="N100" s="33"/>
      <c r="O100" s="33"/>
    </row>
    <row r="101" spans="2:15" x14ac:dyDescent="0.4">
      <c r="B101" s="32"/>
      <c r="C101" s="33"/>
      <c r="D101" s="33"/>
      <c r="E101" s="33"/>
      <c r="F101" s="33"/>
      <c r="G101" s="33"/>
      <c r="H101" s="33"/>
      <c r="I101" s="33"/>
      <c r="J101" s="33"/>
      <c r="K101" s="33"/>
      <c r="L101" s="33"/>
      <c r="M101" s="33"/>
      <c r="N101" s="33"/>
      <c r="O101" s="33"/>
    </row>
    <row r="102" spans="2:15" x14ac:dyDescent="0.4">
      <c r="B102" s="32"/>
      <c r="C102" s="33"/>
      <c r="D102" s="33"/>
      <c r="E102" s="33"/>
      <c r="F102" s="33"/>
      <c r="G102" s="33"/>
      <c r="H102" s="33"/>
      <c r="I102" s="33"/>
      <c r="J102" s="33"/>
      <c r="K102" s="33"/>
      <c r="L102" s="33"/>
      <c r="M102" s="33"/>
      <c r="N102" s="33"/>
      <c r="O102" s="33"/>
    </row>
    <row r="103" spans="2:15" x14ac:dyDescent="0.4">
      <c r="B103" s="32"/>
      <c r="C103" s="33"/>
      <c r="D103" s="33"/>
      <c r="E103" s="33"/>
      <c r="F103" s="33"/>
      <c r="G103" s="33"/>
      <c r="H103" s="33"/>
      <c r="I103" s="33"/>
      <c r="J103" s="33"/>
      <c r="K103" s="33"/>
      <c r="L103" s="33"/>
      <c r="M103" s="33"/>
      <c r="N103" s="33"/>
      <c r="O103" s="33"/>
    </row>
    <row r="104" spans="2:15" x14ac:dyDescent="0.4">
      <c r="B104" s="32"/>
      <c r="C104" s="33"/>
      <c r="D104" s="33"/>
      <c r="E104" s="33"/>
      <c r="F104" s="33"/>
      <c r="G104" s="33"/>
      <c r="H104" s="33"/>
      <c r="I104" s="33"/>
      <c r="J104" s="33"/>
      <c r="K104" s="33"/>
      <c r="L104" s="33"/>
      <c r="M104" s="33"/>
      <c r="N104" s="33"/>
      <c r="O104" s="33"/>
    </row>
    <row r="105" spans="2:15" x14ac:dyDescent="0.4">
      <c r="B105" s="32"/>
      <c r="C105" s="33"/>
      <c r="D105" s="33"/>
      <c r="E105" s="33"/>
      <c r="F105" s="33"/>
      <c r="G105" s="33"/>
      <c r="H105" s="33"/>
      <c r="I105" s="33"/>
      <c r="J105" s="33"/>
      <c r="K105" s="33"/>
      <c r="L105" s="33"/>
      <c r="M105" s="33"/>
      <c r="N105" s="33"/>
      <c r="O105" s="33"/>
    </row>
    <row r="106" spans="2:15" x14ac:dyDescent="0.4">
      <c r="B106" s="32"/>
      <c r="C106" s="33"/>
      <c r="D106" s="33"/>
      <c r="E106" s="33"/>
      <c r="F106" s="33"/>
      <c r="G106" s="33"/>
      <c r="H106" s="33"/>
      <c r="I106" s="33"/>
      <c r="J106" s="33"/>
      <c r="K106" s="33"/>
      <c r="L106" s="33"/>
      <c r="M106" s="33"/>
      <c r="N106" s="33"/>
      <c r="O106" s="33"/>
    </row>
    <row r="107" spans="2:15" x14ac:dyDescent="0.4">
      <c r="B107" s="32"/>
      <c r="C107" s="33"/>
      <c r="D107" s="33"/>
      <c r="E107" s="33"/>
      <c r="F107" s="33"/>
      <c r="G107" s="33"/>
      <c r="H107" s="33"/>
      <c r="I107" s="33"/>
      <c r="J107" s="33"/>
      <c r="K107" s="33"/>
      <c r="L107" s="33"/>
      <c r="M107" s="33"/>
      <c r="N107" s="33"/>
      <c r="O107" s="33"/>
    </row>
    <row r="108" spans="2:15" x14ac:dyDescent="0.4">
      <c r="B108" s="32"/>
      <c r="C108" s="33"/>
      <c r="D108" s="33"/>
      <c r="E108" s="33"/>
      <c r="F108" s="33"/>
      <c r="G108" s="33"/>
      <c r="H108" s="33"/>
      <c r="I108" s="33"/>
      <c r="J108" s="33"/>
      <c r="K108" s="33"/>
      <c r="L108" s="33"/>
      <c r="M108" s="33"/>
      <c r="N108" s="33"/>
      <c r="O108" s="33"/>
    </row>
    <row r="109" spans="2:15" x14ac:dyDescent="0.4">
      <c r="B109" s="32"/>
      <c r="C109" s="33"/>
      <c r="D109" s="33"/>
      <c r="E109" s="33"/>
      <c r="F109" s="33"/>
      <c r="G109" s="33"/>
      <c r="H109" s="33"/>
      <c r="I109" s="33"/>
      <c r="J109" s="33"/>
      <c r="K109" s="33"/>
      <c r="L109" s="33"/>
      <c r="M109" s="33"/>
      <c r="N109" s="33"/>
      <c r="O109" s="33"/>
    </row>
    <row r="110" spans="2:15" x14ac:dyDescent="0.4">
      <c r="B110" s="32"/>
      <c r="C110" s="33"/>
      <c r="D110" s="33"/>
      <c r="E110" s="33"/>
      <c r="F110" s="33"/>
      <c r="G110" s="33"/>
      <c r="H110" s="33"/>
      <c r="I110" s="33"/>
      <c r="J110" s="33"/>
      <c r="K110" s="33"/>
      <c r="L110" s="33"/>
      <c r="M110" s="33"/>
      <c r="N110" s="33"/>
      <c r="O110" s="33"/>
    </row>
    <row r="111" spans="2:15" x14ac:dyDescent="0.4">
      <c r="B111" s="32"/>
      <c r="C111" s="33"/>
      <c r="D111" s="33"/>
      <c r="E111" s="33"/>
      <c r="F111" s="33"/>
      <c r="G111" s="33"/>
      <c r="H111" s="33"/>
      <c r="I111" s="33"/>
      <c r="J111" s="33"/>
      <c r="K111" s="33"/>
      <c r="L111" s="33"/>
      <c r="M111" s="33"/>
      <c r="N111" s="33"/>
      <c r="O111" s="33"/>
    </row>
    <row r="112" spans="2:15" x14ac:dyDescent="0.4">
      <c r="B112" s="32"/>
      <c r="C112" s="33"/>
      <c r="D112" s="33"/>
      <c r="E112" s="33"/>
      <c r="F112" s="33"/>
      <c r="G112" s="33"/>
      <c r="H112" s="33"/>
      <c r="I112" s="33"/>
      <c r="J112" s="33"/>
      <c r="K112" s="33"/>
      <c r="L112" s="33"/>
      <c r="M112" s="33"/>
      <c r="N112" s="33"/>
      <c r="O112" s="33"/>
    </row>
    <row r="113" spans="2:15" x14ac:dyDescent="0.4">
      <c r="B113" s="32"/>
      <c r="C113" s="33"/>
      <c r="D113" s="33"/>
      <c r="E113" s="33"/>
      <c r="F113" s="33"/>
      <c r="G113" s="33"/>
      <c r="H113" s="33"/>
      <c r="I113" s="33"/>
      <c r="J113" s="33"/>
      <c r="K113" s="33"/>
      <c r="L113" s="33"/>
      <c r="M113" s="33"/>
      <c r="N113" s="33"/>
      <c r="O113" s="33"/>
    </row>
    <row r="114" spans="2:15" x14ac:dyDescent="0.4">
      <c r="B114" s="32"/>
      <c r="C114" s="33"/>
      <c r="D114" s="33"/>
      <c r="E114" s="33"/>
      <c r="F114" s="33"/>
      <c r="G114" s="33"/>
      <c r="H114" s="33"/>
      <c r="I114" s="33"/>
      <c r="J114" s="33"/>
      <c r="K114" s="33"/>
      <c r="L114" s="33"/>
      <c r="M114" s="33"/>
      <c r="N114" s="33"/>
      <c r="O114" s="33"/>
    </row>
    <row r="115" spans="2:15" x14ac:dyDescent="0.4">
      <c r="B115" s="32"/>
      <c r="C115" s="33"/>
      <c r="D115" s="33"/>
      <c r="E115" s="33"/>
      <c r="F115" s="33"/>
      <c r="G115" s="33"/>
      <c r="H115" s="33"/>
      <c r="I115" s="33"/>
      <c r="J115" s="33"/>
      <c r="K115" s="33"/>
      <c r="L115" s="33"/>
      <c r="M115" s="33"/>
      <c r="N115" s="33"/>
      <c r="O115" s="33"/>
    </row>
    <row r="116" spans="2:15" x14ac:dyDescent="0.4">
      <c r="B116" s="32"/>
      <c r="C116" s="33"/>
      <c r="D116" s="33"/>
      <c r="E116" s="33"/>
      <c r="F116" s="33"/>
      <c r="G116" s="33"/>
      <c r="H116" s="33"/>
      <c r="I116" s="33"/>
      <c r="J116" s="33"/>
      <c r="K116" s="33"/>
      <c r="L116" s="33"/>
      <c r="M116" s="33"/>
      <c r="N116" s="33"/>
      <c r="O116" s="33"/>
    </row>
    <row r="117" spans="2:15" x14ac:dyDescent="0.4">
      <c r="B117" s="32"/>
      <c r="C117" s="33"/>
      <c r="D117" s="33"/>
      <c r="E117" s="33"/>
      <c r="F117" s="33"/>
      <c r="G117" s="33"/>
      <c r="H117" s="33"/>
      <c r="I117" s="33"/>
      <c r="J117" s="33"/>
      <c r="K117" s="33"/>
      <c r="L117" s="33"/>
      <c r="M117" s="33"/>
      <c r="N117" s="33"/>
      <c r="O117" s="33"/>
    </row>
    <row r="118" spans="2:15" x14ac:dyDescent="0.4">
      <c r="B118" s="32"/>
      <c r="C118" s="33"/>
      <c r="D118" s="33"/>
      <c r="E118" s="33"/>
      <c r="F118" s="33"/>
      <c r="G118" s="33"/>
      <c r="H118" s="33"/>
      <c r="I118" s="33"/>
      <c r="J118" s="33"/>
      <c r="K118" s="33"/>
      <c r="L118" s="33"/>
      <c r="M118" s="33"/>
      <c r="N118" s="33"/>
      <c r="O118" s="33"/>
    </row>
    <row r="119" spans="2:15" x14ac:dyDescent="0.4">
      <c r="B119" s="32"/>
      <c r="C119" s="33"/>
      <c r="D119" s="33"/>
      <c r="E119" s="33"/>
      <c r="F119" s="33"/>
      <c r="G119" s="33"/>
      <c r="H119" s="33"/>
      <c r="I119" s="33"/>
      <c r="J119" s="33"/>
      <c r="K119" s="33"/>
      <c r="L119" s="33"/>
      <c r="M119" s="33"/>
      <c r="N119" s="33"/>
      <c r="O119" s="33"/>
    </row>
    <row r="120" spans="2:15" x14ac:dyDescent="0.4">
      <c r="B120" s="32"/>
      <c r="C120" s="33"/>
      <c r="D120" s="33"/>
      <c r="E120" s="33"/>
      <c r="F120" s="33"/>
      <c r="G120" s="33"/>
      <c r="H120" s="33"/>
      <c r="I120" s="33"/>
      <c r="J120" s="33"/>
      <c r="K120" s="33"/>
      <c r="L120" s="33"/>
      <c r="M120" s="33"/>
      <c r="N120" s="33"/>
      <c r="O120" s="33"/>
    </row>
    <row r="121" spans="2:15" x14ac:dyDescent="0.4">
      <c r="B121" s="32"/>
      <c r="C121" s="33"/>
      <c r="D121" s="33"/>
      <c r="E121" s="33"/>
      <c r="F121" s="33"/>
      <c r="G121" s="33"/>
      <c r="H121" s="33"/>
      <c r="I121" s="33"/>
      <c r="J121" s="33"/>
      <c r="K121" s="33"/>
      <c r="L121" s="33"/>
      <c r="M121" s="33"/>
      <c r="N121" s="33"/>
      <c r="O121" s="33"/>
    </row>
    <row r="122" spans="2:15" x14ac:dyDescent="0.4">
      <c r="B122" s="32"/>
      <c r="C122" s="33"/>
      <c r="D122" s="33"/>
      <c r="E122" s="33"/>
      <c r="F122" s="33"/>
      <c r="G122" s="33"/>
      <c r="H122" s="33"/>
      <c r="I122" s="33"/>
      <c r="J122" s="33"/>
      <c r="K122" s="33"/>
      <c r="L122" s="33"/>
      <c r="M122" s="33"/>
      <c r="N122" s="33"/>
      <c r="O122" s="33"/>
    </row>
    <row r="123" spans="2:15" x14ac:dyDescent="0.4">
      <c r="B123" s="32"/>
      <c r="C123" s="33"/>
      <c r="D123" s="33"/>
      <c r="E123" s="33"/>
      <c r="F123" s="33"/>
      <c r="G123" s="33"/>
      <c r="H123" s="33"/>
      <c r="I123" s="33"/>
      <c r="J123" s="33"/>
      <c r="K123" s="33"/>
      <c r="L123" s="33"/>
      <c r="M123" s="33"/>
      <c r="N123" s="33"/>
      <c r="O123" s="33"/>
    </row>
    <row r="124" spans="2:15" x14ac:dyDescent="0.4">
      <c r="B124" s="32"/>
      <c r="C124" s="33"/>
      <c r="D124" s="33"/>
      <c r="E124" s="33"/>
      <c r="F124" s="33"/>
      <c r="G124" s="33"/>
      <c r="H124" s="33"/>
      <c r="I124" s="33"/>
      <c r="J124" s="33"/>
      <c r="K124" s="33"/>
      <c r="L124" s="33"/>
      <c r="M124" s="33"/>
      <c r="N124" s="33"/>
      <c r="O124" s="33"/>
    </row>
    <row r="125" spans="2:15" x14ac:dyDescent="0.4">
      <c r="B125" s="32"/>
      <c r="C125" s="33"/>
      <c r="D125" s="33"/>
      <c r="E125" s="33"/>
      <c r="F125" s="33"/>
      <c r="G125" s="33"/>
      <c r="H125" s="33"/>
      <c r="I125" s="33"/>
      <c r="J125" s="33"/>
      <c r="K125" s="33"/>
      <c r="L125" s="33"/>
      <c r="M125" s="33"/>
      <c r="N125" s="33"/>
      <c r="O125" s="33"/>
    </row>
    <row r="126" spans="2:15" x14ac:dyDescent="0.4">
      <c r="B126" s="32"/>
      <c r="C126" s="33"/>
      <c r="D126" s="33"/>
      <c r="E126" s="33"/>
      <c r="F126" s="33"/>
      <c r="G126" s="33"/>
      <c r="H126" s="33"/>
      <c r="I126" s="33"/>
      <c r="J126" s="33"/>
      <c r="K126" s="33"/>
      <c r="L126" s="33"/>
      <c r="M126" s="33"/>
      <c r="N126" s="33"/>
      <c r="O126" s="33"/>
    </row>
    <row r="127" spans="2:15" x14ac:dyDescent="0.4">
      <c r="B127" s="32"/>
      <c r="C127" s="33"/>
      <c r="D127" s="33"/>
      <c r="E127" s="33"/>
      <c r="F127" s="33"/>
      <c r="G127" s="33"/>
      <c r="H127" s="33"/>
      <c r="I127" s="33"/>
      <c r="J127" s="33"/>
      <c r="K127" s="33"/>
      <c r="L127" s="33"/>
      <c r="M127" s="33"/>
      <c r="N127" s="33"/>
      <c r="O127" s="33"/>
    </row>
    <row r="128" spans="2:15" x14ac:dyDescent="0.4">
      <c r="B128" s="32"/>
      <c r="C128" s="33"/>
      <c r="D128" s="33"/>
      <c r="E128" s="33"/>
      <c r="F128" s="33"/>
      <c r="G128" s="33"/>
      <c r="H128" s="33"/>
      <c r="I128" s="33"/>
      <c r="J128" s="33"/>
      <c r="K128" s="33"/>
      <c r="L128" s="33"/>
      <c r="M128" s="33"/>
      <c r="N128" s="33"/>
      <c r="O128" s="33"/>
    </row>
    <row r="129" spans="2:15" x14ac:dyDescent="0.4">
      <c r="B129" s="32"/>
      <c r="C129" s="33"/>
      <c r="D129" s="33"/>
      <c r="E129" s="33"/>
      <c r="F129" s="33"/>
      <c r="G129" s="33"/>
      <c r="H129" s="33"/>
      <c r="I129" s="33"/>
      <c r="J129" s="33"/>
      <c r="K129" s="33"/>
      <c r="L129" s="33"/>
      <c r="M129" s="33"/>
      <c r="N129" s="33"/>
      <c r="O129" s="33"/>
    </row>
    <row r="130" spans="2:15" x14ac:dyDescent="0.4">
      <c r="B130" s="32"/>
      <c r="C130" s="33"/>
      <c r="D130" s="33"/>
      <c r="E130" s="33"/>
      <c r="F130" s="33"/>
      <c r="G130" s="33"/>
      <c r="H130" s="33"/>
      <c r="I130" s="33"/>
      <c r="J130" s="33"/>
      <c r="K130" s="33"/>
      <c r="L130" s="33"/>
      <c r="M130" s="33"/>
      <c r="N130" s="33"/>
      <c r="O130" s="33"/>
    </row>
    <row r="131" spans="2:15" x14ac:dyDescent="0.4">
      <c r="B131" s="32"/>
      <c r="C131" s="33"/>
      <c r="D131" s="33"/>
      <c r="E131" s="33"/>
      <c r="F131" s="33"/>
      <c r="G131" s="33"/>
      <c r="H131" s="33"/>
      <c r="I131" s="33"/>
      <c r="J131" s="33"/>
      <c r="K131" s="33"/>
      <c r="L131" s="33"/>
      <c r="M131" s="33"/>
      <c r="N131" s="33"/>
      <c r="O131" s="33"/>
    </row>
    <row r="132" spans="2:15" x14ac:dyDescent="0.4">
      <c r="B132" s="32"/>
      <c r="C132" s="33"/>
      <c r="D132" s="33"/>
      <c r="E132" s="33"/>
      <c r="F132" s="33"/>
      <c r="G132" s="33"/>
      <c r="H132" s="33"/>
      <c r="I132" s="33"/>
      <c r="J132" s="33"/>
      <c r="K132" s="33"/>
      <c r="L132" s="33"/>
      <c r="M132" s="33"/>
      <c r="N132" s="33"/>
      <c r="O132" s="33"/>
    </row>
    <row r="133" spans="2:15" x14ac:dyDescent="0.4">
      <c r="B133" s="32"/>
      <c r="C133" s="33"/>
      <c r="D133" s="33"/>
      <c r="E133" s="33"/>
      <c r="F133" s="33"/>
      <c r="G133" s="33"/>
      <c r="H133" s="33"/>
      <c r="I133" s="33"/>
      <c r="J133" s="33"/>
      <c r="K133" s="33"/>
      <c r="L133" s="33"/>
      <c r="M133" s="33"/>
      <c r="N133" s="33"/>
      <c r="O133" s="33"/>
    </row>
    <row r="134" spans="2:15" x14ac:dyDescent="0.4">
      <c r="B134" s="32"/>
      <c r="C134" s="33"/>
      <c r="D134" s="33"/>
      <c r="E134" s="33"/>
      <c r="F134" s="33"/>
      <c r="G134" s="33"/>
      <c r="H134" s="33"/>
      <c r="I134" s="33"/>
      <c r="J134" s="33"/>
      <c r="K134" s="33"/>
      <c r="L134" s="33"/>
      <c r="M134" s="33"/>
      <c r="N134" s="33"/>
      <c r="O134" s="33"/>
    </row>
    <row r="135" spans="2:15" x14ac:dyDescent="0.4">
      <c r="B135" s="32"/>
      <c r="C135" s="33"/>
      <c r="D135" s="33"/>
      <c r="E135" s="33"/>
      <c r="F135" s="33"/>
      <c r="G135" s="33"/>
      <c r="H135" s="33"/>
      <c r="I135" s="33"/>
      <c r="J135" s="33"/>
      <c r="K135" s="33"/>
      <c r="L135" s="33"/>
      <c r="M135" s="33"/>
      <c r="N135" s="33"/>
      <c r="O135" s="33"/>
    </row>
    <row r="136" spans="2:15" x14ac:dyDescent="0.4">
      <c r="B136" s="32"/>
      <c r="C136" s="33"/>
      <c r="D136" s="33"/>
      <c r="E136" s="33"/>
      <c r="F136" s="33"/>
      <c r="G136" s="33"/>
      <c r="H136" s="33"/>
      <c r="I136" s="33"/>
      <c r="J136" s="33"/>
      <c r="K136" s="33"/>
      <c r="L136" s="33"/>
      <c r="M136" s="33"/>
      <c r="N136" s="33"/>
      <c r="O136" s="33"/>
    </row>
    <row r="137" spans="2:15" x14ac:dyDescent="0.4">
      <c r="B137" s="32"/>
      <c r="C137" s="33"/>
      <c r="D137" s="33"/>
      <c r="E137" s="33"/>
      <c r="F137" s="33"/>
      <c r="G137" s="33"/>
      <c r="H137" s="33"/>
      <c r="I137" s="33"/>
      <c r="J137" s="33"/>
      <c r="K137" s="33"/>
      <c r="L137" s="33"/>
      <c r="M137" s="33"/>
      <c r="N137" s="33"/>
      <c r="O137" s="33"/>
    </row>
    <row r="138" spans="2:15" x14ac:dyDescent="0.4">
      <c r="B138" s="32"/>
      <c r="C138" s="33"/>
      <c r="D138" s="33"/>
      <c r="E138" s="33"/>
      <c r="F138" s="33"/>
      <c r="G138" s="33"/>
      <c r="H138" s="33"/>
      <c r="I138" s="33"/>
      <c r="J138" s="33"/>
      <c r="K138" s="33"/>
      <c r="L138" s="33"/>
      <c r="M138" s="33"/>
      <c r="N138" s="33"/>
      <c r="O138" s="33"/>
    </row>
    <row r="139" spans="2:15" x14ac:dyDescent="0.4">
      <c r="B139" s="32"/>
      <c r="C139" s="33"/>
      <c r="D139" s="33"/>
      <c r="E139" s="33"/>
      <c r="F139" s="33"/>
      <c r="G139" s="33"/>
      <c r="H139" s="33"/>
      <c r="I139" s="33"/>
      <c r="J139" s="33"/>
      <c r="K139" s="33"/>
      <c r="L139" s="33"/>
      <c r="M139" s="33"/>
      <c r="N139" s="33"/>
      <c r="O139" s="33"/>
    </row>
    <row r="140" spans="2:15" x14ac:dyDescent="0.4">
      <c r="B140" s="32"/>
      <c r="C140" s="33"/>
      <c r="D140" s="33"/>
      <c r="E140" s="33"/>
      <c r="F140" s="33"/>
      <c r="G140" s="33"/>
      <c r="H140" s="33"/>
      <c r="I140" s="33"/>
      <c r="J140" s="33"/>
      <c r="K140" s="33"/>
      <c r="L140" s="33"/>
      <c r="M140" s="33"/>
      <c r="N140" s="33"/>
      <c r="O140" s="33"/>
    </row>
    <row r="141" spans="2:15" x14ac:dyDescent="0.4">
      <c r="B141" s="32"/>
      <c r="C141" s="33"/>
      <c r="D141" s="33"/>
      <c r="E141" s="33"/>
      <c r="F141" s="33"/>
      <c r="G141" s="33"/>
      <c r="H141" s="33"/>
      <c r="I141" s="33"/>
      <c r="J141" s="33"/>
      <c r="K141" s="33"/>
      <c r="L141" s="33"/>
      <c r="M141" s="33"/>
      <c r="N141" s="33"/>
      <c r="O141" s="33"/>
    </row>
    <row r="142" spans="2:15" x14ac:dyDescent="0.4">
      <c r="B142" s="32"/>
      <c r="C142" s="33"/>
      <c r="D142" s="33"/>
      <c r="E142" s="33"/>
      <c r="F142" s="33"/>
      <c r="G142" s="33"/>
      <c r="H142" s="33"/>
      <c r="I142" s="33"/>
      <c r="J142" s="33"/>
      <c r="K142" s="33"/>
      <c r="L142" s="33"/>
      <c r="M142" s="33"/>
      <c r="N142" s="33"/>
      <c r="O142" s="33"/>
    </row>
    <row r="143" spans="2:15" x14ac:dyDescent="0.4">
      <c r="B143" s="32"/>
      <c r="C143" s="33"/>
      <c r="D143" s="33"/>
      <c r="E143" s="33"/>
      <c r="F143" s="33"/>
      <c r="G143" s="33"/>
      <c r="H143" s="33"/>
      <c r="I143" s="33"/>
      <c r="J143" s="33"/>
      <c r="K143" s="33"/>
      <c r="L143" s="33"/>
      <c r="M143" s="33"/>
      <c r="N143" s="33"/>
      <c r="O143" s="33"/>
    </row>
    <row r="144" spans="2:15" x14ac:dyDescent="0.4">
      <c r="B144" s="32"/>
      <c r="C144" s="33"/>
      <c r="D144" s="33"/>
      <c r="E144" s="33"/>
      <c r="F144" s="33"/>
      <c r="G144" s="33"/>
      <c r="H144" s="33"/>
      <c r="I144" s="33"/>
      <c r="J144" s="33"/>
      <c r="K144" s="33"/>
      <c r="L144" s="33"/>
      <c r="M144" s="33"/>
      <c r="N144" s="33"/>
      <c r="O144" s="33"/>
    </row>
    <row r="145" spans="2:15" x14ac:dyDescent="0.4">
      <c r="B145" s="32"/>
      <c r="C145" s="33"/>
      <c r="D145" s="33"/>
      <c r="E145" s="33"/>
      <c r="F145" s="33"/>
      <c r="G145" s="33"/>
      <c r="H145" s="33"/>
      <c r="I145" s="33"/>
      <c r="J145" s="33"/>
      <c r="K145" s="33"/>
      <c r="L145" s="33"/>
      <c r="M145" s="33"/>
      <c r="N145" s="33"/>
      <c r="O145" s="33"/>
    </row>
  </sheetData>
  <pageMargins left="0.7" right="0.7" top="0.75" bottom="0.75" header="0.3" footer="0.3"/>
  <pageSetup scale="89" fitToHeight="0" orientation="landscape" r:id="rId1"/>
  <headerFooter>
    <oddFooter>&amp;L&amp;G&amp;R&amp;P</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tint="0.79998168889431442"/>
  </sheetPr>
  <dimension ref="A1:M46"/>
  <sheetViews>
    <sheetView view="pageBreakPreview" zoomScaleNormal="100" zoomScaleSheetLayoutView="100" workbookViewId="0">
      <pane xSplit="1" ySplit="7" topLeftCell="B8" activePane="bottomRight" state="frozen"/>
      <selection pane="topRight"/>
      <selection pane="bottomLeft"/>
      <selection pane="bottomRight"/>
    </sheetView>
  </sheetViews>
  <sheetFormatPr defaultColWidth="9.140625" defaultRowHeight="13.15" x14ac:dyDescent="0.4"/>
  <cols>
    <col min="1" max="1" width="55.5" style="62" customWidth="1"/>
    <col min="2" max="2" width="10.85546875" style="3" customWidth="1"/>
    <col min="3" max="3" width="14.85546875" style="3" customWidth="1"/>
    <col min="4" max="4" width="10.85546875" style="3" customWidth="1"/>
    <col min="5" max="5" width="14.85546875" style="3" customWidth="1"/>
    <col min="6" max="6" width="10.85546875" style="3" customWidth="1"/>
    <col min="7" max="7" width="14.85546875" style="3" customWidth="1"/>
    <col min="8" max="8" width="10.85546875" style="3" customWidth="1"/>
    <col min="9" max="9" width="14.85546875" style="3" customWidth="1"/>
    <col min="10" max="10" width="8.35546875" style="56" bestFit="1" customWidth="1"/>
    <col min="11" max="11" width="9.140625" style="3"/>
    <col min="12" max="12" width="18.5" style="3" bestFit="1" customWidth="1"/>
    <col min="13" max="16384" width="9.140625" style="3"/>
  </cols>
  <sheetData>
    <row r="1" spans="1:13" ht="18" x14ac:dyDescent="0.4">
      <c r="A1" s="55" t="str">
        <f>name</f>
        <v/>
      </c>
    </row>
    <row r="2" spans="1:13" ht="18" x14ac:dyDescent="0.4">
      <c r="A2" s="54" t="s">
        <v>4</v>
      </c>
    </row>
    <row r="3" spans="1:13" ht="18" x14ac:dyDescent="0.45">
      <c r="A3" s="60" t="s">
        <v>24</v>
      </c>
      <c r="L3" s="6" t="s">
        <v>430</v>
      </c>
      <c r="M3" s="6" t="s">
        <v>443</v>
      </c>
    </row>
    <row r="4" spans="1:13" ht="18" x14ac:dyDescent="0.45">
      <c r="A4" s="60"/>
      <c r="B4" s="103" t="str">
        <f>[1]!IntrinioBankFundamentals(rssd_id,"RIBI",fiscal_period_type,1,"fiscal_period")</f>
        <v/>
      </c>
      <c r="C4" s="103"/>
      <c r="D4" s="103"/>
      <c r="E4" s="103"/>
      <c r="F4" s="103" t="str">
        <f>[1]!IntrinioBankFundamentals(rssd_id,"RIBI",fiscal_period_type,0,"fiscal_period")</f>
        <v/>
      </c>
      <c r="G4" s="103"/>
      <c r="H4" s="103"/>
      <c r="I4" s="103"/>
    </row>
    <row r="5" spans="1:13" ht="18" x14ac:dyDescent="0.4">
      <c r="A5" s="53"/>
      <c r="B5" s="104" t="str">
        <f>[1]!IntrinioBankFundamentals(rssd_id,"RIBI",fiscal_period_type,1,"fiscal_year")</f>
        <v/>
      </c>
      <c r="C5" s="104"/>
      <c r="D5" s="104"/>
      <c r="E5" s="104"/>
      <c r="F5" s="104" t="str">
        <f>[1]!IntrinioBankFundamentals(rssd_id,"RIBI",fiscal_period_type,0,"fiscal_year")</f>
        <v/>
      </c>
      <c r="G5" s="104"/>
      <c r="H5" s="104"/>
      <c r="I5" s="104"/>
    </row>
    <row r="6" spans="1:13" ht="14.25" x14ac:dyDescent="0.4">
      <c r="A6" s="19"/>
      <c r="B6" s="105" t="s">
        <v>348</v>
      </c>
      <c r="C6" s="105"/>
      <c r="D6" s="105" t="s">
        <v>349</v>
      </c>
      <c r="E6" s="105"/>
      <c r="F6" s="105" t="s">
        <v>348</v>
      </c>
      <c r="G6" s="105"/>
      <c r="H6" s="105" t="s">
        <v>349</v>
      </c>
      <c r="I6" s="105"/>
      <c r="J6" s="21"/>
    </row>
    <row r="7" spans="1:13" ht="14.25" x14ac:dyDescent="0.45">
      <c r="A7" s="60"/>
      <c r="B7" s="106" t="s">
        <v>350</v>
      </c>
      <c r="C7" s="106"/>
      <c r="D7" s="106" t="s">
        <v>351</v>
      </c>
      <c r="E7" s="106"/>
      <c r="F7" s="106" t="s">
        <v>350</v>
      </c>
      <c r="G7" s="106"/>
      <c r="H7" s="106" t="s">
        <v>351</v>
      </c>
      <c r="I7" s="106"/>
      <c r="J7" s="57"/>
    </row>
    <row r="8" spans="1:13" ht="14.25" x14ac:dyDescent="0.45">
      <c r="A8" s="60" t="s">
        <v>28</v>
      </c>
      <c r="B8" s="35"/>
      <c r="C8" s="35"/>
      <c r="D8" s="35"/>
      <c r="E8" s="35"/>
      <c r="F8" s="35"/>
      <c r="G8" s="35"/>
      <c r="H8" s="35"/>
      <c r="I8" s="35"/>
      <c r="J8" s="46">
        <v>1</v>
      </c>
    </row>
    <row r="9" spans="1:13" ht="14.25" x14ac:dyDescent="0.45">
      <c r="A9" s="61" t="s">
        <v>352</v>
      </c>
      <c r="B9" s="35"/>
      <c r="C9" s="35"/>
      <c r="D9" s="35"/>
      <c r="E9" s="35"/>
      <c r="F9" s="35"/>
      <c r="G9" s="35"/>
      <c r="H9" s="35"/>
      <c r="I9" s="35"/>
      <c r="J9" s="46" t="s">
        <v>27</v>
      </c>
    </row>
    <row r="10" spans="1:13" ht="14.25" x14ac:dyDescent="0.45">
      <c r="A10" s="61" t="s">
        <v>353</v>
      </c>
      <c r="B10" s="80" t="s">
        <v>2090</v>
      </c>
      <c r="C10" s="38" t="str">
        <f>IFERROR([1]!IntrinioBankFinancials(rssd_id,$M$3,$B$5,B$4,$B10,"K"),"")</f>
        <v/>
      </c>
      <c r="D10" s="80" t="s">
        <v>2091</v>
      </c>
      <c r="E10" s="38" t="str">
        <f>IFERROR([1]!IntrinioBankFinancials(rssd_id,$M$3,$B$5,B$4,$D10,"K"),"")</f>
        <v/>
      </c>
      <c r="F10" s="80" t="s">
        <v>2090</v>
      </c>
      <c r="G10" s="38" t="str">
        <f>IFERROR([1]!IntrinioBankFinancials(rssd_id,$M$3,F$5,F$4,$F10,"K"),"")</f>
        <v/>
      </c>
      <c r="H10" s="80" t="s">
        <v>2091</v>
      </c>
      <c r="I10" s="38" t="str">
        <f>IFERROR([1]!IntrinioBankFinancials(rssd_id,$M$3,F$5,F$4,$H10,"K"),"")</f>
        <v/>
      </c>
      <c r="J10" s="46" t="s">
        <v>29</v>
      </c>
    </row>
    <row r="11" spans="1:13" ht="28.5" x14ac:dyDescent="0.45">
      <c r="A11" s="61" t="s">
        <v>354</v>
      </c>
      <c r="B11" s="80" t="s">
        <v>355</v>
      </c>
      <c r="C11" s="38" t="str">
        <f>IFERROR([1]!IntrinioBankFinancials(rssd_id,$M$3,$B$5,B$4,$B11,"K"),"")</f>
        <v/>
      </c>
      <c r="D11" s="80" t="s">
        <v>356</v>
      </c>
      <c r="E11" s="38" t="str">
        <f>IFERROR([1]!IntrinioBankFinancials(rssd_id,$M$3,$B$5,B$4,$D11,"K"),"")</f>
        <v/>
      </c>
      <c r="F11" s="80" t="s">
        <v>355</v>
      </c>
      <c r="G11" s="38" t="str">
        <f>IFERROR([1]!IntrinioBankFinancials(rssd_id,$M$3,F$5,F$4,$F11,"K"),"")</f>
        <v/>
      </c>
      <c r="H11" s="80" t="s">
        <v>356</v>
      </c>
      <c r="I11" s="38" t="str">
        <f>IFERROR([1]!IntrinioBankFinancials(rssd_id,$M$3,F$5,F$4,$H11,"K"),"")</f>
        <v/>
      </c>
      <c r="J11" s="46" t="s">
        <v>38</v>
      </c>
    </row>
    <row r="12" spans="1:13" ht="14.25" x14ac:dyDescent="0.45">
      <c r="A12" s="61" t="s">
        <v>357</v>
      </c>
      <c r="B12" s="80" t="s">
        <v>358</v>
      </c>
      <c r="C12" s="38" t="str">
        <f>IFERROR([1]!IntrinioBankFinancials(rssd_id,$M$3,$B$5,B$4,$B12,"K"),"")</f>
        <v/>
      </c>
      <c r="D12" s="80" t="s">
        <v>359</v>
      </c>
      <c r="E12" s="38" t="str">
        <f>IFERROR([1]!IntrinioBankFinancials(rssd_id,$M$3,$B$5,B$4,$D12,"K"),"")</f>
        <v/>
      </c>
      <c r="F12" s="80" t="s">
        <v>358</v>
      </c>
      <c r="G12" s="38" t="str">
        <f>IFERROR([1]!IntrinioBankFinancials(rssd_id,$M$3,F$5,F$4,$F12,"K"),"")</f>
        <v/>
      </c>
      <c r="H12" s="80" t="s">
        <v>359</v>
      </c>
      <c r="I12" s="38" t="str">
        <f>IFERROR([1]!IntrinioBankFinancials(rssd_id,$M$3,F$5,F$4,$H12,"K"),"")</f>
        <v/>
      </c>
      <c r="J12" s="46" t="s">
        <v>57</v>
      </c>
    </row>
    <row r="13" spans="1:13" ht="14.25" x14ac:dyDescent="0.45">
      <c r="A13" s="61" t="s">
        <v>360</v>
      </c>
      <c r="B13" s="81"/>
      <c r="C13" s="35"/>
      <c r="D13" s="81"/>
      <c r="E13" s="35"/>
      <c r="F13" s="81"/>
      <c r="G13" s="35"/>
      <c r="H13" s="81"/>
      <c r="I13" s="35"/>
      <c r="J13" s="46" t="s">
        <v>60</v>
      </c>
    </row>
    <row r="14" spans="1:13" ht="28.5" x14ac:dyDescent="0.45">
      <c r="A14" s="61" t="s">
        <v>434</v>
      </c>
      <c r="B14" s="80" t="s">
        <v>361</v>
      </c>
      <c r="C14" s="38" t="str">
        <f>IFERROR([1]!IntrinioBankFinancials(rssd_id,$M$3,$B$5,B$4,$B14,"K"),"")</f>
        <v/>
      </c>
      <c r="D14" s="80" t="s">
        <v>362</v>
      </c>
      <c r="E14" s="38" t="str">
        <f>IFERROR([1]!IntrinioBankFinancials(rssd_id,$M$3,$B$5,B$4,$D14,"K"),"")</f>
        <v/>
      </c>
      <c r="F14" s="80" t="s">
        <v>361</v>
      </c>
      <c r="G14" s="38" t="str">
        <f>IFERROR([1]!IntrinioBankFinancials(rssd_id,$M$3,F$5,F$4,$F14,"K"),"")</f>
        <v/>
      </c>
      <c r="H14" s="80" t="s">
        <v>362</v>
      </c>
      <c r="I14" s="38" t="str">
        <f>IFERROR([1]!IntrinioBankFinancials(rssd_id,$M$3,F$5,F$4,$H14,"K"),"")</f>
        <v/>
      </c>
      <c r="J14" s="46" t="s">
        <v>363</v>
      </c>
    </row>
    <row r="15" spans="1:13" ht="14.25" x14ac:dyDescent="0.45">
      <c r="A15" s="61" t="s">
        <v>364</v>
      </c>
      <c r="B15" s="81"/>
      <c r="C15" s="35"/>
      <c r="D15" s="81"/>
      <c r="E15" s="35"/>
      <c r="F15" s="81"/>
      <c r="G15" s="35"/>
      <c r="H15" s="81"/>
      <c r="I15" s="35"/>
      <c r="J15" s="46" t="s">
        <v>365</v>
      </c>
    </row>
    <row r="16" spans="1:13" ht="14.25" x14ac:dyDescent="0.45">
      <c r="A16" s="61" t="s">
        <v>366</v>
      </c>
      <c r="B16" s="80" t="s">
        <v>367</v>
      </c>
      <c r="C16" s="38" t="str">
        <f>IFERROR([1]!IntrinioBankFinancials(rssd_id,$M$3,$B$5,B$4,$B16,"K"),"")</f>
        <v/>
      </c>
      <c r="D16" s="80" t="s">
        <v>368</v>
      </c>
      <c r="E16" s="38" t="str">
        <f>IFERROR([1]!IntrinioBankFinancials(rssd_id,$M$3,$B$5,B$4,$D16,"K"),"")</f>
        <v/>
      </c>
      <c r="F16" s="80" t="s">
        <v>367</v>
      </c>
      <c r="G16" s="38" t="str">
        <f>IFERROR([1]!IntrinioBankFinancials(rssd_id,$M$3,F$5,F$4,$F16,"K"),"")</f>
        <v/>
      </c>
      <c r="H16" s="80" t="s">
        <v>368</v>
      </c>
      <c r="I16" s="38" t="str">
        <f>IFERROR([1]!IntrinioBankFinancials(rssd_id,$M$3,F$5,F$4,$H16,"K"),"")</f>
        <v/>
      </c>
      <c r="J16" s="46" t="s">
        <v>369</v>
      </c>
    </row>
    <row r="17" spans="1:10" ht="14.25" x14ac:dyDescent="0.45">
      <c r="A17" s="61" t="s">
        <v>370</v>
      </c>
      <c r="B17" s="80" t="s">
        <v>371</v>
      </c>
      <c r="C17" s="38" t="str">
        <f>IFERROR([1]!IntrinioBankFinancials(rssd_id,$M$3,$B$5,B$4,$B17,"K"),"")</f>
        <v/>
      </c>
      <c r="D17" s="80" t="s">
        <v>372</v>
      </c>
      <c r="E17" s="38" t="str">
        <f>IFERROR([1]!IntrinioBankFinancials(rssd_id,$M$3,$B$5,B$4,$D17,"K"),"")</f>
        <v/>
      </c>
      <c r="F17" s="80" t="s">
        <v>371</v>
      </c>
      <c r="G17" s="38" t="str">
        <f>IFERROR([1]!IntrinioBankFinancials(rssd_id,$M$3,F$5,F$4,$F17,"K"),"")</f>
        <v/>
      </c>
      <c r="H17" s="80" t="s">
        <v>372</v>
      </c>
      <c r="I17" s="38" t="str">
        <f>IFERROR([1]!IntrinioBankFinancials(rssd_id,$M$3,F$5,F$4,$H17,"K"),"")</f>
        <v/>
      </c>
      <c r="J17" s="46" t="s">
        <v>373</v>
      </c>
    </row>
    <row r="18" spans="1:10" ht="14.25" x14ac:dyDescent="0.45">
      <c r="A18" s="61" t="s">
        <v>374</v>
      </c>
      <c r="B18" s="80" t="s">
        <v>375</v>
      </c>
      <c r="C18" s="38" t="str">
        <f>IFERROR([1]!IntrinioBankFinancials(rssd_id,$M$3,$B$5,B$4,$B18,"K"),"")</f>
        <v/>
      </c>
      <c r="D18" s="80" t="s">
        <v>376</v>
      </c>
      <c r="E18" s="38" t="str">
        <f>IFERROR([1]!IntrinioBankFinancials(rssd_id,$M$3,$B$5,B$4,$D18,"K"),"")</f>
        <v/>
      </c>
      <c r="F18" s="80" t="s">
        <v>375</v>
      </c>
      <c r="G18" s="38" t="str">
        <f>IFERROR([1]!IntrinioBankFinancials(rssd_id,$M$3,F$5,F$4,$F18,"K"),"")</f>
        <v/>
      </c>
      <c r="H18" s="80" t="s">
        <v>376</v>
      </c>
      <c r="I18" s="38" t="str">
        <f>IFERROR([1]!IntrinioBankFinancials(rssd_id,$M$3,F$5,F$4,$H18,"K"),"")</f>
        <v/>
      </c>
      <c r="J18" s="46" t="s">
        <v>62</v>
      </c>
    </row>
    <row r="19" spans="1:10" ht="14.25" x14ac:dyDescent="0.45">
      <c r="A19" s="61" t="s">
        <v>377</v>
      </c>
      <c r="B19" s="81"/>
      <c r="C19" s="35"/>
      <c r="D19" s="81"/>
      <c r="E19" s="35"/>
      <c r="F19" s="81"/>
      <c r="G19" s="35"/>
      <c r="H19" s="81"/>
      <c r="I19" s="35"/>
      <c r="J19" s="46" t="s">
        <v>74</v>
      </c>
    </row>
    <row r="20" spans="1:10" ht="28.5" x14ac:dyDescent="0.45">
      <c r="A20" s="61" t="s">
        <v>378</v>
      </c>
      <c r="B20" s="80" t="s">
        <v>379</v>
      </c>
      <c r="C20" s="38" t="str">
        <f>IFERROR([1]!IntrinioBankFinancials(rssd_id,$M$3,$B$5,B$4,$B20,"K"),"")</f>
        <v/>
      </c>
      <c r="D20" s="80" t="s">
        <v>380</v>
      </c>
      <c r="E20" s="38" t="str">
        <f>IFERROR([1]!IntrinioBankFinancials(rssd_id,$M$3,$B$5,B$4,$D20,"K"),"")</f>
        <v/>
      </c>
      <c r="F20" s="80" t="s">
        <v>379</v>
      </c>
      <c r="G20" s="38" t="str">
        <f>IFERROR([1]!IntrinioBankFinancials(rssd_id,$M$3,F$5,F$4,$F20,"K"),"")</f>
        <v/>
      </c>
      <c r="H20" s="80" t="s">
        <v>380</v>
      </c>
      <c r="I20" s="38" t="str">
        <f>IFERROR([1]!IntrinioBankFinancials(rssd_id,$M$3,F$5,F$4,$H20,"K"),"")</f>
        <v/>
      </c>
      <c r="J20" s="46" t="s">
        <v>381</v>
      </c>
    </row>
    <row r="21" spans="1:10" ht="14.25" x14ac:dyDescent="0.45">
      <c r="A21" s="61" t="s">
        <v>382</v>
      </c>
      <c r="B21" s="80" t="s">
        <v>383</v>
      </c>
      <c r="C21" s="38" t="str">
        <f>IFERROR([1]!IntrinioBankFinancials(rssd_id,$M$3,$B$5,B$4,$B21,"K"),"")</f>
        <v/>
      </c>
      <c r="D21" s="80" t="s">
        <v>384</v>
      </c>
      <c r="E21" s="38" t="str">
        <f>IFERROR([1]!IntrinioBankFinancials(rssd_id,$M$3,$B$5,B$4,$D21,"K"),"")</f>
        <v/>
      </c>
      <c r="F21" s="80" t="s">
        <v>383</v>
      </c>
      <c r="G21" s="38" t="str">
        <f>IFERROR([1]!IntrinioBankFinancials(rssd_id,$M$3,F$5,F$4,$F21,"K"),"")</f>
        <v/>
      </c>
      <c r="H21" s="80" t="s">
        <v>384</v>
      </c>
      <c r="I21" s="38" t="str">
        <f>IFERROR([1]!IntrinioBankFinancials(rssd_id,$M$3,F$5,F$4,$H21,"K"),"")</f>
        <v/>
      </c>
      <c r="J21" s="46" t="s">
        <v>385</v>
      </c>
    </row>
    <row r="22" spans="1:10" ht="28.5" x14ac:dyDescent="0.45">
      <c r="A22" s="60" t="s">
        <v>386</v>
      </c>
      <c r="B22" s="80" t="s">
        <v>387</v>
      </c>
      <c r="C22" s="38" t="str">
        <f>IFERROR([1]!IntrinioBankFinancials(rssd_id,$M$3,$B$5,B$4,$B22,"K"),"")</f>
        <v/>
      </c>
      <c r="D22" s="80" t="s">
        <v>388</v>
      </c>
      <c r="E22" s="38" t="str">
        <f>IFERROR([1]!IntrinioBankFinancials(rssd_id,$M$3,$B$5,B$4,$D22,"K"),"")</f>
        <v/>
      </c>
      <c r="F22" s="80" t="s">
        <v>387</v>
      </c>
      <c r="G22" s="38" t="str">
        <f>IFERROR([1]!IntrinioBankFinancials(rssd_id,$M$3,F$5,F$4,$F22,"K"),"")</f>
        <v/>
      </c>
      <c r="H22" s="80" t="s">
        <v>388</v>
      </c>
      <c r="I22" s="38" t="str">
        <f>IFERROR([1]!IntrinioBankFinancials(rssd_id,$M$3,F$5,F$4,$H22,"K"),"")</f>
        <v/>
      </c>
      <c r="J22" s="46">
        <v>2</v>
      </c>
    </row>
    <row r="23" spans="1:10" ht="28.5" x14ac:dyDescent="0.45">
      <c r="A23" s="60" t="s">
        <v>1200</v>
      </c>
      <c r="B23" s="80" t="s">
        <v>424</v>
      </c>
      <c r="C23" s="38" t="str">
        <f>IFERROR([1]!IntrinioBankFinancials(rssd_id,$M$3,$B$5,B$4,$B23,"K"),"")</f>
        <v/>
      </c>
      <c r="D23" s="80" t="s">
        <v>425</v>
      </c>
      <c r="E23" s="38" t="str">
        <f>IFERROR([1]!IntrinioBankFinancials(rssd_id,$M$3,$B$5,B$4,$D23,"K"),"")</f>
        <v/>
      </c>
      <c r="F23" s="80" t="s">
        <v>424</v>
      </c>
      <c r="G23" s="38" t="str">
        <f>IFERROR([1]!IntrinioBankFinancials(rssd_id,$M$3,F$5,F$4,$F23,"K"),"")</f>
        <v/>
      </c>
      <c r="H23" s="80" t="s">
        <v>425</v>
      </c>
      <c r="I23" s="38" t="str">
        <f>IFERROR([1]!IntrinioBankFinancials(rssd_id,$M$3,F$5,F$4,$H23,"K"),"")</f>
        <v/>
      </c>
      <c r="J23" s="46">
        <v>3</v>
      </c>
    </row>
    <row r="24" spans="1:10" ht="14.25" x14ac:dyDescent="0.45">
      <c r="A24" s="60" t="s">
        <v>389</v>
      </c>
      <c r="B24" s="81"/>
      <c r="C24" s="35"/>
      <c r="D24" s="81"/>
      <c r="E24" s="35"/>
      <c r="F24" s="81"/>
      <c r="G24" s="81"/>
      <c r="H24" s="81"/>
      <c r="I24" s="81"/>
      <c r="J24" s="46">
        <v>4</v>
      </c>
    </row>
    <row r="25" spans="1:10" ht="14.25" x14ac:dyDescent="0.45">
      <c r="A25" s="60" t="s">
        <v>1193</v>
      </c>
      <c r="B25" s="80" t="s">
        <v>2092</v>
      </c>
      <c r="C25" s="38" t="str">
        <f>IFERROR([1]!IntrinioBankFinancials(rssd_id,$M$3,$B$5,B$4,$B25,"K"),"")</f>
        <v/>
      </c>
      <c r="D25" s="80" t="s">
        <v>2093</v>
      </c>
      <c r="E25" s="38" t="str">
        <f>IFERROR([1]!IntrinioBankFinancials(rssd_id,$M$3,$B$5,B$4,$D25,"K"),"")</f>
        <v/>
      </c>
      <c r="F25" s="80" t="s">
        <v>2092</v>
      </c>
      <c r="G25" s="38" t="str">
        <f>IFERROR([1]!IntrinioBankFinancials(rssd_id,$M$3,F$5,F$4,$F25,"K"),"")</f>
        <v/>
      </c>
      <c r="H25" s="80" t="s">
        <v>2093</v>
      </c>
      <c r="I25" s="38" t="str">
        <f>IFERROR([1]!IntrinioBankFinancials(rssd_id,$M$3,F$5,F$4,$H25,"K"),"")</f>
        <v/>
      </c>
      <c r="J25" s="46"/>
    </row>
    <row r="26" spans="1:10" ht="14.25" x14ac:dyDescent="0.45">
      <c r="A26" s="60" t="s">
        <v>1194</v>
      </c>
      <c r="B26" s="80" t="s">
        <v>418</v>
      </c>
      <c r="C26" s="38" t="str">
        <f>IFERROR([1]!IntrinioBankFinancials(rssd_id,$M$3,$B$5,B$4,$B26,"K"),"")</f>
        <v/>
      </c>
      <c r="D26" s="80" t="s">
        <v>419</v>
      </c>
      <c r="E26" s="38" t="str">
        <f>IFERROR([1]!IntrinioBankFinancials(rssd_id,$M$3,$B$5,B$4,$D26,"K"),"")</f>
        <v/>
      </c>
      <c r="F26" s="80" t="s">
        <v>418</v>
      </c>
      <c r="G26" s="38" t="str">
        <f>IFERROR([1]!IntrinioBankFinancials(rssd_id,$M$3,F$5,F$4,$F26,"K"),"")</f>
        <v/>
      </c>
      <c r="H26" s="80" t="s">
        <v>419</v>
      </c>
      <c r="I26" s="38" t="str">
        <f>IFERROR([1]!IntrinioBankFinancials(rssd_id,$M$3,F$5,F$4,$H26,"K"),"")</f>
        <v/>
      </c>
      <c r="J26" s="46"/>
    </row>
    <row r="27" spans="1:10" ht="28.5" x14ac:dyDescent="0.45">
      <c r="A27" s="60" t="s">
        <v>390</v>
      </c>
      <c r="B27" s="81"/>
      <c r="C27" s="35"/>
      <c r="D27" s="81"/>
      <c r="E27" s="35"/>
      <c r="F27" s="81"/>
      <c r="G27" s="35"/>
      <c r="H27" s="81"/>
      <c r="I27" s="35"/>
      <c r="J27" s="46">
        <v>5</v>
      </c>
    </row>
    <row r="28" spans="1:10" ht="14.25" x14ac:dyDescent="0.45">
      <c r="A28" s="61" t="s">
        <v>41</v>
      </c>
      <c r="B28" s="80" t="s">
        <v>391</v>
      </c>
      <c r="C28" s="38" t="str">
        <f>IFERROR([1]!IntrinioBankFinancials(rssd_id,$M$3,$B$5,B$4,$B28,"K"),"")</f>
        <v/>
      </c>
      <c r="D28" s="80" t="s">
        <v>392</v>
      </c>
      <c r="E28" s="38" t="str">
        <f>IFERROR([1]!IntrinioBankFinancials(rssd_id,$M$3,$B$5,B$4,$D28,"K"),"")</f>
        <v/>
      </c>
      <c r="F28" s="80" t="s">
        <v>391</v>
      </c>
      <c r="G28" s="38" t="str">
        <f>IFERROR([1]!IntrinioBankFinancials(rssd_id,$M$3,F$5,F$4,$F28,"K"),"")</f>
        <v/>
      </c>
      <c r="H28" s="80" t="s">
        <v>392</v>
      </c>
      <c r="I28" s="38" t="str">
        <f>IFERROR([1]!IntrinioBankFinancials(rssd_id,$M$3,F$5,F$4,$H28,"K"),"")</f>
        <v/>
      </c>
      <c r="J28" s="46" t="s">
        <v>119</v>
      </c>
    </row>
    <row r="29" spans="1:10" ht="14.25" x14ac:dyDescent="0.45">
      <c r="A29" s="61" t="s">
        <v>393</v>
      </c>
      <c r="B29" s="80" t="s">
        <v>394</v>
      </c>
      <c r="C29" s="38" t="str">
        <f>IFERROR([1]!IntrinioBankFinancials(rssd_id,$M$3,$B$5,B$4,$B29,"K"),"")</f>
        <v/>
      </c>
      <c r="D29" s="80" t="s">
        <v>395</v>
      </c>
      <c r="E29" s="38" t="str">
        <f>IFERROR([1]!IntrinioBankFinancials(rssd_id,$M$3,$B$5,B$4,$D29,"K"),"")</f>
        <v/>
      </c>
      <c r="F29" s="80" t="s">
        <v>394</v>
      </c>
      <c r="G29" s="38" t="str">
        <f>IFERROR([1]!IntrinioBankFinancials(rssd_id,$M$3,F$5,F$4,$F29,"K"),"")</f>
        <v/>
      </c>
      <c r="H29" s="80" t="s">
        <v>395</v>
      </c>
      <c r="I29" s="38" t="str">
        <f>IFERROR([1]!IntrinioBankFinancials(rssd_id,$M$3,F$5,F$4,$H29,"K"),"")</f>
        <v/>
      </c>
      <c r="J29" s="46" t="s">
        <v>122</v>
      </c>
    </row>
    <row r="30" spans="1:10" ht="28.5" x14ac:dyDescent="0.45">
      <c r="A30" s="61" t="s">
        <v>435</v>
      </c>
      <c r="B30" s="80" t="s">
        <v>396</v>
      </c>
      <c r="C30" s="38" t="str">
        <f>IFERROR([1]!IntrinioBankFinancials(rssd_id,$M$3,$B$5,B$4,$B30,"K"),"")</f>
        <v/>
      </c>
      <c r="D30" s="80" t="s">
        <v>397</v>
      </c>
      <c r="E30" s="38" t="str">
        <f>IFERROR([1]!IntrinioBankFinancials(rssd_id,$M$3,$B$5,B$4,$D30,"K"),"")</f>
        <v/>
      </c>
      <c r="F30" s="80" t="s">
        <v>396</v>
      </c>
      <c r="G30" s="38" t="str">
        <f>IFERROR([1]!IntrinioBankFinancials(rssd_id,$M$3,F$5,F$4,$F30,"K"),"")</f>
        <v/>
      </c>
      <c r="H30" s="80" t="s">
        <v>397</v>
      </c>
      <c r="I30" s="38" t="str">
        <f>IFERROR([1]!IntrinioBankFinancials(rssd_id,$M$3,F$5,F$4,$H30,"K"),"")</f>
        <v/>
      </c>
      <c r="J30" s="46" t="s">
        <v>125</v>
      </c>
    </row>
    <row r="31" spans="1:10" ht="14.25" x14ac:dyDescent="0.45">
      <c r="A31" s="60" t="s">
        <v>398</v>
      </c>
      <c r="B31" s="80" t="s">
        <v>399</v>
      </c>
      <c r="C31" s="38" t="str">
        <f>IFERROR([1]!IntrinioBankFinancials(rssd_id,$M$3,$B$5,B$4,$B31,"K"),"")</f>
        <v/>
      </c>
      <c r="D31" s="80" t="s">
        <v>400</v>
      </c>
      <c r="E31" s="38" t="str">
        <f>IFERROR([1]!IntrinioBankFinancials(rssd_id,$M$3,$B$5,B$4,$D31,"K"),"")</f>
        <v/>
      </c>
      <c r="F31" s="80" t="s">
        <v>399</v>
      </c>
      <c r="G31" s="38" t="str">
        <f>IFERROR([1]!IntrinioBankFinancials(rssd_id,$M$3,F$5,F$4,$F31,"K"),"")</f>
        <v/>
      </c>
      <c r="H31" s="80" t="s">
        <v>400</v>
      </c>
      <c r="I31" s="38" t="str">
        <f>IFERROR([1]!IntrinioBankFinancials(rssd_id,$M$3,F$5,F$4,$H31,"K"),"")</f>
        <v/>
      </c>
      <c r="J31" s="46">
        <v>6</v>
      </c>
    </row>
    <row r="32" spans="1:10" ht="14.25" x14ac:dyDescent="0.45">
      <c r="A32" s="60" t="s">
        <v>401</v>
      </c>
      <c r="B32" s="80" t="s">
        <v>402</v>
      </c>
      <c r="C32" s="38" t="str">
        <f>IFERROR([1]!IntrinioBankFinancials(rssd_id,$M$3,$B$5,B$4,$B32,"K"),"")</f>
        <v/>
      </c>
      <c r="D32" s="80" t="s">
        <v>403</v>
      </c>
      <c r="E32" s="38" t="str">
        <f>IFERROR([1]!IntrinioBankFinancials(rssd_id,$M$3,$B$5,B$4,$D32,"K"),"")</f>
        <v/>
      </c>
      <c r="F32" s="80" t="s">
        <v>402</v>
      </c>
      <c r="G32" s="38" t="str">
        <f>IFERROR([1]!IntrinioBankFinancials(rssd_id,$M$3,F$5,F$4,$F32,"K"),"")</f>
        <v/>
      </c>
      <c r="H32" s="80" t="s">
        <v>403</v>
      </c>
      <c r="I32" s="38" t="str">
        <f>IFERROR([1]!IntrinioBankFinancials(rssd_id,$M$3,F$5,F$4,$H32,"K"),"")</f>
        <v/>
      </c>
      <c r="J32" s="46">
        <v>7</v>
      </c>
    </row>
    <row r="33" spans="1:10" ht="14.25" x14ac:dyDescent="0.45">
      <c r="A33" s="60" t="s">
        <v>404</v>
      </c>
      <c r="B33" s="80" t="s">
        <v>405</v>
      </c>
      <c r="C33" s="38" t="str">
        <f>IFERROR([1]!IntrinioBankFinancials(rssd_id,$M$3,$B$5,B$4,$B33,"K"),"")</f>
        <v/>
      </c>
      <c r="D33" s="80" t="s">
        <v>406</v>
      </c>
      <c r="E33" s="38" t="str">
        <f>IFERROR([1]!IntrinioBankFinancials(rssd_id,$M$3,$B$5,B$4,$D33,"K"),"")</f>
        <v/>
      </c>
      <c r="F33" s="80" t="s">
        <v>405</v>
      </c>
      <c r="G33" s="38" t="str">
        <f>IFERROR([1]!IntrinioBankFinancials(rssd_id,$M$3,F$5,F$4,$F33,"K"),"")</f>
        <v/>
      </c>
      <c r="H33" s="80" t="s">
        <v>406</v>
      </c>
      <c r="I33" s="38" t="str">
        <f>IFERROR([1]!IntrinioBankFinancials(rssd_id,$M$3,F$5,F$4,$H33,"K"),"")</f>
        <v/>
      </c>
      <c r="J33" s="46">
        <v>8</v>
      </c>
    </row>
    <row r="34" spans="1:10" ht="28.5" x14ac:dyDescent="0.45">
      <c r="A34" s="60" t="s">
        <v>2094</v>
      </c>
      <c r="B34" s="80" t="s">
        <v>421</v>
      </c>
      <c r="C34" s="38" t="str">
        <f>IFERROR([1]!IntrinioBankFinancials(rssd_id,$M$3,$B$5,B$4,$B34,"K"),"")</f>
        <v/>
      </c>
      <c r="D34" s="80" t="s">
        <v>422</v>
      </c>
      <c r="E34" s="38" t="str">
        <f>IFERROR([1]!IntrinioBankFinancials(rssd_id,$M$3,$B$5,B$4,$D34,"K"),"")</f>
        <v/>
      </c>
      <c r="F34" s="80" t="s">
        <v>421</v>
      </c>
      <c r="G34" s="38" t="str">
        <f>IFERROR([1]!IntrinioBankFinancials(rssd_id,$M$3,F$5,F$4,$F34,"K"),"")</f>
        <v/>
      </c>
      <c r="H34" s="80" t="s">
        <v>422</v>
      </c>
      <c r="I34" s="38" t="str">
        <f>IFERROR([1]!IntrinioBankFinancials(rssd_id,$M$3,F$5,F$4,$H34,"K"),"")</f>
        <v/>
      </c>
      <c r="J34" s="46" t="s">
        <v>1310</v>
      </c>
    </row>
    <row r="35" spans="1:10" ht="14.25" x14ac:dyDescent="0.45">
      <c r="A35" s="60" t="s">
        <v>1198</v>
      </c>
      <c r="B35" s="80" t="s">
        <v>2095</v>
      </c>
      <c r="C35" s="38" t="str">
        <f>IFERROR([1]!IntrinioBankFinancials(rssd_id,$M$3,$B$5,B$4,$B35,"K"),"")</f>
        <v/>
      </c>
      <c r="D35" s="80" t="s">
        <v>2096</v>
      </c>
      <c r="E35" s="38" t="str">
        <f>IFERROR([1]!IntrinioBankFinancials(rssd_id,$M$3,$B$5,B$4,$D35,"K"),"")</f>
        <v/>
      </c>
      <c r="F35" s="80" t="s">
        <v>2095</v>
      </c>
      <c r="G35" s="38" t="str">
        <f>IFERROR([1]!IntrinioBankFinancials(rssd_id,$M$3,F$5,F$4,$F35,"K"),"")</f>
        <v/>
      </c>
      <c r="H35" s="80" t="s">
        <v>2096</v>
      </c>
      <c r="I35" s="38" t="str">
        <f>IFERROR([1]!IntrinioBankFinancials(rssd_id,$M$3,F$5,F$4,$H35,"K"),"")</f>
        <v/>
      </c>
      <c r="J35" s="46" t="s">
        <v>1311</v>
      </c>
    </row>
    <row r="36" spans="1:10" ht="14.25" x14ac:dyDescent="0.45">
      <c r="A36" s="60" t="s">
        <v>436</v>
      </c>
      <c r="B36" s="80" t="s">
        <v>407</v>
      </c>
      <c r="C36" s="38" t="str">
        <f>IFERROR([1]!IntrinioBankFinancials(rssd_id,$M$3,$B$5,B$4,$B36,"K"),"")</f>
        <v/>
      </c>
      <c r="D36" s="80" t="s">
        <v>408</v>
      </c>
      <c r="E36" s="38" t="str">
        <f>IFERROR([1]!IntrinioBankFinancials(rssd_id,$M$3,$B$5,B$4,$D36,"K"),"")</f>
        <v/>
      </c>
      <c r="F36" s="80" t="s">
        <v>407</v>
      </c>
      <c r="G36" s="38" t="str">
        <f>IFERROR([1]!IntrinioBankFinancials(rssd_id,$M$3,F$5,F$4,$F36,"K"),"")</f>
        <v/>
      </c>
      <c r="H36" s="80" t="s">
        <v>408</v>
      </c>
      <c r="I36" s="38" t="str">
        <f>IFERROR([1]!IntrinioBankFinancials(rssd_id,$M$3,F$5,F$4,$H36,"K"),"")</f>
        <v/>
      </c>
      <c r="J36" s="46">
        <v>9</v>
      </c>
    </row>
    <row r="37" spans="1:10" ht="14.25" x14ac:dyDescent="0.4">
      <c r="A37" s="19"/>
      <c r="B37" s="81"/>
      <c r="C37" s="35"/>
      <c r="D37" s="81"/>
      <c r="E37" s="35"/>
      <c r="F37" s="81"/>
      <c r="G37" s="35"/>
      <c r="H37" s="81"/>
      <c r="I37" s="35"/>
      <c r="J37" s="46"/>
    </row>
    <row r="38" spans="1:10" ht="18" x14ac:dyDescent="0.4">
      <c r="A38" s="11" t="s">
        <v>208</v>
      </c>
      <c r="B38" s="81"/>
      <c r="C38" s="35"/>
      <c r="D38" s="81"/>
      <c r="E38" s="35"/>
      <c r="F38" s="81"/>
      <c r="G38" s="35"/>
      <c r="H38" s="81"/>
      <c r="I38" s="35"/>
      <c r="J38" s="46"/>
    </row>
    <row r="39" spans="1:10" ht="42.75" x14ac:dyDescent="0.45">
      <c r="A39" s="60" t="s">
        <v>437</v>
      </c>
      <c r="B39" s="80" t="s">
        <v>409</v>
      </c>
      <c r="C39" s="38" t="str">
        <f>IFERROR([1]!IntrinioBankFinancials(rssd_id,$M$3,$B$5,B$4,$B39,"K"),"")</f>
        <v/>
      </c>
      <c r="D39" s="80" t="s">
        <v>410</v>
      </c>
      <c r="E39" s="38" t="str">
        <f>IFERROR([1]!IntrinioBankFinancials(rssd_id,$M$3,$B$5,B$4,$D39,"K"),"")</f>
        <v/>
      </c>
      <c r="F39" s="80" t="s">
        <v>409</v>
      </c>
      <c r="G39" s="38" t="str">
        <f>IFERROR([1]!IntrinioBankFinancials(rssd_id,$M$3,F$5,F$4,$F39,"K"),"")</f>
        <v/>
      </c>
      <c r="H39" s="80" t="s">
        <v>410</v>
      </c>
      <c r="I39" s="38" t="str">
        <f>IFERROR([1]!IntrinioBankFinancials(rssd_id,$M$3,F$5,F$4,$H39,"K"),"")</f>
        <v/>
      </c>
      <c r="J39" s="46" t="s">
        <v>210</v>
      </c>
    </row>
    <row r="40" spans="1:10" ht="14.25" x14ac:dyDescent="0.45">
      <c r="A40" s="60" t="s">
        <v>411</v>
      </c>
      <c r="B40" s="81"/>
      <c r="C40" s="35"/>
      <c r="D40" s="81"/>
      <c r="E40" s="35"/>
      <c r="F40" s="81"/>
      <c r="G40" s="35"/>
      <c r="H40" s="81"/>
      <c r="I40" s="35"/>
      <c r="J40" s="46" t="s">
        <v>213</v>
      </c>
    </row>
    <row r="41" spans="1:10" ht="28.5" x14ac:dyDescent="0.45">
      <c r="A41" s="100" t="s">
        <v>438</v>
      </c>
      <c r="B41" s="80" t="s">
        <v>412</v>
      </c>
      <c r="C41" s="38" t="str">
        <f>IFERROR([1]!IntrinioBankFinancials(rssd_id,$M$3,$B$5,B$4,$B41,"K"),"")</f>
        <v/>
      </c>
      <c r="D41" s="80" t="s">
        <v>413</v>
      </c>
      <c r="E41" s="38" t="str">
        <f>IFERROR([1]!IntrinioBankFinancials(rssd_id,$M$3,$B$5,B$4,$D41,"K"),"")</f>
        <v/>
      </c>
      <c r="F41" s="80" t="s">
        <v>412</v>
      </c>
      <c r="G41" s="38" t="str">
        <f>IFERROR([1]!IntrinioBankFinancials(rssd_id,$M$3,F$5,F$4,$F41,"K"),"")</f>
        <v/>
      </c>
      <c r="H41" s="80" t="s">
        <v>413</v>
      </c>
      <c r="I41" s="38" t="str">
        <f>IFERROR([1]!IntrinioBankFinancials(rssd_id,$M$3,F$5,F$4,$H41,"K"),"")</f>
        <v/>
      </c>
      <c r="J41" s="46" t="s">
        <v>414</v>
      </c>
    </row>
    <row r="42" spans="1:10" ht="28.5" x14ac:dyDescent="0.45">
      <c r="A42" s="100" t="s">
        <v>439</v>
      </c>
      <c r="B42" s="80" t="s">
        <v>415</v>
      </c>
      <c r="C42" s="38" t="str">
        <f>IFERROR([1]!IntrinioBankFinancials(rssd_id,$M$3,$B$5,B$4,$B42,"K"),"")</f>
        <v/>
      </c>
      <c r="D42" s="80" t="s">
        <v>416</v>
      </c>
      <c r="E42" s="38" t="str">
        <f>IFERROR([1]!IntrinioBankFinancials(rssd_id,$M$3,$B$5,B$4,$D42,"K"),"")</f>
        <v/>
      </c>
      <c r="F42" s="80" t="s">
        <v>415</v>
      </c>
      <c r="G42" s="38" t="str">
        <f>IFERROR([1]!IntrinioBankFinancials(rssd_id,$M$3,F$5,F$4,$F42,"K"),"")</f>
        <v/>
      </c>
      <c r="H42" s="80" t="s">
        <v>416</v>
      </c>
      <c r="I42" s="38" t="str">
        <f>IFERROR([1]!IntrinioBankFinancials(rssd_id,$M$3,F$5,F$4,$H42,"K"),"")</f>
        <v/>
      </c>
      <c r="J42" s="46" t="s">
        <v>417</v>
      </c>
    </row>
    <row r="43" spans="1:10" ht="28.5" x14ac:dyDescent="0.45">
      <c r="A43" s="100" t="s">
        <v>440</v>
      </c>
      <c r="B43" s="80" t="s">
        <v>418</v>
      </c>
      <c r="C43" s="38" t="str">
        <f>IFERROR([1]!IntrinioBankFinancials(rssd_id,$M$3,$B$5,B$4,$B43,"K"),"")</f>
        <v/>
      </c>
      <c r="D43" s="80" t="s">
        <v>419</v>
      </c>
      <c r="E43" s="38" t="str">
        <f>IFERROR([1]!IntrinioBankFinancials(rssd_id,$M$3,$B$5,B$4,$D43,"K"),"")</f>
        <v/>
      </c>
      <c r="F43" s="80" t="s">
        <v>418</v>
      </c>
      <c r="G43" s="38" t="str">
        <f>IFERROR([1]!IntrinioBankFinancials(rssd_id,$M$3,F$5,F$4,$F43,"K"),"")</f>
        <v/>
      </c>
      <c r="H43" s="80" t="s">
        <v>419</v>
      </c>
      <c r="I43" s="38" t="str">
        <f>IFERROR([1]!IntrinioBankFinancials(rssd_id,$M$3,F$5,F$4,$H43,"K"),"")</f>
        <v/>
      </c>
      <c r="J43" s="46" t="s">
        <v>420</v>
      </c>
    </row>
    <row r="44" spans="1:10" ht="42.75" x14ac:dyDescent="0.45">
      <c r="A44" s="100" t="s">
        <v>441</v>
      </c>
      <c r="B44" s="80" t="s">
        <v>421</v>
      </c>
      <c r="C44" s="38" t="str">
        <f>IFERROR([1]!IntrinioBankFinancials(rssd_id,$M$3,$B$5,B$4,$B44,"K"),"")</f>
        <v/>
      </c>
      <c r="D44" s="80" t="s">
        <v>422</v>
      </c>
      <c r="E44" s="38" t="str">
        <f>IFERROR([1]!IntrinioBankFinancials(rssd_id,$M$3,$B$5,B$4,$D44,"K"),"")</f>
        <v/>
      </c>
      <c r="F44" s="80" t="s">
        <v>421</v>
      </c>
      <c r="G44" s="38" t="str">
        <f>IFERROR([1]!IntrinioBankFinancials(rssd_id,$M$3,F$5,F$4,$F44,"K"),"")</f>
        <v/>
      </c>
      <c r="H44" s="80" t="s">
        <v>422</v>
      </c>
      <c r="I44" s="38" t="str">
        <f>IFERROR([1]!IntrinioBankFinancials(rssd_id,$M$3,F$5,F$4,$H44,"K"),"")</f>
        <v/>
      </c>
      <c r="J44" s="46" t="s">
        <v>423</v>
      </c>
    </row>
    <row r="45" spans="1:10" ht="28.5" x14ac:dyDescent="0.45">
      <c r="A45" s="60" t="s">
        <v>442</v>
      </c>
      <c r="B45" s="80" t="s">
        <v>424</v>
      </c>
      <c r="C45" s="38" t="str">
        <f>IFERROR([1]!IntrinioBankFinancials(rssd_id,$M$3,$B$5,B$4,$B45,"K"),"")</f>
        <v/>
      </c>
      <c r="D45" s="80" t="s">
        <v>425</v>
      </c>
      <c r="E45" s="38" t="str">
        <f>IFERROR([1]!IntrinioBankFinancials(rssd_id,$M$3,$B$5,B$4,$D45,"K"),"")</f>
        <v/>
      </c>
      <c r="F45" s="80" t="s">
        <v>424</v>
      </c>
      <c r="G45" s="38" t="str">
        <f>IFERROR([1]!IntrinioBankFinancials(rssd_id,$M$3,F$5,F$4,$F45,"K"),"")</f>
        <v/>
      </c>
      <c r="H45" s="80" t="s">
        <v>425</v>
      </c>
      <c r="I45" s="38" t="str">
        <f>IFERROR([1]!IntrinioBankFinancials(rssd_id,$M$3,F$5,F$4,$H45,"K"),"")</f>
        <v/>
      </c>
      <c r="J45" s="46" t="s">
        <v>215</v>
      </c>
    </row>
    <row r="46" spans="1:10" ht="39.4" x14ac:dyDescent="0.4">
      <c r="A46" s="62" t="s">
        <v>445</v>
      </c>
      <c r="B46" s="80" t="s">
        <v>444</v>
      </c>
      <c r="C46" s="38" t="str">
        <f>IFERROR([1]!IntrinioBankFinancials(rssd_id,$M$3,$B$5,B$4,$B46,"K"),"")</f>
        <v/>
      </c>
      <c r="D46" s="81"/>
      <c r="E46" s="35"/>
      <c r="F46" s="80" t="str">
        <f>B46</f>
        <v>RIADC388</v>
      </c>
      <c r="G46" s="38" t="str">
        <f>IFERROR([1]!IntrinioBankFinancials(rssd_id,$M$3,F$5,F$4,$F46,"K"),"")</f>
        <v/>
      </c>
      <c r="H46" s="81"/>
      <c r="I46" s="35"/>
      <c r="J46" s="46" t="s">
        <v>217</v>
      </c>
    </row>
  </sheetData>
  <mergeCells count="12">
    <mergeCell ref="F7:G7"/>
    <mergeCell ref="F6:G6"/>
    <mergeCell ref="H6:I6"/>
    <mergeCell ref="H7:I7"/>
    <mergeCell ref="F4:I4"/>
    <mergeCell ref="F5:I5"/>
    <mergeCell ref="B4:E4"/>
    <mergeCell ref="B5:E5"/>
    <mergeCell ref="B6:C6"/>
    <mergeCell ref="D6:E6"/>
    <mergeCell ref="B7:C7"/>
    <mergeCell ref="D7:E7"/>
  </mergeCells>
  <pageMargins left="0.7" right="0.7" top="0.75" bottom="0.75" header="0.3" footer="0.3"/>
  <pageSetup scale="68" fitToHeight="2" orientation="landscape" r:id="rId1"/>
  <headerFooter>
    <oddFooter>&amp;L&amp;G&amp;R&amp;P</oddFooter>
  </headerFooter>
  <rowBreaks count="1" manualBreakCount="1">
    <brk id="36" max="9" man="1"/>
  </rowBreaks>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79998168889431442"/>
    <pageSetUpPr fitToPage="1"/>
  </sheetPr>
  <dimension ref="A1:S18"/>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12" defaultRowHeight="18" outlineLevelCol="1" x14ac:dyDescent="0.4"/>
  <cols>
    <col min="1" max="1" width="61.640625" style="13" customWidth="1"/>
    <col min="2" max="9" width="12" style="13" hidden="1" customWidth="1" outlineLevel="1"/>
    <col min="10" max="10" width="12" style="13" collapsed="1"/>
    <col min="11" max="15" width="12" style="13"/>
    <col min="16" max="16" width="6.640625" style="13" bestFit="1" customWidth="1"/>
    <col min="17" max="17" width="7.5" style="13" customWidth="1"/>
    <col min="18" max="18" width="18.5" style="13" bestFit="1" customWidth="1"/>
    <col min="19" max="16384" width="12" style="13"/>
  </cols>
  <sheetData>
    <row r="1" spans="1:19" x14ac:dyDescent="0.4">
      <c r="A1" s="55" t="str">
        <f>name</f>
        <v/>
      </c>
    </row>
    <row r="2" spans="1:19" x14ac:dyDescent="0.55000000000000004">
      <c r="A2" s="54" t="s">
        <v>5</v>
      </c>
      <c r="B2" s="24"/>
      <c r="C2" s="24"/>
      <c r="D2" s="24"/>
      <c r="E2" s="24"/>
      <c r="F2" s="24"/>
      <c r="G2" s="24"/>
      <c r="H2" s="24"/>
      <c r="I2" s="24"/>
      <c r="J2" s="24"/>
      <c r="K2" s="24"/>
      <c r="L2" s="24"/>
      <c r="M2" s="24"/>
      <c r="N2" s="24"/>
      <c r="O2" s="24"/>
      <c r="P2" s="25"/>
      <c r="Q2" s="25"/>
      <c r="R2" s="13" t="s">
        <v>430</v>
      </c>
      <c r="S2" s="13" t="s">
        <v>465</v>
      </c>
    </row>
    <row r="3" spans="1:19" x14ac:dyDescent="0.55000000000000004">
      <c r="A3" s="60" t="s">
        <v>24</v>
      </c>
      <c r="B3" s="24"/>
      <c r="C3" s="71">
        <f t="shared" ref="C3" si="0">D3+1</f>
        <v>12</v>
      </c>
      <c r="D3" s="71">
        <f t="shared" ref="D3:E3" si="1">E3+1</f>
        <v>11</v>
      </c>
      <c r="E3" s="71">
        <f t="shared" si="1"/>
        <v>10</v>
      </c>
      <c r="F3" s="71">
        <f t="shared" ref="F3:G3" si="2">G3+1</f>
        <v>9</v>
      </c>
      <c r="G3" s="71">
        <f t="shared" si="2"/>
        <v>8</v>
      </c>
      <c r="H3" s="71">
        <f t="shared" ref="H3:I3" si="3">I3+1</f>
        <v>7</v>
      </c>
      <c r="I3" s="71">
        <f t="shared" si="3"/>
        <v>6</v>
      </c>
      <c r="J3" s="71">
        <f t="shared" ref="J3:M3" si="4">K3+1</f>
        <v>5</v>
      </c>
      <c r="K3" s="71">
        <f t="shared" si="4"/>
        <v>4</v>
      </c>
      <c r="L3" s="71">
        <f t="shared" si="4"/>
        <v>3</v>
      </c>
      <c r="M3" s="71">
        <f t="shared" si="4"/>
        <v>2</v>
      </c>
      <c r="N3" s="71">
        <f>O3+1</f>
        <v>1</v>
      </c>
      <c r="O3" s="71">
        <f>fiscal_period_sequence</f>
        <v>0</v>
      </c>
      <c r="P3" s="25"/>
      <c r="Q3" s="25"/>
    </row>
    <row r="4" spans="1:19" x14ac:dyDescent="0.55000000000000004">
      <c r="A4" s="70"/>
      <c r="B4" s="24"/>
      <c r="C4" s="66" t="str">
        <f>[1]!IntrinioBankFundamentals(rssd_id,$S$2,fiscal_period_type,C$3,"fiscal_period")</f>
        <v/>
      </c>
      <c r="D4" s="66" t="str">
        <f>[1]!IntrinioBankFundamentals(rssd_id,$S$2,fiscal_period_type,D$3,"fiscal_period")</f>
        <v/>
      </c>
      <c r="E4" s="66" t="str">
        <f>[1]!IntrinioBankFundamentals(rssd_id,$S$2,fiscal_period_type,E$3,"fiscal_period")</f>
        <v/>
      </c>
      <c r="F4" s="66" t="str">
        <f>[1]!IntrinioBankFundamentals(rssd_id,$S$2,fiscal_period_type,F$3,"fiscal_period")</f>
        <v/>
      </c>
      <c r="G4" s="66" t="str">
        <f>[1]!IntrinioBankFundamentals(rssd_id,$S$2,fiscal_period_type,G$3,"fiscal_period")</f>
        <v/>
      </c>
      <c r="H4" s="66" t="str">
        <f>[1]!IntrinioBankFundamentals(rssd_id,$S$2,fiscal_period_type,H$3,"fiscal_period")</f>
        <v/>
      </c>
      <c r="I4" s="66" t="str">
        <f>[1]!IntrinioBankFundamentals(rssd_id,$S$2,fiscal_period_type,I$3,"fiscal_period")</f>
        <v/>
      </c>
      <c r="J4" s="66" t="str">
        <f>[1]!IntrinioBankFundamentals(rssd_id,$S$2,fiscal_period_type,J$3,"fiscal_period")</f>
        <v/>
      </c>
      <c r="K4" s="66" t="str">
        <f>[1]!IntrinioBankFundamentals(rssd_id,$S$2,fiscal_period_type,K$3,"fiscal_period")</f>
        <v/>
      </c>
      <c r="L4" s="66" t="str">
        <f>[1]!IntrinioBankFundamentals(rssd_id,$S$2,fiscal_period_type,L$3,"fiscal_period")</f>
        <v/>
      </c>
      <c r="M4" s="66" t="str">
        <f>[1]!IntrinioBankFundamentals(rssd_id,$S$2,fiscal_period_type,M$3,"fiscal_period")</f>
        <v/>
      </c>
      <c r="N4" s="66" t="str">
        <f>[1]!IntrinioBankFundamentals(rssd_id,$S$2,fiscal_period_type,N$3,"fiscal_period")</f>
        <v/>
      </c>
      <c r="O4" s="66" t="str">
        <f>[1]!IntrinioBankFundamentals(rssd_id,$S$2,fiscal_period_type,O$3,"fiscal_period")</f>
        <v/>
      </c>
      <c r="P4" s="25"/>
      <c r="Q4" s="25"/>
    </row>
    <row r="5" spans="1:19" x14ac:dyDescent="0.55000000000000004">
      <c r="A5" s="70"/>
      <c r="B5" s="24"/>
      <c r="C5" s="67" t="str">
        <f>[1]!IntrinioBankFundamentals(rssd_id,$S$2,fiscal_period_type,C$3,"fiscal_year")</f>
        <v/>
      </c>
      <c r="D5" s="67" t="str">
        <f>[1]!IntrinioBankFundamentals(rssd_id,$S$2,fiscal_period_type,D$3,"fiscal_year")</f>
        <v/>
      </c>
      <c r="E5" s="67" t="str">
        <f>[1]!IntrinioBankFundamentals(rssd_id,$S$2,fiscal_period_type,E$3,"fiscal_year")</f>
        <v/>
      </c>
      <c r="F5" s="67" t="str">
        <f>[1]!IntrinioBankFundamentals(rssd_id,$S$2,fiscal_period_type,F$3,"fiscal_year")</f>
        <v/>
      </c>
      <c r="G5" s="67" t="str">
        <f>[1]!IntrinioBankFundamentals(rssd_id,$S$2,fiscal_period_type,G$3,"fiscal_year")</f>
        <v/>
      </c>
      <c r="H5" s="67" t="str">
        <f>[1]!IntrinioBankFundamentals(rssd_id,$S$2,fiscal_period_type,H$3,"fiscal_year")</f>
        <v/>
      </c>
      <c r="I5" s="67" t="str">
        <f>[1]!IntrinioBankFundamentals(rssd_id,$S$2,fiscal_period_type,I$3,"fiscal_year")</f>
        <v/>
      </c>
      <c r="J5" s="67" t="str">
        <f>[1]!IntrinioBankFundamentals(rssd_id,$S$2,fiscal_period_type,J$3,"fiscal_year")</f>
        <v/>
      </c>
      <c r="K5" s="67" t="str">
        <f>[1]!IntrinioBankFundamentals(rssd_id,$S$2,fiscal_period_type,K$3,"fiscal_year")</f>
        <v/>
      </c>
      <c r="L5" s="67" t="str">
        <f>[1]!IntrinioBankFundamentals(rssd_id,$S$2,fiscal_period_type,L$3,"fiscal_year")</f>
        <v/>
      </c>
      <c r="M5" s="67" t="str">
        <f>[1]!IntrinioBankFundamentals(rssd_id,$S$2,fiscal_period_type,M$3,"fiscal_year")</f>
        <v/>
      </c>
      <c r="N5" s="67" t="str">
        <f>[1]!IntrinioBankFundamentals(rssd_id,$S$2,fiscal_period_type,N$3,"fiscal_year")</f>
        <v/>
      </c>
      <c r="O5" s="67" t="str">
        <f>[1]!IntrinioBankFundamentals(rssd_id,$S$2,fiscal_period_type,O$3,"fiscal_year")</f>
        <v/>
      </c>
      <c r="P5" s="25"/>
      <c r="Q5" s="25"/>
    </row>
    <row r="6" spans="1:19" ht="42.75" x14ac:dyDescent="0.45">
      <c r="A6" s="60" t="s">
        <v>464</v>
      </c>
      <c r="B6" s="68" t="s">
        <v>446</v>
      </c>
      <c r="C6" s="69" t="str">
        <f>IFERROR([1]!IntrinioBankFinancials(rssd_id,$S$2,C$5,C$4,$B6,"K"),"")</f>
        <v/>
      </c>
      <c r="D6" s="69" t="str">
        <f>IFERROR([1]!IntrinioBankFinancials(rssd_id,$S$2,D$5,D$4,$B6,"K"),"")</f>
        <v/>
      </c>
      <c r="E6" s="69" t="str">
        <f>IFERROR([1]!IntrinioBankFinancials(rssd_id,$S$2,E$5,E$4,$B6,"K"),"")</f>
        <v/>
      </c>
      <c r="F6" s="69" t="str">
        <f>IFERROR([1]!IntrinioBankFinancials(rssd_id,$S$2,F$5,F$4,$B6,"K"),"")</f>
        <v/>
      </c>
      <c r="G6" s="69" t="str">
        <f>IFERROR([1]!IntrinioBankFinancials(rssd_id,$S$2,G$5,G$4,$B6,"K"),"")</f>
        <v/>
      </c>
      <c r="H6" s="69" t="str">
        <f>IFERROR([1]!IntrinioBankFinancials(rssd_id,$S$2,H$5,H$4,$B6,"K"),"")</f>
        <v/>
      </c>
      <c r="I6" s="69" t="str">
        <f>IFERROR([1]!IntrinioBankFinancials(rssd_id,$S$2,I$5,I$4,$B6,"K"),"")</f>
        <v/>
      </c>
      <c r="J6" s="69" t="str">
        <f>IFERROR([1]!IntrinioBankFinancials(rssd_id,$S$2,J$5,J$4,$B6,"K"),"")</f>
        <v/>
      </c>
      <c r="K6" s="69" t="str">
        <f>IFERROR([1]!IntrinioBankFinancials(rssd_id,$S$2,K$5,K$4,$B6,"K"),"")</f>
        <v/>
      </c>
      <c r="L6" s="69" t="str">
        <f>IFERROR([1]!IntrinioBankFinancials(rssd_id,$S$2,L$5,L$4,$B6,"K"),"")</f>
        <v/>
      </c>
      <c r="M6" s="69" t="str">
        <f>IFERROR([1]!IntrinioBankFinancials(rssd_id,$S$2,M$5,M$4,$B6,"K"),"")</f>
        <v/>
      </c>
      <c r="N6" s="69" t="str">
        <f>IFERROR([1]!IntrinioBankFinancials(rssd_id,$S$2,N$5,N$4,$B6,"K"),"")</f>
        <v/>
      </c>
      <c r="O6" s="69" t="str">
        <f>IFERROR([1]!IntrinioBankFinancials(rssd_id,$S$2,O$5,O$4,$B6,"K"),"")</f>
        <v/>
      </c>
      <c r="P6" s="49">
        <v>1</v>
      </c>
      <c r="Q6" s="49"/>
    </row>
    <row r="7" spans="1:19" x14ac:dyDescent="0.45">
      <c r="A7" s="60" t="s">
        <v>447</v>
      </c>
      <c r="B7" s="68" t="s">
        <v>408</v>
      </c>
      <c r="C7" s="69" t="str">
        <f>IFERROR([1]!IntrinioBankFinancials(rssd_id,$S$2,C$5,C$4,$B7,"K"),"")</f>
        <v/>
      </c>
      <c r="D7" s="69" t="str">
        <f>IFERROR([1]!IntrinioBankFinancials(rssd_id,$S$2,D$5,D$4,$B7,"K"),"")</f>
        <v/>
      </c>
      <c r="E7" s="69" t="str">
        <f>IFERROR([1]!IntrinioBankFinancials(rssd_id,$S$2,E$5,E$4,$B7,"K"),"")</f>
        <v/>
      </c>
      <c r="F7" s="69" t="str">
        <f>IFERROR([1]!IntrinioBankFinancials(rssd_id,$S$2,F$5,F$4,$B7,"K"),"")</f>
        <v/>
      </c>
      <c r="G7" s="69" t="str">
        <f>IFERROR([1]!IntrinioBankFinancials(rssd_id,$S$2,G$5,G$4,$B7,"K"),"")</f>
        <v/>
      </c>
      <c r="H7" s="69" t="str">
        <f>IFERROR([1]!IntrinioBankFinancials(rssd_id,$S$2,H$5,H$4,$B7,"K"),"")</f>
        <v/>
      </c>
      <c r="I7" s="69" t="str">
        <f>IFERROR([1]!IntrinioBankFinancials(rssd_id,$S$2,I$5,I$4,$B7,"K"),"")</f>
        <v/>
      </c>
      <c r="J7" s="69" t="str">
        <f>IFERROR([1]!IntrinioBankFinancials(rssd_id,$S$2,J$5,J$4,$B7,"K"),"")</f>
        <v/>
      </c>
      <c r="K7" s="69" t="str">
        <f>IFERROR([1]!IntrinioBankFinancials(rssd_id,$S$2,K$5,K$4,$B7,"K"),"")</f>
        <v/>
      </c>
      <c r="L7" s="69" t="str">
        <f>IFERROR([1]!IntrinioBankFinancials(rssd_id,$S$2,L$5,L$4,$B7,"K"),"")</f>
        <v/>
      </c>
      <c r="M7" s="69" t="str">
        <f>IFERROR([1]!IntrinioBankFinancials(rssd_id,$S$2,M$5,M$4,$B7,"K"),"")</f>
        <v/>
      </c>
      <c r="N7" s="69" t="str">
        <f>IFERROR([1]!IntrinioBankFinancials(rssd_id,$S$2,N$5,N$4,$B7,"K"),"")</f>
        <v/>
      </c>
      <c r="O7" s="69" t="str">
        <f>IFERROR([1]!IntrinioBankFinancials(rssd_id,$S$2,O$5,O$4,$B7,"K"),"")</f>
        <v/>
      </c>
      <c r="P7" s="49">
        <v>2</v>
      </c>
      <c r="Q7" s="49"/>
    </row>
    <row r="8" spans="1:19" ht="28.5" x14ac:dyDescent="0.45">
      <c r="A8" s="60" t="s">
        <v>448</v>
      </c>
      <c r="B8" s="68" t="s">
        <v>449</v>
      </c>
      <c r="C8" s="69" t="str">
        <f>IFERROR([1]!IntrinioBankFinancials(rssd_id,$S$2,C$5,C$4,$B8,"K"),"")</f>
        <v/>
      </c>
      <c r="D8" s="69" t="str">
        <f>IFERROR([1]!IntrinioBankFinancials(rssd_id,$S$2,D$5,D$4,$B8,"K"),"")</f>
        <v/>
      </c>
      <c r="E8" s="69" t="str">
        <f>IFERROR([1]!IntrinioBankFinancials(rssd_id,$S$2,E$5,E$4,$B8,"K"),"")</f>
        <v/>
      </c>
      <c r="F8" s="69" t="str">
        <f>IFERROR([1]!IntrinioBankFinancials(rssd_id,$S$2,F$5,F$4,$B8,"K"),"")</f>
        <v/>
      </c>
      <c r="G8" s="69" t="str">
        <f>IFERROR([1]!IntrinioBankFinancials(rssd_id,$S$2,G$5,G$4,$B8,"K"),"")</f>
        <v/>
      </c>
      <c r="H8" s="69" t="str">
        <f>IFERROR([1]!IntrinioBankFinancials(rssd_id,$S$2,H$5,H$4,$B8,"K"),"")</f>
        <v/>
      </c>
      <c r="I8" s="69" t="str">
        <f>IFERROR([1]!IntrinioBankFinancials(rssd_id,$S$2,I$5,I$4,$B8,"K"),"")</f>
        <v/>
      </c>
      <c r="J8" s="69" t="str">
        <f>IFERROR([1]!IntrinioBankFinancials(rssd_id,$S$2,J$5,J$4,$B8,"K"),"")</f>
        <v/>
      </c>
      <c r="K8" s="69" t="str">
        <f>IFERROR([1]!IntrinioBankFinancials(rssd_id,$S$2,K$5,K$4,$B8,"K"),"")</f>
        <v/>
      </c>
      <c r="L8" s="69" t="str">
        <f>IFERROR([1]!IntrinioBankFinancials(rssd_id,$S$2,L$5,L$4,$B8,"K"),"")</f>
        <v/>
      </c>
      <c r="M8" s="69" t="str">
        <f>IFERROR([1]!IntrinioBankFinancials(rssd_id,$S$2,M$5,M$4,$B8,"K"),"")</f>
        <v/>
      </c>
      <c r="N8" s="69" t="str">
        <f>IFERROR([1]!IntrinioBankFinancials(rssd_id,$S$2,N$5,N$4,$B8,"K"),"")</f>
        <v/>
      </c>
      <c r="O8" s="69" t="str">
        <f>IFERROR([1]!IntrinioBankFinancials(rssd_id,$S$2,O$5,O$4,$B8,"K"),"")</f>
        <v/>
      </c>
      <c r="P8" s="49">
        <v>3</v>
      </c>
      <c r="Q8" s="49"/>
    </row>
    <row r="9" spans="1:19" ht="28.5" x14ac:dyDescent="0.45">
      <c r="A9" s="60" t="s">
        <v>450</v>
      </c>
      <c r="B9" s="68" t="s">
        <v>451</v>
      </c>
      <c r="C9" s="69" t="str">
        <f>IFERROR([1]!IntrinioBankFinancials(rssd_id,$S$2,C$5,C$4,$B9,"K"),"")</f>
        <v/>
      </c>
      <c r="D9" s="69" t="str">
        <f>IFERROR([1]!IntrinioBankFinancials(rssd_id,$S$2,D$5,D$4,$B9,"K"),"")</f>
        <v/>
      </c>
      <c r="E9" s="69" t="str">
        <f>IFERROR([1]!IntrinioBankFinancials(rssd_id,$S$2,E$5,E$4,$B9,"K"),"")</f>
        <v/>
      </c>
      <c r="F9" s="69" t="str">
        <f>IFERROR([1]!IntrinioBankFinancials(rssd_id,$S$2,F$5,F$4,$B9,"K"),"")</f>
        <v/>
      </c>
      <c r="G9" s="69" t="str">
        <f>IFERROR([1]!IntrinioBankFinancials(rssd_id,$S$2,G$5,G$4,$B9,"K"),"")</f>
        <v/>
      </c>
      <c r="H9" s="69" t="str">
        <f>IFERROR([1]!IntrinioBankFinancials(rssd_id,$S$2,H$5,H$4,$B9,"K"),"")</f>
        <v/>
      </c>
      <c r="I9" s="69" t="str">
        <f>IFERROR([1]!IntrinioBankFinancials(rssd_id,$S$2,I$5,I$4,$B9,"K"),"")</f>
        <v/>
      </c>
      <c r="J9" s="69" t="str">
        <f>IFERROR([1]!IntrinioBankFinancials(rssd_id,$S$2,J$5,J$4,$B9,"K"),"")</f>
        <v/>
      </c>
      <c r="K9" s="69" t="str">
        <f>IFERROR([1]!IntrinioBankFinancials(rssd_id,$S$2,K$5,K$4,$B9,"K"),"")</f>
        <v/>
      </c>
      <c r="L9" s="69" t="str">
        <f>IFERROR([1]!IntrinioBankFinancials(rssd_id,$S$2,L$5,L$4,$B9,"K"),"")</f>
        <v/>
      </c>
      <c r="M9" s="69" t="str">
        <f>IFERROR([1]!IntrinioBankFinancials(rssd_id,$S$2,M$5,M$4,$B9,"K"),"")</f>
        <v/>
      </c>
      <c r="N9" s="69" t="str">
        <f>IFERROR([1]!IntrinioBankFinancials(rssd_id,$S$2,N$5,N$4,$B9,"K"),"")</f>
        <v/>
      </c>
      <c r="O9" s="69" t="str">
        <f>IFERROR([1]!IntrinioBankFinancials(rssd_id,$S$2,O$5,O$4,$B9,"K"),"")</f>
        <v/>
      </c>
      <c r="P9" s="49">
        <v>4</v>
      </c>
      <c r="Q9" s="49"/>
    </row>
    <row r="10" spans="1:19" x14ac:dyDescent="0.45">
      <c r="A10" s="60" t="s">
        <v>452</v>
      </c>
      <c r="B10" s="68" t="s">
        <v>115</v>
      </c>
      <c r="C10" s="69" t="str">
        <f>IFERROR([1]!IntrinioBankFinancials(rssd_id,$S$2,C$5,C$4,$B10,"K"),"")</f>
        <v/>
      </c>
      <c r="D10" s="69" t="str">
        <f>IFERROR([1]!IntrinioBankFinancials(rssd_id,$S$2,D$5,D$4,$B10,"K"),"")</f>
        <v/>
      </c>
      <c r="E10" s="69" t="str">
        <f>IFERROR([1]!IntrinioBankFinancials(rssd_id,$S$2,E$5,E$4,$B10,"K"),"")</f>
        <v/>
      </c>
      <c r="F10" s="69" t="str">
        <f>IFERROR([1]!IntrinioBankFinancials(rssd_id,$S$2,F$5,F$4,$B10,"K"),"")</f>
        <v/>
      </c>
      <c r="G10" s="69" t="str">
        <f>IFERROR([1]!IntrinioBankFinancials(rssd_id,$S$2,G$5,G$4,$B10,"K"),"")</f>
        <v/>
      </c>
      <c r="H10" s="69" t="str">
        <f>IFERROR([1]!IntrinioBankFinancials(rssd_id,$S$2,H$5,H$4,$B10,"K"),"")</f>
        <v/>
      </c>
      <c r="I10" s="69" t="str">
        <f>IFERROR([1]!IntrinioBankFinancials(rssd_id,$S$2,I$5,I$4,$B10,"K"),"")</f>
        <v/>
      </c>
      <c r="J10" s="69" t="str">
        <f>IFERROR([1]!IntrinioBankFinancials(rssd_id,$S$2,J$5,J$4,$B10,"K"),"")</f>
        <v/>
      </c>
      <c r="K10" s="69" t="str">
        <f>IFERROR([1]!IntrinioBankFinancials(rssd_id,$S$2,K$5,K$4,$B10,"K"),"")</f>
        <v/>
      </c>
      <c r="L10" s="69" t="str">
        <f>IFERROR([1]!IntrinioBankFinancials(rssd_id,$S$2,L$5,L$4,$B10,"K"),"")</f>
        <v/>
      </c>
      <c r="M10" s="69" t="str">
        <f>IFERROR([1]!IntrinioBankFinancials(rssd_id,$S$2,M$5,M$4,$B10,"K"),"")</f>
        <v/>
      </c>
      <c r="N10" s="69" t="str">
        <f>IFERROR([1]!IntrinioBankFinancials(rssd_id,$S$2,N$5,N$4,$B10,"K"),"")</f>
        <v/>
      </c>
      <c r="O10" s="69" t="str">
        <f>IFERROR([1]!IntrinioBankFinancials(rssd_id,$S$2,O$5,O$4,$B10,"K"),"")</f>
        <v/>
      </c>
      <c r="P10" s="49">
        <v>5</v>
      </c>
      <c r="Q10" s="49"/>
    </row>
    <row r="11" spans="1:19" x14ac:dyDescent="0.45">
      <c r="A11" s="60" t="s">
        <v>453</v>
      </c>
      <c r="B11" s="68" t="s">
        <v>454</v>
      </c>
      <c r="C11" s="69" t="str">
        <f>IFERROR([1]!IntrinioBankFinancials(rssd_id,$S$2,C$5,C$4,$B11,"K"),"")</f>
        <v/>
      </c>
      <c r="D11" s="69" t="str">
        <f>IFERROR([1]!IntrinioBankFinancials(rssd_id,$S$2,D$5,D$4,$B11,"K"),"")</f>
        <v/>
      </c>
      <c r="E11" s="69" t="str">
        <f>IFERROR([1]!IntrinioBankFinancials(rssd_id,$S$2,E$5,E$4,$B11,"K"),"")</f>
        <v/>
      </c>
      <c r="F11" s="69" t="str">
        <f>IFERROR([1]!IntrinioBankFinancials(rssd_id,$S$2,F$5,F$4,$B11,"K"),"")</f>
        <v/>
      </c>
      <c r="G11" s="69" t="str">
        <f>IFERROR([1]!IntrinioBankFinancials(rssd_id,$S$2,G$5,G$4,$B11,"K"),"")</f>
        <v/>
      </c>
      <c r="H11" s="69" t="str">
        <f>IFERROR([1]!IntrinioBankFinancials(rssd_id,$S$2,H$5,H$4,$B11,"K"),"")</f>
        <v/>
      </c>
      <c r="I11" s="69" t="str">
        <f>IFERROR([1]!IntrinioBankFinancials(rssd_id,$S$2,I$5,I$4,$B11,"K"),"")</f>
        <v/>
      </c>
      <c r="J11" s="69" t="str">
        <f>IFERROR([1]!IntrinioBankFinancials(rssd_id,$S$2,J$5,J$4,$B11,"K"),"")</f>
        <v/>
      </c>
      <c r="K11" s="69" t="str">
        <f>IFERROR([1]!IntrinioBankFinancials(rssd_id,$S$2,K$5,K$4,$B11,"K"),"")</f>
        <v/>
      </c>
      <c r="L11" s="69" t="str">
        <f>IFERROR([1]!IntrinioBankFinancials(rssd_id,$S$2,L$5,L$4,$B11,"K"),"")</f>
        <v/>
      </c>
      <c r="M11" s="69" t="str">
        <f>IFERROR([1]!IntrinioBankFinancials(rssd_id,$S$2,M$5,M$4,$B11,"K"),"")</f>
        <v/>
      </c>
      <c r="N11" s="69" t="str">
        <f>IFERROR([1]!IntrinioBankFinancials(rssd_id,$S$2,N$5,N$4,$B11,"K"),"")</f>
        <v/>
      </c>
      <c r="O11" s="69" t="str">
        <f>IFERROR([1]!IntrinioBankFinancials(rssd_id,$S$2,O$5,O$4,$B11,"K"),"")</f>
        <v/>
      </c>
      <c r="P11" s="49">
        <v>6</v>
      </c>
      <c r="Q11" s="49"/>
    </row>
    <row r="12" spans="1:19" ht="28.5" x14ac:dyDescent="0.45">
      <c r="A12" s="60" t="s">
        <v>463</v>
      </c>
      <c r="B12" s="68" t="s">
        <v>455</v>
      </c>
      <c r="C12" s="69" t="str">
        <f>IFERROR([1]!IntrinioBankFinancials(rssd_id,$S$2,C$5,C$4,$B12,"K"),"")</f>
        <v/>
      </c>
      <c r="D12" s="69" t="str">
        <f>IFERROR([1]!IntrinioBankFinancials(rssd_id,$S$2,D$5,D$4,$B12,"K"),"")</f>
        <v/>
      </c>
      <c r="E12" s="69" t="str">
        <f>IFERROR([1]!IntrinioBankFinancials(rssd_id,$S$2,E$5,E$4,$B12,"K"),"")</f>
        <v/>
      </c>
      <c r="F12" s="69" t="str">
        <f>IFERROR([1]!IntrinioBankFinancials(rssd_id,$S$2,F$5,F$4,$B12,"K"),"")</f>
        <v/>
      </c>
      <c r="G12" s="69" t="str">
        <f>IFERROR([1]!IntrinioBankFinancials(rssd_id,$S$2,G$5,G$4,$B12,"K"),"")</f>
        <v/>
      </c>
      <c r="H12" s="69" t="str">
        <f>IFERROR([1]!IntrinioBankFinancials(rssd_id,$S$2,H$5,H$4,$B12,"K"),"")</f>
        <v/>
      </c>
      <c r="I12" s="69" t="str">
        <f>IFERROR([1]!IntrinioBankFinancials(rssd_id,$S$2,I$5,I$4,$B12,"K"),"")</f>
        <v/>
      </c>
      <c r="J12" s="69" t="str">
        <f>IFERROR([1]!IntrinioBankFinancials(rssd_id,$S$2,J$5,J$4,$B12,"K"),"")</f>
        <v/>
      </c>
      <c r="K12" s="69" t="str">
        <f>IFERROR([1]!IntrinioBankFinancials(rssd_id,$S$2,K$5,K$4,$B12,"K"),"")</f>
        <v/>
      </c>
      <c r="L12" s="69" t="str">
        <f>IFERROR([1]!IntrinioBankFinancials(rssd_id,$S$2,L$5,L$4,$B12,"K"),"")</f>
        <v/>
      </c>
      <c r="M12" s="69" t="str">
        <f>IFERROR([1]!IntrinioBankFinancials(rssd_id,$S$2,M$5,M$4,$B12,"K"),"")</f>
        <v/>
      </c>
      <c r="N12" s="69" t="str">
        <f>IFERROR([1]!IntrinioBankFinancials(rssd_id,$S$2,N$5,N$4,$B12,"K"),"")</f>
        <v/>
      </c>
      <c r="O12" s="69" t="str">
        <f>IFERROR([1]!IntrinioBankFinancials(rssd_id,$S$2,O$5,O$4,$B12,"K"),"")</f>
        <v/>
      </c>
      <c r="P12" s="49">
        <v>7</v>
      </c>
      <c r="Q12" s="49"/>
    </row>
    <row r="13" spans="1:19" x14ac:dyDescent="0.45">
      <c r="A13" s="60"/>
      <c r="B13" s="35"/>
      <c r="C13" s="35"/>
      <c r="D13" s="35"/>
      <c r="E13" s="35"/>
      <c r="F13" s="35"/>
      <c r="G13" s="35"/>
      <c r="H13" s="35"/>
      <c r="I13" s="35"/>
      <c r="J13" s="35"/>
      <c r="K13" s="35"/>
      <c r="L13" s="35"/>
      <c r="M13" s="35"/>
      <c r="N13" s="35"/>
      <c r="O13" s="35"/>
      <c r="P13" s="72"/>
      <c r="Q13" s="73"/>
    </row>
    <row r="14" spans="1:19" x14ac:dyDescent="0.4">
      <c r="A14" s="11" t="s">
        <v>208</v>
      </c>
      <c r="B14" s="35"/>
      <c r="C14" s="35"/>
      <c r="D14" s="35"/>
      <c r="E14" s="35"/>
      <c r="F14" s="35"/>
      <c r="G14" s="35"/>
      <c r="H14" s="35"/>
      <c r="I14" s="35"/>
      <c r="J14" s="35"/>
      <c r="K14" s="35"/>
      <c r="L14" s="35"/>
      <c r="M14" s="35"/>
      <c r="N14" s="35"/>
      <c r="O14" s="35"/>
      <c r="P14" s="72"/>
      <c r="Q14" s="73"/>
    </row>
    <row r="15" spans="1:19" ht="28.5" x14ac:dyDescent="0.45">
      <c r="A15" s="60" t="s">
        <v>456</v>
      </c>
      <c r="B15" s="68" t="s">
        <v>457</v>
      </c>
      <c r="C15" s="69" t="str">
        <f>IFERROR([1]!IntrinioBankFinancials(rssd_id,$S$2,C$5,C$4,$B15,"K"),"")</f>
        <v/>
      </c>
      <c r="D15" s="69" t="str">
        <f>IFERROR([1]!IntrinioBankFinancials(rssd_id,$S$2,D$5,D$4,$B15,"K"),"")</f>
        <v/>
      </c>
      <c r="E15" s="69" t="str">
        <f>IFERROR([1]!IntrinioBankFinancials(rssd_id,$S$2,E$5,E$4,$B15,"K"),"")</f>
        <v/>
      </c>
      <c r="F15" s="69" t="str">
        <f>IFERROR([1]!IntrinioBankFinancials(rssd_id,$S$2,F$5,F$4,$B15,"K"),"")</f>
        <v/>
      </c>
      <c r="G15" s="69" t="str">
        <f>IFERROR([1]!IntrinioBankFinancials(rssd_id,$S$2,G$5,G$4,$B15,"K"),"")</f>
        <v/>
      </c>
      <c r="H15" s="69" t="str">
        <f>IFERROR([1]!IntrinioBankFinancials(rssd_id,$S$2,H$5,H$4,$B15,"K"),"")</f>
        <v/>
      </c>
      <c r="I15" s="69" t="str">
        <f>IFERROR([1]!IntrinioBankFinancials(rssd_id,$S$2,I$5,I$4,$B15,"K"),"")</f>
        <v/>
      </c>
      <c r="J15" s="69" t="str">
        <f>IFERROR([1]!IntrinioBankFinancials(rssd_id,$S$2,J$5,J$4,$B15,"K"),"")</f>
        <v/>
      </c>
      <c r="K15" s="69" t="str">
        <f>IFERROR([1]!IntrinioBankFinancials(rssd_id,$S$2,K$5,K$4,$B15,"K"),"")</f>
        <v/>
      </c>
      <c r="L15" s="69" t="str">
        <f>IFERROR([1]!IntrinioBankFinancials(rssd_id,$S$2,L$5,L$4,$B15,"K"),"")</f>
        <v/>
      </c>
      <c r="M15" s="69" t="str">
        <f>IFERROR([1]!IntrinioBankFinancials(rssd_id,$S$2,M$5,M$4,$B15,"K"),"")</f>
        <v/>
      </c>
      <c r="N15" s="69" t="str">
        <f>IFERROR([1]!IntrinioBankFinancials(rssd_id,$S$2,N$5,N$4,$B15,"K"),"")</f>
        <v/>
      </c>
      <c r="O15" s="69" t="str">
        <f>IFERROR([1]!IntrinioBankFinancials(rssd_id,$S$2,O$5,O$4,$B15,"K"),"")</f>
        <v/>
      </c>
      <c r="P15" s="49" t="s">
        <v>210</v>
      </c>
      <c r="Q15" s="49"/>
    </row>
    <row r="16" spans="1:19" ht="28.5" x14ac:dyDescent="0.45">
      <c r="A16" s="60" t="s">
        <v>458</v>
      </c>
      <c r="B16" s="68" t="s">
        <v>459</v>
      </c>
      <c r="C16" s="69" t="str">
        <f>IFERROR([1]!IntrinioBankFinancials(rssd_id,$S$2,C$5,C$4,$B16,"K"),"")</f>
        <v/>
      </c>
      <c r="D16" s="69" t="str">
        <f>IFERROR([1]!IntrinioBankFinancials(rssd_id,$S$2,D$5,D$4,$B16,"K"),"")</f>
        <v/>
      </c>
      <c r="E16" s="69" t="str">
        <f>IFERROR([1]!IntrinioBankFinancials(rssd_id,$S$2,E$5,E$4,$B16,"K"),"")</f>
        <v/>
      </c>
      <c r="F16" s="69" t="str">
        <f>IFERROR([1]!IntrinioBankFinancials(rssd_id,$S$2,F$5,F$4,$B16,"K"),"")</f>
        <v/>
      </c>
      <c r="G16" s="69" t="str">
        <f>IFERROR([1]!IntrinioBankFinancials(rssd_id,$S$2,G$5,G$4,$B16,"K"),"")</f>
        <v/>
      </c>
      <c r="H16" s="69" t="str">
        <f>IFERROR([1]!IntrinioBankFinancials(rssd_id,$S$2,H$5,H$4,$B16,"K"),"")</f>
        <v/>
      </c>
      <c r="I16" s="69" t="str">
        <f>IFERROR([1]!IntrinioBankFinancials(rssd_id,$S$2,I$5,I$4,$B16,"K"),"")</f>
        <v/>
      </c>
      <c r="J16" s="69" t="str">
        <f>IFERROR([1]!IntrinioBankFinancials(rssd_id,$S$2,J$5,J$4,$B16,"K"),"")</f>
        <v/>
      </c>
      <c r="K16" s="69" t="str">
        <f>IFERROR([1]!IntrinioBankFinancials(rssd_id,$S$2,K$5,K$4,$B16,"K"),"")</f>
        <v/>
      </c>
      <c r="L16" s="69" t="str">
        <f>IFERROR([1]!IntrinioBankFinancials(rssd_id,$S$2,L$5,L$4,$B16,"K"),"")</f>
        <v/>
      </c>
      <c r="M16" s="69" t="str">
        <f>IFERROR([1]!IntrinioBankFinancials(rssd_id,$S$2,M$5,M$4,$B16,"K"),"")</f>
        <v/>
      </c>
      <c r="N16" s="69" t="str">
        <f>IFERROR([1]!IntrinioBankFinancials(rssd_id,$S$2,N$5,N$4,$B16,"K"),"")</f>
        <v/>
      </c>
      <c r="O16" s="69" t="str">
        <f>IFERROR([1]!IntrinioBankFinancials(rssd_id,$S$2,O$5,O$4,$B16,"K"),"")</f>
        <v/>
      </c>
      <c r="P16" s="49" t="s">
        <v>213</v>
      </c>
      <c r="Q16" s="49"/>
    </row>
    <row r="17" spans="1:17" ht="28.5" x14ac:dyDescent="0.45">
      <c r="A17" s="60" t="s">
        <v>460</v>
      </c>
      <c r="B17" s="68" t="s">
        <v>461</v>
      </c>
      <c r="C17" s="69" t="str">
        <f>IFERROR([1]!IntrinioBankFinancials(rssd_id,$S$2,C$5,C$4,$B17,"K"),"")</f>
        <v/>
      </c>
      <c r="D17" s="69" t="str">
        <f>IFERROR([1]!IntrinioBankFinancials(rssd_id,$S$2,D$5,D$4,$B17,"K"),"")</f>
        <v/>
      </c>
      <c r="E17" s="69" t="str">
        <f>IFERROR([1]!IntrinioBankFinancials(rssd_id,$S$2,E$5,E$4,$B17,"K"),"")</f>
        <v/>
      </c>
      <c r="F17" s="69" t="str">
        <f>IFERROR([1]!IntrinioBankFinancials(rssd_id,$S$2,F$5,F$4,$B17,"K"),"")</f>
        <v/>
      </c>
      <c r="G17" s="69" t="str">
        <f>IFERROR([1]!IntrinioBankFinancials(rssd_id,$S$2,G$5,G$4,$B17,"K"),"")</f>
        <v/>
      </c>
      <c r="H17" s="69" t="str">
        <f>IFERROR([1]!IntrinioBankFinancials(rssd_id,$S$2,H$5,H$4,$B17,"K"),"")</f>
        <v/>
      </c>
      <c r="I17" s="69" t="str">
        <f>IFERROR([1]!IntrinioBankFinancials(rssd_id,$S$2,I$5,I$4,$B17,"K"),"")</f>
        <v/>
      </c>
      <c r="J17" s="69" t="str">
        <f>IFERROR([1]!IntrinioBankFinancials(rssd_id,$S$2,J$5,J$4,$B17,"K"),"")</f>
        <v/>
      </c>
      <c r="K17" s="69" t="str">
        <f>IFERROR([1]!IntrinioBankFinancials(rssd_id,$S$2,K$5,K$4,$B17,"K"),"")</f>
        <v/>
      </c>
      <c r="L17" s="69" t="str">
        <f>IFERROR([1]!IntrinioBankFinancials(rssd_id,$S$2,L$5,L$4,$B17,"K"),"")</f>
        <v/>
      </c>
      <c r="M17" s="69" t="str">
        <f>IFERROR([1]!IntrinioBankFinancials(rssd_id,$S$2,M$5,M$4,$B17,"K"),"")</f>
        <v/>
      </c>
      <c r="N17" s="69" t="str">
        <f>IFERROR([1]!IntrinioBankFinancials(rssd_id,$S$2,N$5,N$4,$B17,"K"),"")</f>
        <v/>
      </c>
      <c r="O17" s="69" t="str">
        <f>IFERROR([1]!IntrinioBankFinancials(rssd_id,$S$2,O$5,O$4,$B17,"K"),"")</f>
        <v/>
      </c>
      <c r="P17" s="49" t="s">
        <v>215</v>
      </c>
      <c r="Q17" s="49"/>
    </row>
    <row r="18" spans="1:17" ht="57" x14ac:dyDescent="0.45">
      <c r="A18" s="60" t="s">
        <v>466</v>
      </c>
      <c r="B18" s="68" t="s">
        <v>462</v>
      </c>
      <c r="C18" s="69" t="str">
        <f>IFERROR([1]!IntrinioBankFinancials(rssd_id,$S$2,C$5,C$4,$B18,"K"),"")</f>
        <v/>
      </c>
      <c r="D18" s="69" t="str">
        <f>IFERROR([1]!IntrinioBankFinancials(rssd_id,$S$2,D$5,D$4,$B18,"K"),"")</f>
        <v/>
      </c>
      <c r="E18" s="69" t="str">
        <f>IFERROR([1]!IntrinioBankFinancials(rssd_id,$S$2,E$5,E$4,$B18,"K"),"")</f>
        <v/>
      </c>
      <c r="F18" s="69" t="str">
        <f>IFERROR([1]!IntrinioBankFinancials(rssd_id,$S$2,F$5,F$4,$B18,"K"),"")</f>
        <v/>
      </c>
      <c r="G18" s="69" t="str">
        <f>IFERROR([1]!IntrinioBankFinancials(rssd_id,$S$2,G$5,G$4,$B18,"K"),"")</f>
        <v/>
      </c>
      <c r="H18" s="69" t="str">
        <f>IFERROR([1]!IntrinioBankFinancials(rssd_id,$S$2,H$5,H$4,$B18,"K"),"")</f>
        <v/>
      </c>
      <c r="I18" s="69" t="str">
        <f>IFERROR([1]!IntrinioBankFinancials(rssd_id,$S$2,I$5,I$4,$B18,"K"),"")</f>
        <v/>
      </c>
      <c r="J18" s="69" t="str">
        <f>IFERROR([1]!IntrinioBankFinancials(rssd_id,$S$2,J$5,J$4,$B18,"K"),"")</f>
        <v/>
      </c>
      <c r="K18" s="69" t="str">
        <f>IFERROR([1]!IntrinioBankFinancials(rssd_id,$S$2,K$5,K$4,$B18,"K"),"")</f>
        <v/>
      </c>
      <c r="L18" s="69" t="str">
        <f>IFERROR([1]!IntrinioBankFinancials(rssd_id,$S$2,L$5,L$4,$B18,"K"),"")</f>
        <v/>
      </c>
      <c r="M18" s="69" t="str">
        <f>IFERROR([1]!IntrinioBankFinancials(rssd_id,$S$2,M$5,M$4,$B18,"K"),"")</f>
        <v/>
      </c>
      <c r="N18" s="69" t="str">
        <f>IFERROR([1]!IntrinioBankFinancials(rssd_id,$S$2,N$5,N$4,$B18,"K"),"")</f>
        <v/>
      </c>
      <c r="O18" s="69" t="str">
        <f>IFERROR([1]!IntrinioBankFinancials(rssd_id,$S$2,O$5,O$4,$B18,"K"),"")</f>
        <v/>
      </c>
      <c r="P18" s="49" t="s">
        <v>217</v>
      </c>
      <c r="Q18" s="49"/>
    </row>
  </sheetData>
  <pageMargins left="0.7" right="0.7" top="0.75" bottom="0.75" header="0.3" footer="0.3"/>
  <pageSetup scale="97" fitToHeight="0" orientation="landscape" r:id="rId1"/>
  <headerFooter>
    <oddFooter>&amp;L&amp;G&amp;R&amp;P</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tint="0.79998168889431442"/>
  </sheetPr>
  <dimension ref="A1:K62"/>
  <sheetViews>
    <sheetView view="pageBreakPreview" zoomScaleNormal="100" zoomScaleSheetLayoutView="100" workbookViewId="0">
      <pane xSplit="1" ySplit="3" topLeftCell="B4" activePane="bottomRight" state="frozen"/>
      <selection pane="topRight"/>
      <selection pane="bottomLeft"/>
      <selection pane="bottomRight" activeCell="B4" sqref="B4:G4"/>
    </sheetView>
  </sheetViews>
  <sheetFormatPr defaultColWidth="9.140625" defaultRowHeight="13.15" x14ac:dyDescent="0.4"/>
  <cols>
    <col min="1" max="1" width="38.85546875" style="3" customWidth="1"/>
    <col min="2" max="2" width="13" style="3" bestFit="1" customWidth="1"/>
    <col min="3" max="3" width="14.640625" style="3" bestFit="1" customWidth="1"/>
    <col min="4" max="4" width="12.85546875" style="3" bestFit="1" customWidth="1"/>
    <col min="5" max="5" width="14.640625" style="3" bestFit="1" customWidth="1"/>
    <col min="6" max="7" width="15" style="3" bestFit="1" customWidth="1"/>
    <col min="8" max="9" width="9.140625" style="3"/>
    <col min="10" max="10" width="18.5" style="3" bestFit="1" customWidth="1"/>
    <col min="11" max="16384" width="9.140625" style="3"/>
  </cols>
  <sheetData>
    <row r="1" spans="1:11" ht="18" x14ac:dyDescent="0.4">
      <c r="A1" s="64" t="str">
        <f>name</f>
        <v/>
      </c>
    </row>
    <row r="2" spans="1:11" ht="18" x14ac:dyDescent="0.4">
      <c r="A2" s="65" t="s">
        <v>6</v>
      </c>
      <c r="B2" s="20"/>
      <c r="C2" s="20"/>
      <c r="D2" s="21"/>
      <c r="E2" s="20"/>
      <c r="F2" s="20"/>
      <c r="G2" s="20"/>
      <c r="H2" s="20"/>
      <c r="J2" s="13" t="s">
        <v>430</v>
      </c>
      <c r="K2" s="13" t="s">
        <v>540</v>
      </c>
    </row>
    <row r="3" spans="1:11" ht="14.25" x14ac:dyDescent="0.45">
      <c r="A3" s="63" t="s">
        <v>24</v>
      </c>
      <c r="B3" s="20"/>
      <c r="C3" s="20"/>
      <c r="D3" s="21"/>
      <c r="E3" s="20"/>
      <c r="F3" s="20"/>
      <c r="G3" s="20"/>
      <c r="H3" s="20"/>
    </row>
    <row r="4" spans="1:11" ht="18" x14ac:dyDescent="0.45">
      <c r="A4" s="63"/>
      <c r="B4" s="107" t="str">
        <f>[1]!IntrinioBankFundamentals(rssd_id,"RIBI",fiscal_period_type,0,"fiscal_period")</f>
        <v/>
      </c>
      <c r="C4" s="107"/>
      <c r="D4" s="107"/>
      <c r="E4" s="107"/>
      <c r="F4" s="107"/>
      <c r="G4" s="107"/>
      <c r="H4" s="20"/>
    </row>
    <row r="5" spans="1:11" ht="18" x14ac:dyDescent="0.45">
      <c r="A5" s="63"/>
      <c r="B5" s="108" t="str">
        <f>[1]!IntrinioBankFundamentals(rssd_id,"RIBI",fiscal_period_type,0,"fiscal_year")</f>
        <v/>
      </c>
      <c r="C5" s="108"/>
      <c r="D5" s="108"/>
      <c r="E5" s="108"/>
      <c r="F5" s="108"/>
      <c r="G5" s="108"/>
      <c r="H5" s="20"/>
    </row>
    <row r="6" spans="1:11" x14ac:dyDescent="0.4">
      <c r="A6" s="20"/>
      <c r="B6" s="76" t="s">
        <v>467</v>
      </c>
      <c r="C6" s="76" t="s">
        <v>468</v>
      </c>
      <c r="D6" s="76" t="s">
        <v>469</v>
      </c>
      <c r="E6" s="76" t="s">
        <v>470</v>
      </c>
      <c r="F6" s="76" t="s">
        <v>471</v>
      </c>
      <c r="G6" s="76" t="s">
        <v>472</v>
      </c>
      <c r="H6" s="20"/>
    </row>
    <row r="7" spans="1:11" x14ac:dyDescent="0.4">
      <c r="A7" s="20"/>
      <c r="B7" s="76" t="s">
        <v>473</v>
      </c>
      <c r="C7" s="76" t="s">
        <v>474</v>
      </c>
      <c r="D7" s="76" t="s">
        <v>473</v>
      </c>
      <c r="E7" s="76" t="s">
        <v>474</v>
      </c>
      <c r="F7" s="76" t="s">
        <v>473</v>
      </c>
      <c r="G7" s="76" t="s">
        <v>474</v>
      </c>
      <c r="H7" s="20"/>
    </row>
    <row r="8" spans="1:11" x14ac:dyDescent="0.4">
      <c r="A8" s="20"/>
      <c r="B8" s="76" t="s">
        <v>475</v>
      </c>
      <c r="C8" s="76" t="s">
        <v>476</v>
      </c>
      <c r="D8" s="76" t="s">
        <v>475</v>
      </c>
      <c r="E8" s="76" t="s">
        <v>477</v>
      </c>
      <c r="F8" s="76" t="s">
        <v>475</v>
      </c>
      <c r="G8" s="76" t="s">
        <v>478</v>
      </c>
      <c r="H8" s="20"/>
    </row>
    <row r="9" spans="1:11" x14ac:dyDescent="0.4">
      <c r="A9" s="20"/>
      <c r="B9" s="76" t="s">
        <v>476</v>
      </c>
      <c r="C9" s="76" t="s">
        <v>479</v>
      </c>
      <c r="D9" s="76" t="s">
        <v>477</v>
      </c>
      <c r="E9" s="76" t="s">
        <v>479</v>
      </c>
      <c r="F9" s="76" t="s">
        <v>478</v>
      </c>
      <c r="G9" s="76" t="s">
        <v>480</v>
      </c>
      <c r="H9" s="20"/>
    </row>
    <row r="10" spans="1:11" x14ac:dyDescent="0.4">
      <c r="A10" s="20"/>
      <c r="B10" s="76" t="s">
        <v>479</v>
      </c>
      <c r="C10" s="76" t="s">
        <v>481</v>
      </c>
      <c r="D10" s="76" t="s">
        <v>479</v>
      </c>
      <c r="E10" s="76" t="s">
        <v>482</v>
      </c>
      <c r="F10" s="76" t="s">
        <v>480</v>
      </c>
      <c r="G10" s="76" t="s">
        <v>483</v>
      </c>
      <c r="H10" s="20"/>
    </row>
    <row r="11" spans="1:11" x14ac:dyDescent="0.4">
      <c r="A11" s="20"/>
      <c r="B11" s="76" t="s">
        <v>481</v>
      </c>
      <c r="C11" s="76" t="s">
        <v>484</v>
      </c>
      <c r="D11" s="76" t="s">
        <v>482</v>
      </c>
      <c r="E11" s="76" t="s">
        <v>485</v>
      </c>
      <c r="F11" s="76" t="s">
        <v>483</v>
      </c>
      <c r="G11" s="77"/>
      <c r="H11" s="20"/>
    </row>
    <row r="12" spans="1:11" x14ac:dyDescent="0.4">
      <c r="A12" s="20"/>
      <c r="B12" s="76" t="s">
        <v>484</v>
      </c>
      <c r="C12" s="76" t="s">
        <v>486</v>
      </c>
      <c r="D12" s="76" t="s">
        <v>485</v>
      </c>
      <c r="E12" s="77"/>
      <c r="F12" s="77"/>
      <c r="G12" s="77"/>
      <c r="H12" s="20"/>
    </row>
    <row r="13" spans="1:11" x14ac:dyDescent="0.4">
      <c r="A13" s="20"/>
      <c r="B13" s="76" t="s">
        <v>486</v>
      </c>
      <c r="C13" s="76" t="s">
        <v>487</v>
      </c>
      <c r="D13" s="77"/>
      <c r="E13" s="77"/>
      <c r="F13" s="77"/>
      <c r="G13" s="77"/>
      <c r="H13" s="20"/>
    </row>
    <row r="14" spans="1:11" x14ac:dyDescent="0.4">
      <c r="B14" s="78" t="s">
        <v>487</v>
      </c>
      <c r="C14" s="79"/>
      <c r="D14" s="79"/>
      <c r="E14" s="79"/>
      <c r="F14" s="79"/>
      <c r="G14" s="79"/>
      <c r="H14" s="20"/>
    </row>
    <row r="15" spans="1:11" ht="14.25" x14ac:dyDescent="0.4">
      <c r="B15" s="75"/>
      <c r="C15" s="75"/>
      <c r="D15" s="75"/>
      <c r="E15" s="75"/>
      <c r="F15" s="75"/>
      <c r="G15" s="75"/>
      <c r="H15" s="20"/>
    </row>
    <row r="16" spans="1:11" ht="14.25" x14ac:dyDescent="0.45">
      <c r="A16" s="58" t="s">
        <v>488</v>
      </c>
      <c r="B16" s="75"/>
      <c r="C16" s="75"/>
      <c r="D16" s="75"/>
      <c r="E16" s="75"/>
      <c r="F16" s="75"/>
      <c r="G16" s="75"/>
      <c r="H16" s="49">
        <v>1</v>
      </c>
    </row>
    <row r="17" spans="1:8" ht="14.25" x14ac:dyDescent="0.45">
      <c r="A17" s="59"/>
      <c r="B17" s="68" t="s">
        <v>2097</v>
      </c>
      <c r="C17" s="68" t="s">
        <v>2098</v>
      </c>
      <c r="D17" s="68" t="s">
        <v>2099</v>
      </c>
      <c r="E17" s="68" t="s">
        <v>2100</v>
      </c>
      <c r="F17" s="68" t="s">
        <v>2101</v>
      </c>
      <c r="G17" s="68" t="s">
        <v>2102</v>
      </c>
      <c r="H17" s="49"/>
    </row>
    <row r="18" spans="1:8" ht="14.25" x14ac:dyDescent="0.45">
      <c r="A18" s="58" t="s">
        <v>495</v>
      </c>
      <c r="B18" s="69" t="str">
        <f>IFERROR([1]!IntrinioBankFinancials(rssd_id,$K$2,$B$5,$B$4,B17,"K"),"")</f>
        <v/>
      </c>
      <c r="C18" s="69" t="str">
        <f>IFERROR([1]!IntrinioBankFinancials(rssd_id,$K$2,$B$5,$B$4,C17,"K"),"")</f>
        <v/>
      </c>
      <c r="D18" s="69" t="str">
        <f>IFERROR([1]!IntrinioBankFinancials(rssd_id,$K$2,$B$5,$B$4,D17,"K"),"")</f>
        <v/>
      </c>
      <c r="E18" s="69" t="str">
        <f>IFERROR([1]!IntrinioBankFinancials(rssd_id,$K$2,$B$5,$B$4,E17,"K"),"")</f>
        <v/>
      </c>
      <c r="F18" s="69" t="str">
        <f>IFERROR([1]!IntrinioBankFinancials(rssd_id,$K$2,$B$5,$B$4,F17,"K"),"")</f>
        <v/>
      </c>
      <c r="G18" s="69" t="str">
        <f>IFERROR([1]!IntrinioBankFinancials(rssd_id,$K$2,$B$5,$B$4,G17,"K"),"")</f>
        <v/>
      </c>
      <c r="H18" s="49" t="s">
        <v>27</v>
      </c>
    </row>
    <row r="19" spans="1:8" ht="14.25" x14ac:dyDescent="0.45">
      <c r="A19" s="59"/>
      <c r="B19" s="68" t="s">
        <v>2103</v>
      </c>
      <c r="C19" s="68" t="s">
        <v>2104</v>
      </c>
      <c r="D19" s="68" t="s">
        <v>2105</v>
      </c>
      <c r="E19" s="68" t="s">
        <v>2106</v>
      </c>
      <c r="F19" s="68" t="s">
        <v>2107</v>
      </c>
      <c r="G19" s="68" t="s">
        <v>2108</v>
      </c>
      <c r="H19" s="49"/>
    </row>
    <row r="20" spans="1:8" ht="14.25" x14ac:dyDescent="0.45">
      <c r="A20" s="58" t="s">
        <v>502</v>
      </c>
      <c r="B20" s="69" t="str">
        <f>IFERROR([1]!IntrinioBankFinancials(rssd_id,$K$2,$B$5,$B$4,B19,"K"),"")</f>
        <v/>
      </c>
      <c r="C20" s="69" t="str">
        <f>IFERROR([1]!IntrinioBankFinancials(rssd_id,$K$2,$B$5,$B$4,C19,"K"),"")</f>
        <v/>
      </c>
      <c r="D20" s="69" t="str">
        <f>IFERROR([1]!IntrinioBankFinancials(rssd_id,$K$2,$B$5,$B$4,D19,"K"),"")</f>
        <v/>
      </c>
      <c r="E20" s="69" t="str">
        <f>IFERROR([1]!IntrinioBankFinancials(rssd_id,$K$2,$B$5,$B$4,E19,"K"),"")</f>
        <v/>
      </c>
      <c r="F20" s="69" t="str">
        <f>IFERROR([1]!IntrinioBankFinancials(rssd_id,$K$2,$B$5,$B$4,F19,"K"),"")</f>
        <v/>
      </c>
      <c r="G20" s="69" t="str">
        <f>IFERROR([1]!IntrinioBankFinancials(rssd_id,$K$2,$B$5,$B$4,G19,"K"),"")</f>
        <v/>
      </c>
      <c r="H20" s="49" t="s">
        <v>57</v>
      </c>
    </row>
    <row r="21" spans="1:8" ht="14.25" x14ac:dyDescent="0.45">
      <c r="A21" s="59"/>
      <c r="B21" s="68" t="s">
        <v>2109</v>
      </c>
      <c r="C21" s="68" t="s">
        <v>2110</v>
      </c>
      <c r="D21" s="68" t="s">
        <v>2111</v>
      </c>
      <c r="E21" s="68" t="s">
        <v>2112</v>
      </c>
      <c r="F21" s="68" t="s">
        <v>2113</v>
      </c>
      <c r="G21" s="68" t="s">
        <v>2114</v>
      </c>
      <c r="H21" s="49"/>
    </row>
    <row r="22" spans="1:8" ht="14.25" x14ac:dyDescent="0.45">
      <c r="A22" s="58" t="s">
        <v>509</v>
      </c>
      <c r="B22" s="69" t="str">
        <f>IFERROR([1]!IntrinioBankFinancials(rssd_id,$K$2,$B$5,$B$4,B21,"K"),"")</f>
        <v/>
      </c>
      <c r="C22" s="69" t="str">
        <f>IFERROR([1]!IntrinioBankFinancials(rssd_id,$K$2,$B$5,$B$4,C21,"K"),"")</f>
        <v/>
      </c>
      <c r="D22" s="69" t="str">
        <f>IFERROR([1]!IntrinioBankFinancials(rssd_id,$K$2,$B$5,$B$4,D21,"K"),"")</f>
        <v/>
      </c>
      <c r="E22" s="69" t="str">
        <f>IFERROR([1]!IntrinioBankFinancials(rssd_id,$K$2,$B$5,$B$4,E21,"K"),"")</f>
        <v/>
      </c>
      <c r="F22" s="69" t="str">
        <f>IFERROR([1]!IntrinioBankFinancials(rssd_id,$K$2,$B$5,$B$4,F21,"K"),"")</f>
        <v/>
      </c>
      <c r="G22" s="69" t="str">
        <f>IFERROR([1]!IntrinioBankFinancials(rssd_id,$K$2,$B$5,$B$4,G21,"K"),"")</f>
        <v/>
      </c>
      <c r="H22" s="49" t="s">
        <v>60</v>
      </c>
    </row>
    <row r="23" spans="1:8" ht="14.25" x14ac:dyDescent="0.45">
      <c r="A23" s="59"/>
      <c r="B23" s="68" t="s">
        <v>2115</v>
      </c>
      <c r="C23" s="68" t="s">
        <v>2116</v>
      </c>
      <c r="D23" s="68" t="s">
        <v>2117</v>
      </c>
      <c r="E23" s="68" t="s">
        <v>2118</v>
      </c>
      <c r="F23" s="68" t="s">
        <v>2119</v>
      </c>
      <c r="G23" s="68" t="s">
        <v>2120</v>
      </c>
      <c r="H23" s="49"/>
    </row>
    <row r="24" spans="1:8" ht="14.25" x14ac:dyDescent="0.45">
      <c r="A24" s="58" t="s">
        <v>516</v>
      </c>
      <c r="B24" s="69" t="str">
        <f>IFERROR([1]!IntrinioBankFinancials(rssd_id,$K$2,$B$5,$B$4,B23,"K"),"")</f>
        <v/>
      </c>
      <c r="C24" s="69" t="str">
        <f>IFERROR([1]!IntrinioBankFinancials(rssd_id,$K$2,$B$5,$B$4,C23,"K"),"")</f>
        <v/>
      </c>
      <c r="D24" s="69" t="str">
        <f>IFERROR([1]!IntrinioBankFinancials(rssd_id,$K$2,$B$5,$B$4,D23,"K"),"")</f>
        <v/>
      </c>
      <c r="E24" s="69" t="str">
        <f>IFERROR([1]!IntrinioBankFinancials(rssd_id,$K$2,$B$5,$B$4,E23,"K"),"")</f>
        <v/>
      </c>
      <c r="F24" s="69" t="str">
        <f>IFERROR([1]!IntrinioBankFinancials(rssd_id,$K$2,$B$5,$B$4,F23,"K"),"")</f>
        <v/>
      </c>
      <c r="G24" s="69" t="str">
        <f>IFERROR([1]!IntrinioBankFinancials(rssd_id,$K$2,$B$5,$B$4,G23,"K"),"")</f>
        <v/>
      </c>
      <c r="H24" s="49">
        <v>2</v>
      </c>
    </row>
    <row r="25" spans="1:8" ht="14.25" x14ac:dyDescent="0.45">
      <c r="A25" s="59"/>
      <c r="B25" s="68" t="s">
        <v>2121</v>
      </c>
      <c r="C25" s="68" t="s">
        <v>2122</v>
      </c>
      <c r="D25" s="68" t="s">
        <v>2123</v>
      </c>
      <c r="E25" s="68" t="s">
        <v>2124</v>
      </c>
      <c r="F25" s="68" t="s">
        <v>2125</v>
      </c>
      <c r="G25" s="68" t="s">
        <v>2126</v>
      </c>
      <c r="H25" s="49"/>
    </row>
    <row r="26" spans="1:8" ht="14.25" x14ac:dyDescent="0.45">
      <c r="A26" s="58" t="s">
        <v>523</v>
      </c>
      <c r="B26" s="69" t="str">
        <f>IFERROR([1]!IntrinioBankFinancials(rssd_id,$K$2,$B$5,$B$4,B25,"K"),"")</f>
        <v/>
      </c>
      <c r="C26" s="69" t="str">
        <f>IFERROR([1]!IntrinioBankFinancials(rssd_id,$K$2,$B$5,$B$4,C25,"K"),"")</f>
        <v/>
      </c>
      <c r="D26" s="69" t="str">
        <f>IFERROR([1]!IntrinioBankFinancials(rssd_id,$K$2,$B$5,$B$4,D25,"K"),"")</f>
        <v/>
      </c>
      <c r="E26" s="69" t="str">
        <f>IFERROR([1]!IntrinioBankFinancials(rssd_id,$K$2,$B$5,$B$4,E25,"K"),"")</f>
        <v/>
      </c>
      <c r="F26" s="69" t="str">
        <f>IFERROR([1]!IntrinioBankFinancials(rssd_id,$K$2,$B$5,$B$4,F25,"K"),"")</f>
        <v/>
      </c>
      <c r="G26" s="69" t="str">
        <f>IFERROR([1]!IntrinioBankFinancials(rssd_id,$K$2,$B$5,$B$4,G25,"K"),"")</f>
        <v/>
      </c>
      <c r="H26" s="49">
        <v>3</v>
      </c>
    </row>
    <row r="27" spans="1:8" ht="14.25" x14ac:dyDescent="0.45">
      <c r="A27" s="59"/>
      <c r="B27" s="68" t="s">
        <v>2127</v>
      </c>
      <c r="C27" s="68" t="s">
        <v>2128</v>
      </c>
      <c r="D27" s="68" t="s">
        <v>2129</v>
      </c>
      <c r="E27" s="68" t="s">
        <v>2130</v>
      </c>
      <c r="F27" s="68" t="s">
        <v>2131</v>
      </c>
      <c r="G27" s="68" t="s">
        <v>2132</v>
      </c>
      <c r="H27" s="49"/>
    </row>
    <row r="28" spans="1:8" ht="14.25" x14ac:dyDescent="0.45">
      <c r="A28" s="58" t="s">
        <v>530</v>
      </c>
      <c r="B28" s="69" t="str">
        <f>IFERROR([1]!IntrinioBankFinancials(rssd_id,$K$2,$B$5,$B$4,B27,"K"),"")</f>
        <v/>
      </c>
      <c r="C28" s="69" t="str">
        <f>IFERROR([1]!IntrinioBankFinancials(rssd_id,$K$2,$B$5,$B$4,C27,"K"),"")</f>
        <v/>
      </c>
      <c r="D28" s="69" t="str">
        <f>IFERROR([1]!IntrinioBankFinancials(rssd_id,$K$2,$B$5,$B$4,D27,"K"),"")</f>
        <v/>
      </c>
      <c r="E28" s="69" t="str">
        <f>IFERROR([1]!IntrinioBankFinancials(rssd_id,$K$2,$B$5,$B$4,E27,"K"),"")</f>
        <v/>
      </c>
      <c r="F28" s="69" t="str">
        <f>IFERROR([1]!IntrinioBankFinancials(rssd_id,$K$2,$B$5,$B$4,F27,"K"),"")</f>
        <v/>
      </c>
      <c r="G28" s="69" t="str">
        <f>IFERROR([1]!IntrinioBankFinancials(rssd_id,$K$2,$B$5,$B$4,G27,"K"),"")</f>
        <v/>
      </c>
      <c r="H28" s="49">
        <v>4</v>
      </c>
    </row>
    <row r="29" spans="1:8" ht="14.25" x14ac:dyDescent="0.45">
      <c r="A29" s="59"/>
      <c r="B29" s="75"/>
      <c r="C29" s="75"/>
      <c r="D29" s="75"/>
      <c r="E29" s="68" t="s">
        <v>2133</v>
      </c>
      <c r="F29" s="75"/>
      <c r="G29" s="75"/>
      <c r="H29" s="49"/>
    </row>
    <row r="30" spans="1:8" ht="14.25" x14ac:dyDescent="0.45">
      <c r="A30" s="58" t="s">
        <v>532</v>
      </c>
      <c r="B30" s="75"/>
      <c r="C30" s="75"/>
      <c r="D30" s="75"/>
      <c r="E30" s="69" t="str">
        <f>IFERROR([1]!IntrinioBankFinancials(rssd_id,$K$2,$B$5,$B$4,E29,"K"),"")</f>
        <v/>
      </c>
      <c r="F30" s="75"/>
      <c r="G30" s="75"/>
      <c r="H30" s="49">
        <v>5</v>
      </c>
    </row>
    <row r="31" spans="1:8" ht="14.25" x14ac:dyDescent="0.45">
      <c r="A31" s="59"/>
      <c r="B31" s="68" t="s">
        <v>2134</v>
      </c>
      <c r="C31" s="68" t="s">
        <v>2135</v>
      </c>
      <c r="D31" s="68" t="s">
        <v>2136</v>
      </c>
      <c r="E31" s="68" t="s">
        <v>2137</v>
      </c>
      <c r="F31" s="68" t="s">
        <v>2138</v>
      </c>
      <c r="G31" s="68" t="s">
        <v>2139</v>
      </c>
      <c r="H31" s="49"/>
    </row>
    <row r="32" spans="1:8" ht="14.25" x14ac:dyDescent="0.45">
      <c r="A32" s="58" t="s">
        <v>539</v>
      </c>
      <c r="B32" s="69" t="str">
        <f>IFERROR([1]!IntrinioBankFinancials(rssd_id,$K$2,$B$5,$B$4,B31,"K"),"")</f>
        <v/>
      </c>
      <c r="C32" s="69" t="str">
        <f>IFERROR([1]!IntrinioBankFinancials(rssd_id,$K$2,$B$5,$B$4,C31,"K"),"")</f>
        <v/>
      </c>
      <c r="D32" s="69" t="str">
        <f>IFERROR([1]!IntrinioBankFinancials(rssd_id,$K$2,$B$5,$B$4,D31,"K"),"")</f>
        <v/>
      </c>
      <c r="E32" s="69" t="str">
        <f>IFERROR([1]!IntrinioBankFinancials(rssd_id,$K$2,$B$5,$B$4,E31,"K"),"")</f>
        <v/>
      </c>
      <c r="F32" s="69" t="str">
        <f>IFERROR([1]!IntrinioBankFinancials(rssd_id,$K$2,$B$5,$B$4,F31,"K"),"")</f>
        <v/>
      </c>
      <c r="G32" s="69" t="str">
        <f>IFERROR([1]!IntrinioBankFinancials(rssd_id,$K$2,$B$5,$B$4,G31,"K"),"")</f>
        <v/>
      </c>
      <c r="H32" s="49">
        <v>6</v>
      </c>
    </row>
    <row r="33" spans="1:8" ht="14.25" x14ac:dyDescent="0.4">
      <c r="A33" s="40"/>
    </row>
    <row r="34" spans="1:8" ht="18" x14ac:dyDescent="0.45">
      <c r="A34" s="63"/>
      <c r="B34" s="107" t="str">
        <f>[1]!IntrinioBankFundamentals(rssd_id,"RIBI",fiscal_period_type,1,"fiscal_period")</f>
        <v/>
      </c>
      <c r="C34" s="107"/>
      <c r="D34" s="107"/>
      <c r="E34" s="107"/>
      <c r="F34" s="107"/>
      <c r="G34" s="107"/>
      <c r="H34" s="20"/>
    </row>
    <row r="35" spans="1:8" ht="18" x14ac:dyDescent="0.45">
      <c r="A35" s="63"/>
      <c r="B35" s="108" t="str">
        <f>[1]!IntrinioBankFundamentals(rssd_id,"RIBI",fiscal_period_type,1,"fiscal_year")</f>
        <v/>
      </c>
      <c r="C35" s="108"/>
      <c r="D35" s="108"/>
      <c r="E35" s="108"/>
      <c r="F35" s="108"/>
      <c r="G35" s="108"/>
      <c r="H35" s="20"/>
    </row>
    <row r="36" spans="1:8" x14ac:dyDescent="0.4">
      <c r="A36" s="20"/>
      <c r="B36" s="76" t="s">
        <v>467</v>
      </c>
      <c r="C36" s="76" t="s">
        <v>468</v>
      </c>
      <c r="D36" s="76" t="s">
        <v>469</v>
      </c>
      <c r="E36" s="76" t="s">
        <v>470</v>
      </c>
      <c r="F36" s="76" t="s">
        <v>471</v>
      </c>
      <c r="G36" s="76" t="s">
        <v>472</v>
      </c>
      <c r="H36" s="20"/>
    </row>
    <row r="37" spans="1:8" x14ac:dyDescent="0.4">
      <c r="A37" s="20"/>
      <c r="B37" s="76" t="s">
        <v>473</v>
      </c>
      <c r="C37" s="76" t="s">
        <v>474</v>
      </c>
      <c r="D37" s="76" t="s">
        <v>473</v>
      </c>
      <c r="E37" s="76" t="s">
        <v>474</v>
      </c>
      <c r="F37" s="76" t="s">
        <v>473</v>
      </c>
      <c r="G37" s="76" t="s">
        <v>474</v>
      </c>
      <c r="H37" s="20"/>
    </row>
    <row r="38" spans="1:8" x14ac:dyDescent="0.4">
      <c r="A38" s="20"/>
      <c r="B38" s="76" t="s">
        <v>475</v>
      </c>
      <c r="C38" s="76" t="s">
        <v>476</v>
      </c>
      <c r="D38" s="76" t="s">
        <v>475</v>
      </c>
      <c r="E38" s="76" t="s">
        <v>477</v>
      </c>
      <c r="F38" s="76" t="s">
        <v>475</v>
      </c>
      <c r="G38" s="76" t="s">
        <v>478</v>
      </c>
      <c r="H38" s="20"/>
    </row>
    <row r="39" spans="1:8" x14ac:dyDescent="0.4">
      <c r="A39" s="20"/>
      <c r="B39" s="76" t="s">
        <v>476</v>
      </c>
      <c r="C39" s="76" t="s">
        <v>479</v>
      </c>
      <c r="D39" s="76" t="s">
        <v>477</v>
      </c>
      <c r="E39" s="76" t="s">
        <v>479</v>
      </c>
      <c r="F39" s="76" t="s">
        <v>478</v>
      </c>
      <c r="G39" s="76" t="s">
        <v>480</v>
      </c>
      <c r="H39" s="20"/>
    </row>
    <row r="40" spans="1:8" x14ac:dyDescent="0.4">
      <c r="A40" s="20"/>
      <c r="B40" s="76" t="s">
        <v>479</v>
      </c>
      <c r="C40" s="76" t="s">
        <v>481</v>
      </c>
      <c r="D40" s="76" t="s">
        <v>479</v>
      </c>
      <c r="E40" s="76" t="s">
        <v>482</v>
      </c>
      <c r="F40" s="76" t="s">
        <v>480</v>
      </c>
      <c r="G40" s="76" t="s">
        <v>483</v>
      </c>
      <c r="H40" s="20"/>
    </row>
    <row r="41" spans="1:8" x14ac:dyDescent="0.4">
      <c r="A41" s="20"/>
      <c r="B41" s="76" t="s">
        <v>481</v>
      </c>
      <c r="C41" s="76" t="s">
        <v>484</v>
      </c>
      <c r="D41" s="76" t="s">
        <v>482</v>
      </c>
      <c r="E41" s="76" t="s">
        <v>485</v>
      </c>
      <c r="F41" s="76" t="s">
        <v>483</v>
      </c>
      <c r="G41" s="77"/>
      <c r="H41" s="20"/>
    </row>
    <row r="42" spans="1:8" x14ac:dyDescent="0.4">
      <c r="A42" s="20"/>
      <c r="B42" s="76" t="s">
        <v>484</v>
      </c>
      <c r="C42" s="76" t="s">
        <v>486</v>
      </c>
      <c r="D42" s="76" t="s">
        <v>485</v>
      </c>
      <c r="E42" s="77"/>
      <c r="F42" s="77"/>
      <c r="G42" s="77"/>
      <c r="H42" s="20"/>
    </row>
    <row r="43" spans="1:8" x14ac:dyDescent="0.4">
      <c r="A43" s="20"/>
      <c r="B43" s="76" t="s">
        <v>486</v>
      </c>
      <c r="C43" s="76" t="s">
        <v>487</v>
      </c>
      <c r="D43" s="77"/>
      <c r="E43" s="77"/>
      <c r="F43" s="77"/>
      <c r="G43" s="77"/>
      <c r="H43" s="20"/>
    </row>
    <row r="44" spans="1:8" x14ac:dyDescent="0.4">
      <c r="B44" s="78" t="s">
        <v>487</v>
      </c>
      <c r="C44" s="79"/>
      <c r="D44" s="79"/>
      <c r="E44" s="79"/>
      <c r="F44" s="79"/>
      <c r="G44" s="79"/>
      <c r="H44" s="20"/>
    </row>
    <row r="45" spans="1:8" ht="14.25" x14ac:dyDescent="0.4">
      <c r="B45" s="75"/>
      <c r="C45" s="75"/>
      <c r="D45" s="75"/>
      <c r="E45" s="75"/>
      <c r="F45" s="75"/>
      <c r="G45" s="75"/>
      <c r="H45" s="20"/>
    </row>
    <row r="46" spans="1:8" ht="14.25" x14ac:dyDescent="0.45">
      <c r="A46" s="58" t="s">
        <v>488</v>
      </c>
      <c r="B46" s="75"/>
      <c r="C46" s="75"/>
      <c r="D46" s="75"/>
      <c r="E46" s="75"/>
      <c r="F46" s="75"/>
      <c r="G46" s="75"/>
      <c r="H46" s="49">
        <v>1</v>
      </c>
    </row>
    <row r="47" spans="1:8" ht="14.25" x14ac:dyDescent="0.45">
      <c r="A47" s="59"/>
      <c r="B47" s="68" t="s">
        <v>489</v>
      </c>
      <c r="C47" s="68" t="s">
        <v>490</v>
      </c>
      <c r="D47" s="68" t="s">
        <v>491</v>
      </c>
      <c r="E47" s="68" t="s">
        <v>492</v>
      </c>
      <c r="F47" s="68" t="s">
        <v>493</v>
      </c>
      <c r="G47" s="68" t="s">
        <v>494</v>
      </c>
      <c r="H47" s="49"/>
    </row>
    <row r="48" spans="1:8" ht="14.25" x14ac:dyDescent="0.45">
      <c r="A48" s="58" t="s">
        <v>495</v>
      </c>
      <c r="B48" s="69" t="str">
        <f>IFERROR([1]!IntrinioBankFinancials(rssd_id,$K$2,$B$35,$B$34,B47,"K"),"")</f>
        <v/>
      </c>
      <c r="C48" s="69" t="str">
        <f>IFERROR([1]!IntrinioBankFinancials(rssd_id,$K$2,$B$35,$B$34,C47,"K"),"")</f>
        <v/>
      </c>
      <c r="D48" s="69" t="str">
        <f>IFERROR([1]!IntrinioBankFinancials(rssd_id,$K$2,$B$35,$B$34,D47,"K"),"")</f>
        <v/>
      </c>
      <c r="E48" s="69" t="str">
        <f>IFERROR([1]!IntrinioBankFinancials(rssd_id,$K$2,$B$35,$B$34,E47,"K"),"")</f>
        <v/>
      </c>
      <c r="F48" s="69" t="str">
        <f>IFERROR([1]!IntrinioBankFinancials(rssd_id,$K$2,$B$35,$B$34,F47,"K"),"")</f>
        <v/>
      </c>
      <c r="G48" s="69" t="str">
        <f>IFERROR([1]!IntrinioBankFinancials(rssd_id,$K$2,$B$35,$B$34,G47,"K"),"")</f>
        <v/>
      </c>
      <c r="H48" s="49" t="s">
        <v>27</v>
      </c>
    </row>
    <row r="49" spans="1:8" ht="14.25" x14ac:dyDescent="0.45">
      <c r="A49" s="59"/>
      <c r="B49" s="68" t="s">
        <v>496</v>
      </c>
      <c r="C49" s="68" t="s">
        <v>497</v>
      </c>
      <c r="D49" s="68" t="s">
        <v>498</v>
      </c>
      <c r="E49" s="68" t="s">
        <v>499</v>
      </c>
      <c r="F49" s="68" t="s">
        <v>500</v>
      </c>
      <c r="G49" s="68" t="s">
        <v>501</v>
      </c>
      <c r="H49" s="49"/>
    </row>
    <row r="50" spans="1:8" ht="14.25" x14ac:dyDescent="0.45">
      <c r="A50" s="58" t="s">
        <v>502</v>
      </c>
      <c r="B50" s="69" t="str">
        <f>IFERROR([1]!IntrinioBankFinancials(rssd_id,$K$2,$B$35,$B$34,B49,"K"),"")</f>
        <v/>
      </c>
      <c r="C50" s="69" t="str">
        <f>IFERROR([1]!IntrinioBankFinancials(rssd_id,$K$2,$B$35,$B$34,C49,"K"),"")</f>
        <v/>
      </c>
      <c r="D50" s="69" t="str">
        <f>IFERROR([1]!IntrinioBankFinancials(rssd_id,$K$2,$B$35,$B$34,D49,"K"),"")</f>
        <v/>
      </c>
      <c r="E50" s="69" t="str">
        <f>IFERROR([1]!IntrinioBankFinancials(rssd_id,$K$2,$B$35,$B$34,E49,"K"),"")</f>
        <v/>
      </c>
      <c r="F50" s="69" t="str">
        <f>IFERROR([1]!IntrinioBankFinancials(rssd_id,$K$2,$B$35,$B$34,F49,"K"),"")</f>
        <v/>
      </c>
      <c r="G50" s="69" t="str">
        <f>IFERROR([1]!IntrinioBankFinancials(rssd_id,$K$2,$B$35,$B$34,G49,"K"),"")</f>
        <v/>
      </c>
      <c r="H50" s="49" t="s">
        <v>57</v>
      </c>
    </row>
    <row r="51" spans="1:8" ht="14.25" x14ac:dyDescent="0.45">
      <c r="A51" s="59"/>
      <c r="B51" s="68" t="s">
        <v>503</v>
      </c>
      <c r="C51" s="68" t="s">
        <v>504</v>
      </c>
      <c r="D51" s="68" t="s">
        <v>505</v>
      </c>
      <c r="E51" s="68" t="s">
        <v>506</v>
      </c>
      <c r="F51" s="68" t="s">
        <v>507</v>
      </c>
      <c r="G51" s="68" t="s">
        <v>508</v>
      </c>
      <c r="H51" s="49"/>
    </row>
    <row r="52" spans="1:8" ht="14.25" x14ac:dyDescent="0.45">
      <c r="A52" s="58" t="s">
        <v>509</v>
      </c>
      <c r="B52" s="69" t="str">
        <f>IFERROR([1]!IntrinioBankFinancials(rssd_id,$K$2,$B$35,$B$34,B51,"K"),"")</f>
        <v/>
      </c>
      <c r="C52" s="69" t="str">
        <f>IFERROR([1]!IntrinioBankFinancials(rssd_id,$K$2,$B$35,$B$34,C51,"K"),"")</f>
        <v/>
      </c>
      <c r="D52" s="69" t="str">
        <f>IFERROR([1]!IntrinioBankFinancials(rssd_id,$K$2,$B$35,$B$34,D51,"K"),"")</f>
        <v/>
      </c>
      <c r="E52" s="69" t="str">
        <f>IFERROR([1]!IntrinioBankFinancials(rssd_id,$K$2,$B$35,$B$34,E51,"K"),"")</f>
        <v/>
      </c>
      <c r="F52" s="69" t="str">
        <f>IFERROR([1]!IntrinioBankFinancials(rssd_id,$K$2,$B$35,$B$34,F51,"K"),"")</f>
        <v/>
      </c>
      <c r="G52" s="69" t="str">
        <f>IFERROR([1]!IntrinioBankFinancials(rssd_id,$K$2,$B$35,$B$34,G51,"K"),"")</f>
        <v/>
      </c>
      <c r="H52" s="49" t="s">
        <v>60</v>
      </c>
    </row>
    <row r="53" spans="1:8" ht="14.25" x14ac:dyDescent="0.45">
      <c r="A53" s="59"/>
      <c r="B53" s="68" t="s">
        <v>510</v>
      </c>
      <c r="C53" s="68" t="s">
        <v>511</v>
      </c>
      <c r="D53" s="68" t="s">
        <v>512</v>
      </c>
      <c r="E53" s="68" t="s">
        <v>513</v>
      </c>
      <c r="F53" s="68" t="s">
        <v>514</v>
      </c>
      <c r="G53" s="68" t="s">
        <v>515</v>
      </c>
      <c r="H53" s="49"/>
    </row>
    <row r="54" spans="1:8" ht="14.25" x14ac:dyDescent="0.45">
      <c r="A54" s="58" t="s">
        <v>516</v>
      </c>
      <c r="B54" s="69" t="str">
        <f>IFERROR([1]!IntrinioBankFinancials(rssd_id,$K$2,$B$35,$B$34,B53,"K"),"")</f>
        <v/>
      </c>
      <c r="C54" s="69" t="str">
        <f>IFERROR([1]!IntrinioBankFinancials(rssd_id,$K$2,$B$35,$B$34,C53,"K"),"")</f>
        <v/>
      </c>
      <c r="D54" s="69" t="str">
        <f>IFERROR([1]!IntrinioBankFinancials(rssd_id,$K$2,$B$35,$B$34,D53,"K"),"")</f>
        <v/>
      </c>
      <c r="E54" s="69" t="str">
        <f>IFERROR([1]!IntrinioBankFinancials(rssd_id,$K$2,$B$35,$B$34,E53,"K"),"")</f>
        <v/>
      </c>
      <c r="F54" s="69" t="str">
        <f>IFERROR([1]!IntrinioBankFinancials(rssd_id,$K$2,$B$35,$B$34,F53,"K"),"")</f>
        <v/>
      </c>
      <c r="G54" s="69" t="str">
        <f>IFERROR([1]!IntrinioBankFinancials(rssd_id,$K$2,$B$35,$B$34,G53,"K"),"")</f>
        <v/>
      </c>
      <c r="H54" s="49">
        <v>2</v>
      </c>
    </row>
    <row r="55" spans="1:8" ht="14.25" x14ac:dyDescent="0.45">
      <c r="A55" s="59"/>
      <c r="B55" s="68" t="s">
        <v>517</v>
      </c>
      <c r="C55" s="68" t="s">
        <v>518</v>
      </c>
      <c r="D55" s="68" t="s">
        <v>519</v>
      </c>
      <c r="E55" s="68" t="s">
        <v>520</v>
      </c>
      <c r="F55" s="68" t="s">
        <v>521</v>
      </c>
      <c r="G55" s="68" t="s">
        <v>522</v>
      </c>
      <c r="H55" s="49"/>
    </row>
    <row r="56" spans="1:8" ht="14.25" x14ac:dyDescent="0.45">
      <c r="A56" s="58" t="s">
        <v>523</v>
      </c>
      <c r="B56" s="69" t="str">
        <f>IFERROR([1]!IntrinioBankFinancials(rssd_id,$K$2,$B$35,$B$34,B55,"K"),"")</f>
        <v/>
      </c>
      <c r="C56" s="69" t="str">
        <f>IFERROR([1]!IntrinioBankFinancials(rssd_id,$K$2,$B$35,$B$34,C55,"K"),"")</f>
        <v/>
      </c>
      <c r="D56" s="69" t="str">
        <f>IFERROR([1]!IntrinioBankFinancials(rssd_id,$K$2,$B$35,$B$34,D55,"K"),"")</f>
        <v/>
      </c>
      <c r="E56" s="69" t="str">
        <f>IFERROR([1]!IntrinioBankFinancials(rssd_id,$K$2,$B$35,$B$34,E55,"K"),"")</f>
        <v/>
      </c>
      <c r="F56" s="69" t="str">
        <f>IFERROR([1]!IntrinioBankFinancials(rssd_id,$K$2,$B$35,$B$34,F55,"K"),"")</f>
        <v/>
      </c>
      <c r="G56" s="69" t="str">
        <f>IFERROR([1]!IntrinioBankFinancials(rssd_id,$K$2,$B$35,$B$34,G55,"K"),"")</f>
        <v/>
      </c>
      <c r="H56" s="49">
        <v>3</v>
      </c>
    </row>
    <row r="57" spans="1:8" ht="14.25" x14ac:dyDescent="0.45">
      <c r="A57" s="59"/>
      <c r="B57" s="68" t="s">
        <v>524</v>
      </c>
      <c r="C57" s="68" t="s">
        <v>525</v>
      </c>
      <c r="D57" s="68" t="s">
        <v>526</v>
      </c>
      <c r="E57" s="68" t="s">
        <v>527</v>
      </c>
      <c r="F57" s="68" t="s">
        <v>528</v>
      </c>
      <c r="G57" s="68" t="s">
        <v>529</v>
      </c>
      <c r="H57" s="49"/>
    </row>
    <row r="58" spans="1:8" ht="14.25" x14ac:dyDescent="0.45">
      <c r="A58" s="58" t="s">
        <v>530</v>
      </c>
      <c r="B58" s="69" t="str">
        <f>IFERROR([1]!IntrinioBankFinancials(rssd_id,$K$2,$B$35,$B$34,B57,"K"),"")</f>
        <v/>
      </c>
      <c r="C58" s="69" t="str">
        <f>IFERROR([1]!IntrinioBankFinancials(rssd_id,$K$2,$B$35,$B$34,C57,"K"),"")</f>
        <v/>
      </c>
      <c r="D58" s="69" t="str">
        <f>IFERROR([1]!IntrinioBankFinancials(rssd_id,$K$2,$B$35,$B$34,D57,"K"),"")</f>
        <v/>
      </c>
      <c r="E58" s="69" t="str">
        <f>IFERROR([1]!IntrinioBankFinancials(rssd_id,$K$2,$B$35,$B$34,E57,"K"),"")</f>
        <v/>
      </c>
      <c r="F58" s="69" t="str">
        <f>IFERROR([1]!IntrinioBankFinancials(rssd_id,$K$2,$B$35,$B$34,F57,"K"),"")</f>
        <v/>
      </c>
      <c r="G58" s="69" t="str">
        <f>IFERROR([1]!IntrinioBankFinancials(rssd_id,$K$2,$B$35,$B$34,G57,"K"),"")</f>
        <v/>
      </c>
      <c r="H58" s="49">
        <v>4</v>
      </c>
    </row>
    <row r="59" spans="1:8" ht="14.25" x14ac:dyDescent="0.45">
      <c r="A59" s="59"/>
      <c r="B59" s="75"/>
      <c r="C59" s="75"/>
      <c r="D59" s="75"/>
      <c r="E59" s="68" t="s">
        <v>531</v>
      </c>
      <c r="F59" s="75"/>
      <c r="G59" s="75"/>
      <c r="H59" s="49"/>
    </row>
    <row r="60" spans="1:8" ht="14.25" x14ac:dyDescent="0.45">
      <c r="A60" s="58" t="s">
        <v>532</v>
      </c>
      <c r="B60" s="75"/>
      <c r="C60" s="75"/>
      <c r="D60" s="75"/>
      <c r="E60" s="69" t="str">
        <f>IFERROR([1]!IntrinioBankFinancials(rssd_id,$K$2,$B$35,$B$34,E59,"K"),"")</f>
        <v/>
      </c>
      <c r="F60" s="75"/>
      <c r="G60" s="75"/>
      <c r="H60" s="49">
        <v>5</v>
      </c>
    </row>
    <row r="61" spans="1:8" ht="14.25" x14ac:dyDescent="0.45">
      <c r="A61" s="59"/>
      <c r="B61" s="68" t="s">
        <v>533</v>
      </c>
      <c r="C61" s="68" t="s">
        <v>534</v>
      </c>
      <c r="D61" s="68" t="s">
        <v>535</v>
      </c>
      <c r="E61" s="68" t="s">
        <v>536</v>
      </c>
      <c r="F61" s="68" t="s">
        <v>537</v>
      </c>
      <c r="G61" s="68" t="s">
        <v>538</v>
      </c>
      <c r="H61" s="49"/>
    </row>
    <row r="62" spans="1:8" ht="14.25" x14ac:dyDescent="0.45">
      <c r="A62" s="58" t="s">
        <v>539</v>
      </c>
      <c r="B62" s="69" t="str">
        <f>IFERROR([1]!IntrinioBankFinancials(rssd_id,$K$2,$B$35,$B$34,B61,"K"),"")</f>
        <v/>
      </c>
      <c r="C62" s="69" t="str">
        <f>IFERROR([1]!IntrinioBankFinancials(rssd_id,$K$2,$B$35,$B$34,C61,"K"),"")</f>
        <v/>
      </c>
      <c r="D62" s="69" t="str">
        <f>IFERROR([1]!IntrinioBankFinancials(rssd_id,$K$2,$B$35,$B$34,D61,"K"),"")</f>
        <v/>
      </c>
      <c r="E62" s="69" t="str">
        <f>IFERROR([1]!IntrinioBankFinancials(rssd_id,$K$2,$B$35,$B$34,E61,"K"),"")</f>
        <v/>
      </c>
      <c r="F62" s="69" t="str">
        <f>IFERROR([1]!IntrinioBankFinancials(rssd_id,$K$2,$B$35,$B$34,F61,"K"),"")</f>
        <v/>
      </c>
      <c r="G62" s="69" t="str">
        <f>IFERROR([1]!IntrinioBankFinancials(rssd_id,$K$2,$B$35,$B$34,G61,"K"),"")</f>
        <v/>
      </c>
      <c r="H62" s="49">
        <v>6</v>
      </c>
    </row>
  </sheetData>
  <mergeCells count="4">
    <mergeCell ref="B4:G4"/>
    <mergeCell ref="B5:G5"/>
    <mergeCell ref="B34:G34"/>
    <mergeCell ref="B35:G35"/>
  </mergeCells>
  <pageMargins left="0.7" right="0.7" top="0.75" bottom="0.75" header="0.3" footer="0.3"/>
  <pageSetup fitToHeight="2" orientation="landscape" r:id="rId1"/>
  <headerFooter>
    <oddFooter>&amp;L&amp;G&amp;R&amp;P</oddFooter>
  </headerFooter>
  <rowBreaks count="1" manualBreakCount="1">
    <brk id="33" max="7" man="1"/>
  </rowBreaks>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4" tint="0.79998168889431442"/>
    <pageSetUpPr fitToPage="1"/>
  </sheetPr>
  <dimension ref="A1:S141"/>
  <sheetViews>
    <sheetView view="pageBreakPreview" zoomScaleNormal="100" zoomScaleSheetLayoutView="100" workbookViewId="0">
      <pane xSplit="1" ySplit="5" topLeftCell="G6" activePane="bottomRight" state="frozen"/>
      <selection pane="topRight"/>
      <selection pane="bottomLeft"/>
      <selection pane="bottomRight" activeCell="J6" sqref="J6"/>
    </sheetView>
  </sheetViews>
  <sheetFormatPr defaultColWidth="9.140625" defaultRowHeight="18" outlineLevelCol="1" x14ac:dyDescent="0.4"/>
  <cols>
    <col min="1" max="1" width="58.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6" style="47"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2089</v>
      </c>
      <c r="B2" s="28"/>
      <c r="C2" s="29"/>
      <c r="D2" s="29"/>
      <c r="E2" s="29"/>
      <c r="F2" s="29"/>
      <c r="G2" s="29"/>
      <c r="H2" s="29"/>
      <c r="I2" s="29"/>
      <c r="J2" s="29"/>
      <c r="K2" s="29"/>
      <c r="L2" s="29"/>
      <c r="M2" s="29"/>
      <c r="N2" s="29"/>
      <c r="O2" s="29"/>
      <c r="P2" s="48"/>
      <c r="R2" s="6" t="s">
        <v>430</v>
      </c>
      <c r="S2" s="6" t="s">
        <v>2172</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2140</v>
      </c>
      <c r="B6" s="37" t="s">
        <v>2157</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2141</v>
      </c>
      <c r="B7" s="37" t="s">
        <v>2158</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2142</v>
      </c>
      <c r="B8" s="37" t="s">
        <v>2159</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2143</v>
      </c>
      <c r="B9" s="37"/>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14.25" x14ac:dyDescent="0.4">
      <c r="A10" s="39" t="s">
        <v>2144</v>
      </c>
      <c r="B10" s="37" t="s">
        <v>2160</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622</v>
      </c>
    </row>
    <row r="11" spans="1:19" s="40" customFormat="1" ht="28.5" x14ac:dyDescent="0.4">
      <c r="A11" s="39" t="s">
        <v>2145</v>
      </c>
      <c r="B11" s="37" t="s">
        <v>2161</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623</v>
      </c>
    </row>
    <row r="12" spans="1:19" s="40" customFormat="1" ht="14.25" x14ac:dyDescent="0.4">
      <c r="A12" s="39" t="s">
        <v>2146</v>
      </c>
      <c r="B12" s="37" t="s">
        <v>2162</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624</v>
      </c>
    </row>
    <row r="13" spans="1:19" s="40" customFormat="1" ht="14.25" x14ac:dyDescent="0.4">
      <c r="A13" s="39" t="s">
        <v>2147</v>
      </c>
      <c r="B13" s="37" t="s">
        <v>2163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625</v>
      </c>
    </row>
    <row r="14" spans="1:19" ht="28.5" x14ac:dyDescent="0.4">
      <c r="A14" s="39" t="s">
        <v>2148</v>
      </c>
      <c r="B14" s="37" t="s">
        <v>2164</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5</v>
      </c>
    </row>
    <row r="15" spans="1:19" x14ac:dyDescent="0.4">
      <c r="A15" s="39" t="s">
        <v>2149</v>
      </c>
      <c r="B15" s="37" t="s">
        <v>2165</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6</v>
      </c>
    </row>
    <row r="16" spans="1:19" ht="42.75" x14ac:dyDescent="0.4">
      <c r="A16" s="39" t="s">
        <v>2150</v>
      </c>
      <c r="B16" s="37" t="s">
        <v>2166</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7</v>
      </c>
    </row>
    <row r="17" spans="1:19" x14ac:dyDescent="0.4">
      <c r="A17" s="39" t="s">
        <v>2151</v>
      </c>
      <c r="B17" s="37" t="s">
        <v>2167</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v>8</v>
      </c>
    </row>
    <row r="18" spans="1:19" ht="28.5" x14ac:dyDescent="0.4">
      <c r="A18" s="39" t="s">
        <v>2152</v>
      </c>
      <c r="B18" s="37" t="s">
        <v>2168</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9</v>
      </c>
    </row>
    <row r="19" spans="1:19" ht="42.75" x14ac:dyDescent="0.4">
      <c r="A19" s="39" t="s">
        <v>2153</v>
      </c>
      <c r="B19" s="37" t="s">
        <v>2169</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v>10</v>
      </c>
    </row>
    <row r="20" spans="1:19" x14ac:dyDescent="0.4">
      <c r="A20" s="39" t="s">
        <v>2154</v>
      </c>
      <c r="B20" s="37"/>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11</v>
      </c>
    </row>
    <row r="21" spans="1:19" ht="28.5" x14ac:dyDescent="0.4">
      <c r="A21" s="39" t="s">
        <v>2155</v>
      </c>
      <c r="B21" s="37" t="s">
        <v>2170</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12</v>
      </c>
    </row>
    <row r="22" spans="1:19" ht="28.5" x14ac:dyDescent="0.4">
      <c r="A22" s="39" t="s">
        <v>2156</v>
      </c>
      <c r="B22" s="37" t="s">
        <v>2171</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13</v>
      </c>
    </row>
    <row r="23" spans="1:19" x14ac:dyDescent="0.4">
      <c r="B23" s="32"/>
      <c r="C23" s="33"/>
      <c r="D23" s="33"/>
      <c r="E23" s="33"/>
      <c r="F23" s="33"/>
      <c r="G23" s="33"/>
      <c r="H23" s="33"/>
      <c r="I23" s="33"/>
      <c r="J23" s="33"/>
      <c r="K23" s="33"/>
      <c r="L23" s="33"/>
      <c r="M23" s="33"/>
      <c r="N23" s="33"/>
      <c r="O23" s="33"/>
    </row>
    <row r="24" spans="1:19" x14ac:dyDescent="0.4">
      <c r="B24" s="32"/>
      <c r="C24" s="33"/>
      <c r="D24" s="33"/>
      <c r="E24" s="33"/>
      <c r="F24" s="33"/>
      <c r="G24" s="33"/>
      <c r="H24" s="33"/>
      <c r="I24" s="33"/>
      <c r="J24" s="33"/>
      <c r="K24" s="33"/>
      <c r="L24" s="33"/>
      <c r="M24" s="33"/>
      <c r="N24" s="33"/>
      <c r="O24" s="33"/>
    </row>
    <row r="25" spans="1:19" x14ac:dyDescent="0.4">
      <c r="B25" s="32"/>
      <c r="C25" s="33"/>
      <c r="D25" s="33"/>
      <c r="E25" s="33"/>
      <c r="F25" s="33"/>
      <c r="G25" s="33"/>
      <c r="H25" s="33"/>
      <c r="I25" s="33"/>
      <c r="J25" s="33"/>
      <c r="K25" s="33"/>
      <c r="L25" s="33"/>
      <c r="M25" s="33"/>
      <c r="N25" s="33"/>
      <c r="O25" s="33"/>
    </row>
    <row r="26" spans="1:19" x14ac:dyDescent="0.4">
      <c r="B26" s="32"/>
      <c r="C26" s="33"/>
      <c r="D26" s="33"/>
      <c r="E26" s="33"/>
      <c r="F26" s="33"/>
      <c r="G26" s="33"/>
      <c r="H26" s="33"/>
      <c r="I26" s="33"/>
      <c r="J26" s="33"/>
      <c r="K26" s="33"/>
      <c r="L26" s="33"/>
      <c r="M26" s="33"/>
      <c r="N26" s="33"/>
      <c r="O26" s="33"/>
    </row>
    <row r="27" spans="1:19" x14ac:dyDescent="0.4">
      <c r="B27" s="32"/>
      <c r="C27" s="33"/>
      <c r="D27" s="33"/>
      <c r="E27" s="33"/>
      <c r="F27" s="33"/>
      <c r="G27" s="33"/>
      <c r="H27" s="33"/>
      <c r="I27" s="33"/>
      <c r="J27" s="33"/>
      <c r="K27" s="33"/>
      <c r="L27" s="33"/>
      <c r="M27" s="33"/>
      <c r="N27" s="33"/>
      <c r="O27" s="33"/>
    </row>
    <row r="28" spans="1:19" x14ac:dyDescent="0.4">
      <c r="B28" s="32"/>
      <c r="C28" s="33"/>
      <c r="D28" s="33"/>
      <c r="E28" s="33"/>
      <c r="F28" s="33"/>
      <c r="G28" s="33"/>
      <c r="H28" s="33"/>
      <c r="I28" s="33"/>
      <c r="J28" s="33"/>
      <c r="K28" s="33"/>
      <c r="L28" s="33"/>
      <c r="M28" s="33"/>
      <c r="N28" s="33"/>
      <c r="O28" s="33"/>
    </row>
    <row r="29" spans="1:19" s="47" customFormat="1" x14ac:dyDescent="0.4">
      <c r="A29" s="13"/>
      <c r="B29" s="32"/>
      <c r="C29" s="33"/>
      <c r="D29" s="33"/>
      <c r="E29" s="33"/>
      <c r="F29" s="33"/>
      <c r="G29" s="33"/>
      <c r="H29" s="33"/>
      <c r="I29" s="33"/>
      <c r="J29" s="33"/>
      <c r="K29" s="33"/>
      <c r="L29" s="33"/>
      <c r="M29" s="33"/>
      <c r="N29" s="33"/>
      <c r="O29" s="33"/>
      <c r="Q29" s="13"/>
      <c r="R29" s="13"/>
      <c r="S29" s="13"/>
    </row>
    <row r="30" spans="1:19" s="47" customFormat="1" x14ac:dyDescent="0.4">
      <c r="A30" s="13"/>
      <c r="B30" s="32"/>
      <c r="C30" s="33"/>
      <c r="D30" s="33"/>
      <c r="E30" s="33"/>
      <c r="F30" s="33"/>
      <c r="G30" s="33"/>
      <c r="H30" s="33"/>
      <c r="I30" s="33"/>
      <c r="J30" s="33"/>
      <c r="K30" s="33"/>
      <c r="L30" s="33"/>
      <c r="M30" s="33"/>
      <c r="N30" s="33"/>
      <c r="O30" s="33"/>
      <c r="Q30" s="13"/>
      <c r="R30" s="13"/>
      <c r="S30" s="13"/>
    </row>
    <row r="31" spans="1:19" s="47" customFormat="1" x14ac:dyDescent="0.4">
      <c r="A31" s="13"/>
      <c r="B31" s="32"/>
      <c r="C31" s="33"/>
      <c r="D31" s="33"/>
      <c r="E31" s="33"/>
      <c r="F31" s="33"/>
      <c r="G31" s="33"/>
      <c r="H31" s="33"/>
      <c r="I31" s="33"/>
      <c r="J31" s="33"/>
      <c r="K31" s="33"/>
      <c r="L31" s="33"/>
      <c r="M31" s="33"/>
      <c r="N31" s="33"/>
      <c r="O31" s="33"/>
      <c r="Q31" s="13"/>
      <c r="R31" s="13"/>
      <c r="S31" s="13"/>
    </row>
    <row r="32" spans="1:19" s="47" customFormat="1" x14ac:dyDescent="0.4">
      <c r="A32" s="13"/>
      <c r="B32" s="32"/>
      <c r="C32" s="33"/>
      <c r="D32" s="33"/>
      <c r="E32" s="33"/>
      <c r="F32" s="33"/>
      <c r="G32" s="33"/>
      <c r="H32" s="33"/>
      <c r="I32" s="33"/>
      <c r="J32" s="33"/>
      <c r="K32" s="33"/>
      <c r="L32" s="33"/>
      <c r="M32" s="33"/>
      <c r="N32" s="33"/>
      <c r="O32" s="33"/>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32"/>
      <c r="C34" s="33"/>
      <c r="D34" s="33"/>
      <c r="E34" s="33"/>
      <c r="F34" s="33"/>
      <c r="G34" s="33"/>
      <c r="H34" s="33"/>
      <c r="I34" s="33"/>
      <c r="J34" s="33"/>
      <c r="K34" s="33"/>
      <c r="L34" s="33"/>
      <c r="M34" s="33"/>
      <c r="N34" s="33"/>
      <c r="O34" s="33"/>
      <c r="Q34" s="13"/>
      <c r="R34" s="13"/>
      <c r="S34" s="13"/>
    </row>
    <row r="35" spans="1:19" s="47" customFormat="1" x14ac:dyDescent="0.4">
      <c r="A35" s="13"/>
      <c r="B35" s="32"/>
      <c r="C35" s="33"/>
      <c r="D35" s="33"/>
      <c r="E35" s="33"/>
      <c r="F35" s="33"/>
      <c r="G35" s="33"/>
      <c r="H35" s="33"/>
      <c r="I35" s="33"/>
      <c r="J35" s="33"/>
      <c r="K35" s="33"/>
      <c r="L35" s="33"/>
      <c r="M35" s="33"/>
      <c r="N35" s="33"/>
      <c r="O35" s="33"/>
      <c r="Q35" s="13"/>
      <c r="R35" s="13"/>
      <c r="S35" s="13"/>
    </row>
    <row r="36" spans="1:19" s="47" customFormat="1" x14ac:dyDescent="0.4">
      <c r="A36" s="13"/>
      <c r="B36" s="32"/>
      <c r="C36" s="33"/>
      <c r="D36" s="33"/>
      <c r="E36" s="33"/>
      <c r="F36" s="33"/>
      <c r="G36" s="33"/>
      <c r="H36" s="33"/>
      <c r="I36" s="33"/>
      <c r="J36" s="33"/>
      <c r="K36" s="33"/>
      <c r="L36" s="33"/>
      <c r="M36" s="33"/>
      <c r="N36" s="33"/>
      <c r="O36" s="33"/>
      <c r="Q36" s="13"/>
      <c r="R36" s="13"/>
      <c r="S36" s="13"/>
    </row>
    <row r="37" spans="1:19" s="47" customFormat="1" x14ac:dyDescent="0.4">
      <c r="A37" s="13"/>
      <c r="B37" s="32"/>
      <c r="C37" s="33"/>
      <c r="D37" s="33"/>
      <c r="E37" s="33"/>
      <c r="F37" s="33"/>
      <c r="G37" s="33"/>
      <c r="H37" s="33"/>
      <c r="I37" s="33"/>
      <c r="J37" s="33"/>
      <c r="K37" s="33"/>
      <c r="L37" s="33"/>
      <c r="M37" s="33"/>
      <c r="N37" s="33"/>
      <c r="O37" s="33"/>
      <c r="Q37" s="13"/>
      <c r="R37" s="13"/>
      <c r="S37" s="13"/>
    </row>
    <row r="38" spans="1:19" s="47" customFormat="1" x14ac:dyDescent="0.4">
      <c r="A38" s="13"/>
      <c r="B38" s="32"/>
      <c r="C38" s="33"/>
      <c r="D38" s="33"/>
      <c r="E38" s="33"/>
      <c r="F38" s="33"/>
      <c r="G38" s="33"/>
      <c r="H38" s="33"/>
      <c r="I38" s="33"/>
      <c r="J38" s="33"/>
      <c r="K38" s="33"/>
      <c r="L38" s="33"/>
      <c r="M38" s="33"/>
      <c r="N38" s="33"/>
      <c r="O38" s="33"/>
      <c r="Q38" s="13"/>
      <c r="R38" s="13"/>
      <c r="S38" s="13"/>
    </row>
    <row r="39" spans="1:19" s="47" customFormat="1" x14ac:dyDescent="0.4">
      <c r="A39" s="13"/>
      <c r="B39" s="32"/>
      <c r="C39" s="33"/>
      <c r="D39" s="33"/>
      <c r="E39" s="33"/>
      <c r="F39" s="33"/>
      <c r="G39" s="33"/>
      <c r="H39" s="33"/>
      <c r="I39" s="33"/>
      <c r="J39" s="33"/>
      <c r="K39" s="33"/>
      <c r="L39" s="33"/>
      <c r="M39" s="33"/>
      <c r="N39" s="33"/>
      <c r="O39" s="33"/>
      <c r="Q39" s="13"/>
      <c r="R39" s="13"/>
      <c r="S39" s="13"/>
    </row>
    <row r="40" spans="1:19" s="47" customFormat="1" x14ac:dyDescent="0.4">
      <c r="A40" s="13"/>
      <c r="B40" s="32"/>
      <c r="C40" s="33"/>
      <c r="D40" s="33"/>
      <c r="E40" s="33"/>
      <c r="F40" s="33"/>
      <c r="G40" s="33"/>
      <c r="H40" s="33"/>
      <c r="I40" s="33"/>
      <c r="J40" s="33"/>
      <c r="K40" s="33"/>
      <c r="L40" s="33"/>
      <c r="M40" s="33"/>
      <c r="N40" s="33"/>
      <c r="O40" s="33"/>
      <c r="Q40" s="13"/>
      <c r="R40" s="13"/>
      <c r="S40" s="13"/>
    </row>
    <row r="41" spans="1:19" s="47" customFormat="1" x14ac:dyDescent="0.4">
      <c r="A41" s="13"/>
      <c r="B41" s="32"/>
      <c r="C41" s="33"/>
      <c r="D41" s="33"/>
      <c r="E41" s="33"/>
      <c r="F41" s="33"/>
      <c r="G41" s="33"/>
      <c r="H41" s="33"/>
      <c r="I41" s="33"/>
      <c r="J41" s="33"/>
      <c r="K41" s="33"/>
      <c r="L41" s="33"/>
      <c r="M41" s="33"/>
      <c r="N41" s="33"/>
      <c r="O41" s="33"/>
      <c r="Q41" s="13"/>
      <c r="R41" s="13"/>
      <c r="S41" s="13"/>
    </row>
    <row r="42" spans="1:19" s="47" customFormat="1" x14ac:dyDescent="0.4">
      <c r="A42" s="13"/>
      <c r="B42" s="32"/>
      <c r="C42" s="33"/>
      <c r="D42" s="33"/>
      <c r="E42" s="33"/>
      <c r="F42" s="33"/>
      <c r="G42" s="33"/>
      <c r="H42" s="33"/>
      <c r="I42" s="33"/>
      <c r="J42" s="33"/>
      <c r="K42" s="33"/>
      <c r="L42" s="33"/>
      <c r="M42" s="33"/>
      <c r="N42" s="33"/>
      <c r="O42" s="33"/>
      <c r="Q42" s="13"/>
      <c r="R42" s="13"/>
      <c r="S42" s="13"/>
    </row>
    <row r="43" spans="1:19" s="47" customFormat="1" x14ac:dyDescent="0.4">
      <c r="A43" s="13"/>
      <c r="B43" s="32"/>
      <c r="C43" s="33"/>
      <c r="D43" s="33"/>
      <c r="E43" s="33"/>
      <c r="F43" s="33"/>
      <c r="G43" s="33"/>
      <c r="H43" s="33"/>
      <c r="I43" s="33"/>
      <c r="J43" s="33"/>
      <c r="K43" s="33"/>
      <c r="L43" s="33"/>
      <c r="M43" s="33"/>
      <c r="N43" s="33"/>
      <c r="O43" s="33"/>
      <c r="Q43" s="13"/>
      <c r="R43" s="13"/>
      <c r="S43" s="13"/>
    </row>
    <row r="44" spans="1:19" s="47" customFormat="1" x14ac:dyDescent="0.4">
      <c r="A44" s="13"/>
      <c r="B44" s="32"/>
      <c r="C44" s="33"/>
      <c r="D44" s="33"/>
      <c r="E44" s="33"/>
      <c r="F44" s="33"/>
      <c r="G44" s="33"/>
      <c r="H44" s="33"/>
      <c r="I44" s="33"/>
      <c r="J44" s="33"/>
      <c r="K44" s="33"/>
      <c r="L44" s="33"/>
      <c r="M44" s="33"/>
      <c r="N44" s="33"/>
      <c r="O44" s="33"/>
      <c r="Q44" s="13"/>
      <c r="R44" s="13"/>
      <c r="S44" s="13"/>
    </row>
    <row r="45" spans="1:19" s="47" customFormat="1" x14ac:dyDescent="0.4">
      <c r="A45" s="13"/>
      <c r="B45" s="32"/>
      <c r="C45" s="33"/>
      <c r="D45" s="33"/>
      <c r="E45" s="33"/>
      <c r="F45" s="33"/>
      <c r="G45" s="33"/>
      <c r="H45" s="33"/>
      <c r="I45" s="33"/>
      <c r="J45" s="33"/>
      <c r="K45" s="33"/>
      <c r="L45" s="33"/>
      <c r="M45" s="33"/>
      <c r="N45" s="33"/>
      <c r="O45" s="33"/>
      <c r="Q45" s="13"/>
      <c r="R45" s="13"/>
      <c r="S45" s="13"/>
    </row>
    <row r="46" spans="1:19" s="47" customFormat="1" x14ac:dyDescent="0.4">
      <c r="A46" s="13"/>
      <c r="B46" s="32"/>
      <c r="C46" s="33"/>
      <c r="D46" s="33"/>
      <c r="E46" s="33"/>
      <c r="F46" s="33"/>
      <c r="G46" s="33"/>
      <c r="H46" s="33"/>
      <c r="I46" s="33"/>
      <c r="J46" s="33"/>
      <c r="K46" s="33"/>
      <c r="L46" s="33"/>
      <c r="M46" s="33"/>
      <c r="N46" s="33"/>
      <c r="O46" s="33"/>
      <c r="Q46" s="13"/>
      <c r="R46" s="13"/>
      <c r="S46" s="13"/>
    </row>
    <row r="47" spans="1:19" s="47" customFormat="1" x14ac:dyDescent="0.4">
      <c r="A47" s="13"/>
      <c r="B47" s="32"/>
      <c r="C47" s="33"/>
      <c r="D47" s="33"/>
      <c r="E47" s="33"/>
      <c r="F47" s="33"/>
      <c r="G47" s="33"/>
      <c r="H47" s="33"/>
      <c r="I47" s="33"/>
      <c r="J47" s="33"/>
      <c r="K47" s="33"/>
      <c r="L47" s="33"/>
      <c r="M47" s="33"/>
      <c r="N47" s="33"/>
      <c r="O47" s="33"/>
      <c r="Q47" s="13"/>
      <c r="R47" s="13"/>
      <c r="S47" s="13"/>
    </row>
    <row r="48" spans="1:19" s="47" customFormat="1" x14ac:dyDescent="0.4">
      <c r="A48" s="13"/>
      <c r="B48" s="32"/>
      <c r="C48" s="33"/>
      <c r="D48" s="33"/>
      <c r="E48" s="33"/>
      <c r="F48" s="33"/>
      <c r="G48" s="33"/>
      <c r="H48" s="33"/>
      <c r="I48" s="33"/>
      <c r="J48" s="33"/>
      <c r="K48" s="33"/>
      <c r="L48" s="33"/>
      <c r="M48" s="33"/>
      <c r="N48" s="33"/>
      <c r="O48" s="33"/>
      <c r="Q48" s="13"/>
      <c r="R48" s="13"/>
      <c r="S48" s="13"/>
    </row>
    <row r="49" spans="1:19" s="47" customFormat="1" x14ac:dyDescent="0.4">
      <c r="A49" s="13"/>
      <c r="B49" s="32"/>
      <c r="C49" s="33"/>
      <c r="D49" s="33"/>
      <c r="E49" s="33"/>
      <c r="F49" s="33"/>
      <c r="G49" s="33"/>
      <c r="H49" s="33"/>
      <c r="I49" s="33"/>
      <c r="J49" s="33"/>
      <c r="K49" s="33"/>
      <c r="L49" s="33"/>
      <c r="M49" s="33"/>
      <c r="N49" s="33"/>
      <c r="O49" s="33"/>
      <c r="Q49" s="13"/>
      <c r="R49" s="13"/>
      <c r="S49" s="13"/>
    </row>
    <row r="50" spans="1:19" s="47" customFormat="1" x14ac:dyDescent="0.4">
      <c r="A50" s="13"/>
      <c r="B50" s="32"/>
      <c r="C50" s="33"/>
      <c r="D50" s="33"/>
      <c r="E50" s="33"/>
      <c r="F50" s="33"/>
      <c r="G50" s="33"/>
      <c r="H50" s="33"/>
      <c r="I50" s="33"/>
      <c r="J50" s="33"/>
      <c r="K50" s="33"/>
      <c r="L50" s="33"/>
      <c r="M50" s="33"/>
      <c r="N50" s="33"/>
      <c r="O50" s="33"/>
      <c r="Q50" s="13"/>
      <c r="R50" s="13"/>
      <c r="S50" s="13"/>
    </row>
    <row r="51" spans="1:19" s="47" customFormat="1" x14ac:dyDescent="0.4">
      <c r="A51" s="13"/>
      <c r="B51" s="32"/>
      <c r="C51" s="33"/>
      <c r="D51" s="33"/>
      <c r="E51" s="33"/>
      <c r="F51" s="33"/>
      <c r="G51" s="33"/>
      <c r="H51" s="33"/>
      <c r="I51" s="33"/>
      <c r="J51" s="33"/>
      <c r="K51" s="33"/>
      <c r="L51" s="33"/>
      <c r="M51" s="33"/>
      <c r="N51" s="33"/>
      <c r="O51" s="33"/>
      <c r="Q51" s="13"/>
      <c r="R51" s="13"/>
      <c r="S51" s="13"/>
    </row>
    <row r="52" spans="1:19" s="47" customFormat="1" x14ac:dyDescent="0.4">
      <c r="A52" s="13"/>
      <c r="B52" s="32"/>
      <c r="C52" s="33"/>
      <c r="D52" s="33"/>
      <c r="E52" s="33"/>
      <c r="F52" s="33"/>
      <c r="G52" s="33"/>
      <c r="H52" s="33"/>
      <c r="I52" s="33"/>
      <c r="J52" s="33"/>
      <c r="K52" s="33"/>
      <c r="L52" s="33"/>
      <c r="M52" s="33"/>
      <c r="N52" s="33"/>
      <c r="O52" s="33"/>
      <c r="Q52" s="13"/>
      <c r="R52" s="13"/>
      <c r="S52" s="13"/>
    </row>
    <row r="53" spans="1:19" s="47" customFormat="1" x14ac:dyDescent="0.4">
      <c r="A53" s="13"/>
      <c r="B53" s="32"/>
      <c r="C53" s="33"/>
      <c r="D53" s="33"/>
      <c r="E53" s="33"/>
      <c r="F53" s="33"/>
      <c r="G53" s="33"/>
      <c r="H53" s="33"/>
      <c r="I53" s="33"/>
      <c r="J53" s="33"/>
      <c r="K53" s="33"/>
      <c r="L53" s="33"/>
      <c r="M53" s="33"/>
      <c r="N53" s="33"/>
      <c r="O53" s="33"/>
      <c r="Q53" s="13"/>
      <c r="R53" s="13"/>
      <c r="S53" s="13"/>
    </row>
    <row r="54" spans="1:19" s="47" customFormat="1" x14ac:dyDescent="0.4">
      <c r="A54" s="13"/>
      <c r="B54" s="32"/>
      <c r="C54" s="33"/>
      <c r="D54" s="33"/>
      <c r="E54" s="33"/>
      <c r="F54" s="33"/>
      <c r="G54" s="33"/>
      <c r="H54" s="33"/>
      <c r="I54" s="33"/>
      <c r="J54" s="33"/>
      <c r="K54" s="33"/>
      <c r="L54" s="33"/>
      <c r="M54" s="33"/>
      <c r="N54" s="33"/>
      <c r="O54" s="33"/>
      <c r="Q54" s="13"/>
      <c r="R54" s="13"/>
      <c r="S54" s="13"/>
    </row>
    <row r="55" spans="1:19" s="47" customFormat="1" x14ac:dyDescent="0.4">
      <c r="A55" s="13"/>
      <c r="B55" s="32"/>
      <c r="C55" s="33"/>
      <c r="D55" s="33"/>
      <c r="E55" s="33"/>
      <c r="F55" s="33"/>
      <c r="G55" s="33"/>
      <c r="H55" s="33"/>
      <c r="I55" s="33"/>
      <c r="J55" s="33"/>
      <c r="K55" s="33"/>
      <c r="L55" s="33"/>
      <c r="M55" s="33"/>
      <c r="N55" s="33"/>
      <c r="O55" s="33"/>
      <c r="Q55" s="13"/>
      <c r="R55" s="13"/>
      <c r="S55" s="13"/>
    </row>
    <row r="56" spans="1:19" s="47" customFormat="1" x14ac:dyDescent="0.4">
      <c r="A56" s="13"/>
      <c r="B56" s="32"/>
      <c r="C56" s="33"/>
      <c r="D56" s="33"/>
      <c r="E56" s="33"/>
      <c r="F56" s="33"/>
      <c r="G56" s="33"/>
      <c r="H56" s="33"/>
      <c r="I56" s="33"/>
      <c r="J56" s="33"/>
      <c r="K56" s="33"/>
      <c r="L56" s="33"/>
      <c r="M56" s="33"/>
      <c r="N56" s="33"/>
      <c r="O56" s="33"/>
      <c r="Q56" s="13"/>
      <c r="R56" s="13"/>
      <c r="S56" s="13"/>
    </row>
    <row r="57" spans="1:19" s="47" customFormat="1" x14ac:dyDescent="0.4">
      <c r="A57" s="13"/>
      <c r="B57" s="32"/>
      <c r="C57" s="33"/>
      <c r="D57" s="33"/>
      <c r="E57" s="33"/>
      <c r="F57" s="33"/>
      <c r="G57" s="33"/>
      <c r="H57" s="33"/>
      <c r="I57" s="33"/>
      <c r="J57" s="33"/>
      <c r="K57" s="33"/>
      <c r="L57" s="33"/>
      <c r="M57" s="33"/>
      <c r="N57" s="33"/>
      <c r="O57" s="33"/>
      <c r="Q57" s="13"/>
      <c r="R57" s="13"/>
      <c r="S57" s="13"/>
    </row>
    <row r="58" spans="1:19" s="47" customFormat="1" x14ac:dyDescent="0.4">
      <c r="A58" s="13"/>
      <c r="B58" s="32"/>
      <c r="C58" s="33"/>
      <c r="D58" s="33"/>
      <c r="E58" s="33"/>
      <c r="F58" s="33"/>
      <c r="G58" s="33"/>
      <c r="H58" s="33"/>
      <c r="I58" s="33"/>
      <c r="J58" s="33"/>
      <c r="K58" s="33"/>
      <c r="L58" s="33"/>
      <c r="M58" s="33"/>
      <c r="N58" s="33"/>
      <c r="O58" s="33"/>
      <c r="Q58" s="13"/>
      <c r="R58" s="13"/>
      <c r="S58" s="13"/>
    </row>
    <row r="59" spans="1:19" s="47" customFormat="1" x14ac:dyDescent="0.4">
      <c r="A59" s="13"/>
      <c r="B59" s="32"/>
      <c r="C59" s="33"/>
      <c r="D59" s="33"/>
      <c r="E59" s="33"/>
      <c r="F59" s="33"/>
      <c r="G59" s="33"/>
      <c r="H59" s="33"/>
      <c r="I59" s="33"/>
      <c r="J59" s="33"/>
      <c r="K59" s="33"/>
      <c r="L59" s="33"/>
      <c r="M59" s="33"/>
      <c r="N59" s="33"/>
      <c r="O59" s="33"/>
      <c r="Q59" s="13"/>
      <c r="R59" s="13"/>
      <c r="S59" s="13"/>
    </row>
    <row r="60" spans="1:19" s="47" customFormat="1" x14ac:dyDescent="0.4">
      <c r="A60" s="13"/>
      <c r="B60" s="32"/>
      <c r="C60" s="33"/>
      <c r="D60" s="33"/>
      <c r="E60" s="33"/>
      <c r="F60" s="33"/>
      <c r="G60" s="33"/>
      <c r="H60" s="33"/>
      <c r="I60" s="33"/>
      <c r="J60" s="33"/>
      <c r="K60" s="33"/>
      <c r="L60" s="33"/>
      <c r="M60" s="33"/>
      <c r="N60" s="33"/>
      <c r="O60" s="33"/>
      <c r="Q60" s="13"/>
      <c r="R60" s="13"/>
      <c r="S60" s="13"/>
    </row>
    <row r="61" spans="1:19" s="47" customFormat="1" x14ac:dyDescent="0.4">
      <c r="A61" s="13"/>
      <c r="B61" s="32"/>
      <c r="C61" s="33"/>
      <c r="D61" s="33"/>
      <c r="E61" s="33"/>
      <c r="F61" s="33"/>
      <c r="G61" s="33"/>
      <c r="H61" s="33"/>
      <c r="I61" s="33"/>
      <c r="J61" s="33"/>
      <c r="K61" s="33"/>
      <c r="L61" s="33"/>
      <c r="M61" s="33"/>
      <c r="N61" s="33"/>
      <c r="O61" s="33"/>
      <c r="Q61" s="13"/>
      <c r="R61" s="13"/>
      <c r="S61" s="13"/>
    </row>
    <row r="62" spans="1:19" s="47" customFormat="1" x14ac:dyDescent="0.4">
      <c r="A62" s="13"/>
      <c r="B62" s="32"/>
      <c r="C62" s="33"/>
      <c r="D62" s="33"/>
      <c r="E62" s="33"/>
      <c r="F62" s="33"/>
      <c r="G62" s="33"/>
      <c r="H62" s="33"/>
      <c r="I62" s="33"/>
      <c r="J62" s="33"/>
      <c r="K62" s="33"/>
      <c r="L62" s="33"/>
      <c r="M62" s="33"/>
      <c r="N62" s="33"/>
      <c r="O62" s="33"/>
      <c r="Q62" s="13"/>
      <c r="R62" s="13"/>
      <c r="S62" s="13"/>
    </row>
    <row r="63" spans="1:19" s="47" customFormat="1" x14ac:dyDescent="0.4">
      <c r="A63" s="13"/>
      <c r="B63" s="32"/>
      <c r="C63" s="33"/>
      <c r="D63" s="33"/>
      <c r="E63" s="33"/>
      <c r="F63" s="33"/>
      <c r="G63" s="33"/>
      <c r="H63" s="33"/>
      <c r="I63" s="33"/>
      <c r="J63" s="33"/>
      <c r="K63" s="33"/>
      <c r="L63" s="33"/>
      <c r="M63" s="33"/>
      <c r="N63" s="33"/>
      <c r="O63" s="33"/>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row r="97" spans="1:19" s="47" customFormat="1" x14ac:dyDescent="0.4">
      <c r="A97" s="13"/>
      <c r="B97" s="32"/>
      <c r="C97" s="33"/>
      <c r="D97" s="33"/>
      <c r="E97" s="33"/>
      <c r="F97" s="33"/>
      <c r="G97" s="33"/>
      <c r="H97" s="33"/>
      <c r="I97" s="33"/>
      <c r="J97" s="33"/>
      <c r="K97" s="33"/>
      <c r="L97" s="33"/>
      <c r="M97" s="33"/>
      <c r="N97" s="33"/>
      <c r="O97" s="33"/>
      <c r="Q97" s="13"/>
      <c r="R97" s="13"/>
      <c r="S97" s="13"/>
    </row>
    <row r="98" spans="1:19" s="47" customFormat="1" x14ac:dyDescent="0.4">
      <c r="A98" s="13"/>
      <c r="B98" s="32"/>
      <c r="C98" s="33"/>
      <c r="D98" s="33"/>
      <c r="E98" s="33"/>
      <c r="F98" s="33"/>
      <c r="G98" s="33"/>
      <c r="H98" s="33"/>
      <c r="I98" s="33"/>
      <c r="J98" s="33"/>
      <c r="K98" s="33"/>
      <c r="L98" s="33"/>
      <c r="M98" s="33"/>
      <c r="N98" s="33"/>
      <c r="O98" s="33"/>
      <c r="Q98" s="13"/>
      <c r="R98" s="13"/>
      <c r="S98" s="13"/>
    </row>
    <row r="99" spans="1:19" s="47" customFormat="1" x14ac:dyDescent="0.4">
      <c r="A99" s="13"/>
      <c r="B99" s="32"/>
      <c r="C99" s="33"/>
      <c r="D99" s="33"/>
      <c r="E99" s="33"/>
      <c r="F99" s="33"/>
      <c r="G99" s="33"/>
      <c r="H99" s="33"/>
      <c r="I99" s="33"/>
      <c r="J99" s="33"/>
      <c r="K99" s="33"/>
      <c r="L99" s="33"/>
      <c r="M99" s="33"/>
      <c r="N99" s="33"/>
      <c r="O99" s="33"/>
      <c r="Q99" s="13"/>
      <c r="R99" s="13"/>
      <c r="S99" s="13"/>
    </row>
    <row r="100" spans="1:19" s="47" customFormat="1" x14ac:dyDescent="0.4">
      <c r="A100" s="13"/>
      <c r="B100" s="32"/>
      <c r="C100" s="33"/>
      <c r="D100" s="33"/>
      <c r="E100" s="33"/>
      <c r="F100" s="33"/>
      <c r="G100" s="33"/>
      <c r="H100" s="33"/>
      <c r="I100" s="33"/>
      <c r="J100" s="33"/>
      <c r="K100" s="33"/>
      <c r="L100" s="33"/>
      <c r="M100" s="33"/>
      <c r="N100" s="33"/>
      <c r="O100" s="33"/>
      <c r="Q100" s="13"/>
      <c r="R100" s="13"/>
      <c r="S100" s="13"/>
    </row>
    <row r="101" spans="1:19" s="47" customFormat="1" x14ac:dyDescent="0.4">
      <c r="A101" s="13"/>
      <c r="B101" s="32"/>
      <c r="C101" s="33"/>
      <c r="D101" s="33"/>
      <c r="E101" s="33"/>
      <c r="F101" s="33"/>
      <c r="G101" s="33"/>
      <c r="H101" s="33"/>
      <c r="I101" s="33"/>
      <c r="J101" s="33"/>
      <c r="K101" s="33"/>
      <c r="L101" s="33"/>
      <c r="M101" s="33"/>
      <c r="N101" s="33"/>
      <c r="O101" s="33"/>
      <c r="Q101" s="13"/>
      <c r="R101" s="13"/>
      <c r="S101" s="13"/>
    </row>
    <row r="102" spans="1:19" s="47" customFormat="1" x14ac:dyDescent="0.4">
      <c r="A102" s="13"/>
      <c r="B102" s="32"/>
      <c r="C102" s="33"/>
      <c r="D102" s="33"/>
      <c r="E102" s="33"/>
      <c r="F102" s="33"/>
      <c r="G102" s="33"/>
      <c r="H102" s="33"/>
      <c r="I102" s="33"/>
      <c r="J102" s="33"/>
      <c r="K102" s="33"/>
      <c r="L102" s="33"/>
      <c r="M102" s="33"/>
      <c r="N102" s="33"/>
      <c r="O102" s="33"/>
      <c r="Q102" s="13"/>
      <c r="R102" s="13"/>
      <c r="S102" s="13"/>
    </row>
    <row r="103" spans="1:19" s="47" customFormat="1" x14ac:dyDescent="0.4">
      <c r="A103" s="13"/>
      <c r="B103" s="32"/>
      <c r="C103" s="33"/>
      <c r="D103" s="33"/>
      <c r="E103" s="33"/>
      <c r="F103" s="33"/>
      <c r="G103" s="33"/>
      <c r="H103" s="33"/>
      <c r="I103" s="33"/>
      <c r="J103" s="33"/>
      <c r="K103" s="33"/>
      <c r="L103" s="33"/>
      <c r="M103" s="33"/>
      <c r="N103" s="33"/>
      <c r="O103" s="33"/>
      <c r="Q103" s="13"/>
      <c r="R103" s="13"/>
      <c r="S103" s="13"/>
    </row>
    <row r="104" spans="1:19" s="47" customFormat="1" x14ac:dyDescent="0.4">
      <c r="A104" s="13"/>
      <c r="B104" s="32"/>
      <c r="C104" s="33"/>
      <c r="D104" s="33"/>
      <c r="E104" s="33"/>
      <c r="F104" s="33"/>
      <c r="G104" s="33"/>
      <c r="H104" s="33"/>
      <c r="I104" s="33"/>
      <c r="J104" s="33"/>
      <c r="K104" s="33"/>
      <c r="L104" s="33"/>
      <c r="M104" s="33"/>
      <c r="N104" s="33"/>
      <c r="O104" s="33"/>
      <c r="Q104" s="13"/>
      <c r="R104" s="13"/>
      <c r="S104" s="13"/>
    </row>
    <row r="105" spans="1:19" s="47" customFormat="1" x14ac:dyDescent="0.4">
      <c r="A105" s="13"/>
      <c r="B105" s="32"/>
      <c r="C105" s="33"/>
      <c r="D105" s="33"/>
      <c r="E105" s="33"/>
      <c r="F105" s="33"/>
      <c r="G105" s="33"/>
      <c r="H105" s="33"/>
      <c r="I105" s="33"/>
      <c r="J105" s="33"/>
      <c r="K105" s="33"/>
      <c r="L105" s="33"/>
      <c r="M105" s="33"/>
      <c r="N105" s="33"/>
      <c r="O105" s="33"/>
      <c r="Q105" s="13"/>
      <c r="R105" s="13"/>
      <c r="S105" s="13"/>
    </row>
    <row r="106" spans="1:19" s="47" customFormat="1" x14ac:dyDescent="0.4">
      <c r="A106" s="13"/>
      <c r="B106" s="32"/>
      <c r="C106" s="33"/>
      <c r="D106" s="33"/>
      <c r="E106" s="33"/>
      <c r="F106" s="33"/>
      <c r="G106" s="33"/>
      <c r="H106" s="33"/>
      <c r="I106" s="33"/>
      <c r="J106" s="33"/>
      <c r="K106" s="33"/>
      <c r="L106" s="33"/>
      <c r="M106" s="33"/>
      <c r="N106" s="33"/>
      <c r="O106" s="33"/>
      <c r="Q106" s="13"/>
      <c r="R106" s="13"/>
      <c r="S106" s="13"/>
    </row>
    <row r="107" spans="1:19" s="47" customFormat="1" x14ac:dyDescent="0.4">
      <c r="A107" s="13"/>
      <c r="B107" s="32"/>
      <c r="C107" s="33"/>
      <c r="D107" s="33"/>
      <c r="E107" s="33"/>
      <c r="F107" s="33"/>
      <c r="G107" s="33"/>
      <c r="H107" s="33"/>
      <c r="I107" s="33"/>
      <c r="J107" s="33"/>
      <c r="K107" s="33"/>
      <c r="L107" s="33"/>
      <c r="M107" s="33"/>
      <c r="N107" s="33"/>
      <c r="O107" s="33"/>
      <c r="Q107" s="13"/>
      <c r="R107" s="13"/>
      <c r="S107" s="13"/>
    </row>
    <row r="108" spans="1:19" s="47" customFormat="1" x14ac:dyDescent="0.4">
      <c r="A108" s="13"/>
      <c r="B108" s="32"/>
      <c r="C108" s="33"/>
      <c r="D108" s="33"/>
      <c r="E108" s="33"/>
      <c r="F108" s="33"/>
      <c r="G108" s="33"/>
      <c r="H108" s="33"/>
      <c r="I108" s="33"/>
      <c r="J108" s="33"/>
      <c r="K108" s="33"/>
      <c r="L108" s="33"/>
      <c r="M108" s="33"/>
      <c r="N108" s="33"/>
      <c r="O108" s="33"/>
      <c r="Q108" s="13"/>
      <c r="R108" s="13"/>
      <c r="S108" s="13"/>
    </row>
    <row r="109" spans="1:19" s="47" customFormat="1" x14ac:dyDescent="0.4">
      <c r="A109" s="13"/>
      <c r="B109" s="32"/>
      <c r="C109" s="33"/>
      <c r="D109" s="33"/>
      <c r="E109" s="33"/>
      <c r="F109" s="33"/>
      <c r="G109" s="33"/>
      <c r="H109" s="33"/>
      <c r="I109" s="33"/>
      <c r="J109" s="33"/>
      <c r="K109" s="33"/>
      <c r="L109" s="33"/>
      <c r="M109" s="33"/>
      <c r="N109" s="33"/>
      <c r="O109" s="33"/>
      <c r="Q109" s="13"/>
      <c r="R109" s="13"/>
      <c r="S109" s="13"/>
    </row>
    <row r="110" spans="1:19" s="47" customFormat="1" x14ac:dyDescent="0.4">
      <c r="A110" s="13"/>
      <c r="B110" s="32"/>
      <c r="C110" s="33"/>
      <c r="D110" s="33"/>
      <c r="E110" s="33"/>
      <c r="F110" s="33"/>
      <c r="G110" s="33"/>
      <c r="H110" s="33"/>
      <c r="I110" s="33"/>
      <c r="J110" s="33"/>
      <c r="K110" s="33"/>
      <c r="L110" s="33"/>
      <c r="M110" s="33"/>
      <c r="N110" s="33"/>
      <c r="O110" s="33"/>
      <c r="Q110" s="13"/>
      <c r="R110" s="13"/>
      <c r="S110" s="13"/>
    </row>
    <row r="111" spans="1:19" s="47" customFormat="1" x14ac:dyDescent="0.4">
      <c r="A111" s="13"/>
      <c r="B111" s="32"/>
      <c r="C111" s="33"/>
      <c r="D111" s="33"/>
      <c r="E111" s="33"/>
      <c r="F111" s="33"/>
      <c r="G111" s="33"/>
      <c r="H111" s="33"/>
      <c r="I111" s="33"/>
      <c r="J111" s="33"/>
      <c r="K111" s="33"/>
      <c r="L111" s="33"/>
      <c r="M111" s="33"/>
      <c r="N111" s="33"/>
      <c r="O111" s="33"/>
      <c r="Q111" s="13"/>
      <c r="R111" s="13"/>
      <c r="S111" s="13"/>
    </row>
    <row r="112" spans="1:19" s="47" customFormat="1" x14ac:dyDescent="0.4">
      <c r="A112" s="13"/>
      <c r="B112" s="32"/>
      <c r="C112" s="33"/>
      <c r="D112" s="33"/>
      <c r="E112" s="33"/>
      <c r="F112" s="33"/>
      <c r="G112" s="33"/>
      <c r="H112" s="33"/>
      <c r="I112" s="33"/>
      <c r="J112" s="33"/>
      <c r="K112" s="33"/>
      <c r="L112" s="33"/>
      <c r="M112" s="33"/>
      <c r="N112" s="33"/>
      <c r="O112" s="33"/>
      <c r="Q112" s="13"/>
      <c r="R112" s="13"/>
      <c r="S112" s="13"/>
    </row>
    <row r="113" spans="1:19" s="47" customFormat="1" x14ac:dyDescent="0.4">
      <c r="A113" s="13"/>
      <c r="B113" s="32"/>
      <c r="C113" s="33"/>
      <c r="D113" s="33"/>
      <c r="E113" s="33"/>
      <c r="F113" s="33"/>
      <c r="G113" s="33"/>
      <c r="H113" s="33"/>
      <c r="I113" s="33"/>
      <c r="J113" s="33"/>
      <c r="K113" s="33"/>
      <c r="L113" s="33"/>
      <c r="M113" s="33"/>
      <c r="N113" s="33"/>
      <c r="O113" s="33"/>
      <c r="Q113" s="13"/>
      <c r="R113" s="13"/>
      <c r="S113" s="13"/>
    </row>
    <row r="114" spans="1:19" s="47" customFormat="1" x14ac:dyDescent="0.4">
      <c r="A114" s="13"/>
      <c r="B114" s="32"/>
      <c r="C114" s="33"/>
      <c r="D114" s="33"/>
      <c r="E114" s="33"/>
      <c r="F114" s="33"/>
      <c r="G114" s="33"/>
      <c r="H114" s="33"/>
      <c r="I114" s="33"/>
      <c r="J114" s="33"/>
      <c r="K114" s="33"/>
      <c r="L114" s="33"/>
      <c r="M114" s="33"/>
      <c r="N114" s="33"/>
      <c r="O114" s="33"/>
      <c r="Q114" s="13"/>
      <c r="R114" s="13"/>
      <c r="S114" s="13"/>
    </row>
    <row r="115" spans="1:19" s="47" customFormat="1" x14ac:dyDescent="0.4">
      <c r="A115" s="13"/>
      <c r="B115" s="32"/>
      <c r="C115" s="33"/>
      <c r="D115" s="33"/>
      <c r="E115" s="33"/>
      <c r="F115" s="33"/>
      <c r="G115" s="33"/>
      <c r="H115" s="33"/>
      <c r="I115" s="33"/>
      <c r="J115" s="33"/>
      <c r="K115" s="33"/>
      <c r="L115" s="33"/>
      <c r="M115" s="33"/>
      <c r="N115" s="33"/>
      <c r="O115" s="33"/>
      <c r="Q115" s="13"/>
      <c r="R115" s="13"/>
      <c r="S115" s="13"/>
    </row>
    <row r="116" spans="1:19" s="47" customFormat="1" x14ac:dyDescent="0.4">
      <c r="A116" s="13"/>
      <c r="B116" s="32"/>
      <c r="C116" s="33"/>
      <c r="D116" s="33"/>
      <c r="E116" s="33"/>
      <c r="F116" s="33"/>
      <c r="G116" s="33"/>
      <c r="H116" s="33"/>
      <c r="I116" s="33"/>
      <c r="J116" s="33"/>
      <c r="K116" s="33"/>
      <c r="L116" s="33"/>
      <c r="M116" s="33"/>
      <c r="N116" s="33"/>
      <c r="O116" s="33"/>
      <c r="Q116" s="13"/>
      <c r="R116" s="13"/>
      <c r="S116" s="13"/>
    </row>
    <row r="117" spans="1:19" s="47" customFormat="1" x14ac:dyDescent="0.4">
      <c r="A117" s="13"/>
      <c r="B117" s="32"/>
      <c r="C117" s="33"/>
      <c r="D117" s="33"/>
      <c r="E117" s="33"/>
      <c r="F117" s="33"/>
      <c r="G117" s="33"/>
      <c r="H117" s="33"/>
      <c r="I117" s="33"/>
      <c r="J117" s="33"/>
      <c r="K117" s="33"/>
      <c r="L117" s="33"/>
      <c r="M117" s="33"/>
      <c r="N117" s="33"/>
      <c r="O117" s="33"/>
      <c r="Q117" s="13"/>
      <c r="R117" s="13"/>
      <c r="S117" s="13"/>
    </row>
    <row r="118" spans="1:19" s="47" customFormat="1" x14ac:dyDescent="0.4">
      <c r="A118" s="13"/>
      <c r="B118" s="32"/>
      <c r="C118" s="33"/>
      <c r="D118" s="33"/>
      <c r="E118" s="33"/>
      <c r="F118" s="33"/>
      <c r="G118" s="33"/>
      <c r="H118" s="33"/>
      <c r="I118" s="33"/>
      <c r="J118" s="33"/>
      <c r="K118" s="33"/>
      <c r="L118" s="33"/>
      <c r="M118" s="33"/>
      <c r="N118" s="33"/>
      <c r="O118" s="33"/>
      <c r="Q118" s="13"/>
      <c r="R118" s="13"/>
      <c r="S118" s="13"/>
    </row>
    <row r="119" spans="1:19" s="47" customFormat="1" x14ac:dyDescent="0.4">
      <c r="A119" s="13"/>
      <c r="B119" s="32"/>
      <c r="C119" s="33"/>
      <c r="D119" s="33"/>
      <c r="E119" s="33"/>
      <c r="F119" s="33"/>
      <c r="G119" s="33"/>
      <c r="H119" s="33"/>
      <c r="I119" s="33"/>
      <c r="J119" s="33"/>
      <c r="K119" s="33"/>
      <c r="L119" s="33"/>
      <c r="M119" s="33"/>
      <c r="N119" s="33"/>
      <c r="O119" s="33"/>
      <c r="Q119" s="13"/>
      <c r="R119" s="13"/>
      <c r="S119" s="13"/>
    </row>
    <row r="120" spans="1:19" s="47" customFormat="1" x14ac:dyDescent="0.4">
      <c r="A120" s="13"/>
      <c r="B120" s="32"/>
      <c r="C120" s="33"/>
      <c r="D120" s="33"/>
      <c r="E120" s="33"/>
      <c r="F120" s="33"/>
      <c r="G120" s="33"/>
      <c r="H120" s="33"/>
      <c r="I120" s="33"/>
      <c r="J120" s="33"/>
      <c r="K120" s="33"/>
      <c r="L120" s="33"/>
      <c r="M120" s="33"/>
      <c r="N120" s="33"/>
      <c r="O120" s="33"/>
      <c r="Q120" s="13"/>
      <c r="R120" s="13"/>
      <c r="S120" s="13"/>
    </row>
    <row r="121" spans="1:19" s="47" customFormat="1" x14ac:dyDescent="0.4">
      <c r="A121" s="13"/>
      <c r="B121" s="32"/>
      <c r="C121" s="33"/>
      <c r="D121" s="33"/>
      <c r="E121" s="33"/>
      <c r="F121" s="33"/>
      <c r="G121" s="33"/>
      <c r="H121" s="33"/>
      <c r="I121" s="33"/>
      <c r="J121" s="33"/>
      <c r="K121" s="33"/>
      <c r="L121" s="33"/>
      <c r="M121" s="33"/>
      <c r="N121" s="33"/>
      <c r="O121" s="33"/>
      <c r="Q121" s="13"/>
      <c r="R121" s="13"/>
      <c r="S121" s="13"/>
    </row>
    <row r="122" spans="1:19" s="47" customFormat="1" x14ac:dyDescent="0.4">
      <c r="A122" s="13"/>
      <c r="B122" s="32"/>
      <c r="C122" s="33"/>
      <c r="D122" s="33"/>
      <c r="E122" s="33"/>
      <c r="F122" s="33"/>
      <c r="G122" s="33"/>
      <c r="H122" s="33"/>
      <c r="I122" s="33"/>
      <c r="J122" s="33"/>
      <c r="K122" s="33"/>
      <c r="L122" s="33"/>
      <c r="M122" s="33"/>
      <c r="N122" s="33"/>
      <c r="O122" s="33"/>
      <c r="Q122" s="13"/>
      <c r="R122" s="13"/>
      <c r="S122" s="13"/>
    </row>
    <row r="123" spans="1:19" s="47" customFormat="1" x14ac:dyDescent="0.4">
      <c r="A123" s="13"/>
      <c r="B123" s="32"/>
      <c r="C123" s="33"/>
      <c r="D123" s="33"/>
      <c r="E123" s="33"/>
      <c r="F123" s="33"/>
      <c r="G123" s="33"/>
      <c r="H123" s="33"/>
      <c r="I123" s="33"/>
      <c r="J123" s="33"/>
      <c r="K123" s="33"/>
      <c r="L123" s="33"/>
      <c r="M123" s="33"/>
      <c r="N123" s="33"/>
      <c r="O123" s="33"/>
      <c r="Q123" s="13"/>
      <c r="R123" s="13"/>
      <c r="S123" s="13"/>
    </row>
    <row r="124" spans="1:19" s="47" customFormat="1" x14ac:dyDescent="0.4">
      <c r="A124" s="13"/>
      <c r="B124" s="32"/>
      <c r="C124" s="33"/>
      <c r="D124" s="33"/>
      <c r="E124" s="33"/>
      <c r="F124" s="33"/>
      <c r="G124" s="33"/>
      <c r="H124" s="33"/>
      <c r="I124" s="33"/>
      <c r="J124" s="33"/>
      <c r="K124" s="33"/>
      <c r="L124" s="33"/>
      <c r="M124" s="33"/>
      <c r="N124" s="33"/>
      <c r="O124" s="33"/>
      <c r="Q124" s="13"/>
      <c r="R124" s="13"/>
      <c r="S124" s="13"/>
    </row>
    <row r="125" spans="1:19" s="47" customFormat="1" x14ac:dyDescent="0.4">
      <c r="A125" s="13"/>
      <c r="B125" s="32"/>
      <c r="C125" s="33"/>
      <c r="D125" s="33"/>
      <c r="E125" s="33"/>
      <c r="F125" s="33"/>
      <c r="G125" s="33"/>
      <c r="H125" s="33"/>
      <c r="I125" s="33"/>
      <c r="J125" s="33"/>
      <c r="K125" s="33"/>
      <c r="L125" s="33"/>
      <c r="M125" s="33"/>
      <c r="N125" s="33"/>
      <c r="O125" s="33"/>
      <c r="Q125" s="13"/>
      <c r="R125" s="13"/>
      <c r="S125" s="13"/>
    </row>
    <row r="126" spans="1:19" s="47" customFormat="1" x14ac:dyDescent="0.4">
      <c r="A126" s="13"/>
      <c r="B126" s="32"/>
      <c r="C126" s="33"/>
      <c r="D126" s="33"/>
      <c r="E126" s="33"/>
      <c r="F126" s="33"/>
      <c r="G126" s="33"/>
      <c r="H126" s="33"/>
      <c r="I126" s="33"/>
      <c r="J126" s="33"/>
      <c r="K126" s="33"/>
      <c r="L126" s="33"/>
      <c r="M126" s="33"/>
      <c r="N126" s="33"/>
      <c r="O126" s="33"/>
      <c r="Q126" s="13"/>
      <c r="R126" s="13"/>
      <c r="S126" s="13"/>
    </row>
    <row r="127" spans="1:19" s="47" customFormat="1" x14ac:dyDescent="0.4">
      <c r="A127" s="13"/>
      <c r="B127" s="32"/>
      <c r="C127" s="33"/>
      <c r="D127" s="33"/>
      <c r="E127" s="33"/>
      <c r="F127" s="33"/>
      <c r="G127" s="33"/>
      <c r="H127" s="33"/>
      <c r="I127" s="33"/>
      <c r="J127" s="33"/>
      <c r="K127" s="33"/>
      <c r="L127" s="33"/>
      <c r="M127" s="33"/>
      <c r="N127" s="33"/>
      <c r="O127" s="33"/>
      <c r="Q127" s="13"/>
      <c r="R127" s="13"/>
      <c r="S127" s="13"/>
    </row>
    <row r="128" spans="1:19" s="47" customFormat="1" x14ac:dyDescent="0.4">
      <c r="A128" s="13"/>
      <c r="B128" s="32"/>
      <c r="C128" s="33"/>
      <c r="D128" s="33"/>
      <c r="E128" s="33"/>
      <c r="F128" s="33"/>
      <c r="G128" s="33"/>
      <c r="H128" s="33"/>
      <c r="I128" s="33"/>
      <c r="J128" s="33"/>
      <c r="K128" s="33"/>
      <c r="L128" s="33"/>
      <c r="M128" s="33"/>
      <c r="N128" s="33"/>
      <c r="O128" s="33"/>
      <c r="Q128" s="13"/>
      <c r="R128" s="13"/>
      <c r="S128" s="13"/>
    </row>
    <row r="129" spans="1:19" s="47" customFormat="1" x14ac:dyDescent="0.4">
      <c r="A129" s="13"/>
      <c r="B129" s="32"/>
      <c r="C129" s="33"/>
      <c r="D129" s="33"/>
      <c r="E129" s="33"/>
      <c r="F129" s="33"/>
      <c r="G129" s="33"/>
      <c r="H129" s="33"/>
      <c r="I129" s="33"/>
      <c r="J129" s="33"/>
      <c r="K129" s="33"/>
      <c r="L129" s="33"/>
      <c r="M129" s="33"/>
      <c r="N129" s="33"/>
      <c r="O129" s="33"/>
      <c r="Q129" s="13"/>
      <c r="R129" s="13"/>
      <c r="S129" s="13"/>
    </row>
    <row r="130" spans="1:19" s="47" customFormat="1" x14ac:dyDescent="0.4">
      <c r="A130" s="13"/>
      <c r="B130" s="32"/>
      <c r="C130" s="33"/>
      <c r="D130" s="33"/>
      <c r="E130" s="33"/>
      <c r="F130" s="33"/>
      <c r="G130" s="33"/>
      <c r="H130" s="33"/>
      <c r="I130" s="33"/>
      <c r="J130" s="33"/>
      <c r="K130" s="33"/>
      <c r="L130" s="33"/>
      <c r="M130" s="33"/>
      <c r="N130" s="33"/>
      <c r="O130" s="33"/>
      <c r="Q130" s="13"/>
      <c r="R130" s="13"/>
      <c r="S130" s="13"/>
    </row>
    <row r="131" spans="1:19" s="47" customFormat="1" x14ac:dyDescent="0.4">
      <c r="A131" s="13"/>
      <c r="B131" s="32"/>
      <c r="C131" s="33"/>
      <c r="D131" s="33"/>
      <c r="E131" s="33"/>
      <c r="F131" s="33"/>
      <c r="G131" s="33"/>
      <c r="H131" s="33"/>
      <c r="I131" s="33"/>
      <c r="J131" s="33"/>
      <c r="K131" s="33"/>
      <c r="L131" s="33"/>
      <c r="M131" s="33"/>
      <c r="N131" s="33"/>
      <c r="O131" s="33"/>
      <c r="Q131" s="13"/>
      <c r="R131" s="13"/>
      <c r="S131" s="13"/>
    </row>
    <row r="132" spans="1:19" s="47" customFormat="1" x14ac:dyDescent="0.4">
      <c r="A132" s="13"/>
      <c r="B132" s="32"/>
      <c r="C132" s="33"/>
      <c r="D132" s="33"/>
      <c r="E132" s="33"/>
      <c r="F132" s="33"/>
      <c r="G132" s="33"/>
      <c r="H132" s="33"/>
      <c r="I132" s="33"/>
      <c r="J132" s="33"/>
      <c r="K132" s="33"/>
      <c r="L132" s="33"/>
      <c r="M132" s="33"/>
      <c r="N132" s="33"/>
      <c r="O132" s="33"/>
      <c r="Q132" s="13"/>
      <c r="R132" s="13"/>
      <c r="S132" s="13"/>
    </row>
    <row r="133" spans="1:19" s="47" customFormat="1" x14ac:dyDescent="0.4">
      <c r="A133" s="13"/>
      <c r="B133" s="32"/>
      <c r="C133" s="33"/>
      <c r="D133" s="33"/>
      <c r="E133" s="33"/>
      <c r="F133" s="33"/>
      <c r="G133" s="33"/>
      <c r="H133" s="33"/>
      <c r="I133" s="33"/>
      <c r="J133" s="33"/>
      <c r="K133" s="33"/>
      <c r="L133" s="33"/>
      <c r="M133" s="33"/>
      <c r="N133" s="33"/>
      <c r="O133" s="33"/>
      <c r="Q133" s="13"/>
      <c r="R133" s="13"/>
      <c r="S133" s="13"/>
    </row>
    <row r="134" spans="1:19" s="47" customFormat="1" x14ac:dyDescent="0.4">
      <c r="A134" s="13"/>
      <c r="B134" s="32"/>
      <c r="C134" s="33"/>
      <c r="D134" s="33"/>
      <c r="E134" s="33"/>
      <c r="F134" s="33"/>
      <c r="G134" s="33"/>
      <c r="H134" s="33"/>
      <c r="I134" s="33"/>
      <c r="J134" s="33"/>
      <c r="K134" s="33"/>
      <c r="L134" s="33"/>
      <c r="M134" s="33"/>
      <c r="N134" s="33"/>
      <c r="O134" s="33"/>
      <c r="Q134" s="13"/>
      <c r="R134" s="13"/>
      <c r="S134" s="13"/>
    </row>
    <row r="135" spans="1:19" s="47" customFormat="1" x14ac:dyDescent="0.4">
      <c r="A135" s="13"/>
      <c r="B135" s="32"/>
      <c r="C135" s="33"/>
      <c r="D135" s="33"/>
      <c r="E135" s="33"/>
      <c r="F135" s="33"/>
      <c r="G135" s="33"/>
      <c r="H135" s="33"/>
      <c r="I135" s="33"/>
      <c r="J135" s="33"/>
      <c r="K135" s="33"/>
      <c r="L135" s="33"/>
      <c r="M135" s="33"/>
      <c r="N135" s="33"/>
      <c r="O135" s="33"/>
      <c r="Q135" s="13"/>
      <c r="R135" s="13"/>
      <c r="S135" s="13"/>
    </row>
    <row r="136" spans="1:19" s="47" customFormat="1" x14ac:dyDescent="0.4">
      <c r="A136" s="13"/>
      <c r="B136" s="32"/>
      <c r="C136" s="33"/>
      <c r="D136" s="33"/>
      <c r="E136" s="33"/>
      <c r="F136" s="33"/>
      <c r="G136" s="33"/>
      <c r="H136" s="33"/>
      <c r="I136" s="33"/>
      <c r="J136" s="33"/>
      <c r="K136" s="33"/>
      <c r="L136" s="33"/>
      <c r="M136" s="33"/>
      <c r="N136" s="33"/>
      <c r="O136" s="33"/>
      <c r="Q136" s="13"/>
      <c r="R136" s="13"/>
      <c r="S136" s="13"/>
    </row>
    <row r="137" spans="1:19" s="47" customFormat="1" x14ac:dyDescent="0.4">
      <c r="A137" s="13"/>
      <c r="B137" s="32"/>
      <c r="C137" s="33"/>
      <c r="D137" s="33"/>
      <c r="E137" s="33"/>
      <c r="F137" s="33"/>
      <c r="G137" s="33"/>
      <c r="H137" s="33"/>
      <c r="I137" s="33"/>
      <c r="J137" s="33"/>
      <c r="K137" s="33"/>
      <c r="L137" s="33"/>
      <c r="M137" s="33"/>
      <c r="N137" s="33"/>
      <c r="O137" s="33"/>
      <c r="Q137" s="13"/>
      <c r="R137" s="13"/>
      <c r="S137" s="13"/>
    </row>
    <row r="138" spans="1:19" s="47" customFormat="1" x14ac:dyDescent="0.4">
      <c r="A138" s="13"/>
      <c r="B138" s="32"/>
      <c r="C138" s="33"/>
      <c r="D138" s="33"/>
      <c r="E138" s="33"/>
      <c r="F138" s="33"/>
      <c r="G138" s="33"/>
      <c r="H138" s="33"/>
      <c r="I138" s="33"/>
      <c r="J138" s="33"/>
      <c r="K138" s="33"/>
      <c r="L138" s="33"/>
      <c r="M138" s="33"/>
      <c r="N138" s="33"/>
      <c r="O138" s="33"/>
      <c r="Q138" s="13"/>
      <c r="R138" s="13"/>
      <c r="S138" s="13"/>
    </row>
    <row r="139" spans="1:19" s="47" customFormat="1" x14ac:dyDescent="0.4">
      <c r="A139" s="13"/>
      <c r="B139" s="32"/>
      <c r="C139" s="33"/>
      <c r="D139" s="33"/>
      <c r="E139" s="33"/>
      <c r="F139" s="33"/>
      <c r="G139" s="33"/>
      <c r="H139" s="33"/>
      <c r="I139" s="33"/>
      <c r="J139" s="33"/>
      <c r="K139" s="33"/>
      <c r="L139" s="33"/>
      <c r="M139" s="33"/>
      <c r="N139" s="33"/>
      <c r="O139" s="33"/>
      <c r="Q139" s="13"/>
      <c r="R139" s="13"/>
      <c r="S139" s="13"/>
    </row>
    <row r="140" spans="1:19" s="47" customFormat="1" x14ac:dyDescent="0.4">
      <c r="A140" s="13"/>
      <c r="B140" s="32"/>
      <c r="C140" s="33"/>
      <c r="D140" s="33"/>
      <c r="E140" s="33"/>
      <c r="F140" s="33"/>
      <c r="G140" s="33"/>
      <c r="H140" s="33"/>
      <c r="I140" s="33"/>
      <c r="J140" s="33"/>
      <c r="K140" s="33"/>
      <c r="L140" s="33"/>
      <c r="M140" s="33"/>
      <c r="N140" s="33"/>
      <c r="O140" s="33"/>
      <c r="Q140" s="13"/>
      <c r="R140" s="13"/>
      <c r="S140" s="13"/>
    </row>
    <row r="141" spans="1:19" s="47" customFormat="1" x14ac:dyDescent="0.4">
      <c r="A141" s="13"/>
      <c r="B141" s="32"/>
      <c r="C141" s="33"/>
      <c r="D141" s="33"/>
      <c r="E141" s="33"/>
      <c r="F141" s="33"/>
      <c r="G141" s="33"/>
      <c r="H141" s="33"/>
      <c r="I141" s="33"/>
      <c r="J141" s="33"/>
      <c r="K141" s="33"/>
      <c r="L141" s="33"/>
      <c r="M141" s="33"/>
      <c r="N141" s="33"/>
      <c r="O141" s="33"/>
      <c r="Q141" s="13"/>
      <c r="R141" s="13"/>
      <c r="S141" s="13"/>
    </row>
  </sheetData>
  <pageMargins left="0.7" right="0.7" top="0.75" bottom="0.75" header="0.3" footer="0.3"/>
  <pageSetup scale="93" fitToHeight="0" orientation="landscape" r:id="rId1"/>
  <headerFooter>
    <oddFooter>&amp;L&amp;G&amp;R&amp;P</oddFoot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tint="0.79998168889431442"/>
    <pageSetUpPr fitToPage="1"/>
  </sheetPr>
  <dimension ref="A1:S142"/>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140625" defaultRowHeight="18" outlineLevelCol="1" x14ac:dyDescent="0.4"/>
  <cols>
    <col min="1" max="1" width="58.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6" style="47"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7</v>
      </c>
      <c r="B2" s="28"/>
      <c r="C2" s="29"/>
      <c r="D2" s="29"/>
      <c r="E2" s="29"/>
      <c r="F2" s="29"/>
      <c r="G2" s="29"/>
      <c r="H2" s="29"/>
      <c r="I2" s="29"/>
      <c r="J2" s="29"/>
      <c r="K2" s="29"/>
      <c r="L2" s="29"/>
      <c r="M2" s="29"/>
      <c r="N2" s="29"/>
      <c r="O2" s="29"/>
      <c r="P2" s="48"/>
      <c r="R2" s="6" t="s">
        <v>430</v>
      </c>
      <c r="S2" s="6" t="s">
        <v>558</v>
      </c>
    </row>
    <row r="3" spans="1:19" x14ac:dyDescent="0.55000000000000004">
      <c r="A3" s="19" t="s">
        <v>24</v>
      </c>
      <c r="B3" s="28"/>
      <c r="C3" s="52">
        <f t="shared" ref="C3" si="0">D3+1</f>
        <v>12</v>
      </c>
      <c r="D3" s="52">
        <f t="shared" ref="D3:E3" si="1">E3+1</f>
        <v>11</v>
      </c>
      <c r="E3" s="52">
        <f t="shared" si="1"/>
        <v>10</v>
      </c>
      <c r="F3" s="52">
        <f t="shared" ref="F3:G3" si="2">G3+1</f>
        <v>9</v>
      </c>
      <c r="G3" s="52">
        <f t="shared" si="2"/>
        <v>8</v>
      </c>
      <c r="H3" s="52">
        <f t="shared" ref="H3:I3" si="3">I3+1</f>
        <v>7</v>
      </c>
      <c r="I3" s="52">
        <f t="shared" si="3"/>
        <v>6</v>
      </c>
      <c r="J3" s="52">
        <f t="shared" ref="J3:M3" si="4">K3+1</f>
        <v>5</v>
      </c>
      <c r="K3" s="52">
        <f t="shared" si="4"/>
        <v>4</v>
      </c>
      <c r="L3" s="52">
        <f t="shared" si="4"/>
        <v>3</v>
      </c>
      <c r="M3" s="52">
        <f t="shared" si="4"/>
        <v>2</v>
      </c>
      <c r="N3" s="52">
        <f>O3+1</f>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42.75" x14ac:dyDescent="0.4">
      <c r="A6" s="39" t="s">
        <v>541</v>
      </c>
      <c r="B6" s="35"/>
      <c r="C6" s="35"/>
      <c r="D6" s="35"/>
      <c r="E6" s="35"/>
      <c r="F6" s="35"/>
      <c r="G6" s="35"/>
      <c r="H6" s="35"/>
      <c r="I6" s="35"/>
      <c r="J6" s="35"/>
      <c r="K6" s="35"/>
      <c r="L6" s="35"/>
      <c r="M6" s="35"/>
      <c r="N6" s="35"/>
      <c r="O6" s="35"/>
      <c r="P6" s="49">
        <v>1</v>
      </c>
    </row>
    <row r="7" spans="1:19" s="40" customFormat="1" ht="14.25" x14ac:dyDescent="0.4">
      <c r="A7" s="41" t="s">
        <v>542</v>
      </c>
      <c r="B7" s="37" t="s">
        <v>550</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27</v>
      </c>
    </row>
    <row r="8" spans="1:19" s="40" customFormat="1" ht="28.5" x14ac:dyDescent="0.4">
      <c r="A8" s="41" t="s">
        <v>543</v>
      </c>
      <c r="B8" s="37" t="s">
        <v>551</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57</v>
      </c>
    </row>
    <row r="9" spans="1:19" s="40" customFormat="1" ht="14.25" x14ac:dyDescent="0.4">
      <c r="A9" s="41" t="s">
        <v>544</v>
      </c>
      <c r="B9" s="37" t="s">
        <v>552</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60</v>
      </c>
    </row>
    <row r="10" spans="1:19" s="40" customFormat="1" ht="14.25" x14ac:dyDescent="0.4">
      <c r="A10" s="41" t="s">
        <v>545</v>
      </c>
      <c r="B10" s="37" t="s">
        <v>553</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62</v>
      </c>
    </row>
    <row r="11" spans="1:19" s="40" customFormat="1" ht="14.25" x14ac:dyDescent="0.4">
      <c r="A11" s="41" t="s">
        <v>546</v>
      </c>
      <c r="B11" s="37" t="s">
        <v>554</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74</v>
      </c>
    </row>
    <row r="12" spans="1:19" s="40" customFormat="1" ht="28.5" x14ac:dyDescent="0.4">
      <c r="A12" s="41" t="s">
        <v>547</v>
      </c>
      <c r="B12" s="37" t="s">
        <v>555</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77</v>
      </c>
    </row>
    <row r="13" spans="1:19" s="40" customFormat="1" ht="14.25" x14ac:dyDescent="0.4">
      <c r="A13" s="41" t="s">
        <v>548</v>
      </c>
      <c r="B13" s="37" t="s">
        <v>556</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80</v>
      </c>
    </row>
    <row r="14" spans="1:19" s="40" customFormat="1" ht="14.25" x14ac:dyDescent="0.4">
      <c r="A14" s="41" t="s">
        <v>549</v>
      </c>
      <c r="B14" s="37" t="s">
        <v>557</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83</v>
      </c>
    </row>
    <row r="15" spans="1:19" x14ac:dyDescent="0.4">
      <c r="B15" s="32"/>
      <c r="C15" s="33"/>
      <c r="D15" s="33"/>
      <c r="E15" s="33"/>
      <c r="F15" s="33"/>
      <c r="G15" s="33"/>
      <c r="H15" s="33"/>
      <c r="I15" s="33"/>
      <c r="J15" s="33"/>
      <c r="K15" s="33"/>
      <c r="L15" s="33"/>
      <c r="M15" s="33"/>
      <c r="N15" s="33"/>
      <c r="O15" s="33"/>
    </row>
    <row r="16" spans="1:19" x14ac:dyDescent="0.4">
      <c r="B16" s="32"/>
      <c r="C16" s="33"/>
      <c r="D16" s="33"/>
      <c r="E16" s="33"/>
      <c r="F16" s="33"/>
      <c r="G16" s="33"/>
      <c r="H16" s="33"/>
      <c r="I16" s="33"/>
      <c r="J16" s="33"/>
      <c r="K16" s="33"/>
      <c r="L16" s="33"/>
      <c r="M16" s="33"/>
      <c r="N16" s="33"/>
      <c r="O16" s="33"/>
    </row>
    <row r="17" spans="1:19" x14ac:dyDescent="0.4">
      <c r="B17" s="32"/>
      <c r="C17" s="33"/>
      <c r="D17" s="33"/>
      <c r="E17" s="33"/>
      <c r="F17" s="33"/>
      <c r="G17" s="33"/>
      <c r="H17" s="33"/>
      <c r="I17" s="33"/>
      <c r="J17" s="33"/>
      <c r="K17" s="33"/>
      <c r="L17" s="33"/>
      <c r="M17" s="33"/>
      <c r="N17" s="33"/>
      <c r="O17" s="33"/>
    </row>
    <row r="18" spans="1:19" x14ac:dyDescent="0.4">
      <c r="B18" s="32"/>
      <c r="C18" s="33"/>
      <c r="D18" s="33"/>
      <c r="E18" s="33"/>
      <c r="F18" s="33"/>
      <c r="G18" s="33"/>
      <c r="H18" s="33"/>
      <c r="I18" s="33"/>
      <c r="J18" s="33"/>
      <c r="K18" s="33"/>
      <c r="L18" s="33"/>
      <c r="M18" s="33"/>
      <c r="N18" s="33"/>
      <c r="O18" s="33"/>
    </row>
    <row r="19" spans="1:19" x14ac:dyDescent="0.4">
      <c r="B19" s="32"/>
      <c r="C19" s="33"/>
      <c r="D19" s="33"/>
      <c r="E19" s="33"/>
      <c r="F19" s="33"/>
      <c r="G19" s="33"/>
      <c r="H19" s="33"/>
      <c r="I19" s="33"/>
      <c r="J19" s="33"/>
      <c r="K19" s="33"/>
      <c r="L19" s="33"/>
      <c r="M19" s="33"/>
      <c r="N19" s="33"/>
      <c r="O19" s="33"/>
    </row>
    <row r="20" spans="1:19" x14ac:dyDescent="0.4">
      <c r="B20" s="32"/>
      <c r="C20" s="33"/>
      <c r="D20" s="33"/>
      <c r="E20" s="33"/>
      <c r="F20" s="33"/>
      <c r="G20" s="33"/>
      <c r="H20" s="33"/>
      <c r="I20" s="33"/>
      <c r="J20" s="33"/>
      <c r="K20" s="33"/>
      <c r="L20" s="33"/>
      <c r="M20" s="33"/>
      <c r="N20" s="33"/>
      <c r="O20" s="33"/>
    </row>
    <row r="21" spans="1:19" x14ac:dyDescent="0.4">
      <c r="B21" s="32"/>
      <c r="C21" s="33"/>
      <c r="D21" s="33"/>
      <c r="E21" s="33"/>
      <c r="F21" s="33"/>
      <c r="G21" s="33"/>
      <c r="H21" s="33"/>
      <c r="I21" s="33"/>
      <c r="J21" s="33"/>
      <c r="K21" s="33"/>
      <c r="L21" s="33"/>
      <c r="M21" s="33"/>
      <c r="N21" s="33"/>
      <c r="O21" s="33"/>
    </row>
    <row r="22" spans="1:19" x14ac:dyDescent="0.4">
      <c r="B22" s="32"/>
      <c r="C22" s="33"/>
      <c r="D22" s="33"/>
      <c r="E22" s="33"/>
      <c r="F22" s="33"/>
      <c r="G22" s="33"/>
      <c r="H22" s="33"/>
      <c r="I22" s="33"/>
      <c r="J22" s="33"/>
      <c r="K22" s="33"/>
      <c r="L22" s="33"/>
      <c r="M22" s="33"/>
      <c r="N22" s="33"/>
      <c r="O22" s="33"/>
    </row>
    <row r="23" spans="1:19" x14ac:dyDescent="0.4">
      <c r="B23" s="32"/>
      <c r="C23" s="33"/>
      <c r="D23" s="33"/>
      <c r="E23" s="33"/>
      <c r="F23" s="33"/>
      <c r="G23" s="33"/>
      <c r="H23" s="33"/>
      <c r="I23" s="33"/>
      <c r="J23" s="33"/>
      <c r="K23" s="33"/>
      <c r="L23" s="33"/>
      <c r="M23" s="33"/>
      <c r="N23" s="33"/>
      <c r="O23" s="33"/>
    </row>
    <row r="24" spans="1:19" x14ac:dyDescent="0.4">
      <c r="B24" s="32"/>
      <c r="C24" s="33"/>
      <c r="D24" s="33"/>
      <c r="E24" s="33"/>
      <c r="F24" s="33"/>
      <c r="G24" s="33"/>
      <c r="H24" s="33"/>
      <c r="I24" s="33"/>
      <c r="J24" s="33"/>
      <c r="K24" s="33"/>
      <c r="L24" s="33"/>
      <c r="M24" s="33"/>
      <c r="N24" s="33"/>
      <c r="O24" s="33"/>
    </row>
    <row r="25" spans="1:19" x14ac:dyDescent="0.4">
      <c r="B25" s="32"/>
      <c r="C25" s="33"/>
      <c r="D25" s="33"/>
      <c r="E25" s="33"/>
      <c r="F25" s="33"/>
      <c r="G25" s="33"/>
      <c r="H25" s="33"/>
      <c r="I25" s="33"/>
      <c r="J25" s="33"/>
      <c r="K25" s="33"/>
      <c r="L25" s="33"/>
      <c r="M25" s="33"/>
      <c r="N25" s="33"/>
      <c r="O25" s="33"/>
    </row>
    <row r="26" spans="1:19" x14ac:dyDescent="0.4">
      <c r="B26" s="32"/>
      <c r="C26" s="33"/>
      <c r="D26" s="33"/>
      <c r="E26" s="33"/>
      <c r="F26" s="33"/>
      <c r="G26" s="33"/>
      <c r="H26" s="33"/>
      <c r="I26" s="33"/>
      <c r="J26" s="33"/>
      <c r="K26" s="33"/>
      <c r="L26" s="33"/>
      <c r="M26" s="33"/>
      <c r="N26" s="33"/>
      <c r="O26" s="33"/>
    </row>
    <row r="27" spans="1:19" x14ac:dyDescent="0.4">
      <c r="B27" s="32"/>
      <c r="C27" s="33"/>
      <c r="D27" s="33"/>
      <c r="E27" s="33"/>
      <c r="F27" s="33"/>
      <c r="G27" s="33"/>
      <c r="H27" s="33"/>
      <c r="I27" s="33"/>
      <c r="J27" s="33"/>
      <c r="K27" s="33"/>
      <c r="L27" s="33"/>
      <c r="M27" s="33"/>
      <c r="N27" s="33"/>
      <c r="O27" s="33"/>
    </row>
    <row r="28" spans="1:19" x14ac:dyDescent="0.4">
      <c r="B28" s="32"/>
      <c r="C28" s="33"/>
      <c r="D28" s="33"/>
      <c r="E28" s="33"/>
      <c r="F28" s="33"/>
      <c r="G28" s="33"/>
      <c r="H28" s="33"/>
      <c r="I28" s="33"/>
      <c r="J28" s="33"/>
      <c r="K28" s="33"/>
      <c r="L28" s="33"/>
      <c r="M28" s="33"/>
      <c r="N28" s="33"/>
      <c r="O28" s="33"/>
    </row>
    <row r="29" spans="1:19" x14ac:dyDescent="0.4">
      <c r="B29" s="32"/>
      <c r="C29" s="33"/>
      <c r="D29" s="33"/>
      <c r="E29" s="33"/>
      <c r="F29" s="33"/>
      <c r="G29" s="33"/>
      <c r="H29" s="33"/>
      <c r="I29" s="33"/>
      <c r="J29" s="33"/>
      <c r="K29" s="33"/>
      <c r="L29" s="33"/>
      <c r="M29" s="33"/>
      <c r="N29" s="33"/>
      <c r="O29" s="33"/>
    </row>
    <row r="30" spans="1:19" s="47" customFormat="1" x14ac:dyDescent="0.4">
      <c r="A30" s="13"/>
      <c r="B30" s="32"/>
      <c r="C30" s="33"/>
      <c r="D30" s="33"/>
      <c r="E30" s="33"/>
      <c r="F30" s="33"/>
      <c r="G30" s="33"/>
      <c r="H30" s="33"/>
      <c r="I30" s="33"/>
      <c r="J30" s="33"/>
      <c r="K30" s="33"/>
      <c r="L30" s="33"/>
      <c r="M30" s="33"/>
      <c r="N30" s="33"/>
      <c r="O30" s="33"/>
      <c r="Q30" s="13"/>
      <c r="R30" s="13"/>
      <c r="S30" s="13"/>
    </row>
    <row r="31" spans="1:19" s="47" customFormat="1" x14ac:dyDescent="0.4">
      <c r="A31" s="13"/>
      <c r="B31" s="32"/>
      <c r="C31" s="33"/>
      <c r="D31" s="33"/>
      <c r="E31" s="33"/>
      <c r="F31" s="33"/>
      <c r="G31" s="33"/>
      <c r="H31" s="33"/>
      <c r="I31" s="33"/>
      <c r="J31" s="33"/>
      <c r="K31" s="33"/>
      <c r="L31" s="33"/>
      <c r="M31" s="33"/>
      <c r="N31" s="33"/>
      <c r="O31" s="33"/>
      <c r="Q31" s="13"/>
      <c r="R31" s="13"/>
      <c r="S31" s="13"/>
    </row>
    <row r="32" spans="1:19" s="47" customFormat="1" x14ac:dyDescent="0.4">
      <c r="A32" s="13"/>
      <c r="B32" s="32"/>
      <c r="C32" s="33"/>
      <c r="D32" s="33"/>
      <c r="E32" s="33"/>
      <c r="F32" s="33"/>
      <c r="G32" s="33"/>
      <c r="H32" s="33"/>
      <c r="I32" s="33"/>
      <c r="J32" s="33"/>
      <c r="K32" s="33"/>
      <c r="L32" s="33"/>
      <c r="M32" s="33"/>
      <c r="N32" s="33"/>
      <c r="O32" s="33"/>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32"/>
      <c r="C34" s="33"/>
      <c r="D34" s="33"/>
      <c r="E34" s="33"/>
      <c r="F34" s="33"/>
      <c r="G34" s="33"/>
      <c r="H34" s="33"/>
      <c r="I34" s="33"/>
      <c r="J34" s="33"/>
      <c r="K34" s="33"/>
      <c r="L34" s="33"/>
      <c r="M34" s="33"/>
      <c r="N34" s="33"/>
      <c r="O34" s="33"/>
      <c r="Q34" s="13"/>
      <c r="R34" s="13"/>
      <c r="S34" s="13"/>
    </row>
    <row r="35" spans="1:19" s="47" customFormat="1" x14ac:dyDescent="0.4">
      <c r="A35" s="13"/>
      <c r="B35" s="32"/>
      <c r="C35" s="33"/>
      <c r="D35" s="33"/>
      <c r="E35" s="33"/>
      <c r="F35" s="33"/>
      <c r="G35" s="33"/>
      <c r="H35" s="33"/>
      <c r="I35" s="33"/>
      <c r="J35" s="33"/>
      <c r="K35" s="33"/>
      <c r="L35" s="33"/>
      <c r="M35" s="33"/>
      <c r="N35" s="33"/>
      <c r="O35" s="33"/>
      <c r="Q35" s="13"/>
      <c r="R35" s="13"/>
      <c r="S35" s="13"/>
    </row>
    <row r="36" spans="1:19" s="47" customFormat="1" x14ac:dyDescent="0.4">
      <c r="A36" s="13"/>
      <c r="B36" s="32"/>
      <c r="C36" s="33"/>
      <c r="D36" s="33"/>
      <c r="E36" s="33"/>
      <c r="F36" s="33"/>
      <c r="G36" s="33"/>
      <c r="H36" s="33"/>
      <c r="I36" s="33"/>
      <c r="J36" s="33"/>
      <c r="K36" s="33"/>
      <c r="L36" s="33"/>
      <c r="M36" s="33"/>
      <c r="N36" s="33"/>
      <c r="O36" s="33"/>
      <c r="Q36" s="13"/>
      <c r="R36" s="13"/>
      <c r="S36" s="13"/>
    </row>
    <row r="37" spans="1:19" s="47" customFormat="1" x14ac:dyDescent="0.4">
      <c r="A37" s="13"/>
      <c r="B37" s="32"/>
      <c r="C37" s="33"/>
      <c r="D37" s="33"/>
      <c r="E37" s="33"/>
      <c r="F37" s="33"/>
      <c r="G37" s="33"/>
      <c r="H37" s="33"/>
      <c r="I37" s="33"/>
      <c r="J37" s="33"/>
      <c r="K37" s="33"/>
      <c r="L37" s="33"/>
      <c r="M37" s="33"/>
      <c r="N37" s="33"/>
      <c r="O37" s="33"/>
      <c r="Q37" s="13"/>
      <c r="R37" s="13"/>
      <c r="S37" s="13"/>
    </row>
    <row r="38" spans="1:19" s="47" customFormat="1" x14ac:dyDescent="0.4">
      <c r="A38" s="13"/>
      <c r="B38" s="32"/>
      <c r="C38" s="33"/>
      <c r="D38" s="33"/>
      <c r="E38" s="33"/>
      <c r="F38" s="33"/>
      <c r="G38" s="33"/>
      <c r="H38" s="33"/>
      <c r="I38" s="33"/>
      <c r="J38" s="33"/>
      <c r="K38" s="33"/>
      <c r="L38" s="33"/>
      <c r="M38" s="33"/>
      <c r="N38" s="33"/>
      <c r="O38" s="33"/>
      <c r="Q38" s="13"/>
      <c r="R38" s="13"/>
      <c r="S38" s="13"/>
    </row>
    <row r="39" spans="1:19" s="47" customFormat="1" x14ac:dyDescent="0.4">
      <c r="A39" s="13"/>
      <c r="B39" s="32"/>
      <c r="C39" s="33"/>
      <c r="D39" s="33"/>
      <c r="E39" s="33"/>
      <c r="F39" s="33"/>
      <c r="G39" s="33"/>
      <c r="H39" s="33"/>
      <c r="I39" s="33"/>
      <c r="J39" s="33"/>
      <c r="K39" s="33"/>
      <c r="L39" s="33"/>
      <c r="M39" s="33"/>
      <c r="N39" s="33"/>
      <c r="O39" s="33"/>
      <c r="Q39" s="13"/>
      <c r="R39" s="13"/>
      <c r="S39" s="13"/>
    </row>
    <row r="40" spans="1:19" s="47" customFormat="1" x14ac:dyDescent="0.4">
      <c r="A40" s="13"/>
      <c r="B40" s="32"/>
      <c r="C40" s="33"/>
      <c r="D40" s="33"/>
      <c r="E40" s="33"/>
      <c r="F40" s="33"/>
      <c r="G40" s="33"/>
      <c r="H40" s="33"/>
      <c r="I40" s="33"/>
      <c r="J40" s="33"/>
      <c r="K40" s="33"/>
      <c r="L40" s="33"/>
      <c r="M40" s="33"/>
      <c r="N40" s="33"/>
      <c r="O40" s="33"/>
      <c r="Q40" s="13"/>
      <c r="R40" s="13"/>
      <c r="S40" s="13"/>
    </row>
    <row r="41" spans="1:19" s="47" customFormat="1" x14ac:dyDescent="0.4">
      <c r="A41" s="13"/>
      <c r="B41" s="32"/>
      <c r="C41" s="33"/>
      <c r="D41" s="33"/>
      <c r="E41" s="33"/>
      <c r="F41" s="33"/>
      <c r="G41" s="33"/>
      <c r="H41" s="33"/>
      <c r="I41" s="33"/>
      <c r="J41" s="33"/>
      <c r="K41" s="33"/>
      <c r="L41" s="33"/>
      <c r="M41" s="33"/>
      <c r="N41" s="33"/>
      <c r="O41" s="33"/>
      <c r="Q41" s="13"/>
      <c r="R41" s="13"/>
      <c r="S41" s="13"/>
    </row>
    <row r="42" spans="1:19" s="47" customFormat="1" x14ac:dyDescent="0.4">
      <c r="A42" s="13"/>
      <c r="B42" s="32"/>
      <c r="C42" s="33"/>
      <c r="D42" s="33"/>
      <c r="E42" s="33"/>
      <c r="F42" s="33"/>
      <c r="G42" s="33"/>
      <c r="H42" s="33"/>
      <c r="I42" s="33"/>
      <c r="J42" s="33"/>
      <c r="K42" s="33"/>
      <c r="L42" s="33"/>
      <c r="M42" s="33"/>
      <c r="N42" s="33"/>
      <c r="O42" s="33"/>
      <c r="Q42" s="13"/>
      <c r="R42" s="13"/>
      <c r="S42" s="13"/>
    </row>
    <row r="43" spans="1:19" s="47" customFormat="1" x14ac:dyDescent="0.4">
      <c r="A43" s="13"/>
      <c r="B43" s="32"/>
      <c r="C43" s="33"/>
      <c r="D43" s="33"/>
      <c r="E43" s="33"/>
      <c r="F43" s="33"/>
      <c r="G43" s="33"/>
      <c r="H43" s="33"/>
      <c r="I43" s="33"/>
      <c r="J43" s="33"/>
      <c r="K43" s="33"/>
      <c r="L43" s="33"/>
      <c r="M43" s="33"/>
      <c r="N43" s="33"/>
      <c r="O43" s="33"/>
      <c r="Q43" s="13"/>
      <c r="R43" s="13"/>
      <c r="S43" s="13"/>
    </row>
    <row r="44" spans="1:19" s="47" customFormat="1" x14ac:dyDescent="0.4">
      <c r="A44" s="13"/>
      <c r="B44" s="32"/>
      <c r="C44" s="33"/>
      <c r="D44" s="33"/>
      <c r="E44" s="33"/>
      <c r="F44" s="33"/>
      <c r="G44" s="33"/>
      <c r="H44" s="33"/>
      <c r="I44" s="33"/>
      <c r="J44" s="33"/>
      <c r="K44" s="33"/>
      <c r="L44" s="33"/>
      <c r="M44" s="33"/>
      <c r="N44" s="33"/>
      <c r="O44" s="33"/>
      <c r="Q44" s="13"/>
      <c r="R44" s="13"/>
      <c r="S44" s="13"/>
    </row>
    <row r="45" spans="1:19" s="47" customFormat="1" x14ac:dyDescent="0.4">
      <c r="A45" s="13"/>
      <c r="B45" s="32"/>
      <c r="C45" s="33"/>
      <c r="D45" s="33"/>
      <c r="E45" s="33"/>
      <c r="F45" s="33"/>
      <c r="G45" s="33"/>
      <c r="H45" s="33"/>
      <c r="I45" s="33"/>
      <c r="J45" s="33"/>
      <c r="K45" s="33"/>
      <c r="L45" s="33"/>
      <c r="M45" s="33"/>
      <c r="N45" s="33"/>
      <c r="O45" s="33"/>
      <c r="Q45" s="13"/>
      <c r="R45" s="13"/>
      <c r="S45" s="13"/>
    </row>
    <row r="46" spans="1:19" s="47" customFormat="1" x14ac:dyDescent="0.4">
      <c r="A46" s="13"/>
      <c r="B46" s="32"/>
      <c r="C46" s="33"/>
      <c r="D46" s="33"/>
      <c r="E46" s="33"/>
      <c r="F46" s="33"/>
      <c r="G46" s="33"/>
      <c r="H46" s="33"/>
      <c r="I46" s="33"/>
      <c r="J46" s="33"/>
      <c r="K46" s="33"/>
      <c r="L46" s="33"/>
      <c r="M46" s="33"/>
      <c r="N46" s="33"/>
      <c r="O46" s="33"/>
      <c r="Q46" s="13"/>
      <c r="R46" s="13"/>
      <c r="S46" s="13"/>
    </row>
    <row r="47" spans="1:19" s="47" customFormat="1" x14ac:dyDescent="0.4">
      <c r="A47" s="13"/>
      <c r="B47" s="32"/>
      <c r="C47" s="33"/>
      <c r="D47" s="33"/>
      <c r="E47" s="33"/>
      <c r="F47" s="33"/>
      <c r="G47" s="33"/>
      <c r="H47" s="33"/>
      <c r="I47" s="33"/>
      <c r="J47" s="33"/>
      <c r="K47" s="33"/>
      <c r="L47" s="33"/>
      <c r="M47" s="33"/>
      <c r="N47" s="33"/>
      <c r="O47" s="33"/>
      <c r="Q47" s="13"/>
      <c r="R47" s="13"/>
      <c r="S47" s="13"/>
    </row>
    <row r="48" spans="1:19" s="47" customFormat="1" x14ac:dyDescent="0.4">
      <c r="A48" s="13"/>
      <c r="B48" s="32"/>
      <c r="C48" s="33"/>
      <c r="D48" s="33"/>
      <c r="E48" s="33"/>
      <c r="F48" s="33"/>
      <c r="G48" s="33"/>
      <c r="H48" s="33"/>
      <c r="I48" s="33"/>
      <c r="J48" s="33"/>
      <c r="K48" s="33"/>
      <c r="L48" s="33"/>
      <c r="M48" s="33"/>
      <c r="N48" s="33"/>
      <c r="O48" s="33"/>
      <c r="Q48" s="13"/>
      <c r="R48" s="13"/>
      <c r="S48" s="13"/>
    </row>
    <row r="49" spans="1:19" s="47" customFormat="1" x14ac:dyDescent="0.4">
      <c r="A49" s="13"/>
      <c r="B49" s="32"/>
      <c r="C49" s="33"/>
      <c r="D49" s="33"/>
      <c r="E49" s="33"/>
      <c r="F49" s="33"/>
      <c r="G49" s="33"/>
      <c r="H49" s="33"/>
      <c r="I49" s="33"/>
      <c r="J49" s="33"/>
      <c r="K49" s="33"/>
      <c r="L49" s="33"/>
      <c r="M49" s="33"/>
      <c r="N49" s="33"/>
      <c r="O49" s="33"/>
      <c r="Q49" s="13"/>
      <c r="R49" s="13"/>
      <c r="S49" s="13"/>
    </row>
    <row r="50" spans="1:19" s="47" customFormat="1" x14ac:dyDescent="0.4">
      <c r="A50" s="13"/>
      <c r="B50" s="32"/>
      <c r="C50" s="33"/>
      <c r="D50" s="33"/>
      <c r="E50" s="33"/>
      <c r="F50" s="33"/>
      <c r="G50" s="33"/>
      <c r="H50" s="33"/>
      <c r="I50" s="33"/>
      <c r="J50" s="33"/>
      <c r="K50" s="33"/>
      <c r="L50" s="33"/>
      <c r="M50" s="33"/>
      <c r="N50" s="33"/>
      <c r="O50" s="33"/>
      <c r="Q50" s="13"/>
      <c r="R50" s="13"/>
      <c r="S50" s="13"/>
    </row>
    <row r="51" spans="1:19" s="47" customFormat="1" x14ac:dyDescent="0.4">
      <c r="A51" s="13"/>
      <c r="B51" s="32"/>
      <c r="C51" s="33"/>
      <c r="D51" s="33"/>
      <c r="E51" s="33"/>
      <c r="F51" s="33"/>
      <c r="G51" s="33"/>
      <c r="H51" s="33"/>
      <c r="I51" s="33"/>
      <c r="J51" s="33"/>
      <c r="K51" s="33"/>
      <c r="L51" s="33"/>
      <c r="M51" s="33"/>
      <c r="N51" s="33"/>
      <c r="O51" s="33"/>
      <c r="Q51" s="13"/>
      <c r="R51" s="13"/>
      <c r="S51" s="13"/>
    </row>
    <row r="52" spans="1:19" s="47" customFormat="1" x14ac:dyDescent="0.4">
      <c r="A52" s="13"/>
      <c r="B52" s="32"/>
      <c r="C52" s="33"/>
      <c r="D52" s="33"/>
      <c r="E52" s="33"/>
      <c r="F52" s="33"/>
      <c r="G52" s="33"/>
      <c r="H52" s="33"/>
      <c r="I52" s="33"/>
      <c r="J52" s="33"/>
      <c r="K52" s="33"/>
      <c r="L52" s="33"/>
      <c r="M52" s="33"/>
      <c r="N52" s="33"/>
      <c r="O52" s="33"/>
      <c r="Q52" s="13"/>
      <c r="R52" s="13"/>
      <c r="S52" s="13"/>
    </row>
    <row r="53" spans="1:19" s="47" customFormat="1" x14ac:dyDescent="0.4">
      <c r="A53" s="13"/>
      <c r="B53" s="32"/>
      <c r="C53" s="33"/>
      <c r="D53" s="33"/>
      <c r="E53" s="33"/>
      <c r="F53" s="33"/>
      <c r="G53" s="33"/>
      <c r="H53" s="33"/>
      <c r="I53" s="33"/>
      <c r="J53" s="33"/>
      <c r="K53" s="33"/>
      <c r="L53" s="33"/>
      <c r="M53" s="33"/>
      <c r="N53" s="33"/>
      <c r="O53" s="33"/>
      <c r="Q53" s="13"/>
      <c r="R53" s="13"/>
      <c r="S53" s="13"/>
    </row>
    <row r="54" spans="1:19" s="47" customFormat="1" x14ac:dyDescent="0.4">
      <c r="A54" s="13"/>
      <c r="B54" s="32"/>
      <c r="C54" s="33"/>
      <c r="D54" s="33"/>
      <c r="E54" s="33"/>
      <c r="F54" s="33"/>
      <c r="G54" s="33"/>
      <c r="H54" s="33"/>
      <c r="I54" s="33"/>
      <c r="J54" s="33"/>
      <c r="K54" s="33"/>
      <c r="L54" s="33"/>
      <c r="M54" s="33"/>
      <c r="N54" s="33"/>
      <c r="O54" s="33"/>
      <c r="Q54" s="13"/>
      <c r="R54" s="13"/>
      <c r="S54" s="13"/>
    </row>
    <row r="55" spans="1:19" s="47" customFormat="1" x14ac:dyDescent="0.4">
      <c r="A55" s="13"/>
      <c r="B55" s="32"/>
      <c r="C55" s="33"/>
      <c r="D55" s="33"/>
      <c r="E55" s="33"/>
      <c r="F55" s="33"/>
      <c r="G55" s="33"/>
      <c r="H55" s="33"/>
      <c r="I55" s="33"/>
      <c r="J55" s="33"/>
      <c r="K55" s="33"/>
      <c r="L55" s="33"/>
      <c r="M55" s="33"/>
      <c r="N55" s="33"/>
      <c r="O55" s="33"/>
      <c r="Q55" s="13"/>
      <c r="R55" s="13"/>
      <c r="S55" s="13"/>
    </row>
    <row r="56" spans="1:19" s="47" customFormat="1" x14ac:dyDescent="0.4">
      <c r="A56" s="13"/>
      <c r="B56" s="32"/>
      <c r="C56" s="33"/>
      <c r="D56" s="33"/>
      <c r="E56" s="33"/>
      <c r="F56" s="33"/>
      <c r="G56" s="33"/>
      <c r="H56" s="33"/>
      <c r="I56" s="33"/>
      <c r="J56" s="33"/>
      <c r="K56" s="33"/>
      <c r="L56" s="33"/>
      <c r="M56" s="33"/>
      <c r="N56" s="33"/>
      <c r="O56" s="33"/>
      <c r="Q56" s="13"/>
      <c r="R56" s="13"/>
      <c r="S56" s="13"/>
    </row>
    <row r="57" spans="1:19" s="47" customFormat="1" x14ac:dyDescent="0.4">
      <c r="A57" s="13"/>
      <c r="B57" s="32"/>
      <c r="C57" s="33"/>
      <c r="D57" s="33"/>
      <c r="E57" s="33"/>
      <c r="F57" s="33"/>
      <c r="G57" s="33"/>
      <c r="H57" s="33"/>
      <c r="I57" s="33"/>
      <c r="J57" s="33"/>
      <c r="K57" s="33"/>
      <c r="L57" s="33"/>
      <c r="M57" s="33"/>
      <c r="N57" s="33"/>
      <c r="O57" s="33"/>
      <c r="Q57" s="13"/>
      <c r="R57" s="13"/>
      <c r="S57" s="13"/>
    </row>
    <row r="58" spans="1:19" s="47" customFormat="1" x14ac:dyDescent="0.4">
      <c r="A58" s="13"/>
      <c r="B58" s="32"/>
      <c r="C58" s="33"/>
      <c r="D58" s="33"/>
      <c r="E58" s="33"/>
      <c r="F58" s="33"/>
      <c r="G58" s="33"/>
      <c r="H58" s="33"/>
      <c r="I58" s="33"/>
      <c r="J58" s="33"/>
      <c r="K58" s="33"/>
      <c r="L58" s="33"/>
      <c r="M58" s="33"/>
      <c r="N58" s="33"/>
      <c r="O58" s="33"/>
      <c r="Q58" s="13"/>
      <c r="R58" s="13"/>
      <c r="S58" s="13"/>
    </row>
    <row r="59" spans="1:19" s="47" customFormat="1" x14ac:dyDescent="0.4">
      <c r="A59" s="13"/>
      <c r="B59" s="32"/>
      <c r="C59" s="33"/>
      <c r="D59" s="33"/>
      <c r="E59" s="33"/>
      <c r="F59" s="33"/>
      <c r="G59" s="33"/>
      <c r="H59" s="33"/>
      <c r="I59" s="33"/>
      <c r="J59" s="33"/>
      <c r="K59" s="33"/>
      <c r="L59" s="33"/>
      <c r="M59" s="33"/>
      <c r="N59" s="33"/>
      <c r="O59" s="33"/>
      <c r="Q59" s="13"/>
      <c r="R59" s="13"/>
      <c r="S59" s="13"/>
    </row>
    <row r="60" spans="1:19" s="47" customFormat="1" x14ac:dyDescent="0.4">
      <c r="A60" s="13"/>
      <c r="B60" s="32"/>
      <c r="C60" s="33"/>
      <c r="D60" s="33"/>
      <c r="E60" s="33"/>
      <c r="F60" s="33"/>
      <c r="G60" s="33"/>
      <c r="H60" s="33"/>
      <c r="I60" s="33"/>
      <c r="J60" s="33"/>
      <c r="K60" s="33"/>
      <c r="L60" s="33"/>
      <c r="M60" s="33"/>
      <c r="N60" s="33"/>
      <c r="O60" s="33"/>
      <c r="Q60" s="13"/>
      <c r="R60" s="13"/>
      <c r="S60" s="13"/>
    </row>
    <row r="61" spans="1:19" s="47" customFormat="1" x14ac:dyDescent="0.4">
      <c r="A61" s="13"/>
      <c r="B61" s="32"/>
      <c r="C61" s="33"/>
      <c r="D61" s="33"/>
      <c r="E61" s="33"/>
      <c r="F61" s="33"/>
      <c r="G61" s="33"/>
      <c r="H61" s="33"/>
      <c r="I61" s="33"/>
      <c r="J61" s="33"/>
      <c r="K61" s="33"/>
      <c r="L61" s="33"/>
      <c r="M61" s="33"/>
      <c r="N61" s="33"/>
      <c r="O61" s="33"/>
      <c r="Q61" s="13"/>
      <c r="R61" s="13"/>
      <c r="S61" s="13"/>
    </row>
    <row r="62" spans="1:19" s="47" customFormat="1" x14ac:dyDescent="0.4">
      <c r="A62" s="13"/>
      <c r="B62" s="32"/>
      <c r="C62" s="33"/>
      <c r="D62" s="33"/>
      <c r="E62" s="33"/>
      <c r="F62" s="33"/>
      <c r="G62" s="33"/>
      <c r="H62" s="33"/>
      <c r="I62" s="33"/>
      <c r="J62" s="33"/>
      <c r="K62" s="33"/>
      <c r="L62" s="33"/>
      <c r="M62" s="33"/>
      <c r="N62" s="33"/>
      <c r="O62" s="33"/>
      <c r="Q62" s="13"/>
      <c r="R62" s="13"/>
      <c r="S62" s="13"/>
    </row>
    <row r="63" spans="1:19" s="47" customFormat="1" x14ac:dyDescent="0.4">
      <c r="A63" s="13"/>
      <c r="B63" s="32"/>
      <c r="C63" s="33"/>
      <c r="D63" s="33"/>
      <c r="E63" s="33"/>
      <c r="F63" s="33"/>
      <c r="G63" s="33"/>
      <c r="H63" s="33"/>
      <c r="I63" s="33"/>
      <c r="J63" s="33"/>
      <c r="K63" s="33"/>
      <c r="L63" s="33"/>
      <c r="M63" s="33"/>
      <c r="N63" s="33"/>
      <c r="O63" s="33"/>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row r="97" spans="1:19" s="47" customFormat="1" x14ac:dyDescent="0.4">
      <c r="A97" s="13"/>
      <c r="B97" s="32"/>
      <c r="C97" s="33"/>
      <c r="D97" s="33"/>
      <c r="E97" s="33"/>
      <c r="F97" s="33"/>
      <c r="G97" s="33"/>
      <c r="H97" s="33"/>
      <c r="I97" s="33"/>
      <c r="J97" s="33"/>
      <c r="K97" s="33"/>
      <c r="L97" s="33"/>
      <c r="M97" s="33"/>
      <c r="N97" s="33"/>
      <c r="O97" s="33"/>
      <c r="Q97" s="13"/>
      <c r="R97" s="13"/>
      <c r="S97" s="13"/>
    </row>
    <row r="98" spans="1:19" s="47" customFormat="1" x14ac:dyDescent="0.4">
      <c r="A98" s="13"/>
      <c r="B98" s="32"/>
      <c r="C98" s="33"/>
      <c r="D98" s="33"/>
      <c r="E98" s="33"/>
      <c r="F98" s="33"/>
      <c r="G98" s="33"/>
      <c r="H98" s="33"/>
      <c r="I98" s="33"/>
      <c r="J98" s="33"/>
      <c r="K98" s="33"/>
      <c r="L98" s="33"/>
      <c r="M98" s="33"/>
      <c r="N98" s="33"/>
      <c r="O98" s="33"/>
      <c r="Q98" s="13"/>
      <c r="R98" s="13"/>
      <c r="S98" s="13"/>
    </row>
    <row r="99" spans="1:19" s="47" customFormat="1" x14ac:dyDescent="0.4">
      <c r="A99" s="13"/>
      <c r="B99" s="32"/>
      <c r="C99" s="33"/>
      <c r="D99" s="33"/>
      <c r="E99" s="33"/>
      <c r="F99" s="33"/>
      <c r="G99" s="33"/>
      <c r="H99" s="33"/>
      <c r="I99" s="33"/>
      <c r="J99" s="33"/>
      <c r="K99" s="33"/>
      <c r="L99" s="33"/>
      <c r="M99" s="33"/>
      <c r="N99" s="33"/>
      <c r="O99" s="33"/>
      <c r="Q99" s="13"/>
      <c r="R99" s="13"/>
      <c r="S99" s="13"/>
    </row>
    <row r="100" spans="1:19" s="47" customFormat="1" x14ac:dyDescent="0.4">
      <c r="A100" s="13"/>
      <c r="B100" s="32"/>
      <c r="C100" s="33"/>
      <c r="D100" s="33"/>
      <c r="E100" s="33"/>
      <c r="F100" s="33"/>
      <c r="G100" s="33"/>
      <c r="H100" s="33"/>
      <c r="I100" s="33"/>
      <c r="J100" s="33"/>
      <c r="K100" s="33"/>
      <c r="L100" s="33"/>
      <c r="M100" s="33"/>
      <c r="N100" s="33"/>
      <c r="O100" s="33"/>
      <c r="Q100" s="13"/>
      <c r="R100" s="13"/>
      <c r="S100" s="13"/>
    </row>
    <row r="101" spans="1:19" s="47" customFormat="1" x14ac:dyDescent="0.4">
      <c r="A101" s="13"/>
      <c r="B101" s="32"/>
      <c r="C101" s="33"/>
      <c r="D101" s="33"/>
      <c r="E101" s="33"/>
      <c r="F101" s="33"/>
      <c r="G101" s="33"/>
      <c r="H101" s="33"/>
      <c r="I101" s="33"/>
      <c r="J101" s="33"/>
      <c r="K101" s="33"/>
      <c r="L101" s="33"/>
      <c r="M101" s="33"/>
      <c r="N101" s="33"/>
      <c r="O101" s="33"/>
      <c r="Q101" s="13"/>
      <c r="R101" s="13"/>
      <c r="S101" s="13"/>
    </row>
    <row r="102" spans="1:19" s="47" customFormat="1" x14ac:dyDescent="0.4">
      <c r="A102" s="13"/>
      <c r="B102" s="32"/>
      <c r="C102" s="33"/>
      <c r="D102" s="33"/>
      <c r="E102" s="33"/>
      <c r="F102" s="33"/>
      <c r="G102" s="33"/>
      <c r="H102" s="33"/>
      <c r="I102" s="33"/>
      <c r="J102" s="33"/>
      <c r="K102" s="33"/>
      <c r="L102" s="33"/>
      <c r="M102" s="33"/>
      <c r="N102" s="33"/>
      <c r="O102" s="33"/>
      <c r="Q102" s="13"/>
      <c r="R102" s="13"/>
      <c r="S102" s="13"/>
    </row>
    <row r="103" spans="1:19" s="47" customFormat="1" x14ac:dyDescent="0.4">
      <c r="A103" s="13"/>
      <c r="B103" s="32"/>
      <c r="C103" s="33"/>
      <c r="D103" s="33"/>
      <c r="E103" s="33"/>
      <c r="F103" s="33"/>
      <c r="G103" s="33"/>
      <c r="H103" s="33"/>
      <c r="I103" s="33"/>
      <c r="J103" s="33"/>
      <c r="K103" s="33"/>
      <c r="L103" s="33"/>
      <c r="M103" s="33"/>
      <c r="N103" s="33"/>
      <c r="O103" s="33"/>
      <c r="Q103" s="13"/>
      <c r="R103" s="13"/>
      <c r="S103" s="13"/>
    </row>
    <row r="104" spans="1:19" s="47" customFormat="1" x14ac:dyDescent="0.4">
      <c r="A104" s="13"/>
      <c r="B104" s="32"/>
      <c r="C104" s="33"/>
      <c r="D104" s="33"/>
      <c r="E104" s="33"/>
      <c r="F104" s="33"/>
      <c r="G104" s="33"/>
      <c r="H104" s="33"/>
      <c r="I104" s="33"/>
      <c r="J104" s="33"/>
      <c r="K104" s="33"/>
      <c r="L104" s="33"/>
      <c r="M104" s="33"/>
      <c r="N104" s="33"/>
      <c r="O104" s="33"/>
      <c r="Q104" s="13"/>
      <c r="R104" s="13"/>
      <c r="S104" s="13"/>
    </row>
    <row r="105" spans="1:19" s="47" customFormat="1" x14ac:dyDescent="0.4">
      <c r="A105" s="13"/>
      <c r="B105" s="32"/>
      <c r="C105" s="33"/>
      <c r="D105" s="33"/>
      <c r="E105" s="33"/>
      <c r="F105" s="33"/>
      <c r="G105" s="33"/>
      <c r="H105" s="33"/>
      <c r="I105" s="33"/>
      <c r="J105" s="33"/>
      <c r="K105" s="33"/>
      <c r="L105" s="33"/>
      <c r="M105" s="33"/>
      <c r="N105" s="33"/>
      <c r="O105" s="33"/>
      <c r="Q105" s="13"/>
      <c r="R105" s="13"/>
      <c r="S105" s="13"/>
    </row>
    <row r="106" spans="1:19" s="47" customFormat="1" x14ac:dyDescent="0.4">
      <c r="A106" s="13"/>
      <c r="B106" s="32"/>
      <c r="C106" s="33"/>
      <c r="D106" s="33"/>
      <c r="E106" s="33"/>
      <c r="F106" s="33"/>
      <c r="G106" s="33"/>
      <c r="H106" s="33"/>
      <c r="I106" s="33"/>
      <c r="J106" s="33"/>
      <c r="K106" s="33"/>
      <c r="L106" s="33"/>
      <c r="M106" s="33"/>
      <c r="N106" s="33"/>
      <c r="O106" s="33"/>
      <c r="Q106" s="13"/>
      <c r="R106" s="13"/>
      <c r="S106" s="13"/>
    </row>
    <row r="107" spans="1:19" s="47" customFormat="1" x14ac:dyDescent="0.4">
      <c r="A107" s="13"/>
      <c r="B107" s="32"/>
      <c r="C107" s="33"/>
      <c r="D107" s="33"/>
      <c r="E107" s="33"/>
      <c r="F107" s="33"/>
      <c r="G107" s="33"/>
      <c r="H107" s="33"/>
      <c r="I107" s="33"/>
      <c r="J107" s="33"/>
      <c r="K107" s="33"/>
      <c r="L107" s="33"/>
      <c r="M107" s="33"/>
      <c r="N107" s="33"/>
      <c r="O107" s="33"/>
      <c r="Q107" s="13"/>
      <c r="R107" s="13"/>
      <c r="S107" s="13"/>
    </row>
    <row r="108" spans="1:19" s="47" customFormat="1" x14ac:dyDescent="0.4">
      <c r="A108" s="13"/>
      <c r="B108" s="32"/>
      <c r="C108" s="33"/>
      <c r="D108" s="33"/>
      <c r="E108" s="33"/>
      <c r="F108" s="33"/>
      <c r="G108" s="33"/>
      <c r="H108" s="33"/>
      <c r="I108" s="33"/>
      <c r="J108" s="33"/>
      <c r="K108" s="33"/>
      <c r="L108" s="33"/>
      <c r="M108" s="33"/>
      <c r="N108" s="33"/>
      <c r="O108" s="33"/>
      <c r="Q108" s="13"/>
      <c r="R108" s="13"/>
      <c r="S108" s="13"/>
    </row>
    <row r="109" spans="1:19" s="47" customFormat="1" x14ac:dyDescent="0.4">
      <c r="A109" s="13"/>
      <c r="B109" s="32"/>
      <c r="C109" s="33"/>
      <c r="D109" s="33"/>
      <c r="E109" s="33"/>
      <c r="F109" s="33"/>
      <c r="G109" s="33"/>
      <c r="H109" s="33"/>
      <c r="I109" s="33"/>
      <c r="J109" s="33"/>
      <c r="K109" s="33"/>
      <c r="L109" s="33"/>
      <c r="M109" s="33"/>
      <c r="N109" s="33"/>
      <c r="O109" s="33"/>
      <c r="Q109" s="13"/>
      <c r="R109" s="13"/>
      <c r="S109" s="13"/>
    </row>
    <row r="110" spans="1:19" s="47" customFormat="1" x14ac:dyDescent="0.4">
      <c r="A110" s="13"/>
      <c r="B110" s="32"/>
      <c r="C110" s="33"/>
      <c r="D110" s="33"/>
      <c r="E110" s="33"/>
      <c r="F110" s="33"/>
      <c r="G110" s="33"/>
      <c r="H110" s="33"/>
      <c r="I110" s="33"/>
      <c r="J110" s="33"/>
      <c r="K110" s="33"/>
      <c r="L110" s="33"/>
      <c r="M110" s="33"/>
      <c r="N110" s="33"/>
      <c r="O110" s="33"/>
      <c r="Q110" s="13"/>
      <c r="R110" s="13"/>
      <c r="S110" s="13"/>
    </row>
    <row r="111" spans="1:19" s="47" customFormat="1" x14ac:dyDescent="0.4">
      <c r="A111" s="13"/>
      <c r="B111" s="32"/>
      <c r="C111" s="33"/>
      <c r="D111" s="33"/>
      <c r="E111" s="33"/>
      <c r="F111" s="33"/>
      <c r="G111" s="33"/>
      <c r="H111" s="33"/>
      <c r="I111" s="33"/>
      <c r="J111" s="33"/>
      <c r="K111" s="33"/>
      <c r="L111" s="33"/>
      <c r="M111" s="33"/>
      <c r="N111" s="33"/>
      <c r="O111" s="33"/>
      <c r="Q111" s="13"/>
      <c r="R111" s="13"/>
      <c r="S111" s="13"/>
    </row>
    <row r="112" spans="1:19" s="47" customFormat="1" x14ac:dyDescent="0.4">
      <c r="A112" s="13"/>
      <c r="B112" s="32"/>
      <c r="C112" s="33"/>
      <c r="D112" s="33"/>
      <c r="E112" s="33"/>
      <c r="F112" s="33"/>
      <c r="G112" s="33"/>
      <c r="H112" s="33"/>
      <c r="I112" s="33"/>
      <c r="J112" s="33"/>
      <c r="K112" s="33"/>
      <c r="L112" s="33"/>
      <c r="M112" s="33"/>
      <c r="N112" s="33"/>
      <c r="O112" s="33"/>
      <c r="Q112" s="13"/>
      <c r="R112" s="13"/>
      <c r="S112" s="13"/>
    </row>
    <row r="113" spans="1:19" s="47" customFormat="1" x14ac:dyDescent="0.4">
      <c r="A113" s="13"/>
      <c r="B113" s="32"/>
      <c r="C113" s="33"/>
      <c r="D113" s="33"/>
      <c r="E113" s="33"/>
      <c r="F113" s="33"/>
      <c r="G113" s="33"/>
      <c r="H113" s="33"/>
      <c r="I113" s="33"/>
      <c r="J113" s="33"/>
      <c r="K113" s="33"/>
      <c r="L113" s="33"/>
      <c r="M113" s="33"/>
      <c r="N113" s="33"/>
      <c r="O113" s="33"/>
      <c r="Q113" s="13"/>
      <c r="R113" s="13"/>
      <c r="S113" s="13"/>
    </row>
    <row r="114" spans="1:19" s="47" customFormat="1" x14ac:dyDescent="0.4">
      <c r="A114" s="13"/>
      <c r="B114" s="32"/>
      <c r="C114" s="33"/>
      <c r="D114" s="33"/>
      <c r="E114" s="33"/>
      <c r="F114" s="33"/>
      <c r="G114" s="33"/>
      <c r="H114" s="33"/>
      <c r="I114" s="33"/>
      <c r="J114" s="33"/>
      <c r="K114" s="33"/>
      <c r="L114" s="33"/>
      <c r="M114" s="33"/>
      <c r="N114" s="33"/>
      <c r="O114" s="33"/>
      <c r="Q114" s="13"/>
      <c r="R114" s="13"/>
      <c r="S114" s="13"/>
    </row>
    <row r="115" spans="1:19" s="47" customFormat="1" x14ac:dyDescent="0.4">
      <c r="A115" s="13"/>
      <c r="B115" s="32"/>
      <c r="C115" s="33"/>
      <c r="D115" s="33"/>
      <c r="E115" s="33"/>
      <c r="F115" s="33"/>
      <c r="G115" s="33"/>
      <c r="H115" s="33"/>
      <c r="I115" s="33"/>
      <c r="J115" s="33"/>
      <c r="K115" s="33"/>
      <c r="L115" s="33"/>
      <c r="M115" s="33"/>
      <c r="N115" s="33"/>
      <c r="O115" s="33"/>
      <c r="Q115" s="13"/>
      <c r="R115" s="13"/>
      <c r="S115" s="13"/>
    </row>
    <row r="116" spans="1:19" s="47" customFormat="1" x14ac:dyDescent="0.4">
      <c r="A116" s="13"/>
      <c r="B116" s="32"/>
      <c r="C116" s="33"/>
      <c r="D116" s="33"/>
      <c r="E116" s="33"/>
      <c r="F116" s="33"/>
      <c r="G116" s="33"/>
      <c r="H116" s="33"/>
      <c r="I116" s="33"/>
      <c r="J116" s="33"/>
      <c r="K116" s="33"/>
      <c r="L116" s="33"/>
      <c r="M116" s="33"/>
      <c r="N116" s="33"/>
      <c r="O116" s="33"/>
      <c r="Q116" s="13"/>
      <c r="R116" s="13"/>
      <c r="S116" s="13"/>
    </row>
    <row r="117" spans="1:19" s="47" customFormat="1" x14ac:dyDescent="0.4">
      <c r="A117" s="13"/>
      <c r="B117" s="32"/>
      <c r="C117" s="33"/>
      <c r="D117" s="33"/>
      <c r="E117" s="33"/>
      <c r="F117" s="33"/>
      <c r="G117" s="33"/>
      <c r="H117" s="33"/>
      <c r="I117" s="33"/>
      <c r="J117" s="33"/>
      <c r="K117" s="33"/>
      <c r="L117" s="33"/>
      <c r="M117" s="33"/>
      <c r="N117" s="33"/>
      <c r="O117" s="33"/>
      <c r="Q117" s="13"/>
      <c r="R117" s="13"/>
      <c r="S117" s="13"/>
    </row>
    <row r="118" spans="1:19" s="47" customFormat="1" x14ac:dyDescent="0.4">
      <c r="A118" s="13"/>
      <c r="B118" s="32"/>
      <c r="C118" s="33"/>
      <c r="D118" s="33"/>
      <c r="E118" s="33"/>
      <c r="F118" s="33"/>
      <c r="G118" s="33"/>
      <c r="H118" s="33"/>
      <c r="I118" s="33"/>
      <c r="J118" s="33"/>
      <c r="K118" s="33"/>
      <c r="L118" s="33"/>
      <c r="M118" s="33"/>
      <c r="N118" s="33"/>
      <c r="O118" s="33"/>
      <c r="Q118" s="13"/>
      <c r="R118" s="13"/>
      <c r="S118" s="13"/>
    </row>
    <row r="119" spans="1:19" s="47" customFormat="1" x14ac:dyDescent="0.4">
      <c r="A119" s="13"/>
      <c r="B119" s="32"/>
      <c r="C119" s="33"/>
      <c r="D119" s="33"/>
      <c r="E119" s="33"/>
      <c r="F119" s="33"/>
      <c r="G119" s="33"/>
      <c r="H119" s="33"/>
      <c r="I119" s="33"/>
      <c r="J119" s="33"/>
      <c r="K119" s="33"/>
      <c r="L119" s="33"/>
      <c r="M119" s="33"/>
      <c r="N119" s="33"/>
      <c r="O119" s="33"/>
      <c r="Q119" s="13"/>
      <c r="R119" s="13"/>
      <c r="S119" s="13"/>
    </row>
    <row r="120" spans="1:19" s="47" customFormat="1" x14ac:dyDescent="0.4">
      <c r="A120" s="13"/>
      <c r="B120" s="32"/>
      <c r="C120" s="33"/>
      <c r="D120" s="33"/>
      <c r="E120" s="33"/>
      <c r="F120" s="33"/>
      <c r="G120" s="33"/>
      <c r="H120" s="33"/>
      <c r="I120" s="33"/>
      <c r="J120" s="33"/>
      <c r="K120" s="33"/>
      <c r="L120" s="33"/>
      <c r="M120" s="33"/>
      <c r="N120" s="33"/>
      <c r="O120" s="33"/>
      <c r="Q120" s="13"/>
      <c r="R120" s="13"/>
      <c r="S120" s="13"/>
    </row>
    <row r="121" spans="1:19" s="47" customFormat="1" x14ac:dyDescent="0.4">
      <c r="A121" s="13"/>
      <c r="B121" s="32"/>
      <c r="C121" s="33"/>
      <c r="D121" s="33"/>
      <c r="E121" s="33"/>
      <c r="F121" s="33"/>
      <c r="G121" s="33"/>
      <c r="H121" s="33"/>
      <c r="I121" s="33"/>
      <c r="J121" s="33"/>
      <c r="K121" s="33"/>
      <c r="L121" s="33"/>
      <c r="M121" s="33"/>
      <c r="N121" s="33"/>
      <c r="O121" s="33"/>
      <c r="Q121" s="13"/>
      <c r="R121" s="13"/>
      <c r="S121" s="13"/>
    </row>
    <row r="122" spans="1:19" s="47" customFormat="1" x14ac:dyDescent="0.4">
      <c r="A122" s="13"/>
      <c r="B122" s="32"/>
      <c r="C122" s="33"/>
      <c r="D122" s="33"/>
      <c r="E122" s="33"/>
      <c r="F122" s="33"/>
      <c r="G122" s="33"/>
      <c r="H122" s="33"/>
      <c r="I122" s="33"/>
      <c r="J122" s="33"/>
      <c r="K122" s="33"/>
      <c r="L122" s="33"/>
      <c r="M122" s="33"/>
      <c r="N122" s="33"/>
      <c r="O122" s="33"/>
      <c r="Q122" s="13"/>
      <c r="R122" s="13"/>
      <c r="S122" s="13"/>
    </row>
    <row r="123" spans="1:19" s="47" customFormat="1" x14ac:dyDescent="0.4">
      <c r="A123" s="13"/>
      <c r="B123" s="32"/>
      <c r="C123" s="33"/>
      <c r="D123" s="33"/>
      <c r="E123" s="33"/>
      <c r="F123" s="33"/>
      <c r="G123" s="33"/>
      <c r="H123" s="33"/>
      <c r="I123" s="33"/>
      <c r="J123" s="33"/>
      <c r="K123" s="33"/>
      <c r="L123" s="33"/>
      <c r="M123" s="33"/>
      <c r="N123" s="33"/>
      <c r="O123" s="33"/>
      <c r="Q123" s="13"/>
      <c r="R123" s="13"/>
      <c r="S123" s="13"/>
    </row>
    <row r="124" spans="1:19" s="47" customFormat="1" x14ac:dyDescent="0.4">
      <c r="A124" s="13"/>
      <c r="B124" s="32"/>
      <c r="C124" s="33"/>
      <c r="D124" s="33"/>
      <c r="E124" s="33"/>
      <c r="F124" s="33"/>
      <c r="G124" s="33"/>
      <c r="H124" s="33"/>
      <c r="I124" s="33"/>
      <c r="J124" s="33"/>
      <c r="K124" s="33"/>
      <c r="L124" s="33"/>
      <c r="M124" s="33"/>
      <c r="N124" s="33"/>
      <c r="O124" s="33"/>
      <c r="Q124" s="13"/>
      <c r="R124" s="13"/>
      <c r="S124" s="13"/>
    </row>
    <row r="125" spans="1:19" s="47" customFormat="1" x14ac:dyDescent="0.4">
      <c r="A125" s="13"/>
      <c r="B125" s="32"/>
      <c r="C125" s="33"/>
      <c r="D125" s="33"/>
      <c r="E125" s="33"/>
      <c r="F125" s="33"/>
      <c r="G125" s="33"/>
      <c r="H125" s="33"/>
      <c r="I125" s="33"/>
      <c r="J125" s="33"/>
      <c r="K125" s="33"/>
      <c r="L125" s="33"/>
      <c r="M125" s="33"/>
      <c r="N125" s="33"/>
      <c r="O125" s="33"/>
      <c r="Q125" s="13"/>
      <c r="R125" s="13"/>
      <c r="S125" s="13"/>
    </row>
    <row r="126" spans="1:19" s="47" customFormat="1" x14ac:dyDescent="0.4">
      <c r="A126" s="13"/>
      <c r="B126" s="32"/>
      <c r="C126" s="33"/>
      <c r="D126" s="33"/>
      <c r="E126" s="33"/>
      <c r="F126" s="33"/>
      <c r="G126" s="33"/>
      <c r="H126" s="33"/>
      <c r="I126" s="33"/>
      <c r="J126" s="33"/>
      <c r="K126" s="33"/>
      <c r="L126" s="33"/>
      <c r="M126" s="33"/>
      <c r="N126" s="33"/>
      <c r="O126" s="33"/>
      <c r="Q126" s="13"/>
      <c r="R126" s="13"/>
      <c r="S126" s="13"/>
    </row>
    <row r="127" spans="1:19" s="47" customFormat="1" x14ac:dyDescent="0.4">
      <c r="A127" s="13"/>
      <c r="B127" s="32"/>
      <c r="C127" s="33"/>
      <c r="D127" s="33"/>
      <c r="E127" s="33"/>
      <c r="F127" s="33"/>
      <c r="G127" s="33"/>
      <c r="H127" s="33"/>
      <c r="I127" s="33"/>
      <c r="J127" s="33"/>
      <c r="K127" s="33"/>
      <c r="L127" s="33"/>
      <c r="M127" s="33"/>
      <c r="N127" s="33"/>
      <c r="O127" s="33"/>
      <c r="Q127" s="13"/>
      <c r="R127" s="13"/>
      <c r="S127" s="13"/>
    </row>
    <row r="128" spans="1:19" s="47" customFormat="1" x14ac:dyDescent="0.4">
      <c r="A128" s="13"/>
      <c r="B128" s="32"/>
      <c r="C128" s="33"/>
      <c r="D128" s="33"/>
      <c r="E128" s="33"/>
      <c r="F128" s="33"/>
      <c r="G128" s="33"/>
      <c r="H128" s="33"/>
      <c r="I128" s="33"/>
      <c r="J128" s="33"/>
      <c r="K128" s="33"/>
      <c r="L128" s="33"/>
      <c r="M128" s="33"/>
      <c r="N128" s="33"/>
      <c r="O128" s="33"/>
      <c r="Q128" s="13"/>
      <c r="R128" s="13"/>
      <c r="S128" s="13"/>
    </row>
    <row r="129" spans="1:19" s="47" customFormat="1" x14ac:dyDescent="0.4">
      <c r="A129" s="13"/>
      <c r="B129" s="32"/>
      <c r="C129" s="33"/>
      <c r="D129" s="33"/>
      <c r="E129" s="33"/>
      <c r="F129" s="33"/>
      <c r="G129" s="33"/>
      <c r="H129" s="33"/>
      <c r="I129" s="33"/>
      <c r="J129" s="33"/>
      <c r="K129" s="33"/>
      <c r="L129" s="33"/>
      <c r="M129" s="33"/>
      <c r="N129" s="33"/>
      <c r="O129" s="33"/>
      <c r="Q129" s="13"/>
      <c r="R129" s="13"/>
      <c r="S129" s="13"/>
    </row>
    <row r="130" spans="1:19" s="47" customFormat="1" x14ac:dyDescent="0.4">
      <c r="A130" s="13"/>
      <c r="B130" s="32"/>
      <c r="C130" s="33"/>
      <c r="D130" s="33"/>
      <c r="E130" s="33"/>
      <c r="F130" s="33"/>
      <c r="G130" s="33"/>
      <c r="H130" s="33"/>
      <c r="I130" s="33"/>
      <c r="J130" s="33"/>
      <c r="K130" s="33"/>
      <c r="L130" s="33"/>
      <c r="M130" s="33"/>
      <c r="N130" s="33"/>
      <c r="O130" s="33"/>
      <c r="Q130" s="13"/>
      <c r="R130" s="13"/>
      <c r="S130" s="13"/>
    </row>
    <row r="131" spans="1:19" s="47" customFormat="1" x14ac:dyDescent="0.4">
      <c r="A131" s="13"/>
      <c r="B131" s="32"/>
      <c r="C131" s="33"/>
      <c r="D131" s="33"/>
      <c r="E131" s="33"/>
      <c r="F131" s="33"/>
      <c r="G131" s="33"/>
      <c r="H131" s="33"/>
      <c r="I131" s="33"/>
      <c r="J131" s="33"/>
      <c r="K131" s="33"/>
      <c r="L131" s="33"/>
      <c r="M131" s="33"/>
      <c r="N131" s="33"/>
      <c r="O131" s="33"/>
      <c r="Q131" s="13"/>
      <c r="R131" s="13"/>
      <c r="S131" s="13"/>
    </row>
    <row r="132" spans="1:19" s="47" customFormat="1" x14ac:dyDescent="0.4">
      <c r="A132" s="13"/>
      <c r="B132" s="32"/>
      <c r="C132" s="33"/>
      <c r="D132" s="33"/>
      <c r="E132" s="33"/>
      <c r="F132" s="33"/>
      <c r="G132" s="33"/>
      <c r="H132" s="33"/>
      <c r="I132" s="33"/>
      <c r="J132" s="33"/>
      <c r="K132" s="33"/>
      <c r="L132" s="33"/>
      <c r="M132" s="33"/>
      <c r="N132" s="33"/>
      <c r="O132" s="33"/>
      <c r="Q132" s="13"/>
      <c r="R132" s="13"/>
      <c r="S132" s="13"/>
    </row>
    <row r="133" spans="1:19" s="47" customFormat="1" x14ac:dyDescent="0.4">
      <c r="A133" s="13"/>
      <c r="B133" s="32"/>
      <c r="C133" s="33"/>
      <c r="D133" s="33"/>
      <c r="E133" s="33"/>
      <c r="F133" s="33"/>
      <c r="G133" s="33"/>
      <c r="H133" s="33"/>
      <c r="I133" s="33"/>
      <c r="J133" s="33"/>
      <c r="K133" s="33"/>
      <c r="L133" s="33"/>
      <c r="M133" s="33"/>
      <c r="N133" s="33"/>
      <c r="O133" s="33"/>
      <c r="Q133" s="13"/>
      <c r="R133" s="13"/>
      <c r="S133" s="13"/>
    </row>
    <row r="134" spans="1:19" s="47" customFormat="1" x14ac:dyDescent="0.4">
      <c r="A134" s="13"/>
      <c r="B134" s="32"/>
      <c r="C134" s="33"/>
      <c r="D134" s="33"/>
      <c r="E134" s="33"/>
      <c r="F134" s="33"/>
      <c r="G134" s="33"/>
      <c r="H134" s="33"/>
      <c r="I134" s="33"/>
      <c r="J134" s="33"/>
      <c r="K134" s="33"/>
      <c r="L134" s="33"/>
      <c r="M134" s="33"/>
      <c r="N134" s="33"/>
      <c r="O134" s="33"/>
      <c r="Q134" s="13"/>
      <c r="R134" s="13"/>
      <c r="S134" s="13"/>
    </row>
    <row r="135" spans="1:19" s="47" customFormat="1" x14ac:dyDescent="0.4">
      <c r="A135" s="13"/>
      <c r="B135" s="32"/>
      <c r="C135" s="33"/>
      <c r="D135" s="33"/>
      <c r="E135" s="33"/>
      <c r="F135" s="33"/>
      <c r="G135" s="33"/>
      <c r="H135" s="33"/>
      <c r="I135" s="33"/>
      <c r="J135" s="33"/>
      <c r="K135" s="33"/>
      <c r="L135" s="33"/>
      <c r="M135" s="33"/>
      <c r="N135" s="33"/>
      <c r="O135" s="33"/>
      <c r="Q135" s="13"/>
      <c r="R135" s="13"/>
      <c r="S135" s="13"/>
    </row>
    <row r="136" spans="1:19" s="47" customFormat="1" x14ac:dyDescent="0.4">
      <c r="A136" s="13"/>
      <c r="B136" s="32"/>
      <c r="C136" s="33"/>
      <c r="D136" s="33"/>
      <c r="E136" s="33"/>
      <c r="F136" s="33"/>
      <c r="G136" s="33"/>
      <c r="H136" s="33"/>
      <c r="I136" s="33"/>
      <c r="J136" s="33"/>
      <c r="K136" s="33"/>
      <c r="L136" s="33"/>
      <c r="M136" s="33"/>
      <c r="N136" s="33"/>
      <c r="O136" s="33"/>
      <c r="Q136" s="13"/>
      <c r="R136" s="13"/>
      <c r="S136" s="13"/>
    </row>
    <row r="137" spans="1:19" s="47" customFormat="1" x14ac:dyDescent="0.4">
      <c r="A137" s="13"/>
      <c r="B137" s="32"/>
      <c r="C137" s="33"/>
      <c r="D137" s="33"/>
      <c r="E137" s="33"/>
      <c r="F137" s="33"/>
      <c r="G137" s="33"/>
      <c r="H137" s="33"/>
      <c r="I137" s="33"/>
      <c r="J137" s="33"/>
      <c r="K137" s="33"/>
      <c r="L137" s="33"/>
      <c r="M137" s="33"/>
      <c r="N137" s="33"/>
      <c r="O137" s="33"/>
      <c r="Q137" s="13"/>
      <c r="R137" s="13"/>
      <c r="S137" s="13"/>
    </row>
    <row r="138" spans="1:19" s="47" customFormat="1" x14ac:dyDescent="0.4">
      <c r="A138" s="13"/>
      <c r="B138" s="32"/>
      <c r="C138" s="33"/>
      <c r="D138" s="33"/>
      <c r="E138" s="33"/>
      <c r="F138" s="33"/>
      <c r="G138" s="33"/>
      <c r="H138" s="33"/>
      <c r="I138" s="33"/>
      <c r="J138" s="33"/>
      <c r="K138" s="33"/>
      <c r="L138" s="33"/>
      <c r="M138" s="33"/>
      <c r="N138" s="33"/>
      <c r="O138" s="33"/>
      <c r="Q138" s="13"/>
      <c r="R138" s="13"/>
      <c r="S138" s="13"/>
    </row>
    <row r="139" spans="1:19" s="47" customFormat="1" x14ac:dyDescent="0.4">
      <c r="A139" s="13"/>
      <c r="B139" s="32"/>
      <c r="C139" s="33"/>
      <c r="D139" s="33"/>
      <c r="E139" s="33"/>
      <c r="F139" s="33"/>
      <c r="G139" s="33"/>
      <c r="H139" s="33"/>
      <c r="I139" s="33"/>
      <c r="J139" s="33"/>
      <c r="K139" s="33"/>
      <c r="L139" s="33"/>
      <c r="M139" s="33"/>
      <c r="N139" s="33"/>
      <c r="O139" s="33"/>
      <c r="Q139" s="13"/>
      <c r="R139" s="13"/>
      <c r="S139" s="13"/>
    </row>
    <row r="140" spans="1:19" s="47" customFormat="1" x14ac:dyDescent="0.4">
      <c r="A140" s="13"/>
      <c r="B140" s="32"/>
      <c r="C140" s="33"/>
      <c r="D140" s="33"/>
      <c r="E140" s="33"/>
      <c r="F140" s="33"/>
      <c r="G140" s="33"/>
      <c r="H140" s="33"/>
      <c r="I140" s="33"/>
      <c r="J140" s="33"/>
      <c r="K140" s="33"/>
      <c r="L140" s="33"/>
      <c r="M140" s="33"/>
      <c r="N140" s="33"/>
      <c r="O140" s="33"/>
      <c r="Q140" s="13"/>
      <c r="R140" s="13"/>
      <c r="S140" s="13"/>
    </row>
    <row r="141" spans="1:19" s="47" customFormat="1" x14ac:dyDescent="0.4">
      <c r="A141" s="13"/>
      <c r="B141" s="32"/>
      <c r="C141" s="33"/>
      <c r="D141" s="33"/>
      <c r="E141" s="33"/>
      <c r="F141" s="33"/>
      <c r="G141" s="33"/>
      <c r="H141" s="33"/>
      <c r="I141" s="33"/>
      <c r="J141" s="33"/>
      <c r="K141" s="33"/>
      <c r="L141" s="33"/>
      <c r="M141" s="33"/>
      <c r="N141" s="33"/>
      <c r="O141" s="33"/>
      <c r="Q141" s="13"/>
      <c r="R141" s="13"/>
      <c r="S141" s="13"/>
    </row>
    <row r="142" spans="1:19" s="47" customFormat="1" x14ac:dyDescent="0.4">
      <c r="A142" s="13"/>
      <c r="B142" s="32"/>
      <c r="C142" s="33"/>
      <c r="D142" s="33"/>
      <c r="E142" s="33"/>
      <c r="F142" s="33"/>
      <c r="G142" s="33"/>
      <c r="H142" s="33"/>
      <c r="I142" s="33"/>
      <c r="J142" s="33"/>
      <c r="K142" s="33"/>
      <c r="L142" s="33"/>
      <c r="M142" s="33"/>
      <c r="N142" s="33"/>
      <c r="O142" s="33"/>
      <c r="Q142" s="13"/>
      <c r="R142" s="13"/>
      <c r="S142" s="13"/>
    </row>
  </sheetData>
  <pageMargins left="0.7" right="0.7" top="0.75" bottom="0.75" header="0.3" footer="0.3"/>
  <pageSetup scale="93" fitToHeight="0" orientation="landscape" r:id="rId1"/>
  <headerFooter>
    <oddFooter>&amp;L&amp;G&amp;R&amp;P</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pageSetUpPr fitToPage="1"/>
  </sheetPr>
  <dimension ref="A1:S145"/>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ColWidth="9.140625" defaultRowHeight="18" outlineLevelCol="2" x14ac:dyDescent="0.4"/>
  <cols>
    <col min="1" max="1" width="70.5" style="13" customWidth="1"/>
    <col min="2" max="2" width="13.640625" style="4" hidden="1" customWidth="1" outlineLevel="2"/>
    <col min="3" max="9" width="15" style="5" hidden="1" customWidth="1" outlineLevel="1"/>
    <col min="10" max="10" width="15" style="5" customWidth="1" collapsed="1"/>
    <col min="11" max="15" width="1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8</v>
      </c>
      <c r="B2" s="28"/>
      <c r="C2" s="29"/>
      <c r="D2" s="29"/>
      <c r="E2" s="29"/>
      <c r="F2" s="29"/>
      <c r="G2" s="29"/>
      <c r="H2" s="29"/>
      <c r="I2" s="29"/>
      <c r="J2" s="29"/>
      <c r="K2" s="29"/>
      <c r="L2" s="29"/>
      <c r="M2" s="29"/>
      <c r="N2" s="29"/>
      <c r="O2" s="29"/>
      <c r="P2" s="48"/>
      <c r="R2" s="6" t="s">
        <v>430</v>
      </c>
      <c r="S2" s="6" t="s">
        <v>640</v>
      </c>
    </row>
    <row r="3" spans="1:19" x14ac:dyDescent="0.55000000000000004">
      <c r="A3" s="19" t="s">
        <v>24</v>
      </c>
      <c r="B3" s="28"/>
      <c r="C3" s="52">
        <f t="shared" ref="C3" si="0">D3+1</f>
        <v>12</v>
      </c>
      <c r="D3" s="52">
        <f t="shared" ref="D3:E3" si="1">E3+1</f>
        <v>11</v>
      </c>
      <c r="E3" s="52">
        <f t="shared" si="1"/>
        <v>10</v>
      </c>
      <c r="F3" s="52">
        <f t="shared" ref="F3:G3" si="2">G3+1</f>
        <v>9</v>
      </c>
      <c r="G3" s="52">
        <f t="shared" si="2"/>
        <v>8</v>
      </c>
      <c r="H3" s="52">
        <f t="shared" ref="H3:I3" si="3">I3+1</f>
        <v>7</v>
      </c>
      <c r="I3" s="52">
        <f t="shared" si="3"/>
        <v>6</v>
      </c>
      <c r="J3" s="52">
        <f t="shared" ref="J3:M3" si="4">K3+1</f>
        <v>5</v>
      </c>
      <c r="K3" s="52">
        <f t="shared" si="4"/>
        <v>4</v>
      </c>
      <c r="L3" s="52">
        <f t="shared" si="4"/>
        <v>3</v>
      </c>
      <c r="M3" s="52">
        <f t="shared" si="4"/>
        <v>2</v>
      </c>
      <c r="N3" s="52">
        <f>O3+1</f>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559</v>
      </c>
      <c r="B6" s="35"/>
      <c r="C6" s="35"/>
      <c r="D6" s="35"/>
      <c r="E6" s="35"/>
      <c r="F6" s="35"/>
      <c r="G6" s="35"/>
      <c r="H6" s="35"/>
      <c r="I6" s="35"/>
      <c r="J6" s="35"/>
      <c r="K6" s="35"/>
      <c r="L6" s="35"/>
      <c r="M6" s="35"/>
      <c r="N6" s="35"/>
      <c r="O6" s="35"/>
      <c r="P6" s="49">
        <v>1</v>
      </c>
    </row>
    <row r="7" spans="1:19" s="40" customFormat="1" ht="14.25" x14ac:dyDescent="0.4">
      <c r="A7" s="41" t="s">
        <v>560</v>
      </c>
      <c r="B7" s="37" t="s">
        <v>2177</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27</v>
      </c>
    </row>
    <row r="8" spans="1:19" s="40" customFormat="1" ht="14.25" x14ac:dyDescent="0.4">
      <c r="A8" s="41" t="s">
        <v>561</v>
      </c>
      <c r="B8" s="37" t="s">
        <v>2178</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57</v>
      </c>
    </row>
    <row r="9" spans="1:19" s="40" customFormat="1" ht="14.25" x14ac:dyDescent="0.4">
      <c r="A9" s="39" t="s">
        <v>562</v>
      </c>
      <c r="B9" s="37"/>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2</v>
      </c>
    </row>
    <row r="10" spans="1:19" s="40" customFormat="1" ht="14.25" x14ac:dyDescent="0.4">
      <c r="A10" s="41" t="s">
        <v>563</v>
      </c>
      <c r="B10" s="37" t="s">
        <v>2179</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86</v>
      </c>
    </row>
    <row r="11" spans="1:19" s="40" customFormat="1" ht="14.25" x14ac:dyDescent="0.4">
      <c r="A11" s="41" t="s">
        <v>565</v>
      </c>
      <c r="B11" s="37" t="s">
        <v>2180</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102</v>
      </c>
    </row>
    <row r="12" spans="1:19" s="40" customFormat="1" ht="14.25" x14ac:dyDescent="0.4">
      <c r="A12" s="39" t="s">
        <v>567</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3</v>
      </c>
    </row>
    <row r="13" spans="1:19" s="40" customFormat="1" ht="14.25" x14ac:dyDescent="0.4">
      <c r="A13" s="41" t="s">
        <v>2173</v>
      </c>
      <c r="B13" s="37" t="s">
        <v>568</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620</v>
      </c>
    </row>
    <row r="14" spans="1:19" s="40" customFormat="1" ht="14.25" x14ac:dyDescent="0.4">
      <c r="A14" s="41" t="s">
        <v>569</v>
      </c>
      <c r="B14" s="37" t="s">
        <v>2181</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621</v>
      </c>
    </row>
    <row r="15" spans="1:19" x14ac:dyDescent="0.4">
      <c r="A15" s="39" t="s">
        <v>570</v>
      </c>
      <c r="B15" s="37"/>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4</v>
      </c>
    </row>
    <row r="16" spans="1:19" x14ac:dyDescent="0.4">
      <c r="A16" s="41" t="s">
        <v>571</v>
      </c>
      <c r="B16" s="37" t="s">
        <v>2182</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622</v>
      </c>
    </row>
    <row r="17" spans="1:19" x14ac:dyDescent="0.4">
      <c r="A17" s="41" t="s">
        <v>572</v>
      </c>
      <c r="B17" s="37" t="s">
        <v>2183</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623</v>
      </c>
    </row>
    <row r="18" spans="1:19" x14ac:dyDescent="0.4">
      <c r="A18" s="41" t="s">
        <v>573</v>
      </c>
      <c r="B18" s="37" t="s">
        <v>2184</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624</v>
      </c>
    </row>
    <row r="19" spans="1:19" x14ac:dyDescent="0.4">
      <c r="A19" s="41" t="s">
        <v>574</v>
      </c>
      <c r="B19" s="37" t="s">
        <v>2185</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625</v>
      </c>
    </row>
    <row r="20" spans="1:19" x14ac:dyDescent="0.4">
      <c r="A20" s="39" t="s">
        <v>575</v>
      </c>
      <c r="B20" s="37" t="s">
        <v>2186</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5</v>
      </c>
    </row>
    <row r="21" spans="1:19" x14ac:dyDescent="0.4">
      <c r="A21" s="39" t="s">
        <v>577</v>
      </c>
      <c r="B21" s="37" t="s">
        <v>2187</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6</v>
      </c>
    </row>
    <row r="22" spans="1:19" x14ac:dyDescent="0.4">
      <c r="A22" s="39" t="s">
        <v>578</v>
      </c>
      <c r="B22" s="37" t="s">
        <v>2188</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7</v>
      </c>
    </row>
    <row r="23" spans="1:19" x14ac:dyDescent="0.4">
      <c r="A23" s="39" t="s">
        <v>579</v>
      </c>
      <c r="B23" s="37" t="s">
        <v>2189</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8</v>
      </c>
    </row>
    <row r="24" spans="1:19" x14ac:dyDescent="0.4">
      <c r="A24" s="39" t="s">
        <v>580</v>
      </c>
      <c r="B24" s="37" t="s">
        <v>2190</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9</v>
      </c>
    </row>
    <row r="25" spans="1:19" x14ac:dyDescent="0.4">
      <c r="A25" s="39" t="s">
        <v>581</v>
      </c>
      <c r="B25" s="37"/>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10</v>
      </c>
    </row>
    <row r="26" spans="1:19" x14ac:dyDescent="0.4">
      <c r="A26" s="41" t="s">
        <v>582</v>
      </c>
      <c r="B26" s="37" t="s">
        <v>2191</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626</v>
      </c>
    </row>
    <row r="27" spans="1:19" x14ac:dyDescent="0.4">
      <c r="A27" s="41" t="s">
        <v>583</v>
      </c>
      <c r="B27" s="37" t="s">
        <v>2192</v>
      </c>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627</v>
      </c>
    </row>
    <row r="28" spans="1:19" x14ac:dyDescent="0.4">
      <c r="A28" s="39" t="s">
        <v>584</v>
      </c>
      <c r="B28" s="37" t="s">
        <v>2193</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11</v>
      </c>
    </row>
    <row r="29" spans="1:19" x14ac:dyDescent="0.4">
      <c r="A29" s="39" t="s">
        <v>585</v>
      </c>
      <c r="B29" s="37" t="s">
        <v>2194</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12</v>
      </c>
    </row>
    <row r="30" spans="1:19" s="47" customFormat="1" x14ac:dyDescent="0.4">
      <c r="A30" s="39" t="s">
        <v>586</v>
      </c>
      <c r="B30" s="37"/>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13</v>
      </c>
      <c r="Q30" s="13"/>
      <c r="R30" s="13"/>
      <c r="S30" s="13"/>
    </row>
    <row r="31" spans="1:19" s="47" customFormat="1" ht="28.5" x14ac:dyDescent="0.4">
      <c r="A31" s="41" t="s">
        <v>2174</v>
      </c>
      <c r="B31" s="37" t="s">
        <v>587</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628</v>
      </c>
      <c r="Q31" s="13"/>
      <c r="R31" s="13"/>
      <c r="S31" s="13"/>
    </row>
    <row r="32" spans="1:19" s="47" customFormat="1" x14ac:dyDescent="0.4">
      <c r="A32" s="42" t="s">
        <v>588</v>
      </c>
      <c r="B32" s="37" t="s">
        <v>589</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629</v>
      </c>
      <c r="Q32" s="13"/>
      <c r="R32" s="13"/>
      <c r="S32" s="13"/>
    </row>
    <row r="33" spans="1:19" s="47" customFormat="1" x14ac:dyDescent="0.4">
      <c r="A33" s="42" t="s">
        <v>590</v>
      </c>
      <c r="B33" s="37" t="s">
        <v>591</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630</v>
      </c>
      <c r="Q33" s="13"/>
      <c r="R33" s="13"/>
      <c r="S33" s="13"/>
    </row>
    <row r="34" spans="1:19" s="47" customFormat="1" ht="28.5" x14ac:dyDescent="0.4">
      <c r="A34" s="41" t="s">
        <v>2175</v>
      </c>
      <c r="B34" s="37" t="s">
        <v>2195</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631</v>
      </c>
      <c r="Q34" s="13"/>
      <c r="R34" s="13"/>
      <c r="S34" s="13"/>
    </row>
    <row r="35" spans="1:19" s="47" customFormat="1" x14ac:dyDescent="0.4">
      <c r="A35" s="39" t="s">
        <v>588</v>
      </c>
      <c r="B35" s="37" t="s">
        <v>2196</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v>14</v>
      </c>
      <c r="Q35" s="13"/>
      <c r="R35" s="13"/>
      <c r="S35" s="13"/>
    </row>
    <row r="36" spans="1:19" s="47" customFormat="1" x14ac:dyDescent="0.4">
      <c r="A36" s="41" t="s">
        <v>590</v>
      </c>
      <c r="B36" s="37" t="s">
        <v>2197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632</v>
      </c>
      <c r="Q36" s="13"/>
      <c r="R36" s="13"/>
      <c r="S36" s="13"/>
    </row>
    <row r="37" spans="1:19" s="47" customFormat="1" ht="28.5" x14ac:dyDescent="0.4">
      <c r="A37" s="41" t="s">
        <v>592</v>
      </c>
      <c r="B37" s="37"/>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633</v>
      </c>
      <c r="Q37" s="13"/>
      <c r="R37" s="13"/>
      <c r="S37" s="13"/>
    </row>
    <row r="38" spans="1:19" s="47" customFormat="1" x14ac:dyDescent="0.4">
      <c r="A38" s="39" t="s">
        <v>2176</v>
      </c>
      <c r="B38" s="37" t="s">
        <v>593</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v>15</v>
      </c>
      <c r="Q38" s="13"/>
      <c r="R38" s="13"/>
      <c r="S38" s="13"/>
    </row>
    <row r="39" spans="1:19" s="47" customFormat="1" x14ac:dyDescent="0.4">
      <c r="A39" s="39" t="s">
        <v>594</v>
      </c>
      <c r="B39" s="37" t="s">
        <v>2198</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16</v>
      </c>
      <c r="Q39" s="13"/>
      <c r="R39" s="13"/>
      <c r="S39" s="13"/>
    </row>
    <row r="40" spans="1:19" s="47" customFormat="1" x14ac:dyDescent="0.4">
      <c r="A40" s="39" t="s">
        <v>595</v>
      </c>
      <c r="B40" s="37" t="s">
        <v>2199</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17</v>
      </c>
      <c r="Q40" s="13"/>
      <c r="R40" s="13"/>
      <c r="S40" s="13"/>
    </row>
    <row r="41" spans="1:19" s="47" customFormat="1" ht="28.5" x14ac:dyDescent="0.4">
      <c r="A41" s="39" t="s">
        <v>597</v>
      </c>
      <c r="B41" s="37" t="s">
        <v>2200</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18</v>
      </c>
      <c r="Q41" s="13"/>
      <c r="R41" s="13"/>
      <c r="S41" s="13"/>
    </row>
    <row r="42" spans="1:19" s="47" customFormat="1" x14ac:dyDescent="0.4">
      <c r="A42" s="39" t="s">
        <v>599</v>
      </c>
      <c r="B42" s="37"/>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19</v>
      </c>
      <c r="Q42" s="13"/>
      <c r="R42" s="13"/>
      <c r="S42" s="13"/>
    </row>
    <row r="43" spans="1:19" s="47" customFormat="1" x14ac:dyDescent="0.4">
      <c r="A43" s="39" t="s">
        <v>600</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20</v>
      </c>
      <c r="Q43" s="13"/>
      <c r="R43" s="13"/>
      <c r="S43" s="13"/>
    </row>
    <row r="44" spans="1:19" s="47" customFormat="1" x14ac:dyDescent="0.4">
      <c r="A44" s="39" t="s">
        <v>601</v>
      </c>
      <c r="B44" s="37" t="s">
        <v>2201</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21</v>
      </c>
      <c r="Q44" s="13"/>
      <c r="R44" s="13"/>
      <c r="S44" s="13"/>
    </row>
    <row r="45" spans="1:19" s="47" customFormat="1" x14ac:dyDescent="0.4">
      <c r="A45" s="39" t="s">
        <v>602</v>
      </c>
      <c r="B45" s="37" t="s">
        <v>2202</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v>22</v>
      </c>
      <c r="Q45" s="13"/>
      <c r="R45" s="13"/>
      <c r="S45" s="13"/>
    </row>
    <row r="46" spans="1:19" s="47" customFormat="1" x14ac:dyDescent="0.4">
      <c r="A46" s="39" t="s">
        <v>603</v>
      </c>
      <c r="B46" s="37" t="s">
        <v>2203</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v>23</v>
      </c>
      <c r="Q46" s="13"/>
      <c r="R46" s="13"/>
      <c r="S46" s="13"/>
    </row>
    <row r="47" spans="1:19" s="47" customFormat="1" x14ac:dyDescent="0.4">
      <c r="A47" s="39" t="s">
        <v>604</v>
      </c>
      <c r="B47" s="37"/>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v>24</v>
      </c>
      <c r="Q47" s="13"/>
      <c r="R47" s="13"/>
      <c r="S47" s="13"/>
    </row>
    <row r="48" spans="1:19" s="47" customFormat="1" x14ac:dyDescent="0.4">
      <c r="A48" s="39" t="s">
        <v>605</v>
      </c>
      <c r="B48" s="37" t="s">
        <v>2204</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v>25</v>
      </c>
      <c r="Q48" s="13"/>
      <c r="R48" s="13"/>
      <c r="S48" s="13"/>
    </row>
    <row r="49" spans="1:19" s="47" customFormat="1" x14ac:dyDescent="0.4">
      <c r="A49" s="39" t="s">
        <v>606</v>
      </c>
      <c r="B49" s="37" t="s">
        <v>2205</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v>26</v>
      </c>
      <c r="Q49" s="13"/>
      <c r="R49" s="13"/>
      <c r="S49" s="13"/>
    </row>
    <row r="50" spans="1:19" s="47" customFormat="1" x14ac:dyDescent="0.4">
      <c r="A50" s="41" t="s">
        <v>607</v>
      </c>
      <c r="B50" s="37" t="s">
        <v>2206</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634</v>
      </c>
      <c r="Q50" s="13"/>
      <c r="R50" s="13"/>
      <c r="S50" s="13"/>
    </row>
    <row r="51" spans="1:19" s="47" customFormat="1" x14ac:dyDescent="0.4">
      <c r="A51" s="41" t="s">
        <v>608</v>
      </c>
      <c r="B51" s="37"/>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635</v>
      </c>
      <c r="Q51" s="13"/>
      <c r="R51" s="13"/>
      <c r="S51" s="13"/>
    </row>
    <row r="52" spans="1:19" s="47" customFormat="1" x14ac:dyDescent="0.4">
      <c r="A52" s="41" t="s">
        <v>609</v>
      </c>
      <c r="B52" s="37" t="s">
        <v>2207</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636</v>
      </c>
      <c r="Q52" s="13"/>
      <c r="R52" s="13"/>
      <c r="S52" s="13"/>
    </row>
    <row r="53" spans="1:19" s="47" customFormat="1" x14ac:dyDescent="0.4">
      <c r="A53" s="39" t="s">
        <v>610</v>
      </c>
      <c r="B53" s="37" t="s">
        <v>2208</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v>27</v>
      </c>
      <c r="Q53" s="13"/>
      <c r="R53" s="13"/>
      <c r="S53" s="13"/>
    </row>
    <row r="54" spans="1:19" s="47" customFormat="1" x14ac:dyDescent="0.4">
      <c r="A54" s="41" t="s">
        <v>611</v>
      </c>
      <c r="B54" s="37" t="s">
        <v>2209</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637</v>
      </c>
      <c r="Q54" s="13"/>
      <c r="R54" s="13"/>
      <c r="S54" s="13"/>
    </row>
    <row r="55" spans="1:19" s="47" customFormat="1" x14ac:dyDescent="0.4">
      <c r="A55" s="41" t="s">
        <v>612</v>
      </c>
      <c r="B55" s="37"/>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638</v>
      </c>
      <c r="Q55" s="13"/>
      <c r="R55" s="13"/>
      <c r="S55" s="13"/>
    </row>
    <row r="56" spans="1:19" s="47" customFormat="1" x14ac:dyDescent="0.4">
      <c r="A56" s="39" t="s">
        <v>613</v>
      </c>
      <c r="B56" s="37" t="s">
        <v>2210</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v>28</v>
      </c>
      <c r="Q56" s="13"/>
      <c r="R56" s="13"/>
      <c r="S56" s="13"/>
    </row>
    <row r="57" spans="1:19" s="47" customFormat="1" x14ac:dyDescent="0.4">
      <c r="A57" s="39" t="s">
        <v>614</v>
      </c>
      <c r="B57" s="37" t="s">
        <v>2211</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v>29</v>
      </c>
      <c r="Q57" s="13"/>
      <c r="R57" s="13"/>
      <c r="S57" s="13"/>
    </row>
    <row r="58" spans="1:19" s="47" customFormat="1" x14ac:dyDescent="0.4">
      <c r="A58" s="39" t="s">
        <v>615</v>
      </c>
      <c r="B58" s="37" t="s">
        <v>2212</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c r="Q58" s="13"/>
      <c r="R58" s="13"/>
      <c r="S58" s="13"/>
    </row>
    <row r="59" spans="1:19" s="47" customFormat="1" x14ac:dyDescent="0.4">
      <c r="A59" s="39" t="s">
        <v>616</v>
      </c>
      <c r="B59" s="37" t="s">
        <v>2213</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c r="Q59" s="13"/>
      <c r="R59" s="13"/>
      <c r="S59" s="13"/>
    </row>
    <row r="60" spans="1:19" s="47" customFormat="1" x14ac:dyDescent="0.4">
      <c r="A60" s="39"/>
      <c r="B60" s="37"/>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c r="Q60" s="13"/>
      <c r="R60" s="13"/>
      <c r="S60" s="13"/>
    </row>
    <row r="61" spans="1:19" s="47" customFormat="1" x14ac:dyDescent="0.4">
      <c r="A61" s="11" t="s">
        <v>208</v>
      </c>
      <c r="B61" s="37"/>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c r="Q61" s="13"/>
      <c r="R61" s="13"/>
      <c r="S61" s="13"/>
    </row>
    <row r="62" spans="1:19" s="47" customFormat="1" ht="42.75" x14ac:dyDescent="0.4">
      <c r="A62" s="39" t="s">
        <v>617</v>
      </c>
      <c r="B62" s="37" t="s">
        <v>2214</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210</v>
      </c>
      <c r="Q62" s="13"/>
      <c r="R62" s="13"/>
      <c r="S62" s="13"/>
    </row>
    <row r="63" spans="1:19" s="47" customFormat="1" x14ac:dyDescent="0.4">
      <c r="A63" s="39" t="s">
        <v>618</v>
      </c>
      <c r="B63" s="37" t="s">
        <v>619</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213</v>
      </c>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row r="97" spans="1:19" s="47" customFormat="1" x14ac:dyDescent="0.4">
      <c r="A97" s="13"/>
      <c r="B97" s="32"/>
      <c r="C97" s="33"/>
      <c r="D97" s="33"/>
      <c r="E97" s="33"/>
      <c r="F97" s="33"/>
      <c r="G97" s="33"/>
      <c r="H97" s="33"/>
      <c r="I97" s="33"/>
      <c r="J97" s="33"/>
      <c r="K97" s="33"/>
      <c r="L97" s="33"/>
      <c r="M97" s="33"/>
      <c r="N97" s="33"/>
      <c r="O97" s="33"/>
      <c r="Q97" s="13"/>
      <c r="R97" s="13"/>
      <c r="S97" s="13"/>
    </row>
    <row r="98" spans="1:19" s="47" customFormat="1" x14ac:dyDescent="0.4">
      <c r="A98" s="13"/>
      <c r="B98" s="32"/>
      <c r="C98" s="33"/>
      <c r="D98" s="33"/>
      <c r="E98" s="33"/>
      <c r="F98" s="33"/>
      <c r="G98" s="33"/>
      <c r="H98" s="33"/>
      <c r="I98" s="33"/>
      <c r="J98" s="33"/>
      <c r="K98" s="33"/>
      <c r="L98" s="33"/>
      <c r="M98" s="33"/>
      <c r="N98" s="33"/>
      <c r="O98" s="33"/>
      <c r="Q98" s="13"/>
      <c r="R98" s="13"/>
      <c r="S98" s="13"/>
    </row>
    <row r="99" spans="1:19" s="47" customFormat="1" x14ac:dyDescent="0.4">
      <c r="A99" s="13"/>
      <c r="B99" s="32"/>
      <c r="C99" s="33"/>
      <c r="D99" s="33"/>
      <c r="E99" s="33"/>
      <c r="F99" s="33"/>
      <c r="G99" s="33"/>
      <c r="H99" s="33"/>
      <c r="I99" s="33"/>
      <c r="J99" s="33"/>
      <c r="K99" s="33"/>
      <c r="L99" s="33"/>
      <c r="M99" s="33"/>
      <c r="N99" s="33"/>
      <c r="O99" s="33"/>
      <c r="Q99" s="13"/>
      <c r="R99" s="13"/>
      <c r="S99" s="13"/>
    </row>
    <row r="100" spans="1:19" s="47" customFormat="1" x14ac:dyDescent="0.4">
      <c r="A100" s="13"/>
      <c r="B100" s="32"/>
      <c r="C100" s="33"/>
      <c r="D100" s="33"/>
      <c r="E100" s="33"/>
      <c r="F100" s="33"/>
      <c r="G100" s="33"/>
      <c r="H100" s="33"/>
      <c r="I100" s="33"/>
      <c r="J100" s="33"/>
      <c r="K100" s="33"/>
      <c r="L100" s="33"/>
      <c r="M100" s="33"/>
      <c r="N100" s="33"/>
      <c r="O100" s="33"/>
      <c r="Q100" s="13"/>
      <c r="R100" s="13"/>
      <c r="S100" s="13"/>
    </row>
    <row r="101" spans="1:19" s="47" customFormat="1" x14ac:dyDescent="0.4">
      <c r="A101" s="13"/>
      <c r="B101" s="32"/>
      <c r="C101" s="33"/>
      <c r="D101" s="33"/>
      <c r="E101" s="33"/>
      <c r="F101" s="33"/>
      <c r="G101" s="33"/>
      <c r="H101" s="33"/>
      <c r="I101" s="33"/>
      <c r="J101" s="33"/>
      <c r="K101" s="33"/>
      <c r="L101" s="33"/>
      <c r="M101" s="33"/>
      <c r="N101" s="33"/>
      <c r="O101" s="33"/>
      <c r="Q101" s="13"/>
      <c r="R101" s="13"/>
      <c r="S101" s="13"/>
    </row>
    <row r="102" spans="1:19" s="47" customFormat="1" x14ac:dyDescent="0.4">
      <c r="A102" s="13"/>
      <c r="B102" s="32"/>
      <c r="C102" s="33"/>
      <c r="D102" s="33"/>
      <c r="E102" s="33"/>
      <c r="F102" s="33"/>
      <c r="G102" s="33"/>
      <c r="H102" s="33"/>
      <c r="I102" s="33"/>
      <c r="J102" s="33"/>
      <c r="K102" s="33"/>
      <c r="L102" s="33"/>
      <c r="M102" s="33"/>
      <c r="N102" s="33"/>
      <c r="O102" s="33"/>
      <c r="Q102" s="13"/>
      <c r="R102" s="13"/>
      <c r="S102" s="13"/>
    </row>
    <row r="103" spans="1:19" s="47" customFormat="1" x14ac:dyDescent="0.4">
      <c r="A103" s="13"/>
      <c r="B103" s="32"/>
      <c r="C103" s="33"/>
      <c r="D103" s="33"/>
      <c r="E103" s="33"/>
      <c r="F103" s="33"/>
      <c r="G103" s="33"/>
      <c r="H103" s="33"/>
      <c r="I103" s="33"/>
      <c r="J103" s="33"/>
      <c r="K103" s="33"/>
      <c r="L103" s="33"/>
      <c r="M103" s="33"/>
      <c r="N103" s="33"/>
      <c r="O103" s="33"/>
      <c r="Q103" s="13"/>
      <c r="R103" s="13"/>
      <c r="S103" s="13"/>
    </row>
    <row r="104" spans="1:19" s="47" customFormat="1" x14ac:dyDescent="0.4">
      <c r="A104" s="13"/>
      <c r="B104" s="32"/>
      <c r="C104" s="33"/>
      <c r="D104" s="33"/>
      <c r="E104" s="33"/>
      <c r="F104" s="33"/>
      <c r="G104" s="33"/>
      <c r="H104" s="33"/>
      <c r="I104" s="33"/>
      <c r="J104" s="33"/>
      <c r="K104" s="33"/>
      <c r="L104" s="33"/>
      <c r="M104" s="33"/>
      <c r="N104" s="33"/>
      <c r="O104" s="33"/>
      <c r="Q104" s="13"/>
      <c r="R104" s="13"/>
      <c r="S104" s="13"/>
    </row>
    <row r="105" spans="1:19" s="47" customFormat="1" x14ac:dyDescent="0.4">
      <c r="A105" s="13"/>
      <c r="B105" s="32"/>
      <c r="C105" s="33"/>
      <c r="D105" s="33"/>
      <c r="E105" s="33"/>
      <c r="F105" s="33"/>
      <c r="G105" s="33"/>
      <c r="H105" s="33"/>
      <c r="I105" s="33"/>
      <c r="J105" s="33"/>
      <c r="K105" s="33"/>
      <c r="L105" s="33"/>
      <c r="M105" s="33"/>
      <c r="N105" s="33"/>
      <c r="O105" s="33"/>
      <c r="Q105" s="13"/>
      <c r="R105" s="13"/>
      <c r="S105" s="13"/>
    </row>
    <row r="106" spans="1:19" s="47" customFormat="1" x14ac:dyDescent="0.4">
      <c r="A106" s="13"/>
      <c r="B106" s="32"/>
      <c r="C106" s="33"/>
      <c r="D106" s="33"/>
      <c r="E106" s="33"/>
      <c r="F106" s="33"/>
      <c r="G106" s="33"/>
      <c r="H106" s="33"/>
      <c r="I106" s="33"/>
      <c r="J106" s="33"/>
      <c r="K106" s="33"/>
      <c r="L106" s="33"/>
      <c r="M106" s="33"/>
      <c r="N106" s="33"/>
      <c r="O106" s="33"/>
      <c r="Q106" s="13"/>
      <c r="R106" s="13"/>
      <c r="S106" s="13"/>
    </row>
    <row r="107" spans="1:19" s="47" customFormat="1" x14ac:dyDescent="0.4">
      <c r="A107" s="13"/>
      <c r="B107" s="32"/>
      <c r="C107" s="33"/>
      <c r="D107" s="33"/>
      <c r="E107" s="33"/>
      <c r="F107" s="33"/>
      <c r="G107" s="33"/>
      <c r="H107" s="33"/>
      <c r="I107" s="33"/>
      <c r="J107" s="33"/>
      <c r="K107" s="33"/>
      <c r="L107" s="33"/>
      <c r="M107" s="33"/>
      <c r="N107" s="33"/>
      <c r="O107" s="33"/>
      <c r="Q107" s="13"/>
      <c r="R107" s="13"/>
      <c r="S107" s="13"/>
    </row>
    <row r="108" spans="1:19" s="47" customFormat="1" x14ac:dyDescent="0.4">
      <c r="A108" s="13"/>
      <c r="B108" s="32"/>
      <c r="C108" s="33"/>
      <c r="D108" s="33"/>
      <c r="E108" s="33"/>
      <c r="F108" s="33"/>
      <c r="G108" s="33"/>
      <c r="H108" s="33"/>
      <c r="I108" s="33"/>
      <c r="J108" s="33"/>
      <c r="K108" s="33"/>
      <c r="L108" s="33"/>
      <c r="M108" s="33"/>
      <c r="N108" s="33"/>
      <c r="O108" s="33"/>
      <c r="Q108" s="13"/>
      <c r="R108" s="13"/>
      <c r="S108" s="13"/>
    </row>
    <row r="109" spans="1:19" s="47" customFormat="1" x14ac:dyDescent="0.4">
      <c r="A109" s="13"/>
      <c r="B109" s="32"/>
      <c r="C109" s="33"/>
      <c r="D109" s="33"/>
      <c r="E109" s="33"/>
      <c r="F109" s="33"/>
      <c r="G109" s="33"/>
      <c r="H109" s="33"/>
      <c r="I109" s="33"/>
      <c r="J109" s="33"/>
      <c r="K109" s="33"/>
      <c r="L109" s="33"/>
      <c r="M109" s="33"/>
      <c r="N109" s="33"/>
      <c r="O109" s="33"/>
      <c r="Q109" s="13"/>
      <c r="R109" s="13"/>
      <c r="S109" s="13"/>
    </row>
    <row r="110" spans="1:19" s="47" customFormat="1" x14ac:dyDescent="0.4">
      <c r="A110" s="13"/>
      <c r="B110" s="32"/>
      <c r="C110" s="33"/>
      <c r="D110" s="33"/>
      <c r="E110" s="33"/>
      <c r="F110" s="33"/>
      <c r="G110" s="33"/>
      <c r="H110" s="33"/>
      <c r="I110" s="33"/>
      <c r="J110" s="33"/>
      <c r="K110" s="33"/>
      <c r="L110" s="33"/>
      <c r="M110" s="33"/>
      <c r="N110" s="33"/>
      <c r="O110" s="33"/>
      <c r="Q110" s="13"/>
      <c r="R110" s="13"/>
      <c r="S110" s="13"/>
    </row>
    <row r="111" spans="1:19" s="47" customFormat="1" x14ac:dyDescent="0.4">
      <c r="A111" s="13"/>
      <c r="B111" s="32"/>
      <c r="C111" s="33"/>
      <c r="D111" s="33"/>
      <c r="E111" s="33"/>
      <c r="F111" s="33"/>
      <c r="G111" s="33"/>
      <c r="H111" s="33"/>
      <c r="I111" s="33"/>
      <c r="J111" s="33"/>
      <c r="K111" s="33"/>
      <c r="L111" s="33"/>
      <c r="M111" s="33"/>
      <c r="N111" s="33"/>
      <c r="O111" s="33"/>
      <c r="Q111" s="13"/>
      <c r="R111" s="13"/>
      <c r="S111" s="13"/>
    </row>
    <row r="112" spans="1:19" s="47" customFormat="1" x14ac:dyDescent="0.4">
      <c r="A112" s="13"/>
      <c r="B112" s="32"/>
      <c r="C112" s="33"/>
      <c r="D112" s="33"/>
      <c r="E112" s="33"/>
      <c r="F112" s="33"/>
      <c r="G112" s="33"/>
      <c r="H112" s="33"/>
      <c r="I112" s="33"/>
      <c r="J112" s="33"/>
      <c r="K112" s="33"/>
      <c r="L112" s="33"/>
      <c r="M112" s="33"/>
      <c r="N112" s="33"/>
      <c r="O112" s="33"/>
      <c r="Q112" s="13"/>
      <c r="R112" s="13"/>
      <c r="S112" s="13"/>
    </row>
    <row r="113" spans="1:19" s="47" customFormat="1" x14ac:dyDescent="0.4">
      <c r="A113" s="13"/>
      <c r="B113" s="32"/>
      <c r="C113" s="33"/>
      <c r="D113" s="33"/>
      <c r="E113" s="33"/>
      <c r="F113" s="33"/>
      <c r="G113" s="33"/>
      <c r="H113" s="33"/>
      <c r="I113" s="33"/>
      <c r="J113" s="33"/>
      <c r="K113" s="33"/>
      <c r="L113" s="33"/>
      <c r="M113" s="33"/>
      <c r="N113" s="33"/>
      <c r="O113" s="33"/>
      <c r="Q113" s="13"/>
      <c r="R113" s="13"/>
      <c r="S113" s="13"/>
    </row>
    <row r="114" spans="1:19" s="47" customFormat="1" x14ac:dyDescent="0.4">
      <c r="A114" s="13"/>
      <c r="B114" s="32"/>
      <c r="C114" s="33"/>
      <c r="D114" s="33"/>
      <c r="E114" s="33"/>
      <c r="F114" s="33"/>
      <c r="G114" s="33"/>
      <c r="H114" s="33"/>
      <c r="I114" s="33"/>
      <c r="J114" s="33"/>
      <c r="K114" s="33"/>
      <c r="L114" s="33"/>
      <c r="M114" s="33"/>
      <c r="N114" s="33"/>
      <c r="O114" s="33"/>
      <c r="Q114" s="13"/>
      <c r="R114" s="13"/>
      <c r="S114" s="13"/>
    </row>
    <row r="115" spans="1:19" s="47" customFormat="1" x14ac:dyDescent="0.4">
      <c r="A115" s="13"/>
      <c r="B115" s="32"/>
      <c r="C115" s="33"/>
      <c r="D115" s="33"/>
      <c r="E115" s="33"/>
      <c r="F115" s="33"/>
      <c r="G115" s="33"/>
      <c r="H115" s="33"/>
      <c r="I115" s="33"/>
      <c r="J115" s="33"/>
      <c r="K115" s="33"/>
      <c r="L115" s="33"/>
      <c r="M115" s="33"/>
      <c r="N115" s="33"/>
      <c r="O115" s="33"/>
      <c r="Q115" s="13"/>
      <c r="R115" s="13"/>
      <c r="S115" s="13"/>
    </row>
    <row r="116" spans="1:19" s="47" customFormat="1" x14ac:dyDescent="0.4">
      <c r="A116" s="13"/>
      <c r="B116" s="32"/>
      <c r="C116" s="33"/>
      <c r="D116" s="33"/>
      <c r="E116" s="33"/>
      <c r="F116" s="33"/>
      <c r="G116" s="33"/>
      <c r="H116" s="33"/>
      <c r="I116" s="33"/>
      <c r="J116" s="33"/>
      <c r="K116" s="33"/>
      <c r="L116" s="33"/>
      <c r="M116" s="33"/>
      <c r="N116" s="33"/>
      <c r="O116" s="33"/>
      <c r="Q116" s="13"/>
      <c r="R116" s="13"/>
      <c r="S116" s="13"/>
    </row>
    <row r="117" spans="1:19" s="47" customFormat="1" x14ac:dyDescent="0.4">
      <c r="A117" s="13"/>
      <c r="B117" s="32"/>
      <c r="C117" s="33"/>
      <c r="D117" s="33"/>
      <c r="E117" s="33"/>
      <c r="F117" s="33"/>
      <c r="G117" s="33"/>
      <c r="H117" s="33"/>
      <c r="I117" s="33"/>
      <c r="J117" s="33"/>
      <c r="K117" s="33"/>
      <c r="L117" s="33"/>
      <c r="M117" s="33"/>
      <c r="N117" s="33"/>
      <c r="O117" s="33"/>
      <c r="Q117" s="13"/>
      <c r="R117" s="13"/>
      <c r="S117" s="13"/>
    </row>
    <row r="118" spans="1:19" s="47" customFormat="1" x14ac:dyDescent="0.4">
      <c r="A118" s="13"/>
      <c r="B118" s="32"/>
      <c r="C118" s="33"/>
      <c r="D118" s="33"/>
      <c r="E118" s="33"/>
      <c r="F118" s="33"/>
      <c r="G118" s="33"/>
      <c r="H118" s="33"/>
      <c r="I118" s="33"/>
      <c r="J118" s="33"/>
      <c r="K118" s="33"/>
      <c r="L118" s="33"/>
      <c r="M118" s="33"/>
      <c r="N118" s="33"/>
      <c r="O118" s="33"/>
      <c r="Q118" s="13"/>
      <c r="R118" s="13"/>
      <c r="S118" s="13"/>
    </row>
    <row r="119" spans="1:19" s="47" customFormat="1" x14ac:dyDescent="0.4">
      <c r="A119" s="13"/>
      <c r="B119" s="32"/>
      <c r="C119" s="33"/>
      <c r="D119" s="33"/>
      <c r="E119" s="33"/>
      <c r="F119" s="33"/>
      <c r="G119" s="33"/>
      <c r="H119" s="33"/>
      <c r="I119" s="33"/>
      <c r="J119" s="33"/>
      <c r="K119" s="33"/>
      <c r="L119" s="33"/>
      <c r="M119" s="33"/>
      <c r="N119" s="33"/>
      <c r="O119" s="33"/>
      <c r="Q119" s="13"/>
      <c r="R119" s="13"/>
      <c r="S119" s="13"/>
    </row>
    <row r="120" spans="1:19" s="47" customFormat="1" x14ac:dyDescent="0.4">
      <c r="A120" s="13"/>
      <c r="B120" s="32"/>
      <c r="C120" s="33"/>
      <c r="D120" s="33"/>
      <c r="E120" s="33"/>
      <c r="F120" s="33"/>
      <c r="G120" s="33"/>
      <c r="H120" s="33"/>
      <c r="I120" s="33"/>
      <c r="J120" s="33"/>
      <c r="K120" s="33"/>
      <c r="L120" s="33"/>
      <c r="M120" s="33"/>
      <c r="N120" s="33"/>
      <c r="O120" s="33"/>
      <c r="Q120" s="13"/>
      <c r="R120" s="13"/>
      <c r="S120" s="13"/>
    </row>
    <row r="121" spans="1:19" s="47" customFormat="1" x14ac:dyDescent="0.4">
      <c r="A121" s="13"/>
      <c r="B121" s="32"/>
      <c r="C121" s="33"/>
      <c r="D121" s="33"/>
      <c r="E121" s="33"/>
      <c r="F121" s="33"/>
      <c r="G121" s="33"/>
      <c r="H121" s="33"/>
      <c r="I121" s="33"/>
      <c r="J121" s="33"/>
      <c r="K121" s="33"/>
      <c r="L121" s="33"/>
      <c r="M121" s="33"/>
      <c r="N121" s="33"/>
      <c r="O121" s="33"/>
      <c r="Q121" s="13"/>
      <c r="R121" s="13"/>
      <c r="S121" s="13"/>
    </row>
    <row r="122" spans="1:19" s="47" customFormat="1" x14ac:dyDescent="0.4">
      <c r="A122" s="13"/>
      <c r="B122" s="32"/>
      <c r="C122" s="33"/>
      <c r="D122" s="33"/>
      <c r="E122" s="33"/>
      <c r="F122" s="33"/>
      <c r="G122" s="33"/>
      <c r="H122" s="33"/>
      <c r="I122" s="33"/>
      <c r="J122" s="33"/>
      <c r="K122" s="33"/>
      <c r="L122" s="33"/>
      <c r="M122" s="33"/>
      <c r="N122" s="33"/>
      <c r="O122" s="33"/>
      <c r="Q122" s="13"/>
      <c r="R122" s="13"/>
      <c r="S122" s="13"/>
    </row>
    <row r="123" spans="1:19" s="47" customFormat="1" x14ac:dyDescent="0.4">
      <c r="A123" s="13"/>
      <c r="B123" s="32"/>
      <c r="C123" s="33"/>
      <c r="D123" s="33"/>
      <c r="E123" s="33"/>
      <c r="F123" s="33"/>
      <c r="G123" s="33"/>
      <c r="H123" s="33"/>
      <c r="I123" s="33"/>
      <c r="J123" s="33"/>
      <c r="K123" s="33"/>
      <c r="L123" s="33"/>
      <c r="M123" s="33"/>
      <c r="N123" s="33"/>
      <c r="O123" s="33"/>
      <c r="Q123" s="13"/>
      <c r="R123" s="13"/>
      <c r="S123" s="13"/>
    </row>
    <row r="124" spans="1:19" s="47" customFormat="1" x14ac:dyDescent="0.4">
      <c r="A124" s="13"/>
      <c r="B124" s="32"/>
      <c r="C124" s="33"/>
      <c r="D124" s="33"/>
      <c r="E124" s="33"/>
      <c r="F124" s="33"/>
      <c r="G124" s="33"/>
      <c r="H124" s="33"/>
      <c r="I124" s="33"/>
      <c r="J124" s="33"/>
      <c r="K124" s="33"/>
      <c r="L124" s="33"/>
      <c r="M124" s="33"/>
      <c r="N124" s="33"/>
      <c r="O124" s="33"/>
      <c r="Q124" s="13"/>
      <c r="R124" s="13"/>
      <c r="S124" s="13"/>
    </row>
    <row r="125" spans="1:19" s="47" customFormat="1" x14ac:dyDescent="0.4">
      <c r="A125" s="13"/>
      <c r="B125" s="32"/>
      <c r="C125" s="33"/>
      <c r="D125" s="33"/>
      <c r="E125" s="33"/>
      <c r="F125" s="33"/>
      <c r="G125" s="33"/>
      <c r="H125" s="33"/>
      <c r="I125" s="33"/>
      <c r="J125" s="33"/>
      <c r="K125" s="33"/>
      <c r="L125" s="33"/>
      <c r="M125" s="33"/>
      <c r="N125" s="33"/>
      <c r="O125" s="33"/>
      <c r="Q125" s="13"/>
      <c r="R125" s="13"/>
      <c r="S125" s="13"/>
    </row>
    <row r="126" spans="1:19" s="47" customFormat="1" x14ac:dyDescent="0.4">
      <c r="A126" s="13"/>
      <c r="B126" s="32"/>
      <c r="C126" s="33"/>
      <c r="D126" s="33"/>
      <c r="E126" s="33"/>
      <c r="F126" s="33"/>
      <c r="G126" s="33"/>
      <c r="H126" s="33"/>
      <c r="I126" s="33"/>
      <c r="J126" s="33"/>
      <c r="K126" s="33"/>
      <c r="L126" s="33"/>
      <c r="M126" s="33"/>
      <c r="N126" s="33"/>
      <c r="O126" s="33"/>
      <c r="Q126" s="13"/>
      <c r="R126" s="13"/>
      <c r="S126" s="13"/>
    </row>
    <row r="127" spans="1:19" s="47" customFormat="1" x14ac:dyDescent="0.4">
      <c r="A127" s="13"/>
      <c r="B127" s="32"/>
      <c r="C127" s="33"/>
      <c r="D127" s="33"/>
      <c r="E127" s="33"/>
      <c r="F127" s="33"/>
      <c r="G127" s="33"/>
      <c r="H127" s="33"/>
      <c r="I127" s="33"/>
      <c r="J127" s="33"/>
      <c r="K127" s="33"/>
      <c r="L127" s="33"/>
      <c r="M127" s="33"/>
      <c r="N127" s="33"/>
      <c r="O127" s="33"/>
      <c r="Q127" s="13"/>
      <c r="R127" s="13"/>
      <c r="S127" s="13"/>
    </row>
    <row r="128" spans="1:19" s="47" customFormat="1" x14ac:dyDescent="0.4">
      <c r="A128" s="13"/>
      <c r="B128" s="32"/>
      <c r="C128" s="33"/>
      <c r="D128" s="33"/>
      <c r="E128" s="33"/>
      <c r="F128" s="33"/>
      <c r="G128" s="33"/>
      <c r="H128" s="33"/>
      <c r="I128" s="33"/>
      <c r="J128" s="33"/>
      <c r="K128" s="33"/>
      <c r="L128" s="33"/>
      <c r="M128" s="33"/>
      <c r="N128" s="33"/>
      <c r="O128" s="33"/>
      <c r="Q128" s="13"/>
      <c r="R128" s="13"/>
      <c r="S128" s="13"/>
    </row>
    <row r="129" spans="1:19" s="47" customFormat="1" x14ac:dyDescent="0.4">
      <c r="A129" s="13"/>
      <c r="B129" s="32"/>
      <c r="C129" s="33"/>
      <c r="D129" s="33"/>
      <c r="E129" s="33"/>
      <c r="F129" s="33"/>
      <c r="G129" s="33"/>
      <c r="H129" s="33"/>
      <c r="I129" s="33"/>
      <c r="J129" s="33"/>
      <c r="K129" s="33"/>
      <c r="L129" s="33"/>
      <c r="M129" s="33"/>
      <c r="N129" s="33"/>
      <c r="O129" s="33"/>
      <c r="Q129" s="13"/>
      <c r="R129" s="13"/>
      <c r="S129" s="13"/>
    </row>
    <row r="130" spans="1:19" s="47" customFormat="1" x14ac:dyDescent="0.4">
      <c r="A130" s="13"/>
      <c r="B130" s="32"/>
      <c r="C130" s="33"/>
      <c r="D130" s="33"/>
      <c r="E130" s="33"/>
      <c r="F130" s="33"/>
      <c r="G130" s="33"/>
      <c r="H130" s="33"/>
      <c r="I130" s="33"/>
      <c r="J130" s="33"/>
      <c r="K130" s="33"/>
      <c r="L130" s="33"/>
      <c r="M130" s="33"/>
      <c r="N130" s="33"/>
      <c r="O130" s="33"/>
      <c r="Q130" s="13"/>
      <c r="R130" s="13"/>
      <c r="S130" s="13"/>
    </row>
    <row r="131" spans="1:19" s="47" customFormat="1" x14ac:dyDescent="0.4">
      <c r="A131" s="13"/>
      <c r="B131" s="32"/>
      <c r="C131" s="33"/>
      <c r="D131" s="33"/>
      <c r="E131" s="33"/>
      <c r="F131" s="33"/>
      <c r="G131" s="33"/>
      <c r="H131" s="33"/>
      <c r="I131" s="33"/>
      <c r="J131" s="33"/>
      <c r="K131" s="33"/>
      <c r="L131" s="33"/>
      <c r="M131" s="33"/>
      <c r="N131" s="33"/>
      <c r="O131" s="33"/>
      <c r="Q131" s="13"/>
      <c r="R131" s="13"/>
      <c r="S131" s="13"/>
    </row>
    <row r="132" spans="1:19" s="47" customFormat="1" x14ac:dyDescent="0.4">
      <c r="A132" s="13"/>
      <c r="B132" s="32"/>
      <c r="C132" s="33"/>
      <c r="D132" s="33"/>
      <c r="E132" s="33"/>
      <c r="F132" s="33"/>
      <c r="G132" s="33"/>
      <c r="H132" s="33"/>
      <c r="I132" s="33"/>
      <c r="J132" s="33"/>
      <c r="K132" s="33"/>
      <c r="L132" s="33"/>
      <c r="M132" s="33"/>
      <c r="N132" s="33"/>
      <c r="O132" s="33"/>
      <c r="Q132" s="13"/>
      <c r="R132" s="13"/>
      <c r="S132" s="13"/>
    </row>
    <row r="133" spans="1:19" s="47" customFormat="1" x14ac:dyDescent="0.4">
      <c r="A133" s="13"/>
      <c r="B133" s="32"/>
      <c r="C133" s="33"/>
      <c r="D133" s="33"/>
      <c r="E133" s="33"/>
      <c r="F133" s="33"/>
      <c r="G133" s="33"/>
      <c r="H133" s="33"/>
      <c r="I133" s="33"/>
      <c r="J133" s="33"/>
      <c r="K133" s="33"/>
      <c r="L133" s="33"/>
      <c r="M133" s="33"/>
      <c r="N133" s="33"/>
      <c r="O133" s="33"/>
      <c r="Q133" s="13"/>
      <c r="R133" s="13"/>
      <c r="S133" s="13"/>
    </row>
    <row r="134" spans="1:19" s="47" customFormat="1" x14ac:dyDescent="0.4">
      <c r="A134" s="13"/>
      <c r="B134" s="32"/>
      <c r="C134" s="33"/>
      <c r="D134" s="33"/>
      <c r="E134" s="33"/>
      <c r="F134" s="33"/>
      <c r="G134" s="33"/>
      <c r="H134" s="33"/>
      <c r="I134" s="33"/>
      <c r="J134" s="33"/>
      <c r="K134" s="33"/>
      <c r="L134" s="33"/>
      <c r="M134" s="33"/>
      <c r="N134" s="33"/>
      <c r="O134" s="33"/>
      <c r="Q134" s="13"/>
      <c r="R134" s="13"/>
      <c r="S134" s="13"/>
    </row>
    <row r="135" spans="1:19" s="47" customFormat="1" x14ac:dyDescent="0.4">
      <c r="A135" s="13"/>
      <c r="B135" s="32"/>
      <c r="C135" s="33"/>
      <c r="D135" s="33"/>
      <c r="E135" s="33"/>
      <c r="F135" s="33"/>
      <c r="G135" s="33"/>
      <c r="H135" s="33"/>
      <c r="I135" s="33"/>
      <c r="J135" s="33"/>
      <c r="K135" s="33"/>
      <c r="L135" s="33"/>
      <c r="M135" s="33"/>
      <c r="N135" s="33"/>
      <c r="O135" s="33"/>
      <c r="Q135" s="13"/>
      <c r="R135" s="13"/>
      <c r="S135" s="13"/>
    </row>
    <row r="136" spans="1:19" s="47" customFormat="1" x14ac:dyDescent="0.4">
      <c r="A136" s="13"/>
      <c r="B136" s="32"/>
      <c r="C136" s="33"/>
      <c r="D136" s="33"/>
      <c r="E136" s="33"/>
      <c r="F136" s="33"/>
      <c r="G136" s="33"/>
      <c r="H136" s="33"/>
      <c r="I136" s="33"/>
      <c r="J136" s="33"/>
      <c r="K136" s="33"/>
      <c r="L136" s="33"/>
      <c r="M136" s="33"/>
      <c r="N136" s="33"/>
      <c r="O136" s="33"/>
      <c r="Q136" s="13"/>
      <c r="R136" s="13"/>
      <c r="S136" s="13"/>
    </row>
    <row r="137" spans="1:19" s="47" customFormat="1" x14ac:dyDescent="0.4">
      <c r="A137" s="13"/>
      <c r="B137" s="32"/>
      <c r="C137" s="33"/>
      <c r="D137" s="33"/>
      <c r="E137" s="33"/>
      <c r="F137" s="33"/>
      <c r="G137" s="33"/>
      <c r="H137" s="33"/>
      <c r="I137" s="33"/>
      <c r="J137" s="33"/>
      <c r="K137" s="33"/>
      <c r="L137" s="33"/>
      <c r="M137" s="33"/>
      <c r="N137" s="33"/>
      <c r="O137" s="33"/>
      <c r="Q137" s="13"/>
      <c r="R137" s="13"/>
      <c r="S137" s="13"/>
    </row>
    <row r="138" spans="1:19" s="47" customFormat="1" x14ac:dyDescent="0.4">
      <c r="A138" s="13"/>
      <c r="B138" s="32"/>
      <c r="C138" s="33"/>
      <c r="D138" s="33"/>
      <c r="E138" s="33"/>
      <c r="F138" s="33"/>
      <c r="G138" s="33"/>
      <c r="H138" s="33"/>
      <c r="I138" s="33"/>
      <c r="J138" s="33"/>
      <c r="K138" s="33"/>
      <c r="L138" s="33"/>
      <c r="M138" s="33"/>
      <c r="N138" s="33"/>
      <c r="O138" s="33"/>
      <c r="Q138" s="13"/>
      <c r="R138" s="13"/>
      <c r="S138" s="13"/>
    </row>
    <row r="139" spans="1:19" s="47" customFormat="1" x14ac:dyDescent="0.4">
      <c r="A139" s="13"/>
      <c r="B139" s="32"/>
      <c r="C139" s="33"/>
      <c r="D139" s="33"/>
      <c r="E139" s="33"/>
      <c r="F139" s="33"/>
      <c r="G139" s="33"/>
      <c r="H139" s="33"/>
      <c r="I139" s="33"/>
      <c r="J139" s="33"/>
      <c r="K139" s="33"/>
      <c r="L139" s="33"/>
      <c r="M139" s="33"/>
      <c r="N139" s="33"/>
      <c r="O139" s="33"/>
      <c r="Q139" s="13"/>
      <c r="R139" s="13"/>
      <c r="S139" s="13"/>
    </row>
    <row r="140" spans="1:19" s="47" customFormat="1" x14ac:dyDescent="0.4">
      <c r="A140" s="13"/>
      <c r="B140" s="32"/>
      <c r="C140" s="33"/>
      <c r="D140" s="33"/>
      <c r="E140" s="33"/>
      <c r="F140" s="33"/>
      <c r="G140" s="33"/>
      <c r="H140" s="33"/>
      <c r="I140" s="33"/>
      <c r="J140" s="33"/>
      <c r="K140" s="33"/>
      <c r="L140" s="33"/>
      <c r="M140" s="33"/>
      <c r="N140" s="33"/>
      <c r="O140" s="33"/>
      <c r="Q140" s="13"/>
      <c r="R140" s="13"/>
      <c r="S140" s="13"/>
    </row>
    <row r="141" spans="1:19" s="47" customFormat="1" x14ac:dyDescent="0.4">
      <c r="A141" s="13"/>
      <c r="B141" s="32"/>
      <c r="C141" s="33"/>
      <c r="D141" s="33"/>
      <c r="E141" s="33"/>
      <c r="F141" s="33"/>
      <c r="G141" s="33"/>
      <c r="H141" s="33"/>
      <c r="I141" s="33"/>
      <c r="J141" s="33"/>
      <c r="K141" s="33"/>
      <c r="L141" s="33"/>
      <c r="M141" s="33"/>
      <c r="N141" s="33"/>
      <c r="O141" s="33"/>
      <c r="Q141" s="13"/>
      <c r="R141" s="13"/>
      <c r="S141" s="13"/>
    </row>
    <row r="142" spans="1:19" s="47" customFormat="1" x14ac:dyDescent="0.4">
      <c r="A142" s="13"/>
      <c r="B142" s="32"/>
      <c r="C142" s="33"/>
      <c r="D142" s="33"/>
      <c r="E142" s="33"/>
      <c r="F142" s="33"/>
      <c r="G142" s="33"/>
      <c r="H142" s="33"/>
      <c r="I142" s="33"/>
      <c r="J142" s="33"/>
      <c r="K142" s="33"/>
      <c r="L142" s="33"/>
      <c r="M142" s="33"/>
      <c r="N142" s="33"/>
      <c r="O142" s="33"/>
      <c r="Q142" s="13"/>
      <c r="R142" s="13"/>
      <c r="S142" s="13"/>
    </row>
    <row r="143" spans="1:19" s="47" customFormat="1" x14ac:dyDescent="0.4">
      <c r="A143" s="13"/>
      <c r="B143" s="32"/>
      <c r="C143" s="33"/>
      <c r="D143" s="33"/>
      <c r="E143" s="33"/>
      <c r="F143" s="33"/>
      <c r="G143" s="33"/>
      <c r="H143" s="33"/>
      <c r="I143" s="33"/>
      <c r="J143" s="33"/>
      <c r="K143" s="33"/>
      <c r="L143" s="33"/>
      <c r="M143" s="33"/>
      <c r="N143" s="33"/>
      <c r="O143" s="33"/>
      <c r="Q143" s="13"/>
      <c r="R143" s="13"/>
      <c r="S143" s="13"/>
    </row>
    <row r="144" spans="1:19" s="47" customFormat="1" x14ac:dyDescent="0.4">
      <c r="A144" s="13"/>
      <c r="B144" s="32"/>
      <c r="C144" s="33"/>
      <c r="D144" s="33"/>
      <c r="E144" s="33"/>
      <c r="F144" s="33"/>
      <c r="G144" s="33"/>
      <c r="H144" s="33"/>
      <c r="I144" s="33"/>
      <c r="J144" s="33"/>
      <c r="K144" s="33"/>
      <c r="L144" s="33"/>
      <c r="M144" s="33"/>
      <c r="N144" s="33"/>
      <c r="O144" s="33"/>
      <c r="Q144" s="13"/>
      <c r="R144" s="13"/>
      <c r="S144" s="13"/>
    </row>
    <row r="145" spans="1:19" s="47" customFormat="1" x14ac:dyDescent="0.4">
      <c r="A145" s="13"/>
      <c r="B145" s="32"/>
      <c r="C145" s="33"/>
      <c r="D145" s="33"/>
      <c r="E145" s="33"/>
      <c r="F145" s="33"/>
      <c r="G145" s="33"/>
      <c r="H145" s="33"/>
      <c r="I145" s="33"/>
      <c r="J145" s="33"/>
      <c r="K145" s="33"/>
      <c r="L145" s="33"/>
      <c r="M145" s="33"/>
      <c r="N145" s="33"/>
      <c r="O145" s="33"/>
      <c r="Q145" s="13"/>
      <c r="R145" s="13"/>
      <c r="S145" s="13"/>
    </row>
  </sheetData>
  <pageMargins left="0.7" right="0.7" top="0.75" bottom="0.75" header="0.3" footer="0.3"/>
  <pageSetup scale="81" fitToHeight="0" orientation="landscape" r:id="rId1"/>
  <headerFooter>
    <oddFooter>&amp;L&amp;G&amp;R&amp;P</oddFooter>
  </headerFooter>
  <rowBreaks count="2" manualBreakCount="2">
    <brk id="29" max="8" man="1"/>
    <brk id="59" max="8" man="1"/>
  </rowBreaks>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tint="0.79998168889431442"/>
    <pageSetUpPr fitToPage="1"/>
  </sheetPr>
  <dimension ref="A1:S95"/>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140625" defaultRowHeight="18" outlineLevelCol="1" x14ac:dyDescent="0.4"/>
  <cols>
    <col min="1" max="1" width="70.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9</v>
      </c>
      <c r="B2" s="28"/>
      <c r="C2" s="29"/>
      <c r="D2" s="29"/>
      <c r="E2" s="29"/>
      <c r="F2" s="29"/>
      <c r="G2" s="29"/>
      <c r="H2" s="29"/>
      <c r="I2" s="29"/>
      <c r="J2" s="29"/>
      <c r="K2" s="29"/>
      <c r="L2" s="29"/>
      <c r="M2" s="29"/>
      <c r="N2" s="29"/>
      <c r="O2" s="29"/>
      <c r="P2" s="48"/>
      <c r="R2" s="6" t="s">
        <v>430</v>
      </c>
      <c r="S2" s="6" t="s">
        <v>656</v>
      </c>
    </row>
    <row r="3" spans="1:19" x14ac:dyDescent="0.55000000000000004">
      <c r="A3" s="19" t="s">
        <v>24</v>
      </c>
      <c r="B3" s="28"/>
      <c r="C3" s="52">
        <f t="shared" ref="C3" si="0">D3+1</f>
        <v>12</v>
      </c>
      <c r="D3" s="52">
        <f t="shared" ref="D3:E3" si="1">E3+1</f>
        <v>11</v>
      </c>
      <c r="E3" s="52">
        <f t="shared" si="1"/>
        <v>10</v>
      </c>
      <c r="F3" s="52">
        <f t="shared" ref="F3:G3" si="2">G3+1</f>
        <v>9</v>
      </c>
      <c r="G3" s="52">
        <f t="shared" si="2"/>
        <v>8</v>
      </c>
      <c r="H3" s="52">
        <f t="shared" ref="H3:I3" si="3">I3+1</f>
        <v>7</v>
      </c>
      <c r="I3" s="52">
        <f t="shared" si="3"/>
        <v>6</v>
      </c>
      <c r="J3" s="52">
        <f t="shared" ref="J3:M3" si="4">K3+1</f>
        <v>5</v>
      </c>
      <c r="K3" s="52">
        <f t="shared" si="4"/>
        <v>4</v>
      </c>
      <c r="L3" s="52">
        <f t="shared" si="4"/>
        <v>3</v>
      </c>
      <c r="M3" s="52">
        <f t="shared" si="4"/>
        <v>2</v>
      </c>
      <c r="N3" s="52">
        <f>O3+1</f>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x14ac:dyDescent="0.55000000000000004">
      <c r="A6" s="23" t="s">
        <v>2215</v>
      </c>
      <c r="B6" s="28"/>
      <c r="C6" s="31"/>
      <c r="D6" s="31"/>
      <c r="E6" s="31"/>
      <c r="F6" s="31"/>
      <c r="G6" s="31"/>
      <c r="H6" s="31"/>
      <c r="I6" s="31"/>
      <c r="J6" s="31"/>
      <c r="K6" s="31"/>
      <c r="L6" s="31"/>
      <c r="M6" s="31"/>
      <c r="N6" s="31"/>
      <c r="O6" s="31"/>
      <c r="P6" s="48"/>
    </row>
    <row r="7" spans="1:19" s="40" customFormat="1" ht="14.25" x14ac:dyDescent="0.4">
      <c r="A7" s="39" t="s">
        <v>2218</v>
      </c>
      <c r="B7" s="37" t="s">
        <v>2217</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1</v>
      </c>
    </row>
    <row r="8" spans="1:19" s="40" customFormat="1" ht="14.25" x14ac:dyDescent="0.4">
      <c r="A8" s="41" t="s">
        <v>642</v>
      </c>
      <c r="B8" s="37"/>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27</v>
      </c>
    </row>
    <row r="9" spans="1:19" s="40" customFormat="1" ht="14.25" x14ac:dyDescent="0.4">
      <c r="A9" s="41" t="s">
        <v>644</v>
      </c>
      <c r="B9" s="37"/>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57</v>
      </c>
    </row>
    <row r="10" spans="1:19" s="40" customFormat="1" ht="14.25" x14ac:dyDescent="0.4">
      <c r="A10" s="39" t="s">
        <v>646</v>
      </c>
      <c r="B10" s="37"/>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2</v>
      </c>
    </row>
    <row r="11" spans="1:19" s="40" customFormat="1" ht="14.25" x14ac:dyDescent="0.4">
      <c r="A11" s="41" t="s">
        <v>647</v>
      </c>
      <c r="B11" s="37" t="s">
        <v>2219</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86</v>
      </c>
    </row>
    <row r="12" spans="1:19" s="40" customFormat="1" ht="28.5" x14ac:dyDescent="0.4">
      <c r="A12" s="41" t="s">
        <v>648</v>
      </c>
      <c r="B12" s="37" t="s">
        <v>2220</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102</v>
      </c>
    </row>
    <row r="13" spans="1:19" s="40" customFormat="1" ht="14.25" x14ac:dyDescent="0.4">
      <c r="A13" s="39" t="s">
        <v>649</v>
      </c>
      <c r="B13" s="37"/>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3</v>
      </c>
    </row>
    <row r="14" spans="1:19" s="40" customFormat="1" ht="14.25" x14ac:dyDescent="0.4">
      <c r="A14" s="41" t="s">
        <v>650</v>
      </c>
      <c r="B14" s="37" t="s">
        <v>2221</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620</v>
      </c>
    </row>
    <row r="15" spans="1:19" s="40" customFormat="1" ht="14.25" x14ac:dyDescent="0.4">
      <c r="A15" s="41" t="s">
        <v>651</v>
      </c>
      <c r="B15" s="37" t="s">
        <v>2222</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621</v>
      </c>
    </row>
    <row r="16" spans="1:19" x14ac:dyDescent="0.4">
      <c r="A16" s="39" t="s">
        <v>652</v>
      </c>
      <c r="B16" s="37" t="s">
        <v>2223</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4</v>
      </c>
    </row>
    <row r="17" spans="1:19" x14ac:dyDescent="0.4">
      <c r="A17" s="39" t="s">
        <v>654</v>
      </c>
      <c r="B17" s="37" t="s">
        <v>2224</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v>5</v>
      </c>
    </row>
    <row r="18" spans="1:19" s="47" customFormat="1" x14ac:dyDescent="0.4">
      <c r="A18" s="13" t="s">
        <v>2216</v>
      </c>
      <c r="B18" s="32"/>
      <c r="C18" s="33"/>
      <c r="D18" s="33"/>
      <c r="E18" s="33"/>
      <c r="F18" s="33"/>
      <c r="G18" s="33"/>
      <c r="H18" s="33"/>
      <c r="I18" s="33"/>
      <c r="J18" s="33"/>
      <c r="K18" s="33"/>
      <c r="L18" s="33"/>
      <c r="M18" s="33"/>
      <c r="N18" s="33"/>
      <c r="O18" s="33"/>
      <c r="Q18" s="13"/>
      <c r="R18" s="13"/>
      <c r="S18" s="13"/>
    </row>
    <row r="19" spans="1:19" s="47" customFormat="1" x14ac:dyDescent="0.4">
      <c r="A19" s="39" t="s">
        <v>641</v>
      </c>
      <c r="B19" s="35"/>
      <c r="C19" s="35"/>
      <c r="D19" s="35"/>
      <c r="E19" s="35"/>
      <c r="F19" s="35"/>
      <c r="G19" s="35"/>
      <c r="H19" s="35"/>
      <c r="I19" s="35"/>
      <c r="J19" s="35"/>
      <c r="K19" s="35"/>
      <c r="L19" s="35"/>
      <c r="M19" s="35"/>
      <c r="N19" s="35"/>
      <c r="O19" s="35"/>
      <c r="P19" s="49">
        <v>1</v>
      </c>
      <c r="Q19" s="13"/>
      <c r="R19" s="13"/>
      <c r="S19" s="13"/>
    </row>
    <row r="20" spans="1:19" s="47" customFormat="1" x14ac:dyDescent="0.4">
      <c r="A20" s="41" t="s">
        <v>642</v>
      </c>
      <c r="B20" s="37" t="s">
        <v>643</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27</v>
      </c>
      <c r="Q20" s="13"/>
      <c r="R20" s="13"/>
      <c r="S20" s="13"/>
    </row>
    <row r="21" spans="1:19" s="47" customFormat="1" x14ac:dyDescent="0.4">
      <c r="A21" s="41" t="s">
        <v>644</v>
      </c>
      <c r="B21" s="37" t="s">
        <v>645</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57</v>
      </c>
      <c r="Q21" s="13"/>
      <c r="R21" s="13"/>
      <c r="S21" s="13"/>
    </row>
    <row r="22" spans="1:19" s="47" customFormat="1" x14ac:dyDescent="0.4">
      <c r="A22" s="39" t="s">
        <v>646</v>
      </c>
      <c r="B22" s="37" t="s">
        <v>2225</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2</v>
      </c>
      <c r="Q22" s="13"/>
      <c r="R22" s="13"/>
      <c r="S22" s="13"/>
    </row>
    <row r="23" spans="1:19" s="47" customFormat="1" x14ac:dyDescent="0.4">
      <c r="A23" s="39" t="s">
        <v>649</v>
      </c>
      <c r="B23" s="37" t="s">
        <v>2226</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3</v>
      </c>
      <c r="Q23" s="13"/>
      <c r="R23" s="13"/>
      <c r="S23" s="13"/>
    </row>
    <row r="24" spans="1:19" s="47" customFormat="1" x14ac:dyDescent="0.4">
      <c r="A24" s="39" t="s">
        <v>652</v>
      </c>
      <c r="B24" s="37" t="s">
        <v>653</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4</v>
      </c>
      <c r="Q24" s="13"/>
      <c r="R24" s="13"/>
      <c r="S24" s="13"/>
    </row>
    <row r="25" spans="1:19" s="47" customFormat="1" x14ac:dyDescent="0.4">
      <c r="A25" s="39" t="s">
        <v>654</v>
      </c>
      <c r="B25" s="37" t="s">
        <v>655</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5</v>
      </c>
      <c r="Q25" s="13"/>
      <c r="R25" s="13"/>
      <c r="S25" s="13"/>
    </row>
    <row r="26" spans="1:19" s="47" customFormat="1" x14ac:dyDescent="0.4">
      <c r="A26" s="13"/>
      <c r="B26" s="32"/>
      <c r="C26" s="33"/>
      <c r="D26" s="33"/>
      <c r="E26" s="33"/>
      <c r="F26" s="33"/>
      <c r="G26" s="33"/>
      <c r="H26" s="33"/>
      <c r="I26" s="33"/>
      <c r="J26" s="33"/>
      <c r="K26" s="33"/>
      <c r="L26" s="33"/>
      <c r="M26" s="33"/>
      <c r="N26" s="33"/>
      <c r="O26" s="33"/>
      <c r="Q26" s="13"/>
      <c r="R26" s="13"/>
      <c r="S26" s="13"/>
    </row>
    <row r="27" spans="1:19" s="47" customFormat="1" x14ac:dyDescent="0.4">
      <c r="A27" s="13"/>
      <c r="B27" s="32"/>
      <c r="C27" s="33"/>
      <c r="D27" s="33"/>
      <c r="E27" s="33"/>
      <c r="F27" s="33"/>
      <c r="G27" s="33"/>
      <c r="H27" s="33"/>
      <c r="I27" s="33"/>
      <c r="J27" s="33"/>
      <c r="K27" s="33"/>
      <c r="L27" s="33"/>
      <c r="M27" s="33"/>
      <c r="N27" s="33"/>
      <c r="O27" s="33"/>
      <c r="Q27" s="13"/>
      <c r="R27" s="13"/>
      <c r="S27" s="13"/>
    </row>
    <row r="28" spans="1:19" s="47" customFormat="1" x14ac:dyDescent="0.4">
      <c r="A28" s="13"/>
      <c r="B28" s="32"/>
      <c r="C28" s="33"/>
      <c r="D28" s="33"/>
      <c r="E28" s="33"/>
      <c r="F28" s="33"/>
      <c r="G28" s="33"/>
      <c r="H28" s="33"/>
      <c r="I28" s="33"/>
      <c r="J28" s="33"/>
      <c r="K28" s="33"/>
      <c r="L28" s="33"/>
      <c r="M28" s="33"/>
      <c r="N28" s="33"/>
      <c r="O28" s="33"/>
      <c r="Q28" s="13"/>
      <c r="R28" s="13"/>
      <c r="S28" s="13"/>
    </row>
    <row r="29" spans="1:19" s="47" customFormat="1" x14ac:dyDescent="0.4">
      <c r="A29" s="13"/>
      <c r="B29" s="32"/>
      <c r="C29" s="33"/>
      <c r="D29" s="33"/>
      <c r="E29" s="33"/>
      <c r="F29" s="33"/>
      <c r="G29" s="33"/>
      <c r="H29" s="33"/>
      <c r="I29" s="33"/>
      <c r="J29" s="33"/>
      <c r="K29" s="33"/>
      <c r="L29" s="33"/>
      <c r="M29" s="33"/>
      <c r="N29" s="33"/>
      <c r="O29" s="33"/>
      <c r="Q29" s="13"/>
      <c r="R29" s="13"/>
      <c r="S29" s="13"/>
    </row>
    <row r="30" spans="1:19" s="47" customFormat="1" x14ac:dyDescent="0.4">
      <c r="A30" s="13"/>
      <c r="B30" s="32"/>
      <c r="C30" s="33"/>
      <c r="D30" s="33"/>
      <c r="E30" s="33"/>
      <c r="F30" s="33"/>
      <c r="G30" s="33"/>
      <c r="H30" s="33"/>
      <c r="I30" s="33"/>
      <c r="J30" s="33"/>
      <c r="K30" s="33"/>
      <c r="L30" s="33"/>
      <c r="M30" s="33"/>
      <c r="N30" s="33"/>
      <c r="O30" s="33"/>
      <c r="Q30" s="13"/>
      <c r="R30" s="13"/>
      <c r="S30" s="13"/>
    </row>
    <row r="31" spans="1:19" s="47" customFormat="1" x14ac:dyDescent="0.4">
      <c r="A31" s="13"/>
      <c r="B31" s="32"/>
      <c r="C31" s="33"/>
      <c r="D31" s="33"/>
      <c r="E31" s="33"/>
      <c r="F31" s="33"/>
      <c r="G31" s="33"/>
      <c r="H31" s="33"/>
      <c r="I31" s="33"/>
      <c r="J31" s="33"/>
      <c r="K31" s="33"/>
      <c r="L31" s="33"/>
      <c r="M31" s="33"/>
      <c r="N31" s="33"/>
      <c r="O31" s="33"/>
      <c r="Q31" s="13"/>
      <c r="R31" s="13"/>
      <c r="S31" s="13"/>
    </row>
    <row r="32" spans="1:19" s="47" customFormat="1" x14ac:dyDescent="0.4">
      <c r="A32" s="13"/>
      <c r="B32" s="32"/>
      <c r="C32" s="33"/>
      <c r="D32" s="33"/>
      <c r="E32" s="33"/>
      <c r="F32" s="33"/>
      <c r="G32" s="33"/>
      <c r="H32" s="33"/>
      <c r="I32" s="33"/>
      <c r="J32" s="33"/>
      <c r="K32" s="33"/>
      <c r="L32" s="33"/>
      <c r="M32" s="33"/>
      <c r="N32" s="33"/>
      <c r="O32" s="33"/>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32"/>
      <c r="C34" s="33"/>
      <c r="D34" s="33"/>
      <c r="E34" s="33"/>
      <c r="F34" s="33"/>
      <c r="G34" s="33"/>
      <c r="H34" s="33"/>
      <c r="I34" s="33"/>
      <c r="J34" s="33"/>
      <c r="K34" s="33"/>
      <c r="L34" s="33"/>
      <c r="M34" s="33"/>
      <c r="N34" s="33"/>
      <c r="O34" s="33"/>
      <c r="Q34" s="13"/>
      <c r="R34" s="13"/>
      <c r="S34" s="13"/>
    </row>
    <row r="35" spans="1:19" s="47" customFormat="1" x14ac:dyDescent="0.4">
      <c r="A35" s="13"/>
      <c r="B35" s="32"/>
      <c r="C35" s="33"/>
      <c r="D35" s="33"/>
      <c r="E35" s="33"/>
      <c r="F35" s="33"/>
      <c r="G35" s="33"/>
      <c r="H35" s="33"/>
      <c r="I35" s="33"/>
      <c r="J35" s="33"/>
      <c r="K35" s="33"/>
      <c r="L35" s="33"/>
      <c r="M35" s="33"/>
      <c r="N35" s="33"/>
      <c r="O35" s="33"/>
      <c r="Q35" s="13"/>
      <c r="R35" s="13"/>
      <c r="S35" s="13"/>
    </row>
    <row r="36" spans="1:19" s="47" customFormat="1" x14ac:dyDescent="0.4">
      <c r="A36" s="13"/>
      <c r="B36" s="32"/>
      <c r="C36" s="33"/>
      <c r="D36" s="33"/>
      <c r="E36" s="33"/>
      <c r="F36" s="33"/>
      <c r="G36" s="33"/>
      <c r="H36" s="33"/>
      <c r="I36" s="33"/>
      <c r="J36" s="33"/>
      <c r="K36" s="33"/>
      <c r="L36" s="33"/>
      <c r="M36" s="33"/>
      <c r="N36" s="33"/>
      <c r="O36" s="33"/>
      <c r="Q36" s="13"/>
      <c r="R36" s="13"/>
      <c r="S36" s="13"/>
    </row>
    <row r="37" spans="1:19" s="47" customFormat="1" x14ac:dyDescent="0.4">
      <c r="A37" s="13"/>
      <c r="B37" s="32"/>
      <c r="C37" s="33"/>
      <c r="D37" s="33"/>
      <c r="E37" s="33"/>
      <c r="F37" s="33"/>
      <c r="G37" s="33"/>
      <c r="H37" s="33"/>
      <c r="I37" s="33"/>
      <c r="J37" s="33"/>
      <c r="K37" s="33"/>
      <c r="L37" s="33"/>
      <c r="M37" s="33"/>
      <c r="N37" s="33"/>
      <c r="O37" s="33"/>
      <c r="Q37" s="13"/>
      <c r="R37" s="13"/>
      <c r="S37" s="13"/>
    </row>
    <row r="38" spans="1:19" s="47" customFormat="1" x14ac:dyDescent="0.4">
      <c r="A38" s="13"/>
      <c r="B38" s="32"/>
      <c r="C38" s="33"/>
      <c r="D38" s="33"/>
      <c r="E38" s="33"/>
      <c r="F38" s="33"/>
      <c r="G38" s="33"/>
      <c r="H38" s="33"/>
      <c r="I38" s="33"/>
      <c r="J38" s="33"/>
      <c r="K38" s="33"/>
      <c r="L38" s="33"/>
      <c r="M38" s="33"/>
      <c r="N38" s="33"/>
      <c r="O38" s="33"/>
      <c r="Q38" s="13"/>
      <c r="R38" s="13"/>
      <c r="S38" s="13"/>
    </row>
    <row r="39" spans="1:19" s="47" customFormat="1" x14ac:dyDescent="0.4">
      <c r="A39" s="13"/>
      <c r="B39" s="32"/>
      <c r="C39" s="33"/>
      <c r="D39" s="33"/>
      <c r="E39" s="33"/>
      <c r="F39" s="33"/>
      <c r="G39" s="33"/>
      <c r="H39" s="33"/>
      <c r="I39" s="33"/>
      <c r="J39" s="33"/>
      <c r="K39" s="33"/>
      <c r="L39" s="33"/>
      <c r="M39" s="33"/>
      <c r="N39" s="33"/>
      <c r="O39" s="33"/>
      <c r="Q39" s="13"/>
      <c r="R39" s="13"/>
      <c r="S39" s="13"/>
    </row>
    <row r="40" spans="1:19" s="47" customFormat="1" x14ac:dyDescent="0.4">
      <c r="A40" s="13"/>
      <c r="B40" s="32"/>
      <c r="C40" s="33"/>
      <c r="D40" s="33"/>
      <c r="E40" s="33"/>
      <c r="F40" s="33"/>
      <c r="G40" s="33"/>
      <c r="H40" s="33"/>
      <c r="I40" s="33"/>
      <c r="J40" s="33"/>
      <c r="K40" s="33"/>
      <c r="L40" s="33"/>
      <c r="M40" s="33"/>
      <c r="N40" s="33"/>
      <c r="O40" s="33"/>
      <c r="Q40" s="13"/>
      <c r="R40" s="13"/>
      <c r="S40" s="13"/>
    </row>
    <row r="41" spans="1:19" s="47" customFormat="1" x14ac:dyDescent="0.4">
      <c r="A41" s="13"/>
      <c r="B41" s="32"/>
      <c r="C41" s="33"/>
      <c r="D41" s="33"/>
      <c r="E41" s="33"/>
      <c r="F41" s="33"/>
      <c r="G41" s="33"/>
      <c r="H41" s="33"/>
      <c r="I41" s="33"/>
      <c r="J41" s="33"/>
      <c r="K41" s="33"/>
      <c r="L41" s="33"/>
      <c r="M41" s="33"/>
      <c r="N41" s="33"/>
      <c r="O41" s="33"/>
      <c r="Q41" s="13"/>
      <c r="R41" s="13"/>
      <c r="S41" s="13"/>
    </row>
    <row r="42" spans="1:19" s="47" customFormat="1" x14ac:dyDescent="0.4">
      <c r="A42" s="13"/>
      <c r="B42" s="32"/>
      <c r="C42" s="33"/>
      <c r="D42" s="33"/>
      <c r="E42" s="33"/>
      <c r="F42" s="33"/>
      <c r="G42" s="33"/>
      <c r="H42" s="33"/>
      <c r="I42" s="33"/>
      <c r="J42" s="33"/>
      <c r="K42" s="33"/>
      <c r="L42" s="33"/>
      <c r="M42" s="33"/>
      <c r="N42" s="33"/>
      <c r="O42" s="33"/>
      <c r="Q42" s="13"/>
      <c r="R42" s="13"/>
      <c r="S42" s="13"/>
    </row>
    <row r="43" spans="1:19" s="47" customFormat="1" x14ac:dyDescent="0.4">
      <c r="A43" s="13"/>
      <c r="B43" s="32"/>
      <c r="C43" s="33"/>
      <c r="D43" s="33"/>
      <c r="E43" s="33"/>
      <c r="F43" s="33"/>
      <c r="G43" s="33"/>
      <c r="H43" s="33"/>
      <c r="I43" s="33"/>
      <c r="J43" s="33"/>
      <c r="K43" s="33"/>
      <c r="L43" s="33"/>
      <c r="M43" s="33"/>
      <c r="N43" s="33"/>
      <c r="O43" s="33"/>
      <c r="Q43" s="13"/>
      <c r="R43" s="13"/>
      <c r="S43" s="13"/>
    </row>
    <row r="44" spans="1:19" s="47" customFormat="1" x14ac:dyDescent="0.4">
      <c r="A44" s="13"/>
      <c r="B44" s="32"/>
      <c r="C44" s="33"/>
      <c r="D44" s="33"/>
      <c r="E44" s="33"/>
      <c r="F44" s="33"/>
      <c r="G44" s="33"/>
      <c r="H44" s="33"/>
      <c r="I44" s="33"/>
      <c r="J44" s="33"/>
      <c r="K44" s="33"/>
      <c r="L44" s="33"/>
      <c r="M44" s="33"/>
      <c r="N44" s="33"/>
      <c r="O44" s="33"/>
      <c r="Q44" s="13"/>
      <c r="R44" s="13"/>
      <c r="S44" s="13"/>
    </row>
    <row r="45" spans="1:19" s="47" customFormat="1" x14ac:dyDescent="0.4">
      <c r="A45" s="13"/>
      <c r="B45" s="32"/>
      <c r="C45" s="33"/>
      <c r="D45" s="33"/>
      <c r="E45" s="33"/>
      <c r="F45" s="33"/>
      <c r="G45" s="33"/>
      <c r="H45" s="33"/>
      <c r="I45" s="33"/>
      <c r="J45" s="33"/>
      <c r="K45" s="33"/>
      <c r="L45" s="33"/>
      <c r="M45" s="33"/>
      <c r="N45" s="33"/>
      <c r="O45" s="33"/>
      <c r="Q45" s="13"/>
      <c r="R45" s="13"/>
      <c r="S45" s="13"/>
    </row>
    <row r="46" spans="1:19" s="47" customFormat="1" x14ac:dyDescent="0.4">
      <c r="A46" s="13"/>
      <c r="B46" s="32"/>
      <c r="C46" s="33"/>
      <c r="D46" s="33"/>
      <c r="E46" s="33"/>
      <c r="F46" s="33"/>
      <c r="G46" s="33"/>
      <c r="H46" s="33"/>
      <c r="I46" s="33"/>
      <c r="J46" s="33"/>
      <c r="K46" s="33"/>
      <c r="L46" s="33"/>
      <c r="M46" s="33"/>
      <c r="N46" s="33"/>
      <c r="O46" s="33"/>
      <c r="Q46" s="13"/>
      <c r="R46" s="13"/>
      <c r="S46" s="13"/>
    </row>
    <row r="47" spans="1:19" s="47" customFormat="1" x14ac:dyDescent="0.4">
      <c r="A47" s="13"/>
      <c r="B47" s="32"/>
      <c r="C47" s="33"/>
      <c r="D47" s="33"/>
      <c r="E47" s="33"/>
      <c r="F47" s="33"/>
      <c r="G47" s="33"/>
      <c r="H47" s="33"/>
      <c r="I47" s="33"/>
      <c r="J47" s="33"/>
      <c r="K47" s="33"/>
      <c r="L47" s="33"/>
      <c r="M47" s="33"/>
      <c r="N47" s="33"/>
      <c r="O47" s="33"/>
      <c r="Q47" s="13"/>
      <c r="R47" s="13"/>
      <c r="S47" s="13"/>
    </row>
    <row r="48" spans="1:19" s="47" customFormat="1" x14ac:dyDescent="0.4">
      <c r="A48" s="13"/>
      <c r="B48" s="32"/>
      <c r="C48" s="33"/>
      <c r="D48" s="33"/>
      <c r="E48" s="33"/>
      <c r="F48" s="33"/>
      <c r="G48" s="33"/>
      <c r="H48" s="33"/>
      <c r="I48" s="33"/>
      <c r="J48" s="33"/>
      <c r="K48" s="33"/>
      <c r="L48" s="33"/>
      <c r="M48" s="33"/>
      <c r="N48" s="33"/>
      <c r="O48" s="33"/>
      <c r="Q48" s="13"/>
      <c r="R48" s="13"/>
      <c r="S48" s="13"/>
    </row>
    <row r="49" spans="1:19" s="47" customFormat="1" x14ac:dyDescent="0.4">
      <c r="A49" s="13"/>
      <c r="B49" s="32"/>
      <c r="C49" s="33"/>
      <c r="D49" s="33"/>
      <c r="E49" s="33"/>
      <c r="F49" s="33"/>
      <c r="G49" s="33"/>
      <c r="H49" s="33"/>
      <c r="I49" s="33"/>
      <c r="J49" s="33"/>
      <c r="K49" s="33"/>
      <c r="L49" s="33"/>
      <c r="M49" s="33"/>
      <c r="N49" s="33"/>
      <c r="O49" s="33"/>
      <c r="Q49" s="13"/>
      <c r="R49" s="13"/>
      <c r="S49" s="13"/>
    </row>
    <row r="50" spans="1:19" s="47" customFormat="1" x14ac:dyDescent="0.4">
      <c r="A50" s="13"/>
      <c r="B50" s="32"/>
      <c r="C50" s="33"/>
      <c r="D50" s="33"/>
      <c r="E50" s="33"/>
      <c r="F50" s="33"/>
      <c r="G50" s="33"/>
      <c r="H50" s="33"/>
      <c r="I50" s="33"/>
      <c r="J50" s="33"/>
      <c r="K50" s="33"/>
      <c r="L50" s="33"/>
      <c r="M50" s="33"/>
      <c r="N50" s="33"/>
      <c r="O50" s="33"/>
      <c r="Q50" s="13"/>
      <c r="R50" s="13"/>
      <c r="S50" s="13"/>
    </row>
    <row r="51" spans="1:19" s="47" customFormat="1" x14ac:dyDescent="0.4">
      <c r="A51" s="13"/>
      <c r="B51" s="32"/>
      <c r="C51" s="33"/>
      <c r="D51" s="33"/>
      <c r="E51" s="33"/>
      <c r="F51" s="33"/>
      <c r="G51" s="33"/>
      <c r="H51" s="33"/>
      <c r="I51" s="33"/>
      <c r="J51" s="33"/>
      <c r="K51" s="33"/>
      <c r="L51" s="33"/>
      <c r="M51" s="33"/>
      <c r="N51" s="33"/>
      <c r="O51" s="33"/>
      <c r="Q51" s="13"/>
      <c r="R51" s="13"/>
      <c r="S51" s="13"/>
    </row>
    <row r="52" spans="1:19" s="47" customFormat="1" x14ac:dyDescent="0.4">
      <c r="A52" s="13"/>
      <c r="B52" s="32"/>
      <c r="C52" s="33"/>
      <c r="D52" s="33"/>
      <c r="E52" s="33"/>
      <c r="F52" s="33"/>
      <c r="G52" s="33"/>
      <c r="H52" s="33"/>
      <c r="I52" s="33"/>
      <c r="J52" s="33"/>
      <c r="K52" s="33"/>
      <c r="L52" s="33"/>
      <c r="M52" s="33"/>
      <c r="N52" s="33"/>
      <c r="O52" s="33"/>
      <c r="Q52" s="13"/>
      <c r="R52" s="13"/>
      <c r="S52" s="13"/>
    </row>
    <row r="53" spans="1:19" s="47" customFormat="1" x14ac:dyDescent="0.4">
      <c r="A53" s="13"/>
      <c r="B53" s="32"/>
      <c r="C53" s="33"/>
      <c r="D53" s="33"/>
      <c r="E53" s="33"/>
      <c r="F53" s="33"/>
      <c r="G53" s="33"/>
      <c r="H53" s="33"/>
      <c r="I53" s="33"/>
      <c r="J53" s="33"/>
      <c r="K53" s="33"/>
      <c r="L53" s="33"/>
      <c r="M53" s="33"/>
      <c r="N53" s="33"/>
      <c r="O53" s="33"/>
      <c r="Q53" s="13"/>
      <c r="R53" s="13"/>
      <c r="S53" s="13"/>
    </row>
    <row r="54" spans="1:19" s="47" customFormat="1" x14ac:dyDescent="0.4">
      <c r="A54" s="13"/>
      <c r="B54" s="32"/>
      <c r="C54" s="33"/>
      <c r="D54" s="33"/>
      <c r="E54" s="33"/>
      <c r="F54" s="33"/>
      <c r="G54" s="33"/>
      <c r="H54" s="33"/>
      <c r="I54" s="33"/>
      <c r="J54" s="33"/>
      <c r="K54" s="33"/>
      <c r="L54" s="33"/>
      <c r="M54" s="33"/>
      <c r="N54" s="33"/>
      <c r="O54" s="33"/>
      <c r="Q54" s="13"/>
      <c r="R54" s="13"/>
      <c r="S54" s="13"/>
    </row>
    <row r="55" spans="1:19" s="47" customFormat="1" x14ac:dyDescent="0.4">
      <c r="A55" s="13"/>
      <c r="B55" s="32"/>
      <c r="C55" s="33"/>
      <c r="D55" s="33"/>
      <c r="E55" s="33"/>
      <c r="F55" s="33"/>
      <c r="G55" s="33"/>
      <c r="H55" s="33"/>
      <c r="I55" s="33"/>
      <c r="J55" s="33"/>
      <c r="K55" s="33"/>
      <c r="L55" s="33"/>
      <c r="M55" s="33"/>
      <c r="N55" s="33"/>
      <c r="O55" s="33"/>
      <c r="Q55" s="13"/>
      <c r="R55" s="13"/>
      <c r="S55" s="13"/>
    </row>
    <row r="56" spans="1:19" s="47" customFormat="1" x14ac:dyDescent="0.4">
      <c r="A56" s="13"/>
      <c r="B56" s="32"/>
      <c r="C56" s="33"/>
      <c r="D56" s="33"/>
      <c r="E56" s="33"/>
      <c r="F56" s="33"/>
      <c r="G56" s="33"/>
      <c r="H56" s="33"/>
      <c r="I56" s="33"/>
      <c r="J56" s="33"/>
      <c r="K56" s="33"/>
      <c r="L56" s="33"/>
      <c r="M56" s="33"/>
      <c r="N56" s="33"/>
      <c r="O56" s="33"/>
      <c r="Q56" s="13"/>
      <c r="R56" s="13"/>
      <c r="S56" s="13"/>
    </row>
    <row r="57" spans="1:19" s="47" customFormat="1" x14ac:dyDescent="0.4">
      <c r="A57" s="13"/>
      <c r="B57" s="32"/>
      <c r="C57" s="33"/>
      <c r="D57" s="33"/>
      <c r="E57" s="33"/>
      <c r="F57" s="33"/>
      <c r="G57" s="33"/>
      <c r="H57" s="33"/>
      <c r="I57" s="33"/>
      <c r="J57" s="33"/>
      <c r="K57" s="33"/>
      <c r="L57" s="33"/>
      <c r="M57" s="33"/>
      <c r="N57" s="33"/>
      <c r="O57" s="33"/>
      <c r="Q57" s="13"/>
      <c r="R57" s="13"/>
      <c r="S57" s="13"/>
    </row>
    <row r="58" spans="1:19" s="47" customFormat="1" x14ac:dyDescent="0.4">
      <c r="A58" s="13"/>
      <c r="B58" s="32"/>
      <c r="C58" s="33"/>
      <c r="D58" s="33"/>
      <c r="E58" s="33"/>
      <c r="F58" s="33"/>
      <c r="G58" s="33"/>
      <c r="H58" s="33"/>
      <c r="I58" s="33"/>
      <c r="J58" s="33"/>
      <c r="K58" s="33"/>
      <c r="L58" s="33"/>
      <c r="M58" s="33"/>
      <c r="N58" s="33"/>
      <c r="O58" s="33"/>
      <c r="Q58" s="13"/>
      <c r="R58" s="13"/>
      <c r="S58" s="13"/>
    </row>
    <row r="59" spans="1:19" s="47" customFormat="1" x14ac:dyDescent="0.4">
      <c r="A59" s="13"/>
      <c r="B59" s="32"/>
      <c r="C59" s="33"/>
      <c r="D59" s="33"/>
      <c r="E59" s="33"/>
      <c r="F59" s="33"/>
      <c r="G59" s="33"/>
      <c r="H59" s="33"/>
      <c r="I59" s="33"/>
      <c r="J59" s="33"/>
      <c r="K59" s="33"/>
      <c r="L59" s="33"/>
      <c r="M59" s="33"/>
      <c r="N59" s="33"/>
      <c r="O59" s="33"/>
      <c r="Q59" s="13"/>
      <c r="R59" s="13"/>
      <c r="S59" s="13"/>
    </row>
    <row r="60" spans="1:19" s="47" customFormat="1" x14ac:dyDescent="0.4">
      <c r="A60" s="13"/>
      <c r="B60" s="32"/>
      <c r="C60" s="33"/>
      <c r="D60" s="33"/>
      <c r="E60" s="33"/>
      <c r="F60" s="33"/>
      <c r="G60" s="33"/>
      <c r="H60" s="33"/>
      <c r="I60" s="33"/>
      <c r="J60" s="33"/>
      <c r="K60" s="33"/>
      <c r="L60" s="33"/>
      <c r="M60" s="33"/>
      <c r="N60" s="33"/>
      <c r="O60" s="33"/>
      <c r="Q60" s="13"/>
      <c r="R60" s="13"/>
      <c r="S60" s="13"/>
    </row>
    <row r="61" spans="1:19" s="47" customFormat="1" x14ac:dyDescent="0.4">
      <c r="A61" s="13"/>
      <c r="B61" s="32"/>
      <c r="C61" s="33"/>
      <c r="D61" s="33"/>
      <c r="E61" s="33"/>
      <c r="F61" s="33"/>
      <c r="G61" s="33"/>
      <c r="H61" s="33"/>
      <c r="I61" s="33"/>
      <c r="J61" s="33"/>
      <c r="K61" s="33"/>
      <c r="L61" s="33"/>
      <c r="M61" s="33"/>
      <c r="N61" s="33"/>
      <c r="O61" s="33"/>
      <c r="Q61" s="13"/>
      <c r="R61" s="13"/>
      <c r="S61" s="13"/>
    </row>
    <row r="62" spans="1:19" s="47" customFormat="1" x14ac:dyDescent="0.4">
      <c r="A62" s="13"/>
      <c r="B62" s="32"/>
      <c r="C62" s="33"/>
      <c r="D62" s="33"/>
      <c r="E62" s="33"/>
      <c r="F62" s="33"/>
      <c r="G62" s="33"/>
      <c r="H62" s="33"/>
      <c r="I62" s="33"/>
      <c r="J62" s="33"/>
      <c r="K62" s="33"/>
      <c r="L62" s="33"/>
      <c r="M62" s="33"/>
      <c r="N62" s="33"/>
      <c r="O62" s="33"/>
      <c r="Q62" s="13"/>
      <c r="R62" s="13"/>
      <c r="S62" s="13"/>
    </row>
    <row r="63" spans="1:19" s="47" customFormat="1" x14ac:dyDescent="0.4">
      <c r="A63" s="13"/>
      <c r="B63" s="32"/>
      <c r="C63" s="33"/>
      <c r="D63" s="33"/>
      <c r="E63" s="33"/>
      <c r="F63" s="33"/>
      <c r="G63" s="33"/>
      <c r="H63" s="33"/>
      <c r="I63" s="33"/>
      <c r="J63" s="33"/>
      <c r="K63" s="33"/>
      <c r="L63" s="33"/>
      <c r="M63" s="33"/>
      <c r="N63" s="33"/>
      <c r="O63" s="33"/>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sheetData>
  <pageMargins left="0.7" right="0.7" top="0.75" bottom="0.75" header="0.3" footer="0.3"/>
  <pageSetup scale="85" fitToHeight="0" orientation="landscape" r:id="rId1"/>
  <headerFooter>
    <oddFooter>&amp;L&amp;G&amp;R&amp;P</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79998168889431442"/>
    <pageSetUpPr fitToPage="1"/>
  </sheetPr>
  <dimension ref="A1:AA86"/>
  <sheetViews>
    <sheetView view="pageBreakPreview" zoomScaleNormal="100" zoomScaleSheetLayoutView="100" workbookViewId="0">
      <pane xSplit="1" ySplit="5" topLeftCell="J6" activePane="bottomRight" state="frozen"/>
      <selection pane="topRight"/>
      <selection pane="bottomLeft"/>
      <selection pane="bottomRight" activeCell="J6" sqref="J6:K6"/>
    </sheetView>
  </sheetViews>
  <sheetFormatPr defaultColWidth="9.140625" defaultRowHeight="13.15" outlineLevelCol="1" x14ac:dyDescent="0.4"/>
  <cols>
    <col min="1" max="1" width="38.35546875" style="3" bestFit="1" customWidth="1"/>
    <col min="2" max="9" width="12.85546875" style="3" hidden="1" customWidth="1" outlineLevel="1"/>
    <col min="10" max="10" width="12.85546875" style="3" customWidth="1" collapsed="1"/>
    <col min="11" max="17" width="12.85546875" style="3" customWidth="1"/>
    <col min="18" max="18" width="8.35546875" style="3" bestFit="1" customWidth="1"/>
    <col min="19" max="16384" width="9.140625" style="3"/>
  </cols>
  <sheetData>
    <row r="1" spans="1:23" ht="18" x14ac:dyDescent="0.4">
      <c r="A1" s="64" t="str">
        <f>name</f>
        <v/>
      </c>
    </row>
    <row r="2" spans="1:23" ht="18" x14ac:dyDescent="0.4">
      <c r="A2" s="65" t="s">
        <v>10</v>
      </c>
      <c r="B2" s="20"/>
      <c r="C2" s="20"/>
      <c r="D2" s="21"/>
      <c r="E2" s="20"/>
      <c r="F2" s="20"/>
      <c r="G2" s="20"/>
      <c r="H2" s="20"/>
      <c r="J2" s="20"/>
      <c r="K2" s="20"/>
      <c r="L2" s="21"/>
      <c r="M2" s="20"/>
      <c r="N2" s="20"/>
      <c r="O2" s="20"/>
      <c r="P2" s="20"/>
      <c r="U2" s="13" t="s">
        <v>430</v>
      </c>
      <c r="W2" s="13" t="s">
        <v>639</v>
      </c>
    </row>
    <row r="3" spans="1:23" ht="14.25" x14ac:dyDescent="0.45">
      <c r="A3" s="63" t="s">
        <v>24</v>
      </c>
      <c r="B3" s="20"/>
      <c r="C3" s="20"/>
      <c r="D3" s="21"/>
      <c r="E3" s="20"/>
      <c r="F3" s="20"/>
      <c r="G3" s="20"/>
      <c r="H3" s="20"/>
      <c r="J3" s="20"/>
      <c r="K3" s="20"/>
      <c r="L3" s="21"/>
      <c r="M3" s="20"/>
      <c r="N3" s="20"/>
      <c r="O3" s="20"/>
      <c r="P3" s="20"/>
    </row>
    <row r="4" spans="1:23" ht="18" x14ac:dyDescent="0.45">
      <c r="A4" s="63"/>
      <c r="B4" s="107" t="str">
        <f>[1]!IntrinioBankFundamentals(rssd_id,"RIBI",fiscal_period_type,1,"fiscal_period")</f>
        <v/>
      </c>
      <c r="C4" s="107"/>
      <c r="D4" s="107"/>
      <c r="E4" s="107"/>
      <c r="F4" s="107"/>
      <c r="G4" s="107"/>
      <c r="H4" s="107"/>
      <c r="I4" s="107"/>
      <c r="J4" s="114" t="str">
        <f>[1]!IntrinioBankFundamentals(rssd_id,"RIBI",fiscal_period_type,0,"fiscal_period")</f>
        <v/>
      </c>
      <c r="K4" s="115"/>
      <c r="L4" s="115"/>
      <c r="M4" s="115"/>
      <c r="N4" s="115"/>
      <c r="O4" s="115"/>
      <c r="P4" s="115"/>
      <c r="Q4" s="115"/>
      <c r="R4" s="82"/>
    </row>
    <row r="5" spans="1:23" ht="18" x14ac:dyDescent="0.45">
      <c r="A5" s="63"/>
      <c r="B5" s="108" t="str">
        <f>[1]!IntrinioBankFundamentals(rssd_id,"RIBI",fiscal_period_type,1,"fiscal_year")</f>
        <v/>
      </c>
      <c r="C5" s="108"/>
      <c r="D5" s="108"/>
      <c r="E5" s="108"/>
      <c r="F5" s="108"/>
      <c r="G5" s="108"/>
      <c r="H5" s="108"/>
      <c r="I5" s="108"/>
      <c r="J5" s="113" t="str">
        <f>[1]!IntrinioBankFundamentals(rssd_id,"RIBI",fiscal_period_type,0,"fiscal_year")</f>
        <v/>
      </c>
      <c r="K5" s="108"/>
      <c r="L5" s="108"/>
      <c r="M5" s="108"/>
      <c r="N5" s="108"/>
      <c r="O5" s="108"/>
      <c r="P5" s="108"/>
      <c r="Q5" s="108"/>
      <c r="R5" s="83"/>
    </row>
    <row r="6" spans="1:23" x14ac:dyDescent="0.4">
      <c r="A6" s="20"/>
      <c r="B6" s="105" t="s">
        <v>467</v>
      </c>
      <c r="C6" s="105"/>
      <c r="D6" s="105" t="s">
        <v>468</v>
      </c>
      <c r="E6" s="105"/>
      <c r="F6" s="105" t="s">
        <v>469</v>
      </c>
      <c r="G6" s="105"/>
      <c r="H6" s="105" t="s">
        <v>470</v>
      </c>
      <c r="I6" s="105"/>
      <c r="J6" s="111" t="s">
        <v>467</v>
      </c>
      <c r="K6" s="112"/>
      <c r="L6" s="112" t="s">
        <v>468</v>
      </c>
      <c r="M6" s="112"/>
      <c r="N6" s="112" t="s">
        <v>469</v>
      </c>
      <c r="O6" s="112"/>
      <c r="P6" s="112" t="s">
        <v>470</v>
      </c>
      <c r="Q6" s="112"/>
      <c r="R6" s="20"/>
    </row>
    <row r="7" spans="1:23" x14ac:dyDescent="0.4">
      <c r="A7" s="20"/>
      <c r="B7" s="105" t="s">
        <v>657</v>
      </c>
      <c r="C7" s="105"/>
      <c r="D7" s="105" t="s">
        <v>658</v>
      </c>
      <c r="E7" s="105"/>
      <c r="F7" s="105" t="s">
        <v>659</v>
      </c>
      <c r="G7" s="105"/>
      <c r="H7" s="105" t="s">
        <v>660</v>
      </c>
      <c r="I7" s="105"/>
      <c r="J7" s="111" t="s">
        <v>657</v>
      </c>
      <c r="K7" s="112"/>
      <c r="L7" s="112" t="s">
        <v>658</v>
      </c>
      <c r="M7" s="112"/>
      <c r="N7" s="112" t="s">
        <v>659</v>
      </c>
      <c r="O7" s="112"/>
      <c r="P7" s="112" t="s">
        <v>660</v>
      </c>
      <c r="Q7" s="112"/>
      <c r="R7" s="20"/>
    </row>
    <row r="8" spans="1:23" x14ac:dyDescent="0.4">
      <c r="A8" s="22"/>
      <c r="B8" s="106" t="s">
        <v>661</v>
      </c>
      <c r="C8" s="106"/>
      <c r="D8" s="106" t="s">
        <v>662</v>
      </c>
      <c r="E8" s="106"/>
      <c r="F8" s="106" t="s">
        <v>661</v>
      </c>
      <c r="G8" s="106"/>
      <c r="H8" s="106" t="s">
        <v>662</v>
      </c>
      <c r="I8" s="106"/>
      <c r="J8" s="116" t="s">
        <v>661</v>
      </c>
      <c r="K8" s="106"/>
      <c r="L8" s="106" t="s">
        <v>662</v>
      </c>
      <c r="M8" s="106"/>
      <c r="N8" s="106" t="s">
        <v>661</v>
      </c>
      <c r="O8" s="106"/>
      <c r="P8" s="106" t="s">
        <v>662</v>
      </c>
      <c r="Q8" s="106"/>
      <c r="R8" s="20"/>
    </row>
    <row r="9" spans="1:23" ht="14.25" x14ac:dyDescent="0.4">
      <c r="A9" s="20"/>
      <c r="B9" s="35"/>
      <c r="C9" s="35"/>
      <c r="D9" s="35"/>
      <c r="E9" s="35"/>
      <c r="F9" s="35"/>
      <c r="G9" s="35"/>
      <c r="H9" s="35"/>
      <c r="I9" s="91"/>
      <c r="J9" s="35"/>
      <c r="K9" s="35"/>
      <c r="L9" s="35"/>
      <c r="M9" s="35"/>
      <c r="N9" s="35"/>
      <c r="O9" s="35"/>
      <c r="P9" s="35"/>
      <c r="Q9" s="35"/>
      <c r="R9" s="20"/>
    </row>
    <row r="10" spans="1:23" ht="14.25" x14ac:dyDescent="0.45">
      <c r="A10" s="60" t="s">
        <v>663</v>
      </c>
      <c r="B10" s="37" t="s">
        <v>664</v>
      </c>
      <c r="C10" s="38" t="str">
        <f>IFERROR([1]!IntrinioBankFinancials(rssd_id,$W$2,$B$5,$B$4,B10,"K"),"")</f>
        <v/>
      </c>
      <c r="D10" s="37" t="s">
        <v>665</v>
      </c>
      <c r="E10" s="38" t="str">
        <f>IFERROR([1]!IntrinioBankFinancials(rssd_id,$W$2,$B$5,$B$4,D10,"K"),"")</f>
        <v/>
      </c>
      <c r="F10" s="37" t="s">
        <v>666</v>
      </c>
      <c r="G10" s="38" t="str">
        <f>IFERROR([1]!IntrinioBankFinancials(rssd_id,$W$2,$B$5,$B$4,F10,"K"),"")</f>
        <v/>
      </c>
      <c r="H10" s="37" t="s">
        <v>667</v>
      </c>
      <c r="I10" s="38" t="str">
        <f>IFERROR([1]!IntrinioBankFinancials(rssd_id,$W$2,$B$5,$B$4,H10,"K"),"")</f>
        <v/>
      </c>
      <c r="J10" s="37" t="s">
        <v>2227</v>
      </c>
      <c r="K10" s="38" t="str">
        <f>IFERROR([1]!IntrinioBankFinancials(rssd_id,$W$2,$J$5,$J$4,J10,"K"),"")</f>
        <v/>
      </c>
      <c r="L10" s="37" t="s">
        <v>2247</v>
      </c>
      <c r="M10" s="38" t="str">
        <f>IFERROR([1]!IntrinioBankFinancials(rssd_id,$W$2,$J$5,$J$4,L10,"K"),"")</f>
        <v/>
      </c>
      <c r="N10" s="37" t="s">
        <v>2268</v>
      </c>
      <c r="O10" s="38" t="str">
        <f>IFERROR([1]!IntrinioBankFinancials(rssd_id,$W$2,$J$5,$J$4,N10,"K"),"")</f>
        <v/>
      </c>
      <c r="P10" s="37" t="s">
        <v>2290</v>
      </c>
      <c r="Q10" s="38" t="str">
        <f>IFERROR([1]!IntrinioBankFinancials(rssd_id,$W$2,$J$5,$J$4,P10,"K"),"")</f>
        <v/>
      </c>
      <c r="R10" s="49">
        <v>1</v>
      </c>
    </row>
    <row r="11" spans="1:23" ht="28.5" x14ac:dyDescent="0.45">
      <c r="A11" s="60" t="s">
        <v>668</v>
      </c>
      <c r="B11" s="35"/>
      <c r="C11" s="35"/>
      <c r="D11" s="35"/>
      <c r="E11" s="35"/>
      <c r="F11" s="35"/>
      <c r="G11" s="35"/>
      <c r="H11" s="35"/>
      <c r="I11" s="35"/>
      <c r="J11" s="35"/>
      <c r="K11" s="35"/>
      <c r="L11" s="35"/>
      <c r="M11" s="35"/>
      <c r="N11" s="35"/>
      <c r="O11" s="35"/>
      <c r="P11" s="35"/>
      <c r="Q11" s="35"/>
      <c r="R11" s="49">
        <v>2</v>
      </c>
    </row>
    <row r="12" spans="1:23" ht="14.25" x14ac:dyDescent="0.4">
      <c r="A12" s="41" t="s">
        <v>669</v>
      </c>
      <c r="B12" s="37" t="s">
        <v>670</v>
      </c>
      <c r="C12" s="38" t="str">
        <f>IFERROR([1]!IntrinioBankFinancials(rssd_id,$W$2,$B$5,$B$4,B12,"K"),"")</f>
        <v/>
      </c>
      <c r="D12" s="37" t="s">
        <v>671</v>
      </c>
      <c r="E12" s="38" t="str">
        <f>IFERROR([1]!IntrinioBankFinancials(rssd_id,$W$2,$B$5,$B$4,D12,"K"),"")</f>
        <v/>
      </c>
      <c r="F12" s="37" t="s">
        <v>672</v>
      </c>
      <c r="G12" s="38" t="str">
        <f>IFERROR([1]!IntrinioBankFinancials(rssd_id,$W$2,$B$5,$B$4,F12,"K"),"")</f>
        <v/>
      </c>
      <c r="H12" s="37" t="s">
        <v>673</v>
      </c>
      <c r="I12" s="38" t="str">
        <f>IFERROR([1]!IntrinioBankFinancials(rssd_id,$W$2,$B$5,$B$4,H12,"K"),"")</f>
        <v/>
      </c>
      <c r="J12" s="37" t="s">
        <v>2228</v>
      </c>
      <c r="K12" s="38" t="str">
        <f>IFERROR([1]!IntrinioBankFinancials(rssd_id,$W$2,$J$5,$J$4,J12,"K"),"")</f>
        <v/>
      </c>
      <c r="L12" s="37" t="s">
        <v>2248</v>
      </c>
      <c r="M12" s="38" t="str">
        <f>IFERROR([1]!IntrinioBankFinancials(rssd_id,$W$2,$J$5,$J$4,L12,"K"),"")</f>
        <v/>
      </c>
      <c r="N12" s="37" t="s">
        <v>2269</v>
      </c>
      <c r="O12" s="38" t="str">
        <f>IFERROR([1]!IntrinioBankFinancials(rssd_id,$W$2,$J$5,$J$4,N12,"K"),"")</f>
        <v/>
      </c>
      <c r="P12" s="37" t="s">
        <v>2291</v>
      </c>
      <c r="Q12" s="38" t="str">
        <f>IFERROR([1]!IntrinioBankFinancials(rssd_id,$W$2,$J$5,$J$4,P12,"K"),"")</f>
        <v/>
      </c>
      <c r="R12" s="49" t="s">
        <v>86</v>
      </c>
    </row>
    <row r="13" spans="1:23" ht="28.5" x14ac:dyDescent="0.4">
      <c r="A13" s="41" t="s">
        <v>674</v>
      </c>
      <c r="B13" s="37" t="s">
        <v>675</v>
      </c>
      <c r="C13" s="38" t="str">
        <f>IFERROR([1]!IntrinioBankFinancials(rssd_id,$W$2,$B$5,$B$4,B13,"K"),"")</f>
        <v/>
      </c>
      <c r="D13" s="37" t="s">
        <v>676</v>
      </c>
      <c r="E13" s="38" t="str">
        <f>IFERROR([1]!IntrinioBankFinancials(rssd_id,$W$2,$B$5,$B$4,D13,"K"),"")</f>
        <v/>
      </c>
      <c r="F13" s="37" t="s">
        <v>677</v>
      </c>
      <c r="G13" s="38" t="str">
        <f>IFERROR([1]!IntrinioBankFinancials(rssd_id,$W$2,$B$5,$B$4,F13,"K"),"")</f>
        <v/>
      </c>
      <c r="H13" s="37" t="s">
        <v>678</v>
      </c>
      <c r="I13" s="38" t="str">
        <f>IFERROR([1]!IntrinioBankFinancials(rssd_id,$W$2,$B$5,$B$4,H13,"K"),"")</f>
        <v/>
      </c>
      <c r="J13" s="37" t="s">
        <v>2229</v>
      </c>
      <c r="K13" s="38" t="str">
        <f>IFERROR([1]!IntrinioBankFinancials(rssd_id,$W$2,$J$5,$J$4,J13,"K"),"")</f>
        <v/>
      </c>
      <c r="L13" s="37" t="s">
        <v>2249</v>
      </c>
      <c r="M13" s="38" t="str">
        <f>IFERROR([1]!IntrinioBankFinancials(rssd_id,$W$2,$J$5,$J$4,L13,"K"),"")</f>
        <v/>
      </c>
      <c r="N13" s="37" t="s">
        <v>2270</v>
      </c>
      <c r="O13" s="38" t="str">
        <f>IFERROR([1]!IntrinioBankFinancials(rssd_id,$W$2,$J$5,$J$4,N13,"K"),"")</f>
        <v/>
      </c>
      <c r="P13" s="37" t="s">
        <v>2292</v>
      </c>
      <c r="Q13" s="38" t="str">
        <f>IFERROR([1]!IntrinioBankFinancials(rssd_id,$W$2,$J$5,$J$4,P13,"K"),"")</f>
        <v/>
      </c>
      <c r="R13" s="49" t="s">
        <v>102</v>
      </c>
    </row>
    <row r="14" spans="1:23" ht="28.5" x14ac:dyDescent="0.45">
      <c r="A14" s="60" t="s">
        <v>679</v>
      </c>
      <c r="B14" s="37" t="s">
        <v>680</v>
      </c>
      <c r="C14" s="38" t="str">
        <f>IFERROR([1]!IntrinioBankFinancials(rssd_id,$W$2,$B$5,$B$4,B14,"K"),"")</f>
        <v/>
      </c>
      <c r="D14" s="37" t="s">
        <v>681</v>
      </c>
      <c r="E14" s="38" t="str">
        <f>IFERROR([1]!IntrinioBankFinancials(rssd_id,$W$2,$B$5,$B$4,D14,"K"),"")</f>
        <v/>
      </c>
      <c r="F14" s="37" t="s">
        <v>682</v>
      </c>
      <c r="G14" s="38" t="str">
        <f>IFERROR([1]!IntrinioBankFinancials(rssd_id,$W$2,$B$5,$B$4,F14,"K"),"")</f>
        <v/>
      </c>
      <c r="H14" s="37" t="s">
        <v>683</v>
      </c>
      <c r="I14" s="38" t="str">
        <f>IFERROR([1]!IntrinioBankFinancials(rssd_id,$W$2,$B$5,$B$4,H14,"K"),"")</f>
        <v/>
      </c>
      <c r="J14" s="37" t="s">
        <v>2230</v>
      </c>
      <c r="K14" s="38" t="str">
        <f>IFERROR([1]!IntrinioBankFinancials(rssd_id,$W$2,$J$5,$J$4,J14,"K"),"")</f>
        <v/>
      </c>
      <c r="L14" s="37" t="s">
        <v>2250</v>
      </c>
      <c r="M14" s="38" t="str">
        <f>IFERROR([1]!IntrinioBankFinancials(rssd_id,$W$2,$J$5,$J$4,L14,"K"),"")</f>
        <v/>
      </c>
      <c r="N14" s="37" t="s">
        <v>2271</v>
      </c>
      <c r="O14" s="38" t="str">
        <f>IFERROR([1]!IntrinioBankFinancials(rssd_id,$W$2,$J$5,$J$4,N14,"K"),"")</f>
        <v/>
      </c>
      <c r="P14" s="37" t="s">
        <v>2293</v>
      </c>
      <c r="Q14" s="38" t="str">
        <f>IFERROR([1]!IntrinioBankFinancials(rssd_id,$W$2,$J$5,$J$4,P14,"K"),"")</f>
        <v/>
      </c>
      <c r="R14" s="49">
        <v>3</v>
      </c>
    </row>
    <row r="15" spans="1:23" ht="14.25" x14ac:dyDescent="0.45">
      <c r="A15" s="60" t="s">
        <v>684</v>
      </c>
      <c r="B15" s="35"/>
      <c r="C15" s="35"/>
      <c r="D15" s="35"/>
      <c r="E15" s="35"/>
      <c r="F15" s="35"/>
      <c r="G15" s="35"/>
      <c r="H15" s="35"/>
      <c r="I15" s="35"/>
      <c r="J15" s="35"/>
      <c r="K15" s="35"/>
      <c r="L15" s="35"/>
      <c r="M15" s="35"/>
      <c r="N15" s="35"/>
      <c r="O15" s="35"/>
      <c r="P15" s="35"/>
      <c r="Q15" s="35"/>
      <c r="R15" s="49">
        <v>4</v>
      </c>
    </row>
    <row r="16" spans="1:23" ht="28.5" x14ac:dyDescent="0.4">
      <c r="A16" s="41" t="s">
        <v>685</v>
      </c>
      <c r="B16" s="35"/>
      <c r="C16" s="35"/>
      <c r="D16" s="35"/>
      <c r="E16" s="35"/>
      <c r="F16" s="35"/>
      <c r="G16" s="35"/>
      <c r="H16" s="35"/>
      <c r="I16" s="35"/>
      <c r="J16" s="35"/>
      <c r="K16" s="35"/>
      <c r="L16" s="35"/>
      <c r="M16" s="35"/>
      <c r="N16" s="35"/>
      <c r="O16" s="35"/>
      <c r="P16" s="35"/>
      <c r="Q16" s="35"/>
      <c r="R16" s="49" t="s">
        <v>622</v>
      </c>
    </row>
    <row r="17" spans="1:18" ht="14.25" x14ac:dyDescent="0.45">
      <c r="A17" s="97" t="s">
        <v>686</v>
      </c>
      <c r="B17" s="37" t="s">
        <v>687</v>
      </c>
      <c r="C17" s="38" t="str">
        <f>IFERROR([1]!IntrinioBankFinancials(rssd_id,$W$2,$B$5,$B$4,B17,"K"),"")</f>
        <v/>
      </c>
      <c r="D17" s="37" t="s">
        <v>688</v>
      </c>
      <c r="E17" s="38" t="str">
        <f>IFERROR([1]!IntrinioBankFinancials(rssd_id,$W$2,$B$5,$B$4,D17,"K"),"")</f>
        <v/>
      </c>
      <c r="F17" s="37" t="s">
        <v>689</v>
      </c>
      <c r="G17" s="38" t="str">
        <f>IFERROR([1]!IntrinioBankFinancials(rssd_id,$W$2,$B$5,$B$4,F17,"K"),"")</f>
        <v/>
      </c>
      <c r="H17" s="37" t="s">
        <v>690</v>
      </c>
      <c r="I17" s="38" t="str">
        <f>IFERROR([1]!IntrinioBankFinancials(rssd_id,$W$2,$B$5,$B$4,H17,"K"),"")</f>
        <v/>
      </c>
      <c r="J17" s="37" t="s">
        <v>2231</v>
      </c>
      <c r="K17" s="38" t="str">
        <f>IFERROR([1]!IntrinioBankFinancials(rssd_id,$W$2,$J$5,$J$4,J17,"K"),"")</f>
        <v/>
      </c>
      <c r="L17" s="37" t="s">
        <v>2251</v>
      </c>
      <c r="M17" s="38" t="str">
        <f>IFERROR([1]!IntrinioBankFinancials(rssd_id,$W$2,$J$5,$J$4,L17,"K"),"")</f>
        <v/>
      </c>
      <c r="N17" s="37" t="s">
        <v>2272</v>
      </c>
      <c r="O17" s="38" t="str">
        <f>IFERROR([1]!IntrinioBankFinancials(rssd_id,$W$2,$J$5,$J$4,N17,"K"),"")</f>
        <v/>
      </c>
      <c r="P17" s="37" t="s">
        <v>2294</v>
      </c>
      <c r="Q17" s="38" t="str">
        <f>IFERROR([1]!IntrinioBankFinancials(rssd_id,$W$2,$J$5,$J$4,P17,"K"),"")</f>
        <v/>
      </c>
      <c r="R17" s="49" t="s">
        <v>691</v>
      </c>
    </row>
    <row r="18" spans="1:18" ht="14.25" x14ac:dyDescent="0.45">
      <c r="A18" s="97" t="s">
        <v>692</v>
      </c>
      <c r="B18" s="37" t="s">
        <v>693</v>
      </c>
      <c r="C18" s="38" t="str">
        <f>IFERROR([1]!IntrinioBankFinancials(rssd_id,$W$2,$B$5,$B$4,B18,"K"),"")</f>
        <v/>
      </c>
      <c r="D18" s="37" t="s">
        <v>694</v>
      </c>
      <c r="E18" s="38" t="str">
        <f>IFERROR([1]!IntrinioBankFinancials(rssd_id,$W$2,$B$5,$B$4,D18,"K"),"")</f>
        <v/>
      </c>
      <c r="F18" s="37" t="s">
        <v>695</v>
      </c>
      <c r="G18" s="38" t="str">
        <f>IFERROR([1]!IntrinioBankFinancials(rssd_id,$W$2,$B$5,$B$4,F18,"K"),"")</f>
        <v/>
      </c>
      <c r="H18" s="37" t="s">
        <v>696</v>
      </c>
      <c r="I18" s="38" t="str">
        <f>IFERROR([1]!IntrinioBankFinancials(rssd_id,$W$2,$B$5,$B$4,H18,"K"),"")</f>
        <v/>
      </c>
      <c r="J18" s="37" t="s">
        <v>2232</v>
      </c>
      <c r="K18" s="38" t="str">
        <f>IFERROR([1]!IntrinioBankFinancials(rssd_id,$W$2,$J$5,$J$4,J18,"K"),"")</f>
        <v/>
      </c>
      <c r="L18" s="37" t="s">
        <v>2252</v>
      </c>
      <c r="M18" s="38" t="str">
        <f>IFERROR([1]!IntrinioBankFinancials(rssd_id,$W$2,$J$5,$J$4,L18,"K"),"")</f>
        <v/>
      </c>
      <c r="N18" s="37" t="s">
        <v>2273</v>
      </c>
      <c r="O18" s="38" t="str">
        <f>IFERROR([1]!IntrinioBankFinancials(rssd_id,$W$2,$J$5,$J$4,N18,"K"),"")</f>
        <v/>
      </c>
      <c r="P18" s="37" t="s">
        <v>2295</v>
      </c>
      <c r="Q18" s="38" t="str">
        <f>IFERROR([1]!IntrinioBankFinancials(rssd_id,$W$2,$J$5,$J$4,P18,"K"),"")</f>
        <v/>
      </c>
      <c r="R18" s="49" t="s">
        <v>697</v>
      </c>
    </row>
    <row r="19" spans="1:18" ht="14.25" x14ac:dyDescent="0.45">
      <c r="A19" s="97" t="s">
        <v>698</v>
      </c>
      <c r="B19" s="37" t="s">
        <v>699</v>
      </c>
      <c r="C19" s="38" t="str">
        <f>IFERROR([1]!IntrinioBankFinancials(rssd_id,$W$2,$B$5,$B$4,B19,"K"),"")</f>
        <v/>
      </c>
      <c r="D19" s="37" t="s">
        <v>700</v>
      </c>
      <c r="E19" s="38" t="str">
        <f>IFERROR([1]!IntrinioBankFinancials(rssd_id,$W$2,$B$5,$B$4,D19,"K"),"")</f>
        <v/>
      </c>
      <c r="F19" s="37" t="s">
        <v>701</v>
      </c>
      <c r="G19" s="38" t="str">
        <f>IFERROR([1]!IntrinioBankFinancials(rssd_id,$W$2,$B$5,$B$4,F19,"K"),"")</f>
        <v/>
      </c>
      <c r="H19" s="37" t="s">
        <v>702</v>
      </c>
      <c r="I19" s="38" t="str">
        <f>IFERROR([1]!IntrinioBankFinancials(rssd_id,$W$2,$B$5,$B$4,H19,"K"),"")</f>
        <v/>
      </c>
      <c r="J19" s="37" t="s">
        <v>2233</v>
      </c>
      <c r="K19" s="38" t="str">
        <f>IFERROR([1]!IntrinioBankFinancials(rssd_id,$W$2,$J$5,$J$4,J19,"K"),"")</f>
        <v/>
      </c>
      <c r="L19" s="37" t="s">
        <v>2253</v>
      </c>
      <c r="M19" s="38" t="str">
        <f>IFERROR([1]!IntrinioBankFinancials(rssd_id,$W$2,$J$5,$J$4,L19,"K"),"")</f>
        <v/>
      </c>
      <c r="N19" s="37" t="s">
        <v>2274</v>
      </c>
      <c r="O19" s="38" t="str">
        <f>IFERROR([1]!IntrinioBankFinancials(rssd_id,$W$2,$J$5,$J$4,N19,"K"),"")</f>
        <v/>
      </c>
      <c r="P19" s="37" t="s">
        <v>2296</v>
      </c>
      <c r="Q19" s="38" t="str">
        <f>IFERROR([1]!IntrinioBankFinancials(rssd_id,$W$2,$J$5,$J$4,P19,"K"),"")</f>
        <v/>
      </c>
      <c r="R19" s="49" t="s">
        <v>703</v>
      </c>
    </row>
    <row r="20" spans="1:18" ht="42.75" x14ac:dyDescent="0.4">
      <c r="A20" s="41" t="s">
        <v>704</v>
      </c>
      <c r="B20" s="35"/>
      <c r="C20" s="35"/>
      <c r="D20" s="35"/>
      <c r="E20" s="35"/>
      <c r="F20" s="35"/>
      <c r="G20" s="35"/>
      <c r="H20" s="35"/>
      <c r="I20" s="35"/>
      <c r="J20" s="35"/>
      <c r="K20" s="35"/>
      <c r="L20" s="35"/>
      <c r="M20" s="35"/>
      <c r="N20" s="35"/>
      <c r="O20" s="35"/>
      <c r="P20" s="35"/>
      <c r="Q20" s="35"/>
      <c r="R20" s="49" t="s">
        <v>623</v>
      </c>
    </row>
    <row r="21" spans="1:18" ht="42.75" x14ac:dyDescent="0.45">
      <c r="A21" s="98" t="s">
        <v>705</v>
      </c>
      <c r="B21" s="37" t="s">
        <v>706</v>
      </c>
      <c r="C21" s="38" t="str">
        <f>IFERROR([1]!IntrinioBankFinancials(rssd_id,$W$2,$B$5,$B$4,B21,"K"),"")</f>
        <v/>
      </c>
      <c r="D21" s="37" t="s">
        <v>707</v>
      </c>
      <c r="E21" s="38" t="str">
        <f>IFERROR([1]!IntrinioBankFinancials(rssd_id,$W$2,$B$5,$B$4,D21,"K"),"")</f>
        <v/>
      </c>
      <c r="F21" s="37" t="s">
        <v>708</v>
      </c>
      <c r="G21" s="38" t="str">
        <f>IFERROR([1]!IntrinioBankFinancials(rssd_id,$W$2,$B$5,$B$4,F21,"K"),"")</f>
        <v/>
      </c>
      <c r="H21" s="37" t="s">
        <v>709</v>
      </c>
      <c r="I21" s="38" t="str">
        <f>IFERROR([1]!IntrinioBankFinancials(rssd_id,$W$2,$B$5,$B$4,H21,"K"),"")</f>
        <v/>
      </c>
      <c r="J21" s="37" t="s">
        <v>2234</v>
      </c>
      <c r="K21" s="38" t="str">
        <f>IFERROR([1]!IntrinioBankFinancials(rssd_id,$W$2,$J$5,$J$4,J21,"K"),"")</f>
        <v/>
      </c>
      <c r="L21" s="37" t="s">
        <v>2254</v>
      </c>
      <c r="M21" s="38" t="str">
        <f>IFERROR([1]!IntrinioBankFinancials(rssd_id,$W$2,$J$5,$J$4,L21,"K"),"")</f>
        <v/>
      </c>
      <c r="N21" s="37" t="s">
        <v>2275</v>
      </c>
      <c r="O21" s="38" t="str">
        <f>IFERROR([1]!IntrinioBankFinancials(rssd_id,$W$2,$J$5,$J$4,N21,"K"),"")</f>
        <v/>
      </c>
      <c r="P21" s="37" t="s">
        <v>2297</v>
      </c>
      <c r="Q21" s="38" t="str">
        <f>IFERROR([1]!IntrinioBankFinancials(rssd_id,$W$2,$J$5,$J$4,P21,"K"),"")</f>
        <v/>
      </c>
      <c r="R21" s="49" t="s">
        <v>710</v>
      </c>
    </row>
    <row r="22" spans="1:18" ht="42.75" x14ac:dyDescent="0.45">
      <c r="A22" s="98" t="s">
        <v>711</v>
      </c>
      <c r="B22" s="37" t="s">
        <v>712</v>
      </c>
      <c r="C22" s="38" t="str">
        <f>IFERROR([1]!IntrinioBankFinancials(rssd_id,$W$2,$B$5,$B$4,B22,"K"),"")</f>
        <v/>
      </c>
      <c r="D22" s="37" t="s">
        <v>713</v>
      </c>
      <c r="E22" s="38" t="str">
        <f>IFERROR([1]!IntrinioBankFinancials(rssd_id,$W$2,$B$5,$B$4,D22,"K"),"")</f>
        <v/>
      </c>
      <c r="F22" s="37" t="s">
        <v>714</v>
      </c>
      <c r="G22" s="38" t="str">
        <f>IFERROR([1]!IntrinioBankFinancials(rssd_id,$W$2,$B$5,$B$4,F22,"K"),"")</f>
        <v/>
      </c>
      <c r="H22" s="37" t="s">
        <v>715</v>
      </c>
      <c r="I22" s="38" t="str">
        <f>IFERROR([1]!IntrinioBankFinancials(rssd_id,$W$2,$B$5,$B$4,H22,"K"),"")</f>
        <v/>
      </c>
      <c r="J22" s="37" t="s">
        <v>2235</v>
      </c>
      <c r="K22" s="38" t="str">
        <f>IFERROR([1]!IntrinioBankFinancials(rssd_id,$W$2,$J$5,$J$4,J22,"K"),"")</f>
        <v/>
      </c>
      <c r="L22" s="37" t="s">
        <v>2255</v>
      </c>
      <c r="M22" s="38" t="str">
        <f>IFERROR([1]!IntrinioBankFinancials(rssd_id,$W$2,$J$5,$J$4,L22,"K"),"")</f>
        <v/>
      </c>
      <c r="N22" s="37" t="s">
        <v>2276</v>
      </c>
      <c r="O22" s="38" t="str">
        <f>IFERROR([1]!IntrinioBankFinancials(rssd_id,$W$2,$J$5,$J$4,N22,"K"),"")</f>
        <v/>
      </c>
      <c r="P22" s="37" t="s">
        <v>2298</v>
      </c>
      <c r="Q22" s="38" t="str">
        <f>IFERROR([1]!IntrinioBankFinancials(rssd_id,$W$2,$J$5,$J$4,P22,"K"),"")</f>
        <v/>
      </c>
      <c r="R22" s="49" t="s">
        <v>716</v>
      </c>
    </row>
    <row r="23" spans="1:18" ht="14.25" x14ac:dyDescent="0.45">
      <c r="A23" s="98" t="s">
        <v>717</v>
      </c>
      <c r="B23" s="37" t="s">
        <v>718</v>
      </c>
      <c r="C23" s="38" t="str">
        <f>IFERROR([1]!IntrinioBankFinancials(rssd_id,$W$2,$B$5,$B$4,B23,"K"),"")</f>
        <v/>
      </c>
      <c r="D23" s="37" t="s">
        <v>719</v>
      </c>
      <c r="E23" s="38" t="str">
        <f>IFERROR([1]!IntrinioBankFinancials(rssd_id,$W$2,$B$5,$B$4,D23,"K"),"")</f>
        <v/>
      </c>
      <c r="F23" s="37" t="s">
        <v>720</v>
      </c>
      <c r="G23" s="38" t="str">
        <f>IFERROR([1]!IntrinioBankFinancials(rssd_id,$W$2,$B$5,$B$4,F23,"K"),"")</f>
        <v/>
      </c>
      <c r="H23" s="37" t="s">
        <v>721</v>
      </c>
      <c r="I23" s="38" t="str">
        <f>IFERROR([1]!IntrinioBankFinancials(rssd_id,$W$2,$B$5,$B$4,H23,"K"),"")</f>
        <v/>
      </c>
      <c r="J23" s="37" t="s">
        <v>2236</v>
      </c>
      <c r="K23" s="38" t="str">
        <f>IFERROR([1]!IntrinioBankFinancials(rssd_id,$W$2,$J$5,$J$4,J23,"K"),"")</f>
        <v/>
      </c>
      <c r="L23" s="37" t="s">
        <v>2256</v>
      </c>
      <c r="M23" s="38" t="str">
        <f>IFERROR([1]!IntrinioBankFinancials(rssd_id,$W$2,$J$5,$J$4,L23,"K"),"")</f>
        <v/>
      </c>
      <c r="N23" s="37" t="s">
        <v>2277</v>
      </c>
      <c r="O23" s="38" t="str">
        <f>IFERROR([1]!IntrinioBankFinancials(rssd_id,$W$2,$J$5,$J$4,N23,"K"),"")</f>
        <v/>
      </c>
      <c r="P23" s="37" t="s">
        <v>2299</v>
      </c>
      <c r="Q23" s="38" t="str">
        <f>IFERROR([1]!IntrinioBankFinancials(rssd_id,$W$2,$J$5,$J$4,P23,"K"),"")</f>
        <v/>
      </c>
      <c r="R23" s="49" t="s">
        <v>722</v>
      </c>
    </row>
    <row r="24" spans="1:18" ht="14.25" x14ac:dyDescent="0.4">
      <c r="A24" s="41" t="s">
        <v>723</v>
      </c>
      <c r="B24" s="35"/>
      <c r="C24" s="35"/>
      <c r="D24" s="35"/>
      <c r="E24" s="35"/>
      <c r="F24" s="35"/>
      <c r="G24" s="35"/>
      <c r="H24" s="35"/>
      <c r="I24" s="35"/>
      <c r="J24" s="35"/>
      <c r="K24" s="35"/>
      <c r="L24" s="35"/>
      <c r="M24" s="35"/>
      <c r="N24" s="35"/>
      <c r="O24" s="35"/>
      <c r="P24" s="35"/>
      <c r="Q24" s="35"/>
      <c r="R24" s="49" t="s">
        <v>624</v>
      </c>
    </row>
    <row r="25" spans="1:18" ht="28.5" x14ac:dyDescent="0.45">
      <c r="A25" s="98" t="s">
        <v>724</v>
      </c>
      <c r="B25" s="35"/>
      <c r="C25" s="35"/>
      <c r="D25" s="35"/>
      <c r="E25" s="35"/>
      <c r="F25" s="35"/>
      <c r="G25" s="35"/>
      <c r="H25" s="35"/>
      <c r="I25" s="35"/>
      <c r="J25" s="35"/>
      <c r="K25" s="35"/>
      <c r="L25" s="35"/>
      <c r="M25" s="35"/>
      <c r="N25" s="35"/>
      <c r="O25" s="35"/>
      <c r="P25" s="35"/>
      <c r="Q25" s="35"/>
      <c r="R25" s="49" t="s">
        <v>725</v>
      </c>
    </row>
    <row r="26" spans="1:18" ht="28.5" x14ac:dyDescent="0.45">
      <c r="A26" s="99" t="s">
        <v>726</v>
      </c>
      <c r="B26" s="37" t="s">
        <v>727</v>
      </c>
      <c r="C26" s="38" t="str">
        <f>IFERROR([1]!IntrinioBankFinancials(rssd_id,$W$2,$B$5,$B$4,B26,"K"),"")</f>
        <v/>
      </c>
      <c r="D26" s="37" t="s">
        <v>728</v>
      </c>
      <c r="E26" s="38" t="str">
        <f>IFERROR([1]!IntrinioBankFinancials(rssd_id,$W$2,$B$5,$B$4,D26,"K"),"")</f>
        <v/>
      </c>
      <c r="F26" s="37" t="s">
        <v>729</v>
      </c>
      <c r="G26" s="38" t="str">
        <f>IFERROR([1]!IntrinioBankFinancials(rssd_id,$W$2,$B$5,$B$4,F26,"K"),"")</f>
        <v/>
      </c>
      <c r="H26" s="37" t="s">
        <v>730</v>
      </c>
      <c r="I26" s="38" t="str">
        <f>IFERROR([1]!IntrinioBankFinancials(rssd_id,$W$2,$B$5,$B$4,H26,"K"),"")</f>
        <v/>
      </c>
      <c r="J26" s="37" t="s">
        <v>2237</v>
      </c>
      <c r="K26" s="38" t="str">
        <f>IFERROR([1]!IntrinioBankFinancials(rssd_id,$W$2,$J$5,$J$4,J26,"K"),"")</f>
        <v/>
      </c>
      <c r="L26" s="37" t="s">
        <v>2257</v>
      </c>
      <c r="M26" s="38" t="str">
        <f>IFERROR([1]!IntrinioBankFinancials(rssd_id,$W$2,$J$5,$J$4,L26,"K"),"")</f>
        <v/>
      </c>
      <c r="N26" s="37" t="s">
        <v>2278</v>
      </c>
      <c r="O26" s="38" t="str">
        <f>IFERROR([1]!IntrinioBankFinancials(rssd_id,$W$2,$J$5,$J$4,N26,"K"),"")</f>
        <v/>
      </c>
      <c r="P26" s="37" t="s">
        <v>2300</v>
      </c>
      <c r="Q26" s="38" t="str">
        <f>IFERROR([1]!IntrinioBankFinancials(rssd_id,$W$2,$J$5,$J$4,P26,"K"),"")</f>
        <v/>
      </c>
      <c r="R26" s="49" t="s">
        <v>731</v>
      </c>
    </row>
    <row r="27" spans="1:18" ht="14.25" x14ac:dyDescent="0.45">
      <c r="A27" s="99" t="s">
        <v>732</v>
      </c>
      <c r="B27" s="37" t="s">
        <v>733</v>
      </c>
      <c r="C27" s="38" t="str">
        <f>IFERROR([1]!IntrinioBankFinancials(rssd_id,$W$2,$B$5,$B$4,B27,"K"),"")</f>
        <v/>
      </c>
      <c r="D27" s="37" t="s">
        <v>734</v>
      </c>
      <c r="E27" s="38" t="str">
        <f>IFERROR([1]!IntrinioBankFinancials(rssd_id,$W$2,$B$5,$B$4,D27,"K"),"")</f>
        <v/>
      </c>
      <c r="F27" s="37" t="s">
        <v>735</v>
      </c>
      <c r="G27" s="38" t="str">
        <f>IFERROR([1]!IntrinioBankFinancials(rssd_id,$W$2,$B$5,$B$4,F27,"K"),"")</f>
        <v/>
      </c>
      <c r="H27" s="37" t="s">
        <v>736</v>
      </c>
      <c r="I27" s="38" t="str">
        <f>IFERROR([1]!IntrinioBankFinancials(rssd_id,$W$2,$B$5,$B$4,H27,"K"),"")</f>
        <v/>
      </c>
      <c r="J27" s="37" t="s">
        <v>2238</v>
      </c>
      <c r="K27" s="38" t="str">
        <f>IFERROR([1]!IntrinioBankFinancials(rssd_id,$W$2,$J$5,$J$4,J27,"K"),"")</f>
        <v/>
      </c>
      <c r="L27" s="37" t="s">
        <v>2258</v>
      </c>
      <c r="M27" s="38" t="str">
        <f>IFERROR([1]!IntrinioBankFinancials(rssd_id,$W$2,$J$5,$J$4,L27,"K"),"")</f>
        <v/>
      </c>
      <c r="N27" s="37" t="s">
        <v>2279</v>
      </c>
      <c r="O27" s="38" t="str">
        <f>IFERROR([1]!IntrinioBankFinancials(rssd_id,$W$2,$J$5,$J$4,N27,"K"),"")</f>
        <v/>
      </c>
      <c r="P27" s="37" t="s">
        <v>2301</v>
      </c>
      <c r="Q27" s="38" t="str">
        <f>IFERROR([1]!IntrinioBankFinancials(rssd_id,$W$2,$J$5,$J$4,P27,"K"),"")</f>
        <v/>
      </c>
      <c r="R27" s="49" t="s">
        <v>737</v>
      </c>
    </row>
    <row r="28" spans="1:18" ht="14.25" x14ac:dyDescent="0.45">
      <c r="A28" s="98" t="s">
        <v>738</v>
      </c>
      <c r="B28" s="35"/>
      <c r="C28" s="35"/>
      <c r="D28" s="35"/>
      <c r="E28" s="35"/>
      <c r="F28" s="35"/>
      <c r="G28" s="35"/>
      <c r="H28" s="35"/>
      <c r="I28" s="35"/>
      <c r="J28" s="35"/>
      <c r="K28" s="35"/>
      <c r="L28" s="35"/>
      <c r="M28" s="35"/>
      <c r="N28" s="35"/>
      <c r="O28" s="35"/>
      <c r="P28" s="35"/>
      <c r="Q28" s="35"/>
      <c r="R28" s="49" t="s">
        <v>739</v>
      </c>
    </row>
    <row r="29" spans="1:18" ht="42.75" x14ac:dyDescent="0.45">
      <c r="A29" s="99" t="s">
        <v>740</v>
      </c>
      <c r="B29" s="37" t="s">
        <v>741</v>
      </c>
      <c r="C29" s="38" t="str">
        <f>IFERROR([1]!IntrinioBankFinancials(rssd_id,$W$2,$B$5,$B$4,B29,"K"),"")</f>
        <v/>
      </c>
      <c r="D29" s="37" t="s">
        <v>742</v>
      </c>
      <c r="E29" s="38" t="str">
        <f>IFERROR([1]!IntrinioBankFinancials(rssd_id,$W$2,$B$5,$B$4,D29,"K"),"")</f>
        <v/>
      </c>
      <c r="F29" s="37" t="s">
        <v>743</v>
      </c>
      <c r="G29" s="38" t="str">
        <f>IFERROR([1]!IntrinioBankFinancials(rssd_id,$W$2,$B$5,$B$4,F29,"K"),"")</f>
        <v/>
      </c>
      <c r="H29" s="37" t="s">
        <v>744</v>
      </c>
      <c r="I29" s="38" t="str">
        <f>IFERROR([1]!IntrinioBankFinancials(rssd_id,$W$2,$B$5,$B$4,H29,"K"),"")</f>
        <v/>
      </c>
      <c r="J29" s="37" t="s">
        <v>2239</v>
      </c>
      <c r="K29" s="38" t="str">
        <f>IFERROR([1]!IntrinioBankFinancials(rssd_id,$W$2,$J$5,$J$4,J29,"K"),"")</f>
        <v/>
      </c>
      <c r="L29" s="37" t="s">
        <v>2259</v>
      </c>
      <c r="M29" s="38" t="str">
        <f>IFERROR([1]!IntrinioBankFinancials(rssd_id,$W$2,$J$5,$J$4,L29,"K"),"")</f>
        <v/>
      </c>
      <c r="N29" s="37" t="s">
        <v>2280</v>
      </c>
      <c r="O29" s="38" t="str">
        <f>IFERROR([1]!IntrinioBankFinancials(rssd_id,$W$2,$J$5,$J$4,N29,"K"),"")</f>
        <v/>
      </c>
      <c r="P29" s="37" t="s">
        <v>2302</v>
      </c>
      <c r="Q29" s="38" t="str">
        <f>IFERROR([1]!IntrinioBankFinancials(rssd_id,$W$2,$J$5,$J$4,P29,"K"),"")</f>
        <v/>
      </c>
      <c r="R29" s="49" t="s">
        <v>745</v>
      </c>
    </row>
    <row r="30" spans="1:18" ht="14.25" x14ac:dyDescent="0.45">
      <c r="A30" s="99" t="s">
        <v>746</v>
      </c>
      <c r="B30" s="37" t="s">
        <v>747</v>
      </c>
      <c r="C30" s="38" t="str">
        <f>IFERROR([1]!IntrinioBankFinancials(rssd_id,$W$2,$B$5,$B$4,B30,"K"),"")</f>
        <v/>
      </c>
      <c r="D30" s="37" t="s">
        <v>748</v>
      </c>
      <c r="E30" s="38" t="str">
        <f>IFERROR([1]!IntrinioBankFinancials(rssd_id,$W$2,$B$5,$B$4,D30,"K"),"")</f>
        <v/>
      </c>
      <c r="F30" s="37" t="s">
        <v>749</v>
      </c>
      <c r="G30" s="38" t="str">
        <f>IFERROR([1]!IntrinioBankFinancials(rssd_id,$W$2,$B$5,$B$4,F30,"K"),"")</f>
        <v/>
      </c>
      <c r="H30" s="37" t="s">
        <v>750</v>
      </c>
      <c r="I30" s="38" t="str">
        <f>IFERROR([1]!IntrinioBankFinancials(rssd_id,$W$2,$B$5,$B$4,H30,"K"),"")</f>
        <v/>
      </c>
      <c r="J30" s="37" t="s">
        <v>2240</v>
      </c>
      <c r="K30" s="38" t="str">
        <f>IFERROR([1]!IntrinioBankFinancials(rssd_id,$W$2,$J$5,$J$4,J30,"K"),"")</f>
        <v/>
      </c>
      <c r="L30" s="37" t="s">
        <v>2260</v>
      </c>
      <c r="M30" s="38" t="str">
        <f>IFERROR([1]!IntrinioBankFinancials(rssd_id,$W$2,$J$5,$J$4,L30,"K"),"")</f>
        <v/>
      </c>
      <c r="N30" s="37" t="s">
        <v>2281</v>
      </c>
      <c r="O30" s="38" t="str">
        <f>IFERROR([1]!IntrinioBankFinancials(rssd_id,$W$2,$J$5,$J$4,N30,"K"),"")</f>
        <v/>
      </c>
      <c r="P30" s="37" t="s">
        <v>2303</v>
      </c>
      <c r="Q30" s="38" t="str">
        <f>IFERROR([1]!IntrinioBankFinancials(rssd_id,$W$2,$J$5,$J$4,P30,"K"),"")</f>
        <v/>
      </c>
      <c r="R30" s="49" t="s">
        <v>751</v>
      </c>
    </row>
    <row r="31" spans="1:18" ht="28.5" x14ac:dyDescent="0.45">
      <c r="A31" s="60" t="s">
        <v>752</v>
      </c>
      <c r="B31" s="35"/>
      <c r="C31" s="35"/>
      <c r="D31" s="35"/>
      <c r="E31" s="35"/>
      <c r="F31" s="35"/>
      <c r="G31" s="35"/>
      <c r="H31" s="35"/>
      <c r="I31" s="35"/>
      <c r="J31" s="35"/>
      <c r="K31" s="35"/>
      <c r="L31" s="35"/>
      <c r="M31" s="35"/>
      <c r="N31" s="35"/>
      <c r="O31" s="35"/>
      <c r="P31" s="35"/>
      <c r="Q31" s="35"/>
      <c r="R31" s="49">
        <v>5</v>
      </c>
    </row>
    <row r="32" spans="1:18" ht="14.25" x14ac:dyDescent="0.4">
      <c r="A32" s="41" t="s">
        <v>753</v>
      </c>
      <c r="B32" s="37" t="s">
        <v>754</v>
      </c>
      <c r="C32" s="38" t="str">
        <f>IFERROR([1]!IntrinioBankFinancials(rssd_id,$W$2,$B$5,$B$4,B32,"K"),"")</f>
        <v/>
      </c>
      <c r="D32" s="37" t="s">
        <v>755</v>
      </c>
      <c r="E32" s="38" t="str">
        <f>IFERROR([1]!IntrinioBankFinancials(rssd_id,$W$2,$B$5,$B$4,D32,"K"),"")</f>
        <v/>
      </c>
      <c r="F32" s="37" t="s">
        <v>756</v>
      </c>
      <c r="G32" s="38" t="str">
        <f>IFERROR([1]!IntrinioBankFinancials(rssd_id,$W$2,$B$5,$B$4,F32,"K"),"")</f>
        <v/>
      </c>
      <c r="H32" s="37" t="s">
        <v>757</v>
      </c>
      <c r="I32" s="38" t="str">
        <f>IFERROR([1]!IntrinioBankFinancials(rssd_id,$W$2,$B$5,$B$4,H32,"K"),"")</f>
        <v/>
      </c>
      <c r="J32" s="37" t="s">
        <v>2241</v>
      </c>
      <c r="K32" s="38" t="str">
        <f>IFERROR([1]!IntrinioBankFinancials(rssd_id,$W$2,$J$5,$J$4,J32,"K"),"")</f>
        <v/>
      </c>
      <c r="L32" s="37" t="s">
        <v>2261</v>
      </c>
      <c r="M32" s="38" t="str">
        <f>IFERROR([1]!IntrinioBankFinancials(rssd_id,$W$2,$J$5,$J$4,L32,"K"),"")</f>
        <v/>
      </c>
      <c r="N32" s="37" t="s">
        <v>2282</v>
      </c>
      <c r="O32" s="38" t="str">
        <f>IFERROR([1]!IntrinioBankFinancials(rssd_id,$W$2,$J$5,$J$4,N32,"K"),"")</f>
        <v/>
      </c>
      <c r="P32" s="37" t="s">
        <v>2304</v>
      </c>
      <c r="Q32" s="38" t="str">
        <f>IFERROR([1]!IntrinioBankFinancials(rssd_id,$W$2,$J$5,$J$4,P32,"K"),"")</f>
        <v/>
      </c>
      <c r="R32" s="49" t="s">
        <v>119</v>
      </c>
    </row>
    <row r="33" spans="1:27" ht="14.25" x14ac:dyDescent="0.4">
      <c r="A33" s="41" t="s">
        <v>758</v>
      </c>
      <c r="B33" s="35"/>
      <c r="C33" s="35"/>
      <c r="D33" s="35"/>
      <c r="E33" s="35"/>
      <c r="F33" s="35"/>
      <c r="G33" s="35"/>
      <c r="H33" s="35"/>
      <c r="I33" s="35"/>
      <c r="J33" s="35"/>
      <c r="K33" s="35"/>
      <c r="L33" s="35"/>
      <c r="M33" s="35"/>
      <c r="N33" s="35"/>
      <c r="O33" s="35"/>
      <c r="P33" s="35"/>
      <c r="Q33" s="35"/>
      <c r="R33" s="49" t="s">
        <v>122</v>
      </c>
    </row>
    <row r="34" spans="1:27" ht="14.25" x14ac:dyDescent="0.45">
      <c r="A34" s="97" t="s">
        <v>759</v>
      </c>
      <c r="B34" s="37" t="s">
        <v>760</v>
      </c>
      <c r="C34" s="38" t="str">
        <f>IFERROR([1]!IntrinioBankFinancials(rssd_id,$W$2,$B$5,$B$4,B34,"K"),"")</f>
        <v/>
      </c>
      <c r="D34" s="37" t="s">
        <v>761</v>
      </c>
      <c r="E34" s="38" t="str">
        <f>IFERROR([1]!IntrinioBankFinancials(rssd_id,$W$2,$B$5,$B$4,D34,"K"),"")</f>
        <v/>
      </c>
      <c r="F34" s="37" t="s">
        <v>762</v>
      </c>
      <c r="G34" s="38" t="str">
        <f>IFERROR([1]!IntrinioBankFinancials(rssd_id,$W$2,$B$5,$B$4,F34,"K"),"")</f>
        <v/>
      </c>
      <c r="H34" s="37" t="s">
        <v>763</v>
      </c>
      <c r="I34" s="38" t="str">
        <f>IFERROR([1]!IntrinioBankFinancials(rssd_id,$W$2,$B$5,$B$4,H34,"K"),"")</f>
        <v/>
      </c>
      <c r="J34" s="37" t="s">
        <v>2242</v>
      </c>
      <c r="K34" s="38" t="str">
        <f>IFERROR([1]!IntrinioBankFinancials(rssd_id,$W$2,$J$5,$J$4,J34,"K"),"")</f>
        <v/>
      </c>
      <c r="L34" s="37" t="s">
        <v>2262</v>
      </c>
      <c r="M34" s="38" t="str">
        <f>IFERROR([1]!IntrinioBankFinancials(rssd_id,$W$2,$J$5,$J$4,L34,"K"),"")</f>
        <v/>
      </c>
      <c r="N34" s="37" t="s">
        <v>2283</v>
      </c>
      <c r="O34" s="38" t="str">
        <f>IFERROR([1]!IntrinioBankFinancials(rssd_id,$W$2,$J$5,$J$4,N34,"K"),"")</f>
        <v/>
      </c>
      <c r="P34" s="37" t="s">
        <v>2305</v>
      </c>
      <c r="Q34" s="38" t="str">
        <f>IFERROR([1]!IntrinioBankFinancials(rssd_id,$W$2,$J$5,$J$4,P34,"K"),"")</f>
        <v/>
      </c>
      <c r="R34" s="49" t="s">
        <v>764</v>
      </c>
    </row>
    <row r="35" spans="1:27" ht="14.25" x14ac:dyDescent="0.45">
      <c r="A35" s="97" t="s">
        <v>765</v>
      </c>
      <c r="B35" s="37" t="s">
        <v>766</v>
      </c>
      <c r="C35" s="38" t="str">
        <f>IFERROR([1]!IntrinioBankFinancials(rssd_id,$W$2,$B$5,$B$4,B35,"K"),"")</f>
        <v/>
      </c>
      <c r="D35" s="37" t="s">
        <v>767</v>
      </c>
      <c r="E35" s="38" t="str">
        <f>IFERROR([1]!IntrinioBankFinancials(rssd_id,$W$2,$B$5,$B$4,D35,"K"),"")</f>
        <v/>
      </c>
      <c r="F35" s="37" t="s">
        <v>768</v>
      </c>
      <c r="G35" s="38" t="str">
        <f>IFERROR([1]!IntrinioBankFinancials(rssd_id,$W$2,$B$5,$B$4,F35,"K"),"")</f>
        <v/>
      </c>
      <c r="H35" s="37" t="s">
        <v>769</v>
      </c>
      <c r="I35" s="38" t="str">
        <f>IFERROR([1]!IntrinioBankFinancials(rssd_id,$W$2,$B$5,$B$4,H35,"K"),"")</f>
        <v/>
      </c>
      <c r="J35" s="37" t="s">
        <v>2243</v>
      </c>
      <c r="K35" s="38" t="str">
        <f>IFERROR([1]!IntrinioBankFinancials(rssd_id,$W$2,$J$5,$J$4,J35,"K"),"")</f>
        <v/>
      </c>
      <c r="L35" s="37" t="s">
        <v>2263</v>
      </c>
      <c r="M35" s="38" t="str">
        <f>IFERROR([1]!IntrinioBankFinancials(rssd_id,$W$2,$J$5,$J$4,L35,"K"),"")</f>
        <v/>
      </c>
      <c r="N35" s="37" t="s">
        <v>2284</v>
      </c>
      <c r="O35" s="38" t="str">
        <f>IFERROR([1]!IntrinioBankFinancials(rssd_id,$W$2,$J$5,$J$4,N35,"K"),"")</f>
        <v/>
      </c>
      <c r="P35" s="37" t="s">
        <v>2306</v>
      </c>
      <c r="Q35" s="38" t="str">
        <f>IFERROR([1]!IntrinioBankFinancials(rssd_id,$W$2,$J$5,$J$4,P35,"K"),"")</f>
        <v/>
      </c>
      <c r="R35" s="49" t="s">
        <v>770</v>
      </c>
    </row>
    <row r="36" spans="1:27" ht="14.25" x14ac:dyDescent="0.45">
      <c r="A36" s="97" t="s">
        <v>771</v>
      </c>
      <c r="B36" s="37" t="s">
        <v>772</v>
      </c>
      <c r="C36" s="38" t="str">
        <f>IFERROR([1]!IntrinioBankFinancials(rssd_id,$W$2,$B$5,$B$4,B36,"K"),"")</f>
        <v/>
      </c>
      <c r="D36" s="37" t="s">
        <v>773</v>
      </c>
      <c r="E36" s="38" t="str">
        <f>IFERROR([1]!IntrinioBankFinancials(rssd_id,$W$2,$B$5,$B$4,D36,"K"),"")</f>
        <v/>
      </c>
      <c r="F36" s="37" t="s">
        <v>774</v>
      </c>
      <c r="G36" s="38" t="str">
        <f>IFERROR([1]!IntrinioBankFinancials(rssd_id,$W$2,$B$5,$B$4,F36,"K"),"")</f>
        <v/>
      </c>
      <c r="H36" s="37" t="s">
        <v>775</v>
      </c>
      <c r="I36" s="38" t="str">
        <f>IFERROR([1]!IntrinioBankFinancials(rssd_id,$W$2,$B$5,$B$4,H36,"K"),"")</f>
        <v/>
      </c>
      <c r="J36" s="37" t="s">
        <v>2244</v>
      </c>
      <c r="K36" s="38" t="str">
        <f>IFERROR([1]!IntrinioBankFinancials(rssd_id,$W$2,$J$5,$J$4,J36,"K"),"")</f>
        <v/>
      </c>
      <c r="L36" s="37" t="s">
        <v>2264</v>
      </c>
      <c r="M36" s="38" t="str">
        <f>IFERROR([1]!IntrinioBankFinancials(rssd_id,$W$2,$J$5,$J$4,L36,"K"),"")</f>
        <v/>
      </c>
      <c r="N36" s="37" t="s">
        <v>2285</v>
      </c>
      <c r="O36" s="38" t="str">
        <f>IFERROR([1]!IntrinioBankFinancials(rssd_id,$W$2,$J$5,$J$4,N36,"K"),"")</f>
        <v/>
      </c>
      <c r="P36" s="37" t="s">
        <v>2307</v>
      </c>
      <c r="Q36" s="38" t="str">
        <f>IFERROR([1]!IntrinioBankFinancials(rssd_id,$W$2,$J$5,$J$4,P36,"K"),"")</f>
        <v/>
      </c>
      <c r="R36" s="49" t="s">
        <v>776</v>
      </c>
    </row>
    <row r="37" spans="1:27" ht="14.25" x14ac:dyDescent="0.45">
      <c r="A37" s="60" t="s">
        <v>777</v>
      </c>
      <c r="B37" s="35"/>
      <c r="C37" s="35"/>
      <c r="D37" s="35"/>
      <c r="E37" s="35"/>
      <c r="F37" s="35"/>
      <c r="G37" s="35"/>
      <c r="H37" s="35"/>
      <c r="I37" s="35"/>
      <c r="J37" s="35"/>
      <c r="K37" s="35"/>
      <c r="L37" s="35"/>
      <c r="M37" s="35"/>
      <c r="N37" s="35"/>
      <c r="O37" s="35"/>
      <c r="P37" s="35"/>
      <c r="Q37" s="35"/>
      <c r="R37" s="49">
        <v>6</v>
      </c>
    </row>
    <row r="38" spans="1:27" ht="14.25" x14ac:dyDescent="0.4">
      <c r="A38" s="41" t="s">
        <v>778</v>
      </c>
      <c r="B38" s="37" t="s">
        <v>779</v>
      </c>
      <c r="C38" s="38" t="str">
        <f>IFERROR([1]!IntrinioBankFinancials(rssd_id,$W$2,$B$5,$B$4,B38,"K"),"")</f>
        <v/>
      </c>
      <c r="D38" s="37" t="s">
        <v>780</v>
      </c>
      <c r="E38" s="38" t="str">
        <f>IFERROR([1]!IntrinioBankFinancials(rssd_id,$W$2,$B$5,$B$4,D38,"K"),"")</f>
        <v/>
      </c>
      <c r="F38" s="37" t="s">
        <v>781</v>
      </c>
      <c r="G38" s="38" t="str">
        <f>IFERROR([1]!IntrinioBankFinancials(rssd_id,$W$2,$B$5,$B$4,F38,"K"),"")</f>
        <v/>
      </c>
      <c r="H38" s="37" t="s">
        <v>782</v>
      </c>
      <c r="I38" s="38" t="str">
        <f>IFERROR([1]!IntrinioBankFinancials(rssd_id,$W$2,$B$5,$B$4,H38,"K"),"")</f>
        <v/>
      </c>
      <c r="J38" s="37" t="s">
        <v>2245</v>
      </c>
      <c r="K38" s="38" t="str">
        <f>IFERROR([1]!IntrinioBankFinancials(rssd_id,$W$2,$J$5,$J$4,J38,"K"),"")</f>
        <v/>
      </c>
      <c r="L38" s="37" t="s">
        <v>2265</v>
      </c>
      <c r="M38" s="38" t="str">
        <f>IFERROR([1]!IntrinioBankFinancials(rssd_id,$W$2,$J$5,$J$4,L38,"K"),"")</f>
        <v/>
      </c>
      <c r="N38" s="37" t="s">
        <v>2286</v>
      </c>
      <c r="O38" s="38" t="str">
        <f>IFERROR([1]!IntrinioBankFinancials(rssd_id,$W$2,$J$5,$J$4,N38,"K"),"")</f>
        <v/>
      </c>
      <c r="P38" s="37" t="s">
        <v>2308</v>
      </c>
      <c r="Q38" s="38" t="str">
        <f>IFERROR([1]!IntrinioBankFinancials(rssd_id,$W$2,$J$5,$J$4,P38,"K"),"")</f>
        <v/>
      </c>
      <c r="R38" s="49" t="s">
        <v>172</v>
      </c>
    </row>
    <row r="39" spans="1:27" ht="14.25" x14ac:dyDescent="0.4">
      <c r="A39" s="41" t="s">
        <v>783</v>
      </c>
      <c r="B39" s="37" t="s">
        <v>784</v>
      </c>
      <c r="C39" s="38" t="str">
        <f>IFERROR([1]!IntrinioBankFinancials(rssd_id,$W$2,$B$5,$B$4,B39,"K"),"")</f>
        <v/>
      </c>
      <c r="D39" s="37" t="s">
        <v>785</v>
      </c>
      <c r="E39" s="38" t="str">
        <f>IFERROR([1]!IntrinioBankFinancials(rssd_id,$W$2,$B$5,$B$4,D39,"K"),"")</f>
        <v/>
      </c>
      <c r="F39" s="37" t="s">
        <v>786</v>
      </c>
      <c r="G39" s="38" t="str">
        <f>IFERROR([1]!IntrinioBankFinancials(rssd_id,$W$2,$B$5,$B$4,F39,"K"),"")</f>
        <v/>
      </c>
      <c r="H39" s="37" t="s">
        <v>787</v>
      </c>
      <c r="I39" s="38" t="str">
        <f>IFERROR([1]!IntrinioBankFinancials(rssd_id,$W$2,$B$5,$B$4,H39,"K"),"")</f>
        <v/>
      </c>
      <c r="J39" s="37" t="s">
        <v>2246</v>
      </c>
      <c r="K39" s="38" t="str">
        <f>IFERROR([1]!IntrinioBankFinancials(rssd_id,$W$2,$J$5,$J$4,J39,"K"),"")</f>
        <v/>
      </c>
      <c r="L39" s="37" t="s">
        <v>2266</v>
      </c>
      <c r="M39" s="38" t="str">
        <f>IFERROR([1]!IntrinioBankFinancials(rssd_id,$W$2,$J$5,$J$4,L39,"K"),"")</f>
        <v/>
      </c>
      <c r="N39" s="37" t="s">
        <v>2287</v>
      </c>
      <c r="O39" s="38" t="str">
        <f>IFERROR([1]!IntrinioBankFinancials(rssd_id,$W$2,$J$5,$J$4,N39,"K"),"")</f>
        <v/>
      </c>
      <c r="P39" s="37" t="s">
        <v>2309</v>
      </c>
      <c r="Q39" s="38" t="str">
        <f>IFERROR([1]!IntrinioBankFinancials(rssd_id,$W$2,$J$5,$J$4,P39,"K"),"")</f>
        <v/>
      </c>
      <c r="R39" s="49" t="s">
        <v>175</v>
      </c>
    </row>
    <row r="40" spans="1:27" ht="42.75" x14ac:dyDescent="0.45">
      <c r="A40" s="60" t="s">
        <v>788</v>
      </c>
      <c r="B40" s="35"/>
      <c r="C40" s="38" t="str">
        <f>IFERROR([1]!IntrinioBankFinancials(rssd_id,$W$2,$B$5,$B$4,B40,"K"),"")</f>
        <v/>
      </c>
      <c r="D40" s="35"/>
      <c r="E40" s="38" t="str">
        <f>IFERROR([1]!IntrinioBankFinancials(rssd_id,$W$2,$B$5,$B$4,D40,"K"),"")</f>
        <v/>
      </c>
      <c r="F40" s="37" t="s">
        <v>789</v>
      </c>
      <c r="G40" s="38" t="str">
        <f>IFERROR([1]!IntrinioBankFinancials(rssd_id,$W$2,$B$5,$B$4,F40,"K"),"")</f>
        <v/>
      </c>
      <c r="H40" s="37" t="s">
        <v>790</v>
      </c>
      <c r="I40" s="38" t="str">
        <f>IFERROR([1]!IntrinioBankFinancials(rssd_id,$W$2,$B$5,$B$4,H40,"K"),"")</f>
        <v/>
      </c>
      <c r="J40" s="35"/>
      <c r="K40" s="38" t="str">
        <f>IFERROR([1]!IntrinioBankFinancials(rssd_id,$W$2,$J$5,$J$4,J40,"K"),"")</f>
        <v/>
      </c>
      <c r="L40" s="35"/>
      <c r="M40" s="38" t="str">
        <f>IFERROR([1]!IntrinioBankFinancials(rssd_id,$W$2,$J$5,$J$4,L40,"K"),"")</f>
        <v/>
      </c>
      <c r="N40" s="37" t="s">
        <v>2288</v>
      </c>
      <c r="O40" s="38" t="str">
        <f>IFERROR([1]!IntrinioBankFinancials(rssd_id,$W$2,$J$5,$J$4,N40,"K"),"")</f>
        <v/>
      </c>
      <c r="P40" s="37" t="s">
        <v>2310</v>
      </c>
      <c r="Q40" s="38" t="str">
        <f>IFERROR([1]!IntrinioBankFinancials(rssd_id,$W$2,$J$5,$J$4,P40,"K"),"")</f>
        <v/>
      </c>
      <c r="R40" s="49">
        <v>7</v>
      </c>
    </row>
    <row r="41" spans="1:27" ht="57" x14ac:dyDescent="0.45">
      <c r="A41" s="60" t="s">
        <v>791</v>
      </c>
      <c r="B41" s="37" t="s">
        <v>564</v>
      </c>
      <c r="C41" s="38" t="str">
        <f>IFERROR([1]!IntrinioBankFinancials(rssd_id,$W$2,$B$5,$B$4,B41,"K"),"")</f>
        <v/>
      </c>
      <c r="D41" s="37" t="s">
        <v>792</v>
      </c>
      <c r="E41" s="38" t="str">
        <f>IFERROR([1]!IntrinioBankFinancials(rssd_id,$W$2,$B$5,$B$4,D41,"K"),"")</f>
        <v/>
      </c>
      <c r="F41" s="37" t="s">
        <v>793</v>
      </c>
      <c r="G41" s="38" t="str">
        <f>IFERROR([1]!IntrinioBankFinancials(rssd_id,$W$2,$B$5,$B$4,F41,"K"),"")</f>
        <v/>
      </c>
      <c r="H41" s="37" t="s">
        <v>566</v>
      </c>
      <c r="I41" s="38" t="str">
        <f>IFERROR([1]!IntrinioBankFinancials(rssd_id,$W$2,$B$5,$B$4,H41,"K"),"")</f>
        <v/>
      </c>
      <c r="J41" s="37" t="s">
        <v>2179</v>
      </c>
      <c r="K41" s="38" t="str">
        <f>IFERROR([1]!IntrinioBankFinancials(rssd_id,$W$2,$J$5,$J$4,J41,"K"),"")</f>
        <v/>
      </c>
      <c r="L41" s="37" t="s">
        <v>2267</v>
      </c>
      <c r="M41" s="38" t="str">
        <f>IFERROR([1]!IntrinioBankFinancials(rssd_id,$W$2,$J$5,$J$4,L41,"K"),"")</f>
        <v/>
      </c>
      <c r="N41" s="37" t="s">
        <v>2289</v>
      </c>
      <c r="O41" s="38" t="str">
        <f>IFERROR([1]!IntrinioBankFinancials(rssd_id,$W$2,$J$5,$J$4,N41,"K"),"")</f>
        <v/>
      </c>
      <c r="P41" s="37" t="s">
        <v>2180</v>
      </c>
      <c r="Q41" s="38" t="str">
        <f>IFERROR([1]!IntrinioBankFinancials(rssd_id,$W$2,$J$5,$J$4,P41,"K"),"")</f>
        <v/>
      </c>
      <c r="R41" s="49">
        <v>8</v>
      </c>
    </row>
    <row r="42" spans="1:27" s="47" customFormat="1" ht="18" x14ac:dyDescent="0.4">
      <c r="A42" s="39"/>
      <c r="B42" s="35"/>
      <c r="C42" s="91"/>
      <c r="D42" s="93"/>
      <c r="E42" s="73"/>
      <c r="F42" s="73"/>
      <c r="G42" s="73"/>
      <c r="H42" s="73"/>
      <c r="I42" s="73"/>
      <c r="J42" s="35"/>
      <c r="K42" s="91"/>
      <c r="L42" s="93"/>
      <c r="M42" s="73"/>
      <c r="N42" s="73"/>
      <c r="O42" s="73"/>
      <c r="P42" s="73"/>
      <c r="Q42" s="73"/>
      <c r="R42" s="73"/>
      <c r="S42" s="92"/>
      <c r="T42" s="92"/>
      <c r="U42" s="92"/>
      <c r="V42" s="92"/>
      <c r="W42" s="92"/>
      <c r="X42" s="49"/>
      <c r="Y42" s="13"/>
      <c r="Z42" s="13"/>
      <c r="AA42" s="13"/>
    </row>
    <row r="43" spans="1:27" s="47" customFormat="1" ht="18" x14ac:dyDescent="0.4">
      <c r="A43" s="11" t="s">
        <v>208</v>
      </c>
      <c r="B43" s="35"/>
      <c r="C43" s="91"/>
      <c r="D43" s="93"/>
      <c r="E43" s="73"/>
      <c r="F43" s="73"/>
      <c r="G43" s="73"/>
      <c r="H43" s="73"/>
      <c r="I43" s="73"/>
      <c r="J43" s="35"/>
      <c r="K43" s="91"/>
      <c r="L43" s="93"/>
      <c r="M43" s="73"/>
      <c r="N43" s="73"/>
      <c r="O43" s="73"/>
      <c r="P43" s="73"/>
      <c r="Q43" s="73"/>
      <c r="R43" s="73"/>
      <c r="S43" s="92"/>
      <c r="T43" s="92"/>
      <c r="U43" s="92"/>
      <c r="V43" s="92"/>
      <c r="W43" s="92"/>
      <c r="X43" s="49"/>
      <c r="Y43" s="13"/>
      <c r="Z43" s="13"/>
      <c r="AA43" s="13"/>
    </row>
    <row r="44" spans="1:27" ht="14.25" x14ac:dyDescent="0.45">
      <c r="A44" s="60" t="s">
        <v>794</v>
      </c>
      <c r="B44" s="37" t="s">
        <v>795</v>
      </c>
      <c r="C44" s="38" t="str">
        <f>IFERROR([1]!IntrinioBankFinancials(rssd_id,$W$2,$B$5,$B$4,B44,"K"),"")</f>
        <v/>
      </c>
      <c r="D44" s="49" t="s">
        <v>210</v>
      </c>
      <c r="E44" s="89"/>
      <c r="F44" s="89"/>
      <c r="G44" s="89"/>
      <c r="H44" s="89"/>
      <c r="I44" s="89"/>
      <c r="J44" s="37" t="s">
        <v>2311</v>
      </c>
      <c r="K44" s="38" t="str">
        <f>IFERROR([1]!IntrinioBankFinancials(rssd_id,$W$2,$J$5,$J$4,J44,"K"),"")</f>
        <v/>
      </c>
      <c r="L44" s="49" t="s">
        <v>210</v>
      </c>
      <c r="M44" s="89"/>
      <c r="N44" s="89"/>
      <c r="O44" s="89"/>
      <c r="P44" s="89"/>
      <c r="Q44" s="89"/>
      <c r="R44" s="89"/>
    </row>
    <row r="45" spans="1:27" ht="42.75" x14ac:dyDescent="0.45">
      <c r="A45" s="60" t="s">
        <v>796</v>
      </c>
      <c r="B45" s="35"/>
      <c r="C45" s="35"/>
      <c r="D45" s="49" t="s">
        <v>213</v>
      </c>
      <c r="E45" s="89"/>
      <c r="F45" s="89"/>
      <c r="G45" s="89"/>
      <c r="H45" s="89"/>
      <c r="I45" s="89"/>
      <c r="J45" s="35"/>
      <c r="K45" s="35"/>
      <c r="L45" s="49" t="s">
        <v>213</v>
      </c>
      <c r="M45" s="89"/>
      <c r="N45" s="89"/>
      <c r="O45" s="89"/>
      <c r="P45" s="89"/>
      <c r="Q45" s="89"/>
      <c r="R45" s="89"/>
    </row>
    <row r="46" spans="1:27" ht="128.25" x14ac:dyDescent="0.4">
      <c r="A46" s="41" t="s">
        <v>916</v>
      </c>
      <c r="B46" s="35"/>
      <c r="C46" s="35"/>
      <c r="D46" s="49" t="s">
        <v>414</v>
      </c>
      <c r="E46" s="89"/>
      <c r="F46" s="89"/>
      <c r="G46" s="89"/>
      <c r="H46" s="89"/>
      <c r="I46" s="89"/>
      <c r="J46" s="35"/>
      <c r="K46" s="35"/>
      <c r="L46" s="49" t="s">
        <v>414</v>
      </c>
      <c r="M46" s="89"/>
      <c r="N46" s="89"/>
      <c r="O46" s="89"/>
      <c r="P46" s="89"/>
      <c r="Q46" s="89"/>
      <c r="R46" s="89"/>
    </row>
    <row r="47" spans="1:27" ht="14.25" x14ac:dyDescent="0.45">
      <c r="A47" s="97" t="s">
        <v>797</v>
      </c>
      <c r="B47" s="37" t="s">
        <v>798</v>
      </c>
      <c r="C47" s="38" t="str">
        <f>IFERROR([1]!IntrinioBankFinancials(rssd_id,$W$2,$B$5,$B$4,B47,"K"),"")</f>
        <v/>
      </c>
      <c r="D47" s="49" t="s">
        <v>799</v>
      </c>
      <c r="E47" s="89"/>
      <c r="F47" s="89"/>
      <c r="G47" s="89"/>
      <c r="H47" s="89"/>
      <c r="I47" s="89"/>
      <c r="J47" s="37" t="s">
        <v>2312</v>
      </c>
      <c r="K47" s="38" t="str">
        <f>IFERROR([1]!IntrinioBankFinancials(rssd_id,$W$2,$J$5,$J$4,J47,"K"),"")</f>
        <v/>
      </c>
      <c r="L47" s="49" t="s">
        <v>799</v>
      </c>
      <c r="M47" s="89"/>
      <c r="N47" s="89"/>
      <c r="O47" s="89"/>
      <c r="P47" s="89"/>
      <c r="Q47" s="89"/>
      <c r="R47" s="89"/>
    </row>
    <row r="48" spans="1:27" ht="28.5" x14ac:dyDescent="0.45">
      <c r="A48" s="97" t="s">
        <v>800</v>
      </c>
      <c r="B48" s="37" t="s">
        <v>801</v>
      </c>
      <c r="C48" s="38" t="str">
        <f>IFERROR([1]!IntrinioBankFinancials(rssd_id,$W$2,$B$5,$B$4,B48,"K"),"")</f>
        <v/>
      </c>
      <c r="D48" s="49" t="s">
        <v>802</v>
      </c>
      <c r="E48" s="89"/>
      <c r="F48" s="89"/>
      <c r="G48" s="89"/>
      <c r="H48" s="89"/>
      <c r="I48" s="89"/>
      <c r="J48" s="37" t="s">
        <v>2313</v>
      </c>
      <c r="K48" s="38" t="str">
        <f>IFERROR([1]!IntrinioBankFinancials(rssd_id,$W$2,$J$5,$J$4,J48,"K"),"")</f>
        <v/>
      </c>
      <c r="L48" s="49" t="s">
        <v>802</v>
      </c>
      <c r="M48" s="89"/>
      <c r="N48" s="89"/>
      <c r="O48" s="89"/>
      <c r="P48" s="89"/>
      <c r="Q48" s="89"/>
      <c r="R48" s="89"/>
    </row>
    <row r="49" spans="1:18" ht="14.25" x14ac:dyDescent="0.45">
      <c r="A49" s="97" t="s">
        <v>803</v>
      </c>
      <c r="B49" s="37" t="s">
        <v>804</v>
      </c>
      <c r="C49" s="38" t="str">
        <f>IFERROR([1]!IntrinioBankFinancials(rssd_id,$W$2,$B$5,$B$4,B49,"K"),"")</f>
        <v/>
      </c>
      <c r="D49" s="49" t="s">
        <v>805</v>
      </c>
      <c r="E49" s="89"/>
      <c r="F49" s="89"/>
      <c r="G49" s="89"/>
      <c r="H49" s="89"/>
      <c r="I49" s="89"/>
      <c r="J49" s="37" t="s">
        <v>2314</v>
      </c>
      <c r="K49" s="38" t="str">
        <f>IFERROR([1]!IntrinioBankFinancials(rssd_id,$W$2,$J$5,$J$4,J49,"K"),"")</f>
        <v/>
      </c>
      <c r="L49" s="49" t="s">
        <v>805</v>
      </c>
      <c r="M49" s="89"/>
      <c r="N49" s="89"/>
      <c r="O49" s="89"/>
      <c r="P49" s="89"/>
      <c r="Q49" s="89"/>
      <c r="R49" s="89"/>
    </row>
    <row r="50" spans="1:18" ht="14.25" x14ac:dyDescent="0.45">
      <c r="A50" s="97" t="s">
        <v>806</v>
      </c>
      <c r="B50" s="37" t="s">
        <v>807</v>
      </c>
      <c r="C50" s="38" t="str">
        <f>IFERROR([1]!IntrinioBankFinancials(rssd_id,$W$2,$B$5,$B$4,B50,"K"),"")</f>
        <v/>
      </c>
      <c r="D50" s="49" t="s">
        <v>808</v>
      </c>
      <c r="E50" s="89"/>
      <c r="F50" s="89"/>
      <c r="G50" s="89"/>
      <c r="H50" s="89"/>
      <c r="I50" s="89"/>
      <c r="J50" s="37" t="s">
        <v>2315</v>
      </c>
      <c r="K50" s="38" t="str">
        <f>IFERROR([1]!IntrinioBankFinancials(rssd_id,$W$2,$J$5,$J$4,J50,"K"),"")</f>
        <v/>
      </c>
      <c r="L50" s="49" t="s">
        <v>808</v>
      </c>
      <c r="M50" s="89"/>
      <c r="N50" s="89"/>
      <c r="O50" s="89"/>
      <c r="P50" s="89"/>
      <c r="Q50" s="89"/>
      <c r="R50" s="89"/>
    </row>
    <row r="51" spans="1:18" ht="14.25" x14ac:dyDescent="0.45">
      <c r="A51" s="97" t="s">
        <v>809</v>
      </c>
      <c r="B51" s="37" t="s">
        <v>810</v>
      </c>
      <c r="C51" s="38" t="str">
        <f>IFERROR([1]!IntrinioBankFinancials(rssd_id,$W$2,$B$5,$B$4,B51,"K"),"")</f>
        <v/>
      </c>
      <c r="D51" s="49" t="s">
        <v>811</v>
      </c>
      <c r="E51" s="89"/>
      <c r="F51" s="89"/>
      <c r="G51" s="89"/>
      <c r="H51" s="89"/>
      <c r="I51" s="89"/>
      <c r="J51" s="37" t="s">
        <v>2316</v>
      </c>
      <c r="K51" s="38" t="str">
        <f>IFERROR([1]!IntrinioBankFinancials(rssd_id,$W$2,$J$5,$J$4,J51,"K"),"")</f>
        <v/>
      </c>
      <c r="L51" s="49" t="s">
        <v>811</v>
      </c>
      <c r="M51" s="89"/>
      <c r="N51" s="89"/>
      <c r="O51" s="89"/>
      <c r="P51" s="89"/>
      <c r="Q51" s="89"/>
      <c r="R51" s="89"/>
    </row>
    <row r="52" spans="1:18" ht="14.25" x14ac:dyDescent="0.45">
      <c r="A52" s="97" t="s">
        <v>812</v>
      </c>
      <c r="B52" s="37" t="s">
        <v>813</v>
      </c>
      <c r="C52" s="38" t="str">
        <f>IFERROR([1]!IntrinioBankFinancials(rssd_id,$W$2,$B$5,$B$4,B52,"K"),"")</f>
        <v/>
      </c>
      <c r="D52" s="49" t="s">
        <v>814</v>
      </c>
      <c r="E52" s="89"/>
      <c r="F52" s="89"/>
      <c r="G52" s="89"/>
      <c r="H52" s="89"/>
      <c r="I52" s="89"/>
      <c r="J52" s="37" t="s">
        <v>2317</v>
      </c>
      <c r="K52" s="38" t="str">
        <f>IFERROR([1]!IntrinioBankFinancials(rssd_id,$W$2,$J$5,$J$4,J52,"K"),"")</f>
        <v/>
      </c>
      <c r="L52" s="49" t="s">
        <v>814</v>
      </c>
      <c r="M52" s="89"/>
      <c r="N52" s="89"/>
      <c r="O52" s="89"/>
      <c r="P52" s="89"/>
      <c r="Q52" s="89"/>
      <c r="R52" s="89"/>
    </row>
    <row r="53" spans="1:18" ht="57" x14ac:dyDescent="0.4">
      <c r="A53" s="41" t="s">
        <v>917</v>
      </c>
      <c r="B53" s="35"/>
      <c r="C53" s="35"/>
      <c r="D53" s="49" t="s">
        <v>417</v>
      </c>
      <c r="E53" s="89"/>
      <c r="F53" s="89"/>
      <c r="G53" s="89"/>
      <c r="H53" s="89"/>
      <c r="I53" s="89"/>
      <c r="J53" s="35"/>
      <c r="K53" s="35"/>
      <c r="L53" s="49" t="s">
        <v>417</v>
      </c>
      <c r="M53" s="89"/>
      <c r="N53" s="89"/>
      <c r="O53" s="89"/>
      <c r="P53" s="89"/>
      <c r="Q53" s="89"/>
      <c r="R53" s="89"/>
    </row>
    <row r="54" spans="1:18" ht="14.25" x14ac:dyDescent="0.45">
      <c r="A54" s="97" t="s">
        <v>797</v>
      </c>
      <c r="B54" s="37" t="s">
        <v>815</v>
      </c>
      <c r="C54" s="38" t="str">
        <f>IFERROR([1]!IntrinioBankFinancials(rssd_id,$W$2,$B$5,$B$4,B54,"K"),"")</f>
        <v/>
      </c>
      <c r="D54" s="49" t="s">
        <v>816</v>
      </c>
      <c r="E54" s="89"/>
      <c r="F54" s="89"/>
      <c r="G54" s="89"/>
      <c r="H54" s="89"/>
      <c r="I54" s="89"/>
      <c r="J54" s="37" t="s">
        <v>2318</v>
      </c>
      <c r="K54" s="38" t="str">
        <f>IFERROR([1]!IntrinioBankFinancials(rssd_id,$W$2,$J$5,$J$4,J54,"K"),"")</f>
        <v/>
      </c>
      <c r="L54" s="49" t="s">
        <v>816</v>
      </c>
      <c r="M54" s="89"/>
      <c r="N54" s="89"/>
      <c r="O54" s="89"/>
      <c r="P54" s="89"/>
      <c r="Q54" s="89"/>
      <c r="R54" s="89"/>
    </row>
    <row r="55" spans="1:18" ht="28.5" x14ac:dyDescent="0.45">
      <c r="A55" s="97" t="s">
        <v>800</v>
      </c>
      <c r="B55" s="37" t="s">
        <v>817</v>
      </c>
      <c r="C55" s="38" t="str">
        <f>IFERROR([1]!IntrinioBankFinancials(rssd_id,$W$2,$B$5,$B$4,B55,"K"),"")</f>
        <v/>
      </c>
      <c r="D55" s="49" t="s">
        <v>818</v>
      </c>
      <c r="E55" s="89"/>
      <c r="F55" s="89"/>
      <c r="G55" s="89"/>
      <c r="H55" s="89"/>
      <c r="I55" s="89"/>
      <c r="J55" s="37" t="s">
        <v>2319</v>
      </c>
      <c r="K55" s="38" t="str">
        <f>IFERROR([1]!IntrinioBankFinancials(rssd_id,$W$2,$J$5,$J$4,J55,"K"),"")</f>
        <v/>
      </c>
      <c r="L55" s="49" t="s">
        <v>818</v>
      </c>
      <c r="M55" s="89"/>
      <c r="N55" s="89"/>
      <c r="O55" s="89"/>
      <c r="P55" s="89"/>
      <c r="Q55" s="89"/>
      <c r="R55" s="89"/>
    </row>
    <row r="56" spans="1:18" ht="14.25" x14ac:dyDescent="0.45">
      <c r="A56" s="97" t="s">
        <v>803</v>
      </c>
      <c r="B56" s="37" t="s">
        <v>819</v>
      </c>
      <c r="C56" s="38" t="str">
        <f>IFERROR([1]!IntrinioBankFinancials(rssd_id,$W$2,$B$5,$B$4,B56,"K"),"")</f>
        <v/>
      </c>
      <c r="D56" s="49" t="s">
        <v>820</v>
      </c>
      <c r="E56" s="89"/>
      <c r="F56" s="89"/>
      <c r="G56" s="89"/>
      <c r="H56" s="89"/>
      <c r="I56" s="89"/>
      <c r="J56" s="37" t="s">
        <v>2320</v>
      </c>
      <c r="K56" s="38" t="str">
        <f>IFERROR([1]!IntrinioBankFinancials(rssd_id,$W$2,$J$5,$J$4,J56,"K"),"")</f>
        <v/>
      </c>
      <c r="L56" s="49" t="s">
        <v>820</v>
      </c>
      <c r="M56" s="89"/>
      <c r="N56" s="89"/>
      <c r="O56" s="89"/>
      <c r="P56" s="89"/>
      <c r="Q56" s="89"/>
      <c r="R56" s="89"/>
    </row>
    <row r="57" spans="1:18" ht="14.25" x14ac:dyDescent="0.45">
      <c r="A57" s="97" t="s">
        <v>806</v>
      </c>
      <c r="B57" s="37" t="s">
        <v>821</v>
      </c>
      <c r="C57" s="38" t="str">
        <f>IFERROR([1]!IntrinioBankFinancials(rssd_id,$W$2,$B$5,$B$4,B57,"K"),"")</f>
        <v/>
      </c>
      <c r="D57" s="49" t="s">
        <v>822</v>
      </c>
      <c r="E57" s="89"/>
      <c r="F57" s="89"/>
      <c r="G57" s="89"/>
      <c r="H57" s="89"/>
      <c r="I57" s="89"/>
      <c r="J57" s="37" t="s">
        <v>2321</v>
      </c>
      <c r="K57" s="38" t="str">
        <f>IFERROR([1]!IntrinioBankFinancials(rssd_id,$W$2,$J$5,$J$4,J57,"K"),"")</f>
        <v/>
      </c>
      <c r="L57" s="49" t="s">
        <v>822</v>
      </c>
      <c r="M57" s="89"/>
      <c r="N57" s="89"/>
      <c r="O57" s="89"/>
      <c r="P57" s="89"/>
      <c r="Q57" s="89"/>
      <c r="R57" s="89"/>
    </row>
    <row r="58" spans="1:18" ht="14.25" x14ac:dyDescent="0.45">
      <c r="A58" s="97" t="s">
        <v>809</v>
      </c>
      <c r="B58" s="37" t="s">
        <v>823</v>
      </c>
      <c r="C58" s="38" t="str">
        <f>IFERROR([1]!IntrinioBankFinancials(rssd_id,$W$2,$B$5,$B$4,B58,"K"),"")</f>
        <v/>
      </c>
      <c r="D58" s="49" t="s">
        <v>824</v>
      </c>
      <c r="E58" s="89"/>
      <c r="F58" s="89"/>
      <c r="G58" s="89"/>
      <c r="H58" s="89"/>
      <c r="I58" s="89"/>
      <c r="J58" s="37" t="s">
        <v>2322</v>
      </c>
      <c r="K58" s="38" t="str">
        <f>IFERROR([1]!IntrinioBankFinancials(rssd_id,$W$2,$J$5,$J$4,J58,"K"),"")</f>
        <v/>
      </c>
      <c r="L58" s="49" t="s">
        <v>824</v>
      </c>
      <c r="M58" s="89"/>
      <c r="N58" s="89"/>
      <c r="O58" s="89"/>
      <c r="P58" s="89"/>
      <c r="Q58" s="89"/>
      <c r="R58" s="89"/>
    </row>
    <row r="59" spans="1:18" ht="14.25" x14ac:dyDescent="0.45">
      <c r="A59" s="97" t="s">
        <v>812</v>
      </c>
      <c r="B59" s="37" t="s">
        <v>825</v>
      </c>
      <c r="C59" s="38" t="str">
        <f>IFERROR([1]!IntrinioBankFinancials(rssd_id,$W$2,$B$5,$B$4,B59,"K"),"")</f>
        <v/>
      </c>
      <c r="D59" s="49" t="s">
        <v>826</v>
      </c>
      <c r="E59" s="89"/>
      <c r="F59" s="89"/>
      <c r="G59" s="89"/>
      <c r="H59" s="89"/>
      <c r="I59" s="89"/>
      <c r="J59" s="37" t="s">
        <v>2323</v>
      </c>
      <c r="K59" s="38" t="str">
        <f>IFERROR([1]!IntrinioBankFinancials(rssd_id,$W$2,$J$5,$J$4,J59,"K"),"")</f>
        <v/>
      </c>
      <c r="L59" s="49" t="s">
        <v>826</v>
      </c>
      <c r="M59" s="89"/>
      <c r="N59" s="89"/>
      <c r="O59" s="89"/>
      <c r="P59" s="89"/>
      <c r="Q59" s="89"/>
      <c r="R59" s="89"/>
    </row>
    <row r="60" spans="1:18" ht="71.25" x14ac:dyDescent="0.4">
      <c r="A60" s="41" t="s">
        <v>918</v>
      </c>
      <c r="B60" s="35"/>
      <c r="C60" s="35"/>
      <c r="D60" s="49" t="s">
        <v>420</v>
      </c>
      <c r="E60" s="89"/>
      <c r="F60" s="89"/>
      <c r="G60" s="89"/>
      <c r="H60" s="89"/>
      <c r="I60" s="89"/>
      <c r="J60" s="35"/>
      <c r="K60" s="35"/>
      <c r="L60" s="49" t="s">
        <v>420</v>
      </c>
      <c r="M60" s="89"/>
      <c r="N60" s="89"/>
      <c r="O60" s="89"/>
      <c r="P60" s="89"/>
      <c r="Q60" s="89"/>
      <c r="R60" s="89"/>
    </row>
    <row r="61" spans="1:18" ht="14.25" x14ac:dyDescent="0.45">
      <c r="A61" s="97" t="s">
        <v>827</v>
      </c>
      <c r="B61" s="37" t="s">
        <v>828</v>
      </c>
      <c r="C61" s="38" t="str">
        <f>IFERROR([1]!IntrinioBankFinancials(rssd_id,$W$2,$B$5,$B$4,B61,"K"),"")</f>
        <v/>
      </c>
      <c r="D61" s="49" t="s">
        <v>829</v>
      </c>
      <c r="E61" s="89"/>
      <c r="F61" s="89"/>
      <c r="G61" s="89"/>
      <c r="H61" s="89"/>
      <c r="I61" s="89"/>
      <c r="J61" s="37" t="s">
        <v>2324</v>
      </c>
      <c r="K61" s="38" t="str">
        <f>IFERROR([1]!IntrinioBankFinancials(rssd_id,$W$2,$J$5,$J$4,J61,"K"),"")</f>
        <v/>
      </c>
      <c r="L61" s="49" t="s">
        <v>829</v>
      </c>
      <c r="M61" s="89"/>
      <c r="N61" s="89"/>
      <c r="O61" s="89"/>
      <c r="P61" s="89"/>
      <c r="Q61" s="89"/>
      <c r="R61" s="89"/>
    </row>
    <row r="62" spans="1:18" ht="14.25" x14ac:dyDescent="0.45">
      <c r="A62" s="97" t="s">
        <v>830</v>
      </c>
      <c r="B62" s="37" t="s">
        <v>831</v>
      </c>
      <c r="C62" s="38" t="str">
        <f>IFERROR([1]!IntrinioBankFinancials(rssd_id,$W$2,$B$5,$B$4,B62,"K"),"")</f>
        <v/>
      </c>
      <c r="D62" s="49" t="s">
        <v>832</v>
      </c>
      <c r="E62" s="89"/>
      <c r="F62" s="89"/>
      <c r="G62" s="89"/>
      <c r="H62" s="89"/>
      <c r="I62" s="89"/>
      <c r="J62" s="37" t="s">
        <v>2325</v>
      </c>
      <c r="K62" s="38" t="str">
        <f>IFERROR([1]!IntrinioBankFinancials(rssd_id,$W$2,$J$5,$J$4,J62,"K"),"")</f>
        <v/>
      </c>
      <c r="L62" s="49" t="s">
        <v>832</v>
      </c>
      <c r="M62" s="89"/>
      <c r="N62" s="89"/>
      <c r="O62" s="89"/>
      <c r="P62" s="89"/>
      <c r="Q62" s="89"/>
      <c r="R62" s="89"/>
    </row>
    <row r="63" spans="1:18" ht="57" x14ac:dyDescent="0.4">
      <c r="A63" s="41" t="s">
        <v>919</v>
      </c>
      <c r="B63" s="37" t="s">
        <v>833</v>
      </c>
      <c r="C63" s="38" t="str">
        <f>IFERROR([1]!IntrinioBankFinancials(rssd_id,$W$2,$B$5,$B$4,B63,"K"),"")</f>
        <v/>
      </c>
      <c r="D63" s="49" t="s">
        <v>423</v>
      </c>
      <c r="E63" s="89"/>
      <c r="F63" s="89"/>
      <c r="G63" s="89"/>
      <c r="H63" s="89"/>
      <c r="I63" s="89"/>
      <c r="J63" s="37" t="s">
        <v>2326</v>
      </c>
      <c r="K63" s="38" t="str">
        <f>IFERROR([1]!IntrinioBankFinancials(rssd_id,$W$2,$J$5,$J$4,J63,"K"),"")</f>
        <v/>
      </c>
      <c r="L63" s="49" t="s">
        <v>423</v>
      </c>
      <c r="M63" s="89"/>
      <c r="N63" s="89"/>
      <c r="O63" s="89"/>
      <c r="P63" s="89"/>
      <c r="Q63" s="89"/>
      <c r="R63" s="89"/>
    </row>
    <row r="64" spans="1:18" ht="71.25" x14ac:dyDescent="0.45">
      <c r="A64" s="60" t="s">
        <v>920</v>
      </c>
      <c r="B64" s="37" t="s">
        <v>834</v>
      </c>
      <c r="C64" s="38" t="str">
        <f>IFERROR([1]!IntrinioBankFinancials(rssd_id,$W$2,$B$5,$B$4,B64,"K"),"")</f>
        <v/>
      </c>
      <c r="D64" s="49" t="s">
        <v>215</v>
      </c>
      <c r="E64" s="89"/>
      <c r="F64" s="89"/>
      <c r="G64" s="89"/>
      <c r="H64" s="89"/>
      <c r="I64" s="89"/>
      <c r="J64" s="37" t="s">
        <v>2327</v>
      </c>
      <c r="K64" s="38" t="str">
        <f>IFERROR([1]!IntrinioBankFinancials(rssd_id,$W$2,$J$5,$J$4,J64,"K"),"")</f>
        <v/>
      </c>
      <c r="L64" s="49" t="s">
        <v>215</v>
      </c>
      <c r="M64" s="89"/>
      <c r="N64" s="89"/>
      <c r="O64" s="89"/>
      <c r="P64" s="89"/>
      <c r="Q64" s="89"/>
      <c r="R64" s="89"/>
    </row>
    <row r="65" spans="1:18" ht="42.75" x14ac:dyDescent="0.45">
      <c r="A65" s="60" t="s">
        <v>921</v>
      </c>
      <c r="B65" s="35"/>
      <c r="C65" s="35"/>
      <c r="D65" s="49" t="s">
        <v>217</v>
      </c>
      <c r="E65" s="89"/>
      <c r="F65" s="89"/>
      <c r="G65" s="89"/>
      <c r="H65" s="89"/>
      <c r="I65" s="89"/>
      <c r="J65" s="35"/>
      <c r="K65" s="35"/>
      <c r="L65" s="49" t="s">
        <v>217</v>
      </c>
      <c r="M65" s="89"/>
      <c r="N65" s="89"/>
      <c r="O65" s="89"/>
      <c r="P65" s="89"/>
      <c r="Q65" s="89"/>
      <c r="R65" s="89"/>
    </row>
    <row r="66" spans="1:18" ht="14.25" x14ac:dyDescent="0.4">
      <c r="A66" s="41" t="s">
        <v>835</v>
      </c>
      <c r="B66" s="37" t="s">
        <v>836</v>
      </c>
      <c r="C66" s="38" t="str">
        <f>IFERROR([1]!IntrinioBankFinancials(rssd_id,$W$2,$B$5,$B$4,B66,"K"),"")</f>
        <v/>
      </c>
      <c r="D66" s="49" t="s">
        <v>837</v>
      </c>
      <c r="E66" s="89"/>
      <c r="F66" s="89"/>
      <c r="G66" s="89"/>
      <c r="H66" s="89"/>
      <c r="I66" s="89"/>
      <c r="J66" s="37" t="s">
        <v>2328</v>
      </c>
      <c r="K66" s="38" t="str">
        <f>IFERROR([1]!IntrinioBankFinancials(rssd_id,$W$2,$J$5,$J$4,J66,"K"),"")</f>
        <v/>
      </c>
      <c r="L66" s="49" t="s">
        <v>837</v>
      </c>
      <c r="M66" s="89"/>
      <c r="N66" s="89"/>
      <c r="O66" s="89"/>
      <c r="P66" s="89"/>
      <c r="Q66" s="89"/>
      <c r="R66" s="89"/>
    </row>
    <row r="67" spans="1:18" ht="14.25" x14ac:dyDescent="0.4">
      <c r="A67" s="41" t="s">
        <v>838</v>
      </c>
      <c r="B67" s="37" t="s">
        <v>839</v>
      </c>
      <c r="C67" s="38" t="str">
        <f>IFERROR([1]!IntrinioBankFinancials(rssd_id,$W$2,$B$5,$B$4,B67,"K"),"")</f>
        <v/>
      </c>
      <c r="D67" s="49" t="s">
        <v>840</v>
      </c>
      <c r="E67" s="89"/>
      <c r="F67" s="89"/>
      <c r="G67" s="89"/>
      <c r="H67" s="89"/>
      <c r="I67" s="89"/>
      <c r="J67" s="37" t="s">
        <v>2329</v>
      </c>
      <c r="K67" s="38" t="str">
        <f>IFERROR([1]!IntrinioBankFinancials(rssd_id,$W$2,$J$5,$J$4,J67,"K"),"")</f>
        <v/>
      </c>
      <c r="L67" s="49" t="s">
        <v>840</v>
      </c>
      <c r="M67" s="89"/>
      <c r="N67" s="89"/>
      <c r="O67" s="89"/>
      <c r="P67" s="89"/>
      <c r="Q67" s="89"/>
      <c r="R67" s="89"/>
    </row>
    <row r="68" spans="1:18" ht="14.25" x14ac:dyDescent="0.45">
      <c r="A68" s="60"/>
      <c r="B68" s="90"/>
      <c r="C68" s="51"/>
      <c r="D68" s="49"/>
      <c r="E68" s="89"/>
      <c r="F68" s="89"/>
      <c r="G68" s="89"/>
      <c r="H68" s="89"/>
      <c r="I68" s="89"/>
      <c r="J68" s="94"/>
      <c r="K68" s="95"/>
      <c r="L68" s="49"/>
      <c r="M68" s="89"/>
      <c r="N68" s="89"/>
      <c r="O68" s="89"/>
      <c r="P68" s="89"/>
      <c r="Q68" s="89"/>
      <c r="R68" s="89"/>
    </row>
    <row r="69" spans="1:18" ht="14.25" x14ac:dyDescent="0.45">
      <c r="A69" s="60"/>
      <c r="B69" s="105" t="s">
        <v>467</v>
      </c>
      <c r="C69" s="105"/>
      <c r="D69" s="105" t="s">
        <v>468</v>
      </c>
      <c r="E69" s="105"/>
      <c r="F69" s="105" t="s">
        <v>469</v>
      </c>
      <c r="G69" s="105"/>
      <c r="H69" s="105" t="s">
        <v>470</v>
      </c>
      <c r="I69" s="105"/>
      <c r="J69" s="111" t="s">
        <v>467</v>
      </c>
      <c r="K69" s="112"/>
      <c r="L69" s="105" t="s">
        <v>468</v>
      </c>
      <c r="M69" s="105"/>
      <c r="N69" s="105" t="s">
        <v>469</v>
      </c>
      <c r="O69" s="105"/>
      <c r="P69" s="105" t="s">
        <v>470</v>
      </c>
      <c r="Q69" s="105"/>
      <c r="R69" s="89"/>
    </row>
    <row r="70" spans="1:18" ht="14.25" x14ac:dyDescent="0.45">
      <c r="A70" s="60"/>
      <c r="B70" s="105" t="s">
        <v>657</v>
      </c>
      <c r="C70" s="105"/>
      <c r="D70" s="105" t="s">
        <v>658</v>
      </c>
      <c r="E70" s="105"/>
      <c r="F70" s="105" t="s">
        <v>659</v>
      </c>
      <c r="G70" s="105"/>
      <c r="H70" s="105" t="s">
        <v>660</v>
      </c>
      <c r="I70" s="105"/>
      <c r="J70" s="111" t="s">
        <v>657</v>
      </c>
      <c r="K70" s="112"/>
      <c r="L70" s="105" t="s">
        <v>658</v>
      </c>
      <c r="M70" s="105"/>
      <c r="N70" s="105" t="s">
        <v>659</v>
      </c>
      <c r="O70" s="105"/>
      <c r="P70" s="105" t="s">
        <v>660</v>
      </c>
      <c r="Q70" s="105"/>
      <c r="R70" s="89"/>
    </row>
    <row r="71" spans="1:18" ht="14.25" x14ac:dyDescent="0.45">
      <c r="A71" s="60"/>
      <c r="B71" s="106" t="s">
        <v>661</v>
      </c>
      <c r="C71" s="106"/>
      <c r="D71" s="106" t="s">
        <v>662</v>
      </c>
      <c r="E71" s="106"/>
      <c r="F71" s="106" t="s">
        <v>661</v>
      </c>
      <c r="G71" s="106"/>
      <c r="H71" s="106" t="s">
        <v>662</v>
      </c>
      <c r="I71" s="106"/>
      <c r="J71" s="109" t="s">
        <v>661</v>
      </c>
      <c r="K71" s="110"/>
      <c r="L71" s="106" t="s">
        <v>662</v>
      </c>
      <c r="M71" s="106"/>
      <c r="N71" s="106" t="s">
        <v>661</v>
      </c>
      <c r="O71" s="106"/>
      <c r="P71" s="106" t="s">
        <v>662</v>
      </c>
      <c r="Q71" s="106"/>
      <c r="R71" s="89"/>
    </row>
    <row r="72" spans="1:18" ht="57" x14ac:dyDescent="0.45">
      <c r="A72" s="60" t="s">
        <v>922</v>
      </c>
      <c r="B72" s="35"/>
      <c r="C72" s="35"/>
      <c r="D72" s="35"/>
      <c r="E72" s="35"/>
      <c r="F72" s="35"/>
      <c r="G72" s="35"/>
      <c r="H72" s="35"/>
      <c r="I72" s="35"/>
      <c r="J72" s="35"/>
      <c r="K72" s="35"/>
      <c r="L72" s="35"/>
      <c r="M72" s="35"/>
      <c r="N72" s="35"/>
      <c r="O72" s="35"/>
      <c r="P72" s="35"/>
      <c r="Q72" s="35"/>
      <c r="R72" s="49" t="s">
        <v>220</v>
      </c>
    </row>
    <row r="73" spans="1:18" ht="14.25" x14ac:dyDescent="0.45">
      <c r="A73" s="100" t="s">
        <v>841</v>
      </c>
      <c r="B73" s="37" t="s">
        <v>842</v>
      </c>
      <c r="C73" s="38" t="str">
        <f>IFERROR([1]!IntrinioBankFinancials(rssd_id,$W$2,$B$5,$B$4,B73,"K"),"")</f>
        <v/>
      </c>
      <c r="D73" s="37" t="s">
        <v>843</v>
      </c>
      <c r="E73" s="38" t="str">
        <f>IFERROR([1]!IntrinioBankFinancials(rssd_id,$W$2,$B$5,$B$4,D73,"K"),"")</f>
        <v/>
      </c>
      <c r="F73" s="37" t="s">
        <v>844</v>
      </c>
      <c r="G73" s="38" t="str">
        <f>IFERROR([1]!IntrinioBankFinancials(rssd_id,$W$2,$B$5,$B$4,F73,"K"),"")</f>
        <v/>
      </c>
      <c r="H73" s="37" t="s">
        <v>845</v>
      </c>
      <c r="I73" s="38" t="str">
        <f>IFERROR([1]!IntrinioBankFinancials(rssd_id,$W$2,$B$5,$B$4,H73,"K"),"")</f>
        <v/>
      </c>
      <c r="J73" s="37" t="s">
        <v>2330</v>
      </c>
      <c r="K73" s="38" t="str">
        <f>IFERROR([1]!IntrinioBankFinancials(rssd_id,$W$2,$J$5,$J$4,J73,"K"),"")</f>
        <v/>
      </c>
      <c r="L73" s="37" t="s">
        <v>2343</v>
      </c>
      <c r="M73" s="38" t="str">
        <f>IFERROR([1]!IntrinioBankFinancials(rssd_id,$W$2,$J$5,$J$4,L73,"K"),"")</f>
        <v/>
      </c>
      <c r="N73" s="37" t="s">
        <v>2356</v>
      </c>
      <c r="O73" s="38" t="str">
        <f>IFERROR([1]!IntrinioBankFinancials(rssd_id,$W$2,$J$5,$J$4,N73,"K"),"")</f>
        <v/>
      </c>
      <c r="P73" s="37" t="s">
        <v>2369</v>
      </c>
      <c r="Q73" s="38" t="str">
        <f>IFERROR([1]!IntrinioBankFinancials(rssd_id,$W$2,$J$5,$J$4,P73,"K"),"")</f>
        <v/>
      </c>
      <c r="R73" s="49" t="s">
        <v>846</v>
      </c>
    </row>
    <row r="74" spans="1:18" ht="14.25" x14ac:dyDescent="0.45">
      <c r="A74" s="100" t="s">
        <v>847</v>
      </c>
      <c r="B74" s="37" t="s">
        <v>848</v>
      </c>
      <c r="C74" s="38" t="str">
        <f>IFERROR([1]!IntrinioBankFinancials(rssd_id,$W$2,$B$5,$B$4,B74,"K"),"")</f>
        <v/>
      </c>
      <c r="D74" s="37" t="s">
        <v>849</v>
      </c>
      <c r="E74" s="38" t="str">
        <f>IFERROR([1]!IntrinioBankFinancials(rssd_id,$W$2,$B$5,$B$4,D74,"K"),"")</f>
        <v/>
      </c>
      <c r="F74" s="37" t="s">
        <v>850</v>
      </c>
      <c r="G74" s="38" t="str">
        <f>IFERROR([1]!IntrinioBankFinancials(rssd_id,$W$2,$B$5,$B$4,F74,"K"),"")</f>
        <v/>
      </c>
      <c r="H74" s="37" t="s">
        <v>851</v>
      </c>
      <c r="I74" s="38" t="str">
        <f>IFERROR([1]!IntrinioBankFinancials(rssd_id,$W$2,$B$5,$B$4,H74,"K"),"")</f>
        <v/>
      </c>
      <c r="J74" s="37" t="s">
        <v>2331</v>
      </c>
      <c r="K74" s="38" t="str">
        <f>IFERROR([1]!IntrinioBankFinancials(rssd_id,$W$2,$J$5,$J$4,J74,"K"),"")</f>
        <v/>
      </c>
      <c r="L74" s="37" t="s">
        <v>2344</v>
      </c>
      <c r="M74" s="38" t="str">
        <f>IFERROR([1]!IntrinioBankFinancials(rssd_id,$W$2,$J$5,$J$4,L74,"K"),"")</f>
        <v/>
      </c>
      <c r="N74" s="37" t="s">
        <v>2357</v>
      </c>
      <c r="O74" s="38" t="str">
        <f>IFERROR([1]!IntrinioBankFinancials(rssd_id,$W$2,$J$5,$J$4,N74,"K"),"")</f>
        <v/>
      </c>
      <c r="P74" s="37" t="s">
        <v>2370</v>
      </c>
      <c r="Q74" s="38" t="str">
        <f>IFERROR([1]!IntrinioBankFinancials(rssd_id,$W$2,$J$5,$J$4,P74,"K"),"")</f>
        <v/>
      </c>
      <c r="R74" s="49" t="s">
        <v>852</v>
      </c>
    </row>
    <row r="75" spans="1:18" ht="14.25" x14ac:dyDescent="0.45">
      <c r="A75" s="100" t="s">
        <v>853</v>
      </c>
      <c r="B75" s="37" t="s">
        <v>854</v>
      </c>
      <c r="C75" s="38" t="str">
        <f>IFERROR([1]!IntrinioBankFinancials(rssd_id,$W$2,$B$5,$B$4,B75,"K"),"")</f>
        <v/>
      </c>
      <c r="D75" s="37" t="s">
        <v>855</v>
      </c>
      <c r="E75" s="38" t="str">
        <f>IFERROR([1]!IntrinioBankFinancials(rssd_id,$W$2,$B$5,$B$4,D75,"K"),"")</f>
        <v/>
      </c>
      <c r="F75" s="37" t="s">
        <v>856</v>
      </c>
      <c r="G75" s="38" t="str">
        <f>IFERROR([1]!IntrinioBankFinancials(rssd_id,$W$2,$B$5,$B$4,F75,"K"),"")</f>
        <v/>
      </c>
      <c r="H75" s="37" t="s">
        <v>857</v>
      </c>
      <c r="I75" s="38" t="str">
        <f>IFERROR([1]!IntrinioBankFinancials(rssd_id,$W$2,$B$5,$B$4,H75,"K"),"")</f>
        <v/>
      </c>
      <c r="J75" s="37" t="s">
        <v>2332</v>
      </c>
      <c r="K75" s="38" t="str">
        <f>IFERROR([1]!IntrinioBankFinancials(rssd_id,$W$2,$J$5,$J$4,J75,"K"),"")</f>
        <v/>
      </c>
      <c r="L75" s="37" t="s">
        <v>2345</v>
      </c>
      <c r="M75" s="38" t="str">
        <f>IFERROR([1]!IntrinioBankFinancials(rssd_id,$W$2,$J$5,$J$4,L75,"K"),"")</f>
        <v/>
      </c>
      <c r="N75" s="37" t="s">
        <v>2358</v>
      </c>
      <c r="O75" s="38" t="str">
        <f>IFERROR([1]!IntrinioBankFinancials(rssd_id,$W$2,$J$5,$J$4,N75,"K"),"")</f>
        <v/>
      </c>
      <c r="P75" s="37" t="s">
        <v>2371</v>
      </c>
      <c r="Q75" s="38" t="str">
        <f>IFERROR([1]!IntrinioBankFinancials(rssd_id,$W$2,$J$5,$J$4,P75,"K"),"")</f>
        <v/>
      </c>
      <c r="R75" s="49" t="s">
        <v>858</v>
      </c>
    </row>
    <row r="76" spans="1:18" ht="14.25" x14ac:dyDescent="0.45">
      <c r="A76" s="100" t="s">
        <v>859</v>
      </c>
      <c r="B76" s="37" t="s">
        <v>860</v>
      </c>
      <c r="C76" s="38" t="str">
        <f>IFERROR([1]!IntrinioBankFinancials(rssd_id,$W$2,$B$5,$B$4,B76,"K"),"")</f>
        <v/>
      </c>
      <c r="D76" s="37" t="s">
        <v>861</v>
      </c>
      <c r="E76" s="38" t="str">
        <f>IFERROR([1]!IntrinioBankFinancials(rssd_id,$W$2,$B$5,$B$4,D76,"K"),"")</f>
        <v/>
      </c>
      <c r="F76" s="37" t="s">
        <v>862</v>
      </c>
      <c r="G76" s="38" t="str">
        <f>IFERROR([1]!IntrinioBankFinancials(rssd_id,$W$2,$B$5,$B$4,F76,"K"),"")</f>
        <v/>
      </c>
      <c r="H76" s="37" t="s">
        <v>863</v>
      </c>
      <c r="I76" s="38" t="str">
        <f>IFERROR([1]!IntrinioBankFinancials(rssd_id,$W$2,$B$5,$B$4,H76,"K"),"")</f>
        <v/>
      </c>
      <c r="J76" s="37" t="s">
        <v>2333</v>
      </c>
      <c r="K76" s="38" t="str">
        <f>IFERROR([1]!IntrinioBankFinancials(rssd_id,$W$2,$J$5,$J$4,J76,"K"),"")</f>
        <v/>
      </c>
      <c r="L76" s="37" t="s">
        <v>2346</v>
      </c>
      <c r="M76" s="38" t="str">
        <f>IFERROR([1]!IntrinioBankFinancials(rssd_id,$W$2,$J$5,$J$4,L76,"K"),"")</f>
        <v/>
      </c>
      <c r="N76" s="37" t="s">
        <v>2359</v>
      </c>
      <c r="O76" s="38" t="str">
        <f>IFERROR([1]!IntrinioBankFinancials(rssd_id,$W$2,$J$5,$J$4,N76,"K"),"")</f>
        <v/>
      </c>
      <c r="P76" s="37" t="s">
        <v>2372</v>
      </c>
      <c r="Q76" s="38" t="str">
        <f>IFERROR([1]!IntrinioBankFinancials(rssd_id,$W$2,$J$5,$J$4,P76,"K"),"")</f>
        <v/>
      </c>
      <c r="R76" s="49" t="s">
        <v>864</v>
      </c>
    </row>
    <row r="77" spans="1:18" ht="14.25" x14ac:dyDescent="0.45">
      <c r="A77" s="100" t="s">
        <v>865</v>
      </c>
      <c r="B77" s="37" t="s">
        <v>866</v>
      </c>
      <c r="C77" s="38" t="str">
        <f>IFERROR([1]!IntrinioBankFinancials(rssd_id,$W$2,$B$5,$B$4,B77,"K"),"")</f>
        <v/>
      </c>
      <c r="D77" s="37" t="s">
        <v>867</v>
      </c>
      <c r="E77" s="38" t="str">
        <f>IFERROR([1]!IntrinioBankFinancials(rssd_id,$W$2,$B$5,$B$4,D77,"K"),"")</f>
        <v/>
      </c>
      <c r="F77" s="37" t="s">
        <v>868</v>
      </c>
      <c r="G77" s="38" t="str">
        <f>IFERROR([1]!IntrinioBankFinancials(rssd_id,$W$2,$B$5,$B$4,F77,"K"),"")</f>
        <v/>
      </c>
      <c r="H77" s="37" t="s">
        <v>869</v>
      </c>
      <c r="I77" s="38" t="str">
        <f>IFERROR([1]!IntrinioBankFinancials(rssd_id,$W$2,$B$5,$B$4,H77,"K"),"")</f>
        <v/>
      </c>
      <c r="J77" s="37" t="s">
        <v>2334</v>
      </c>
      <c r="K77" s="38" t="str">
        <f>IFERROR([1]!IntrinioBankFinancials(rssd_id,$W$2,$J$5,$J$4,J77,"K"),"")</f>
        <v/>
      </c>
      <c r="L77" s="37" t="s">
        <v>2347</v>
      </c>
      <c r="M77" s="38" t="str">
        <f>IFERROR([1]!IntrinioBankFinancials(rssd_id,$W$2,$J$5,$J$4,L77,"K"),"")</f>
        <v/>
      </c>
      <c r="N77" s="37" t="s">
        <v>2360</v>
      </c>
      <c r="O77" s="38" t="str">
        <f>IFERROR([1]!IntrinioBankFinancials(rssd_id,$W$2,$J$5,$J$4,N77,"K"),"")</f>
        <v/>
      </c>
      <c r="P77" s="37" t="s">
        <v>2373</v>
      </c>
      <c r="Q77" s="38" t="str">
        <f>IFERROR([1]!IntrinioBankFinancials(rssd_id,$W$2,$J$5,$J$4,P77,"K"),"")</f>
        <v/>
      </c>
      <c r="R77" s="49" t="s">
        <v>870</v>
      </c>
    </row>
    <row r="78" spans="1:18" ht="14.25" x14ac:dyDescent="0.45">
      <c r="A78" s="100" t="s">
        <v>871</v>
      </c>
      <c r="B78" s="37" t="s">
        <v>872</v>
      </c>
      <c r="C78" s="38" t="str">
        <f>IFERROR([1]!IntrinioBankFinancials(rssd_id,$W$2,$B$5,$B$4,B78,"K"),"")</f>
        <v/>
      </c>
      <c r="D78" s="37" t="s">
        <v>873</v>
      </c>
      <c r="E78" s="38" t="str">
        <f>IFERROR([1]!IntrinioBankFinancials(rssd_id,$W$2,$B$5,$B$4,D78,"K"),"")</f>
        <v/>
      </c>
      <c r="F78" s="37" t="s">
        <v>874</v>
      </c>
      <c r="G78" s="38" t="str">
        <f>IFERROR([1]!IntrinioBankFinancials(rssd_id,$W$2,$B$5,$B$4,F78,"K"),"")</f>
        <v/>
      </c>
      <c r="H78" s="37" t="s">
        <v>875</v>
      </c>
      <c r="I78" s="38" t="str">
        <f>IFERROR([1]!IntrinioBankFinancials(rssd_id,$W$2,$B$5,$B$4,H78,"K"),"")</f>
        <v/>
      </c>
      <c r="J78" s="37" t="s">
        <v>2335</v>
      </c>
      <c r="K78" s="38" t="str">
        <f>IFERROR([1]!IntrinioBankFinancials(rssd_id,$W$2,$J$5,$J$4,J78,"K"),"")</f>
        <v/>
      </c>
      <c r="L78" s="37" t="s">
        <v>2348</v>
      </c>
      <c r="M78" s="38" t="str">
        <f>IFERROR([1]!IntrinioBankFinancials(rssd_id,$W$2,$J$5,$J$4,L78,"K"),"")</f>
        <v/>
      </c>
      <c r="N78" s="37" t="s">
        <v>2361</v>
      </c>
      <c r="O78" s="38" t="str">
        <f>IFERROR([1]!IntrinioBankFinancials(rssd_id,$W$2,$J$5,$J$4,N78,"K"),"")</f>
        <v/>
      </c>
      <c r="P78" s="37" t="s">
        <v>2374</v>
      </c>
      <c r="Q78" s="38" t="str">
        <f>IFERROR([1]!IntrinioBankFinancials(rssd_id,$W$2,$J$5,$J$4,P78,"K"),"")</f>
        <v/>
      </c>
      <c r="R78" s="49" t="s">
        <v>876</v>
      </c>
    </row>
    <row r="79" spans="1:18" ht="71.25" x14ac:dyDescent="0.45">
      <c r="A79" s="60" t="s">
        <v>923</v>
      </c>
      <c r="B79" s="35"/>
      <c r="C79" s="35"/>
      <c r="D79" s="35"/>
      <c r="E79" s="35"/>
      <c r="F79" s="35"/>
      <c r="G79" s="35"/>
      <c r="H79" s="35"/>
      <c r="I79" s="35"/>
      <c r="J79" s="35"/>
      <c r="K79" s="35"/>
      <c r="L79" s="35"/>
      <c r="M79" s="35"/>
      <c r="N79" s="35"/>
      <c r="O79" s="35"/>
      <c r="P79" s="35"/>
      <c r="Q79" s="35"/>
      <c r="R79" s="49" t="s">
        <v>222</v>
      </c>
    </row>
    <row r="80" spans="1:18" ht="28.5" x14ac:dyDescent="0.45">
      <c r="A80" s="100" t="s">
        <v>877</v>
      </c>
      <c r="B80" s="37" t="s">
        <v>878</v>
      </c>
      <c r="C80" s="38" t="str">
        <f>IFERROR([1]!IntrinioBankFinancials(rssd_id,$W$2,$B$5,$B$4,B80,"K"),"")</f>
        <v/>
      </c>
      <c r="D80" s="37" t="s">
        <v>879</v>
      </c>
      <c r="E80" s="38" t="str">
        <f>IFERROR([1]!IntrinioBankFinancials(rssd_id,$W$2,$B$5,$B$4,D80,"K"),"")</f>
        <v/>
      </c>
      <c r="F80" s="37" t="s">
        <v>880</v>
      </c>
      <c r="G80" s="38" t="str">
        <f>IFERROR([1]!IntrinioBankFinancials(rssd_id,$W$2,$B$5,$B$4,F80,"K"),"")</f>
        <v/>
      </c>
      <c r="H80" s="37" t="s">
        <v>881</v>
      </c>
      <c r="I80" s="38" t="str">
        <f>IFERROR([1]!IntrinioBankFinancials(rssd_id,$W$2,$B$5,$B$4,H80,"K"),"")</f>
        <v/>
      </c>
      <c r="J80" s="37" t="s">
        <v>2336</v>
      </c>
      <c r="K80" s="38" t="str">
        <f>IFERROR([1]!IntrinioBankFinancials(rssd_id,$W$2,$J$5,$J$4,J80,"K"),"")</f>
        <v/>
      </c>
      <c r="L80" s="37" t="s">
        <v>2349</v>
      </c>
      <c r="M80" s="38" t="str">
        <f>IFERROR([1]!IntrinioBankFinancials(rssd_id,$W$2,$J$5,$J$4,L80,"K"),"")</f>
        <v/>
      </c>
      <c r="N80" s="37" t="s">
        <v>2362</v>
      </c>
      <c r="O80" s="38" t="str">
        <f>IFERROR([1]!IntrinioBankFinancials(rssd_id,$W$2,$J$5,$J$4,N80,"K"),"")</f>
        <v/>
      </c>
      <c r="P80" s="37" t="s">
        <v>2375</v>
      </c>
      <c r="Q80" s="38" t="str">
        <f>IFERROR([1]!IntrinioBankFinancials(rssd_id,$W$2,$J$5,$J$4,P80,"K"),"")</f>
        <v/>
      </c>
      <c r="R80" s="49" t="s">
        <v>882</v>
      </c>
    </row>
    <row r="81" spans="1:18" ht="28.5" x14ac:dyDescent="0.45">
      <c r="A81" s="100" t="s">
        <v>924</v>
      </c>
      <c r="B81" s="37" t="s">
        <v>883</v>
      </c>
      <c r="C81" s="38" t="str">
        <f>IFERROR([1]!IntrinioBankFinancials(rssd_id,$W$2,$B$5,$B$4,B81,"K"),"")</f>
        <v/>
      </c>
      <c r="D81" s="37" t="s">
        <v>884</v>
      </c>
      <c r="E81" s="38" t="str">
        <f>IFERROR([1]!IntrinioBankFinancials(rssd_id,$W$2,$B$5,$B$4,D81,"K"),"")</f>
        <v/>
      </c>
      <c r="F81" s="37" t="s">
        <v>885</v>
      </c>
      <c r="G81" s="38" t="str">
        <f>IFERROR([1]!IntrinioBankFinancials(rssd_id,$W$2,$B$5,$B$4,F81,"K"),"")</f>
        <v/>
      </c>
      <c r="H81" s="37" t="s">
        <v>886</v>
      </c>
      <c r="I81" s="38" t="str">
        <f>IFERROR([1]!IntrinioBankFinancials(rssd_id,$W$2,$B$5,$B$4,H81,"K"),"")</f>
        <v/>
      </c>
      <c r="J81" s="37" t="s">
        <v>2337</v>
      </c>
      <c r="K81" s="38" t="str">
        <f>IFERROR([1]!IntrinioBankFinancials(rssd_id,$W$2,$J$5,$J$4,J81,"K"),"")</f>
        <v/>
      </c>
      <c r="L81" s="37" t="s">
        <v>2350</v>
      </c>
      <c r="M81" s="38" t="str">
        <f>IFERROR([1]!IntrinioBankFinancials(rssd_id,$W$2,$J$5,$J$4,L81,"K"),"")</f>
        <v/>
      </c>
      <c r="N81" s="37" t="s">
        <v>2363</v>
      </c>
      <c r="O81" s="38" t="str">
        <f>IFERROR([1]!IntrinioBankFinancials(rssd_id,$W$2,$J$5,$J$4,N81,"K"),"")</f>
        <v/>
      </c>
      <c r="P81" s="37" t="s">
        <v>2376</v>
      </c>
      <c r="Q81" s="38" t="str">
        <f>IFERROR([1]!IntrinioBankFinancials(rssd_id,$W$2,$J$5,$J$4,P81,"K"),"")</f>
        <v/>
      </c>
      <c r="R81" s="49" t="s">
        <v>887</v>
      </c>
    </row>
    <row r="82" spans="1:18" ht="14.25" x14ac:dyDescent="0.45">
      <c r="A82" s="100" t="s">
        <v>888</v>
      </c>
      <c r="B82" s="37" t="s">
        <v>889</v>
      </c>
      <c r="C82" s="38" t="str">
        <f>IFERROR([1]!IntrinioBankFinancials(rssd_id,$W$2,$B$5,$B$4,B82,"K"),"")</f>
        <v/>
      </c>
      <c r="D82" s="37" t="s">
        <v>890</v>
      </c>
      <c r="E82" s="38" t="str">
        <f>IFERROR([1]!IntrinioBankFinancials(rssd_id,$W$2,$B$5,$B$4,D82,"K"),"")</f>
        <v/>
      </c>
      <c r="F82" s="37" t="s">
        <v>891</v>
      </c>
      <c r="G82" s="38" t="str">
        <f>IFERROR([1]!IntrinioBankFinancials(rssd_id,$W$2,$B$5,$B$4,F82,"K"),"")</f>
        <v/>
      </c>
      <c r="H82" s="37" t="s">
        <v>892</v>
      </c>
      <c r="I82" s="38" t="str">
        <f>IFERROR([1]!IntrinioBankFinancials(rssd_id,$W$2,$B$5,$B$4,H82,"K"),"")</f>
        <v/>
      </c>
      <c r="J82" s="37" t="s">
        <v>2338</v>
      </c>
      <c r="K82" s="38" t="str">
        <f>IFERROR([1]!IntrinioBankFinancials(rssd_id,$W$2,$J$5,$J$4,J82,"K"),"")</f>
        <v/>
      </c>
      <c r="L82" s="37" t="s">
        <v>2351</v>
      </c>
      <c r="M82" s="38" t="str">
        <f>IFERROR([1]!IntrinioBankFinancials(rssd_id,$W$2,$J$5,$J$4,L82,"K"),"")</f>
        <v/>
      </c>
      <c r="N82" s="37" t="s">
        <v>2364</v>
      </c>
      <c r="O82" s="38" t="str">
        <f>IFERROR([1]!IntrinioBankFinancials(rssd_id,$W$2,$J$5,$J$4,N82,"K"),"")</f>
        <v/>
      </c>
      <c r="P82" s="37" t="s">
        <v>2377</v>
      </c>
      <c r="Q82" s="38" t="str">
        <f>IFERROR([1]!IntrinioBankFinancials(rssd_id,$W$2,$J$5,$J$4,P82,"K"),"")</f>
        <v/>
      </c>
      <c r="R82" s="49" t="s">
        <v>893</v>
      </c>
    </row>
    <row r="83" spans="1:18" ht="42.75" x14ac:dyDescent="0.45">
      <c r="A83" s="100" t="s">
        <v>925</v>
      </c>
      <c r="B83" s="37" t="s">
        <v>894</v>
      </c>
      <c r="C83" s="38" t="str">
        <f>IFERROR([1]!IntrinioBankFinancials(rssd_id,$W$2,$B$5,$B$4,B83,"K"),"")</f>
        <v/>
      </c>
      <c r="D83" s="37" t="s">
        <v>895</v>
      </c>
      <c r="E83" s="38" t="str">
        <f>IFERROR([1]!IntrinioBankFinancials(rssd_id,$W$2,$B$5,$B$4,D83,"K"),"")</f>
        <v/>
      </c>
      <c r="F83" s="37" t="s">
        <v>896</v>
      </c>
      <c r="G83" s="38" t="str">
        <f>IFERROR([1]!IntrinioBankFinancials(rssd_id,$W$2,$B$5,$B$4,F83,"K"),"")</f>
        <v/>
      </c>
      <c r="H83" s="37" t="s">
        <v>897</v>
      </c>
      <c r="I83" s="38" t="str">
        <f>IFERROR([1]!IntrinioBankFinancials(rssd_id,$W$2,$B$5,$B$4,H83,"K"),"")</f>
        <v/>
      </c>
      <c r="J83" s="37" t="s">
        <v>2339</v>
      </c>
      <c r="K83" s="38" t="str">
        <f>IFERROR([1]!IntrinioBankFinancials(rssd_id,$W$2,$J$5,$J$4,J83,"K"),"")</f>
        <v/>
      </c>
      <c r="L83" s="37" t="s">
        <v>2352</v>
      </c>
      <c r="M83" s="38" t="str">
        <f>IFERROR([1]!IntrinioBankFinancials(rssd_id,$W$2,$J$5,$J$4,L83,"K"),"")</f>
        <v/>
      </c>
      <c r="N83" s="37" t="s">
        <v>2365</v>
      </c>
      <c r="O83" s="38" t="str">
        <f>IFERROR([1]!IntrinioBankFinancials(rssd_id,$W$2,$J$5,$J$4,N83,"K"),"")</f>
        <v/>
      </c>
      <c r="P83" s="37" t="s">
        <v>2378</v>
      </c>
      <c r="Q83" s="38" t="str">
        <f>IFERROR([1]!IntrinioBankFinancials(rssd_id,$W$2,$J$5,$J$4,P83,"K"),"")</f>
        <v/>
      </c>
      <c r="R83" s="49" t="s">
        <v>898</v>
      </c>
    </row>
    <row r="84" spans="1:18" ht="28.5" x14ac:dyDescent="0.45">
      <c r="A84" s="100" t="s">
        <v>926</v>
      </c>
      <c r="B84" s="37" t="s">
        <v>899</v>
      </c>
      <c r="C84" s="38" t="str">
        <f>IFERROR([1]!IntrinioBankFinancials(rssd_id,$W$2,$B$5,$B$4,B84,"K"),"")</f>
        <v/>
      </c>
      <c r="D84" s="37" t="s">
        <v>900</v>
      </c>
      <c r="E84" s="38" t="str">
        <f>IFERROR([1]!IntrinioBankFinancials(rssd_id,$W$2,$B$5,$B$4,D84,"K"),"")</f>
        <v/>
      </c>
      <c r="F84" s="37" t="s">
        <v>901</v>
      </c>
      <c r="G84" s="38" t="str">
        <f>IFERROR([1]!IntrinioBankFinancials(rssd_id,$W$2,$B$5,$B$4,F84,"K"),"")</f>
        <v/>
      </c>
      <c r="H84" s="37" t="s">
        <v>902</v>
      </c>
      <c r="I84" s="38" t="str">
        <f>IFERROR([1]!IntrinioBankFinancials(rssd_id,$W$2,$B$5,$B$4,H84,"K"),"")</f>
        <v/>
      </c>
      <c r="J84" s="37" t="s">
        <v>2340</v>
      </c>
      <c r="K84" s="38" t="str">
        <f>IFERROR([1]!IntrinioBankFinancials(rssd_id,$W$2,$J$5,$J$4,J84,"K"),"")</f>
        <v/>
      </c>
      <c r="L84" s="37" t="s">
        <v>2353</v>
      </c>
      <c r="M84" s="38" t="str">
        <f>IFERROR([1]!IntrinioBankFinancials(rssd_id,$W$2,$J$5,$J$4,L84,"K"),"")</f>
        <v/>
      </c>
      <c r="N84" s="37" t="s">
        <v>2366</v>
      </c>
      <c r="O84" s="38" t="str">
        <f>IFERROR([1]!IntrinioBankFinancials(rssd_id,$W$2,$J$5,$J$4,N84,"K"),"")</f>
        <v/>
      </c>
      <c r="P84" s="37" t="s">
        <v>2379</v>
      </c>
      <c r="Q84" s="38" t="str">
        <f>IFERROR([1]!IntrinioBankFinancials(rssd_id,$W$2,$J$5,$J$4,P84,"K"),"")</f>
        <v/>
      </c>
      <c r="R84" s="49" t="s">
        <v>903</v>
      </c>
    </row>
    <row r="85" spans="1:18" ht="28.5" x14ac:dyDescent="0.45">
      <c r="A85" s="100" t="s">
        <v>904</v>
      </c>
      <c r="B85" s="37" t="s">
        <v>905</v>
      </c>
      <c r="C85" s="38" t="str">
        <f>IFERROR([1]!IntrinioBankFinancials(rssd_id,$W$2,$B$5,$B$4,B85,"K"),"")</f>
        <v/>
      </c>
      <c r="D85" s="37" t="s">
        <v>906</v>
      </c>
      <c r="E85" s="38" t="str">
        <f>IFERROR([1]!IntrinioBankFinancials(rssd_id,$W$2,$B$5,$B$4,D85,"K"),"")</f>
        <v/>
      </c>
      <c r="F85" s="37" t="s">
        <v>907</v>
      </c>
      <c r="G85" s="38" t="str">
        <f>IFERROR([1]!IntrinioBankFinancials(rssd_id,$W$2,$B$5,$B$4,F85,"K"),"")</f>
        <v/>
      </c>
      <c r="H85" s="37" t="s">
        <v>908</v>
      </c>
      <c r="I85" s="38" t="str">
        <f>IFERROR([1]!IntrinioBankFinancials(rssd_id,$W$2,$B$5,$B$4,H85,"K"),"")</f>
        <v/>
      </c>
      <c r="J85" s="37" t="s">
        <v>2341</v>
      </c>
      <c r="K85" s="38" t="str">
        <f>IFERROR([1]!IntrinioBankFinancials(rssd_id,$W$2,$J$5,$J$4,J85,"K"),"")</f>
        <v/>
      </c>
      <c r="L85" s="37" t="s">
        <v>2354</v>
      </c>
      <c r="M85" s="38" t="str">
        <f>IFERROR([1]!IntrinioBankFinancials(rssd_id,$W$2,$J$5,$J$4,L85,"K"),"")</f>
        <v/>
      </c>
      <c r="N85" s="37" t="s">
        <v>2367</v>
      </c>
      <c r="O85" s="38" t="str">
        <f>IFERROR([1]!IntrinioBankFinancials(rssd_id,$W$2,$J$5,$J$4,N85,"K"),"")</f>
        <v/>
      </c>
      <c r="P85" s="37" t="s">
        <v>2380</v>
      </c>
      <c r="Q85" s="38" t="str">
        <f>IFERROR([1]!IntrinioBankFinancials(rssd_id,$W$2,$J$5,$J$4,P85,"K"),"")</f>
        <v/>
      </c>
      <c r="R85" s="49" t="s">
        <v>909</v>
      </c>
    </row>
    <row r="86" spans="1:18" ht="14.25" x14ac:dyDescent="0.45">
      <c r="A86" s="100" t="s">
        <v>910</v>
      </c>
      <c r="B86" s="37" t="s">
        <v>911</v>
      </c>
      <c r="C86" s="38" t="str">
        <f>IFERROR([1]!IntrinioBankFinancials(rssd_id,$W$2,$B$5,$B$4,B86,"K"),"")</f>
        <v/>
      </c>
      <c r="D86" s="37" t="s">
        <v>912</v>
      </c>
      <c r="E86" s="38" t="str">
        <f>IFERROR([1]!IntrinioBankFinancials(rssd_id,$W$2,$B$5,$B$4,D86,"K"),"")</f>
        <v/>
      </c>
      <c r="F86" s="37" t="s">
        <v>913</v>
      </c>
      <c r="G86" s="38" t="str">
        <f>IFERROR([1]!IntrinioBankFinancials(rssd_id,$W$2,$B$5,$B$4,F86,"K"),"")</f>
        <v/>
      </c>
      <c r="H86" s="37" t="s">
        <v>914</v>
      </c>
      <c r="I86" s="38" t="str">
        <f>IFERROR([1]!IntrinioBankFinancials(rssd_id,$W$2,$B$5,$B$4,H86,"K"),"")</f>
        <v/>
      </c>
      <c r="J86" s="37" t="s">
        <v>2342</v>
      </c>
      <c r="K86" s="38" t="str">
        <f>IFERROR([1]!IntrinioBankFinancials(rssd_id,$W$2,$J$5,$J$4,J86,"K"),"")</f>
        <v/>
      </c>
      <c r="L86" s="37" t="s">
        <v>2355</v>
      </c>
      <c r="M86" s="38" t="str">
        <f>IFERROR([1]!IntrinioBankFinancials(rssd_id,$W$2,$J$5,$J$4,L86,"K"),"")</f>
        <v/>
      </c>
      <c r="N86" s="37" t="s">
        <v>2368</v>
      </c>
      <c r="O86" s="38" t="str">
        <f>IFERROR([1]!IntrinioBankFinancials(rssd_id,$W$2,$J$5,$J$4,N86,"K"),"")</f>
        <v/>
      </c>
      <c r="P86" s="37" t="s">
        <v>2381</v>
      </c>
      <c r="Q86" s="38" t="str">
        <f>IFERROR([1]!IntrinioBankFinancials(rssd_id,$W$2,$J$5,$J$4,P86,"K"),"")</f>
        <v/>
      </c>
      <c r="R86" s="49" t="s">
        <v>915</v>
      </c>
    </row>
  </sheetData>
  <mergeCells count="52">
    <mergeCell ref="J5:Q5"/>
    <mergeCell ref="J4:Q4"/>
    <mergeCell ref="J6:K6"/>
    <mergeCell ref="J7:K7"/>
    <mergeCell ref="J8:K8"/>
    <mergeCell ref="L6:M6"/>
    <mergeCell ref="L7:M7"/>
    <mergeCell ref="L8:M8"/>
    <mergeCell ref="N6:O6"/>
    <mergeCell ref="N7:O7"/>
    <mergeCell ref="N8:O8"/>
    <mergeCell ref="P6:Q6"/>
    <mergeCell ref="P7:Q7"/>
    <mergeCell ref="P8:Q8"/>
    <mergeCell ref="J69:K69"/>
    <mergeCell ref="L69:M69"/>
    <mergeCell ref="N69:O69"/>
    <mergeCell ref="P69:Q69"/>
    <mergeCell ref="J70:K70"/>
    <mergeCell ref="L70:M70"/>
    <mergeCell ref="N70:O70"/>
    <mergeCell ref="P70:Q70"/>
    <mergeCell ref="J71:K71"/>
    <mergeCell ref="L71:M71"/>
    <mergeCell ref="N71:O71"/>
    <mergeCell ref="P71:Q71"/>
    <mergeCell ref="B4:I4"/>
    <mergeCell ref="B5:I5"/>
    <mergeCell ref="B6:C6"/>
    <mergeCell ref="D6:E6"/>
    <mergeCell ref="F6:G6"/>
    <mergeCell ref="H6:I6"/>
    <mergeCell ref="B7:C7"/>
    <mergeCell ref="D7:E7"/>
    <mergeCell ref="F7:G7"/>
    <mergeCell ref="H7:I7"/>
    <mergeCell ref="B8:C8"/>
    <mergeCell ref="D8:E8"/>
    <mergeCell ref="F8:G8"/>
    <mergeCell ref="H8:I8"/>
    <mergeCell ref="B69:C69"/>
    <mergeCell ref="D69:E69"/>
    <mergeCell ref="F69:G69"/>
    <mergeCell ref="H69:I69"/>
    <mergeCell ref="B70:C70"/>
    <mergeCell ref="D70:E70"/>
    <mergeCell ref="F70:G70"/>
    <mergeCell ref="H70:I70"/>
    <mergeCell ref="B71:C71"/>
    <mergeCell ref="D71:E71"/>
    <mergeCell ref="F71:G71"/>
    <mergeCell ref="H71:I71"/>
  </mergeCells>
  <pageMargins left="0.7" right="0.7" top="0.75" bottom="0.75" header="0.3" footer="0.3"/>
  <pageSetup scale="91" fitToHeight="5" orientation="landscape" r:id="rId1"/>
  <headerFooter>
    <oddFooter>&amp;L&amp;G&amp;R&amp;P</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9" tint="0.79998168889431442"/>
    <pageSetUpPr fitToPage="1"/>
  </sheetPr>
  <dimension ref="A1:S140"/>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140625" defaultRowHeight="18" outlineLevelCol="1" x14ac:dyDescent="0.4"/>
  <cols>
    <col min="1" max="1" width="70.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13.5"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11</v>
      </c>
      <c r="B2" s="28"/>
      <c r="C2" s="29"/>
      <c r="D2" s="29"/>
      <c r="E2" s="29"/>
      <c r="F2" s="29"/>
      <c r="G2" s="29"/>
      <c r="H2" s="29"/>
      <c r="I2" s="29"/>
      <c r="J2" s="29"/>
      <c r="K2" s="29"/>
      <c r="L2" s="29"/>
      <c r="M2" s="29"/>
      <c r="N2" s="29"/>
      <c r="O2" s="29"/>
      <c r="P2" s="48"/>
      <c r="R2" s="6" t="s">
        <v>430</v>
      </c>
      <c r="S2" s="6" t="s">
        <v>1278</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2215</v>
      </c>
      <c r="B6" s="35"/>
      <c r="C6" s="35"/>
      <c r="D6" s="35"/>
      <c r="E6" s="35"/>
      <c r="F6" s="35"/>
      <c r="G6" s="35"/>
      <c r="H6" s="35"/>
      <c r="I6" s="35"/>
      <c r="J6" s="35"/>
      <c r="K6" s="35"/>
      <c r="L6" s="35"/>
      <c r="M6" s="35"/>
      <c r="N6" s="35"/>
      <c r="O6" s="35"/>
    </row>
    <row r="7" spans="1:19" s="40" customFormat="1" ht="14.25" x14ac:dyDescent="0.4">
      <c r="A7" s="39" t="s">
        <v>2383</v>
      </c>
      <c r="B7" s="37" t="s">
        <v>2384</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1</v>
      </c>
    </row>
    <row r="8" spans="1:19" s="40" customFormat="1" ht="14.25" x14ac:dyDescent="0.4">
      <c r="A8" s="39" t="s">
        <v>352</v>
      </c>
      <c r="B8" s="37"/>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27</v>
      </c>
    </row>
    <row r="9" spans="1:19" s="40" customFormat="1" ht="14.25" x14ac:dyDescent="0.4">
      <c r="A9" s="39" t="s">
        <v>353</v>
      </c>
      <c r="B9" s="37" t="s">
        <v>2385</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29</v>
      </c>
    </row>
    <row r="10" spans="1:19" s="40" customFormat="1" ht="14.25" x14ac:dyDescent="0.4">
      <c r="A10" s="39" t="s">
        <v>354</v>
      </c>
      <c r="B10" s="37" t="s">
        <v>2386</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38</v>
      </c>
    </row>
    <row r="11" spans="1:19" s="40" customFormat="1" ht="14.25" x14ac:dyDescent="0.4">
      <c r="A11" s="39" t="s">
        <v>1199</v>
      </c>
      <c r="B11" s="37" t="s">
        <v>2387</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57</v>
      </c>
    </row>
    <row r="12" spans="1:19" s="40" customFormat="1" ht="14.25" x14ac:dyDescent="0.4">
      <c r="A12" s="39" t="s">
        <v>360</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60</v>
      </c>
    </row>
    <row r="13" spans="1:19" s="40" customFormat="1" ht="28.5" x14ac:dyDescent="0.4">
      <c r="A13" s="39" t="s">
        <v>434</v>
      </c>
      <c r="B13" s="37" t="s">
        <v>2388</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363</v>
      </c>
    </row>
    <row r="14" spans="1:19" x14ac:dyDescent="0.4">
      <c r="A14" s="39" t="s">
        <v>364</v>
      </c>
      <c r="B14" s="37"/>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365</v>
      </c>
    </row>
    <row r="15" spans="1:19" x14ac:dyDescent="0.4">
      <c r="A15" s="39" t="s">
        <v>366</v>
      </c>
      <c r="B15" s="37" t="s">
        <v>2389</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369</v>
      </c>
    </row>
    <row r="16" spans="1:19" s="47" customFormat="1" x14ac:dyDescent="0.4">
      <c r="A16" s="39" t="s">
        <v>370</v>
      </c>
      <c r="B16" s="37" t="s">
        <v>2390</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373</v>
      </c>
      <c r="Q16" s="13"/>
      <c r="R16" s="13"/>
      <c r="S16" s="13"/>
    </row>
    <row r="17" spans="1:19" s="47" customFormat="1" x14ac:dyDescent="0.4">
      <c r="A17" s="39" t="s">
        <v>374</v>
      </c>
      <c r="B17" s="37" t="s">
        <v>2391</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62</v>
      </c>
      <c r="Q17" s="13"/>
      <c r="R17" s="13"/>
      <c r="S17" s="13"/>
    </row>
    <row r="18" spans="1:19" s="47" customFormat="1" x14ac:dyDescent="0.4">
      <c r="A18" s="39" t="s">
        <v>377</v>
      </c>
      <c r="B18" s="37"/>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74</v>
      </c>
      <c r="Q18" s="13"/>
      <c r="R18" s="13"/>
      <c r="S18" s="13"/>
    </row>
    <row r="19" spans="1:19" s="47" customFormat="1" x14ac:dyDescent="0.4">
      <c r="A19" s="39" t="s">
        <v>378</v>
      </c>
      <c r="B19" s="37" t="s">
        <v>2392</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381</v>
      </c>
      <c r="Q19" s="13"/>
      <c r="R19" s="13"/>
      <c r="S19" s="13"/>
    </row>
    <row r="20" spans="1:19" s="47" customFormat="1" x14ac:dyDescent="0.4">
      <c r="A20" s="39" t="s">
        <v>382</v>
      </c>
      <c r="B20" s="37" t="s">
        <v>2393</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385</v>
      </c>
      <c r="Q20" s="13"/>
      <c r="R20" s="13"/>
      <c r="S20" s="13"/>
    </row>
    <row r="21" spans="1:19" s="47" customFormat="1" x14ac:dyDescent="0.4">
      <c r="A21" s="39" t="s">
        <v>2394</v>
      </c>
      <c r="B21" s="37"/>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2</v>
      </c>
      <c r="Q21" s="13"/>
      <c r="R21" s="13"/>
      <c r="S21" s="13"/>
    </row>
    <row r="22" spans="1:19" s="47" customFormat="1" x14ac:dyDescent="0.4">
      <c r="A22" s="39" t="s">
        <v>2395</v>
      </c>
      <c r="B22" s="37"/>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86</v>
      </c>
      <c r="Q22" s="13"/>
      <c r="R22" s="13"/>
      <c r="S22" s="13"/>
    </row>
    <row r="23" spans="1:19" s="47" customFormat="1" x14ac:dyDescent="0.4">
      <c r="A23" s="39" t="s">
        <v>1188</v>
      </c>
      <c r="B23" s="37" t="s">
        <v>2396</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88</v>
      </c>
      <c r="Q23" s="13"/>
      <c r="R23" s="13"/>
      <c r="S23" s="13"/>
    </row>
    <row r="24" spans="1:19" s="47" customFormat="1" x14ac:dyDescent="0.4">
      <c r="A24" s="39" t="s">
        <v>1189</v>
      </c>
      <c r="B24" s="37" t="s">
        <v>2397</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90</v>
      </c>
      <c r="Q24" s="13"/>
      <c r="R24" s="13"/>
      <c r="S24" s="13"/>
    </row>
    <row r="25" spans="1:19" s="47" customFormat="1" x14ac:dyDescent="0.4">
      <c r="A25" s="39" t="s">
        <v>1190</v>
      </c>
      <c r="B25" s="37" t="s">
        <v>2398</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102</v>
      </c>
      <c r="Q25" s="13"/>
      <c r="R25" s="13"/>
      <c r="S25" s="13"/>
    </row>
    <row r="26" spans="1:19" s="47" customFormat="1" x14ac:dyDescent="0.4">
      <c r="A26" s="39" t="s">
        <v>2399</v>
      </c>
      <c r="B26" s="37"/>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105</v>
      </c>
      <c r="Q26" s="13"/>
      <c r="R26" s="13"/>
      <c r="S26" s="13"/>
    </row>
    <row r="27" spans="1:19" s="47" customFormat="1" x14ac:dyDescent="0.4">
      <c r="A27" s="39" t="s">
        <v>1191</v>
      </c>
      <c r="B27" s="37" t="s">
        <v>2400</v>
      </c>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1258</v>
      </c>
      <c r="Q27" s="13"/>
      <c r="R27" s="13"/>
      <c r="S27" s="13"/>
    </row>
    <row r="28" spans="1:19" s="47" customFormat="1" x14ac:dyDescent="0.4">
      <c r="A28" s="39" t="s">
        <v>1192</v>
      </c>
      <c r="B28" s="37" t="s">
        <v>2401</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1259</v>
      </c>
      <c r="Q28" s="13"/>
      <c r="R28" s="13"/>
      <c r="S28" s="13"/>
    </row>
    <row r="29" spans="1:19" s="47" customFormat="1" x14ac:dyDescent="0.4">
      <c r="A29" s="39" t="s">
        <v>1200</v>
      </c>
      <c r="B29" s="37" t="s">
        <v>2402</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3</v>
      </c>
      <c r="Q29" s="13"/>
      <c r="R29" s="13"/>
      <c r="S29" s="13"/>
    </row>
    <row r="30" spans="1:19" s="47" customFormat="1" x14ac:dyDescent="0.4">
      <c r="A30" s="39" t="s">
        <v>2403</v>
      </c>
      <c r="B30" s="37"/>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4</v>
      </c>
      <c r="Q30" s="13"/>
      <c r="R30" s="13"/>
      <c r="S30" s="13"/>
    </row>
    <row r="31" spans="1:19" s="47" customFormat="1" x14ac:dyDescent="0.4">
      <c r="A31" s="39" t="s">
        <v>1193</v>
      </c>
      <c r="B31" s="37" t="s">
        <v>2404</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622</v>
      </c>
      <c r="Q31" s="13"/>
      <c r="R31" s="13"/>
      <c r="S31" s="13"/>
    </row>
    <row r="32" spans="1:19" s="47" customFormat="1" x14ac:dyDescent="0.4">
      <c r="A32" s="39" t="s">
        <v>1194</v>
      </c>
      <c r="B32" s="37" t="s">
        <v>2405</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623</v>
      </c>
      <c r="Q32" s="13"/>
      <c r="R32" s="13"/>
      <c r="S32" s="13"/>
    </row>
    <row r="33" spans="1:19" s="47" customFormat="1" x14ac:dyDescent="0.4">
      <c r="A33" s="39" t="s">
        <v>1201</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5</v>
      </c>
      <c r="Q33" s="13"/>
      <c r="R33" s="13"/>
      <c r="S33" s="13"/>
    </row>
    <row r="34" spans="1:19" s="47" customFormat="1" ht="28.5" x14ac:dyDescent="0.4">
      <c r="A34" s="39" t="s">
        <v>1202</v>
      </c>
      <c r="B34" s="37"/>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v>6</v>
      </c>
      <c r="Q34" s="13"/>
      <c r="R34" s="13"/>
      <c r="S34" s="13"/>
    </row>
    <row r="35" spans="1:19" s="47" customFormat="1" x14ac:dyDescent="0.4">
      <c r="A35" s="39" t="s">
        <v>41</v>
      </c>
      <c r="B35" s="37" t="s">
        <v>2406</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172</v>
      </c>
      <c r="Q35" s="13"/>
      <c r="R35" s="13"/>
      <c r="S35" s="13"/>
    </row>
    <row r="36" spans="1:19" s="47" customFormat="1" x14ac:dyDescent="0.4">
      <c r="A36" s="39" t="s">
        <v>1203</v>
      </c>
      <c r="B36" s="37" t="s">
        <v>2407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175</v>
      </c>
      <c r="Q36" s="13"/>
      <c r="R36" s="13"/>
      <c r="S36" s="13"/>
    </row>
    <row r="37" spans="1:19" s="47" customFormat="1" x14ac:dyDescent="0.4">
      <c r="A37" s="39" t="s">
        <v>853</v>
      </c>
      <c r="B37" s="37" t="s">
        <v>2408</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983</v>
      </c>
      <c r="Q37" s="13"/>
      <c r="R37" s="13"/>
      <c r="S37" s="13"/>
    </row>
    <row r="38" spans="1:19" s="47" customFormat="1" ht="28.5" x14ac:dyDescent="0.4">
      <c r="A38" s="39" t="s">
        <v>2409</v>
      </c>
      <c r="B38" s="37" t="s">
        <v>2410</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997</v>
      </c>
      <c r="Q38" s="13"/>
      <c r="R38" s="13"/>
      <c r="S38" s="13"/>
    </row>
    <row r="39" spans="1:19" s="47" customFormat="1" ht="28.5" x14ac:dyDescent="0.4">
      <c r="A39" s="39" t="s">
        <v>1204</v>
      </c>
      <c r="B39" s="37" t="s">
        <v>2411</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7</v>
      </c>
      <c r="Q39" s="13"/>
      <c r="R39" s="13"/>
      <c r="S39" s="13"/>
    </row>
    <row r="40" spans="1:19" s="47" customFormat="1" ht="28.5" x14ac:dyDescent="0.4">
      <c r="A40" s="39" t="s">
        <v>1205</v>
      </c>
      <c r="B40" s="37" t="s">
        <v>2412</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8</v>
      </c>
      <c r="Q40" s="13"/>
      <c r="R40" s="13"/>
      <c r="S40" s="13"/>
    </row>
    <row r="41" spans="1:19" s="47" customFormat="1" x14ac:dyDescent="0.4">
      <c r="A41" s="39" t="s">
        <v>2413</v>
      </c>
      <c r="B41" s="37" t="s">
        <v>2414</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9</v>
      </c>
      <c r="Q41" s="13"/>
      <c r="R41" s="13"/>
      <c r="S41" s="13"/>
    </row>
    <row r="42" spans="1:19" s="47" customFormat="1" x14ac:dyDescent="0.4">
      <c r="A42" s="39" t="s">
        <v>1206</v>
      </c>
      <c r="B42" s="37"/>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1262</v>
      </c>
      <c r="Q42" s="13"/>
      <c r="R42" s="13"/>
      <c r="S42" s="13"/>
    </row>
    <row r="43" spans="1:19" s="47" customFormat="1" x14ac:dyDescent="0.4">
      <c r="A43" s="39" t="s">
        <v>2415</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1263</v>
      </c>
      <c r="Q43" s="13"/>
      <c r="R43" s="13"/>
      <c r="S43" s="13"/>
    </row>
    <row r="44" spans="1:19" s="47" customFormat="1" x14ac:dyDescent="0.4">
      <c r="A44" s="39" t="s">
        <v>1195</v>
      </c>
      <c r="B44" s="37"/>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1260</v>
      </c>
      <c r="Q44" s="13"/>
      <c r="R44" s="13"/>
      <c r="S44" s="13"/>
    </row>
    <row r="45" spans="1:19" s="47" customFormat="1" x14ac:dyDescent="0.4">
      <c r="A45" s="39" t="s">
        <v>1196</v>
      </c>
      <c r="B45" s="37"/>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1261</v>
      </c>
      <c r="Q45" s="13"/>
      <c r="R45" s="13"/>
      <c r="S45" s="13"/>
    </row>
    <row r="46" spans="1:19" s="47" customFormat="1" x14ac:dyDescent="0.4">
      <c r="A46" s="39" t="s">
        <v>1207</v>
      </c>
      <c r="B46" s="37"/>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v>10</v>
      </c>
      <c r="Q46" s="13"/>
      <c r="R46" s="13"/>
      <c r="S46" s="13"/>
    </row>
    <row r="47" spans="1:19" s="47" customFormat="1" ht="28.5" x14ac:dyDescent="0.4">
      <c r="A47" s="39" t="s">
        <v>1197</v>
      </c>
      <c r="B47" s="37" t="s">
        <v>2416</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626</v>
      </c>
      <c r="Q47" s="13"/>
      <c r="R47" s="13"/>
      <c r="S47" s="13"/>
    </row>
    <row r="48" spans="1:19" s="47" customFormat="1" x14ac:dyDescent="0.4">
      <c r="A48" s="39" t="s">
        <v>1198</v>
      </c>
      <c r="B48" s="37" t="s">
        <v>2417</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627</v>
      </c>
      <c r="Q48" s="13"/>
      <c r="R48" s="13"/>
      <c r="S48" s="13"/>
    </row>
    <row r="49" spans="1:19" s="47" customFormat="1" x14ac:dyDescent="0.4">
      <c r="A49" s="39" t="s">
        <v>1208</v>
      </c>
      <c r="B49" s="37" t="s">
        <v>2418</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v>11</v>
      </c>
      <c r="Q49" s="13"/>
      <c r="R49" s="13"/>
      <c r="S49" s="13"/>
    </row>
    <row r="50" spans="1:19" s="47" customFormat="1" ht="28.5" x14ac:dyDescent="0.4">
      <c r="A50" s="39" t="s">
        <v>2419</v>
      </c>
      <c r="B50" s="37" t="s">
        <v>2420</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v>12</v>
      </c>
      <c r="Q50" s="13"/>
      <c r="R50" s="13"/>
      <c r="S50" s="13"/>
    </row>
    <row r="51" spans="1:19" s="47" customFormat="1" x14ac:dyDescent="0.4">
      <c r="A51" s="39" t="s">
        <v>2216</v>
      </c>
      <c r="B51" s="37"/>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c r="Q51" s="13"/>
      <c r="R51" s="13"/>
      <c r="S51" s="13"/>
    </row>
    <row r="52" spans="1:19" s="47" customFormat="1" x14ac:dyDescent="0.4">
      <c r="A52" s="39" t="s">
        <v>2383</v>
      </c>
      <c r="B52" s="37"/>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v>1</v>
      </c>
      <c r="Q52" s="13"/>
      <c r="R52" s="13"/>
      <c r="S52" s="13"/>
    </row>
    <row r="53" spans="1:19" s="47" customFormat="1" x14ac:dyDescent="0.4">
      <c r="A53" s="39" t="s">
        <v>352</v>
      </c>
      <c r="B53" s="37"/>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27</v>
      </c>
      <c r="Q53" s="13"/>
      <c r="R53" s="13"/>
      <c r="S53" s="13"/>
    </row>
    <row r="54" spans="1:19" s="47" customFormat="1" x14ac:dyDescent="0.4">
      <c r="A54" s="39" t="s">
        <v>353</v>
      </c>
      <c r="B54" s="37" t="s">
        <v>1224</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29</v>
      </c>
      <c r="Q54" s="13"/>
      <c r="R54" s="13"/>
      <c r="S54" s="13"/>
    </row>
    <row r="55" spans="1:19" s="47" customFormat="1" x14ac:dyDescent="0.4">
      <c r="A55" s="39" t="s">
        <v>354</v>
      </c>
      <c r="B55" s="37" t="s">
        <v>1225</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38</v>
      </c>
      <c r="Q55" s="13"/>
      <c r="R55" s="13"/>
      <c r="S55" s="13"/>
    </row>
    <row r="56" spans="1:19" s="47" customFormat="1" x14ac:dyDescent="0.4">
      <c r="A56" s="39" t="s">
        <v>1199</v>
      </c>
      <c r="B56" s="37" t="s">
        <v>1226</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57</v>
      </c>
      <c r="Q56" s="13"/>
      <c r="R56" s="13"/>
      <c r="S56" s="13"/>
    </row>
    <row r="57" spans="1:19" s="47" customFormat="1" x14ac:dyDescent="0.4">
      <c r="A57" s="39" t="s">
        <v>360</v>
      </c>
      <c r="B57" s="37"/>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60</v>
      </c>
      <c r="Q57" s="13"/>
      <c r="R57" s="13"/>
      <c r="S57" s="13"/>
    </row>
    <row r="58" spans="1:19" s="47" customFormat="1" ht="28.5" x14ac:dyDescent="0.4">
      <c r="A58" s="39" t="s">
        <v>434</v>
      </c>
      <c r="B58" s="37" t="s">
        <v>1227</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363</v>
      </c>
      <c r="Q58" s="13"/>
      <c r="R58" s="13"/>
      <c r="S58" s="13"/>
    </row>
    <row r="59" spans="1:19" s="47" customFormat="1" x14ac:dyDescent="0.4">
      <c r="A59" s="39" t="s">
        <v>364</v>
      </c>
      <c r="B59" s="37"/>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365</v>
      </c>
      <c r="Q59" s="13"/>
      <c r="R59" s="13"/>
      <c r="S59" s="13"/>
    </row>
    <row r="60" spans="1:19" s="47" customFormat="1" x14ac:dyDescent="0.4">
      <c r="A60" s="39" t="s">
        <v>366</v>
      </c>
      <c r="B60" s="37" t="s">
        <v>1228</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369</v>
      </c>
      <c r="Q60" s="13"/>
      <c r="R60" s="13"/>
      <c r="S60" s="13"/>
    </row>
    <row r="61" spans="1:19" s="47" customFormat="1" x14ac:dyDescent="0.4">
      <c r="A61" s="39" t="s">
        <v>370</v>
      </c>
      <c r="B61" s="37" t="s">
        <v>1229</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373</v>
      </c>
      <c r="Q61" s="13"/>
      <c r="R61" s="13"/>
      <c r="S61" s="13"/>
    </row>
    <row r="62" spans="1:19" s="47" customFormat="1" x14ac:dyDescent="0.4">
      <c r="A62" s="39" t="s">
        <v>374</v>
      </c>
      <c r="B62" s="37" t="s">
        <v>1230</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62</v>
      </c>
      <c r="Q62" s="13"/>
      <c r="R62" s="13"/>
      <c r="S62" s="13"/>
    </row>
    <row r="63" spans="1:19" s="47" customFormat="1" x14ac:dyDescent="0.4">
      <c r="A63" s="39" t="s">
        <v>377</v>
      </c>
      <c r="B63" s="37"/>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74</v>
      </c>
      <c r="Q63" s="13"/>
      <c r="R63" s="13"/>
      <c r="S63" s="13"/>
    </row>
    <row r="64" spans="1:19" s="47" customFormat="1" x14ac:dyDescent="0.4">
      <c r="A64" s="39" t="s">
        <v>378</v>
      </c>
      <c r="B64" s="37" t="s">
        <v>1231</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381</v>
      </c>
      <c r="Q64" s="13"/>
      <c r="R64" s="13"/>
      <c r="S64" s="13"/>
    </row>
    <row r="65" spans="1:19" s="47" customFormat="1" x14ac:dyDescent="0.4">
      <c r="A65" s="39" t="s">
        <v>382</v>
      </c>
      <c r="B65" s="37" t="s">
        <v>1232</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385</v>
      </c>
      <c r="Q65" s="13"/>
      <c r="R65" s="13"/>
      <c r="S65" s="13"/>
    </row>
    <row r="66" spans="1:19" s="47" customFormat="1" x14ac:dyDescent="0.4">
      <c r="A66" s="39" t="s">
        <v>2394</v>
      </c>
      <c r="B66" s="37"/>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v>2</v>
      </c>
      <c r="Q66" s="13"/>
      <c r="R66" s="13"/>
      <c r="S66" s="13"/>
    </row>
    <row r="67" spans="1:19" s="47" customFormat="1" x14ac:dyDescent="0.4">
      <c r="A67" s="39" t="s">
        <v>2395</v>
      </c>
      <c r="B67" s="37" t="s">
        <v>2421</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86</v>
      </c>
      <c r="Q67" s="13"/>
      <c r="R67" s="13"/>
      <c r="S67" s="13"/>
    </row>
    <row r="68" spans="1:19" s="47" customFormat="1" x14ac:dyDescent="0.4">
      <c r="A68" s="39" t="s">
        <v>1188</v>
      </c>
      <c r="B68" s="37"/>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88</v>
      </c>
      <c r="Q68" s="13"/>
      <c r="R68" s="13"/>
      <c r="S68" s="13"/>
    </row>
    <row r="69" spans="1:19" s="47" customFormat="1" x14ac:dyDescent="0.4">
      <c r="A69" s="39" t="s">
        <v>1189</v>
      </c>
      <c r="B69" s="37"/>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90</v>
      </c>
      <c r="Q69" s="13"/>
      <c r="R69" s="13"/>
      <c r="S69" s="13"/>
    </row>
    <row r="70" spans="1:19" s="47" customFormat="1" x14ac:dyDescent="0.4">
      <c r="A70" s="39" t="s">
        <v>1190</v>
      </c>
      <c r="B70" s="37" t="s">
        <v>1219</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102</v>
      </c>
      <c r="Q70" s="13"/>
      <c r="R70" s="13"/>
      <c r="S70" s="13"/>
    </row>
    <row r="71" spans="1:19" s="47" customFormat="1" x14ac:dyDescent="0.4">
      <c r="A71" s="39" t="s">
        <v>2399</v>
      </c>
      <c r="B71" s="37" t="s">
        <v>2422</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105</v>
      </c>
      <c r="Q71" s="13"/>
      <c r="R71" s="13"/>
      <c r="S71" s="13"/>
    </row>
    <row r="72" spans="1:19" s="47" customFormat="1" x14ac:dyDescent="0.4">
      <c r="A72" s="39" t="s">
        <v>1191</v>
      </c>
      <c r="B72" s="37"/>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1258</v>
      </c>
      <c r="Q72" s="13"/>
      <c r="R72" s="13"/>
      <c r="S72" s="13"/>
    </row>
    <row r="73" spans="1:19" s="47" customFormat="1" x14ac:dyDescent="0.4">
      <c r="A73" s="39" t="s">
        <v>1192</v>
      </c>
      <c r="B73" s="37"/>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1259</v>
      </c>
      <c r="Q73" s="13"/>
      <c r="R73" s="13"/>
      <c r="S73" s="13"/>
    </row>
    <row r="74" spans="1:19" s="47" customFormat="1" x14ac:dyDescent="0.4">
      <c r="A74" s="39" t="s">
        <v>1200</v>
      </c>
      <c r="B74" s="37" t="s">
        <v>1233</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v>3</v>
      </c>
      <c r="Q74" s="13"/>
      <c r="R74" s="13"/>
      <c r="S74" s="13"/>
    </row>
    <row r="75" spans="1:19" s="47" customFormat="1" x14ac:dyDescent="0.4">
      <c r="A75" s="39" t="s">
        <v>2403</v>
      </c>
      <c r="B75" s="37"/>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v>4</v>
      </c>
      <c r="Q75" s="13"/>
      <c r="R75" s="13"/>
      <c r="S75" s="13"/>
    </row>
    <row r="76" spans="1:19" s="47" customFormat="1" x14ac:dyDescent="0.4">
      <c r="A76" s="39" t="s">
        <v>1193</v>
      </c>
      <c r="B76" s="37" t="s">
        <v>1220</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622</v>
      </c>
      <c r="Q76" s="13"/>
      <c r="R76" s="13"/>
      <c r="S76" s="13"/>
    </row>
    <row r="77" spans="1:19" s="47" customFormat="1" x14ac:dyDescent="0.4">
      <c r="A77" s="39" t="s">
        <v>1194</v>
      </c>
      <c r="B77" s="37" t="s">
        <v>1221</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623</v>
      </c>
      <c r="Q77" s="13"/>
      <c r="R77" s="13"/>
      <c r="S77" s="13"/>
    </row>
    <row r="78" spans="1:19" s="47" customFormat="1" x14ac:dyDescent="0.4">
      <c r="A78" s="39" t="s">
        <v>1201</v>
      </c>
      <c r="B78" s="37"/>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v>5</v>
      </c>
      <c r="Q78" s="13"/>
      <c r="R78" s="13"/>
      <c r="S78" s="13"/>
    </row>
    <row r="79" spans="1:19" s="47" customFormat="1" ht="28.5" x14ac:dyDescent="0.4">
      <c r="A79" s="39" t="s">
        <v>1202</v>
      </c>
      <c r="B79" s="37"/>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v>6</v>
      </c>
      <c r="Q79" s="13"/>
      <c r="R79" s="13"/>
      <c r="S79" s="13"/>
    </row>
    <row r="80" spans="1:19" s="47" customFormat="1" x14ac:dyDescent="0.4">
      <c r="A80" s="39" t="s">
        <v>41</v>
      </c>
      <c r="B80" s="37" t="s">
        <v>1234</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172</v>
      </c>
      <c r="Q80" s="13"/>
      <c r="R80" s="13"/>
      <c r="S80" s="13"/>
    </row>
    <row r="81" spans="1:19" s="47" customFormat="1" x14ac:dyDescent="0.4">
      <c r="A81" s="39" t="s">
        <v>1203</v>
      </c>
      <c r="B81" s="37" t="s">
        <v>1235</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175</v>
      </c>
      <c r="Q81" s="13"/>
      <c r="R81" s="13"/>
      <c r="S81" s="13"/>
    </row>
    <row r="82" spans="1:19" s="47" customFormat="1" x14ac:dyDescent="0.4">
      <c r="A82" s="39" t="s">
        <v>853</v>
      </c>
      <c r="B82" s="37" t="s">
        <v>1236</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983</v>
      </c>
      <c r="Q82" s="13"/>
      <c r="R82" s="13"/>
      <c r="S82" s="13"/>
    </row>
    <row r="83" spans="1:19" s="47" customFormat="1" ht="28.5" x14ac:dyDescent="0.4">
      <c r="A83" s="39" t="s">
        <v>2409</v>
      </c>
      <c r="B83" s="37" t="s">
        <v>1237</v>
      </c>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997</v>
      </c>
      <c r="Q83" s="13"/>
      <c r="R83" s="13"/>
      <c r="S83" s="13"/>
    </row>
    <row r="84" spans="1:19" s="47" customFormat="1" ht="28.5" x14ac:dyDescent="0.4">
      <c r="A84" s="39" t="s">
        <v>1204</v>
      </c>
      <c r="B84" s="37" t="s">
        <v>1238</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v>7</v>
      </c>
      <c r="Q84" s="13"/>
      <c r="R84" s="13"/>
      <c r="S84" s="13"/>
    </row>
    <row r="85" spans="1:19" s="47" customFormat="1" ht="28.5" x14ac:dyDescent="0.4">
      <c r="A85" s="39" t="s">
        <v>1205</v>
      </c>
      <c r="B85" s="37" t="s">
        <v>1239</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v>8</v>
      </c>
      <c r="Q85" s="13"/>
      <c r="R85" s="13"/>
      <c r="S85" s="13"/>
    </row>
    <row r="86" spans="1:19" s="47" customFormat="1" x14ac:dyDescent="0.4">
      <c r="A86" s="39" t="s">
        <v>2413</v>
      </c>
      <c r="B86" s="37"/>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v>9</v>
      </c>
      <c r="Q86" s="13"/>
      <c r="R86" s="13"/>
      <c r="S86" s="13"/>
    </row>
    <row r="87" spans="1:19" s="47" customFormat="1" x14ac:dyDescent="0.4">
      <c r="A87" s="39" t="s">
        <v>1206</v>
      </c>
      <c r="B87" s="37" t="s">
        <v>1240</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1262</v>
      </c>
      <c r="Q87" s="13"/>
      <c r="R87" s="13"/>
      <c r="S87" s="13"/>
    </row>
    <row r="88" spans="1:19" s="47" customFormat="1" x14ac:dyDescent="0.4">
      <c r="A88" s="39" t="s">
        <v>2415</v>
      </c>
      <c r="B88" s="37"/>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1263</v>
      </c>
      <c r="Q88" s="13"/>
      <c r="R88" s="13"/>
      <c r="S88" s="13"/>
    </row>
    <row r="89" spans="1:19" s="47" customFormat="1" x14ac:dyDescent="0.4">
      <c r="A89" s="39" t="s">
        <v>1195</v>
      </c>
      <c r="B89" s="37" t="s">
        <v>1222</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1260</v>
      </c>
      <c r="Q89" s="13"/>
      <c r="R89" s="13"/>
      <c r="S89" s="13"/>
    </row>
    <row r="90" spans="1:19" s="47" customFormat="1" x14ac:dyDescent="0.4">
      <c r="A90" s="39" t="s">
        <v>1196</v>
      </c>
      <c r="B90" s="37" t="s">
        <v>1223</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1261</v>
      </c>
      <c r="Q90" s="13"/>
      <c r="R90" s="13"/>
      <c r="S90" s="13"/>
    </row>
    <row r="91" spans="1:19" s="47" customFormat="1" x14ac:dyDescent="0.4">
      <c r="A91" s="39" t="s">
        <v>1207</v>
      </c>
      <c r="B91" s="37" t="s">
        <v>1241</v>
      </c>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v>10</v>
      </c>
      <c r="Q91" s="13"/>
      <c r="R91" s="13"/>
      <c r="S91" s="13"/>
    </row>
    <row r="92" spans="1:19" s="47" customFormat="1" ht="28.5" x14ac:dyDescent="0.4">
      <c r="A92" s="39" t="s">
        <v>1197</v>
      </c>
      <c r="B92" s="37"/>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626</v>
      </c>
      <c r="Q92" s="13"/>
      <c r="R92" s="13"/>
      <c r="S92" s="13"/>
    </row>
    <row r="93" spans="1:19" s="47" customFormat="1" x14ac:dyDescent="0.4">
      <c r="A93" s="39" t="s">
        <v>1198</v>
      </c>
      <c r="B93" s="37"/>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627</v>
      </c>
      <c r="Q93" s="13"/>
      <c r="R93" s="13"/>
      <c r="S93" s="13"/>
    </row>
    <row r="94" spans="1:19" s="47" customFormat="1" x14ac:dyDescent="0.4">
      <c r="A94" s="39" t="s">
        <v>1208</v>
      </c>
      <c r="B94" s="37" t="s">
        <v>1242</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v>11</v>
      </c>
      <c r="Q94" s="13"/>
      <c r="R94" s="13"/>
      <c r="S94" s="13"/>
    </row>
    <row r="95" spans="1:19" s="47" customFormat="1" ht="28.5" x14ac:dyDescent="0.4">
      <c r="A95" s="39" t="s">
        <v>2419</v>
      </c>
      <c r="B95" s="37" t="s">
        <v>1243</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v>12</v>
      </c>
      <c r="Q95" s="13"/>
      <c r="R95" s="13"/>
      <c r="S95" s="13"/>
    </row>
    <row r="96" spans="1:19" x14ac:dyDescent="0.4">
      <c r="A96" s="39"/>
      <c r="B96" s="37"/>
      <c r="C96" s="38" t="str">
        <f>IFERROR([1]!IntrinioBankFinancials(rssd_id,$S$2,C$5,C$4,$B96,"K"),"")</f>
        <v/>
      </c>
      <c r="D96" s="38" t="str">
        <f>IFERROR([1]!IntrinioBankFinancials(rssd_id,$S$2,D$5,D$4,$B96,"K"),"")</f>
        <v/>
      </c>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row>
    <row r="97" spans="1:16" x14ac:dyDescent="0.4">
      <c r="A97" s="39" t="s">
        <v>208</v>
      </c>
      <c r="B97" s="37"/>
      <c r="C97" s="38" t="str">
        <f>IFERROR([1]!IntrinioBankFinancials(rssd_id,$S$2,C$5,C$4,$B97,"K"),"")</f>
        <v/>
      </c>
      <c r="D97" s="38" t="str">
        <f>IFERROR([1]!IntrinioBankFinancials(rssd_id,$S$2,D$5,D$4,$B97,"K"),"")</f>
        <v/>
      </c>
      <c r="E97" s="38" t="str">
        <f>IFERROR([1]!IntrinioBankFinancials(rssd_id,$S$2,E$5,E$4,$B97,"K"),"")</f>
        <v/>
      </c>
      <c r="F97" s="38" t="str">
        <f>IFERROR([1]!IntrinioBankFinancials(rssd_id,$S$2,F$5,F$4,$B97,"K"),"")</f>
        <v/>
      </c>
      <c r="G97" s="38" t="str">
        <f>IFERROR([1]!IntrinioBankFinancials(rssd_id,$S$2,G$5,G$4,$B97,"K"),"")</f>
        <v/>
      </c>
      <c r="H97" s="38" t="str">
        <f>IFERROR([1]!IntrinioBankFinancials(rssd_id,$S$2,H$5,H$4,$B97,"K"),"")</f>
        <v/>
      </c>
      <c r="I97" s="38" t="str">
        <f>IFERROR([1]!IntrinioBankFinancials(rssd_id,$S$2,I$5,I$4,$B97,"K"),"")</f>
        <v/>
      </c>
      <c r="J97" s="38" t="str">
        <f>IFERROR([1]!IntrinioBankFinancials(rssd_id,$S$2,J$5,J$4,$B97,"K"),"")</f>
        <v/>
      </c>
      <c r="K97" s="38" t="str">
        <f>IFERROR([1]!IntrinioBankFinancials(rssd_id,$S$2,K$5,K$4,$B97,"K"),"")</f>
        <v/>
      </c>
      <c r="L97" s="38" t="str">
        <f>IFERROR([1]!IntrinioBankFinancials(rssd_id,$S$2,L$5,L$4,$B97,"K"),"")</f>
        <v/>
      </c>
      <c r="M97" s="38" t="str">
        <f>IFERROR([1]!IntrinioBankFinancials(rssd_id,$S$2,M$5,M$4,$B97,"K"),"")</f>
        <v/>
      </c>
      <c r="N97" s="38" t="str">
        <f>IFERROR([1]!IntrinioBankFinancials(rssd_id,$S$2,N$5,N$4,$B97,"K"),"")</f>
        <v/>
      </c>
      <c r="O97" s="38" t="str">
        <f>IFERROR([1]!IntrinioBankFinancials(rssd_id,$S$2,O$5,O$4,$B97,"K"),"")</f>
        <v/>
      </c>
      <c r="P97" s="49"/>
    </row>
    <row r="98" spans="1:16" ht="42.75" x14ac:dyDescent="0.4">
      <c r="A98" s="39" t="s">
        <v>1209</v>
      </c>
      <c r="B98" s="37"/>
      <c r="C98" s="38" t="str">
        <f>IFERROR([1]!IntrinioBankFinancials(rssd_id,$S$2,C$5,C$4,$B98,"K"),"")</f>
        <v/>
      </c>
      <c r="D98" s="38" t="str">
        <f>IFERROR([1]!IntrinioBankFinancials(rssd_id,$S$2,D$5,D$4,$B98,"K"),"")</f>
        <v/>
      </c>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210</v>
      </c>
    </row>
    <row r="99" spans="1:16" x14ac:dyDescent="0.4">
      <c r="A99" s="39" t="s">
        <v>2423</v>
      </c>
      <c r="B99" s="37"/>
      <c r="C99" s="38" t="str">
        <f>IFERROR([1]!IntrinioBankFinancials(rssd_id,$S$2,C$5,C$4,$B99,"K"),"")</f>
        <v/>
      </c>
      <c r="D99" s="38" t="str">
        <f>IFERROR([1]!IntrinioBankFinancials(rssd_id,$S$2,D$5,D$4,$B99,"K"),"")</f>
        <v/>
      </c>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1011</v>
      </c>
    </row>
    <row r="100" spans="1:16" x14ac:dyDescent="0.4">
      <c r="A100" s="39" t="s">
        <v>353</v>
      </c>
      <c r="B100" s="37" t="s">
        <v>1244</v>
      </c>
      <c r="C100" s="38" t="str">
        <f>IFERROR([1]!IntrinioBankFinancials(rssd_id,$S$2,C$5,C$4,$B100,"K"),"")</f>
        <v/>
      </c>
      <c r="D100" s="38" t="str">
        <f>IFERROR([1]!IntrinioBankFinancials(rssd_id,$S$2,D$5,D$4,$B100,"K"),"")</f>
        <v/>
      </c>
      <c r="E100" s="38" t="str">
        <f>IFERROR([1]!IntrinioBankFinancials(rssd_id,$S$2,E$5,E$4,$B100,"K"),"")</f>
        <v/>
      </c>
      <c r="F100" s="38" t="str">
        <f>IFERROR([1]!IntrinioBankFinancials(rssd_id,$S$2,F$5,F$4,$B100,"K"),"")</f>
        <v/>
      </c>
      <c r="G100" s="38" t="str">
        <f>IFERROR([1]!IntrinioBankFinancials(rssd_id,$S$2,G$5,G$4,$B100,"K"),"")</f>
        <v/>
      </c>
      <c r="H100" s="38" t="str">
        <f>IFERROR([1]!IntrinioBankFinancials(rssd_id,$S$2,H$5,H$4,$B100,"K"),"")</f>
        <v/>
      </c>
      <c r="I100" s="38" t="str">
        <f>IFERROR([1]!IntrinioBankFinancials(rssd_id,$S$2,I$5,I$4,$B100,"K"),"")</f>
        <v/>
      </c>
      <c r="J100" s="38" t="str">
        <f>IFERROR([1]!IntrinioBankFinancials(rssd_id,$S$2,J$5,J$4,$B100,"K"),"")</f>
        <v/>
      </c>
      <c r="K100" s="38" t="str">
        <f>IFERROR([1]!IntrinioBankFinancials(rssd_id,$S$2,K$5,K$4,$B100,"K"),"")</f>
        <v/>
      </c>
      <c r="L100" s="38" t="str">
        <f>IFERROR([1]!IntrinioBankFinancials(rssd_id,$S$2,L$5,L$4,$B100,"K"),"")</f>
        <v/>
      </c>
      <c r="M100" s="38" t="str">
        <f>IFERROR([1]!IntrinioBankFinancials(rssd_id,$S$2,M$5,M$4,$B100,"K"),"")</f>
        <v/>
      </c>
      <c r="N100" s="38" t="str">
        <f>IFERROR([1]!IntrinioBankFinancials(rssd_id,$S$2,N$5,N$4,$B100,"K"),"")</f>
        <v/>
      </c>
      <c r="O100" s="38" t="str">
        <f>IFERROR([1]!IntrinioBankFinancials(rssd_id,$S$2,O$5,O$4,$B100,"K"),"")</f>
        <v/>
      </c>
      <c r="P100" s="49" t="s">
        <v>1047</v>
      </c>
    </row>
    <row r="101" spans="1:16" x14ac:dyDescent="0.4">
      <c r="A101" s="39" t="s">
        <v>354</v>
      </c>
      <c r="B101" s="37" t="s">
        <v>1245</v>
      </c>
      <c r="C101" s="38" t="str">
        <f>IFERROR([1]!IntrinioBankFinancials(rssd_id,$S$2,C$5,C$4,$B101,"K"),"")</f>
        <v/>
      </c>
      <c r="D101" s="38" t="str">
        <f>IFERROR([1]!IntrinioBankFinancials(rssd_id,$S$2,D$5,D$4,$B101,"K"),"")</f>
        <v/>
      </c>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1048</v>
      </c>
    </row>
    <row r="102" spans="1:16" x14ac:dyDescent="0.4">
      <c r="A102" s="39" t="s">
        <v>2424</v>
      </c>
      <c r="B102" s="37" t="s">
        <v>1246</v>
      </c>
      <c r="C102" s="38" t="str">
        <f>IFERROR([1]!IntrinioBankFinancials(rssd_id,$S$2,C$5,C$4,$B102,"K"),"")</f>
        <v/>
      </c>
      <c r="D102" s="38" t="str">
        <f>IFERROR([1]!IntrinioBankFinancials(rssd_id,$S$2,D$5,D$4,$B102,"K"),"")</f>
        <v/>
      </c>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t="s">
        <v>1056</v>
      </c>
    </row>
    <row r="103" spans="1:16" x14ac:dyDescent="0.4">
      <c r="A103" s="39" t="s">
        <v>2425</v>
      </c>
      <c r="B103" s="37" t="s">
        <v>1247</v>
      </c>
      <c r="C103" s="38" t="str">
        <f>IFERROR([1]!IntrinioBankFinancials(rssd_id,$S$2,C$5,C$4,$B103,"K"),"")</f>
        <v/>
      </c>
      <c r="D103" s="38" t="str">
        <f>IFERROR([1]!IntrinioBankFinancials(rssd_id,$S$2,D$5,D$4,$B103,"K"),"")</f>
        <v/>
      </c>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1057</v>
      </c>
    </row>
    <row r="104" spans="1:16" x14ac:dyDescent="0.4">
      <c r="A104" s="39" t="s">
        <v>2426</v>
      </c>
      <c r="B104" s="37"/>
      <c r="C104" s="38" t="str">
        <f>IFERROR([1]!IntrinioBankFinancials(rssd_id,$S$2,C$5,C$4,$B104,"K"),"")</f>
        <v/>
      </c>
      <c r="D104" s="38" t="str">
        <f>IFERROR([1]!IntrinioBankFinancials(rssd_id,$S$2,D$5,D$4,$B104,"K"),"")</f>
        <v/>
      </c>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1062</v>
      </c>
    </row>
    <row r="105" spans="1:16" x14ac:dyDescent="0.4">
      <c r="A105" s="39" t="s">
        <v>378</v>
      </c>
      <c r="B105" s="37" t="s">
        <v>1248</v>
      </c>
      <c r="C105" s="38" t="str">
        <f>IFERROR([1]!IntrinioBankFinancials(rssd_id,$S$2,C$5,C$4,$B105,"K"),"")</f>
        <v/>
      </c>
      <c r="D105" s="38" t="str">
        <f>IFERROR([1]!IntrinioBankFinancials(rssd_id,$S$2,D$5,D$4,$B105,"K"),"")</f>
        <v/>
      </c>
      <c r="E105" s="38" t="str">
        <f>IFERROR([1]!IntrinioBankFinancials(rssd_id,$S$2,E$5,E$4,$B105,"K"),"")</f>
        <v/>
      </c>
      <c r="F105" s="38" t="str">
        <f>IFERROR([1]!IntrinioBankFinancials(rssd_id,$S$2,F$5,F$4,$B105,"K"),"")</f>
        <v/>
      </c>
      <c r="G105" s="38" t="str">
        <f>IFERROR([1]!IntrinioBankFinancials(rssd_id,$S$2,G$5,G$4,$B105,"K"),"")</f>
        <v/>
      </c>
      <c r="H105" s="38" t="str">
        <f>IFERROR([1]!IntrinioBankFinancials(rssd_id,$S$2,H$5,H$4,$B105,"K"),"")</f>
        <v/>
      </c>
      <c r="I105" s="38" t="str">
        <f>IFERROR([1]!IntrinioBankFinancials(rssd_id,$S$2,I$5,I$4,$B105,"K"),"")</f>
        <v/>
      </c>
      <c r="J105" s="38" t="str">
        <f>IFERROR([1]!IntrinioBankFinancials(rssd_id,$S$2,J$5,J$4,$B105,"K"),"")</f>
        <v/>
      </c>
      <c r="K105" s="38" t="str">
        <f>IFERROR([1]!IntrinioBankFinancials(rssd_id,$S$2,K$5,K$4,$B105,"K"),"")</f>
        <v/>
      </c>
      <c r="L105" s="38" t="str">
        <f>IFERROR([1]!IntrinioBankFinancials(rssd_id,$S$2,L$5,L$4,$B105,"K"),"")</f>
        <v/>
      </c>
      <c r="M105" s="38" t="str">
        <f>IFERROR([1]!IntrinioBankFinancials(rssd_id,$S$2,M$5,M$4,$B105,"K"),"")</f>
        <v/>
      </c>
      <c r="N105" s="38" t="str">
        <f>IFERROR([1]!IntrinioBankFinancials(rssd_id,$S$2,N$5,N$4,$B105,"K"),"")</f>
        <v/>
      </c>
      <c r="O105" s="38" t="str">
        <f>IFERROR([1]!IntrinioBankFinancials(rssd_id,$S$2,O$5,O$4,$B105,"K"),"")</f>
        <v/>
      </c>
      <c r="P105" s="49" t="s">
        <v>1156</v>
      </c>
    </row>
    <row r="106" spans="1:16" x14ac:dyDescent="0.4">
      <c r="A106" s="39" t="s">
        <v>382</v>
      </c>
      <c r="B106" s="37" t="s">
        <v>1249</v>
      </c>
      <c r="C106" s="38" t="str">
        <f>IFERROR([1]!IntrinioBankFinancials(rssd_id,$S$2,C$5,C$4,$B106,"K"),"")</f>
        <v/>
      </c>
      <c r="D106" s="38" t="str">
        <f>IFERROR([1]!IntrinioBankFinancials(rssd_id,$S$2,D$5,D$4,$B106,"K"),"")</f>
        <v/>
      </c>
      <c r="E106" s="38" t="str">
        <f>IFERROR([1]!IntrinioBankFinancials(rssd_id,$S$2,E$5,E$4,$B106,"K"),"")</f>
        <v/>
      </c>
      <c r="F106" s="38" t="str">
        <f>IFERROR([1]!IntrinioBankFinancials(rssd_id,$S$2,F$5,F$4,$B106,"K"),"")</f>
        <v/>
      </c>
      <c r="G106" s="38" t="str">
        <f>IFERROR([1]!IntrinioBankFinancials(rssd_id,$S$2,G$5,G$4,$B106,"K"),"")</f>
        <v/>
      </c>
      <c r="H106" s="38" t="str">
        <f>IFERROR([1]!IntrinioBankFinancials(rssd_id,$S$2,H$5,H$4,$B106,"K"),"")</f>
        <v/>
      </c>
      <c r="I106" s="38" t="str">
        <f>IFERROR([1]!IntrinioBankFinancials(rssd_id,$S$2,I$5,I$4,$B106,"K"),"")</f>
        <v/>
      </c>
      <c r="J106" s="38" t="str">
        <f>IFERROR([1]!IntrinioBankFinancials(rssd_id,$S$2,J$5,J$4,$B106,"K"),"")</f>
        <v/>
      </c>
      <c r="K106" s="38" t="str">
        <f>IFERROR([1]!IntrinioBankFinancials(rssd_id,$S$2,K$5,K$4,$B106,"K"),"")</f>
        <v/>
      </c>
      <c r="L106" s="38" t="str">
        <f>IFERROR([1]!IntrinioBankFinancials(rssd_id,$S$2,L$5,L$4,$B106,"K"),"")</f>
        <v/>
      </c>
      <c r="M106" s="38" t="str">
        <f>IFERROR([1]!IntrinioBankFinancials(rssd_id,$S$2,M$5,M$4,$B106,"K"),"")</f>
        <v/>
      </c>
      <c r="N106" s="38" t="str">
        <f>IFERROR([1]!IntrinioBankFinancials(rssd_id,$S$2,N$5,N$4,$B106,"K"),"")</f>
        <v/>
      </c>
      <c r="O106" s="38" t="str">
        <f>IFERROR([1]!IntrinioBankFinancials(rssd_id,$S$2,O$5,O$4,$B106,"K"),"")</f>
        <v/>
      </c>
      <c r="P106" s="49" t="s">
        <v>1157</v>
      </c>
    </row>
    <row r="107" spans="1:16" x14ac:dyDescent="0.4">
      <c r="A107" s="39" t="s">
        <v>2427</v>
      </c>
      <c r="B107" s="37"/>
      <c r="C107" s="38" t="str">
        <f>IFERROR([1]!IntrinioBankFinancials(rssd_id,$S$2,C$5,C$4,$B107,"K"),"")</f>
        <v/>
      </c>
      <c r="D107" s="38" t="str">
        <f>IFERROR([1]!IntrinioBankFinancials(rssd_id,$S$2,D$5,D$4,$B107,"K"),"")</f>
        <v/>
      </c>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t="s">
        <v>1159</v>
      </c>
    </row>
    <row r="108" spans="1:16" x14ac:dyDescent="0.4">
      <c r="A108" s="39" t="s">
        <v>1210</v>
      </c>
      <c r="B108" s="37" t="s">
        <v>2437</v>
      </c>
      <c r="C108" s="38" t="str">
        <f>IFERROR([1]!IntrinioBankFinancials(rssd_id,$S$2,C$5,C$4,$B108,"K"),"")</f>
        <v/>
      </c>
      <c r="D108" s="38" t="str">
        <f>IFERROR([1]!IntrinioBankFinancials(rssd_id,$S$2,D$5,D$4,$B108,"K"),"")</f>
        <v/>
      </c>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t="s">
        <v>1264</v>
      </c>
    </row>
    <row r="109" spans="1:16" x14ac:dyDescent="0.4">
      <c r="A109" s="39" t="s">
        <v>1211</v>
      </c>
      <c r="B109" s="37" t="s">
        <v>2438</v>
      </c>
      <c r="C109" s="38" t="str">
        <f>IFERROR([1]!IntrinioBankFinancials(rssd_id,$S$2,C$5,C$4,$B109,"K"),"")</f>
        <v/>
      </c>
      <c r="D109" s="38" t="str">
        <f>IFERROR([1]!IntrinioBankFinancials(rssd_id,$S$2,D$5,D$4,$B109,"K"),"")</f>
        <v/>
      </c>
      <c r="E109" s="38" t="str">
        <f>IFERROR([1]!IntrinioBankFinancials(rssd_id,$S$2,E$5,E$4,$B109,"K"),"")</f>
        <v/>
      </c>
      <c r="F109" s="38" t="str">
        <f>IFERROR([1]!IntrinioBankFinancials(rssd_id,$S$2,F$5,F$4,$B109,"K"),"")</f>
        <v/>
      </c>
      <c r="G109" s="38" t="str">
        <f>IFERROR([1]!IntrinioBankFinancials(rssd_id,$S$2,G$5,G$4,$B109,"K"),"")</f>
        <v/>
      </c>
      <c r="H109" s="38" t="str">
        <f>IFERROR([1]!IntrinioBankFinancials(rssd_id,$S$2,H$5,H$4,$B109,"K"),"")</f>
        <v/>
      </c>
      <c r="I109" s="38" t="str">
        <f>IFERROR([1]!IntrinioBankFinancials(rssd_id,$S$2,I$5,I$4,$B109,"K"),"")</f>
        <v/>
      </c>
      <c r="J109" s="38" t="str">
        <f>IFERROR([1]!IntrinioBankFinancials(rssd_id,$S$2,J$5,J$4,$B109,"K"),"")</f>
        <v/>
      </c>
      <c r="K109" s="38" t="str">
        <f>IFERROR([1]!IntrinioBankFinancials(rssd_id,$S$2,K$5,K$4,$B109,"K"),"")</f>
        <v/>
      </c>
      <c r="L109" s="38" t="str">
        <f>IFERROR([1]!IntrinioBankFinancials(rssd_id,$S$2,L$5,L$4,$B109,"K"),"")</f>
        <v/>
      </c>
      <c r="M109" s="38" t="str">
        <f>IFERROR([1]!IntrinioBankFinancials(rssd_id,$S$2,M$5,M$4,$B109,"K"),"")</f>
        <v/>
      </c>
      <c r="N109" s="38" t="str">
        <f>IFERROR([1]!IntrinioBankFinancials(rssd_id,$S$2,N$5,N$4,$B109,"K"),"")</f>
        <v/>
      </c>
      <c r="O109" s="38" t="str">
        <f>IFERROR([1]!IntrinioBankFinancials(rssd_id,$S$2,O$5,O$4,$B109,"K"),"")</f>
        <v/>
      </c>
      <c r="P109" s="49" t="s">
        <v>1265</v>
      </c>
    </row>
    <row r="110" spans="1:16" ht="28.5" x14ac:dyDescent="0.4">
      <c r="A110" s="39" t="s">
        <v>1212</v>
      </c>
      <c r="B110" s="37" t="s">
        <v>2439</v>
      </c>
      <c r="C110" s="38" t="str">
        <f>IFERROR([1]!IntrinioBankFinancials(rssd_id,$S$2,C$5,C$4,$B110,"K"),"")</f>
        <v/>
      </c>
      <c r="D110" s="38" t="str">
        <f>IFERROR([1]!IntrinioBankFinancials(rssd_id,$S$2,D$5,D$4,$B110,"K"),"")</f>
        <v/>
      </c>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t="s">
        <v>1160</v>
      </c>
    </row>
    <row r="111" spans="1:16" x14ac:dyDescent="0.4">
      <c r="A111" s="39" t="s">
        <v>2428</v>
      </c>
      <c r="B111" s="37" t="s">
        <v>1250</v>
      </c>
      <c r="C111" s="38" t="str">
        <f>IFERROR([1]!IntrinioBankFinancials(rssd_id,$S$2,C$5,C$4,$B111,"K"),"")</f>
        <v/>
      </c>
      <c r="D111" s="38" t="str">
        <f>IFERROR([1]!IntrinioBankFinancials(rssd_id,$S$2,D$5,D$4,$B111,"K"),"")</f>
        <v/>
      </c>
      <c r="E111" s="38" t="str">
        <f>IFERROR([1]!IntrinioBankFinancials(rssd_id,$S$2,E$5,E$4,$B111,"K"),"")</f>
        <v/>
      </c>
      <c r="F111" s="38" t="str">
        <f>IFERROR([1]!IntrinioBankFinancials(rssd_id,$S$2,F$5,F$4,$B111,"K"),"")</f>
        <v/>
      </c>
      <c r="G111" s="38" t="str">
        <f>IFERROR([1]!IntrinioBankFinancials(rssd_id,$S$2,G$5,G$4,$B111,"K"),"")</f>
        <v/>
      </c>
      <c r="H111" s="38" t="str">
        <f>IFERROR([1]!IntrinioBankFinancials(rssd_id,$S$2,H$5,H$4,$B111,"K"),"")</f>
        <v/>
      </c>
      <c r="I111" s="38" t="str">
        <f>IFERROR([1]!IntrinioBankFinancials(rssd_id,$S$2,I$5,I$4,$B111,"K"),"")</f>
        <v/>
      </c>
      <c r="J111" s="38" t="str">
        <f>IFERROR([1]!IntrinioBankFinancials(rssd_id,$S$2,J$5,J$4,$B111,"K"),"")</f>
        <v/>
      </c>
      <c r="K111" s="38" t="str">
        <f>IFERROR([1]!IntrinioBankFinancials(rssd_id,$S$2,K$5,K$4,$B111,"K"),"")</f>
        <v/>
      </c>
      <c r="L111" s="38" t="str">
        <f>IFERROR([1]!IntrinioBankFinancials(rssd_id,$S$2,L$5,L$4,$B111,"K"),"")</f>
        <v/>
      </c>
      <c r="M111" s="38" t="str">
        <f>IFERROR([1]!IntrinioBankFinancials(rssd_id,$S$2,M$5,M$4,$B111,"K"),"")</f>
        <v/>
      </c>
      <c r="N111" s="38" t="str">
        <f>IFERROR([1]!IntrinioBankFinancials(rssd_id,$S$2,N$5,N$4,$B111,"K"),"")</f>
        <v/>
      </c>
      <c r="O111" s="38" t="str">
        <f>IFERROR([1]!IntrinioBankFinancials(rssd_id,$S$2,O$5,O$4,$B111,"K"),"")</f>
        <v/>
      </c>
      <c r="P111" s="49" t="s">
        <v>1266</v>
      </c>
    </row>
    <row r="112" spans="1:16" x14ac:dyDescent="0.4">
      <c r="A112" s="39" t="s">
        <v>386</v>
      </c>
      <c r="B112" s="37" t="s">
        <v>2440</v>
      </c>
      <c r="C112" s="38" t="str">
        <f>IFERROR([1]!IntrinioBankFinancials(rssd_id,$S$2,C$5,C$4,$B112,"K"),"")</f>
        <v/>
      </c>
      <c r="D112" s="38" t="str">
        <f>IFERROR([1]!IntrinioBankFinancials(rssd_id,$S$2,D$5,D$4,$B112,"K"),"")</f>
        <v/>
      </c>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1267</v>
      </c>
    </row>
    <row r="113" spans="1:16" x14ac:dyDescent="0.4">
      <c r="A113" s="39" t="s">
        <v>1200</v>
      </c>
      <c r="B113" s="37" t="s">
        <v>2441</v>
      </c>
      <c r="C113" s="38" t="str">
        <f>IFERROR([1]!IntrinioBankFinancials(rssd_id,$S$2,C$5,C$4,$B113,"K"),"")</f>
        <v/>
      </c>
      <c r="D113" s="38" t="str">
        <f>IFERROR([1]!IntrinioBankFinancials(rssd_id,$S$2,D$5,D$4,$B113,"K"),"")</f>
        <v/>
      </c>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t="s">
        <v>1268</v>
      </c>
    </row>
    <row r="114" spans="1:16" x14ac:dyDescent="0.4">
      <c r="A114" s="39" t="s">
        <v>1213</v>
      </c>
      <c r="B114" s="37"/>
      <c r="C114" s="38" t="str">
        <f>IFERROR([1]!IntrinioBankFinancials(rssd_id,$S$2,C$5,C$4,$B114,"K"),"")</f>
        <v/>
      </c>
      <c r="D114" s="38" t="str">
        <f>IFERROR([1]!IntrinioBankFinancials(rssd_id,$S$2,D$5,D$4,$B114,"K"),"")</f>
        <v/>
      </c>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t="s">
        <v>1269</v>
      </c>
    </row>
    <row r="115" spans="1:16" x14ac:dyDescent="0.4">
      <c r="A115" s="39" t="s">
        <v>41</v>
      </c>
      <c r="B115" s="37" t="s">
        <v>2442</v>
      </c>
      <c r="C115" s="38" t="str">
        <f>IFERROR([1]!IntrinioBankFinancials(rssd_id,$S$2,C$5,C$4,$B115,"K"),"")</f>
        <v/>
      </c>
      <c r="D115" s="38" t="str">
        <f>IFERROR([1]!IntrinioBankFinancials(rssd_id,$S$2,D$5,D$4,$B115,"K"),"")</f>
        <v/>
      </c>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t="s">
        <v>1270</v>
      </c>
    </row>
    <row r="116" spans="1:16" x14ac:dyDescent="0.4">
      <c r="A116" s="39" t="s">
        <v>393</v>
      </c>
      <c r="B116" s="37" t="s">
        <v>2443</v>
      </c>
      <c r="C116" s="38" t="str">
        <f>IFERROR([1]!IntrinioBankFinancials(rssd_id,$S$2,C$5,C$4,$B116,"K"),"")</f>
        <v/>
      </c>
      <c r="D116" s="38" t="str">
        <f>IFERROR([1]!IntrinioBankFinancials(rssd_id,$S$2,D$5,D$4,$B116,"K"),"")</f>
        <v/>
      </c>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t="s">
        <v>1271</v>
      </c>
    </row>
    <row r="117" spans="1:16" ht="28.5" x14ac:dyDescent="0.4">
      <c r="A117" s="39" t="s">
        <v>435</v>
      </c>
      <c r="B117" s="37" t="s">
        <v>2444</v>
      </c>
      <c r="C117" s="38" t="str">
        <f>IFERROR([1]!IntrinioBankFinancials(rssd_id,$S$2,C$5,C$4,$B117,"K"),"")</f>
        <v/>
      </c>
      <c r="D117" s="38" t="str">
        <f>IFERROR([1]!IntrinioBankFinancials(rssd_id,$S$2,D$5,D$4,$B117,"K"),"")</f>
        <v/>
      </c>
      <c r="E117" s="38" t="str">
        <f>IFERROR([1]!IntrinioBankFinancials(rssd_id,$S$2,E$5,E$4,$B117,"K"),"")</f>
        <v/>
      </c>
      <c r="F117" s="38" t="str">
        <f>IFERROR([1]!IntrinioBankFinancials(rssd_id,$S$2,F$5,F$4,$B117,"K"),"")</f>
        <v/>
      </c>
      <c r="G117" s="38" t="str">
        <f>IFERROR([1]!IntrinioBankFinancials(rssd_id,$S$2,G$5,G$4,$B117,"K"),"")</f>
        <v/>
      </c>
      <c r="H117" s="38" t="str">
        <f>IFERROR([1]!IntrinioBankFinancials(rssd_id,$S$2,H$5,H$4,$B117,"K"),"")</f>
        <v/>
      </c>
      <c r="I117" s="38" t="str">
        <f>IFERROR([1]!IntrinioBankFinancials(rssd_id,$S$2,I$5,I$4,$B117,"K"),"")</f>
        <v/>
      </c>
      <c r="J117" s="38" t="str">
        <f>IFERROR([1]!IntrinioBankFinancials(rssd_id,$S$2,J$5,J$4,$B117,"K"),"")</f>
        <v/>
      </c>
      <c r="K117" s="38" t="str">
        <f>IFERROR([1]!IntrinioBankFinancials(rssd_id,$S$2,K$5,K$4,$B117,"K"),"")</f>
        <v/>
      </c>
      <c r="L117" s="38" t="str">
        <f>IFERROR([1]!IntrinioBankFinancials(rssd_id,$S$2,L$5,L$4,$B117,"K"),"")</f>
        <v/>
      </c>
      <c r="M117" s="38" t="str">
        <f>IFERROR([1]!IntrinioBankFinancials(rssd_id,$S$2,M$5,M$4,$B117,"K"),"")</f>
        <v/>
      </c>
      <c r="N117" s="38" t="str">
        <f>IFERROR([1]!IntrinioBankFinancials(rssd_id,$S$2,N$5,N$4,$B117,"K"),"")</f>
        <v/>
      </c>
      <c r="O117" s="38" t="str">
        <f>IFERROR([1]!IntrinioBankFinancials(rssd_id,$S$2,O$5,O$4,$B117,"K"),"")</f>
        <v/>
      </c>
      <c r="P117" s="49" t="s">
        <v>1272</v>
      </c>
    </row>
    <row r="118" spans="1:16" x14ac:dyDescent="0.4">
      <c r="A118" s="39" t="s">
        <v>1214</v>
      </c>
      <c r="B118" s="37" t="s">
        <v>2445</v>
      </c>
      <c r="C118" s="38" t="str">
        <f>IFERROR([1]!IntrinioBankFinancials(rssd_id,$S$2,C$5,C$4,$B118,"K"),"")</f>
        <v/>
      </c>
      <c r="D118" s="38" t="str">
        <f>IFERROR([1]!IntrinioBankFinancials(rssd_id,$S$2,D$5,D$4,$B118,"K"),"")</f>
        <v/>
      </c>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1273</v>
      </c>
    </row>
    <row r="119" spans="1:16" x14ac:dyDescent="0.4">
      <c r="A119" s="39" t="s">
        <v>1215</v>
      </c>
      <c r="B119" s="37" t="s">
        <v>2446</v>
      </c>
      <c r="C119" s="38" t="str">
        <f>IFERROR([1]!IntrinioBankFinancials(rssd_id,$S$2,C$5,C$4,$B119,"K"),"")</f>
        <v/>
      </c>
      <c r="D119" s="38" t="str">
        <f>IFERROR([1]!IntrinioBankFinancials(rssd_id,$S$2,D$5,D$4,$B119,"K"),"")</f>
        <v/>
      </c>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1274</v>
      </c>
    </row>
    <row r="120" spans="1:16" x14ac:dyDescent="0.4">
      <c r="A120" s="39" t="s">
        <v>2429</v>
      </c>
      <c r="B120" s="37" t="s">
        <v>2447</v>
      </c>
      <c r="C120" s="38" t="str">
        <f>IFERROR([1]!IntrinioBankFinancials(rssd_id,$S$2,C$5,C$4,$B120,"K"),"")</f>
        <v/>
      </c>
      <c r="D120" s="38" t="str">
        <f>IFERROR([1]!IntrinioBankFinancials(rssd_id,$S$2,D$5,D$4,$B120,"K"),"")</f>
        <v/>
      </c>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t="s">
        <v>2458</v>
      </c>
    </row>
    <row r="121" spans="1:16" ht="28.5" x14ac:dyDescent="0.4">
      <c r="A121" s="39" t="s">
        <v>1216</v>
      </c>
      <c r="B121" s="37"/>
      <c r="C121" s="38" t="str">
        <f>IFERROR([1]!IntrinioBankFinancials(rssd_id,$S$2,C$5,C$4,$B121,"K"),"")</f>
        <v/>
      </c>
      <c r="D121" s="38" t="str">
        <f>IFERROR([1]!IntrinioBankFinancials(rssd_id,$S$2,D$5,D$4,$B121,"K"),"")</f>
        <v/>
      </c>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t="s">
        <v>213</v>
      </c>
    </row>
    <row r="122" spans="1:16" ht="42.75" x14ac:dyDescent="0.4">
      <c r="A122" s="39" t="s">
        <v>2430</v>
      </c>
      <c r="B122" s="37"/>
      <c r="C122" s="38" t="str">
        <f>IFERROR([1]!IntrinioBankFinancials(rssd_id,$S$2,C$5,C$4,$B122,"K"),"")</f>
        <v/>
      </c>
      <c r="D122" s="38" t="str">
        <f>IFERROR([1]!IntrinioBankFinancials(rssd_id,$S$2,D$5,D$4,$B122,"K"),"")</f>
        <v/>
      </c>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t="s">
        <v>414</v>
      </c>
    </row>
    <row r="123" spans="1:16" x14ac:dyDescent="0.4">
      <c r="A123" s="39" t="s">
        <v>797</v>
      </c>
      <c r="B123" s="37" t="s">
        <v>1251</v>
      </c>
      <c r="C123" s="38" t="str">
        <f>IFERROR([1]!IntrinioBankFinancials(rssd_id,$S$2,C$5,C$4,$B123,"K"),"")</f>
        <v/>
      </c>
      <c r="D123" s="38" t="str">
        <f>IFERROR([1]!IntrinioBankFinancials(rssd_id,$S$2,D$5,D$4,$B123,"K"),"")</f>
        <v/>
      </c>
      <c r="E123" s="38" t="str">
        <f>IFERROR([1]!IntrinioBankFinancials(rssd_id,$S$2,E$5,E$4,$B123,"K"),"")</f>
        <v/>
      </c>
      <c r="F123" s="38" t="str">
        <f>IFERROR([1]!IntrinioBankFinancials(rssd_id,$S$2,F$5,F$4,$B123,"K"),"")</f>
        <v/>
      </c>
      <c r="G123" s="38" t="str">
        <f>IFERROR([1]!IntrinioBankFinancials(rssd_id,$S$2,G$5,G$4,$B123,"K"),"")</f>
        <v/>
      </c>
      <c r="H123" s="38" t="str">
        <f>IFERROR([1]!IntrinioBankFinancials(rssd_id,$S$2,H$5,H$4,$B123,"K"),"")</f>
        <v/>
      </c>
      <c r="I123" s="38" t="str">
        <f>IFERROR([1]!IntrinioBankFinancials(rssd_id,$S$2,I$5,I$4,$B123,"K"),"")</f>
        <v/>
      </c>
      <c r="J123" s="38" t="str">
        <f>IFERROR([1]!IntrinioBankFinancials(rssd_id,$S$2,J$5,J$4,$B123,"K"),"")</f>
        <v/>
      </c>
      <c r="K123" s="38" t="str">
        <f>IFERROR([1]!IntrinioBankFinancials(rssd_id,$S$2,K$5,K$4,$B123,"K"),"")</f>
        <v/>
      </c>
      <c r="L123" s="38" t="str">
        <f>IFERROR([1]!IntrinioBankFinancials(rssd_id,$S$2,L$5,L$4,$B123,"K"),"")</f>
        <v/>
      </c>
      <c r="M123" s="38" t="str">
        <f>IFERROR([1]!IntrinioBankFinancials(rssd_id,$S$2,M$5,M$4,$B123,"K"),"")</f>
        <v/>
      </c>
      <c r="N123" s="38" t="str">
        <f>IFERROR([1]!IntrinioBankFinancials(rssd_id,$S$2,N$5,N$4,$B123,"K"),"")</f>
        <v/>
      </c>
      <c r="O123" s="38" t="str">
        <f>IFERROR([1]!IntrinioBankFinancials(rssd_id,$S$2,O$5,O$4,$B123,"K"),"")</f>
        <v/>
      </c>
      <c r="P123" s="49" t="s">
        <v>799</v>
      </c>
    </row>
    <row r="124" spans="1:16" x14ac:dyDescent="0.4">
      <c r="A124" s="39" t="s">
        <v>800</v>
      </c>
      <c r="B124" s="37" t="s">
        <v>1252</v>
      </c>
      <c r="C124" s="38" t="str">
        <f>IFERROR([1]!IntrinioBankFinancials(rssd_id,$S$2,C$5,C$4,$B124,"K"),"")</f>
        <v/>
      </c>
      <c r="D124" s="38" t="str">
        <f>IFERROR([1]!IntrinioBankFinancials(rssd_id,$S$2,D$5,D$4,$B124,"K"),"")</f>
        <v/>
      </c>
      <c r="E124" s="38" t="str">
        <f>IFERROR([1]!IntrinioBankFinancials(rssd_id,$S$2,E$5,E$4,$B124,"K"),"")</f>
        <v/>
      </c>
      <c r="F124" s="38" t="str">
        <f>IFERROR([1]!IntrinioBankFinancials(rssd_id,$S$2,F$5,F$4,$B124,"K"),"")</f>
        <v/>
      </c>
      <c r="G124" s="38" t="str">
        <f>IFERROR([1]!IntrinioBankFinancials(rssd_id,$S$2,G$5,G$4,$B124,"K"),"")</f>
        <v/>
      </c>
      <c r="H124" s="38" t="str">
        <f>IFERROR([1]!IntrinioBankFinancials(rssd_id,$S$2,H$5,H$4,$B124,"K"),"")</f>
        <v/>
      </c>
      <c r="I124" s="38" t="str">
        <f>IFERROR([1]!IntrinioBankFinancials(rssd_id,$S$2,I$5,I$4,$B124,"K"),"")</f>
        <v/>
      </c>
      <c r="J124" s="38" t="str">
        <f>IFERROR([1]!IntrinioBankFinancials(rssd_id,$S$2,J$5,J$4,$B124,"K"),"")</f>
        <v/>
      </c>
      <c r="K124" s="38" t="str">
        <f>IFERROR([1]!IntrinioBankFinancials(rssd_id,$S$2,K$5,K$4,$B124,"K"),"")</f>
        <v/>
      </c>
      <c r="L124" s="38" t="str">
        <f>IFERROR([1]!IntrinioBankFinancials(rssd_id,$S$2,L$5,L$4,$B124,"K"),"")</f>
        <v/>
      </c>
      <c r="M124" s="38" t="str">
        <f>IFERROR([1]!IntrinioBankFinancials(rssd_id,$S$2,M$5,M$4,$B124,"K"),"")</f>
        <v/>
      </c>
      <c r="N124" s="38" t="str">
        <f>IFERROR([1]!IntrinioBankFinancials(rssd_id,$S$2,N$5,N$4,$B124,"K"),"")</f>
        <v/>
      </c>
      <c r="O124" s="38" t="str">
        <f>IFERROR([1]!IntrinioBankFinancials(rssd_id,$S$2,O$5,O$4,$B124,"K"),"")</f>
        <v/>
      </c>
      <c r="P124" s="49" t="s">
        <v>802</v>
      </c>
    </row>
    <row r="125" spans="1:16" x14ac:dyDescent="0.4">
      <c r="A125" s="39" t="s">
        <v>803</v>
      </c>
      <c r="B125" s="37" t="s">
        <v>1253</v>
      </c>
      <c r="C125" s="38" t="str">
        <f>IFERROR([1]!IntrinioBankFinancials(rssd_id,$S$2,C$5,C$4,$B125,"K"),"")</f>
        <v/>
      </c>
      <c r="D125" s="38" t="str">
        <f>IFERROR([1]!IntrinioBankFinancials(rssd_id,$S$2,D$5,D$4,$B125,"K"),"")</f>
        <v/>
      </c>
      <c r="E125" s="38" t="str">
        <f>IFERROR([1]!IntrinioBankFinancials(rssd_id,$S$2,E$5,E$4,$B125,"K"),"")</f>
        <v/>
      </c>
      <c r="F125" s="38" t="str">
        <f>IFERROR([1]!IntrinioBankFinancials(rssd_id,$S$2,F$5,F$4,$B125,"K"),"")</f>
        <v/>
      </c>
      <c r="G125" s="38" t="str">
        <f>IFERROR([1]!IntrinioBankFinancials(rssd_id,$S$2,G$5,G$4,$B125,"K"),"")</f>
        <v/>
      </c>
      <c r="H125" s="38" t="str">
        <f>IFERROR([1]!IntrinioBankFinancials(rssd_id,$S$2,H$5,H$4,$B125,"K"),"")</f>
        <v/>
      </c>
      <c r="I125" s="38" t="str">
        <f>IFERROR([1]!IntrinioBankFinancials(rssd_id,$S$2,I$5,I$4,$B125,"K"),"")</f>
        <v/>
      </c>
      <c r="J125" s="38" t="str">
        <f>IFERROR([1]!IntrinioBankFinancials(rssd_id,$S$2,J$5,J$4,$B125,"K"),"")</f>
        <v/>
      </c>
      <c r="K125" s="38" t="str">
        <f>IFERROR([1]!IntrinioBankFinancials(rssd_id,$S$2,K$5,K$4,$B125,"K"),"")</f>
        <v/>
      </c>
      <c r="L125" s="38" t="str">
        <f>IFERROR([1]!IntrinioBankFinancials(rssd_id,$S$2,L$5,L$4,$B125,"K"),"")</f>
        <v/>
      </c>
      <c r="M125" s="38" t="str">
        <f>IFERROR([1]!IntrinioBankFinancials(rssd_id,$S$2,M$5,M$4,$B125,"K"),"")</f>
        <v/>
      </c>
      <c r="N125" s="38" t="str">
        <f>IFERROR([1]!IntrinioBankFinancials(rssd_id,$S$2,N$5,N$4,$B125,"K"),"")</f>
        <v/>
      </c>
      <c r="O125" s="38" t="str">
        <f>IFERROR([1]!IntrinioBankFinancials(rssd_id,$S$2,O$5,O$4,$B125,"K"),"")</f>
        <v/>
      </c>
      <c r="P125" s="49" t="s">
        <v>805</v>
      </c>
    </row>
    <row r="126" spans="1:16" x14ac:dyDescent="0.4">
      <c r="A126" s="39" t="s">
        <v>806</v>
      </c>
      <c r="B126" s="37" t="s">
        <v>1254</v>
      </c>
      <c r="C126" s="38" t="str">
        <f>IFERROR([1]!IntrinioBankFinancials(rssd_id,$S$2,C$5,C$4,$B126,"K"),"")</f>
        <v/>
      </c>
      <c r="D126" s="38" t="str">
        <f>IFERROR([1]!IntrinioBankFinancials(rssd_id,$S$2,D$5,D$4,$B126,"K"),"")</f>
        <v/>
      </c>
      <c r="E126" s="38" t="str">
        <f>IFERROR([1]!IntrinioBankFinancials(rssd_id,$S$2,E$5,E$4,$B126,"K"),"")</f>
        <v/>
      </c>
      <c r="F126" s="38" t="str">
        <f>IFERROR([1]!IntrinioBankFinancials(rssd_id,$S$2,F$5,F$4,$B126,"K"),"")</f>
        <v/>
      </c>
      <c r="G126" s="38" t="str">
        <f>IFERROR([1]!IntrinioBankFinancials(rssd_id,$S$2,G$5,G$4,$B126,"K"),"")</f>
        <v/>
      </c>
      <c r="H126" s="38" t="str">
        <f>IFERROR([1]!IntrinioBankFinancials(rssd_id,$S$2,H$5,H$4,$B126,"K"),"")</f>
        <v/>
      </c>
      <c r="I126" s="38" t="str">
        <f>IFERROR([1]!IntrinioBankFinancials(rssd_id,$S$2,I$5,I$4,$B126,"K"),"")</f>
        <v/>
      </c>
      <c r="J126" s="38" t="str">
        <f>IFERROR([1]!IntrinioBankFinancials(rssd_id,$S$2,J$5,J$4,$B126,"K"),"")</f>
        <v/>
      </c>
      <c r="K126" s="38" t="str">
        <f>IFERROR([1]!IntrinioBankFinancials(rssd_id,$S$2,K$5,K$4,$B126,"K"),"")</f>
        <v/>
      </c>
      <c r="L126" s="38" t="str">
        <f>IFERROR([1]!IntrinioBankFinancials(rssd_id,$S$2,L$5,L$4,$B126,"K"),"")</f>
        <v/>
      </c>
      <c r="M126" s="38" t="str">
        <f>IFERROR([1]!IntrinioBankFinancials(rssd_id,$S$2,M$5,M$4,$B126,"K"),"")</f>
        <v/>
      </c>
      <c r="N126" s="38" t="str">
        <f>IFERROR([1]!IntrinioBankFinancials(rssd_id,$S$2,N$5,N$4,$B126,"K"),"")</f>
        <v/>
      </c>
      <c r="O126" s="38" t="str">
        <f>IFERROR([1]!IntrinioBankFinancials(rssd_id,$S$2,O$5,O$4,$B126,"K"),"")</f>
        <v/>
      </c>
      <c r="P126" s="49" t="s">
        <v>808</v>
      </c>
    </row>
    <row r="127" spans="1:16" x14ac:dyDescent="0.4">
      <c r="A127" s="39" t="s">
        <v>809</v>
      </c>
      <c r="B127" s="37" t="s">
        <v>1255</v>
      </c>
      <c r="C127" s="38" t="str">
        <f>IFERROR([1]!IntrinioBankFinancials(rssd_id,$S$2,C$5,C$4,$B127,"K"),"")</f>
        <v/>
      </c>
      <c r="D127" s="38" t="str">
        <f>IFERROR([1]!IntrinioBankFinancials(rssd_id,$S$2,D$5,D$4,$B127,"K"),"")</f>
        <v/>
      </c>
      <c r="E127" s="38" t="str">
        <f>IFERROR([1]!IntrinioBankFinancials(rssd_id,$S$2,E$5,E$4,$B127,"K"),"")</f>
        <v/>
      </c>
      <c r="F127" s="38" t="str">
        <f>IFERROR([1]!IntrinioBankFinancials(rssd_id,$S$2,F$5,F$4,$B127,"K"),"")</f>
        <v/>
      </c>
      <c r="G127" s="38" t="str">
        <f>IFERROR([1]!IntrinioBankFinancials(rssd_id,$S$2,G$5,G$4,$B127,"K"),"")</f>
        <v/>
      </c>
      <c r="H127" s="38" t="str">
        <f>IFERROR([1]!IntrinioBankFinancials(rssd_id,$S$2,H$5,H$4,$B127,"K"),"")</f>
        <v/>
      </c>
      <c r="I127" s="38" t="str">
        <f>IFERROR([1]!IntrinioBankFinancials(rssd_id,$S$2,I$5,I$4,$B127,"K"),"")</f>
        <v/>
      </c>
      <c r="J127" s="38" t="str">
        <f>IFERROR([1]!IntrinioBankFinancials(rssd_id,$S$2,J$5,J$4,$B127,"K"),"")</f>
        <v/>
      </c>
      <c r="K127" s="38" t="str">
        <f>IFERROR([1]!IntrinioBankFinancials(rssd_id,$S$2,K$5,K$4,$B127,"K"),"")</f>
        <v/>
      </c>
      <c r="L127" s="38" t="str">
        <f>IFERROR([1]!IntrinioBankFinancials(rssd_id,$S$2,L$5,L$4,$B127,"K"),"")</f>
        <v/>
      </c>
      <c r="M127" s="38" t="str">
        <f>IFERROR([1]!IntrinioBankFinancials(rssd_id,$S$2,M$5,M$4,$B127,"K"),"")</f>
        <v/>
      </c>
      <c r="N127" s="38" t="str">
        <f>IFERROR([1]!IntrinioBankFinancials(rssd_id,$S$2,N$5,N$4,$B127,"K"),"")</f>
        <v/>
      </c>
      <c r="O127" s="38" t="str">
        <f>IFERROR([1]!IntrinioBankFinancials(rssd_id,$S$2,O$5,O$4,$B127,"K"),"")</f>
        <v/>
      </c>
      <c r="P127" s="49" t="s">
        <v>811</v>
      </c>
    </row>
    <row r="128" spans="1:16" x14ac:dyDescent="0.4">
      <c r="A128" s="39" t="s">
        <v>812</v>
      </c>
      <c r="B128" s="37" t="s">
        <v>1256</v>
      </c>
      <c r="C128" s="38" t="str">
        <f>IFERROR([1]!IntrinioBankFinancials(rssd_id,$S$2,C$5,C$4,$B128,"K"),"")</f>
        <v/>
      </c>
      <c r="D128" s="38" t="str">
        <f>IFERROR([1]!IntrinioBankFinancials(rssd_id,$S$2,D$5,D$4,$B128,"K"),"")</f>
        <v/>
      </c>
      <c r="E128" s="38" t="str">
        <f>IFERROR([1]!IntrinioBankFinancials(rssd_id,$S$2,E$5,E$4,$B128,"K"),"")</f>
        <v/>
      </c>
      <c r="F128" s="38" t="str">
        <f>IFERROR([1]!IntrinioBankFinancials(rssd_id,$S$2,F$5,F$4,$B128,"K"),"")</f>
        <v/>
      </c>
      <c r="G128" s="38" t="str">
        <f>IFERROR([1]!IntrinioBankFinancials(rssd_id,$S$2,G$5,G$4,$B128,"K"),"")</f>
        <v/>
      </c>
      <c r="H128" s="38" t="str">
        <f>IFERROR([1]!IntrinioBankFinancials(rssd_id,$S$2,H$5,H$4,$B128,"K"),"")</f>
        <v/>
      </c>
      <c r="I128" s="38" t="str">
        <f>IFERROR([1]!IntrinioBankFinancials(rssd_id,$S$2,I$5,I$4,$B128,"K"),"")</f>
        <v/>
      </c>
      <c r="J128" s="38" t="str">
        <f>IFERROR([1]!IntrinioBankFinancials(rssd_id,$S$2,J$5,J$4,$B128,"K"),"")</f>
        <v/>
      </c>
      <c r="K128" s="38" t="str">
        <f>IFERROR([1]!IntrinioBankFinancials(rssd_id,$S$2,K$5,K$4,$B128,"K"),"")</f>
        <v/>
      </c>
      <c r="L128" s="38" t="str">
        <f>IFERROR([1]!IntrinioBankFinancials(rssd_id,$S$2,L$5,L$4,$B128,"K"),"")</f>
        <v/>
      </c>
      <c r="M128" s="38" t="str">
        <f>IFERROR([1]!IntrinioBankFinancials(rssd_id,$S$2,M$5,M$4,$B128,"K"),"")</f>
        <v/>
      </c>
      <c r="N128" s="38" t="str">
        <f>IFERROR([1]!IntrinioBankFinancials(rssd_id,$S$2,N$5,N$4,$B128,"K"),"")</f>
        <v/>
      </c>
      <c r="O128" s="38" t="str">
        <f>IFERROR([1]!IntrinioBankFinancials(rssd_id,$S$2,O$5,O$4,$B128,"K"),"")</f>
        <v/>
      </c>
      <c r="P128" s="49" t="s">
        <v>814</v>
      </c>
    </row>
    <row r="129" spans="1:16" ht="57" x14ac:dyDescent="0.4">
      <c r="A129" s="39" t="s">
        <v>2431</v>
      </c>
      <c r="B129" s="37"/>
      <c r="C129" s="38" t="str">
        <f>IFERROR([1]!IntrinioBankFinancials(rssd_id,$S$2,C$5,C$4,$B129,"K"),"")</f>
        <v/>
      </c>
      <c r="D129" s="38" t="str">
        <f>IFERROR([1]!IntrinioBankFinancials(rssd_id,$S$2,D$5,D$4,$B129,"K"),"")</f>
        <v/>
      </c>
      <c r="E129" s="38" t="str">
        <f>IFERROR([1]!IntrinioBankFinancials(rssd_id,$S$2,E$5,E$4,$B129,"K"),"")</f>
        <v/>
      </c>
      <c r="F129" s="38" t="str">
        <f>IFERROR([1]!IntrinioBankFinancials(rssd_id,$S$2,F$5,F$4,$B129,"K"),"")</f>
        <v/>
      </c>
      <c r="G129" s="38" t="str">
        <f>IFERROR([1]!IntrinioBankFinancials(rssd_id,$S$2,G$5,G$4,$B129,"K"),"")</f>
        <v/>
      </c>
      <c r="H129" s="38" t="str">
        <f>IFERROR([1]!IntrinioBankFinancials(rssd_id,$S$2,H$5,H$4,$B129,"K"),"")</f>
        <v/>
      </c>
      <c r="I129" s="38" t="str">
        <f>IFERROR([1]!IntrinioBankFinancials(rssd_id,$S$2,I$5,I$4,$B129,"K"),"")</f>
        <v/>
      </c>
      <c r="J129" s="38" t="str">
        <f>IFERROR([1]!IntrinioBankFinancials(rssd_id,$S$2,J$5,J$4,$B129,"K"),"")</f>
        <v/>
      </c>
      <c r="K129" s="38" t="str">
        <f>IFERROR([1]!IntrinioBankFinancials(rssd_id,$S$2,K$5,K$4,$B129,"K"),"")</f>
        <v/>
      </c>
      <c r="L129" s="38" t="str">
        <f>IFERROR([1]!IntrinioBankFinancials(rssd_id,$S$2,L$5,L$4,$B129,"K"),"")</f>
        <v/>
      </c>
      <c r="M129" s="38" t="str">
        <f>IFERROR([1]!IntrinioBankFinancials(rssd_id,$S$2,M$5,M$4,$B129,"K"),"")</f>
        <v/>
      </c>
      <c r="N129" s="38" t="str">
        <f>IFERROR([1]!IntrinioBankFinancials(rssd_id,$S$2,N$5,N$4,$B129,"K"),"")</f>
        <v/>
      </c>
      <c r="O129" s="38" t="str">
        <f>IFERROR([1]!IntrinioBankFinancials(rssd_id,$S$2,O$5,O$4,$B129,"K"),"")</f>
        <v/>
      </c>
      <c r="P129" s="49" t="s">
        <v>417</v>
      </c>
    </row>
    <row r="130" spans="1:16" x14ac:dyDescent="0.4">
      <c r="A130" s="39" t="s">
        <v>797</v>
      </c>
      <c r="B130" s="37" t="s">
        <v>2448</v>
      </c>
      <c r="C130" s="38" t="str">
        <f>IFERROR([1]!IntrinioBankFinancials(rssd_id,$S$2,C$5,C$4,$B130,"K"),"")</f>
        <v/>
      </c>
      <c r="D130" s="38" t="str">
        <f>IFERROR([1]!IntrinioBankFinancials(rssd_id,$S$2,D$5,D$4,$B130,"K"),"")</f>
        <v/>
      </c>
      <c r="E130" s="38" t="str">
        <f>IFERROR([1]!IntrinioBankFinancials(rssd_id,$S$2,E$5,E$4,$B130,"K"),"")</f>
        <v/>
      </c>
      <c r="F130" s="38" t="str">
        <f>IFERROR([1]!IntrinioBankFinancials(rssd_id,$S$2,F$5,F$4,$B130,"K"),"")</f>
        <v/>
      </c>
      <c r="G130" s="38" t="str">
        <f>IFERROR([1]!IntrinioBankFinancials(rssd_id,$S$2,G$5,G$4,$B130,"K"),"")</f>
        <v/>
      </c>
      <c r="H130" s="38" t="str">
        <f>IFERROR([1]!IntrinioBankFinancials(rssd_id,$S$2,H$5,H$4,$B130,"K"),"")</f>
        <v/>
      </c>
      <c r="I130" s="38" t="str">
        <f>IFERROR([1]!IntrinioBankFinancials(rssd_id,$S$2,I$5,I$4,$B130,"K"),"")</f>
        <v/>
      </c>
      <c r="J130" s="38" t="str">
        <f>IFERROR([1]!IntrinioBankFinancials(rssd_id,$S$2,J$5,J$4,$B130,"K"),"")</f>
        <v/>
      </c>
      <c r="K130" s="38" t="str">
        <f>IFERROR([1]!IntrinioBankFinancials(rssd_id,$S$2,K$5,K$4,$B130,"K"),"")</f>
        <v/>
      </c>
      <c r="L130" s="38" t="str">
        <f>IFERROR([1]!IntrinioBankFinancials(rssd_id,$S$2,L$5,L$4,$B130,"K"),"")</f>
        <v/>
      </c>
      <c r="M130" s="38" t="str">
        <f>IFERROR([1]!IntrinioBankFinancials(rssd_id,$S$2,M$5,M$4,$B130,"K"),"")</f>
        <v/>
      </c>
      <c r="N130" s="38" t="str">
        <f>IFERROR([1]!IntrinioBankFinancials(rssd_id,$S$2,N$5,N$4,$B130,"K"),"")</f>
        <v/>
      </c>
      <c r="O130" s="38" t="str">
        <f>IFERROR([1]!IntrinioBankFinancials(rssd_id,$S$2,O$5,O$4,$B130,"K"),"")</f>
        <v/>
      </c>
      <c r="P130" s="49" t="s">
        <v>816</v>
      </c>
    </row>
    <row r="131" spans="1:16" x14ac:dyDescent="0.4">
      <c r="A131" s="39" t="s">
        <v>800</v>
      </c>
      <c r="B131" s="37" t="s">
        <v>2449</v>
      </c>
      <c r="C131" s="38" t="str">
        <f>IFERROR([1]!IntrinioBankFinancials(rssd_id,$S$2,C$5,C$4,$B131,"K"),"")</f>
        <v/>
      </c>
      <c r="D131" s="38" t="str">
        <f>IFERROR([1]!IntrinioBankFinancials(rssd_id,$S$2,D$5,D$4,$B131,"K"),"")</f>
        <v/>
      </c>
      <c r="E131" s="38" t="str">
        <f>IFERROR([1]!IntrinioBankFinancials(rssd_id,$S$2,E$5,E$4,$B131,"K"),"")</f>
        <v/>
      </c>
      <c r="F131" s="38" t="str">
        <f>IFERROR([1]!IntrinioBankFinancials(rssd_id,$S$2,F$5,F$4,$B131,"K"),"")</f>
        <v/>
      </c>
      <c r="G131" s="38" t="str">
        <f>IFERROR([1]!IntrinioBankFinancials(rssd_id,$S$2,G$5,G$4,$B131,"K"),"")</f>
        <v/>
      </c>
      <c r="H131" s="38" t="str">
        <f>IFERROR([1]!IntrinioBankFinancials(rssd_id,$S$2,H$5,H$4,$B131,"K"),"")</f>
        <v/>
      </c>
      <c r="I131" s="38" t="str">
        <f>IFERROR([1]!IntrinioBankFinancials(rssd_id,$S$2,I$5,I$4,$B131,"K"),"")</f>
        <v/>
      </c>
      <c r="J131" s="38" t="str">
        <f>IFERROR([1]!IntrinioBankFinancials(rssd_id,$S$2,J$5,J$4,$B131,"K"),"")</f>
        <v/>
      </c>
      <c r="K131" s="38" t="str">
        <f>IFERROR([1]!IntrinioBankFinancials(rssd_id,$S$2,K$5,K$4,$B131,"K"),"")</f>
        <v/>
      </c>
      <c r="L131" s="38" t="str">
        <f>IFERROR([1]!IntrinioBankFinancials(rssd_id,$S$2,L$5,L$4,$B131,"K"),"")</f>
        <v/>
      </c>
      <c r="M131" s="38" t="str">
        <f>IFERROR([1]!IntrinioBankFinancials(rssd_id,$S$2,M$5,M$4,$B131,"K"),"")</f>
        <v/>
      </c>
      <c r="N131" s="38" t="str">
        <f>IFERROR([1]!IntrinioBankFinancials(rssd_id,$S$2,N$5,N$4,$B131,"K"),"")</f>
        <v/>
      </c>
      <c r="O131" s="38" t="str">
        <f>IFERROR([1]!IntrinioBankFinancials(rssd_id,$S$2,O$5,O$4,$B131,"K"),"")</f>
        <v/>
      </c>
      <c r="P131" s="49" t="s">
        <v>818</v>
      </c>
    </row>
    <row r="132" spans="1:16" x14ac:dyDescent="0.4">
      <c r="A132" s="39" t="s">
        <v>803</v>
      </c>
      <c r="B132" s="37" t="s">
        <v>2450</v>
      </c>
      <c r="C132" s="38" t="str">
        <f>IFERROR([1]!IntrinioBankFinancials(rssd_id,$S$2,C$5,C$4,$B132,"K"),"")</f>
        <v/>
      </c>
      <c r="D132" s="38" t="str">
        <f>IFERROR([1]!IntrinioBankFinancials(rssd_id,$S$2,D$5,D$4,$B132,"K"),"")</f>
        <v/>
      </c>
      <c r="E132" s="38" t="str">
        <f>IFERROR([1]!IntrinioBankFinancials(rssd_id,$S$2,E$5,E$4,$B132,"K"),"")</f>
        <v/>
      </c>
      <c r="F132" s="38" t="str">
        <f>IFERROR([1]!IntrinioBankFinancials(rssd_id,$S$2,F$5,F$4,$B132,"K"),"")</f>
        <v/>
      </c>
      <c r="G132" s="38" t="str">
        <f>IFERROR([1]!IntrinioBankFinancials(rssd_id,$S$2,G$5,G$4,$B132,"K"),"")</f>
        <v/>
      </c>
      <c r="H132" s="38" t="str">
        <f>IFERROR([1]!IntrinioBankFinancials(rssd_id,$S$2,H$5,H$4,$B132,"K"),"")</f>
        <v/>
      </c>
      <c r="I132" s="38" t="str">
        <f>IFERROR([1]!IntrinioBankFinancials(rssd_id,$S$2,I$5,I$4,$B132,"K"),"")</f>
        <v/>
      </c>
      <c r="J132" s="38" t="str">
        <f>IFERROR([1]!IntrinioBankFinancials(rssd_id,$S$2,J$5,J$4,$B132,"K"),"")</f>
        <v/>
      </c>
      <c r="K132" s="38" t="str">
        <f>IFERROR([1]!IntrinioBankFinancials(rssd_id,$S$2,K$5,K$4,$B132,"K"),"")</f>
        <v/>
      </c>
      <c r="L132" s="38" t="str">
        <f>IFERROR([1]!IntrinioBankFinancials(rssd_id,$S$2,L$5,L$4,$B132,"K"),"")</f>
        <v/>
      </c>
      <c r="M132" s="38" t="str">
        <f>IFERROR([1]!IntrinioBankFinancials(rssd_id,$S$2,M$5,M$4,$B132,"K"),"")</f>
        <v/>
      </c>
      <c r="N132" s="38" t="str">
        <f>IFERROR([1]!IntrinioBankFinancials(rssd_id,$S$2,N$5,N$4,$B132,"K"),"")</f>
        <v/>
      </c>
      <c r="O132" s="38" t="str">
        <f>IFERROR([1]!IntrinioBankFinancials(rssd_id,$S$2,O$5,O$4,$B132,"K"),"")</f>
        <v/>
      </c>
      <c r="P132" s="49" t="s">
        <v>820</v>
      </c>
    </row>
    <row r="133" spans="1:16" x14ac:dyDescent="0.4">
      <c r="A133" s="39" t="s">
        <v>806</v>
      </c>
      <c r="B133" s="37" t="s">
        <v>2451</v>
      </c>
      <c r="C133" s="38" t="str">
        <f>IFERROR([1]!IntrinioBankFinancials(rssd_id,$S$2,C$5,C$4,$B133,"K"),"")</f>
        <v/>
      </c>
      <c r="D133" s="38" t="str">
        <f>IFERROR([1]!IntrinioBankFinancials(rssd_id,$S$2,D$5,D$4,$B133,"K"),"")</f>
        <v/>
      </c>
      <c r="E133" s="38" t="str">
        <f>IFERROR([1]!IntrinioBankFinancials(rssd_id,$S$2,E$5,E$4,$B133,"K"),"")</f>
        <v/>
      </c>
      <c r="F133" s="38" t="str">
        <f>IFERROR([1]!IntrinioBankFinancials(rssd_id,$S$2,F$5,F$4,$B133,"K"),"")</f>
        <v/>
      </c>
      <c r="G133" s="38" t="str">
        <f>IFERROR([1]!IntrinioBankFinancials(rssd_id,$S$2,G$5,G$4,$B133,"K"),"")</f>
        <v/>
      </c>
      <c r="H133" s="38" t="str">
        <f>IFERROR([1]!IntrinioBankFinancials(rssd_id,$S$2,H$5,H$4,$B133,"K"),"")</f>
        <v/>
      </c>
      <c r="I133" s="38" t="str">
        <f>IFERROR([1]!IntrinioBankFinancials(rssd_id,$S$2,I$5,I$4,$B133,"K"),"")</f>
        <v/>
      </c>
      <c r="J133" s="38" t="str">
        <f>IFERROR([1]!IntrinioBankFinancials(rssd_id,$S$2,J$5,J$4,$B133,"K"),"")</f>
        <v/>
      </c>
      <c r="K133" s="38" t="str">
        <f>IFERROR([1]!IntrinioBankFinancials(rssd_id,$S$2,K$5,K$4,$B133,"K"),"")</f>
        <v/>
      </c>
      <c r="L133" s="38" t="str">
        <f>IFERROR([1]!IntrinioBankFinancials(rssd_id,$S$2,L$5,L$4,$B133,"K"),"")</f>
        <v/>
      </c>
      <c r="M133" s="38" t="str">
        <f>IFERROR([1]!IntrinioBankFinancials(rssd_id,$S$2,M$5,M$4,$B133,"K"),"")</f>
        <v/>
      </c>
      <c r="N133" s="38" t="str">
        <f>IFERROR([1]!IntrinioBankFinancials(rssd_id,$S$2,N$5,N$4,$B133,"K"),"")</f>
        <v/>
      </c>
      <c r="O133" s="38" t="str">
        <f>IFERROR([1]!IntrinioBankFinancials(rssd_id,$S$2,O$5,O$4,$B133,"K"),"")</f>
        <v/>
      </c>
      <c r="P133" s="49" t="s">
        <v>822</v>
      </c>
    </row>
    <row r="134" spans="1:16" x14ac:dyDescent="0.4">
      <c r="A134" s="39" t="s">
        <v>809</v>
      </c>
      <c r="B134" s="37" t="s">
        <v>2452</v>
      </c>
      <c r="C134" s="38" t="str">
        <f>IFERROR([1]!IntrinioBankFinancials(rssd_id,$S$2,C$5,C$4,$B134,"K"),"")</f>
        <v/>
      </c>
      <c r="D134" s="38" t="str">
        <f>IFERROR([1]!IntrinioBankFinancials(rssd_id,$S$2,D$5,D$4,$B134,"K"),"")</f>
        <v/>
      </c>
      <c r="E134" s="38" t="str">
        <f>IFERROR([1]!IntrinioBankFinancials(rssd_id,$S$2,E$5,E$4,$B134,"K"),"")</f>
        <v/>
      </c>
      <c r="F134" s="38" t="str">
        <f>IFERROR([1]!IntrinioBankFinancials(rssd_id,$S$2,F$5,F$4,$B134,"K"),"")</f>
        <v/>
      </c>
      <c r="G134" s="38" t="str">
        <f>IFERROR([1]!IntrinioBankFinancials(rssd_id,$S$2,G$5,G$4,$B134,"K"),"")</f>
        <v/>
      </c>
      <c r="H134" s="38" t="str">
        <f>IFERROR([1]!IntrinioBankFinancials(rssd_id,$S$2,H$5,H$4,$B134,"K"),"")</f>
        <v/>
      </c>
      <c r="I134" s="38" t="str">
        <f>IFERROR([1]!IntrinioBankFinancials(rssd_id,$S$2,I$5,I$4,$B134,"K"),"")</f>
        <v/>
      </c>
      <c r="J134" s="38" t="str">
        <f>IFERROR([1]!IntrinioBankFinancials(rssd_id,$S$2,J$5,J$4,$B134,"K"),"")</f>
        <v/>
      </c>
      <c r="K134" s="38" t="str">
        <f>IFERROR([1]!IntrinioBankFinancials(rssd_id,$S$2,K$5,K$4,$B134,"K"),"")</f>
        <v/>
      </c>
      <c r="L134" s="38" t="str">
        <f>IFERROR([1]!IntrinioBankFinancials(rssd_id,$S$2,L$5,L$4,$B134,"K"),"")</f>
        <v/>
      </c>
      <c r="M134" s="38" t="str">
        <f>IFERROR([1]!IntrinioBankFinancials(rssd_id,$S$2,M$5,M$4,$B134,"K"),"")</f>
        <v/>
      </c>
      <c r="N134" s="38" t="str">
        <f>IFERROR([1]!IntrinioBankFinancials(rssd_id,$S$2,N$5,N$4,$B134,"K"),"")</f>
        <v/>
      </c>
      <c r="O134" s="38" t="str">
        <f>IFERROR([1]!IntrinioBankFinancials(rssd_id,$S$2,O$5,O$4,$B134,"K"),"")</f>
        <v/>
      </c>
      <c r="P134" s="49" t="s">
        <v>824</v>
      </c>
    </row>
    <row r="135" spans="1:16" x14ac:dyDescent="0.4">
      <c r="A135" s="39" t="s">
        <v>812</v>
      </c>
      <c r="B135" s="37" t="s">
        <v>2453</v>
      </c>
      <c r="C135" s="38" t="str">
        <f>IFERROR([1]!IntrinioBankFinancials(rssd_id,$S$2,C$5,C$4,$B135,"K"),"")</f>
        <v/>
      </c>
      <c r="D135" s="38" t="str">
        <f>IFERROR([1]!IntrinioBankFinancials(rssd_id,$S$2,D$5,D$4,$B135,"K"),"")</f>
        <v/>
      </c>
      <c r="E135" s="38" t="str">
        <f>IFERROR([1]!IntrinioBankFinancials(rssd_id,$S$2,E$5,E$4,$B135,"K"),"")</f>
        <v/>
      </c>
      <c r="F135" s="38" t="str">
        <f>IFERROR([1]!IntrinioBankFinancials(rssd_id,$S$2,F$5,F$4,$B135,"K"),"")</f>
        <v/>
      </c>
      <c r="G135" s="38" t="str">
        <f>IFERROR([1]!IntrinioBankFinancials(rssd_id,$S$2,G$5,G$4,$B135,"K"),"")</f>
        <v/>
      </c>
      <c r="H135" s="38" t="str">
        <f>IFERROR([1]!IntrinioBankFinancials(rssd_id,$S$2,H$5,H$4,$B135,"K"),"")</f>
        <v/>
      </c>
      <c r="I135" s="38" t="str">
        <f>IFERROR([1]!IntrinioBankFinancials(rssd_id,$S$2,I$5,I$4,$B135,"K"),"")</f>
        <v/>
      </c>
      <c r="J135" s="38" t="str">
        <f>IFERROR([1]!IntrinioBankFinancials(rssd_id,$S$2,J$5,J$4,$B135,"K"),"")</f>
        <v/>
      </c>
      <c r="K135" s="38" t="str">
        <f>IFERROR([1]!IntrinioBankFinancials(rssd_id,$S$2,K$5,K$4,$B135,"K"),"")</f>
        <v/>
      </c>
      <c r="L135" s="38" t="str">
        <f>IFERROR([1]!IntrinioBankFinancials(rssd_id,$S$2,L$5,L$4,$B135,"K"),"")</f>
        <v/>
      </c>
      <c r="M135" s="38" t="str">
        <f>IFERROR([1]!IntrinioBankFinancials(rssd_id,$S$2,M$5,M$4,$B135,"K"),"")</f>
        <v/>
      </c>
      <c r="N135" s="38" t="str">
        <f>IFERROR([1]!IntrinioBankFinancials(rssd_id,$S$2,N$5,N$4,$B135,"K"),"")</f>
        <v/>
      </c>
      <c r="O135" s="38" t="str">
        <f>IFERROR([1]!IntrinioBankFinancials(rssd_id,$S$2,O$5,O$4,$B135,"K"),"")</f>
        <v/>
      </c>
      <c r="P135" s="49" t="s">
        <v>826</v>
      </c>
    </row>
    <row r="136" spans="1:16" ht="42.75" x14ac:dyDescent="0.4">
      <c r="A136" s="39" t="s">
        <v>2432</v>
      </c>
      <c r="B136" s="37" t="s">
        <v>2454</v>
      </c>
      <c r="C136" s="38" t="str">
        <f>IFERROR([1]!IntrinioBankFinancials(rssd_id,$S$2,C$5,C$4,$B136,"K"),"")</f>
        <v/>
      </c>
      <c r="D136" s="38" t="str">
        <f>IFERROR([1]!IntrinioBankFinancials(rssd_id,$S$2,D$5,D$4,$B136,"K"),"")</f>
        <v/>
      </c>
      <c r="E136" s="38" t="str">
        <f>IFERROR([1]!IntrinioBankFinancials(rssd_id,$S$2,E$5,E$4,$B136,"K"),"")</f>
        <v/>
      </c>
      <c r="F136" s="38" t="str">
        <f>IFERROR([1]!IntrinioBankFinancials(rssd_id,$S$2,F$5,F$4,$B136,"K"),"")</f>
        <v/>
      </c>
      <c r="G136" s="38" t="str">
        <f>IFERROR([1]!IntrinioBankFinancials(rssd_id,$S$2,G$5,G$4,$B136,"K"),"")</f>
        <v/>
      </c>
      <c r="H136" s="38" t="str">
        <f>IFERROR([1]!IntrinioBankFinancials(rssd_id,$S$2,H$5,H$4,$B136,"K"),"")</f>
        <v/>
      </c>
      <c r="I136" s="38" t="str">
        <f>IFERROR([1]!IntrinioBankFinancials(rssd_id,$S$2,I$5,I$4,$B136,"K"),"")</f>
        <v/>
      </c>
      <c r="J136" s="38" t="str">
        <f>IFERROR([1]!IntrinioBankFinancials(rssd_id,$S$2,J$5,J$4,$B136,"K"),"")</f>
        <v/>
      </c>
      <c r="K136" s="38" t="str">
        <f>IFERROR([1]!IntrinioBankFinancials(rssd_id,$S$2,K$5,K$4,$B136,"K"),"")</f>
        <v/>
      </c>
      <c r="L136" s="38" t="str">
        <f>IFERROR([1]!IntrinioBankFinancials(rssd_id,$S$2,L$5,L$4,$B136,"K"),"")</f>
        <v/>
      </c>
      <c r="M136" s="38" t="str">
        <f>IFERROR([1]!IntrinioBankFinancials(rssd_id,$S$2,M$5,M$4,$B136,"K"),"")</f>
        <v/>
      </c>
      <c r="N136" s="38" t="str">
        <f>IFERROR([1]!IntrinioBankFinancials(rssd_id,$S$2,N$5,N$4,$B136,"K"),"")</f>
        <v/>
      </c>
      <c r="O136" s="38" t="str">
        <f>IFERROR([1]!IntrinioBankFinancials(rssd_id,$S$2,O$5,O$4,$B136,"K"),"")</f>
        <v/>
      </c>
      <c r="P136" s="49" t="s">
        <v>420</v>
      </c>
    </row>
    <row r="137" spans="1:16" ht="42.75" x14ac:dyDescent="0.4">
      <c r="A137" s="39" t="s">
        <v>2433</v>
      </c>
      <c r="B137" s="37" t="s">
        <v>2455</v>
      </c>
      <c r="C137" s="38" t="str">
        <f>IFERROR([1]!IntrinioBankFinancials(rssd_id,$S$2,C$5,C$4,$B137,"K"),"")</f>
        <v/>
      </c>
      <c r="D137" s="38" t="str">
        <f>IFERROR([1]!IntrinioBankFinancials(rssd_id,$S$2,D$5,D$4,$B137,"K"),"")</f>
        <v/>
      </c>
      <c r="E137" s="38" t="str">
        <f>IFERROR([1]!IntrinioBankFinancials(rssd_id,$S$2,E$5,E$4,$B137,"K"),"")</f>
        <v/>
      </c>
      <c r="F137" s="38" t="str">
        <f>IFERROR([1]!IntrinioBankFinancials(rssd_id,$S$2,F$5,F$4,$B137,"K"),"")</f>
        <v/>
      </c>
      <c r="G137" s="38" t="str">
        <f>IFERROR([1]!IntrinioBankFinancials(rssd_id,$S$2,G$5,G$4,$B137,"K"),"")</f>
        <v/>
      </c>
      <c r="H137" s="38" t="str">
        <f>IFERROR([1]!IntrinioBankFinancials(rssd_id,$S$2,H$5,H$4,$B137,"K"),"")</f>
        <v/>
      </c>
      <c r="I137" s="38" t="str">
        <f>IFERROR([1]!IntrinioBankFinancials(rssd_id,$S$2,I$5,I$4,$B137,"K"),"")</f>
        <v/>
      </c>
      <c r="J137" s="38" t="str">
        <f>IFERROR([1]!IntrinioBankFinancials(rssd_id,$S$2,J$5,J$4,$B137,"K"),"")</f>
        <v/>
      </c>
      <c r="K137" s="38" t="str">
        <f>IFERROR([1]!IntrinioBankFinancials(rssd_id,$S$2,K$5,K$4,$B137,"K"),"")</f>
        <v/>
      </c>
      <c r="L137" s="38" t="str">
        <f>IFERROR([1]!IntrinioBankFinancials(rssd_id,$S$2,L$5,L$4,$B137,"K"),"")</f>
        <v/>
      </c>
      <c r="M137" s="38" t="str">
        <f>IFERROR([1]!IntrinioBankFinancials(rssd_id,$S$2,M$5,M$4,$B137,"K"),"")</f>
        <v/>
      </c>
      <c r="N137" s="38" t="str">
        <f>IFERROR([1]!IntrinioBankFinancials(rssd_id,$S$2,N$5,N$4,$B137,"K"),"")</f>
        <v/>
      </c>
      <c r="O137" s="38" t="str">
        <f>IFERROR([1]!IntrinioBankFinancials(rssd_id,$S$2,O$5,O$4,$B137,"K"),"")</f>
        <v/>
      </c>
      <c r="P137" s="49" t="s">
        <v>215</v>
      </c>
    </row>
    <row r="138" spans="1:16" ht="42.75" x14ac:dyDescent="0.4">
      <c r="A138" s="39" t="s">
        <v>2434</v>
      </c>
      <c r="B138" s="37" t="s">
        <v>1257</v>
      </c>
      <c r="C138" s="38" t="str">
        <f>IFERROR([1]!IntrinioBankFinancials(rssd_id,$S$2,C$5,C$4,$B138,"K"),"")</f>
        <v/>
      </c>
      <c r="D138" s="38" t="str">
        <f>IFERROR([1]!IntrinioBankFinancials(rssd_id,$S$2,D$5,D$4,$B138,"K"),"")</f>
        <v/>
      </c>
      <c r="E138" s="38" t="str">
        <f>IFERROR([1]!IntrinioBankFinancials(rssd_id,$S$2,E$5,E$4,$B138,"K"),"")</f>
        <v/>
      </c>
      <c r="F138" s="38" t="str">
        <f>IFERROR([1]!IntrinioBankFinancials(rssd_id,$S$2,F$5,F$4,$B138,"K"),"")</f>
        <v/>
      </c>
      <c r="G138" s="38" t="str">
        <f>IFERROR([1]!IntrinioBankFinancials(rssd_id,$S$2,G$5,G$4,$B138,"K"),"")</f>
        <v/>
      </c>
      <c r="H138" s="38" t="str">
        <f>IFERROR([1]!IntrinioBankFinancials(rssd_id,$S$2,H$5,H$4,$B138,"K"),"")</f>
        <v/>
      </c>
      <c r="I138" s="38" t="str">
        <f>IFERROR([1]!IntrinioBankFinancials(rssd_id,$S$2,I$5,I$4,$B138,"K"),"")</f>
        <v/>
      </c>
      <c r="J138" s="38" t="str">
        <f>IFERROR([1]!IntrinioBankFinancials(rssd_id,$S$2,J$5,J$4,$B138,"K"),"")</f>
        <v/>
      </c>
      <c r="K138" s="38" t="str">
        <f>IFERROR([1]!IntrinioBankFinancials(rssd_id,$S$2,K$5,K$4,$B138,"K"),"")</f>
        <v/>
      </c>
      <c r="L138" s="38" t="str">
        <f>IFERROR([1]!IntrinioBankFinancials(rssd_id,$S$2,L$5,L$4,$B138,"K"),"")</f>
        <v/>
      </c>
      <c r="M138" s="38" t="str">
        <f>IFERROR([1]!IntrinioBankFinancials(rssd_id,$S$2,M$5,M$4,$B138,"K"),"")</f>
        <v/>
      </c>
      <c r="N138" s="38" t="str">
        <f>IFERROR([1]!IntrinioBankFinancials(rssd_id,$S$2,N$5,N$4,$B138,"K"),"")</f>
        <v/>
      </c>
      <c r="O138" s="38" t="str">
        <f>IFERROR([1]!IntrinioBankFinancials(rssd_id,$S$2,O$5,O$4,$B138,"K"),"")</f>
        <v/>
      </c>
      <c r="P138" s="49" t="s">
        <v>217</v>
      </c>
    </row>
    <row r="139" spans="1:16" ht="42.75" x14ac:dyDescent="0.4">
      <c r="A139" s="39" t="s">
        <v>2435</v>
      </c>
      <c r="B139" s="37" t="s">
        <v>2456</v>
      </c>
      <c r="C139" s="38" t="str">
        <f>IFERROR([1]!IntrinioBankFinancials(rssd_id,$S$2,C$5,C$4,$B139,"K"),"")</f>
        <v/>
      </c>
      <c r="D139" s="38" t="str">
        <f>IFERROR([1]!IntrinioBankFinancials(rssd_id,$S$2,D$5,D$4,$B139,"K"),"")</f>
        <v/>
      </c>
      <c r="E139" s="38" t="str">
        <f>IFERROR([1]!IntrinioBankFinancials(rssd_id,$S$2,E$5,E$4,$B139,"K"),"")</f>
        <v/>
      </c>
      <c r="F139" s="38" t="str">
        <f>IFERROR([1]!IntrinioBankFinancials(rssd_id,$S$2,F$5,F$4,$B139,"K"),"")</f>
        <v/>
      </c>
      <c r="G139" s="38" t="str">
        <f>IFERROR([1]!IntrinioBankFinancials(rssd_id,$S$2,G$5,G$4,$B139,"K"),"")</f>
        <v/>
      </c>
      <c r="H139" s="38" t="str">
        <f>IFERROR([1]!IntrinioBankFinancials(rssd_id,$S$2,H$5,H$4,$B139,"K"),"")</f>
        <v/>
      </c>
      <c r="I139" s="38" t="str">
        <f>IFERROR([1]!IntrinioBankFinancials(rssd_id,$S$2,I$5,I$4,$B139,"K"),"")</f>
        <v/>
      </c>
      <c r="J139" s="38" t="str">
        <f>IFERROR([1]!IntrinioBankFinancials(rssd_id,$S$2,J$5,J$4,$B139,"K"),"")</f>
        <v/>
      </c>
      <c r="K139" s="38" t="str">
        <f>IFERROR([1]!IntrinioBankFinancials(rssd_id,$S$2,K$5,K$4,$B139,"K"),"")</f>
        <v/>
      </c>
      <c r="L139" s="38" t="str">
        <f>IFERROR([1]!IntrinioBankFinancials(rssd_id,$S$2,L$5,L$4,$B139,"K"),"")</f>
        <v/>
      </c>
      <c r="M139" s="38" t="str">
        <f>IFERROR([1]!IntrinioBankFinancials(rssd_id,$S$2,M$5,M$4,$B139,"K"),"")</f>
        <v/>
      </c>
      <c r="N139" s="38" t="str">
        <f>IFERROR([1]!IntrinioBankFinancials(rssd_id,$S$2,N$5,N$4,$B139,"K"),"")</f>
        <v/>
      </c>
      <c r="O139" s="38" t="str">
        <f>IFERROR([1]!IntrinioBankFinancials(rssd_id,$S$2,O$5,O$4,$B139,"K"),"")</f>
        <v/>
      </c>
      <c r="P139" s="49" t="s">
        <v>220</v>
      </c>
    </row>
    <row r="140" spans="1:16" ht="28.5" x14ac:dyDescent="0.4">
      <c r="A140" s="39" t="s">
        <v>2436</v>
      </c>
      <c r="B140" s="37" t="s">
        <v>2457</v>
      </c>
      <c r="C140" s="38" t="str">
        <f>IFERROR([1]!IntrinioBankFinancials(rssd_id,$S$2,C$5,C$4,$B140,"K"),"")</f>
        <v/>
      </c>
      <c r="D140" s="38" t="str">
        <f>IFERROR([1]!IntrinioBankFinancials(rssd_id,$S$2,D$5,D$4,$B140,"K"),"")</f>
        <v/>
      </c>
      <c r="E140" s="38" t="str">
        <f>IFERROR([1]!IntrinioBankFinancials(rssd_id,$S$2,E$5,E$4,$B140,"K"),"")</f>
        <v/>
      </c>
      <c r="F140" s="38" t="str">
        <f>IFERROR([1]!IntrinioBankFinancials(rssd_id,$S$2,F$5,F$4,$B140,"K"),"")</f>
        <v/>
      </c>
      <c r="G140" s="38" t="str">
        <f>IFERROR([1]!IntrinioBankFinancials(rssd_id,$S$2,G$5,G$4,$B140,"K"),"")</f>
        <v/>
      </c>
      <c r="H140" s="38" t="str">
        <f>IFERROR([1]!IntrinioBankFinancials(rssd_id,$S$2,H$5,H$4,$B140,"K"),"")</f>
        <v/>
      </c>
      <c r="I140" s="38" t="str">
        <f>IFERROR([1]!IntrinioBankFinancials(rssd_id,$S$2,I$5,I$4,$B140,"K"),"")</f>
        <v/>
      </c>
      <c r="J140" s="38" t="str">
        <f>IFERROR([1]!IntrinioBankFinancials(rssd_id,$S$2,J$5,J$4,$B140,"K"),"")</f>
        <v/>
      </c>
      <c r="K140" s="38" t="str">
        <f>IFERROR([1]!IntrinioBankFinancials(rssd_id,$S$2,K$5,K$4,$B140,"K"),"")</f>
        <v/>
      </c>
      <c r="L140" s="38" t="str">
        <f>IFERROR([1]!IntrinioBankFinancials(rssd_id,$S$2,L$5,L$4,$B140,"K"),"")</f>
        <v/>
      </c>
      <c r="M140" s="38" t="str">
        <f>IFERROR([1]!IntrinioBankFinancials(rssd_id,$S$2,M$5,M$4,$B140,"K"),"")</f>
        <v/>
      </c>
      <c r="N140" s="38" t="str">
        <f>IFERROR([1]!IntrinioBankFinancials(rssd_id,$S$2,N$5,N$4,$B140,"K"),"")</f>
        <v/>
      </c>
      <c r="O140" s="38" t="str">
        <f>IFERROR([1]!IntrinioBankFinancials(rssd_id,$S$2,O$5,O$4,$B140,"K"),"")</f>
        <v/>
      </c>
      <c r="P140" s="49" t="s">
        <v>222</v>
      </c>
    </row>
  </sheetData>
  <pageMargins left="0.7" right="0.7" top="0.75" bottom="0.75" header="0.3" footer="0.3"/>
  <pageSetup scale="82" fitToHeight="7" orientation="landscape" r:id="rId1"/>
  <headerFooter>
    <oddFooter>&amp;L&amp;G&amp;R&amp;P</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79998168889431442"/>
    <pageSetUpPr fitToPage="1"/>
  </sheetPr>
  <dimension ref="A1:S94"/>
  <sheetViews>
    <sheetView view="pageBreakPreview" zoomScaleNormal="100" zoomScaleSheetLayoutView="100" workbookViewId="0">
      <pane xSplit="1" ySplit="5" topLeftCell="D6" activePane="bottomRight" state="frozen"/>
      <selection pane="topRight"/>
      <selection pane="bottomLeft"/>
      <selection pane="bottomRight" activeCell="J6" sqref="J6"/>
    </sheetView>
  </sheetViews>
  <sheetFormatPr defaultColWidth="9.140625" defaultRowHeight="18" outlineLevelCol="1" x14ac:dyDescent="0.4"/>
  <cols>
    <col min="1" max="1" width="85.64062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12</v>
      </c>
      <c r="B2" s="28"/>
      <c r="C2" s="29"/>
      <c r="D2" s="29"/>
      <c r="E2" s="29"/>
      <c r="F2" s="29"/>
      <c r="G2" s="29"/>
      <c r="H2" s="29"/>
      <c r="I2" s="29"/>
      <c r="J2" s="29"/>
      <c r="K2" s="29"/>
      <c r="L2" s="29"/>
      <c r="M2" s="29"/>
      <c r="N2" s="29"/>
      <c r="O2" s="29"/>
      <c r="P2" s="48"/>
      <c r="R2" s="6" t="s">
        <v>430</v>
      </c>
      <c r="S2" s="6" t="s">
        <v>1313</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71.25" x14ac:dyDescent="0.4">
      <c r="A6" s="39" t="s">
        <v>2459</v>
      </c>
      <c r="B6" s="37" t="s">
        <v>1279</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1280</v>
      </c>
      <c r="B7" s="37"/>
      <c r="C7" s="38"/>
      <c r="D7" s="38"/>
      <c r="E7" s="38"/>
      <c r="F7" s="38"/>
      <c r="G7" s="38"/>
      <c r="H7" s="38"/>
      <c r="I7" s="38"/>
      <c r="J7" s="38"/>
      <c r="K7" s="38"/>
      <c r="L7" s="38"/>
      <c r="M7" s="38"/>
      <c r="N7" s="38"/>
      <c r="O7" s="38"/>
      <c r="P7" s="49">
        <v>2</v>
      </c>
    </row>
    <row r="8" spans="1:19" s="40" customFormat="1" ht="28.5" x14ac:dyDescent="0.4">
      <c r="A8" s="39" t="s">
        <v>2460</v>
      </c>
      <c r="B8" s="37" t="s">
        <v>1281</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86</v>
      </c>
    </row>
    <row r="9" spans="1:19" s="40" customFormat="1" ht="28.5" x14ac:dyDescent="0.4">
      <c r="A9" s="39" t="s">
        <v>2461</v>
      </c>
      <c r="B9" s="37" t="s">
        <v>1282</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102</v>
      </c>
    </row>
    <row r="10" spans="1:19" s="40" customFormat="1" ht="14.25" x14ac:dyDescent="0.4">
      <c r="A10" s="39" t="s">
        <v>2462</v>
      </c>
      <c r="B10" s="37"/>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row>
    <row r="11" spans="1:19" s="40" customFormat="1" ht="42.75" x14ac:dyDescent="0.4">
      <c r="A11" s="39" t="s">
        <v>2463</v>
      </c>
      <c r="B11" s="37"/>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3</v>
      </c>
    </row>
    <row r="12" spans="1:19" s="40" customFormat="1" ht="14.25" x14ac:dyDescent="0.4">
      <c r="A12" s="39" t="s">
        <v>1283</v>
      </c>
      <c r="B12" s="37" t="s">
        <v>1284</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620</v>
      </c>
    </row>
    <row r="13" spans="1:19" s="40" customFormat="1" ht="14.25" x14ac:dyDescent="0.4">
      <c r="A13" s="39" t="s">
        <v>1285</v>
      </c>
      <c r="B13" s="37" t="s">
        <v>1286</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621</v>
      </c>
    </row>
    <row r="14" spans="1:19" x14ac:dyDescent="0.4">
      <c r="A14" s="39" t="s">
        <v>1287</v>
      </c>
      <c r="B14" s="37" t="s">
        <v>1288</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1309</v>
      </c>
    </row>
    <row r="15" spans="1:19" ht="28.5" x14ac:dyDescent="0.4">
      <c r="A15" s="39" t="s">
        <v>2464</v>
      </c>
      <c r="B15" s="37"/>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4</v>
      </c>
    </row>
    <row r="16" spans="1:19" s="47" customFormat="1" x14ac:dyDescent="0.4">
      <c r="A16" s="39" t="s">
        <v>1283</v>
      </c>
      <c r="B16" s="37" t="s">
        <v>1289</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622</v>
      </c>
      <c r="Q16" s="13"/>
      <c r="R16" s="13"/>
      <c r="S16" s="13"/>
    </row>
    <row r="17" spans="1:19" s="47" customFormat="1" x14ac:dyDescent="0.4">
      <c r="A17" s="39" t="s">
        <v>1285</v>
      </c>
      <c r="B17" s="37" t="s">
        <v>1290</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623</v>
      </c>
      <c r="Q17" s="13"/>
      <c r="R17" s="13"/>
      <c r="S17" s="13"/>
    </row>
    <row r="18" spans="1:19" s="47" customFormat="1" x14ac:dyDescent="0.4">
      <c r="A18" s="39" t="s">
        <v>1287</v>
      </c>
      <c r="B18" s="37" t="s">
        <v>1291</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624</v>
      </c>
      <c r="Q18" s="13"/>
      <c r="R18" s="13"/>
      <c r="S18" s="13"/>
    </row>
    <row r="19" spans="1:19" s="47" customFormat="1" ht="85.5" x14ac:dyDescent="0.4">
      <c r="A19" s="39" t="s">
        <v>2465</v>
      </c>
      <c r="B19" s="37"/>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v>5</v>
      </c>
      <c r="Q19" s="13"/>
      <c r="R19" s="13"/>
      <c r="S19" s="13"/>
    </row>
    <row r="20" spans="1:19" s="47" customFormat="1" ht="28.5" x14ac:dyDescent="0.4">
      <c r="A20" s="39" t="s">
        <v>1296</v>
      </c>
      <c r="B20" s="37"/>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6</v>
      </c>
      <c r="Q20" s="13"/>
      <c r="R20" s="13"/>
      <c r="S20" s="13"/>
    </row>
    <row r="21" spans="1:19" s="47" customFormat="1" ht="28.5" x14ac:dyDescent="0.4">
      <c r="A21" s="39" t="s">
        <v>2466</v>
      </c>
      <c r="B21" s="37"/>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172</v>
      </c>
      <c r="Q21" s="13"/>
      <c r="R21" s="13"/>
      <c r="S21" s="13"/>
    </row>
    <row r="22" spans="1:19" s="47" customFormat="1" ht="28.5" x14ac:dyDescent="0.4">
      <c r="A22" s="39" t="s">
        <v>2467</v>
      </c>
      <c r="B22" s="37"/>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175</v>
      </c>
      <c r="Q22" s="13"/>
      <c r="R22" s="13"/>
      <c r="S22" s="13"/>
    </row>
    <row r="23" spans="1:19" s="47" customFormat="1" ht="42.75" x14ac:dyDescent="0.4">
      <c r="A23" s="39" t="s">
        <v>2468</v>
      </c>
      <c r="B23" s="37"/>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c r="Q23" s="13"/>
      <c r="R23" s="13"/>
      <c r="S23" s="13"/>
    </row>
    <row r="24" spans="1:19" s="47" customFormat="1" x14ac:dyDescent="0.4">
      <c r="A24" s="39" t="s">
        <v>1283</v>
      </c>
      <c r="B24" s="37" t="s">
        <v>1297</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179</v>
      </c>
      <c r="Q24" s="13"/>
      <c r="R24" s="13"/>
      <c r="S24" s="13"/>
    </row>
    <row r="25" spans="1:19" s="47" customFormat="1" x14ac:dyDescent="0.4">
      <c r="A25" s="39" t="s">
        <v>1285</v>
      </c>
      <c r="B25" s="37" t="s">
        <v>1298</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181</v>
      </c>
      <c r="Q25" s="13"/>
      <c r="R25" s="13"/>
      <c r="S25" s="13"/>
    </row>
    <row r="26" spans="1:19" s="47" customFormat="1" x14ac:dyDescent="0.4">
      <c r="A26" s="39" t="s">
        <v>2469</v>
      </c>
      <c r="B26" s="37" t="s">
        <v>1299</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183</v>
      </c>
      <c r="Q26" s="13"/>
      <c r="R26" s="13"/>
      <c r="S26" s="13"/>
    </row>
    <row r="27" spans="1:19" s="47" customFormat="1" ht="28.5" x14ac:dyDescent="0.4">
      <c r="A27" s="39" t="s">
        <v>2470</v>
      </c>
      <c r="B27" s="37"/>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c r="Q27" s="13"/>
      <c r="R27" s="13"/>
      <c r="S27" s="13"/>
    </row>
    <row r="28" spans="1:19" s="47" customFormat="1" x14ac:dyDescent="0.4">
      <c r="A28" s="39" t="s">
        <v>1283</v>
      </c>
      <c r="B28" s="37" t="s">
        <v>1300</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1310</v>
      </c>
      <c r="Q28" s="13"/>
      <c r="R28" s="13"/>
      <c r="S28" s="13"/>
    </row>
    <row r="29" spans="1:19" s="47" customFormat="1" x14ac:dyDescent="0.4">
      <c r="A29" s="39" t="s">
        <v>1285</v>
      </c>
      <c r="B29" s="37" t="s">
        <v>1301</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1311</v>
      </c>
      <c r="Q29" s="13"/>
      <c r="R29" s="13"/>
      <c r="S29" s="13"/>
    </row>
    <row r="30" spans="1:19" s="47" customFormat="1" x14ac:dyDescent="0.4">
      <c r="A30" s="39" t="s">
        <v>2469</v>
      </c>
      <c r="B30" s="37" t="s">
        <v>1302</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1312</v>
      </c>
      <c r="Q30" s="13"/>
      <c r="R30" s="13"/>
      <c r="S30" s="13"/>
    </row>
    <row r="31" spans="1:19" s="47" customFormat="1" x14ac:dyDescent="0.4">
      <c r="A31" s="39" t="s">
        <v>2471</v>
      </c>
      <c r="B31" s="37"/>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c r="Q31" s="13"/>
      <c r="R31" s="13"/>
      <c r="S31" s="13"/>
    </row>
    <row r="32" spans="1:19" s="47" customFormat="1" ht="42.75" x14ac:dyDescent="0.4">
      <c r="A32" s="39" t="s">
        <v>2463</v>
      </c>
      <c r="B32" s="37"/>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3</v>
      </c>
      <c r="Q32" s="13"/>
      <c r="R32" s="13"/>
      <c r="S32" s="13"/>
    </row>
    <row r="33" spans="1:19" s="47" customFormat="1" x14ac:dyDescent="0.4">
      <c r="A33" s="39" t="s">
        <v>1283</v>
      </c>
      <c r="B33" s="37" t="s">
        <v>1292</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620</v>
      </c>
      <c r="Q33" s="13"/>
      <c r="R33" s="13"/>
      <c r="S33" s="13"/>
    </row>
    <row r="34" spans="1:19" s="47" customFormat="1" x14ac:dyDescent="0.4">
      <c r="A34" s="39" t="s">
        <v>1285</v>
      </c>
      <c r="B34" s="37" t="s">
        <v>2472</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621</v>
      </c>
      <c r="Q34" s="13"/>
      <c r="R34" s="13"/>
      <c r="S34" s="13"/>
    </row>
    <row r="35" spans="1:19" s="47" customFormat="1" x14ac:dyDescent="0.4">
      <c r="A35" s="39" t="s">
        <v>1287</v>
      </c>
      <c r="B35" s="37" t="s">
        <v>1293</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1309</v>
      </c>
      <c r="Q35" s="13"/>
      <c r="R35" s="13"/>
      <c r="S35" s="13"/>
    </row>
    <row r="36" spans="1:19" s="47" customFormat="1" ht="28.5" x14ac:dyDescent="0.4">
      <c r="A36" s="39" t="s">
        <v>2464</v>
      </c>
      <c r="B36" s="37"/>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v>4</v>
      </c>
      <c r="Q36" s="13"/>
      <c r="R36" s="13"/>
      <c r="S36" s="13"/>
    </row>
    <row r="37" spans="1:19" s="47" customFormat="1" x14ac:dyDescent="0.4">
      <c r="A37" s="39" t="s">
        <v>1283</v>
      </c>
      <c r="B37" s="37" t="s">
        <v>1294</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622</v>
      </c>
      <c r="Q37" s="13"/>
      <c r="R37" s="13"/>
      <c r="S37" s="13"/>
    </row>
    <row r="38" spans="1:19" s="47" customFormat="1" x14ac:dyDescent="0.4">
      <c r="A38" s="39" t="s">
        <v>1285</v>
      </c>
      <c r="B38" s="37" t="s">
        <v>2473</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623</v>
      </c>
      <c r="Q38" s="13"/>
      <c r="R38" s="13"/>
      <c r="S38" s="13"/>
    </row>
    <row r="39" spans="1:19" s="47" customFormat="1" x14ac:dyDescent="0.4">
      <c r="A39" s="39" t="s">
        <v>1287</v>
      </c>
      <c r="B39" s="37" t="s">
        <v>1295</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624</v>
      </c>
      <c r="Q39" s="13"/>
      <c r="R39" s="13"/>
      <c r="S39" s="13"/>
    </row>
    <row r="40" spans="1:19" s="47" customFormat="1" ht="85.5" x14ac:dyDescent="0.4">
      <c r="A40" s="39" t="s">
        <v>2465</v>
      </c>
      <c r="B40" s="37"/>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5</v>
      </c>
      <c r="Q40" s="13"/>
      <c r="R40" s="13"/>
      <c r="S40" s="13"/>
    </row>
    <row r="41" spans="1:19" s="47" customFormat="1" ht="28.5" x14ac:dyDescent="0.4">
      <c r="A41" s="39" t="s">
        <v>1296</v>
      </c>
      <c r="B41" s="37"/>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6</v>
      </c>
      <c r="Q41" s="13"/>
      <c r="R41" s="13"/>
      <c r="S41" s="13"/>
    </row>
    <row r="42" spans="1:19" s="47" customFormat="1" ht="28.5" x14ac:dyDescent="0.4">
      <c r="A42" s="39" t="s">
        <v>2466</v>
      </c>
      <c r="B42" s="37"/>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172</v>
      </c>
      <c r="Q42" s="13"/>
      <c r="R42" s="13"/>
      <c r="S42" s="13"/>
    </row>
    <row r="43" spans="1:19" s="47" customFormat="1" ht="28.5" x14ac:dyDescent="0.4">
      <c r="A43" s="39" t="s">
        <v>2467</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175</v>
      </c>
      <c r="Q43" s="13"/>
      <c r="R43" s="13"/>
      <c r="S43" s="13"/>
    </row>
    <row r="44" spans="1:19" s="47" customFormat="1" ht="42.75" x14ac:dyDescent="0.4">
      <c r="A44" s="39" t="s">
        <v>2468</v>
      </c>
      <c r="B44" s="37"/>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c r="Q44" s="13"/>
      <c r="R44" s="13"/>
      <c r="S44" s="13"/>
    </row>
    <row r="45" spans="1:19" s="47" customFormat="1" x14ac:dyDescent="0.4">
      <c r="A45" s="39" t="s">
        <v>1283</v>
      </c>
      <c r="B45" s="37" t="s">
        <v>1303</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179</v>
      </c>
      <c r="Q45" s="13"/>
      <c r="R45" s="13"/>
      <c r="S45" s="13"/>
    </row>
    <row r="46" spans="1:19" s="47" customFormat="1" x14ac:dyDescent="0.4">
      <c r="A46" s="39" t="s">
        <v>1285</v>
      </c>
      <c r="B46" s="37" t="s">
        <v>1304</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181</v>
      </c>
      <c r="Q46" s="13"/>
      <c r="R46" s="13"/>
      <c r="S46" s="13"/>
    </row>
    <row r="47" spans="1:19" s="47" customFormat="1" x14ac:dyDescent="0.4">
      <c r="A47" s="39" t="s">
        <v>2469</v>
      </c>
      <c r="B47" s="37" t="s">
        <v>1305</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183</v>
      </c>
      <c r="Q47" s="13"/>
      <c r="R47" s="13"/>
      <c r="S47" s="13"/>
    </row>
    <row r="48" spans="1:19" s="47" customFormat="1" ht="28.5" x14ac:dyDescent="0.4">
      <c r="A48" s="39" t="s">
        <v>2470</v>
      </c>
      <c r="B48" s="37"/>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c r="Q48" s="13"/>
      <c r="R48" s="13"/>
      <c r="S48" s="13"/>
    </row>
    <row r="49" spans="1:19" s="47" customFormat="1" x14ac:dyDescent="0.4">
      <c r="A49" s="39" t="s">
        <v>1283</v>
      </c>
      <c r="B49" s="37" t="s">
        <v>1306</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1310</v>
      </c>
      <c r="Q49" s="13"/>
      <c r="R49" s="13"/>
      <c r="S49" s="13"/>
    </row>
    <row r="50" spans="1:19" s="47" customFormat="1" x14ac:dyDescent="0.4">
      <c r="A50" s="39" t="s">
        <v>1285</v>
      </c>
      <c r="B50" s="37" t="s">
        <v>1307</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1311</v>
      </c>
      <c r="Q50" s="13"/>
      <c r="R50" s="13"/>
      <c r="S50" s="13"/>
    </row>
    <row r="51" spans="1:19" s="47" customFormat="1" x14ac:dyDescent="0.4">
      <c r="A51" s="39" t="s">
        <v>2469</v>
      </c>
      <c r="B51" s="37" t="s">
        <v>1308</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1312</v>
      </c>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sheetData>
  <pageMargins left="0.7" right="0.7" top="0.75" bottom="0.75" header="0.3" footer="0.3"/>
  <pageSetup scale="67" fitToHeight="2" orientation="landscape" r:id="rId1"/>
  <headerFooter>
    <oddFooter>&amp;L&amp;G&amp;R&amp;P</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79998168889431442"/>
    <pageSetUpPr fitToPage="1"/>
  </sheetPr>
  <dimension ref="A1:S177"/>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ColWidth="9.140625" defaultRowHeight="18" outlineLevelCol="1" x14ac:dyDescent="0.4"/>
  <cols>
    <col min="1" max="1" width="70.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12.35546875" style="47" bestFit="1" customWidth="1"/>
    <col min="17" max="17" width="9.140625" style="13"/>
    <col min="18" max="18" width="18.5" style="13" bestFit="1" customWidth="1"/>
    <col min="19" max="16384" width="9.140625" style="13"/>
  </cols>
  <sheetData>
    <row r="1" spans="1:19" ht="18" customHeight="1" x14ac:dyDescent="0.4">
      <c r="A1" s="11" t="str">
        <f>name</f>
        <v/>
      </c>
    </row>
    <row r="2" spans="1:19" x14ac:dyDescent="0.55000000000000004">
      <c r="A2" s="1" t="s">
        <v>13</v>
      </c>
      <c r="B2" s="28"/>
      <c r="C2" s="29"/>
      <c r="D2" s="29"/>
      <c r="E2" s="29"/>
      <c r="F2" s="29"/>
      <c r="G2" s="29"/>
      <c r="H2" s="29"/>
      <c r="I2" s="29"/>
      <c r="J2" s="29"/>
      <c r="K2" s="29"/>
      <c r="L2" s="29"/>
      <c r="M2" s="29"/>
      <c r="N2" s="29"/>
      <c r="O2" s="29"/>
      <c r="P2" s="48"/>
      <c r="R2" s="6" t="s">
        <v>430</v>
      </c>
      <c r="S2" s="6" t="s">
        <v>1012</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2215</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row>
    <row r="7" spans="1:19" s="40" customFormat="1" ht="14.25" x14ac:dyDescent="0.4">
      <c r="A7" s="39" t="s">
        <v>927</v>
      </c>
      <c r="B7" s="37" t="s">
        <v>2474</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1</v>
      </c>
    </row>
    <row r="8" spans="1:19" s="40" customFormat="1" ht="14.25" x14ac:dyDescent="0.4">
      <c r="A8" s="39" t="s">
        <v>929</v>
      </c>
      <c r="B8" s="37" t="s">
        <v>2475</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2</v>
      </c>
    </row>
    <row r="9" spans="1:19" s="40" customFormat="1" ht="14.25" x14ac:dyDescent="0.4">
      <c r="A9" s="39" t="s">
        <v>679</v>
      </c>
      <c r="B9" s="37" t="s">
        <v>2476</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3</v>
      </c>
    </row>
    <row r="10" spans="1:19" s="40" customFormat="1" ht="14.25" x14ac:dyDescent="0.4">
      <c r="A10" s="39" t="s">
        <v>684</v>
      </c>
      <c r="B10" s="37"/>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4</v>
      </c>
    </row>
    <row r="11" spans="1:19" s="40" customFormat="1" ht="28.5" x14ac:dyDescent="0.4">
      <c r="A11" s="39" t="s">
        <v>932</v>
      </c>
      <c r="B11" s="37" t="s">
        <v>2477</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622</v>
      </c>
    </row>
    <row r="12" spans="1:19" s="40" customFormat="1" ht="28.5" x14ac:dyDescent="0.4">
      <c r="A12" s="39" t="s">
        <v>934</v>
      </c>
      <c r="B12" s="37" t="s">
        <v>2478</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623</v>
      </c>
    </row>
    <row r="13" spans="1:19" s="40" customFormat="1" ht="14.25" x14ac:dyDescent="0.4">
      <c r="A13" s="39" t="s">
        <v>937</v>
      </c>
      <c r="B13" s="37" t="s">
        <v>2479</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624</v>
      </c>
    </row>
    <row r="14" spans="1:19" ht="28.5" x14ac:dyDescent="0.4">
      <c r="A14" s="39" t="s">
        <v>939</v>
      </c>
      <c r="B14" s="37" t="s">
        <v>2480</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625</v>
      </c>
    </row>
    <row r="15" spans="1:19" x14ac:dyDescent="0.4">
      <c r="A15" s="39" t="s">
        <v>941</v>
      </c>
      <c r="B15" s="37" t="s">
        <v>2481</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943</v>
      </c>
    </row>
    <row r="16" spans="1:19" s="47" customFormat="1" x14ac:dyDescent="0.4">
      <c r="A16" s="39" t="s">
        <v>944</v>
      </c>
      <c r="B16" s="37"/>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5</v>
      </c>
      <c r="Q16" s="13"/>
      <c r="R16" s="13"/>
      <c r="S16" s="13"/>
    </row>
    <row r="17" spans="1:19" s="47" customFormat="1" x14ac:dyDescent="0.4">
      <c r="A17" s="39" t="s">
        <v>945</v>
      </c>
      <c r="B17" s="37"/>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119</v>
      </c>
      <c r="Q17" s="13"/>
      <c r="R17" s="13"/>
      <c r="S17" s="13"/>
    </row>
    <row r="18" spans="1:19" s="47" customFormat="1" x14ac:dyDescent="0.4">
      <c r="A18" s="39" t="s">
        <v>759</v>
      </c>
      <c r="B18" s="37" t="s">
        <v>2482</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947</v>
      </c>
      <c r="Q18" s="13"/>
      <c r="R18" s="13"/>
      <c r="S18" s="13"/>
    </row>
    <row r="19" spans="1:19" s="47" customFormat="1" x14ac:dyDescent="0.4">
      <c r="A19" s="39" t="s">
        <v>765</v>
      </c>
      <c r="B19" s="37" t="s">
        <v>2483</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949</v>
      </c>
      <c r="Q19" s="13"/>
      <c r="R19" s="13"/>
      <c r="S19" s="13"/>
    </row>
    <row r="20" spans="1:19" s="47" customFormat="1" x14ac:dyDescent="0.4">
      <c r="A20" s="39" t="s">
        <v>771</v>
      </c>
      <c r="B20" s="37" t="s">
        <v>2484</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951</v>
      </c>
      <c r="Q20" s="13"/>
      <c r="R20" s="13"/>
      <c r="S20" s="13"/>
    </row>
    <row r="21" spans="1:19" s="47" customFormat="1" x14ac:dyDescent="0.4">
      <c r="A21" s="39" t="s">
        <v>952</v>
      </c>
      <c r="B21" s="37" t="s">
        <v>2485</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122</v>
      </c>
      <c r="Q21" s="13"/>
      <c r="R21" s="13"/>
      <c r="S21" s="13"/>
    </row>
    <row r="22" spans="1:19" s="47" customFormat="1" x14ac:dyDescent="0.4">
      <c r="A22" s="39" t="s">
        <v>954</v>
      </c>
      <c r="B22" s="37"/>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6</v>
      </c>
      <c r="Q22" s="13"/>
      <c r="R22" s="13"/>
      <c r="S22" s="13"/>
    </row>
    <row r="23" spans="1:19" s="47" customFormat="1" x14ac:dyDescent="0.4">
      <c r="A23" s="39" t="s">
        <v>1218</v>
      </c>
      <c r="B23" s="37" t="s">
        <v>2486</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172</v>
      </c>
      <c r="Q23" s="13"/>
      <c r="R23" s="13"/>
      <c r="S23" s="13"/>
    </row>
    <row r="24" spans="1:19" s="47" customFormat="1" x14ac:dyDescent="0.4">
      <c r="A24" s="39" t="s">
        <v>955</v>
      </c>
      <c r="B24" s="37"/>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957</v>
      </c>
      <c r="Q24" s="13"/>
      <c r="R24" s="13"/>
      <c r="S24" s="13"/>
    </row>
    <row r="25" spans="1:19" s="47" customFormat="1" x14ac:dyDescent="0.4">
      <c r="A25" s="39" t="s">
        <v>958</v>
      </c>
      <c r="B25" s="37"/>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960</v>
      </c>
      <c r="Q25" s="13"/>
      <c r="R25" s="13"/>
      <c r="S25" s="13"/>
    </row>
    <row r="26" spans="1:19" s="47" customFormat="1" x14ac:dyDescent="0.4">
      <c r="A26" s="39" t="s">
        <v>961</v>
      </c>
      <c r="B26" s="37"/>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962</v>
      </c>
      <c r="Q26" s="13"/>
      <c r="R26" s="13"/>
      <c r="S26" s="13"/>
    </row>
    <row r="27" spans="1:19" s="47" customFormat="1" ht="28.5" x14ac:dyDescent="0.4">
      <c r="A27" s="39" t="s">
        <v>963</v>
      </c>
      <c r="B27" s="37"/>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965</v>
      </c>
      <c r="Q27" s="13"/>
      <c r="R27" s="13"/>
      <c r="S27" s="13"/>
    </row>
    <row r="28" spans="1:19" s="47" customFormat="1" x14ac:dyDescent="0.4">
      <c r="A28" s="39" t="s">
        <v>966</v>
      </c>
      <c r="B28" s="37"/>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967</v>
      </c>
      <c r="Q28" s="13"/>
      <c r="R28" s="13"/>
      <c r="S28" s="13"/>
    </row>
    <row r="29" spans="1:19" s="47" customFormat="1" x14ac:dyDescent="0.4">
      <c r="A29" s="39" t="s">
        <v>968</v>
      </c>
      <c r="B29" s="37"/>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970</v>
      </c>
      <c r="Q29" s="13"/>
      <c r="R29" s="13"/>
      <c r="S29" s="13"/>
    </row>
    <row r="30" spans="1:19" s="47" customFormat="1" x14ac:dyDescent="0.4">
      <c r="A30" s="39" t="s">
        <v>971</v>
      </c>
      <c r="B30" s="37"/>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973</v>
      </c>
      <c r="Q30" s="13"/>
      <c r="R30" s="13"/>
      <c r="S30" s="13"/>
    </row>
    <row r="31" spans="1:19" s="47" customFormat="1" x14ac:dyDescent="0.4">
      <c r="A31" s="39" t="s">
        <v>974</v>
      </c>
      <c r="B31" s="37"/>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976</v>
      </c>
      <c r="Q31" s="13"/>
      <c r="R31" s="13"/>
      <c r="S31" s="13"/>
    </row>
    <row r="32" spans="1:19" s="47" customFormat="1" x14ac:dyDescent="0.4">
      <c r="A32" s="39" t="s">
        <v>977</v>
      </c>
      <c r="B32" s="37"/>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979</v>
      </c>
      <c r="Q32" s="13"/>
      <c r="R32" s="13"/>
      <c r="S32" s="13"/>
    </row>
    <row r="33" spans="1:19" s="47" customFormat="1" x14ac:dyDescent="0.4">
      <c r="A33" s="39" t="s">
        <v>980</v>
      </c>
      <c r="B33" s="37" t="s">
        <v>2487</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175</v>
      </c>
      <c r="Q33" s="13"/>
      <c r="R33" s="13"/>
      <c r="S33" s="13"/>
    </row>
    <row r="34" spans="1:19" s="47" customFormat="1" ht="28.5" x14ac:dyDescent="0.4">
      <c r="A34" s="39" t="s">
        <v>982</v>
      </c>
      <c r="B34" s="37"/>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983</v>
      </c>
      <c r="Q34" s="13"/>
      <c r="R34" s="13"/>
      <c r="S34" s="13"/>
    </row>
    <row r="35" spans="1:19" s="47" customFormat="1" x14ac:dyDescent="0.4">
      <c r="A35" s="39" t="s">
        <v>984</v>
      </c>
      <c r="B35" s="37" t="s">
        <v>2488</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986</v>
      </c>
      <c r="Q35" s="13"/>
      <c r="R35" s="13"/>
      <c r="S35" s="13"/>
    </row>
    <row r="36" spans="1:19" s="47" customFormat="1" x14ac:dyDescent="0.4">
      <c r="A36" s="39" t="s">
        <v>987</v>
      </c>
      <c r="B36" s="37" t="s">
        <v>2489</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989</v>
      </c>
      <c r="Q36" s="13"/>
      <c r="R36" s="13"/>
      <c r="S36" s="13"/>
    </row>
    <row r="37" spans="1:19" s="47" customFormat="1" x14ac:dyDescent="0.4">
      <c r="A37" s="39" t="s">
        <v>990</v>
      </c>
      <c r="B37" s="37" t="s">
        <v>2490</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992</v>
      </c>
      <c r="Q37" s="13"/>
      <c r="R37" s="13"/>
      <c r="S37" s="13"/>
    </row>
    <row r="38" spans="1:19" s="47" customFormat="1" x14ac:dyDescent="0.4">
      <c r="A38" s="39" t="s">
        <v>530</v>
      </c>
      <c r="B38" s="37" t="s">
        <v>2491</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994</v>
      </c>
      <c r="Q38" s="13"/>
      <c r="R38" s="13"/>
      <c r="S38" s="13"/>
    </row>
    <row r="39" spans="1:19" s="47" customFormat="1" x14ac:dyDescent="0.4">
      <c r="A39" s="39" t="s">
        <v>995</v>
      </c>
      <c r="B39" s="37" t="s">
        <v>2492</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997</v>
      </c>
      <c r="Q39" s="13"/>
      <c r="R39" s="13"/>
      <c r="S39" s="13"/>
    </row>
    <row r="40" spans="1:19" s="47" customFormat="1" x14ac:dyDescent="0.4">
      <c r="A40" s="39" t="s">
        <v>2493</v>
      </c>
      <c r="B40" s="37"/>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7</v>
      </c>
      <c r="Q40" s="13"/>
      <c r="R40" s="13"/>
      <c r="S40" s="13"/>
    </row>
    <row r="41" spans="1:19" s="47" customFormat="1" x14ac:dyDescent="0.4">
      <c r="A41" s="39" t="s">
        <v>998</v>
      </c>
      <c r="B41" s="37"/>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8</v>
      </c>
      <c r="Q41" s="13"/>
      <c r="R41" s="13"/>
      <c r="S41" s="13"/>
    </row>
    <row r="42" spans="1:19" s="47" customFormat="1" x14ac:dyDescent="0.4">
      <c r="A42" s="39" t="s">
        <v>999</v>
      </c>
      <c r="B42" s="37" t="s">
        <v>2494</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9</v>
      </c>
      <c r="Q42" s="13"/>
      <c r="R42" s="13"/>
      <c r="S42" s="13"/>
    </row>
    <row r="43" spans="1:19" s="47" customFormat="1" x14ac:dyDescent="0.4">
      <c r="A43" s="39" t="s">
        <v>1001</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10</v>
      </c>
      <c r="Q43" s="13"/>
      <c r="R43" s="13"/>
      <c r="S43" s="13"/>
    </row>
    <row r="44" spans="1:19" s="47" customFormat="1" x14ac:dyDescent="0.4">
      <c r="A44" s="39" t="s">
        <v>1002</v>
      </c>
      <c r="B44" s="37" t="s">
        <v>2495</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11</v>
      </c>
      <c r="Q44" s="13"/>
      <c r="R44" s="13"/>
      <c r="S44" s="13"/>
    </row>
    <row r="45" spans="1:19" s="47" customFormat="1" ht="28.5" x14ac:dyDescent="0.4">
      <c r="A45" s="39" t="s">
        <v>2496</v>
      </c>
      <c r="B45" s="37" t="s">
        <v>2186</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v>12</v>
      </c>
      <c r="Q45" s="13"/>
      <c r="R45" s="13"/>
      <c r="S45" s="13"/>
    </row>
    <row r="46" spans="1:19" s="47" customFormat="1" x14ac:dyDescent="0.4">
      <c r="A46" s="39" t="s">
        <v>1004</v>
      </c>
      <c r="B46" s="37"/>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v>13</v>
      </c>
      <c r="Q46" s="13"/>
      <c r="R46" s="13"/>
      <c r="S46" s="13"/>
    </row>
    <row r="47" spans="1:19" s="47" customFormat="1" x14ac:dyDescent="0.4">
      <c r="A47" s="39" t="s">
        <v>1005</v>
      </c>
      <c r="B47" s="37" t="s">
        <v>2497</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628</v>
      </c>
      <c r="Q47" s="13"/>
      <c r="R47" s="13"/>
      <c r="S47" s="13"/>
    </row>
    <row r="48" spans="1:19" s="47" customFormat="1" x14ac:dyDescent="0.4">
      <c r="A48" s="39" t="s">
        <v>1007</v>
      </c>
      <c r="B48" s="37" t="s">
        <v>2498</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631</v>
      </c>
      <c r="Q48" s="13"/>
      <c r="R48" s="13"/>
      <c r="S48" s="13"/>
    </row>
    <row r="49" spans="1:19" s="47" customFormat="1" x14ac:dyDescent="0.4">
      <c r="A49" s="39" t="s">
        <v>1009</v>
      </c>
      <c r="B49" s="37" t="s">
        <v>2499</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v>14</v>
      </c>
      <c r="Q49" s="13"/>
      <c r="R49" s="13"/>
      <c r="S49" s="13"/>
    </row>
    <row r="50" spans="1:19" s="47" customFormat="1" ht="28.5" x14ac:dyDescent="0.4">
      <c r="A50" s="39" t="s">
        <v>2500</v>
      </c>
      <c r="B50" s="37" t="s">
        <v>2199</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v>15</v>
      </c>
      <c r="Q50" s="13"/>
      <c r="R50" s="13"/>
      <c r="S50" s="13"/>
    </row>
    <row r="51" spans="1:19" s="47" customFormat="1" x14ac:dyDescent="0.4">
      <c r="A51" s="39"/>
      <c r="B51" s="37"/>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c r="Q51" s="13"/>
      <c r="R51" s="13"/>
      <c r="S51" s="13"/>
    </row>
    <row r="52" spans="1:19" s="47" customFormat="1" x14ac:dyDescent="0.4">
      <c r="A52" s="39" t="s">
        <v>208</v>
      </c>
      <c r="B52" s="37"/>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c r="Q52" s="13"/>
      <c r="R52" s="13"/>
      <c r="S52" s="13"/>
    </row>
    <row r="53" spans="1:19" s="47" customFormat="1" ht="28.5" x14ac:dyDescent="0.4">
      <c r="A53" s="39" t="s">
        <v>2501</v>
      </c>
      <c r="B53" s="37"/>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210</v>
      </c>
      <c r="Q53" s="13"/>
      <c r="R53" s="13"/>
      <c r="S53" s="13"/>
    </row>
    <row r="54" spans="1:19" s="47" customFormat="1" x14ac:dyDescent="0.4">
      <c r="A54" s="39" t="s">
        <v>1218</v>
      </c>
      <c r="B54" s="37" t="s">
        <v>2502</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1011</v>
      </c>
      <c r="Q54" s="13"/>
      <c r="R54" s="13"/>
      <c r="S54" s="13"/>
    </row>
    <row r="55" spans="1:19" s="47" customFormat="1" x14ac:dyDescent="0.4">
      <c r="A55" s="39" t="s">
        <v>955</v>
      </c>
      <c r="B55" s="37"/>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1047</v>
      </c>
      <c r="Q55" s="13"/>
      <c r="R55" s="13"/>
      <c r="S55" s="13"/>
    </row>
    <row r="56" spans="1:19" s="47" customFormat="1" x14ac:dyDescent="0.4">
      <c r="A56" s="39" t="s">
        <v>958</v>
      </c>
      <c r="B56" s="37"/>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1048</v>
      </c>
      <c r="Q56" s="13"/>
      <c r="R56" s="13"/>
      <c r="S56" s="13"/>
    </row>
    <row r="57" spans="1:19" s="47" customFormat="1" x14ac:dyDescent="0.4">
      <c r="A57" s="39" t="s">
        <v>961</v>
      </c>
      <c r="B57" s="37"/>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1049</v>
      </c>
      <c r="Q57" s="13"/>
      <c r="R57" s="13"/>
      <c r="S57" s="13"/>
    </row>
    <row r="58" spans="1:19" s="47" customFormat="1" ht="28.5" x14ac:dyDescent="0.4">
      <c r="A58" s="39" t="s">
        <v>963</v>
      </c>
      <c r="B58" s="37"/>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1050</v>
      </c>
      <c r="Q58" s="13"/>
      <c r="R58" s="13"/>
      <c r="S58" s="13"/>
    </row>
    <row r="59" spans="1:19" s="47" customFormat="1" x14ac:dyDescent="0.4">
      <c r="A59" s="39" t="s">
        <v>966</v>
      </c>
      <c r="B59" s="37"/>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1051</v>
      </c>
      <c r="Q59" s="13"/>
      <c r="R59" s="13"/>
      <c r="S59" s="13"/>
    </row>
    <row r="60" spans="1:19" s="47" customFormat="1" x14ac:dyDescent="0.4">
      <c r="A60" s="39" t="s">
        <v>968</v>
      </c>
      <c r="B60" s="37"/>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1052</v>
      </c>
      <c r="Q60" s="13"/>
      <c r="R60" s="13"/>
      <c r="S60" s="13"/>
    </row>
    <row r="61" spans="1:19" s="47" customFormat="1" x14ac:dyDescent="0.4">
      <c r="A61" s="39" t="s">
        <v>971</v>
      </c>
      <c r="B61" s="37"/>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1053</v>
      </c>
      <c r="Q61" s="13"/>
      <c r="R61" s="13"/>
      <c r="S61" s="13"/>
    </row>
    <row r="62" spans="1:19" s="47" customFormat="1" x14ac:dyDescent="0.4">
      <c r="A62" s="39" t="s">
        <v>974</v>
      </c>
      <c r="B62" s="37"/>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1054</v>
      </c>
      <c r="Q62" s="13"/>
      <c r="R62" s="13"/>
      <c r="S62" s="13"/>
    </row>
    <row r="63" spans="1:19" s="47" customFormat="1" x14ac:dyDescent="0.4">
      <c r="A63" s="39" t="s">
        <v>977</v>
      </c>
      <c r="B63" s="37"/>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1055</v>
      </c>
      <c r="Q63" s="13"/>
      <c r="R63" s="13"/>
      <c r="S63" s="13"/>
    </row>
    <row r="64" spans="1:19" s="47" customFormat="1" x14ac:dyDescent="0.4">
      <c r="A64" s="39" t="s">
        <v>980</v>
      </c>
      <c r="B64" s="37" t="s">
        <v>2503</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1056</v>
      </c>
      <c r="Q64" s="13"/>
      <c r="R64" s="13"/>
      <c r="S64" s="13"/>
    </row>
    <row r="65" spans="1:19" s="47" customFormat="1" ht="28.5" x14ac:dyDescent="0.4">
      <c r="A65" s="39" t="s">
        <v>982</v>
      </c>
      <c r="B65" s="37"/>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1057</v>
      </c>
      <c r="Q65" s="13"/>
      <c r="R65" s="13"/>
      <c r="S65" s="13"/>
    </row>
    <row r="66" spans="1:19" s="47" customFormat="1" x14ac:dyDescent="0.4">
      <c r="A66" s="39" t="s">
        <v>984</v>
      </c>
      <c r="B66" s="37" t="s">
        <v>2504</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1058</v>
      </c>
      <c r="Q66" s="13"/>
      <c r="R66" s="13"/>
      <c r="S66" s="13"/>
    </row>
    <row r="67" spans="1:19" s="47" customFormat="1" x14ac:dyDescent="0.4">
      <c r="A67" s="39" t="s">
        <v>987</v>
      </c>
      <c r="B67" s="37" t="s">
        <v>2505</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1059</v>
      </c>
      <c r="Q67" s="13"/>
      <c r="R67" s="13"/>
      <c r="S67" s="13"/>
    </row>
    <row r="68" spans="1:19" s="47" customFormat="1" x14ac:dyDescent="0.4">
      <c r="A68" s="39" t="s">
        <v>990</v>
      </c>
      <c r="B68" s="37" t="s">
        <v>2506</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1060</v>
      </c>
      <c r="Q68" s="13"/>
      <c r="R68" s="13"/>
      <c r="S68" s="13"/>
    </row>
    <row r="69" spans="1:19" s="47" customFormat="1" x14ac:dyDescent="0.4">
      <c r="A69" s="39" t="s">
        <v>530</v>
      </c>
      <c r="B69" s="37" t="s">
        <v>2507</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1061</v>
      </c>
      <c r="Q69" s="13"/>
      <c r="R69" s="13"/>
      <c r="S69" s="13"/>
    </row>
    <row r="70" spans="1:19" s="47" customFormat="1" x14ac:dyDescent="0.4">
      <c r="A70" s="39" t="s">
        <v>995</v>
      </c>
      <c r="B70" s="37" t="s">
        <v>2508</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1062</v>
      </c>
      <c r="Q70" s="13"/>
      <c r="R70" s="13"/>
      <c r="S70" s="13"/>
    </row>
    <row r="71" spans="1:19" s="47" customFormat="1" x14ac:dyDescent="0.4">
      <c r="A71" s="39" t="s">
        <v>1026</v>
      </c>
      <c r="B71" s="37"/>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213</v>
      </c>
      <c r="Q71" s="13"/>
      <c r="R71" s="13"/>
      <c r="S71" s="13"/>
    </row>
    <row r="72" spans="1:19" s="47" customFormat="1" x14ac:dyDescent="0.4">
      <c r="A72" s="39" t="s">
        <v>1027</v>
      </c>
      <c r="B72" s="37" t="s">
        <v>2509</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414</v>
      </c>
      <c r="Q72" s="13"/>
      <c r="R72" s="13"/>
      <c r="S72" s="13"/>
    </row>
    <row r="73" spans="1:19" s="47" customFormat="1" x14ac:dyDescent="0.4">
      <c r="A73" s="39" t="s">
        <v>1029</v>
      </c>
      <c r="B73" s="37" t="s">
        <v>2510</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417</v>
      </c>
      <c r="Q73" s="13"/>
      <c r="R73" s="13"/>
      <c r="S73" s="13"/>
    </row>
    <row r="74" spans="1:19" s="47" customFormat="1" ht="42.75" x14ac:dyDescent="0.4">
      <c r="A74" s="39" t="s">
        <v>2511</v>
      </c>
      <c r="B74" s="37"/>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215</v>
      </c>
      <c r="Q74" s="13"/>
      <c r="R74" s="13"/>
      <c r="S74" s="13"/>
    </row>
    <row r="75" spans="1:19" s="47" customFormat="1" x14ac:dyDescent="0.4">
      <c r="A75" s="39" t="s">
        <v>877</v>
      </c>
      <c r="B75" s="37" t="s">
        <v>2512</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1063</v>
      </c>
      <c r="Q75" s="13"/>
      <c r="R75" s="13"/>
      <c r="S75" s="13"/>
    </row>
    <row r="76" spans="1:19" s="47" customFormat="1" x14ac:dyDescent="0.4">
      <c r="A76" s="39" t="s">
        <v>924</v>
      </c>
      <c r="B76" s="37" t="s">
        <v>2513</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1064</v>
      </c>
      <c r="Q76" s="13"/>
      <c r="R76" s="13"/>
      <c r="S76" s="13"/>
    </row>
    <row r="77" spans="1:19" s="47" customFormat="1" x14ac:dyDescent="0.4">
      <c r="A77" s="39" t="s">
        <v>888</v>
      </c>
      <c r="B77" s="37" t="s">
        <v>2514</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1065</v>
      </c>
      <c r="Q77" s="13"/>
      <c r="R77" s="13"/>
      <c r="S77" s="13"/>
    </row>
    <row r="78" spans="1:19" s="47" customFormat="1" ht="28.5" x14ac:dyDescent="0.4">
      <c r="A78" s="39" t="s">
        <v>925</v>
      </c>
      <c r="B78" s="37" t="s">
        <v>2515</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1066</v>
      </c>
      <c r="Q78" s="13"/>
      <c r="R78" s="13"/>
      <c r="S78" s="13"/>
    </row>
    <row r="79" spans="1:19" s="47" customFormat="1" x14ac:dyDescent="0.4">
      <c r="A79" s="39" t="s">
        <v>926</v>
      </c>
      <c r="B79" s="37" t="s">
        <v>2516</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1067</v>
      </c>
      <c r="Q79" s="13"/>
      <c r="R79" s="13"/>
      <c r="S79" s="13"/>
    </row>
    <row r="80" spans="1:19" s="47" customFormat="1" x14ac:dyDescent="0.4">
      <c r="A80" s="39" t="s">
        <v>904</v>
      </c>
      <c r="B80" s="37" t="s">
        <v>2517</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1068</v>
      </c>
      <c r="Q80" s="13"/>
      <c r="R80" s="13"/>
      <c r="S80" s="13"/>
    </row>
    <row r="81" spans="1:19" s="47" customFormat="1" x14ac:dyDescent="0.4">
      <c r="A81" s="39" t="s">
        <v>910</v>
      </c>
      <c r="B81" s="37" t="s">
        <v>2518</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1069</v>
      </c>
      <c r="Q81" s="13"/>
      <c r="R81" s="13"/>
      <c r="S81" s="13"/>
    </row>
    <row r="82" spans="1:19" s="47" customFormat="1" x14ac:dyDescent="0.4">
      <c r="A82" s="39" t="s">
        <v>1038</v>
      </c>
      <c r="B82" s="37"/>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217</v>
      </c>
      <c r="Q82" s="13"/>
      <c r="R82" s="13"/>
      <c r="S82" s="13"/>
    </row>
    <row r="83" spans="1:19" s="47" customFormat="1" x14ac:dyDescent="0.4">
      <c r="A83" s="39" t="s">
        <v>1039</v>
      </c>
      <c r="B83" s="37" t="s">
        <v>2519</v>
      </c>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837</v>
      </c>
      <c r="Q83" s="13"/>
      <c r="R83" s="13"/>
      <c r="S83" s="13"/>
    </row>
    <row r="84" spans="1:19" s="47" customFormat="1" x14ac:dyDescent="0.4">
      <c r="A84" s="39" t="s">
        <v>2520</v>
      </c>
      <c r="B84" s="37" t="s">
        <v>2521</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840</v>
      </c>
      <c r="Q84" s="13"/>
      <c r="R84" s="13"/>
      <c r="S84" s="13"/>
    </row>
    <row r="85" spans="1:19" s="47" customFormat="1" x14ac:dyDescent="0.4">
      <c r="A85" s="39"/>
      <c r="B85" s="37"/>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c r="Q85" s="13"/>
      <c r="R85" s="13"/>
      <c r="S85" s="13"/>
    </row>
    <row r="86" spans="1:19" s="47" customFormat="1" x14ac:dyDescent="0.4">
      <c r="A86" s="39" t="s">
        <v>2216</v>
      </c>
      <c r="B86" s="37"/>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c r="Q86" s="13"/>
      <c r="R86" s="13"/>
      <c r="S86" s="13"/>
    </row>
    <row r="87" spans="1:19" s="47" customFormat="1" x14ac:dyDescent="0.4">
      <c r="A87" s="39" t="s">
        <v>927</v>
      </c>
      <c r="B87" s="37" t="s">
        <v>928</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v>1</v>
      </c>
      <c r="Q87" s="13"/>
      <c r="R87" s="13"/>
      <c r="S87" s="13"/>
    </row>
    <row r="88" spans="1:19" s="47" customFormat="1" x14ac:dyDescent="0.4">
      <c r="A88" s="39" t="s">
        <v>929</v>
      </c>
      <c r="B88" s="37" t="s">
        <v>930</v>
      </c>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v>2</v>
      </c>
      <c r="Q88" s="13"/>
      <c r="R88" s="13"/>
      <c r="S88" s="13"/>
    </row>
    <row r="89" spans="1:19" s="47" customFormat="1" x14ac:dyDescent="0.4">
      <c r="A89" s="39" t="s">
        <v>679</v>
      </c>
      <c r="B89" s="37" t="s">
        <v>931</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v>3</v>
      </c>
      <c r="Q89" s="13"/>
      <c r="R89" s="13"/>
      <c r="S89" s="13"/>
    </row>
    <row r="90" spans="1:19" s="47" customFormat="1" x14ac:dyDescent="0.4">
      <c r="A90" s="39" t="s">
        <v>684</v>
      </c>
      <c r="B90" s="37"/>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v>4</v>
      </c>
      <c r="Q90" s="13"/>
      <c r="R90" s="13"/>
      <c r="S90" s="13"/>
    </row>
    <row r="91" spans="1:19" s="47" customFormat="1" ht="28.5" x14ac:dyDescent="0.4">
      <c r="A91" s="39" t="s">
        <v>932</v>
      </c>
      <c r="B91" s="37" t="s">
        <v>933</v>
      </c>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622</v>
      </c>
      <c r="Q91" s="13"/>
      <c r="R91" s="13"/>
      <c r="S91" s="13"/>
    </row>
    <row r="92" spans="1:19" s="47" customFormat="1" ht="28.5" x14ac:dyDescent="0.4">
      <c r="A92" s="39" t="s">
        <v>934</v>
      </c>
      <c r="B92" s="37" t="s">
        <v>935</v>
      </c>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623</v>
      </c>
      <c r="Q92" s="13"/>
      <c r="R92" s="13"/>
      <c r="S92" s="13"/>
    </row>
    <row r="93" spans="1:19" s="47" customFormat="1" x14ac:dyDescent="0.4">
      <c r="A93" s="39" t="s">
        <v>937</v>
      </c>
      <c r="B93" s="37" t="s">
        <v>938</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624</v>
      </c>
      <c r="Q93" s="13"/>
      <c r="R93" s="13"/>
      <c r="S93" s="13"/>
    </row>
    <row r="94" spans="1:19" s="47" customFormat="1" ht="28.5" x14ac:dyDescent="0.4">
      <c r="A94" s="39" t="s">
        <v>939</v>
      </c>
      <c r="B94" s="37" t="s">
        <v>940</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625</v>
      </c>
      <c r="Q94" s="13"/>
      <c r="R94" s="13"/>
      <c r="S94" s="13"/>
    </row>
    <row r="95" spans="1:19" s="47" customFormat="1" x14ac:dyDescent="0.4">
      <c r="A95" s="39" t="s">
        <v>941</v>
      </c>
      <c r="B95" s="37" t="s">
        <v>942</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943</v>
      </c>
      <c r="Q95" s="13"/>
      <c r="R95" s="13"/>
      <c r="S95" s="13"/>
    </row>
    <row r="96" spans="1:19" s="47" customFormat="1" x14ac:dyDescent="0.4">
      <c r="A96" s="39" t="s">
        <v>944</v>
      </c>
      <c r="B96" s="37"/>
      <c r="C96" s="38" t="str">
        <f>IFERROR([1]!IntrinioBankFinancials(rssd_id,$S$2,C$5,C$4,$B96,"K"),"")</f>
        <v/>
      </c>
      <c r="D96" s="38" t="str">
        <f>IFERROR([1]!IntrinioBankFinancials(rssd_id,$S$2,D$5,D$4,$B96,"K"),"")</f>
        <v/>
      </c>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v>5</v>
      </c>
      <c r="Q96" s="13"/>
      <c r="R96" s="13"/>
      <c r="S96" s="13"/>
    </row>
    <row r="97" spans="1:16" x14ac:dyDescent="0.4">
      <c r="A97" s="39" t="s">
        <v>945</v>
      </c>
      <c r="B97" s="37"/>
      <c r="C97" s="38" t="str">
        <f>IFERROR([1]!IntrinioBankFinancials(rssd_id,$S$2,C$5,C$4,$B97,"K"),"")</f>
        <v/>
      </c>
      <c r="D97" s="38" t="str">
        <f>IFERROR([1]!IntrinioBankFinancials(rssd_id,$S$2,D$5,D$4,$B97,"K"),"")</f>
        <v/>
      </c>
      <c r="E97" s="38" t="str">
        <f>IFERROR([1]!IntrinioBankFinancials(rssd_id,$S$2,E$5,E$4,$B97,"K"),"")</f>
        <v/>
      </c>
      <c r="F97" s="38" t="str">
        <f>IFERROR([1]!IntrinioBankFinancials(rssd_id,$S$2,F$5,F$4,$B97,"K"),"")</f>
        <v/>
      </c>
      <c r="G97" s="38" t="str">
        <f>IFERROR([1]!IntrinioBankFinancials(rssd_id,$S$2,G$5,G$4,$B97,"K"),"")</f>
        <v/>
      </c>
      <c r="H97" s="38" t="str">
        <f>IFERROR([1]!IntrinioBankFinancials(rssd_id,$S$2,H$5,H$4,$B97,"K"),"")</f>
        <v/>
      </c>
      <c r="I97" s="38" t="str">
        <f>IFERROR([1]!IntrinioBankFinancials(rssd_id,$S$2,I$5,I$4,$B97,"K"),"")</f>
        <v/>
      </c>
      <c r="J97" s="38" t="str">
        <f>IFERROR([1]!IntrinioBankFinancials(rssd_id,$S$2,J$5,J$4,$B97,"K"),"")</f>
        <v/>
      </c>
      <c r="K97" s="38" t="str">
        <f>IFERROR([1]!IntrinioBankFinancials(rssd_id,$S$2,K$5,K$4,$B97,"K"),"")</f>
        <v/>
      </c>
      <c r="L97" s="38" t="str">
        <f>IFERROR([1]!IntrinioBankFinancials(rssd_id,$S$2,L$5,L$4,$B97,"K"),"")</f>
        <v/>
      </c>
      <c r="M97" s="38" t="str">
        <f>IFERROR([1]!IntrinioBankFinancials(rssd_id,$S$2,M$5,M$4,$B97,"K"),"")</f>
        <v/>
      </c>
      <c r="N97" s="38" t="str">
        <f>IFERROR([1]!IntrinioBankFinancials(rssd_id,$S$2,N$5,N$4,$B97,"K"),"")</f>
        <v/>
      </c>
      <c r="O97" s="38" t="str">
        <f>IFERROR([1]!IntrinioBankFinancials(rssd_id,$S$2,O$5,O$4,$B97,"K"),"")</f>
        <v/>
      </c>
      <c r="P97" s="49" t="s">
        <v>119</v>
      </c>
    </row>
    <row r="98" spans="1:16" x14ac:dyDescent="0.4">
      <c r="A98" s="39" t="s">
        <v>759</v>
      </c>
      <c r="B98" s="37" t="s">
        <v>946</v>
      </c>
      <c r="C98" s="38" t="str">
        <f>IFERROR([1]!IntrinioBankFinancials(rssd_id,$S$2,C$5,C$4,$B98,"K"),"")</f>
        <v/>
      </c>
      <c r="D98" s="38" t="str">
        <f>IFERROR([1]!IntrinioBankFinancials(rssd_id,$S$2,D$5,D$4,$B98,"K"),"")</f>
        <v/>
      </c>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947</v>
      </c>
    </row>
    <row r="99" spans="1:16" x14ac:dyDescent="0.4">
      <c r="A99" s="39" t="s">
        <v>765</v>
      </c>
      <c r="B99" s="37" t="s">
        <v>948</v>
      </c>
      <c r="C99" s="38" t="str">
        <f>IFERROR([1]!IntrinioBankFinancials(rssd_id,$S$2,C$5,C$4,$B99,"K"),"")</f>
        <v/>
      </c>
      <c r="D99" s="38" t="str">
        <f>IFERROR([1]!IntrinioBankFinancials(rssd_id,$S$2,D$5,D$4,$B99,"K"),"")</f>
        <v/>
      </c>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949</v>
      </c>
    </row>
    <row r="100" spans="1:16" x14ac:dyDescent="0.4">
      <c r="A100" s="39" t="s">
        <v>771</v>
      </c>
      <c r="B100" s="37" t="s">
        <v>950</v>
      </c>
      <c r="C100" s="38" t="str">
        <f>IFERROR([1]!IntrinioBankFinancials(rssd_id,$S$2,C$5,C$4,$B100,"K"),"")</f>
        <v/>
      </c>
      <c r="D100" s="38" t="str">
        <f>IFERROR([1]!IntrinioBankFinancials(rssd_id,$S$2,D$5,D$4,$B100,"K"),"")</f>
        <v/>
      </c>
      <c r="E100" s="38" t="str">
        <f>IFERROR([1]!IntrinioBankFinancials(rssd_id,$S$2,E$5,E$4,$B100,"K"),"")</f>
        <v/>
      </c>
      <c r="F100" s="38" t="str">
        <f>IFERROR([1]!IntrinioBankFinancials(rssd_id,$S$2,F$5,F$4,$B100,"K"),"")</f>
        <v/>
      </c>
      <c r="G100" s="38" t="str">
        <f>IFERROR([1]!IntrinioBankFinancials(rssd_id,$S$2,G$5,G$4,$B100,"K"),"")</f>
        <v/>
      </c>
      <c r="H100" s="38" t="str">
        <f>IFERROR([1]!IntrinioBankFinancials(rssd_id,$S$2,H$5,H$4,$B100,"K"),"")</f>
        <v/>
      </c>
      <c r="I100" s="38" t="str">
        <f>IFERROR([1]!IntrinioBankFinancials(rssd_id,$S$2,I$5,I$4,$B100,"K"),"")</f>
        <v/>
      </c>
      <c r="J100" s="38" t="str">
        <f>IFERROR([1]!IntrinioBankFinancials(rssd_id,$S$2,J$5,J$4,$B100,"K"),"")</f>
        <v/>
      </c>
      <c r="K100" s="38" t="str">
        <f>IFERROR([1]!IntrinioBankFinancials(rssd_id,$S$2,K$5,K$4,$B100,"K"),"")</f>
        <v/>
      </c>
      <c r="L100" s="38" t="str">
        <f>IFERROR([1]!IntrinioBankFinancials(rssd_id,$S$2,L$5,L$4,$B100,"K"),"")</f>
        <v/>
      </c>
      <c r="M100" s="38" t="str">
        <f>IFERROR([1]!IntrinioBankFinancials(rssd_id,$S$2,M$5,M$4,$B100,"K"),"")</f>
        <v/>
      </c>
      <c r="N100" s="38" t="str">
        <f>IFERROR([1]!IntrinioBankFinancials(rssd_id,$S$2,N$5,N$4,$B100,"K"),"")</f>
        <v/>
      </c>
      <c r="O100" s="38" t="str">
        <f>IFERROR([1]!IntrinioBankFinancials(rssd_id,$S$2,O$5,O$4,$B100,"K"),"")</f>
        <v/>
      </c>
      <c r="P100" s="49" t="s">
        <v>951</v>
      </c>
    </row>
    <row r="101" spans="1:16" x14ac:dyDescent="0.4">
      <c r="A101" s="39" t="s">
        <v>952</v>
      </c>
      <c r="B101" s="37" t="s">
        <v>953</v>
      </c>
      <c r="C101" s="38" t="str">
        <f>IFERROR([1]!IntrinioBankFinancials(rssd_id,$S$2,C$5,C$4,$B101,"K"),"")</f>
        <v/>
      </c>
      <c r="D101" s="38" t="str">
        <f>IFERROR([1]!IntrinioBankFinancials(rssd_id,$S$2,D$5,D$4,$B101,"K"),"")</f>
        <v/>
      </c>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122</v>
      </c>
    </row>
    <row r="102" spans="1:16" x14ac:dyDescent="0.4">
      <c r="A102" s="39" t="s">
        <v>954</v>
      </c>
      <c r="B102" s="37"/>
      <c r="C102" s="38" t="str">
        <f>IFERROR([1]!IntrinioBankFinancials(rssd_id,$S$2,C$5,C$4,$B102,"K"),"")</f>
        <v/>
      </c>
      <c r="D102" s="38" t="str">
        <f>IFERROR([1]!IntrinioBankFinancials(rssd_id,$S$2,D$5,D$4,$B102,"K"),"")</f>
        <v/>
      </c>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v>6</v>
      </c>
    </row>
    <row r="103" spans="1:16" x14ac:dyDescent="0.4">
      <c r="A103" s="39" t="s">
        <v>1218</v>
      </c>
      <c r="B103" s="37"/>
      <c r="C103" s="38" t="str">
        <f>IFERROR([1]!IntrinioBankFinancials(rssd_id,$S$2,C$5,C$4,$B103,"K"),"")</f>
        <v/>
      </c>
      <c r="D103" s="38" t="str">
        <f>IFERROR([1]!IntrinioBankFinancials(rssd_id,$S$2,D$5,D$4,$B103,"K"),"")</f>
        <v/>
      </c>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172</v>
      </c>
    </row>
    <row r="104" spans="1:16" x14ac:dyDescent="0.4">
      <c r="A104" s="39" t="s">
        <v>955</v>
      </c>
      <c r="B104" s="37" t="s">
        <v>956</v>
      </c>
      <c r="C104" s="38" t="str">
        <f>IFERROR([1]!IntrinioBankFinancials(rssd_id,$S$2,C$5,C$4,$B104,"K"),"")</f>
        <v/>
      </c>
      <c r="D104" s="38" t="str">
        <f>IFERROR([1]!IntrinioBankFinancials(rssd_id,$S$2,D$5,D$4,$B104,"K"),"")</f>
        <v/>
      </c>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957</v>
      </c>
    </row>
    <row r="105" spans="1:16" x14ac:dyDescent="0.4">
      <c r="A105" s="39" t="s">
        <v>958</v>
      </c>
      <c r="B105" s="37" t="s">
        <v>959</v>
      </c>
      <c r="C105" s="38" t="str">
        <f>IFERROR([1]!IntrinioBankFinancials(rssd_id,$S$2,C$5,C$4,$B105,"K"),"")</f>
        <v/>
      </c>
      <c r="D105" s="38" t="str">
        <f>IFERROR([1]!IntrinioBankFinancials(rssd_id,$S$2,D$5,D$4,$B105,"K"),"")</f>
        <v/>
      </c>
      <c r="E105" s="38" t="str">
        <f>IFERROR([1]!IntrinioBankFinancials(rssd_id,$S$2,E$5,E$4,$B105,"K"),"")</f>
        <v/>
      </c>
      <c r="F105" s="38" t="str">
        <f>IFERROR([1]!IntrinioBankFinancials(rssd_id,$S$2,F$5,F$4,$B105,"K"),"")</f>
        <v/>
      </c>
      <c r="G105" s="38" t="str">
        <f>IFERROR([1]!IntrinioBankFinancials(rssd_id,$S$2,G$5,G$4,$B105,"K"),"")</f>
        <v/>
      </c>
      <c r="H105" s="38" t="str">
        <f>IFERROR([1]!IntrinioBankFinancials(rssd_id,$S$2,H$5,H$4,$B105,"K"),"")</f>
        <v/>
      </c>
      <c r="I105" s="38" t="str">
        <f>IFERROR([1]!IntrinioBankFinancials(rssd_id,$S$2,I$5,I$4,$B105,"K"),"")</f>
        <v/>
      </c>
      <c r="J105" s="38" t="str">
        <f>IFERROR([1]!IntrinioBankFinancials(rssd_id,$S$2,J$5,J$4,$B105,"K"),"")</f>
        <v/>
      </c>
      <c r="K105" s="38" t="str">
        <f>IFERROR([1]!IntrinioBankFinancials(rssd_id,$S$2,K$5,K$4,$B105,"K"),"")</f>
        <v/>
      </c>
      <c r="L105" s="38" t="str">
        <f>IFERROR([1]!IntrinioBankFinancials(rssd_id,$S$2,L$5,L$4,$B105,"K"),"")</f>
        <v/>
      </c>
      <c r="M105" s="38" t="str">
        <f>IFERROR([1]!IntrinioBankFinancials(rssd_id,$S$2,M$5,M$4,$B105,"K"),"")</f>
        <v/>
      </c>
      <c r="N105" s="38" t="str">
        <f>IFERROR([1]!IntrinioBankFinancials(rssd_id,$S$2,N$5,N$4,$B105,"K"),"")</f>
        <v/>
      </c>
      <c r="O105" s="38" t="str">
        <f>IFERROR([1]!IntrinioBankFinancials(rssd_id,$S$2,O$5,O$4,$B105,"K"),"")</f>
        <v/>
      </c>
      <c r="P105" s="49" t="s">
        <v>960</v>
      </c>
    </row>
    <row r="106" spans="1:16" x14ac:dyDescent="0.4">
      <c r="A106" s="39" t="s">
        <v>961</v>
      </c>
      <c r="B106" s="37"/>
      <c r="C106" s="38" t="str">
        <f>IFERROR([1]!IntrinioBankFinancials(rssd_id,$S$2,C$5,C$4,$B106,"K"),"")</f>
        <v/>
      </c>
      <c r="D106" s="38" t="str">
        <f>IFERROR([1]!IntrinioBankFinancials(rssd_id,$S$2,D$5,D$4,$B106,"K"),"")</f>
        <v/>
      </c>
      <c r="E106" s="38" t="str">
        <f>IFERROR([1]!IntrinioBankFinancials(rssd_id,$S$2,E$5,E$4,$B106,"K"),"")</f>
        <v/>
      </c>
      <c r="F106" s="38" t="str">
        <f>IFERROR([1]!IntrinioBankFinancials(rssd_id,$S$2,F$5,F$4,$B106,"K"),"")</f>
        <v/>
      </c>
      <c r="G106" s="38" t="str">
        <f>IFERROR([1]!IntrinioBankFinancials(rssd_id,$S$2,G$5,G$4,$B106,"K"),"")</f>
        <v/>
      </c>
      <c r="H106" s="38" t="str">
        <f>IFERROR([1]!IntrinioBankFinancials(rssd_id,$S$2,H$5,H$4,$B106,"K"),"")</f>
        <v/>
      </c>
      <c r="I106" s="38" t="str">
        <f>IFERROR([1]!IntrinioBankFinancials(rssd_id,$S$2,I$5,I$4,$B106,"K"),"")</f>
        <v/>
      </c>
      <c r="J106" s="38" t="str">
        <f>IFERROR([1]!IntrinioBankFinancials(rssd_id,$S$2,J$5,J$4,$B106,"K"),"")</f>
        <v/>
      </c>
      <c r="K106" s="38" t="str">
        <f>IFERROR([1]!IntrinioBankFinancials(rssd_id,$S$2,K$5,K$4,$B106,"K"),"")</f>
        <v/>
      </c>
      <c r="L106" s="38" t="str">
        <f>IFERROR([1]!IntrinioBankFinancials(rssd_id,$S$2,L$5,L$4,$B106,"K"),"")</f>
        <v/>
      </c>
      <c r="M106" s="38" t="str">
        <f>IFERROR([1]!IntrinioBankFinancials(rssd_id,$S$2,M$5,M$4,$B106,"K"),"")</f>
        <v/>
      </c>
      <c r="N106" s="38" t="str">
        <f>IFERROR([1]!IntrinioBankFinancials(rssd_id,$S$2,N$5,N$4,$B106,"K"),"")</f>
        <v/>
      </c>
      <c r="O106" s="38" t="str">
        <f>IFERROR([1]!IntrinioBankFinancials(rssd_id,$S$2,O$5,O$4,$B106,"K"),"")</f>
        <v/>
      </c>
      <c r="P106" s="49" t="s">
        <v>962</v>
      </c>
    </row>
    <row r="107" spans="1:16" ht="28.5" x14ac:dyDescent="0.4">
      <c r="A107" s="39" t="s">
        <v>963</v>
      </c>
      <c r="B107" s="37" t="s">
        <v>964</v>
      </c>
      <c r="C107" s="38" t="str">
        <f>IFERROR([1]!IntrinioBankFinancials(rssd_id,$S$2,C$5,C$4,$B107,"K"),"")</f>
        <v/>
      </c>
      <c r="D107" s="38" t="str">
        <f>IFERROR([1]!IntrinioBankFinancials(rssd_id,$S$2,D$5,D$4,$B107,"K"),"")</f>
        <v/>
      </c>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t="s">
        <v>965</v>
      </c>
    </row>
    <row r="108" spans="1:16" x14ac:dyDescent="0.4">
      <c r="A108" s="39" t="s">
        <v>966</v>
      </c>
      <c r="B108" s="37"/>
      <c r="C108" s="38" t="str">
        <f>IFERROR([1]!IntrinioBankFinancials(rssd_id,$S$2,C$5,C$4,$B108,"K"),"")</f>
        <v/>
      </c>
      <c r="D108" s="38" t="str">
        <f>IFERROR([1]!IntrinioBankFinancials(rssd_id,$S$2,D$5,D$4,$B108,"K"),"")</f>
        <v/>
      </c>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t="s">
        <v>967</v>
      </c>
    </row>
    <row r="109" spans="1:16" x14ac:dyDescent="0.4">
      <c r="A109" s="39" t="s">
        <v>968</v>
      </c>
      <c r="B109" s="37" t="s">
        <v>969</v>
      </c>
      <c r="C109" s="38" t="str">
        <f>IFERROR([1]!IntrinioBankFinancials(rssd_id,$S$2,C$5,C$4,$B109,"K"),"")</f>
        <v/>
      </c>
      <c r="D109" s="38" t="str">
        <f>IFERROR([1]!IntrinioBankFinancials(rssd_id,$S$2,D$5,D$4,$B109,"K"),"")</f>
        <v/>
      </c>
      <c r="E109" s="38" t="str">
        <f>IFERROR([1]!IntrinioBankFinancials(rssd_id,$S$2,E$5,E$4,$B109,"K"),"")</f>
        <v/>
      </c>
      <c r="F109" s="38" t="str">
        <f>IFERROR([1]!IntrinioBankFinancials(rssd_id,$S$2,F$5,F$4,$B109,"K"),"")</f>
        <v/>
      </c>
      <c r="G109" s="38" t="str">
        <f>IFERROR([1]!IntrinioBankFinancials(rssd_id,$S$2,G$5,G$4,$B109,"K"),"")</f>
        <v/>
      </c>
      <c r="H109" s="38" t="str">
        <f>IFERROR([1]!IntrinioBankFinancials(rssd_id,$S$2,H$5,H$4,$B109,"K"),"")</f>
        <v/>
      </c>
      <c r="I109" s="38" t="str">
        <f>IFERROR([1]!IntrinioBankFinancials(rssd_id,$S$2,I$5,I$4,$B109,"K"),"")</f>
        <v/>
      </c>
      <c r="J109" s="38" t="str">
        <f>IFERROR([1]!IntrinioBankFinancials(rssd_id,$S$2,J$5,J$4,$B109,"K"),"")</f>
        <v/>
      </c>
      <c r="K109" s="38" t="str">
        <f>IFERROR([1]!IntrinioBankFinancials(rssd_id,$S$2,K$5,K$4,$B109,"K"),"")</f>
        <v/>
      </c>
      <c r="L109" s="38" t="str">
        <f>IFERROR([1]!IntrinioBankFinancials(rssd_id,$S$2,L$5,L$4,$B109,"K"),"")</f>
        <v/>
      </c>
      <c r="M109" s="38" t="str">
        <f>IFERROR([1]!IntrinioBankFinancials(rssd_id,$S$2,M$5,M$4,$B109,"K"),"")</f>
        <v/>
      </c>
      <c r="N109" s="38" t="str">
        <f>IFERROR([1]!IntrinioBankFinancials(rssd_id,$S$2,N$5,N$4,$B109,"K"),"")</f>
        <v/>
      </c>
      <c r="O109" s="38" t="str">
        <f>IFERROR([1]!IntrinioBankFinancials(rssd_id,$S$2,O$5,O$4,$B109,"K"),"")</f>
        <v/>
      </c>
      <c r="P109" s="49" t="s">
        <v>970</v>
      </c>
    </row>
    <row r="110" spans="1:16" x14ac:dyDescent="0.4">
      <c r="A110" s="39" t="s">
        <v>971</v>
      </c>
      <c r="B110" s="37" t="s">
        <v>972</v>
      </c>
      <c r="C110" s="38" t="str">
        <f>IFERROR([1]!IntrinioBankFinancials(rssd_id,$S$2,C$5,C$4,$B110,"K"),"")</f>
        <v/>
      </c>
      <c r="D110" s="38" t="str">
        <f>IFERROR([1]!IntrinioBankFinancials(rssd_id,$S$2,D$5,D$4,$B110,"K"),"")</f>
        <v/>
      </c>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t="s">
        <v>973</v>
      </c>
    </row>
    <row r="111" spans="1:16" x14ac:dyDescent="0.4">
      <c r="A111" s="39" t="s">
        <v>974</v>
      </c>
      <c r="B111" s="37" t="s">
        <v>975</v>
      </c>
      <c r="C111" s="38" t="str">
        <f>IFERROR([1]!IntrinioBankFinancials(rssd_id,$S$2,C$5,C$4,$B111,"K"),"")</f>
        <v/>
      </c>
      <c r="D111" s="38" t="str">
        <f>IFERROR([1]!IntrinioBankFinancials(rssd_id,$S$2,D$5,D$4,$B111,"K"),"")</f>
        <v/>
      </c>
      <c r="E111" s="38" t="str">
        <f>IFERROR([1]!IntrinioBankFinancials(rssd_id,$S$2,E$5,E$4,$B111,"K"),"")</f>
        <v/>
      </c>
      <c r="F111" s="38" t="str">
        <f>IFERROR([1]!IntrinioBankFinancials(rssd_id,$S$2,F$5,F$4,$B111,"K"),"")</f>
        <v/>
      </c>
      <c r="G111" s="38" t="str">
        <f>IFERROR([1]!IntrinioBankFinancials(rssd_id,$S$2,G$5,G$4,$B111,"K"),"")</f>
        <v/>
      </c>
      <c r="H111" s="38" t="str">
        <f>IFERROR([1]!IntrinioBankFinancials(rssd_id,$S$2,H$5,H$4,$B111,"K"),"")</f>
        <v/>
      </c>
      <c r="I111" s="38" t="str">
        <f>IFERROR([1]!IntrinioBankFinancials(rssd_id,$S$2,I$5,I$4,$B111,"K"),"")</f>
        <v/>
      </c>
      <c r="J111" s="38" t="str">
        <f>IFERROR([1]!IntrinioBankFinancials(rssd_id,$S$2,J$5,J$4,$B111,"K"),"")</f>
        <v/>
      </c>
      <c r="K111" s="38" t="str">
        <f>IFERROR([1]!IntrinioBankFinancials(rssd_id,$S$2,K$5,K$4,$B111,"K"),"")</f>
        <v/>
      </c>
      <c r="L111" s="38" t="str">
        <f>IFERROR([1]!IntrinioBankFinancials(rssd_id,$S$2,L$5,L$4,$B111,"K"),"")</f>
        <v/>
      </c>
      <c r="M111" s="38" t="str">
        <f>IFERROR([1]!IntrinioBankFinancials(rssd_id,$S$2,M$5,M$4,$B111,"K"),"")</f>
        <v/>
      </c>
      <c r="N111" s="38" t="str">
        <f>IFERROR([1]!IntrinioBankFinancials(rssd_id,$S$2,N$5,N$4,$B111,"K"),"")</f>
        <v/>
      </c>
      <c r="O111" s="38" t="str">
        <f>IFERROR([1]!IntrinioBankFinancials(rssd_id,$S$2,O$5,O$4,$B111,"K"),"")</f>
        <v/>
      </c>
      <c r="P111" s="49" t="s">
        <v>976</v>
      </c>
    </row>
    <row r="112" spans="1:16" x14ac:dyDescent="0.4">
      <c r="A112" s="39" t="s">
        <v>977</v>
      </c>
      <c r="B112" s="37" t="s">
        <v>978</v>
      </c>
      <c r="C112" s="38" t="str">
        <f>IFERROR([1]!IntrinioBankFinancials(rssd_id,$S$2,C$5,C$4,$B112,"K"),"")</f>
        <v/>
      </c>
      <c r="D112" s="38" t="str">
        <f>IFERROR([1]!IntrinioBankFinancials(rssd_id,$S$2,D$5,D$4,$B112,"K"),"")</f>
        <v/>
      </c>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979</v>
      </c>
    </row>
    <row r="113" spans="1:16" x14ac:dyDescent="0.4">
      <c r="A113" s="39" t="s">
        <v>980</v>
      </c>
      <c r="B113" s="37" t="s">
        <v>981</v>
      </c>
      <c r="C113" s="38" t="str">
        <f>IFERROR([1]!IntrinioBankFinancials(rssd_id,$S$2,C$5,C$4,$B113,"K"),"")</f>
        <v/>
      </c>
      <c r="D113" s="38" t="str">
        <f>IFERROR([1]!IntrinioBankFinancials(rssd_id,$S$2,D$5,D$4,$B113,"K"),"")</f>
        <v/>
      </c>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t="s">
        <v>175</v>
      </c>
    </row>
    <row r="114" spans="1:16" ht="28.5" x14ac:dyDescent="0.4">
      <c r="A114" s="39" t="s">
        <v>982</v>
      </c>
      <c r="B114" s="37"/>
      <c r="C114" s="38" t="str">
        <f>IFERROR([1]!IntrinioBankFinancials(rssd_id,$S$2,C$5,C$4,$B114,"K"),"")</f>
        <v/>
      </c>
      <c r="D114" s="38" t="str">
        <f>IFERROR([1]!IntrinioBankFinancials(rssd_id,$S$2,D$5,D$4,$B114,"K"),"")</f>
        <v/>
      </c>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t="s">
        <v>983</v>
      </c>
    </row>
    <row r="115" spans="1:16" x14ac:dyDescent="0.4">
      <c r="A115" s="39" t="s">
        <v>984</v>
      </c>
      <c r="B115" s="37" t="s">
        <v>985</v>
      </c>
      <c r="C115" s="38" t="str">
        <f>IFERROR([1]!IntrinioBankFinancials(rssd_id,$S$2,C$5,C$4,$B115,"K"),"")</f>
        <v/>
      </c>
      <c r="D115" s="38" t="str">
        <f>IFERROR([1]!IntrinioBankFinancials(rssd_id,$S$2,D$5,D$4,$B115,"K"),"")</f>
        <v/>
      </c>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t="s">
        <v>986</v>
      </c>
    </row>
    <row r="116" spans="1:16" x14ac:dyDescent="0.4">
      <c r="A116" s="39" t="s">
        <v>987</v>
      </c>
      <c r="B116" s="37" t="s">
        <v>988</v>
      </c>
      <c r="C116" s="38" t="str">
        <f>IFERROR([1]!IntrinioBankFinancials(rssd_id,$S$2,C$5,C$4,$B116,"K"),"")</f>
        <v/>
      </c>
      <c r="D116" s="38" t="str">
        <f>IFERROR([1]!IntrinioBankFinancials(rssd_id,$S$2,D$5,D$4,$B116,"K"),"")</f>
        <v/>
      </c>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t="s">
        <v>989</v>
      </c>
    </row>
    <row r="117" spans="1:16" x14ac:dyDescent="0.4">
      <c r="A117" s="39" t="s">
        <v>990</v>
      </c>
      <c r="B117" s="37" t="s">
        <v>991</v>
      </c>
      <c r="C117" s="38" t="str">
        <f>IFERROR([1]!IntrinioBankFinancials(rssd_id,$S$2,C$5,C$4,$B117,"K"),"")</f>
        <v/>
      </c>
      <c r="D117" s="38" t="str">
        <f>IFERROR([1]!IntrinioBankFinancials(rssd_id,$S$2,D$5,D$4,$B117,"K"),"")</f>
        <v/>
      </c>
      <c r="E117" s="38" t="str">
        <f>IFERROR([1]!IntrinioBankFinancials(rssd_id,$S$2,E$5,E$4,$B117,"K"),"")</f>
        <v/>
      </c>
      <c r="F117" s="38" t="str">
        <f>IFERROR([1]!IntrinioBankFinancials(rssd_id,$S$2,F$5,F$4,$B117,"K"),"")</f>
        <v/>
      </c>
      <c r="G117" s="38" t="str">
        <f>IFERROR([1]!IntrinioBankFinancials(rssd_id,$S$2,G$5,G$4,$B117,"K"),"")</f>
        <v/>
      </c>
      <c r="H117" s="38" t="str">
        <f>IFERROR([1]!IntrinioBankFinancials(rssd_id,$S$2,H$5,H$4,$B117,"K"),"")</f>
        <v/>
      </c>
      <c r="I117" s="38" t="str">
        <f>IFERROR([1]!IntrinioBankFinancials(rssd_id,$S$2,I$5,I$4,$B117,"K"),"")</f>
        <v/>
      </c>
      <c r="J117" s="38" t="str">
        <f>IFERROR([1]!IntrinioBankFinancials(rssd_id,$S$2,J$5,J$4,$B117,"K"),"")</f>
        <v/>
      </c>
      <c r="K117" s="38" t="str">
        <f>IFERROR([1]!IntrinioBankFinancials(rssd_id,$S$2,K$5,K$4,$B117,"K"),"")</f>
        <v/>
      </c>
      <c r="L117" s="38" t="str">
        <f>IFERROR([1]!IntrinioBankFinancials(rssd_id,$S$2,L$5,L$4,$B117,"K"),"")</f>
        <v/>
      </c>
      <c r="M117" s="38" t="str">
        <f>IFERROR([1]!IntrinioBankFinancials(rssd_id,$S$2,M$5,M$4,$B117,"K"),"")</f>
        <v/>
      </c>
      <c r="N117" s="38" t="str">
        <f>IFERROR([1]!IntrinioBankFinancials(rssd_id,$S$2,N$5,N$4,$B117,"K"),"")</f>
        <v/>
      </c>
      <c r="O117" s="38" t="str">
        <f>IFERROR([1]!IntrinioBankFinancials(rssd_id,$S$2,O$5,O$4,$B117,"K"),"")</f>
        <v/>
      </c>
      <c r="P117" s="49" t="s">
        <v>992</v>
      </c>
    </row>
    <row r="118" spans="1:16" x14ac:dyDescent="0.4">
      <c r="A118" s="39" t="s">
        <v>530</v>
      </c>
      <c r="B118" s="37" t="s">
        <v>993</v>
      </c>
      <c r="C118" s="38" t="str">
        <f>IFERROR([1]!IntrinioBankFinancials(rssd_id,$S$2,C$5,C$4,$B118,"K"),"")</f>
        <v/>
      </c>
      <c r="D118" s="38" t="str">
        <f>IFERROR([1]!IntrinioBankFinancials(rssd_id,$S$2,D$5,D$4,$B118,"K"),"")</f>
        <v/>
      </c>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994</v>
      </c>
    </row>
    <row r="119" spans="1:16" x14ac:dyDescent="0.4">
      <c r="A119" s="39" t="s">
        <v>995</v>
      </c>
      <c r="B119" s="37" t="s">
        <v>996</v>
      </c>
      <c r="C119" s="38" t="str">
        <f>IFERROR([1]!IntrinioBankFinancials(rssd_id,$S$2,C$5,C$4,$B119,"K"),"")</f>
        <v/>
      </c>
      <c r="D119" s="38" t="str">
        <f>IFERROR([1]!IntrinioBankFinancials(rssd_id,$S$2,D$5,D$4,$B119,"K"),"")</f>
        <v/>
      </c>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997</v>
      </c>
    </row>
    <row r="120" spans="1:16" x14ac:dyDescent="0.4">
      <c r="A120" s="39" t="s">
        <v>2493</v>
      </c>
      <c r="B120" s="37"/>
      <c r="C120" s="38" t="str">
        <f>IFERROR([1]!IntrinioBankFinancials(rssd_id,$S$2,C$5,C$4,$B120,"K"),"")</f>
        <v/>
      </c>
      <c r="D120" s="38" t="str">
        <f>IFERROR([1]!IntrinioBankFinancials(rssd_id,$S$2,D$5,D$4,$B120,"K"),"")</f>
        <v/>
      </c>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v>7</v>
      </c>
    </row>
    <row r="121" spans="1:16" x14ac:dyDescent="0.4">
      <c r="A121" s="39" t="s">
        <v>998</v>
      </c>
      <c r="B121" s="37"/>
      <c r="C121" s="38" t="str">
        <f>IFERROR([1]!IntrinioBankFinancials(rssd_id,$S$2,C$5,C$4,$B121,"K"),"")</f>
        <v/>
      </c>
      <c r="D121" s="38" t="str">
        <f>IFERROR([1]!IntrinioBankFinancials(rssd_id,$S$2,D$5,D$4,$B121,"K"),"")</f>
        <v/>
      </c>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v>8</v>
      </c>
    </row>
    <row r="122" spans="1:16" x14ac:dyDescent="0.4">
      <c r="A122" s="39" t="s">
        <v>999</v>
      </c>
      <c r="B122" s="37" t="s">
        <v>1000</v>
      </c>
      <c r="C122" s="38" t="str">
        <f>IFERROR([1]!IntrinioBankFinancials(rssd_id,$S$2,C$5,C$4,$B122,"K"),"")</f>
        <v/>
      </c>
      <c r="D122" s="38" t="str">
        <f>IFERROR([1]!IntrinioBankFinancials(rssd_id,$S$2,D$5,D$4,$B122,"K"),"")</f>
        <v/>
      </c>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v>9</v>
      </c>
    </row>
    <row r="123" spans="1:16" x14ac:dyDescent="0.4">
      <c r="A123" s="39" t="s">
        <v>1001</v>
      </c>
      <c r="B123" s="37"/>
      <c r="C123" s="38" t="str">
        <f>IFERROR([1]!IntrinioBankFinancials(rssd_id,$S$2,C$5,C$4,$B123,"K"),"")</f>
        <v/>
      </c>
      <c r="D123" s="38" t="str">
        <f>IFERROR([1]!IntrinioBankFinancials(rssd_id,$S$2,D$5,D$4,$B123,"K"),"")</f>
        <v/>
      </c>
      <c r="E123" s="38" t="str">
        <f>IFERROR([1]!IntrinioBankFinancials(rssd_id,$S$2,E$5,E$4,$B123,"K"),"")</f>
        <v/>
      </c>
      <c r="F123" s="38" t="str">
        <f>IFERROR([1]!IntrinioBankFinancials(rssd_id,$S$2,F$5,F$4,$B123,"K"),"")</f>
        <v/>
      </c>
      <c r="G123" s="38" t="str">
        <f>IFERROR([1]!IntrinioBankFinancials(rssd_id,$S$2,G$5,G$4,$B123,"K"),"")</f>
        <v/>
      </c>
      <c r="H123" s="38" t="str">
        <f>IFERROR([1]!IntrinioBankFinancials(rssd_id,$S$2,H$5,H$4,$B123,"K"),"")</f>
        <v/>
      </c>
      <c r="I123" s="38" t="str">
        <f>IFERROR([1]!IntrinioBankFinancials(rssd_id,$S$2,I$5,I$4,$B123,"K"),"")</f>
        <v/>
      </c>
      <c r="J123" s="38" t="str">
        <f>IFERROR([1]!IntrinioBankFinancials(rssd_id,$S$2,J$5,J$4,$B123,"K"),"")</f>
        <v/>
      </c>
      <c r="K123" s="38" t="str">
        <f>IFERROR([1]!IntrinioBankFinancials(rssd_id,$S$2,K$5,K$4,$B123,"K"),"")</f>
        <v/>
      </c>
      <c r="L123" s="38" t="str">
        <f>IFERROR([1]!IntrinioBankFinancials(rssd_id,$S$2,L$5,L$4,$B123,"K"),"")</f>
        <v/>
      </c>
      <c r="M123" s="38" t="str">
        <f>IFERROR([1]!IntrinioBankFinancials(rssd_id,$S$2,M$5,M$4,$B123,"K"),"")</f>
        <v/>
      </c>
      <c r="N123" s="38" t="str">
        <f>IFERROR([1]!IntrinioBankFinancials(rssd_id,$S$2,N$5,N$4,$B123,"K"),"")</f>
        <v/>
      </c>
      <c r="O123" s="38" t="str">
        <f>IFERROR([1]!IntrinioBankFinancials(rssd_id,$S$2,O$5,O$4,$B123,"K"),"")</f>
        <v/>
      </c>
      <c r="P123" s="49">
        <v>10</v>
      </c>
    </row>
    <row r="124" spans="1:16" x14ac:dyDescent="0.4">
      <c r="A124" s="39" t="s">
        <v>1002</v>
      </c>
      <c r="B124" s="37" t="s">
        <v>1003</v>
      </c>
      <c r="C124" s="38" t="str">
        <f>IFERROR([1]!IntrinioBankFinancials(rssd_id,$S$2,C$5,C$4,$B124,"K"),"")</f>
        <v/>
      </c>
      <c r="D124" s="38" t="str">
        <f>IFERROR([1]!IntrinioBankFinancials(rssd_id,$S$2,D$5,D$4,$B124,"K"),"")</f>
        <v/>
      </c>
      <c r="E124" s="38" t="str">
        <f>IFERROR([1]!IntrinioBankFinancials(rssd_id,$S$2,E$5,E$4,$B124,"K"),"")</f>
        <v/>
      </c>
      <c r="F124" s="38" t="str">
        <f>IFERROR([1]!IntrinioBankFinancials(rssd_id,$S$2,F$5,F$4,$B124,"K"),"")</f>
        <v/>
      </c>
      <c r="G124" s="38" t="str">
        <f>IFERROR([1]!IntrinioBankFinancials(rssd_id,$S$2,G$5,G$4,$B124,"K"),"")</f>
        <v/>
      </c>
      <c r="H124" s="38" t="str">
        <f>IFERROR([1]!IntrinioBankFinancials(rssd_id,$S$2,H$5,H$4,$B124,"K"),"")</f>
        <v/>
      </c>
      <c r="I124" s="38" t="str">
        <f>IFERROR([1]!IntrinioBankFinancials(rssd_id,$S$2,I$5,I$4,$B124,"K"),"")</f>
        <v/>
      </c>
      <c r="J124" s="38" t="str">
        <f>IFERROR([1]!IntrinioBankFinancials(rssd_id,$S$2,J$5,J$4,$B124,"K"),"")</f>
        <v/>
      </c>
      <c r="K124" s="38" t="str">
        <f>IFERROR([1]!IntrinioBankFinancials(rssd_id,$S$2,K$5,K$4,$B124,"K"),"")</f>
        <v/>
      </c>
      <c r="L124" s="38" t="str">
        <f>IFERROR([1]!IntrinioBankFinancials(rssd_id,$S$2,L$5,L$4,$B124,"K"),"")</f>
        <v/>
      </c>
      <c r="M124" s="38" t="str">
        <f>IFERROR([1]!IntrinioBankFinancials(rssd_id,$S$2,M$5,M$4,$B124,"K"),"")</f>
        <v/>
      </c>
      <c r="N124" s="38" t="str">
        <f>IFERROR([1]!IntrinioBankFinancials(rssd_id,$S$2,N$5,N$4,$B124,"K"),"")</f>
        <v/>
      </c>
      <c r="O124" s="38" t="str">
        <f>IFERROR([1]!IntrinioBankFinancials(rssd_id,$S$2,O$5,O$4,$B124,"K"),"")</f>
        <v/>
      </c>
      <c r="P124" s="49">
        <v>11</v>
      </c>
    </row>
    <row r="125" spans="1:16" ht="28.5" x14ac:dyDescent="0.4">
      <c r="A125" s="39" t="s">
        <v>2496</v>
      </c>
      <c r="B125" s="37" t="s">
        <v>576</v>
      </c>
      <c r="C125" s="38" t="str">
        <f>IFERROR([1]!IntrinioBankFinancials(rssd_id,$S$2,C$5,C$4,$B125,"K"),"")</f>
        <v/>
      </c>
      <c r="D125" s="38" t="str">
        <f>IFERROR([1]!IntrinioBankFinancials(rssd_id,$S$2,D$5,D$4,$B125,"K"),"")</f>
        <v/>
      </c>
      <c r="E125" s="38" t="str">
        <f>IFERROR([1]!IntrinioBankFinancials(rssd_id,$S$2,E$5,E$4,$B125,"K"),"")</f>
        <v/>
      </c>
      <c r="F125" s="38" t="str">
        <f>IFERROR([1]!IntrinioBankFinancials(rssd_id,$S$2,F$5,F$4,$B125,"K"),"")</f>
        <v/>
      </c>
      <c r="G125" s="38" t="str">
        <f>IFERROR([1]!IntrinioBankFinancials(rssd_id,$S$2,G$5,G$4,$B125,"K"),"")</f>
        <v/>
      </c>
      <c r="H125" s="38" t="str">
        <f>IFERROR([1]!IntrinioBankFinancials(rssd_id,$S$2,H$5,H$4,$B125,"K"),"")</f>
        <v/>
      </c>
      <c r="I125" s="38" t="str">
        <f>IFERROR([1]!IntrinioBankFinancials(rssd_id,$S$2,I$5,I$4,$B125,"K"),"")</f>
        <v/>
      </c>
      <c r="J125" s="38" t="str">
        <f>IFERROR([1]!IntrinioBankFinancials(rssd_id,$S$2,J$5,J$4,$B125,"K"),"")</f>
        <v/>
      </c>
      <c r="K125" s="38" t="str">
        <f>IFERROR([1]!IntrinioBankFinancials(rssd_id,$S$2,K$5,K$4,$B125,"K"),"")</f>
        <v/>
      </c>
      <c r="L125" s="38" t="str">
        <f>IFERROR([1]!IntrinioBankFinancials(rssd_id,$S$2,L$5,L$4,$B125,"K"),"")</f>
        <v/>
      </c>
      <c r="M125" s="38" t="str">
        <f>IFERROR([1]!IntrinioBankFinancials(rssd_id,$S$2,M$5,M$4,$B125,"K"),"")</f>
        <v/>
      </c>
      <c r="N125" s="38" t="str">
        <f>IFERROR([1]!IntrinioBankFinancials(rssd_id,$S$2,N$5,N$4,$B125,"K"),"")</f>
        <v/>
      </c>
      <c r="O125" s="38" t="str">
        <f>IFERROR([1]!IntrinioBankFinancials(rssd_id,$S$2,O$5,O$4,$B125,"K"),"")</f>
        <v/>
      </c>
      <c r="P125" s="49">
        <v>12</v>
      </c>
    </row>
    <row r="126" spans="1:16" x14ac:dyDescent="0.4">
      <c r="A126" s="39" t="s">
        <v>1004</v>
      </c>
      <c r="B126" s="37"/>
      <c r="C126" s="38" t="str">
        <f>IFERROR([1]!IntrinioBankFinancials(rssd_id,$S$2,C$5,C$4,$B126,"K"),"")</f>
        <v/>
      </c>
      <c r="D126" s="38" t="str">
        <f>IFERROR([1]!IntrinioBankFinancials(rssd_id,$S$2,D$5,D$4,$B126,"K"),"")</f>
        <v/>
      </c>
      <c r="E126" s="38" t="str">
        <f>IFERROR([1]!IntrinioBankFinancials(rssd_id,$S$2,E$5,E$4,$B126,"K"),"")</f>
        <v/>
      </c>
      <c r="F126" s="38" t="str">
        <f>IFERROR([1]!IntrinioBankFinancials(rssd_id,$S$2,F$5,F$4,$B126,"K"),"")</f>
        <v/>
      </c>
      <c r="G126" s="38" t="str">
        <f>IFERROR([1]!IntrinioBankFinancials(rssd_id,$S$2,G$5,G$4,$B126,"K"),"")</f>
        <v/>
      </c>
      <c r="H126" s="38" t="str">
        <f>IFERROR([1]!IntrinioBankFinancials(rssd_id,$S$2,H$5,H$4,$B126,"K"),"")</f>
        <v/>
      </c>
      <c r="I126" s="38" t="str">
        <f>IFERROR([1]!IntrinioBankFinancials(rssd_id,$S$2,I$5,I$4,$B126,"K"),"")</f>
        <v/>
      </c>
      <c r="J126" s="38" t="str">
        <f>IFERROR([1]!IntrinioBankFinancials(rssd_id,$S$2,J$5,J$4,$B126,"K"),"")</f>
        <v/>
      </c>
      <c r="K126" s="38" t="str">
        <f>IFERROR([1]!IntrinioBankFinancials(rssd_id,$S$2,K$5,K$4,$B126,"K"),"")</f>
        <v/>
      </c>
      <c r="L126" s="38" t="str">
        <f>IFERROR([1]!IntrinioBankFinancials(rssd_id,$S$2,L$5,L$4,$B126,"K"),"")</f>
        <v/>
      </c>
      <c r="M126" s="38" t="str">
        <f>IFERROR([1]!IntrinioBankFinancials(rssd_id,$S$2,M$5,M$4,$B126,"K"),"")</f>
        <v/>
      </c>
      <c r="N126" s="38" t="str">
        <f>IFERROR([1]!IntrinioBankFinancials(rssd_id,$S$2,N$5,N$4,$B126,"K"),"")</f>
        <v/>
      </c>
      <c r="O126" s="38" t="str">
        <f>IFERROR([1]!IntrinioBankFinancials(rssd_id,$S$2,O$5,O$4,$B126,"K"),"")</f>
        <v/>
      </c>
      <c r="P126" s="49">
        <v>13</v>
      </c>
    </row>
    <row r="127" spans="1:16" x14ac:dyDescent="0.4">
      <c r="A127" s="39" t="s">
        <v>1005</v>
      </c>
      <c r="B127" s="37" t="s">
        <v>1006</v>
      </c>
      <c r="C127" s="38" t="str">
        <f>IFERROR([1]!IntrinioBankFinancials(rssd_id,$S$2,C$5,C$4,$B127,"K"),"")</f>
        <v/>
      </c>
      <c r="D127" s="38" t="str">
        <f>IFERROR([1]!IntrinioBankFinancials(rssd_id,$S$2,D$5,D$4,$B127,"K"),"")</f>
        <v/>
      </c>
      <c r="E127" s="38" t="str">
        <f>IFERROR([1]!IntrinioBankFinancials(rssd_id,$S$2,E$5,E$4,$B127,"K"),"")</f>
        <v/>
      </c>
      <c r="F127" s="38" t="str">
        <f>IFERROR([1]!IntrinioBankFinancials(rssd_id,$S$2,F$5,F$4,$B127,"K"),"")</f>
        <v/>
      </c>
      <c r="G127" s="38" t="str">
        <f>IFERROR([1]!IntrinioBankFinancials(rssd_id,$S$2,G$5,G$4,$B127,"K"),"")</f>
        <v/>
      </c>
      <c r="H127" s="38" t="str">
        <f>IFERROR([1]!IntrinioBankFinancials(rssd_id,$S$2,H$5,H$4,$B127,"K"),"")</f>
        <v/>
      </c>
      <c r="I127" s="38" t="str">
        <f>IFERROR([1]!IntrinioBankFinancials(rssd_id,$S$2,I$5,I$4,$B127,"K"),"")</f>
        <v/>
      </c>
      <c r="J127" s="38" t="str">
        <f>IFERROR([1]!IntrinioBankFinancials(rssd_id,$S$2,J$5,J$4,$B127,"K"),"")</f>
        <v/>
      </c>
      <c r="K127" s="38" t="str">
        <f>IFERROR([1]!IntrinioBankFinancials(rssd_id,$S$2,K$5,K$4,$B127,"K"),"")</f>
        <v/>
      </c>
      <c r="L127" s="38" t="str">
        <f>IFERROR([1]!IntrinioBankFinancials(rssd_id,$S$2,L$5,L$4,$B127,"K"),"")</f>
        <v/>
      </c>
      <c r="M127" s="38" t="str">
        <f>IFERROR([1]!IntrinioBankFinancials(rssd_id,$S$2,M$5,M$4,$B127,"K"),"")</f>
        <v/>
      </c>
      <c r="N127" s="38" t="str">
        <f>IFERROR([1]!IntrinioBankFinancials(rssd_id,$S$2,N$5,N$4,$B127,"K"),"")</f>
        <v/>
      </c>
      <c r="O127" s="38" t="str">
        <f>IFERROR([1]!IntrinioBankFinancials(rssd_id,$S$2,O$5,O$4,$B127,"K"),"")</f>
        <v/>
      </c>
      <c r="P127" s="49" t="s">
        <v>628</v>
      </c>
    </row>
    <row r="128" spans="1:16" x14ac:dyDescent="0.4">
      <c r="A128" s="39" t="s">
        <v>1007</v>
      </c>
      <c r="B128" s="37" t="s">
        <v>1008</v>
      </c>
      <c r="C128" s="38" t="str">
        <f>IFERROR([1]!IntrinioBankFinancials(rssd_id,$S$2,C$5,C$4,$B128,"K"),"")</f>
        <v/>
      </c>
      <c r="D128" s="38" t="str">
        <f>IFERROR([1]!IntrinioBankFinancials(rssd_id,$S$2,D$5,D$4,$B128,"K"),"")</f>
        <v/>
      </c>
      <c r="E128" s="38" t="str">
        <f>IFERROR([1]!IntrinioBankFinancials(rssd_id,$S$2,E$5,E$4,$B128,"K"),"")</f>
        <v/>
      </c>
      <c r="F128" s="38" t="str">
        <f>IFERROR([1]!IntrinioBankFinancials(rssd_id,$S$2,F$5,F$4,$B128,"K"),"")</f>
        <v/>
      </c>
      <c r="G128" s="38" t="str">
        <f>IFERROR([1]!IntrinioBankFinancials(rssd_id,$S$2,G$5,G$4,$B128,"K"),"")</f>
        <v/>
      </c>
      <c r="H128" s="38" t="str">
        <f>IFERROR([1]!IntrinioBankFinancials(rssd_id,$S$2,H$5,H$4,$B128,"K"),"")</f>
        <v/>
      </c>
      <c r="I128" s="38" t="str">
        <f>IFERROR([1]!IntrinioBankFinancials(rssd_id,$S$2,I$5,I$4,$B128,"K"),"")</f>
        <v/>
      </c>
      <c r="J128" s="38" t="str">
        <f>IFERROR([1]!IntrinioBankFinancials(rssd_id,$S$2,J$5,J$4,$B128,"K"),"")</f>
        <v/>
      </c>
      <c r="K128" s="38" t="str">
        <f>IFERROR([1]!IntrinioBankFinancials(rssd_id,$S$2,K$5,K$4,$B128,"K"),"")</f>
        <v/>
      </c>
      <c r="L128" s="38" t="str">
        <f>IFERROR([1]!IntrinioBankFinancials(rssd_id,$S$2,L$5,L$4,$B128,"K"),"")</f>
        <v/>
      </c>
      <c r="M128" s="38" t="str">
        <f>IFERROR([1]!IntrinioBankFinancials(rssd_id,$S$2,M$5,M$4,$B128,"K"),"")</f>
        <v/>
      </c>
      <c r="N128" s="38" t="str">
        <f>IFERROR([1]!IntrinioBankFinancials(rssd_id,$S$2,N$5,N$4,$B128,"K"),"")</f>
        <v/>
      </c>
      <c r="O128" s="38" t="str">
        <f>IFERROR([1]!IntrinioBankFinancials(rssd_id,$S$2,O$5,O$4,$B128,"K"),"")</f>
        <v/>
      </c>
      <c r="P128" s="49" t="s">
        <v>631</v>
      </c>
    </row>
    <row r="129" spans="1:16" x14ac:dyDescent="0.4">
      <c r="A129" s="39" t="s">
        <v>1009</v>
      </c>
      <c r="B129" s="37" t="s">
        <v>1010</v>
      </c>
      <c r="C129" s="38" t="str">
        <f>IFERROR([1]!IntrinioBankFinancials(rssd_id,$S$2,C$5,C$4,$B129,"K"),"")</f>
        <v/>
      </c>
      <c r="D129" s="38" t="str">
        <f>IFERROR([1]!IntrinioBankFinancials(rssd_id,$S$2,D$5,D$4,$B129,"K"),"")</f>
        <v/>
      </c>
      <c r="E129" s="38" t="str">
        <f>IFERROR([1]!IntrinioBankFinancials(rssd_id,$S$2,E$5,E$4,$B129,"K"),"")</f>
        <v/>
      </c>
      <c r="F129" s="38" t="str">
        <f>IFERROR([1]!IntrinioBankFinancials(rssd_id,$S$2,F$5,F$4,$B129,"K"),"")</f>
        <v/>
      </c>
      <c r="G129" s="38" t="str">
        <f>IFERROR([1]!IntrinioBankFinancials(rssd_id,$S$2,G$5,G$4,$B129,"K"),"")</f>
        <v/>
      </c>
      <c r="H129" s="38" t="str">
        <f>IFERROR([1]!IntrinioBankFinancials(rssd_id,$S$2,H$5,H$4,$B129,"K"),"")</f>
        <v/>
      </c>
      <c r="I129" s="38" t="str">
        <f>IFERROR([1]!IntrinioBankFinancials(rssd_id,$S$2,I$5,I$4,$B129,"K"),"")</f>
        <v/>
      </c>
      <c r="J129" s="38" t="str">
        <f>IFERROR([1]!IntrinioBankFinancials(rssd_id,$S$2,J$5,J$4,$B129,"K"),"")</f>
        <v/>
      </c>
      <c r="K129" s="38" t="str">
        <f>IFERROR([1]!IntrinioBankFinancials(rssd_id,$S$2,K$5,K$4,$B129,"K"),"")</f>
        <v/>
      </c>
      <c r="L129" s="38" t="str">
        <f>IFERROR([1]!IntrinioBankFinancials(rssd_id,$S$2,L$5,L$4,$B129,"K"),"")</f>
        <v/>
      </c>
      <c r="M129" s="38" t="str">
        <f>IFERROR([1]!IntrinioBankFinancials(rssd_id,$S$2,M$5,M$4,$B129,"K"),"")</f>
        <v/>
      </c>
      <c r="N129" s="38" t="str">
        <f>IFERROR([1]!IntrinioBankFinancials(rssd_id,$S$2,N$5,N$4,$B129,"K"),"")</f>
        <v/>
      </c>
      <c r="O129" s="38" t="str">
        <f>IFERROR([1]!IntrinioBankFinancials(rssd_id,$S$2,O$5,O$4,$B129,"K"),"")</f>
        <v/>
      </c>
      <c r="P129" s="49">
        <v>14</v>
      </c>
    </row>
    <row r="130" spans="1:16" ht="28.5" x14ac:dyDescent="0.4">
      <c r="A130" s="39" t="s">
        <v>2500</v>
      </c>
      <c r="B130" s="37" t="s">
        <v>596</v>
      </c>
      <c r="C130" s="38" t="str">
        <f>IFERROR([1]!IntrinioBankFinancials(rssd_id,$S$2,C$5,C$4,$B130,"K"),"")</f>
        <v/>
      </c>
      <c r="D130" s="38" t="str">
        <f>IFERROR([1]!IntrinioBankFinancials(rssd_id,$S$2,D$5,D$4,$B130,"K"),"")</f>
        <v/>
      </c>
      <c r="E130" s="38" t="str">
        <f>IFERROR([1]!IntrinioBankFinancials(rssd_id,$S$2,E$5,E$4,$B130,"K"),"")</f>
        <v/>
      </c>
      <c r="F130" s="38" t="str">
        <f>IFERROR([1]!IntrinioBankFinancials(rssd_id,$S$2,F$5,F$4,$B130,"K"),"")</f>
        <v/>
      </c>
      <c r="G130" s="38" t="str">
        <f>IFERROR([1]!IntrinioBankFinancials(rssd_id,$S$2,G$5,G$4,$B130,"K"),"")</f>
        <v/>
      </c>
      <c r="H130" s="38" t="str">
        <f>IFERROR([1]!IntrinioBankFinancials(rssd_id,$S$2,H$5,H$4,$B130,"K"),"")</f>
        <v/>
      </c>
      <c r="I130" s="38" t="str">
        <f>IFERROR([1]!IntrinioBankFinancials(rssd_id,$S$2,I$5,I$4,$B130,"K"),"")</f>
        <v/>
      </c>
      <c r="J130" s="38" t="str">
        <f>IFERROR([1]!IntrinioBankFinancials(rssd_id,$S$2,J$5,J$4,$B130,"K"),"")</f>
        <v/>
      </c>
      <c r="K130" s="38" t="str">
        <f>IFERROR([1]!IntrinioBankFinancials(rssd_id,$S$2,K$5,K$4,$B130,"K"),"")</f>
        <v/>
      </c>
      <c r="L130" s="38" t="str">
        <f>IFERROR([1]!IntrinioBankFinancials(rssd_id,$S$2,L$5,L$4,$B130,"K"),"")</f>
        <v/>
      </c>
      <c r="M130" s="38" t="str">
        <f>IFERROR([1]!IntrinioBankFinancials(rssd_id,$S$2,M$5,M$4,$B130,"K"),"")</f>
        <v/>
      </c>
      <c r="N130" s="38" t="str">
        <f>IFERROR([1]!IntrinioBankFinancials(rssd_id,$S$2,N$5,N$4,$B130,"K"),"")</f>
        <v/>
      </c>
      <c r="O130" s="38" t="str">
        <f>IFERROR([1]!IntrinioBankFinancials(rssd_id,$S$2,O$5,O$4,$B130,"K"),"")</f>
        <v/>
      </c>
      <c r="P130" s="49">
        <v>15</v>
      </c>
    </row>
    <row r="131" spans="1:16" x14ac:dyDescent="0.4">
      <c r="A131" s="39"/>
      <c r="B131" s="37"/>
      <c r="C131" s="38" t="str">
        <f>IFERROR([1]!IntrinioBankFinancials(rssd_id,$S$2,C$5,C$4,$B131,"K"),"")</f>
        <v/>
      </c>
      <c r="D131" s="38" t="str">
        <f>IFERROR([1]!IntrinioBankFinancials(rssd_id,$S$2,D$5,D$4,$B131,"K"),"")</f>
        <v/>
      </c>
      <c r="E131" s="38" t="str">
        <f>IFERROR([1]!IntrinioBankFinancials(rssd_id,$S$2,E$5,E$4,$B131,"K"),"")</f>
        <v/>
      </c>
      <c r="F131" s="38" t="str">
        <f>IFERROR([1]!IntrinioBankFinancials(rssd_id,$S$2,F$5,F$4,$B131,"K"),"")</f>
        <v/>
      </c>
      <c r="G131" s="38" t="str">
        <f>IFERROR([1]!IntrinioBankFinancials(rssd_id,$S$2,G$5,G$4,$B131,"K"),"")</f>
        <v/>
      </c>
      <c r="H131" s="38" t="str">
        <f>IFERROR([1]!IntrinioBankFinancials(rssd_id,$S$2,H$5,H$4,$B131,"K"),"")</f>
        <v/>
      </c>
      <c r="I131" s="38" t="str">
        <f>IFERROR([1]!IntrinioBankFinancials(rssd_id,$S$2,I$5,I$4,$B131,"K"),"")</f>
        <v/>
      </c>
      <c r="J131" s="38" t="str">
        <f>IFERROR([1]!IntrinioBankFinancials(rssd_id,$S$2,J$5,J$4,$B131,"K"),"")</f>
        <v/>
      </c>
      <c r="K131" s="38" t="str">
        <f>IFERROR([1]!IntrinioBankFinancials(rssd_id,$S$2,K$5,K$4,$B131,"K"),"")</f>
        <v/>
      </c>
      <c r="L131" s="38" t="str">
        <f>IFERROR([1]!IntrinioBankFinancials(rssd_id,$S$2,L$5,L$4,$B131,"K"),"")</f>
        <v/>
      </c>
      <c r="M131" s="38" t="str">
        <f>IFERROR([1]!IntrinioBankFinancials(rssd_id,$S$2,M$5,M$4,$B131,"K"),"")</f>
        <v/>
      </c>
      <c r="N131" s="38" t="str">
        <f>IFERROR([1]!IntrinioBankFinancials(rssd_id,$S$2,N$5,N$4,$B131,"K"),"")</f>
        <v/>
      </c>
      <c r="O131" s="38" t="str">
        <f>IFERROR([1]!IntrinioBankFinancials(rssd_id,$S$2,O$5,O$4,$B131,"K"),"")</f>
        <v/>
      </c>
      <c r="P131" s="49"/>
    </row>
    <row r="132" spans="1:16" x14ac:dyDescent="0.4">
      <c r="A132" s="39" t="s">
        <v>208</v>
      </c>
      <c r="B132" s="37"/>
      <c r="C132" s="38" t="str">
        <f>IFERROR([1]!IntrinioBankFinancials(rssd_id,$S$2,C$5,C$4,$B132,"K"),"")</f>
        <v/>
      </c>
      <c r="D132" s="38" t="str">
        <f>IFERROR([1]!IntrinioBankFinancials(rssd_id,$S$2,D$5,D$4,$B132,"K"),"")</f>
        <v/>
      </c>
      <c r="E132" s="38" t="str">
        <f>IFERROR([1]!IntrinioBankFinancials(rssd_id,$S$2,E$5,E$4,$B132,"K"),"")</f>
        <v/>
      </c>
      <c r="F132" s="38" t="str">
        <f>IFERROR([1]!IntrinioBankFinancials(rssd_id,$S$2,F$5,F$4,$B132,"K"),"")</f>
        <v/>
      </c>
      <c r="G132" s="38" t="str">
        <f>IFERROR([1]!IntrinioBankFinancials(rssd_id,$S$2,G$5,G$4,$B132,"K"),"")</f>
        <v/>
      </c>
      <c r="H132" s="38" t="str">
        <f>IFERROR([1]!IntrinioBankFinancials(rssd_id,$S$2,H$5,H$4,$B132,"K"),"")</f>
        <v/>
      </c>
      <c r="I132" s="38" t="str">
        <f>IFERROR([1]!IntrinioBankFinancials(rssd_id,$S$2,I$5,I$4,$B132,"K"),"")</f>
        <v/>
      </c>
      <c r="J132" s="38" t="str">
        <f>IFERROR([1]!IntrinioBankFinancials(rssd_id,$S$2,J$5,J$4,$B132,"K"),"")</f>
        <v/>
      </c>
      <c r="K132" s="38" t="str">
        <f>IFERROR([1]!IntrinioBankFinancials(rssd_id,$S$2,K$5,K$4,$B132,"K"),"")</f>
        <v/>
      </c>
      <c r="L132" s="38" t="str">
        <f>IFERROR([1]!IntrinioBankFinancials(rssd_id,$S$2,L$5,L$4,$B132,"K"),"")</f>
        <v/>
      </c>
      <c r="M132" s="38" t="str">
        <f>IFERROR([1]!IntrinioBankFinancials(rssd_id,$S$2,M$5,M$4,$B132,"K"),"")</f>
        <v/>
      </c>
      <c r="N132" s="38" t="str">
        <f>IFERROR([1]!IntrinioBankFinancials(rssd_id,$S$2,N$5,N$4,$B132,"K"),"")</f>
        <v/>
      </c>
      <c r="O132" s="38" t="str">
        <f>IFERROR([1]!IntrinioBankFinancials(rssd_id,$S$2,O$5,O$4,$B132,"K"),"")</f>
        <v/>
      </c>
      <c r="P132" s="49"/>
    </row>
    <row r="133" spans="1:16" ht="28.5" x14ac:dyDescent="0.4">
      <c r="A133" s="39" t="s">
        <v>2501</v>
      </c>
      <c r="B133" s="37"/>
      <c r="C133" s="38" t="str">
        <f>IFERROR([1]!IntrinioBankFinancials(rssd_id,$S$2,C$5,C$4,$B133,"K"),"")</f>
        <v/>
      </c>
      <c r="D133" s="38" t="str">
        <f>IFERROR([1]!IntrinioBankFinancials(rssd_id,$S$2,D$5,D$4,$B133,"K"),"")</f>
        <v/>
      </c>
      <c r="E133" s="38" t="str">
        <f>IFERROR([1]!IntrinioBankFinancials(rssd_id,$S$2,E$5,E$4,$B133,"K"),"")</f>
        <v/>
      </c>
      <c r="F133" s="38" t="str">
        <f>IFERROR([1]!IntrinioBankFinancials(rssd_id,$S$2,F$5,F$4,$B133,"K"),"")</f>
        <v/>
      </c>
      <c r="G133" s="38" t="str">
        <f>IFERROR([1]!IntrinioBankFinancials(rssd_id,$S$2,G$5,G$4,$B133,"K"),"")</f>
        <v/>
      </c>
      <c r="H133" s="38" t="str">
        <f>IFERROR([1]!IntrinioBankFinancials(rssd_id,$S$2,H$5,H$4,$B133,"K"),"")</f>
        <v/>
      </c>
      <c r="I133" s="38" t="str">
        <f>IFERROR([1]!IntrinioBankFinancials(rssd_id,$S$2,I$5,I$4,$B133,"K"),"")</f>
        <v/>
      </c>
      <c r="J133" s="38" t="str">
        <f>IFERROR([1]!IntrinioBankFinancials(rssd_id,$S$2,J$5,J$4,$B133,"K"),"")</f>
        <v/>
      </c>
      <c r="K133" s="38" t="str">
        <f>IFERROR([1]!IntrinioBankFinancials(rssd_id,$S$2,K$5,K$4,$B133,"K"),"")</f>
        <v/>
      </c>
      <c r="L133" s="38" t="str">
        <f>IFERROR([1]!IntrinioBankFinancials(rssd_id,$S$2,L$5,L$4,$B133,"K"),"")</f>
        <v/>
      </c>
      <c r="M133" s="38" t="str">
        <f>IFERROR([1]!IntrinioBankFinancials(rssd_id,$S$2,M$5,M$4,$B133,"K"),"")</f>
        <v/>
      </c>
      <c r="N133" s="38" t="str">
        <f>IFERROR([1]!IntrinioBankFinancials(rssd_id,$S$2,N$5,N$4,$B133,"K"),"")</f>
        <v/>
      </c>
      <c r="O133" s="38" t="str">
        <f>IFERROR([1]!IntrinioBankFinancials(rssd_id,$S$2,O$5,O$4,$B133,"K"),"")</f>
        <v/>
      </c>
      <c r="P133" s="49" t="s">
        <v>210</v>
      </c>
    </row>
    <row r="134" spans="1:16" x14ac:dyDescent="0.4">
      <c r="A134" s="39" t="s">
        <v>1218</v>
      </c>
      <c r="B134" s="37"/>
      <c r="C134" s="38" t="str">
        <f>IFERROR([1]!IntrinioBankFinancials(rssd_id,$S$2,C$5,C$4,$B134,"K"),"")</f>
        <v/>
      </c>
      <c r="D134" s="38" t="str">
        <f>IFERROR([1]!IntrinioBankFinancials(rssd_id,$S$2,D$5,D$4,$B134,"K"),"")</f>
        <v/>
      </c>
      <c r="E134" s="38" t="str">
        <f>IFERROR([1]!IntrinioBankFinancials(rssd_id,$S$2,E$5,E$4,$B134,"K"),"")</f>
        <v/>
      </c>
      <c r="F134" s="38" t="str">
        <f>IFERROR([1]!IntrinioBankFinancials(rssd_id,$S$2,F$5,F$4,$B134,"K"),"")</f>
        <v/>
      </c>
      <c r="G134" s="38" t="str">
        <f>IFERROR([1]!IntrinioBankFinancials(rssd_id,$S$2,G$5,G$4,$B134,"K"),"")</f>
        <v/>
      </c>
      <c r="H134" s="38" t="str">
        <f>IFERROR([1]!IntrinioBankFinancials(rssd_id,$S$2,H$5,H$4,$B134,"K"),"")</f>
        <v/>
      </c>
      <c r="I134" s="38" t="str">
        <f>IFERROR([1]!IntrinioBankFinancials(rssd_id,$S$2,I$5,I$4,$B134,"K"),"")</f>
        <v/>
      </c>
      <c r="J134" s="38" t="str">
        <f>IFERROR([1]!IntrinioBankFinancials(rssd_id,$S$2,J$5,J$4,$B134,"K"),"")</f>
        <v/>
      </c>
      <c r="K134" s="38" t="str">
        <f>IFERROR([1]!IntrinioBankFinancials(rssd_id,$S$2,K$5,K$4,$B134,"K"),"")</f>
        <v/>
      </c>
      <c r="L134" s="38" t="str">
        <f>IFERROR([1]!IntrinioBankFinancials(rssd_id,$S$2,L$5,L$4,$B134,"K"),"")</f>
        <v/>
      </c>
      <c r="M134" s="38" t="str">
        <f>IFERROR([1]!IntrinioBankFinancials(rssd_id,$S$2,M$5,M$4,$B134,"K"),"")</f>
        <v/>
      </c>
      <c r="N134" s="38" t="str">
        <f>IFERROR([1]!IntrinioBankFinancials(rssd_id,$S$2,N$5,N$4,$B134,"K"),"")</f>
        <v/>
      </c>
      <c r="O134" s="38" t="str">
        <f>IFERROR([1]!IntrinioBankFinancials(rssd_id,$S$2,O$5,O$4,$B134,"K"),"")</f>
        <v/>
      </c>
      <c r="P134" s="49" t="s">
        <v>1011</v>
      </c>
    </row>
    <row r="135" spans="1:16" x14ac:dyDescent="0.4">
      <c r="A135" s="39" t="s">
        <v>955</v>
      </c>
      <c r="B135" s="37" t="s">
        <v>1013</v>
      </c>
      <c r="C135" s="38" t="str">
        <f>IFERROR([1]!IntrinioBankFinancials(rssd_id,$S$2,C$5,C$4,$B135,"K"),"")</f>
        <v/>
      </c>
      <c r="D135" s="38" t="str">
        <f>IFERROR([1]!IntrinioBankFinancials(rssd_id,$S$2,D$5,D$4,$B135,"K"),"")</f>
        <v/>
      </c>
      <c r="E135" s="38" t="str">
        <f>IFERROR([1]!IntrinioBankFinancials(rssd_id,$S$2,E$5,E$4,$B135,"K"),"")</f>
        <v/>
      </c>
      <c r="F135" s="38" t="str">
        <f>IFERROR([1]!IntrinioBankFinancials(rssd_id,$S$2,F$5,F$4,$B135,"K"),"")</f>
        <v/>
      </c>
      <c r="G135" s="38" t="str">
        <f>IFERROR([1]!IntrinioBankFinancials(rssd_id,$S$2,G$5,G$4,$B135,"K"),"")</f>
        <v/>
      </c>
      <c r="H135" s="38" t="str">
        <f>IFERROR([1]!IntrinioBankFinancials(rssd_id,$S$2,H$5,H$4,$B135,"K"),"")</f>
        <v/>
      </c>
      <c r="I135" s="38" t="str">
        <f>IFERROR([1]!IntrinioBankFinancials(rssd_id,$S$2,I$5,I$4,$B135,"K"),"")</f>
        <v/>
      </c>
      <c r="J135" s="38" t="str">
        <f>IFERROR([1]!IntrinioBankFinancials(rssd_id,$S$2,J$5,J$4,$B135,"K"),"")</f>
        <v/>
      </c>
      <c r="K135" s="38" t="str">
        <f>IFERROR([1]!IntrinioBankFinancials(rssd_id,$S$2,K$5,K$4,$B135,"K"),"")</f>
        <v/>
      </c>
      <c r="L135" s="38" t="str">
        <f>IFERROR([1]!IntrinioBankFinancials(rssd_id,$S$2,L$5,L$4,$B135,"K"),"")</f>
        <v/>
      </c>
      <c r="M135" s="38" t="str">
        <f>IFERROR([1]!IntrinioBankFinancials(rssd_id,$S$2,M$5,M$4,$B135,"K"),"")</f>
        <v/>
      </c>
      <c r="N135" s="38" t="str">
        <f>IFERROR([1]!IntrinioBankFinancials(rssd_id,$S$2,N$5,N$4,$B135,"K"),"")</f>
        <v/>
      </c>
      <c r="O135" s="38" t="str">
        <f>IFERROR([1]!IntrinioBankFinancials(rssd_id,$S$2,O$5,O$4,$B135,"K"),"")</f>
        <v/>
      </c>
      <c r="P135" s="49" t="s">
        <v>1047</v>
      </c>
    </row>
    <row r="136" spans="1:16" x14ac:dyDescent="0.4">
      <c r="A136" s="39" t="s">
        <v>958</v>
      </c>
      <c r="B136" s="37" t="s">
        <v>1014</v>
      </c>
      <c r="C136" s="38" t="str">
        <f>IFERROR([1]!IntrinioBankFinancials(rssd_id,$S$2,C$5,C$4,$B136,"K"),"")</f>
        <v/>
      </c>
      <c r="D136" s="38" t="str">
        <f>IFERROR([1]!IntrinioBankFinancials(rssd_id,$S$2,D$5,D$4,$B136,"K"),"")</f>
        <v/>
      </c>
      <c r="E136" s="38" t="str">
        <f>IFERROR([1]!IntrinioBankFinancials(rssd_id,$S$2,E$5,E$4,$B136,"K"),"")</f>
        <v/>
      </c>
      <c r="F136" s="38" t="str">
        <f>IFERROR([1]!IntrinioBankFinancials(rssd_id,$S$2,F$5,F$4,$B136,"K"),"")</f>
        <v/>
      </c>
      <c r="G136" s="38" t="str">
        <f>IFERROR([1]!IntrinioBankFinancials(rssd_id,$S$2,G$5,G$4,$B136,"K"),"")</f>
        <v/>
      </c>
      <c r="H136" s="38" t="str">
        <f>IFERROR([1]!IntrinioBankFinancials(rssd_id,$S$2,H$5,H$4,$B136,"K"),"")</f>
        <v/>
      </c>
      <c r="I136" s="38" t="str">
        <f>IFERROR([1]!IntrinioBankFinancials(rssd_id,$S$2,I$5,I$4,$B136,"K"),"")</f>
        <v/>
      </c>
      <c r="J136" s="38" t="str">
        <f>IFERROR([1]!IntrinioBankFinancials(rssd_id,$S$2,J$5,J$4,$B136,"K"),"")</f>
        <v/>
      </c>
      <c r="K136" s="38" t="str">
        <f>IFERROR([1]!IntrinioBankFinancials(rssd_id,$S$2,K$5,K$4,$B136,"K"),"")</f>
        <v/>
      </c>
      <c r="L136" s="38" t="str">
        <f>IFERROR([1]!IntrinioBankFinancials(rssd_id,$S$2,L$5,L$4,$B136,"K"),"")</f>
        <v/>
      </c>
      <c r="M136" s="38" t="str">
        <f>IFERROR([1]!IntrinioBankFinancials(rssd_id,$S$2,M$5,M$4,$B136,"K"),"")</f>
        <v/>
      </c>
      <c r="N136" s="38" t="str">
        <f>IFERROR([1]!IntrinioBankFinancials(rssd_id,$S$2,N$5,N$4,$B136,"K"),"")</f>
        <v/>
      </c>
      <c r="O136" s="38" t="str">
        <f>IFERROR([1]!IntrinioBankFinancials(rssd_id,$S$2,O$5,O$4,$B136,"K"),"")</f>
        <v/>
      </c>
      <c r="P136" s="49" t="s">
        <v>1048</v>
      </c>
    </row>
    <row r="137" spans="1:16" x14ac:dyDescent="0.4">
      <c r="A137" s="39" t="s">
        <v>961</v>
      </c>
      <c r="B137" s="37"/>
      <c r="C137" s="38" t="str">
        <f>IFERROR([1]!IntrinioBankFinancials(rssd_id,$S$2,C$5,C$4,$B137,"K"),"")</f>
        <v/>
      </c>
      <c r="D137" s="38" t="str">
        <f>IFERROR([1]!IntrinioBankFinancials(rssd_id,$S$2,D$5,D$4,$B137,"K"),"")</f>
        <v/>
      </c>
      <c r="E137" s="38" t="str">
        <f>IFERROR([1]!IntrinioBankFinancials(rssd_id,$S$2,E$5,E$4,$B137,"K"),"")</f>
        <v/>
      </c>
      <c r="F137" s="38" t="str">
        <f>IFERROR([1]!IntrinioBankFinancials(rssd_id,$S$2,F$5,F$4,$B137,"K"),"")</f>
        <v/>
      </c>
      <c r="G137" s="38" t="str">
        <f>IFERROR([1]!IntrinioBankFinancials(rssd_id,$S$2,G$5,G$4,$B137,"K"),"")</f>
        <v/>
      </c>
      <c r="H137" s="38" t="str">
        <f>IFERROR([1]!IntrinioBankFinancials(rssd_id,$S$2,H$5,H$4,$B137,"K"),"")</f>
        <v/>
      </c>
      <c r="I137" s="38" t="str">
        <f>IFERROR([1]!IntrinioBankFinancials(rssd_id,$S$2,I$5,I$4,$B137,"K"),"")</f>
        <v/>
      </c>
      <c r="J137" s="38" t="str">
        <f>IFERROR([1]!IntrinioBankFinancials(rssd_id,$S$2,J$5,J$4,$B137,"K"),"")</f>
        <v/>
      </c>
      <c r="K137" s="38" t="str">
        <f>IFERROR([1]!IntrinioBankFinancials(rssd_id,$S$2,K$5,K$4,$B137,"K"),"")</f>
        <v/>
      </c>
      <c r="L137" s="38" t="str">
        <f>IFERROR([1]!IntrinioBankFinancials(rssd_id,$S$2,L$5,L$4,$B137,"K"),"")</f>
        <v/>
      </c>
      <c r="M137" s="38" t="str">
        <f>IFERROR([1]!IntrinioBankFinancials(rssd_id,$S$2,M$5,M$4,$B137,"K"),"")</f>
        <v/>
      </c>
      <c r="N137" s="38" t="str">
        <f>IFERROR([1]!IntrinioBankFinancials(rssd_id,$S$2,N$5,N$4,$B137,"K"),"")</f>
        <v/>
      </c>
      <c r="O137" s="38" t="str">
        <f>IFERROR([1]!IntrinioBankFinancials(rssd_id,$S$2,O$5,O$4,$B137,"K"),"")</f>
        <v/>
      </c>
      <c r="P137" s="49" t="s">
        <v>1049</v>
      </c>
    </row>
    <row r="138" spans="1:16" ht="28.5" x14ac:dyDescent="0.4">
      <c r="A138" s="39" t="s">
        <v>963</v>
      </c>
      <c r="B138" s="37" t="s">
        <v>1015</v>
      </c>
      <c r="C138" s="38" t="str">
        <f>IFERROR([1]!IntrinioBankFinancials(rssd_id,$S$2,C$5,C$4,$B138,"K"),"")</f>
        <v/>
      </c>
      <c r="D138" s="38" t="str">
        <f>IFERROR([1]!IntrinioBankFinancials(rssd_id,$S$2,D$5,D$4,$B138,"K"),"")</f>
        <v/>
      </c>
      <c r="E138" s="38" t="str">
        <f>IFERROR([1]!IntrinioBankFinancials(rssd_id,$S$2,E$5,E$4,$B138,"K"),"")</f>
        <v/>
      </c>
      <c r="F138" s="38" t="str">
        <f>IFERROR([1]!IntrinioBankFinancials(rssd_id,$S$2,F$5,F$4,$B138,"K"),"")</f>
        <v/>
      </c>
      <c r="G138" s="38" t="str">
        <f>IFERROR([1]!IntrinioBankFinancials(rssd_id,$S$2,G$5,G$4,$B138,"K"),"")</f>
        <v/>
      </c>
      <c r="H138" s="38" t="str">
        <f>IFERROR([1]!IntrinioBankFinancials(rssd_id,$S$2,H$5,H$4,$B138,"K"),"")</f>
        <v/>
      </c>
      <c r="I138" s="38" t="str">
        <f>IFERROR([1]!IntrinioBankFinancials(rssd_id,$S$2,I$5,I$4,$B138,"K"),"")</f>
        <v/>
      </c>
      <c r="J138" s="38" t="str">
        <f>IFERROR([1]!IntrinioBankFinancials(rssd_id,$S$2,J$5,J$4,$B138,"K"),"")</f>
        <v/>
      </c>
      <c r="K138" s="38" t="str">
        <f>IFERROR([1]!IntrinioBankFinancials(rssd_id,$S$2,K$5,K$4,$B138,"K"),"")</f>
        <v/>
      </c>
      <c r="L138" s="38" t="str">
        <f>IFERROR([1]!IntrinioBankFinancials(rssd_id,$S$2,L$5,L$4,$B138,"K"),"")</f>
        <v/>
      </c>
      <c r="M138" s="38" t="str">
        <f>IFERROR([1]!IntrinioBankFinancials(rssd_id,$S$2,M$5,M$4,$B138,"K"),"")</f>
        <v/>
      </c>
      <c r="N138" s="38" t="str">
        <f>IFERROR([1]!IntrinioBankFinancials(rssd_id,$S$2,N$5,N$4,$B138,"K"),"")</f>
        <v/>
      </c>
      <c r="O138" s="38" t="str">
        <f>IFERROR([1]!IntrinioBankFinancials(rssd_id,$S$2,O$5,O$4,$B138,"K"),"")</f>
        <v/>
      </c>
      <c r="P138" s="49" t="s">
        <v>1050</v>
      </c>
    </row>
    <row r="139" spans="1:16" x14ac:dyDescent="0.4">
      <c r="A139" s="39" t="s">
        <v>966</v>
      </c>
      <c r="B139" s="37"/>
      <c r="C139" s="38" t="str">
        <f>IFERROR([1]!IntrinioBankFinancials(rssd_id,$S$2,C$5,C$4,$B139,"K"),"")</f>
        <v/>
      </c>
      <c r="D139" s="38" t="str">
        <f>IFERROR([1]!IntrinioBankFinancials(rssd_id,$S$2,D$5,D$4,$B139,"K"),"")</f>
        <v/>
      </c>
      <c r="E139" s="38" t="str">
        <f>IFERROR([1]!IntrinioBankFinancials(rssd_id,$S$2,E$5,E$4,$B139,"K"),"")</f>
        <v/>
      </c>
      <c r="F139" s="38" t="str">
        <f>IFERROR([1]!IntrinioBankFinancials(rssd_id,$S$2,F$5,F$4,$B139,"K"),"")</f>
        <v/>
      </c>
      <c r="G139" s="38" t="str">
        <f>IFERROR([1]!IntrinioBankFinancials(rssd_id,$S$2,G$5,G$4,$B139,"K"),"")</f>
        <v/>
      </c>
      <c r="H139" s="38" t="str">
        <f>IFERROR([1]!IntrinioBankFinancials(rssd_id,$S$2,H$5,H$4,$B139,"K"),"")</f>
        <v/>
      </c>
      <c r="I139" s="38" t="str">
        <f>IFERROR([1]!IntrinioBankFinancials(rssd_id,$S$2,I$5,I$4,$B139,"K"),"")</f>
        <v/>
      </c>
      <c r="J139" s="38" t="str">
        <f>IFERROR([1]!IntrinioBankFinancials(rssd_id,$S$2,J$5,J$4,$B139,"K"),"")</f>
        <v/>
      </c>
      <c r="K139" s="38" t="str">
        <f>IFERROR([1]!IntrinioBankFinancials(rssd_id,$S$2,K$5,K$4,$B139,"K"),"")</f>
        <v/>
      </c>
      <c r="L139" s="38" t="str">
        <f>IFERROR([1]!IntrinioBankFinancials(rssd_id,$S$2,L$5,L$4,$B139,"K"),"")</f>
        <v/>
      </c>
      <c r="M139" s="38" t="str">
        <f>IFERROR([1]!IntrinioBankFinancials(rssd_id,$S$2,M$5,M$4,$B139,"K"),"")</f>
        <v/>
      </c>
      <c r="N139" s="38" t="str">
        <f>IFERROR([1]!IntrinioBankFinancials(rssd_id,$S$2,N$5,N$4,$B139,"K"),"")</f>
        <v/>
      </c>
      <c r="O139" s="38" t="str">
        <f>IFERROR([1]!IntrinioBankFinancials(rssd_id,$S$2,O$5,O$4,$B139,"K"),"")</f>
        <v/>
      </c>
      <c r="P139" s="49" t="s">
        <v>1051</v>
      </c>
    </row>
    <row r="140" spans="1:16" x14ac:dyDescent="0.4">
      <c r="A140" s="39" t="s">
        <v>968</v>
      </c>
      <c r="B140" s="37" t="s">
        <v>1016</v>
      </c>
      <c r="C140" s="38" t="str">
        <f>IFERROR([1]!IntrinioBankFinancials(rssd_id,$S$2,C$5,C$4,$B140,"K"),"")</f>
        <v/>
      </c>
      <c r="D140" s="38" t="str">
        <f>IFERROR([1]!IntrinioBankFinancials(rssd_id,$S$2,D$5,D$4,$B140,"K"),"")</f>
        <v/>
      </c>
      <c r="E140" s="38" t="str">
        <f>IFERROR([1]!IntrinioBankFinancials(rssd_id,$S$2,E$5,E$4,$B140,"K"),"")</f>
        <v/>
      </c>
      <c r="F140" s="38" t="str">
        <f>IFERROR([1]!IntrinioBankFinancials(rssd_id,$S$2,F$5,F$4,$B140,"K"),"")</f>
        <v/>
      </c>
      <c r="G140" s="38" t="str">
        <f>IFERROR([1]!IntrinioBankFinancials(rssd_id,$S$2,G$5,G$4,$B140,"K"),"")</f>
        <v/>
      </c>
      <c r="H140" s="38" t="str">
        <f>IFERROR([1]!IntrinioBankFinancials(rssd_id,$S$2,H$5,H$4,$B140,"K"),"")</f>
        <v/>
      </c>
      <c r="I140" s="38" t="str">
        <f>IFERROR([1]!IntrinioBankFinancials(rssd_id,$S$2,I$5,I$4,$B140,"K"),"")</f>
        <v/>
      </c>
      <c r="J140" s="38" t="str">
        <f>IFERROR([1]!IntrinioBankFinancials(rssd_id,$S$2,J$5,J$4,$B140,"K"),"")</f>
        <v/>
      </c>
      <c r="K140" s="38" t="str">
        <f>IFERROR([1]!IntrinioBankFinancials(rssd_id,$S$2,K$5,K$4,$B140,"K"),"")</f>
        <v/>
      </c>
      <c r="L140" s="38" t="str">
        <f>IFERROR([1]!IntrinioBankFinancials(rssd_id,$S$2,L$5,L$4,$B140,"K"),"")</f>
        <v/>
      </c>
      <c r="M140" s="38" t="str">
        <f>IFERROR([1]!IntrinioBankFinancials(rssd_id,$S$2,M$5,M$4,$B140,"K"),"")</f>
        <v/>
      </c>
      <c r="N140" s="38" t="str">
        <f>IFERROR([1]!IntrinioBankFinancials(rssd_id,$S$2,N$5,N$4,$B140,"K"),"")</f>
        <v/>
      </c>
      <c r="O140" s="38" t="str">
        <f>IFERROR([1]!IntrinioBankFinancials(rssd_id,$S$2,O$5,O$4,$B140,"K"),"")</f>
        <v/>
      </c>
      <c r="P140" s="49" t="s">
        <v>1052</v>
      </c>
    </row>
    <row r="141" spans="1:16" x14ac:dyDescent="0.4">
      <c r="A141" s="39" t="s">
        <v>971</v>
      </c>
      <c r="B141" s="37" t="s">
        <v>1017</v>
      </c>
      <c r="C141" s="38" t="str">
        <f>IFERROR([1]!IntrinioBankFinancials(rssd_id,$S$2,C$5,C$4,$B141,"K"),"")</f>
        <v/>
      </c>
      <c r="D141" s="38" t="str">
        <f>IFERROR([1]!IntrinioBankFinancials(rssd_id,$S$2,D$5,D$4,$B141,"K"),"")</f>
        <v/>
      </c>
      <c r="E141" s="38" t="str">
        <f>IFERROR([1]!IntrinioBankFinancials(rssd_id,$S$2,E$5,E$4,$B141,"K"),"")</f>
        <v/>
      </c>
      <c r="F141" s="38" t="str">
        <f>IFERROR([1]!IntrinioBankFinancials(rssd_id,$S$2,F$5,F$4,$B141,"K"),"")</f>
        <v/>
      </c>
      <c r="G141" s="38" t="str">
        <f>IFERROR([1]!IntrinioBankFinancials(rssd_id,$S$2,G$5,G$4,$B141,"K"),"")</f>
        <v/>
      </c>
      <c r="H141" s="38" t="str">
        <f>IFERROR([1]!IntrinioBankFinancials(rssd_id,$S$2,H$5,H$4,$B141,"K"),"")</f>
        <v/>
      </c>
      <c r="I141" s="38" t="str">
        <f>IFERROR([1]!IntrinioBankFinancials(rssd_id,$S$2,I$5,I$4,$B141,"K"),"")</f>
        <v/>
      </c>
      <c r="J141" s="38" t="str">
        <f>IFERROR([1]!IntrinioBankFinancials(rssd_id,$S$2,J$5,J$4,$B141,"K"),"")</f>
        <v/>
      </c>
      <c r="K141" s="38" t="str">
        <f>IFERROR([1]!IntrinioBankFinancials(rssd_id,$S$2,K$5,K$4,$B141,"K"),"")</f>
        <v/>
      </c>
      <c r="L141" s="38" t="str">
        <f>IFERROR([1]!IntrinioBankFinancials(rssd_id,$S$2,L$5,L$4,$B141,"K"),"")</f>
        <v/>
      </c>
      <c r="M141" s="38" t="str">
        <f>IFERROR([1]!IntrinioBankFinancials(rssd_id,$S$2,M$5,M$4,$B141,"K"),"")</f>
        <v/>
      </c>
      <c r="N141" s="38" t="str">
        <f>IFERROR([1]!IntrinioBankFinancials(rssd_id,$S$2,N$5,N$4,$B141,"K"),"")</f>
        <v/>
      </c>
      <c r="O141" s="38" t="str">
        <f>IFERROR([1]!IntrinioBankFinancials(rssd_id,$S$2,O$5,O$4,$B141,"K"),"")</f>
        <v/>
      </c>
      <c r="P141" s="49" t="s">
        <v>1053</v>
      </c>
    </row>
    <row r="142" spans="1:16" x14ac:dyDescent="0.4">
      <c r="A142" s="39" t="s">
        <v>974</v>
      </c>
      <c r="B142" s="37" t="s">
        <v>1018</v>
      </c>
      <c r="C142" s="38" t="str">
        <f>IFERROR([1]!IntrinioBankFinancials(rssd_id,$S$2,C$5,C$4,$B142,"K"),"")</f>
        <v/>
      </c>
      <c r="D142" s="38" t="str">
        <f>IFERROR([1]!IntrinioBankFinancials(rssd_id,$S$2,D$5,D$4,$B142,"K"),"")</f>
        <v/>
      </c>
      <c r="E142" s="38" t="str">
        <f>IFERROR([1]!IntrinioBankFinancials(rssd_id,$S$2,E$5,E$4,$B142,"K"),"")</f>
        <v/>
      </c>
      <c r="F142" s="38" t="str">
        <f>IFERROR([1]!IntrinioBankFinancials(rssd_id,$S$2,F$5,F$4,$B142,"K"),"")</f>
        <v/>
      </c>
      <c r="G142" s="38" t="str">
        <f>IFERROR([1]!IntrinioBankFinancials(rssd_id,$S$2,G$5,G$4,$B142,"K"),"")</f>
        <v/>
      </c>
      <c r="H142" s="38" t="str">
        <f>IFERROR([1]!IntrinioBankFinancials(rssd_id,$S$2,H$5,H$4,$B142,"K"),"")</f>
        <v/>
      </c>
      <c r="I142" s="38" t="str">
        <f>IFERROR([1]!IntrinioBankFinancials(rssd_id,$S$2,I$5,I$4,$B142,"K"),"")</f>
        <v/>
      </c>
      <c r="J142" s="38" t="str">
        <f>IFERROR([1]!IntrinioBankFinancials(rssd_id,$S$2,J$5,J$4,$B142,"K"),"")</f>
        <v/>
      </c>
      <c r="K142" s="38" t="str">
        <f>IFERROR([1]!IntrinioBankFinancials(rssd_id,$S$2,K$5,K$4,$B142,"K"),"")</f>
        <v/>
      </c>
      <c r="L142" s="38" t="str">
        <f>IFERROR([1]!IntrinioBankFinancials(rssd_id,$S$2,L$5,L$4,$B142,"K"),"")</f>
        <v/>
      </c>
      <c r="M142" s="38" t="str">
        <f>IFERROR([1]!IntrinioBankFinancials(rssd_id,$S$2,M$5,M$4,$B142,"K"),"")</f>
        <v/>
      </c>
      <c r="N142" s="38" t="str">
        <f>IFERROR([1]!IntrinioBankFinancials(rssd_id,$S$2,N$5,N$4,$B142,"K"),"")</f>
        <v/>
      </c>
      <c r="O142" s="38" t="str">
        <f>IFERROR([1]!IntrinioBankFinancials(rssd_id,$S$2,O$5,O$4,$B142,"K"),"")</f>
        <v/>
      </c>
      <c r="P142" s="49" t="s">
        <v>1054</v>
      </c>
    </row>
    <row r="143" spans="1:16" x14ac:dyDescent="0.4">
      <c r="A143" s="39" t="s">
        <v>977</v>
      </c>
      <c r="B143" s="37" t="s">
        <v>1019</v>
      </c>
      <c r="C143" s="38" t="str">
        <f>IFERROR([1]!IntrinioBankFinancials(rssd_id,$S$2,C$5,C$4,$B143,"K"),"")</f>
        <v/>
      </c>
      <c r="D143" s="38" t="str">
        <f>IFERROR([1]!IntrinioBankFinancials(rssd_id,$S$2,D$5,D$4,$B143,"K"),"")</f>
        <v/>
      </c>
      <c r="E143" s="38" t="str">
        <f>IFERROR([1]!IntrinioBankFinancials(rssd_id,$S$2,E$5,E$4,$B143,"K"),"")</f>
        <v/>
      </c>
      <c r="F143" s="38" t="str">
        <f>IFERROR([1]!IntrinioBankFinancials(rssd_id,$S$2,F$5,F$4,$B143,"K"),"")</f>
        <v/>
      </c>
      <c r="G143" s="38" t="str">
        <f>IFERROR([1]!IntrinioBankFinancials(rssd_id,$S$2,G$5,G$4,$B143,"K"),"")</f>
        <v/>
      </c>
      <c r="H143" s="38" t="str">
        <f>IFERROR([1]!IntrinioBankFinancials(rssd_id,$S$2,H$5,H$4,$B143,"K"),"")</f>
        <v/>
      </c>
      <c r="I143" s="38" t="str">
        <f>IFERROR([1]!IntrinioBankFinancials(rssd_id,$S$2,I$5,I$4,$B143,"K"),"")</f>
        <v/>
      </c>
      <c r="J143" s="38" t="str">
        <f>IFERROR([1]!IntrinioBankFinancials(rssd_id,$S$2,J$5,J$4,$B143,"K"),"")</f>
        <v/>
      </c>
      <c r="K143" s="38" t="str">
        <f>IFERROR([1]!IntrinioBankFinancials(rssd_id,$S$2,K$5,K$4,$B143,"K"),"")</f>
        <v/>
      </c>
      <c r="L143" s="38" t="str">
        <f>IFERROR([1]!IntrinioBankFinancials(rssd_id,$S$2,L$5,L$4,$B143,"K"),"")</f>
        <v/>
      </c>
      <c r="M143" s="38" t="str">
        <f>IFERROR([1]!IntrinioBankFinancials(rssd_id,$S$2,M$5,M$4,$B143,"K"),"")</f>
        <v/>
      </c>
      <c r="N143" s="38" t="str">
        <f>IFERROR([1]!IntrinioBankFinancials(rssd_id,$S$2,N$5,N$4,$B143,"K"),"")</f>
        <v/>
      </c>
      <c r="O143" s="38" t="str">
        <f>IFERROR([1]!IntrinioBankFinancials(rssd_id,$S$2,O$5,O$4,$B143,"K"),"")</f>
        <v/>
      </c>
      <c r="P143" s="49" t="s">
        <v>1055</v>
      </c>
    </row>
    <row r="144" spans="1:16" x14ac:dyDescent="0.4">
      <c r="A144" s="39" t="s">
        <v>980</v>
      </c>
      <c r="B144" s="37" t="s">
        <v>1020</v>
      </c>
      <c r="C144" s="38" t="str">
        <f>IFERROR([1]!IntrinioBankFinancials(rssd_id,$S$2,C$5,C$4,$B144,"K"),"")</f>
        <v/>
      </c>
      <c r="D144" s="38" t="str">
        <f>IFERROR([1]!IntrinioBankFinancials(rssd_id,$S$2,D$5,D$4,$B144,"K"),"")</f>
        <v/>
      </c>
      <c r="E144" s="38" t="str">
        <f>IFERROR([1]!IntrinioBankFinancials(rssd_id,$S$2,E$5,E$4,$B144,"K"),"")</f>
        <v/>
      </c>
      <c r="F144" s="38" t="str">
        <f>IFERROR([1]!IntrinioBankFinancials(rssd_id,$S$2,F$5,F$4,$B144,"K"),"")</f>
        <v/>
      </c>
      <c r="G144" s="38" t="str">
        <f>IFERROR([1]!IntrinioBankFinancials(rssd_id,$S$2,G$5,G$4,$B144,"K"),"")</f>
        <v/>
      </c>
      <c r="H144" s="38" t="str">
        <f>IFERROR([1]!IntrinioBankFinancials(rssd_id,$S$2,H$5,H$4,$B144,"K"),"")</f>
        <v/>
      </c>
      <c r="I144" s="38" t="str">
        <f>IFERROR([1]!IntrinioBankFinancials(rssd_id,$S$2,I$5,I$4,$B144,"K"),"")</f>
        <v/>
      </c>
      <c r="J144" s="38" t="str">
        <f>IFERROR([1]!IntrinioBankFinancials(rssd_id,$S$2,J$5,J$4,$B144,"K"),"")</f>
        <v/>
      </c>
      <c r="K144" s="38" t="str">
        <f>IFERROR([1]!IntrinioBankFinancials(rssd_id,$S$2,K$5,K$4,$B144,"K"),"")</f>
        <v/>
      </c>
      <c r="L144" s="38" t="str">
        <f>IFERROR([1]!IntrinioBankFinancials(rssd_id,$S$2,L$5,L$4,$B144,"K"),"")</f>
        <v/>
      </c>
      <c r="M144" s="38" t="str">
        <f>IFERROR([1]!IntrinioBankFinancials(rssd_id,$S$2,M$5,M$4,$B144,"K"),"")</f>
        <v/>
      </c>
      <c r="N144" s="38" t="str">
        <f>IFERROR([1]!IntrinioBankFinancials(rssd_id,$S$2,N$5,N$4,$B144,"K"),"")</f>
        <v/>
      </c>
      <c r="O144" s="38" t="str">
        <f>IFERROR([1]!IntrinioBankFinancials(rssd_id,$S$2,O$5,O$4,$B144,"K"),"")</f>
        <v/>
      </c>
      <c r="P144" s="49" t="s">
        <v>1056</v>
      </c>
    </row>
    <row r="145" spans="1:16" ht="28.5" x14ac:dyDescent="0.4">
      <c r="A145" s="39" t="s">
        <v>982</v>
      </c>
      <c r="B145" s="37"/>
      <c r="C145" s="38" t="str">
        <f>IFERROR([1]!IntrinioBankFinancials(rssd_id,$S$2,C$5,C$4,$B145,"K"),"")</f>
        <v/>
      </c>
      <c r="D145" s="38" t="str">
        <f>IFERROR([1]!IntrinioBankFinancials(rssd_id,$S$2,D$5,D$4,$B145,"K"),"")</f>
        <v/>
      </c>
      <c r="E145" s="38" t="str">
        <f>IFERROR([1]!IntrinioBankFinancials(rssd_id,$S$2,E$5,E$4,$B145,"K"),"")</f>
        <v/>
      </c>
      <c r="F145" s="38" t="str">
        <f>IFERROR([1]!IntrinioBankFinancials(rssd_id,$S$2,F$5,F$4,$B145,"K"),"")</f>
        <v/>
      </c>
      <c r="G145" s="38" t="str">
        <f>IFERROR([1]!IntrinioBankFinancials(rssd_id,$S$2,G$5,G$4,$B145,"K"),"")</f>
        <v/>
      </c>
      <c r="H145" s="38" t="str">
        <f>IFERROR([1]!IntrinioBankFinancials(rssd_id,$S$2,H$5,H$4,$B145,"K"),"")</f>
        <v/>
      </c>
      <c r="I145" s="38" t="str">
        <f>IFERROR([1]!IntrinioBankFinancials(rssd_id,$S$2,I$5,I$4,$B145,"K"),"")</f>
        <v/>
      </c>
      <c r="J145" s="38" t="str">
        <f>IFERROR([1]!IntrinioBankFinancials(rssd_id,$S$2,J$5,J$4,$B145,"K"),"")</f>
        <v/>
      </c>
      <c r="K145" s="38" t="str">
        <f>IFERROR([1]!IntrinioBankFinancials(rssd_id,$S$2,K$5,K$4,$B145,"K"),"")</f>
        <v/>
      </c>
      <c r="L145" s="38" t="str">
        <f>IFERROR([1]!IntrinioBankFinancials(rssd_id,$S$2,L$5,L$4,$B145,"K"),"")</f>
        <v/>
      </c>
      <c r="M145" s="38" t="str">
        <f>IFERROR([1]!IntrinioBankFinancials(rssd_id,$S$2,M$5,M$4,$B145,"K"),"")</f>
        <v/>
      </c>
      <c r="N145" s="38" t="str">
        <f>IFERROR([1]!IntrinioBankFinancials(rssd_id,$S$2,N$5,N$4,$B145,"K"),"")</f>
        <v/>
      </c>
      <c r="O145" s="38" t="str">
        <f>IFERROR([1]!IntrinioBankFinancials(rssd_id,$S$2,O$5,O$4,$B145,"K"),"")</f>
        <v/>
      </c>
      <c r="P145" s="49" t="s">
        <v>1057</v>
      </c>
    </row>
    <row r="146" spans="1:16" x14ac:dyDescent="0.4">
      <c r="A146" s="39" t="s">
        <v>984</v>
      </c>
      <c r="B146" s="37" t="s">
        <v>1021</v>
      </c>
      <c r="C146" s="38" t="str">
        <f>IFERROR([1]!IntrinioBankFinancials(rssd_id,$S$2,C$5,C$4,$B146,"K"),"")</f>
        <v/>
      </c>
      <c r="D146" s="38" t="str">
        <f>IFERROR([1]!IntrinioBankFinancials(rssd_id,$S$2,D$5,D$4,$B146,"K"),"")</f>
        <v/>
      </c>
      <c r="E146" s="38" t="str">
        <f>IFERROR([1]!IntrinioBankFinancials(rssd_id,$S$2,E$5,E$4,$B146,"K"),"")</f>
        <v/>
      </c>
      <c r="F146" s="38" t="str">
        <f>IFERROR([1]!IntrinioBankFinancials(rssd_id,$S$2,F$5,F$4,$B146,"K"),"")</f>
        <v/>
      </c>
      <c r="G146" s="38" t="str">
        <f>IFERROR([1]!IntrinioBankFinancials(rssd_id,$S$2,G$5,G$4,$B146,"K"),"")</f>
        <v/>
      </c>
      <c r="H146" s="38" t="str">
        <f>IFERROR([1]!IntrinioBankFinancials(rssd_id,$S$2,H$5,H$4,$B146,"K"),"")</f>
        <v/>
      </c>
      <c r="I146" s="38" t="str">
        <f>IFERROR([1]!IntrinioBankFinancials(rssd_id,$S$2,I$5,I$4,$B146,"K"),"")</f>
        <v/>
      </c>
      <c r="J146" s="38" t="str">
        <f>IFERROR([1]!IntrinioBankFinancials(rssd_id,$S$2,J$5,J$4,$B146,"K"),"")</f>
        <v/>
      </c>
      <c r="K146" s="38" t="str">
        <f>IFERROR([1]!IntrinioBankFinancials(rssd_id,$S$2,K$5,K$4,$B146,"K"),"")</f>
        <v/>
      </c>
      <c r="L146" s="38" t="str">
        <f>IFERROR([1]!IntrinioBankFinancials(rssd_id,$S$2,L$5,L$4,$B146,"K"),"")</f>
        <v/>
      </c>
      <c r="M146" s="38" t="str">
        <f>IFERROR([1]!IntrinioBankFinancials(rssd_id,$S$2,M$5,M$4,$B146,"K"),"")</f>
        <v/>
      </c>
      <c r="N146" s="38" t="str">
        <f>IFERROR([1]!IntrinioBankFinancials(rssd_id,$S$2,N$5,N$4,$B146,"K"),"")</f>
        <v/>
      </c>
      <c r="O146" s="38" t="str">
        <f>IFERROR([1]!IntrinioBankFinancials(rssd_id,$S$2,O$5,O$4,$B146,"K"),"")</f>
        <v/>
      </c>
      <c r="P146" s="49" t="s">
        <v>1058</v>
      </c>
    </row>
    <row r="147" spans="1:16" x14ac:dyDescent="0.4">
      <c r="A147" s="39" t="s">
        <v>987</v>
      </c>
      <c r="B147" s="37" t="s">
        <v>1022</v>
      </c>
      <c r="C147" s="38" t="str">
        <f>IFERROR([1]!IntrinioBankFinancials(rssd_id,$S$2,C$5,C$4,$B147,"K"),"")</f>
        <v/>
      </c>
      <c r="D147" s="38" t="str">
        <f>IFERROR([1]!IntrinioBankFinancials(rssd_id,$S$2,D$5,D$4,$B147,"K"),"")</f>
        <v/>
      </c>
      <c r="E147" s="38" t="str">
        <f>IFERROR([1]!IntrinioBankFinancials(rssd_id,$S$2,E$5,E$4,$B147,"K"),"")</f>
        <v/>
      </c>
      <c r="F147" s="38" t="str">
        <f>IFERROR([1]!IntrinioBankFinancials(rssd_id,$S$2,F$5,F$4,$B147,"K"),"")</f>
        <v/>
      </c>
      <c r="G147" s="38" t="str">
        <f>IFERROR([1]!IntrinioBankFinancials(rssd_id,$S$2,G$5,G$4,$B147,"K"),"")</f>
        <v/>
      </c>
      <c r="H147" s="38" t="str">
        <f>IFERROR([1]!IntrinioBankFinancials(rssd_id,$S$2,H$5,H$4,$B147,"K"),"")</f>
        <v/>
      </c>
      <c r="I147" s="38" t="str">
        <f>IFERROR([1]!IntrinioBankFinancials(rssd_id,$S$2,I$5,I$4,$B147,"K"),"")</f>
        <v/>
      </c>
      <c r="J147" s="38" t="str">
        <f>IFERROR([1]!IntrinioBankFinancials(rssd_id,$S$2,J$5,J$4,$B147,"K"),"")</f>
        <v/>
      </c>
      <c r="K147" s="38" t="str">
        <f>IFERROR([1]!IntrinioBankFinancials(rssd_id,$S$2,K$5,K$4,$B147,"K"),"")</f>
        <v/>
      </c>
      <c r="L147" s="38" t="str">
        <f>IFERROR([1]!IntrinioBankFinancials(rssd_id,$S$2,L$5,L$4,$B147,"K"),"")</f>
        <v/>
      </c>
      <c r="M147" s="38" t="str">
        <f>IFERROR([1]!IntrinioBankFinancials(rssd_id,$S$2,M$5,M$4,$B147,"K"),"")</f>
        <v/>
      </c>
      <c r="N147" s="38" t="str">
        <f>IFERROR([1]!IntrinioBankFinancials(rssd_id,$S$2,N$5,N$4,$B147,"K"),"")</f>
        <v/>
      </c>
      <c r="O147" s="38" t="str">
        <f>IFERROR([1]!IntrinioBankFinancials(rssd_id,$S$2,O$5,O$4,$B147,"K"),"")</f>
        <v/>
      </c>
      <c r="P147" s="49" t="s">
        <v>1059</v>
      </c>
    </row>
    <row r="148" spans="1:16" x14ac:dyDescent="0.4">
      <c r="A148" s="39" t="s">
        <v>990</v>
      </c>
      <c r="B148" s="37" t="s">
        <v>1023</v>
      </c>
      <c r="C148" s="38" t="str">
        <f>IFERROR([1]!IntrinioBankFinancials(rssd_id,$S$2,C$5,C$4,$B148,"K"),"")</f>
        <v/>
      </c>
      <c r="D148" s="38" t="str">
        <f>IFERROR([1]!IntrinioBankFinancials(rssd_id,$S$2,D$5,D$4,$B148,"K"),"")</f>
        <v/>
      </c>
      <c r="E148" s="38" t="str">
        <f>IFERROR([1]!IntrinioBankFinancials(rssd_id,$S$2,E$5,E$4,$B148,"K"),"")</f>
        <v/>
      </c>
      <c r="F148" s="38" t="str">
        <f>IFERROR([1]!IntrinioBankFinancials(rssd_id,$S$2,F$5,F$4,$B148,"K"),"")</f>
        <v/>
      </c>
      <c r="G148" s="38" t="str">
        <f>IFERROR([1]!IntrinioBankFinancials(rssd_id,$S$2,G$5,G$4,$B148,"K"),"")</f>
        <v/>
      </c>
      <c r="H148" s="38" t="str">
        <f>IFERROR([1]!IntrinioBankFinancials(rssd_id,$S$2,H$5,H$4,$B148,"K"),"")</f>
        <v/>
      </c>
      <c r="I148" s="38" t="str">
        <f>IFERROR([1]!IntrinioBankFinancials(rssd_id,$S$2,I$5,I$4,$B148,"K"),"")</f>
        <v/>
      </c>
      <c r="J148" s="38" t="str">
        <f>IFERROR([1]!IntrinioBankFinancials(rssd_id,$S$2,J$5,J$4,$B148,"K"),"")</f>
        <v/>
      </c>
      <c r="K148" s="38" t="str">
        <f>IFERROR([1]!IntrinioBankFinancials(rssd_id,$S$2,K$5,K$4,$B148,"K"),"")</f>
        <v/>
      </c>
      <c r="L148" s="38" t="str">
        <f>IFERROR([1]!IntrinioBankFinancials(rssd_id,$S$2,L$5,L$4,$B148,"K"),"")</f>
        <v/>
      </c>
      <c r="M148" s="38" t="str">
        <f>IFERROR([1]!IntrinioBankFinancials(rssd_id,$S$2,M$5,M$4,$B148,"K"),"")</f>
        <v/>
      </c>
      <c r="N148" s="38" t="str">
        <f>IFERROR([1]!IntrinioBankFinancials(rssd_id,$S$2,N$5,N$4,$B148,"K"),"")</f>
        <v/>
      </c>
      <c r="O148" s="38" t="str">
        <f>IFERROR([1]!IntrinioBankFinancials(rssd_id,$S$2,O$5,O$4,$B148,"K"),"")</f>
        <v/>
      </c>
      <c r="P148" s="49" t="s">
        <v>1060</v>
      </c>
    </row>
    <row r="149" spans="1:16" x14ac:dyDescent="0.4">
      <c r="A149" s="39" t="s">
        <v>530</v>
      </c>
      <c r="B149" s="37" t="s">
        <v>1024</v>
      </c>
      <c r="C149" s="38" t="str">
        <f>IFERROR([1]!IntrinioBankFinancials(rssd_id,$S$2,C$5,C$4,$B149,"K"),"")</f>
        <v/>
      </c>
      <c r="D149" s="38" t="str">
        <f>IFERROR([1]!IntrinioBankFinancials(rssd_id,$S$2,D$5,D$4,$B149,"K"),"")</f>
        <v/>
      </c>
      <c r="E149" s="38" t="str">
        <f>IFERROR([1]!IntrinioBankFinancials(rssd_id,$S$2,E$5,E$4,$B149,"K"),"")</f>
        <v/>
      </c>
      <c r="F149" s="38" t="str">
        <f>IFERROR([1]!IntrinioBankFinancials(rssd_id,$S$2,F$5,F$4,$B149,"K"),"")</f>
        <v/>
      </c>
      <c r="G149" s="38" t="str">
        <f>IFERROR([1]!IntrinioBankFinancials(rssd_id,$S$2,G$5,G$4,$B149,"K"),"")</f>
        <v/>
      </c>
      <c r="H149" s="38" t="str">
        <f>IFERROR([1]!IntrinioBankFinancials(rssd_id,$S$2,H$5,H$4,$B149,"K"),"")</f>
        <v/>
      </c>
      <c r="I149" s="38" t="str">
        <f>IFERROR([1]!IntrinioBankFinancials(rssd_id,$S$2,I$5,I$4,$B149,"K"),"")</f>
        <v/>
      </c>
      <c r="J149" s="38" t="str">
        <f>IFERROR([1]!IntrinioBankFinancials(rssd_id,$S$2,J$5,J$4,$B149,"K"),"")</f>
        <v/>
      </c>
      <c r="K149" s="38" t="str">
        <f>IFERROR([1]!IntrinioBankFinancials(rssd_id,$S$2,K$5,K$4,$B149,"K"),"")</f>
        <v/>
      </c>
      <c r="L149" s="38" t="str">
        <f>IFERROR([1]!IntrinioBankFinancials(rssd_id,$S$2,L$5,L$4,$B149,"K"),"")</f>
        <v/>
      </c>
      <c r="M149" s="38" t="str">
        <f>IFERROR([1]!IntrinioBankFinancials(rssd_id,$S$2,M$5,M$4,$B149,"K"),"")</f>
        <v/>
      </c>
      <c r="N149" s="38" t="str">
        <f>IFERROR([1]!IntrinioBankFinancials(rssd_id,$S$2,N$5,N$4,$B149,"K"),"")</f>
        <v/>
      </c>
      <c r="O149" s="38" t="str">
        <f>IFERROR([1]!IntrinioBankFinancials(rssd_id,$S$2,O$5,O$4,$B149,"K"),"")</f>
        <v/>
      </c>
      <c r="P149" s="49" t="s">
        <v>1061</v>
      </c>
    </row>
    <row r="150" spans="1:16" x14ac:dyDescent="0.4">
      <c r="A150" s="39" t="s">
        <v>995</v>
      </c>
      <c r="B150" s="37" t="s">
        <v>1025</v>
      </c>
      <c r="C150" s="38" t="str">
        <f>IFERROR([1]!IntrinioBankFinancials(rssd_id,$S$2,C$5,C$4,$B150,"K"),"")</f>
        <v/>
      </c>
      <c r="D150" s="38" t="str">
        <f>IFERROR([1]!IntrinioBankFinancials(rssd_id,$S$2,D$5,D$4,$B150,"K"),"")</f>
        <v/>
      </c>
      <c r="E150" s="38" t="str">
        <f>IFERROR([1]!IntrinioBankFinancials(rssd_id,$S$2,E$5,E$4,$B150,"K"),"")</f>
        <v/>
      </c>
      <c r="F150" s="38" t="str">
        <f>IFERROR([1]!IntrinioBankFinancials(rssd_id,$S$2,F$5,F$4,$B150,"K"),"")</f>
        <v/>
      </c>
      <c r="G150" s="38" t="str">
        <f>IFERROR([1]!IntrinioBankFinancials(rssd_id,$S$2,G$5,G$4,$B150,"K"),"")</f>
        <v/>
      </c>
      <c r="H150" s="38" t="str">
        <f>IFERROR([1]!IntrinioBankFinancials(rssd_id,$S$2,H$5,H$4,$B150,"K"),"")</f>
        <v/>
      </c>
      <c r="I150" s="38" t="str">
        <f>IFERROR([1]!IntrinioBankFinancials(rssd_id,$S$2,I$5,I$4,$B150,"K"),"")</f>
        <v/>
      </c>
      <c r="J150" s="38" t="str">
        <f>IFERROR([1]!IntrinioBankFinancials(rssd_id,$S$2,J$5,J$4,$B150,"K"),"")</f>
        <v/>
      </c>
      <c r="K150" s="38" t="str">
        <f>IFERROR([1]!IntrinioBankFinancials(rssd_id,$S$2,K$5,K$4,$B150,"K"),"")</f>
        <v/>
      </c>
      <c r="L150" s="38" t="str">
        <f>IFERROR([1]!IntrinioBankFinancials(rssd_id,$S$2,L$5,L$4,$B150,"K"),"")</f>
        <v/>
      </c>
      <c r="M150" s="38" t="str">
        <f>IFERROR([1]!IntrinioBankFinancials(rssd_id,$S$2,M$5,M$4,$B150,"K"),"")</f>
        <v/>
      </c>
      <c r="N150" s="38" t="str">
        <f>IFERROR([1]!IntrinioBankFinancials(rssd_id,$S$2,N$5,N$4,$B150,"K"),"")</f>
        <v/>
      </c>
      <c r="O150" s="38" t="str">
        <f>IFERROR([1]!IntrinioBankFinancials(rssd_id,$S$2,O$5,O$4,$B150,"K"),"")</f>
        <v/>
      </c>
      <c r="P150" s="49" t="s">
        <v>1062</v>
      </c>
    </row>
    <row r="151" spans="1:16" x14ac:dyDescent="0.4">
      <c r="A151" s="39" t="s">
        <v>1026</v>
      </c>
      <c r="B151" s="37"/>
      <c r="C151" s="38" t="str">
        <f>IFERROR([1]!IntrinioBankFinancials(rssd_id,$S$2,C$5,C$4,$B151,"K"),"")</f>
        <v/>
      </c>
      <c r="D151" s="38" t="str">
        <f>IFERROR([1]!IntrinioBankFinancials(rssd_id,$S$2,D$5,D$4,$B151,"K"),"")</f>
        <v/>
      </c>
      <c r="E151" s="38" t="str">
        <f>IFERROR([1]!IntrinioBankFinancials(rssd_id,$S$2,E$5,E$4,$B151,"K"),"")</f>
        <v/>
      </c>
      <c r="F151" s="38" t="str">
        <f>IFERROR([1]!IntrinioBankFinancials(rssd_id,$S$2,F$5,F$4,$B151,"K"),"")</f>
        <v/>
      </c>
      <c r="G151" s="38" t="str">
        <f>IFERROR([1]!IntrinioBankFinancials(rssd_id,$S$2,G$5,G$4,$B151,"K"),"")</f>
        <v/>
      </c>
      <c r="H151" s="38" t="str">
        <f>IFERROR([1]!IntrinioBankFinancials(rssd_id,$S$2,H$5,H$4,$B151,"K"),"")</f>
        <v/>
      </c>
      <c r="I151" s="38" t="str">
        <f>IFERROR([1]!IntrinioBankFinancials(rssd_id,$S$2,I$5,I$4,$B151,"K"),"")</f>
        <v/>
      </c>
      <c r="J151" s="38" t="str">
        <f>IFERROR([1]!IntrinioBankFinancials(rssd_id,$S$2,J$5,J$4,$B151,"K"),"")</f>
        <v/>
      </c>
      <c r="K151" s="38" t="str">
        <f>IFERROR([1]!IntrinioBankFinancials(rssd_id,$S$2,K$5,K$4,$B151,"K"),"")</f>
        <v/>
      </c>
      <c r="L151" s="38" t="str">
        <f>IFERROR([1]!IntrinioBankFinancials(rssd_id,$S$2,L$5,L$4,$B151,"K"),"")</f>
        <v/>
      </c>
      <c r="M151" s="38" t="str">
        <f>IFERROR([1]!IntrinioBankFinancials(rssd_id,$S$2,M$5,M$4,$B151,"K"),"")</f>
        <v/>
      </c>
      <c r="N151" s="38" t="str">
        <f>IFERROR([1]!IntrinioBankFinancials(rssd_id,$S$2,N$5,N$4,$B151,"K"),"")</f>
        <v/>
      </c>
      <c r="O151" s="38" t="str">
        <f>IFERROR([1]!IntrinioBankFinancials(rssd_id,$S$2,O$5,O$4,$B151,"K"),"")</f>
        <v/>
      </c>
      <c r="P151" s="49" t="s">
        <v>213</v>
      </c>
    </row>
    <row r="152" spans="1:16" x14ac:dyDescent="0.4">
      <c r="A152" s="39" t="s">
        <v>1027</v>
      </c>
      <c r="B152" s="37" t="s">
        <v>1028</v>
      </c>
      <c r="C152" s="38" t="str">
        <f>IFERROR([1]!IntrinioBankFinancials(rssd_id,$S$2,C$5,C$4,$B152,"K"),"")</f>
        <v/>
      </c>
      <c r="D152" s="38" t="str">
        <f>IFERROR([1]!IntrinioBankFinancials(rssd_id,$S$2,D$5,D$4,$B152,"K"),"")</f>
        <v/>
      </c>
      <c r="E152" s="38" t="str">
        <f>IFERROR([1]!IntrinioBankFinancials(rssd_id,$S$2,E$5,E$4,$B152,"K"),"")</f>
        <v/>
      </c>
      <c r="F152" s="38" t="str">
        <f>IFERROR([1]!IntrinioBankFinancials(rssd_id,$S$2,F$5,F$4,$B152,"K"),"")</f>
        <v/>
      </c>
      <c r="G152" s="38" t="str">
        <f>IFERROR([1]!IntrinioBankFinancials(rssd_id,$S$2,G$5,G$4,$B152,"K"),"")</f>
        <v/>
      </c>
      <c r="H152" s="38" t="str">
        <f>IFERROR([1]!IntrinioBankFinancials(rssd_id,$S$2,H$5,H$4,$B152,"K"),"")</f>
        <v/>
      </c>
      <c r="I152" s="38" t="str">
        <f>IFERROR([1]!IntrinioBankFinancials(rssd_id,$S$2,I$5,I$4,$B152,"K"),"")</f>
        <v/>
      </c>
      <c r="J152" s="38" t="str">
        <f>IFERROR([1]!IntrinioBankFinancials(rssd_id,$S$2,J$5,J$4,$B152,"K"),"")</f>
        <v/>
      </c>
      <c r="K152" s="38" t="str">
        <f>IFERROR([1]!IntrinioBankFinancials(rssd_id,$S$2,K$5,K$4,$B152,"K"),"")</f>
        <v/>
      </c>
      <c r="L152" s="38" t="str">
        <f>IFERROR([1]!IntrinioBankFinancials(rssd_id,$S$2,L$5,L$4,$B152,"K"),"")</f>
        <v/>
      </c>
      <c r="M152" s="38" t="str">
        <f>IFERROR([1]!IntrinioBankFinancials(rssd_id,$S$2,M$5,M$4,$B152,"K"),"")</f>
        <v/>
      </c>
      <c r="N152" s="38" t="str">
        <f>IFERROR([1]!IntrinioBankFinancials(rssd_id,$S$2,N$5,N$4,$B152,"K"),"")</f>
        <v/>
      </c>
      <c r="O152" s="38" t="str">
        <f>IFERROR([1]!IntrinioBankFinancials(rssd_id,$S$2,O$5,O$4,$B152,"K"),"")</f>
        <v/>
      </c>
      <c r="P152" s="49" t="s">
        <v>414</v>
      </c>
    </row>
    <row r="153" spans="1:16" x14ac:dyDescent="0.4">
      <c r="A153" s="39" t="s">
        <v>1029</v>
      </c>
      <c r="B153" s="37" t="s">
        <v>1030</v>
      </c>
      <c r="C153" s="38" t="str">
        <f>IFERROR([1]!IntrinioBankFinancials(rssd_id,$S$2,C$5,C$4,$B153,"K"),"")</f>
        <v/>
      </c>
      <c r="D153" s="38" t="str">
        <f>IFERROR([1]!IntrinioBankFinancials(rssd_id,$S$2,D$5,D$4,$B153,"K"),"")</f>
        <v/>
      </c>
      <c r="E153" s="38" t="str">
        <f>IFERROR([1]!IntrinioBankFinancials(rssd_id,$S$2,E$5,E$4,$B153,"K"),"")</f>
        <v/>
      </c>
      <c r="F153" s="38" t="str">
        <f>IFERROR([1]!IntrinioBankFinancials(rssd_id,$S$2,F$5,F$4,$B153,"K"),"")</f>
        <v/>
      </c>
      <c r="G153" s="38" t="str">
        <f>IFERROR([1]!IntrinioBankFinancials(rssd_id,$S$2,G$5,G$4,$B153,"K"),"")</f>
        <v/>
      </c>
      <c r="H153" s="38" t="str">
        <f>IFERROR([1]!IntrinioBankFinancials(rssd_id,$S$2,H$5,H$4,$B153,"K"),"")</f>
        <v/>
      </c>
      <c r="I153" s="38" t="str">
        <f>IFERROR([1]!IntrinioBankFinancials(rssd_id,$S$2,I$5,I$4,$B153,"K"),"")</f>
        <v/>
      </c>
      <c r="J153" s="38" t="str">
        <f>IFERROR([1]!IntrinioBankFinancials(rssd_id,$S$2,J$5,J$4,$B153,"K"),"")</f>
        <v/>
      </c>
      <c r="K153" s="38" t="str">
        <f>IFERROR([1]!IntrinioBankFinancials(rssd_id,$S$2,K$5,K$4,$B153,"K"),"")</f>
        <v/>
      </c>
      <c r="L153" s="38" t="str">
        <f>IFERROR([1]!IntrinioBankFinancials(rssd_id,$S$2,L$5,L$4,$B153,"K"),"")</f>
        <v/>
      </c>
      <c r="M153" s="38" t="str">
        <f>IFERROR([1]!IntrinioBankFinancials(rssd_id,$S$2,M$5,M$4,$B153,"K"),"")</f>
        <v/>
      </c>
      <c r="N153" s="38" t="str">
        <f>IFERROR([1]!IntrinioBankFinancials(rssd_id,$S$2,N$5,N$4,$B153,"K"),"")</f>
        <v/>
      </c>
      <c r="O153" s="38" t="str">
        <f>IFERROR([1]!IntrinioBankFinancials(rssd_id,$S$2,O$5,O$4,$B153,"K"),"")</f>
        <v/>
      </c>
      <c r="P153" s="49" t="s">
        <v>417</v>
      </c>
    </row>
    <row r="154" spans="1:16" ht="42.75" x14ac:dyDescent="0.4">
      <c r="A154" s="39" t="s">
        <v>2511</v>
      </c>
      <c r="B154" s="37"/>
      <c r="C154" s="38" t="str">
        <f>IFERROR([1]!IntrinioBankFinancials(rssd_id,$S$2,C$5,C$4,$B154,"K"),"")</f>
        <v/>
      </c>
      <c r="D154" s="38" t="str">
        <f>IFERROR([1]!IntrinioBankFinancials(rssd_id,$S$2,D$5,D$4,$B154,"K"),"")</f>
        <v/>
      </c>
      <c r="E154" s="38" t="str">
        <f>IFERROR([1]!IntrinioBankFinancials(rssd_id,$S$2,E$5,E$4,$B154,"K"),"")</f>
        <v/>
      </c>
      <c r="F154" s="38" t="str">
        <f>IFERROR([1]!IntrinioBankFinancials(rssd_id,$S$2,F$5,F$4,$B154,"K"),"")</f>
        <v/>
      </c>
      <c r="G154" s="38" t="str">
        <f>IFERROR([1]!IntrinioBankFinancials(rssd_id,$S$2,G$5,G$4,$B154,"K"),"")</f>
        <v/>
      </c>
      <c r="H154" s="38" t="str">
        <f>IFERROR([1]!IntrinioBankFinancials(rssd_id,$S$2,H$5,H$4,$B154,"K"),"")</f>
        <v/>
      </c>
      <c r="I154" s="38" t="str">
        <f>IFERROR([1]!IntrinioBankFinancials(rssd_id,$S$2,I$5,I$4,$B154,"K"),"")</f>
        <v/>
      </c>
      <c r="J154" s="38" t="str">
        <f>IFERROR([1]!IntrinioBankFinancials(rssd_id,$S$2,J$5,J$4,$B154,"K"),"")</f>
        <v/>
      </c>
      <c r="K154" s="38" t="str">
        <f>IFERROR([1]!IntrinioBankFinancials(rssd_id,$S$2,K$5,K$4,$B154,"K"),"")</f>
        <v/>
      </c>
      <c r="L154" s="38" t="str">
        <f>IFERROR([1]!IntrinioBankFinancials(rssd_id,$S$2,L$5,L$4,$B154,"K"),"")</f>
        <v/>
      </c>
      <c r="M154" s="38" t="str">
        <f>IFERROR([1]!IntrinioBankFinancials(rssd_id,$S$2,M$5,M$4,$B154,"K"),"")</f>
        <v/>
      </c>
      <c r="N154" s="38" t="str">
        <f>IFERROR([1]!IntrinioBankFinancials(rssd_id,$S$2,N$5,N$4,$B154,"K"),"")</f>
        <v/>
      </c>
      <c r="O154" s="38" t="str">
        <f>IFERROR([1]!IntrinioBankFinancials(rssd_id,$S$2,O$5,O$4,$B154,"K"),"")</f>
        <v/>
      </c>
      <c r="P154" s="49" t="s">
        <v>215</v>
      </c>
    </row>
    <row r="155" spans="1:16" x14ac:dyDescent="0.4">
      <c r="A155" s="39" t="s">
        <v>877</v>
      </c>
      <c r="B155" s="37" t="s">
        <v>1031</v>
      </c>
      <c r="C155" s="38" t="str">
        <f>IFERROR([1]!IntrinioBankFinancials(rssd_id,$S$2,C$5,C$4,$B155,"K"),"")</f>
        <v/>
      </c>
      <c r="D155" s="38" t="str">
        <f>IFERROR([1]!IntrinioBankFinancials(rssd_id,$S$2,D$5,D$4,$B155,"K"),"")</f>
        <v/>
      </c>
      <c r="E155" s="38" t="str">
        <f>IFERROR([1]!IntrinioBankFinancials(rssd_id,$S$2,E$5,E$4,$B155,"K"),"")</f>
        <v/>
      </c>
      <c r="F155" s="38" t="str">
        <f>IFERROR([1]!IntrinioBankFinancials(rssd_id,$S$2,F$5,F$4,$B155,"K"),"")</f>
        <v/>
      </c>
      <c r="G155" s="38" t="str">
        <f>IFERROR([1]!IntrinioBankFinancials(rssd_id,$S$2,G$5,G$4,$B155,"K"),"")</f>
        <v/>
      </c>
      <c r="H155" s="38" t="str">
        <f>IFERROR([1]!IntrinioBankFinancials(rssd_id,$S$2,H$5,H$4,$B155,"K"),"")</f>
        <v/>
      </c>
      <c r="I155" s="38" t="str">
        <f>IFERROR([1]!IntrinioBankFinancials(rssd_id,$S$2,I$5,I$4,$B155,"K"),"")</f>
        <v/>
      </c>
      <c r="J155" s="38" t="str">
        <f>IFERROR([1]!IntrinioBankFinancials(rssd_id,$S$2,J$5,J$4,$B155,"K"),"")</f>
        <v/>
      </c>
      <c r="K155" s="38" t="str">
        <f>IFERROR([1]!IntrinioBankFinancials(rssd_id,$S$2,K$5,K$4,$B155,"K"),"")</f>
        <v/>
      </c>
      <c r="L155" s="38" t="str">
        <f>IFERROR([1]!IntrinioBankFinancials(rssd_id,$S$2,L$5,L$4,$B155,"K"),"")</f>
        <v/>
      </c>
      <c r="M155" s="38" t="str">
        <f>IFERROR([1]!IntrinioBankFinancials(rssd_id,$S$2,M$5,M$4,$B155,"K"),"")</f>
        <v/>
      </c>
      <c r="N155" s="38" t="str">
        <f>IFERROR([1]!IntrinioBankFinancials(rssd_id,$S$2,N$5,N$4,$B155,"K"),"")</f>
        <v/>
      </c>
      <c r="O155" s="38" t="str">
        <f>IFERROR([1]!IntrinioBankFinancials(rssd_id,$S$2,O$5,O$4,$B155,"K"),"")</f>
        <v/>
      </c>
      <c r="P155" s="49" t="s">
        <v>1063</v>
      </c>
    </row>
    <row r="156" spans="1:16" x14ac:dyDescent="0.4">
      <c r="A156" s="39" t="s">
        <v>924</v>
      </c>
      <c r="B156" s="37" t="s">
        <v>1032</v>
      </c>
      <c r="C156" s="38" t="str">
        <f>IFERROR([1]!IntrinioBankFinancials(rssd_id,$S$2,C$5,C$4,$B156,"K"),"")</f>
        <v/>
      </c>
      <c r="D156" s="38" t="str">
        <f>IFERROR([1]!IntrinioBankFinancials(rssd_id,$S$2,D$5,D$4,$B156,"K"),"")</f>
        <v/>
      </c>
      <c r="E156" s="38" t="str">
        <f>IFERROR([1]!IntrinioBankFinancials(rssd_id,$S$2,E$5,E$4,$B156,"K"),"")</f>
        <v/>
      </c>
      <c r="F156" s="38" t="str">
        <f>IFERROR([1]!IntrinioBankFinancials(rssd_id,$S$2,F$5,F$4,$B156,"K"),"")</f>
        <v/>
      </c>
      <c r="G156" s="38" t="str">
        <f>IFERROR([1]!IntrinioBankFinancials(rssd_id,$S$2,G$5,G$4,$B156,"K"),"")</f>
        <v/>
      </c>
      <c r="H156" s="38" t="str">
        <f>IFERROR([1]!IntrinioBankFinancials(rssd_id,$S$2,H$5,H$4,$B156,"K"),"")</f>
        <v/>
      </c>
      <c r="I156" s="38" t="str">
        <f>IFERROR([1]!IntrinioBankFinancials(rssd_id,$S$2,I$5,I$4,$B156,"K"),"")</f>
        <v/>
      </c>
      <c r="J156" s="38" t="str">
        <f>IFERROR([1]!IntrinioBankFinancials(rssd_id,$S$2,J$5,J$4,$B156,"K"),"")</f>
        <v/>
      </c>
      <c r="K156" s="38" t="str">
        <f>IFERROR([1]!IntrinioBankFinancials(rssd_id,$S$2,K$5,K$4,$B156,"K"),"")</f>
        <v/>
      </c>
      <c r="L156" s="38" t="str">
        <f>IFERROR([1]!IntrinioBankFinancials(rssd_id,$S$2,L$5,L$4,$B156,"K"),"")</f>
        <v/>
      </c>
      <c r="M156" s="38" t="str">
        <f>IFERROR([1]!IntrinioBankFinancials(rssd_id,$S$2,M$5,M$4,$B156,"K"),"")</f>
        <v/>
      </c>
      <c r="N156" s="38" t="str">
        <f>IFERROR([1]!IntrinioBankFinancials(rssd_id,$S$2,N$5,N$4,$B156,"K"),"")</f>
        <v/>
      </c>
      <c r="O156" s="38" t="str">
        <f>IFERROR([1]!IntrinioBankFinancials(rssd_id,$S$2,O$5,O$4,$B156,"K"),"")</f>
        <v/>
      </c>
      <c r="P156" s="49" t="s">
        <v>1064</v>
      </c>
    </row>
    <row r="157" spans="1:16" x14ac:dyDescent="0.4">
      <c r="A157" s="39" t="s">
        <v>888</v>
      </c>
      <c r="B157" s="37" t="s">
        <v>1033</v>
      </c>
      <c r="C157" s="38" t="str">
        <f>IFERROR([1]!IntrinioBankFinancials(rssd_id,$S$2,C$5,C$4,$B157,"K"),"")</f>
        <v/>
      </c>
      <c r="D157" s="38" t="str">
        <f>IFERROR([1]!IntrinioBankFinancials(rssd_id,$S$2,D$5,D$4,$B157,"K"),"")</f>
        <v/>
      </c>
      <c r="E157" s="38" t="str">
        <f>IFERROR([1]!IntrinioBankFinancials(rssd_id,$S$2,E$5,E$4,$B157,"K"),"")</f>
        <v/>
      </c>
      <c r="F157" s="38" t="str">
        <f>IFERROR([1]!IntrinioBankFinancials(rssd_id,$S$2,F$5,F$4,$B157,"K"),"")</f>
        <v/>
      </c>
      <c r="G157" s="38" t="str">
        <f>IFERROR([1]!IntrinioBankFinancials(rssd_id,$S$2,G$5,G$4,$B157,"K"),"")</f>
        <v/>
      </c>
      <c r="H157" s="38" t="str">
        <f>IFERROR([1]!IntrinioBankFinancials(rssd_id,$S$2,H$5,H$4,$B157,"K"),"")</f>
        <v/>
      </c>
      <c r="I157" s="38" t="str">
        <f>IFERROR([1]!IntrinioBankFinancials(rssd_id,$S$2,I$5,I$4,$B157,"K"),"")</f>
        <v/>
      </c>
      <c r="J157" s="38" t="str">
        <f>IFERROR([1]!IntrinioBankFinancials(rssd_id,$S$2,J$5,J$4,$B157,"K"),"")</f>
        <v/>
      </c>
      <c r="K157" s="38" t="str">
        <f>IFERROR([1]!IntrinioBankFinancials(rssd_id,$S$2,K$5,K$4,$B157,"K"),"")</f>
        <v/>
      </c>
      <c r="L157" s="38" t="str">
        <f>IFERROR([1]!IntrinioBankFinancials(rssd_id,$S$2,L$5,L$4,$B157,"K"),"")</f>
        <v/>
      </c>
      <c r="M157" s="38" t="str">
        <f>IFERROR([1]!IntrinioBankFinancials(rssd_id,$S$2,M$5,M$4,$B157,"K"),"")</f>
        <v/>
      </c>
      <c r="N157" s="38" t="str">
        <f>IFERROR([1]!IntrinioBankFinancials(rssd_id,$S$2,N$5,N$4,$B157,"K"),"")</f>
        <v/>
      </c>
      <c r="O157" s="38" t="str">
        <f>IFERROR([1]!IntrinioBankFinancials(rssd_id,$S$2,O$5,O$4,$B157,"K"),"")</f>
        <v/>
      </c>
      <c r="P157" s="49" t="s">
        <v>1065</v>
      </c>
    </row>
    <row r="158" spans="1:16" ht="28.5" x14ac:dyDescent="0.4">
      <c r="A158" s="39" t="s">
        <v>925</v>
      </c>
      <c r="B158" s="37" t="s">
        <v>1034</v>
      </c>
      <c r="C158" s="38" t="str">
        <f>IFERROR([1]!IntrinioBankFinancials(rssd_id,$S$2,C$5,C$4,$B158,"K"),"")</f>
        <v/>
      </c>
      <c r="D158" s="38" t="str">
        <f>IFERROR([1]!IntrinioBankFinancials(rssd_id,$S$2,D$5,D$4,$B158,"K"),"")</f>
        <v/>
      </c>
      <c r="E158" s="38" t="str">
        <f>IFERROR([1]!IntrinioBankFinancials(rssd_id,$S$2,E$5,E$4,$B158,"K"),"")</f>
        <v/>
      </c>
      <c r="F158" s="38" t="str">
        <f>IFERROR([1]!IntrinioBankFinancials(rssd_id,$S$2,F$5,F$4,$B158,"K"),"")</f>
        <v/>
      </c>
      <c r="G158" s="38" t="str">
        <f>IFERROR([1]!IntrinioBankFinancials(rssd_id,$S$2,G$5,G$4,$B158,"K"),"")</f>
        <v/>
      </c>
      <c r="H158" s="38" t="str">
        <f>IFERROR([1]!IntrinioBankFinancials(rssd_id,$S$2,H$5,H$4,$B158,"K"),"")</f>
        <v/>
      </c>
      <c r="I158" s="38" t="str">
        <f>IFERROR([1]!IntrinioBankFinancials(rssd_id,$S$2,I$5,I$4,$B158,"K"),"")</f>
        <v/>
      </c>
      <c r="J158" s="38" t="str">
        <f>IFERROR([1]!IntrinioBankFinancials(rssd_id,$S$2,J$5,J$4,$B158,"K"),"")</f>
        <v/>
      </c>
      <c r="K158" s="38" t="str">
        <f>IFERROR([1]!IntrinioBankFinancials(rssd_id,$S$2,K$5,K$4,$B158,"K"),"")</f>
        <v/>
      </c>
      <c r="L158" s="38" t="str">
        <f>IFERROR([1]!IntrinioBankFinancials(rssd_id,$S$2,L$5,L$4,$B158,"K"),"")</f>
        <v/>
      </c>
      <c r="M158" s="38" t="str">
        <f>IFERROR([1]!IntrinioBankFinancials(rssd_id,$S$2,M$5,M$4,$B158,"K"),"")</f>
        <v/>
      </c>
      <c r="N158" s="38" t="str">
        <f>IFERROR([1]!IntrinioBankFinancials(rssd_id,$S$2,N$5,N$4,$B158,"K"),"")</f>
        <v/>
      </c>
      <c r="O158" s="38" t="str">
        <f>IFERROR([1]!IntrinioBankFinancials(rssd_id,$S$2,O$5,O$4,$B158,"K"),"")</f>
        <v/>
      </c>
      <c r="P158" s="49" t="s">
        <v>1066</v>
      </c>
    </row>
    <row r="159" spans="1:16" x14ac:dyDescent="0.4">
      <c r="A159" s="39" t="s">
        <v>926</v>
      </c>
      <c r="B159" s="37" t="s">
        <v>1035</v>
      </c>
      <c r="C159" s="38" t="str">
        <f>IFERROR([1]!IntrinioBankFinancials(rssd_id,$S$2,C$5,C$4,$B159,"K"),"")</f>
        <v/>
      </c>
      <c r="D159" s="38" t="str">
        <f>IFERROR([1]!IntrinioBankFinancials(rssd_id,$S$2,D$5,D$4,$B159,"K"),"")</f>
        <v/>
      </c>
      <c r="E159" s="38" t="str">
        <f>IFERROR([1]!IntrinioBankFinancials(rssd_id,$S$2,E$5,E$4,$B159,"K"),"")</f>
        <v/>
      </c>
      <c r="F159" s="38" t="str">
        <f>IFERROR([1]!IntrinioBankFinancials(rssd_id,$S$2,F$5,F$4,$B159,"K"),"")</f>
        <v/>
      </c>
      <c r="G159" s="38" t="str">
        <f>IFERROR([1]!IntrinioBankFinancials(rssd_id,$S$2,G$5,G$4,$B159,"K"),"")</f>
        <v/>
      </c>
      <c r="H159" s="38" t="str">
        <f>IFERROR([1]!IntrinioBankFinancials(rssd_id,$S$2,H$5,H$4,$B159,"K"),"")</f>
        <v/>
      </c>
      <c r="I159" s="38" t="str">
        <f>IFERROR([1]!IntrinioBankFinancials(rssd_id,$S$2,I$5,I$4,$B159,"K"),"")</f>
        <v/>
      </c>
      <c r="J159" s="38" t="str">
        <f>IFERROR([1]!IntrinioBankFinancials(rssd_id,$S$2,J$5,J$4,$B159,"K"),"")</f>
        <v/>
      </c>
      <c r="K159" s="38" t="str">
        <f>IFERROR([1]!IntrinioBankFinancials(rssd_id,$S$2,K$5,K$4,$B159,"K"),"")</f>
        <v/>
      </c>
      <c r="L159" s="38" t="str">
        <f>IFERROR([1]!IntrinioBankFinancials(rssd_id,$S$2,L$5,L$4,$B159,"K"),"")</f>
        <v/>
      </c>
      <c r="M159" s="38" t="str">
        <f>IFERROR([1]!IntrinioBankFinancials(rssd_id,$S$2,M$5,M$4,$B159,"K"),"")</f>
        <v/>
      </c>
      <c r="N159" s="38" t="str">
        <f>IFERROR([1]!IntrinioBankFinancials(rssd_id,$S$2,N$5,N$4,$B159,"K"),"")</f>
        <v/>
      </c>
      <c r="O159" s="38" t="str">
        <f>IFERROR([1]!IntrinioBankFinancials(rssd_id,$S$2,O$5,O$4,$B159,"K"),"")</f>
        <v/>
      </c>
      <c r="P159" s="49" t="s">
        <v>1067</v>
      </c>
    </row>
    <row r="160" spans="1:16" x14ac:dyDescent="0.4">
      <c r="A160" s="39" t="s">
        <v>904</v>
      </c>
      <c r="B160" s="37" t="s">
        <v>1036</v>
      </c>
      <c r="C160" s="38" t="str">
        <f>IFERROR([1]!IntrinioBankFinancials(rssd_id,$S$2,C$5,C$4,$B160,"K"),"")</f>
        <v/>
      </c>
      <c r="D160" s="38" t="str">
        <f>IFERROR([1]!IntrinioBankFinancials(rssd_id,$S$2,D$5,D$4,$B160,"K"),"")</f>
        <v/>
      </c>
      <c r="E160" s="38" t="str">
        <f>IFERROR([1]!IntrinioBankFinancials(rssd_id,$S$2,E$5,E$4,$B160,"K"),"")</f>
        <v/>
      </c>
      <c r="F160" s="38" t="str">
        <f>IFERROR([1]!IntrinioBankFinancials(rssd_id,$S$2,F$5,F$4,$B160,"K"),"")</f>
        <v/>
      </c>
      <c r="G160" s="38" t="str">
        <f>IFERROR([1]!IntrinioBankFinancials(rssd_id,$S$2,G$5,G$4,$B160,"K"),"")</f>
        <v/>
      </c>
      <c r="H160" s="38" t="str">
        <f>IFERROR([1]!IntrinioBankFinancials(rssd_id,$S$2,H$5,H$4,$B160,"K"),"")</f>
        <v/>
      </c>
      <c r="I160" s="38" t="str">
        <f>IFERROR([1]!IntrinioBankFinancials(rssd_id,$S$2,I$5,I$4,$B160,"K"),"")</f>
        <v/>
      </c>
      <c r="J160" s="38" t="str">
        <f>IFERROR([1]!IntrinioBankFinancials(rssd_id,$S$2,J$5,J$4,$B160,"K"),"")</f>
        <v/>
      </c>
      <c r="K160" s="38" t="str">
        <f>IFERROR([1]!IntrinioBankFinancials(rssd_id,$S$2,K$5,K$4,$B160,"K"),"")</f>
        <v/>
      </c>
      <c r="L160" s="38" t="str">
        <f>IFERROR([1]!IntrinioBankFinancials(rssd_id,$S$2,L$5,L$4,$B160,"K"),"")</f>
        <v/>
      </c>
      <c r="M160" s="38" t="str">
        <f>IFERROR([1]!IntrinioBankFinancials(rssd_id,$S$2,M$5,M$4,$B160,"K"),"")</f>
        <v/>
      </c>
      <c r="N160" s="38" t="str">
        <f>IFERROR([1]!IntrinioBankFinancials(rssd_id,$S$2,N$5,N$4,$B160,"K"),"")</f>
        <v/>
      </c>
      <c r="O160" s="38" t="str">
        <f>IFERROR([1]!IntrinioBankFinancials(rssd_id,$S$2,O$5,O$4,$B160,"K"),"")</f>
        <v/>
      </c>
      <c r="P160" s="49" t="s">
        <v>1068</v>
      </c>
    </row>
    <row r="161" spans="1:16" x14ac:dyDescent="0.4">
      <c r="A161" s="39" t="s">
        <v>910</v>
      </c>
      <c r="B161" s="37" t="s">
        <v>1037</v>
      </c>
      <c r="C161" s="38" t="str">
        <f>IFERROR([1]!IntrinioBankFinancials(rssd_id,$S$2,C$5,C$4,$B161,"K"),"")</f>
        <v/>
      </c>
      <c r="D161" s="38" t="str">
        <f>IFERROR([1]!IntrinioBankFinancials(rssd_id,$S$2,D$5,D$4,$B161,"K"),"")</f>
        <v/>
      </c>
      <c r="E161" s="38" t="str">
        <f>IFERROR([1]!IntrinioBankFinancials(rssd_id,$S$2,E$5,E$4,$B161,"K"),"")</f>
        <v/>
      </c>
      <c r="F161" s="38" t="str">
        <f>IFERROR([1]!IntrinioBankFinancials(rssd_id,$S$2,F$5,F$4,$B161,"K"),"")</f>
        <v/>
      </c>
      <c r="G161" s="38" t="str">
        <f>IFERROR([1]!IntrinioBankFinancials(rssd_id,$S$2,G$5,G$4,$B161,"K"),"")</f>
        <v/>
      </c>
      <c r="H161" s="38" t="str">
        <f>IFERROR([1]!IntrinioBankFinancials(rssd_id,$S$2,H$5,H$4,$B161,"K"),"")</f>
        <v/>
      </c>
      <c r="I161" s="38" t="str">
        <f>IFERROR([1]!IntrinioBankFinancials(rssd_id,$S$2,I$5,I$4,$B161,"K"),"")</f>
        <v/>
      </c>
      <c r="J161" s="38" t="str">
        <f>IFERROR([1]!IntrinioBankFinancials(rssd_id,$S$2,J$5,J$4,$B161,"K"),"")</f>
        <v/>
      </c>
      <c r="K161" s="38" t="str">
        <f>IFERROR([1]!IntrinioBankFinancials(rssd_id,$S$2,K$5,K$4,$B161,"K"),"")</f>
        <v/>
      </c>
      <c r="L161" s="38" t="str">
        <f>IFERROR([1]!IntrinioBankFinancials(rssd_id,$S$2,L$5,L$4,$B161,"K"),"")</f>
        <v/>
      </c>
      <c r="M161" s="38" t="str">
        <f>IFERROR([1]!IntrinioBankFinancials(rssd_id,$S$2,M$5,M$4,$B161,"K"),"")</f>
        <v/>
      </c>
      <c r="N161" s="38" t="str">
        <f>IFERROR([1]!IntrinioBankFinancials(rssd_id,$S$2,N$5,N$4,$B161,"K"),"")</f>
        <v/>
      </c>
      <c r="O161" s="38" t="str">
        <f>IFERROR([1]!IntrinioBankFinancials(rssd_id,$S$2,O$5,O$4,$B161,"K"),"")</f>
        <v/>
      </c>
      <c r="P161" s="49" t="s">
        <v>1069</v>
      </c>
    </row>
    <row r="162" spans="1:16" x14ac:dyDescent="0.4">
      <c r="A162" s="39" t="s">
        <v>1038</v>
      </c>
      <c r="B162" s="37"/>
      <c r="C162" s="38" t="str">
        <f>IFERROR([1]!IntrinioBankFinancials(rssd_id,$S$2,C$5,C$4,$B162,"K"),"")</f>
        <v/>
      </c>
      <c r="D162" s="38" t="str">
        <f>IFERROR([1]!IntrinioBankFinancials(rssd_id,$S$2,D$5,D$4,$B162,"K"),"")</f>
        <v/>
      </c>
      <c r="E162" s="38" t="str">
        <f>IFERROR([1]!IntrinioBankFinancials(rssd_id,$S$2,E$5,E$4,$B162,"K"),"")</f>
        <v/>
      </c>
      <c r="F162" s="38" t="str">
        <f>IFERROR([1]!IntrinioBankFinancials(rssd_id,$S$2,F$5,F$4,$B162,"K"),"")</f>
        <v/>
      </c>
      <c r="G162" s="38" t="str">
        <f>IFERROR([1]!IntrinioBankFinancials(rssd_id,$S$2,G$5,G$4,$B162,"K"),"")</f>
        <v/>
      </c>
      <c r="H162" s="38" t="str">
        <f>IFERROR([1]!IntrinioBankFinancials(rssd_id,$S$2,H$5,H$4,$B162,"K"),"")</f>
        <v/>
      </c>
      <c r="I162" s="38" t="str">
        <f>IFERROR([1]!IntrinioBankFinancials(rssd_id,$S$2,I$5,I$4,$B162,"K"),"")</f>
        <v/>
      </c>
      <c r="J162" s="38" t="str">
        <f>IFERROR([1]!IntrinioBankFinancials(rssd_id,$S$2,J$5,J$4,$B162,"K"),"")</f>
        <v/>
      </c>
      <c r="K162" s="38" t="str">
        <f>IFERROR([1]!IntrinioBankFinancials(rssd_id,$S$2,K$5,K$4,$B162,"K"),"")</f>
        <v/>
      </c>
      <c r="L162" s="38" t="str">
        <f>IFERROR([1]!IntrinioBankFinancials(rssd_id,$S$2,L$5,L$4,$B162,"K"),"")</f>
        <v/>
      </c>
      <c r="M162" s="38" t="str">
        <f>IFERROR([1]!IntrinioBankFinancials(rssd_id,$S$2,M$5,M$4,$B162,"K"),"")</f>
        <v/>
      </c>
      <c r="N162" s="38" t="str">
        <f>IFERROR([1]!IntrinioBankFinancials(rssd_id,$S$2,N$5,N$4,$B162,"K"),"")</f>
        <v/>
      </c>
      <c r="O162" s="38" t="str">
        <f>IFERROR([1]!IntrinioBankFinancials(rssd_id,$S$2,O$5,O$4,$B162,"K"),"")</f>
        <v/>
      </c>
      <c r="P162" s="49" t="s">
        <v>217</v>
      </c>
    </row>
    <row r="163" spans="1:16" x14ac:dyDescent="0.4">
      <c r="A163" s="39" t="s">
        <v>1039</v>
      </c>
      <c r="B163" s="37" t="s">
        <v>1040</v>
      </c>
      <c r="C163" s="38" t="str">
        <f>IFERROR([1]!IntrinioBankFinancials(rssd_id,$S$2,C$5,C$4,$B163,"K"),"")</f>
        <v/>
      </c>
      <c r="D163" s="38" t="str">
        <f>IFERROR([1]!IntrinioBankFinancials(rssd_id,$S$2,D$5,D$4,$B163,"K"),"")</f>
        <v/>
      </c>
      <c r="E163" s="38" t="str">
        <f>IFERROR([1]!IntrinioBankFinancials(rssd_id,$S$2,E$5,E$4,$B163,"K"),"")</f>
        <v/>
      </c>
      <c r="F163" s="38" t="str">
        <f>IFERROR([1]!IntrinioBankFinancials(rssd_id,$S$2,F$5,F$4,$B163,"K"),"")</f>
        <v/>
      </c>
      <c r="G163" s="38" t="str">
        <f>IFERROR([1]!IntrinioBankFinancials(rssd_id,$S$2,G$5,G$4,$B163,"K"),"")</f>
        <v/>
      </c>
      <c r="H163" s="38" t="str">
        <f>IFERROR([1]!IntrinioBankFinancials(rssd_id,$S$2,H$5,H$4,$B163,"K"),"")</f>
        <v/>
      </c>
      <c r="I163" s="38" t="str">
        <f>IFERROR([1]!IntrinioBankFinancials(rssd_id,$S$2,I$5,I$4,$B163,"K"),"")</f>
        <v/>
      </c>
      <c r="J163" s="38" t="str">
        <f>IFERROR([1]!IntrinioBankFinancials(rssd_id,$S$2,J$5,J$4,$B163,"K"),"")</f>
        <v/>
      </c>
      <c r="K163" s="38" t="str">
        <f>IFERROR([1]!IntrinioBankFinancials(rssd_id,$S$2,K$5,K$4,$B163,"K"),"")</f>
        <v/>
      </c>
      <c r="L163" s="38" t="str">
        <f>IFERROR([1]!IntrinioBankFinancials(rssd_id,$S$2,L$5,L$4,$B163,"K"),"")</f>
        <v/>
      </c>
      <c r="M163" s="38" t="str">
        <f>IFERROR([1]!IntrinioBankFinancials(rssd_id,$S$2,M$5,M$4,$B163,"K"),"")</f>
        <v/>
      </c>
      <c r="N163" s="38" t="str">
        <f>IFERROR([1]!IntrinioBankFinancials(rssd_id,$S$2,N$5,N$4,$B163,"K"),"")</f>
        <v/>
      </c>
      <c r="O163" s="38" t="str">
        <f>IFERROR([1]!IntrinioBankFinancials(rssd_id,$S$2,O$5,O$4,$B163,"K"),"")</f>
        <v/>
      </c>
      <c r="P163" s="49" t="s">
        <v>837</v>
      </c>
    </row>
    <row r="164" spans="1:16" x14ac:dyDescent="0.4">
      <c r="A164" s="39" t="s">
        <v>2520</v>
      </c>
      <c r="B164" s="37" t="s">
        <v>1041</v>
      </c>
      <c r="C164" s="38" t="str">
        <f>IFERROR([1]!IntrinioBankFinancials(rssd_id,$S$2,C$5,C$4,$B164,"K"),"")</f>
        <v/>
      </c>
      <c r="D164" s="38" t="str">
        <f>IFERROR([1]!IntrinioBankFinancials(rssd_id,$S$2,D$5,D$4,$B164,"K"),"")</f>
        <v/>
      </c>
      <c r="E164" s="38" t="str">
        <f>IFERROR([1]!IntrinioBankFinancials(rssd_id,$S$2,E$5,E$4,$B164,"K"),"")</f>
        <v/>
      </c>
      <c r="F164" s="38" t="str">
        <f>IFERROR([1]!IntrinioBankFinancials(rssd_id,$S$2,F$5,F$4,$B164,"K"),"")</f>
        <v/>
      </c>
      <c r="G164" s="38" t="str">
        <f>IFERROR([1]!IntrinioBankFinancials(rssd_id,$S$2,G$5,G$4,$B164,"K"),"")</f>
        <v/>
      </c>
      <c r="H164" s="38" t="str">
        <f>IFERROR([1]!IntrinioBankFinancials(rssd_id,$S$2,H$5,H$4,$B164,"K"),"")</f>
        <v/>
      </c>
      <c r="I164" s="38" t="str">
        <f>IFERROR([1]!IntrinioBankFinancials(rssd_id,$S$2,I$5,I$4,$B164,"K"),"")</f>
        <v/>
      </c>
      <c r="J164" s="38" t="str">
        <f>IFERROR([1]!IntrinioBankFinancials(rssd_id,$S$2,J$5,J$4,$B164,"K"),"")</f>
        <v/>
      </c>
      <c r="K164" s="38" t="str">
        <f>IFERROR([1]!IntrinioBankFinancials(rssd_id,$S$2,K$5,K$4,$B164,"K"),"")</f>
        <v/>
      </c>
      <c r="L164" s="38" t="str">
        <f>IFERROR([1]!IntrinioBankFinancials(rssd_id,$S$2,L$5,L$4,$B164,"K"),"")</f>
        <v/>
      </c>
      <c r="M164" s="38" t="str">
        <f>IFERROR([1]!IntrinioBankFinancials(rssd_id,$S$2,M$5,M$4,$B164,"K"),"")</f>
        <v/>
      </c>
      <c r="N164" s="38" t="str">
        <f>IFERROR([1]!IntrinioBankFinancials(rssd_id,$S$2,N$5,N$4,$B164,"K"),"")</f>
        <v/>
      </c>
      <c r="O164" s="38" t="str">
        <f>IFERROR([1]!IntrinioBankFinancials(rssd_id,$S$2,O$5,O$4,$B164,"K"),"")</f>
        <v/>
      </c>
      <c r="P164" s="49" t="s">
        <v>840</v>
      </c>
    </row>
    <row r="165" spans="1:16" x14ac:dyDescent="0.4">
      <c r="A165" s="39" t="s">
        <v>936</v>
      </c>
      <c r="B165" s="37"/>
      <c r="C165" s="38" t="str">
        <f>IFERROR([1]!IntrinioBankFinancials(rssd_id,$S$2,C$5,C$4,$B165,"K"),"")</f>
        <v/>
      </c>
      <c r="D165" s="38" t="str">
        <f>IFERROR([1]!IntrinioBankFinancials(rssd_id,$S$2,D$5,D$4,$B165,"K"),"")</f>
        <v/>
      </c>
      <c r="E165" s="38" t="str">
        <f>IFERROR([1]!IntrinioBankFinancials(rssd_id,$S$2,E$5,E$4,$B165,"K"),"")</f>
        <v/>
      </c>
      <c r="F165" s="38" t="str">
        <f>IFERROR([1]!IntrinioBankFinancials(rssd_id,$S$2,F$5,F$4,$B165,"K"),"")</f>
        <v/>
      </c>
      <c r="G165" s="38" t="str">
        <f>IFERROR([1]!IntrinioBankFinancials(rssd_id,$S$2,G$5,G$4,$B165,"K"),"")</f>
        <v/>
      </c>
      <c r="H165" s="38" t="str">
        <f>IFERROR([1]!IntrinioBankFinancials(rssd_id,$S$2,H$5,H$4,$B165,"K"),"")</f>
        <v/>
      </c>
      <c r="I165" s="38" t="str">
        <f>IFERROR([1]!IntrinioBankFinancials(rssd_id,$S$2,I$5,I$4,$B165,"K"),"")</f>
        <v/>
      </c>
      <c r="J165" s="38" t="str">
        <f>IFERROR([1]!IntrinioBankFinancials(rssd_id,$S$2,J$5,J$4,$B165,"K"),"")</f>
        <v/>
      </c>
      <c r="K165" s="38" t="str">
        <f>IFERROR([1]!IntrinioBankFinancials(rssd_id,$S$2,K$5,K$4,$B165,"K"),"")</f>
        <v/>
      </c>
      <c r="L165" s="38" t="str">
        <f>IFERROR([1]!IntrinioBankFinancials(rssd_id,$S$2,L$5,L$4,$B165,"K"),"")</f>
        <v/>
      </c>
      <c r="M165" s="38" t="str">
        <f>IFERROR([1]!IntrinioBankFinancials(rssd_id,$S$2,M$5,M$4,$B165,"K"),"")</f>
        <v/>
      </c>
      <c r="N165" s="38" t="str">
        <f>IFERROR([1]!IntrinioBankFinancials(rssd_id,$S$2,N$5,N$4,$B165,"K"),"")</f>
        <v/>
      </c>
      <c r="O165" s="38" t="str">
        <f>IFERROR([1]!IntrinioBankFinancials(rssd_id,$S$2,O$5,O$4,$B165,"K"),"")</f>
        <v/>
      </c>
      <c r="P165" s="49"/>
    </row>
    <row r="166" spans="1:16" x14ac:dyDescent="0.4">
      <c r="A166" s="39" t="s">
        <v>1042</v>
      </c>
      <c r="B166" s="37"/>
      <c r="C166" s="38" t="str">
        <f>IFERROR([1]!IntrinioBankFinancials(rssd_id,$S$2,C$5,C$4,$B166,"K"),"")</f>
        <v/>
      </c>
      <c r="D166" s="38" t="str">
        <f>IFERROR([1]!IntrinioBankFinancials(rssd_id,$S$2,D$5,D$4,$B166,"K"),"")</f>
        <v/>
      </c>
      <c r="E166" s="38" t="str">
        <f>IFERROR([1]!IntrinioBankFinancials(rssd_id,$S$2,E$5,E$4,$B166,"K"),"")</f>
        <v/>
      </c>
      <c r="F166" s="38" t="str">
        <f>IFERROR([1]!IntrinioBankFinancials(rssd_id,$S$2,F$5,F$4,$B166,"K"),"")</f>
        <v/>
      </c>
      <c r="G166" s="38" t="str">
        <f>IFERROR([1]!IntrinioBankFinancials(rssd_id,$S$2,G$5,G$4,$B166,"K"),"")</f>
        <v/>
      </c>
      <c r="H166" s="38" t="str">
        <f>IFERROR([1]!IntrinioBankFinancials(rssd_id,$S$2,H$5,H$4,$B166,"K"),"")</f>
        <v/>
      </c>
      <c r="I166" s="38" t="str">
        <f>IFERROR([1]!IntrinioBankFinancials(rssd_id,$S$2,I$5,I$4,$B166,"K"),"")</f>
        <v/>
      </c>
      <c r="J166" s="38" t="str">
        <f>IFERROR([1]!IntrinioBankFinancials(rssd_id,$S$2,J$5,J$4,$B166,"K"),"")</f>
        <v/>
      </c>
      <c r="K166" s="38" t="str">
        <f>IFERROR([1]!IntrinioBankFinancials(rssd_id,$S$2,K$5,K$4,$B166,"K"),"")</f>
        <v/>
      </c>
      <c r="L166" s="38" t="str">
        <f>IFERROR([1]!IntrinioBankFinancials(rssd_id,$S$2,L$5,L$4,$B166,"K"),"")</f>
        <v/>
      </c>
      <c r="M166" s="38" t="str">
        <f>IFERROR([1]!IntrinioBankFinancials(rssd_id,$S$2,M$5,M$4,$B166,"K"),"")</f>
        <v/>
      </c>
      <c r="N166" s="38" t="str">
        <f>IFERROR([1]!IntrinioBankFinancials(rssd_id,$S$2,N$5,N$4,$B166,"K"),"")</f>
        <v/>
      </c>
      <c r="O166" s="38" t="str">
        <f>IFERROR([1]!IntrinioBankFinancials(rssd_id,$S$2,O$5,O$4,$B166,"K"),"")</f>
        <v/>
      </c>
      <c r="P166" s="49" t="s">
        <v>220</v>
      </c>
    </row>
    <row r="167" spans="1:16" x14ac:dyDescent="0.4">
      <c r="A167" s="39" t="s">
        <v>841</v>
      </c>
      <c r="B167" s="37" t="s">
        <v>2522</v>
      </c>
      <c r="C167" s="38" t="str">
        <f>IFERROR([1]!IntrinioBankFinancials(rssd_id,$S$2,C$5,C$4,$B167,"K"),"")</f>
        <v/>
      </c>
      <c r="D167" s="38" t="str">
        <f>IFERROR([1]!IntrinioBankFinancials(rssd_id,$S$2,D$5,D$4,$B167,"K"),"")</f>
        <v/>
      </c>
      <c r="E167" s="38" t="str">
        <f>IFERROR([1]!IntrinioBankFinancials(rssd_id,$S$2,E$5,E$4,$B167,"K"),"")</f>
        <v/>
      </c>
      <c r="F167" s="38" t="str">
        <f>IFERROR([1]!IntrinioBankFinancials(rssd_id,$S$2,F$5,F$4,$B167,"K"),"")</f>
        <v/>
      </c>
      <c r="G167" s="38" t="str">
        <f>IFERROR([1]!IntrinioBankFinancials(rssd_id,$S$2,G$5,G$4,$B167,"K"),"")</f>
        <v/>
      </c>
      <c r="H167" s="38" t="str">
        <f>IFERROR([1]!IntrinioBankFinancials(rssd_id,$S$2,H$5,H$4,$B167,"K"),"")</f>
        <v/>
      </c>
      <c r="I167" s="38" t="str">
        <f>IFERROR([1]!IntrinioBankFinancials(rssd_id,$S$2,I$5,I$4,$B167,"K"),"")</f>
        <v/>
      </c>
      <c r="J167" s="38" t="str">
        <f>IFERROR([1]!IntrinioBankFinancials(rssd_id,$S$2,J$5,J$4,$B167,"K"),"")</f>
        <v/>
      </c>
      <c r="K167" s="38" t="str">
        <f>IFERROR([1]!IntrinioBankFinancials(rssd_id,$S$2,K$5,K$4,$B167,"K"),"")</f>
        <v/>
      </c>
      <c r="L167" s="38" t="str">
        <f>IFERROR([1]!IntrinioBankFinancials(rssd_id,$S$2,L$5,L$4,$B167,"K"),"")</f>
        <v/>
      </c>
      <c r="M167" s="38" t="str">
        <f>IFERROR([1]!IntrinioBankFinancials(rssd_id,$S$2,M$5,M$4,$B167,"K"),"")</f>
        <v/>
      </c>
      <c r="N167" s="38" t="str">
        <f>IFERROR([1]!IntrinioBankFinancials(rssd_id,$S$2,N$5,N$4,$B167,"K"),"")</f>
        <v/>
      </c>
      <c r="O167" s="38" t="str">
        <f>IFERROR([1]!IntrinioBankFinancials(rssd_id,$S$2,O$5,O$4,$B167,"K"),"")</f>
        <v/>
      </c>
      <c r="P167" s="49" t="s">
        <v>846</v>
      </c>
    </row>
    <row r="168" spans="1:16" x14ac:dyDescent="0.4">
      <c r="A168" s="39" t="s">
        <v>847</v>
      </c>
      <c r="B168" s="37" t="s">
        <v>2523</v>
      </c>
      <c r="C168" s="38" t="str">
        <f>IFERROR([1]!IntrinioBankFinancials(rssd_id,$S$2,C$5,C$4,$B168,"K"),"")</f>
        <v/>
      </c>
      <c r="D168" s="38" t="str">
        <f>IFERROR([1]!IntrinioBankFinancials(rssd_id,$S$2,D$5,D$4,$B168,"K"),"")</f>
        <v/>
      </c>
      <c r="E168" s="38" t="str">
        <f>IFERROR([1]!IntrinioBankFinancials(rssd_id,$S$2,E$5,E$4,$B168,"K"),"")</f>
        <v/>
      </c>
      <c r="F168" s="38" t="str">
        <f>IFERROR([1]!IntrinioBankFinancials(rssd_id,$S$2,F$5,F$4,$B168,"K"),"")</f>
        <v/>
      </c>
      <c r="G168" s="38" t="str">
        <f>IFERROR([1]!IntrinioBankFinancials(rssd_id,$S$2,G$5,G$4,$B168,"K"),"")</f>
        <v/>
      </c>
      <c r="H168" s="38" t="str">
        <f>IFERROR([1]!IntrinioBankFinancials(rssd_id,$S$2,H$5,H$4,$B168,"K"),"")</f>
        <v/>
      </c>
      <c r="I168" s="38" t="str">
        <f>IFERROR([1]!IntrinioBankFinancials(rssd_id,$S$2,I$5,I$4,$B168,"K"),"")</f>
        <v/>
      </c>
      <c r="J168" s="38" t="str">
        <f>IFERROR([1]!IntrinioBankFinancials(rssd_id,$S$2,J$5,J$4,$B168,"K"),"")</f>
        <v/>
      </c>
      <c r="K168" s="38" t="str">
        <f>IFERROR([1]!IntrinioBankFinancials(rssd_id,$S$2,K$5,K$4,$B168,"K"),"")</f>
        <v/>
      </c>
      <c r="L168" s="38" t="str">
        <f>IFERROR([1]!IntrinioBankFinancials(rssd_id,$S$2,L$5,L$4,$B168,"K"),"")</f>
        <v/>
      </c>
      <c r="M168" s="38" t="str">
        <f>IFERROR([1]!IntrinioBankFinancials(rssd_id,$S$2,M$5,M$4,$B168,"K"),"")</f>
        <v/>
      </c>
      <c r="N168" s="38" t="str">
        <f>IFERROR([1]!IntrinioBankFinancials(rssd_id,$S$2,N$5,N$4,$B168,"K"),"")</f>
        <v/>
      </c>
      <c r="O168" s="38" t="str">
        <f>IFERROR([1]!IntrinioBankFinancials(rssd_id,$S$2,O$5,O$4,$B168,"K"),"")</f>
        <v/>
      </c>
      <c r="P168" s="49" t="s">
        <v>852</v>
      </c>
    </row>
    <row r="169" spans="1:16" x14ac:dyDescent="0.4">
      <c r="A169" s="39" t="s">
        <v>853</v>
      </c>
      <c r="B169" s="37" t="s">
        <v>2524</v>
      </c>
      <c r="C169" s="38" t="str">
        <f>IFERROR([1]!IntrinioBankFinancials(rssd_id,$S$2,C$5,C$4,$B169,"K"),"")</f>
        <v/>
      </c>
      <c r="D169" s="38" t="str">
        <f>IFERROR([1]!IntrinioBankFinancials(rssd_id,$S$2,D$5,D$4,$B169,"K"),"")</f>
        <v/>
      </c>
      <c r="E169" s="38" t="str">
        <f>IFERROR([1]!IntrinioBankFinancials(rssd_id,$S$2,E$5,E$4,$B169,"K"),"")</f>
        <v/>
      </c>
      <c r="F169" s="38" t="str">
        <f>IFERROR([1]!IntrinioBankFinancials(rssd_id,$S$2,F$5,F$4,$B169,"K"),"")</f>
        <v/>
      </c>
      <c r="G169" s="38" t="str">
        <f>IFERROR([1]!IntrinioBankFinancials(rssd_id,$S$2,G$5,G$4,$B169,"K"),"")</f>
        <v/>
      </c>
      <c r="H169" s="38" t="str">
        <f>IFERROR([1]!IntrinioBankFinancials(rssd_id,$S$2,H$5,H$4,$B169,"K"),"")</f>
        <v/>
      </c>
      <c r="I169" s="38" t="str">
        <f>IFERROR([1]!IntrinioBankFinancials(rssd_id,$S$2,I$5,I$4,$B169,"K"),"")</f>
        <v/>
      </c>
      <c r="J169" s="38" t="str">
        <f>IFERROR([1]!IntrinioBankFinancials(rssd_id,$S$2,J$5,J$4,$B169,"K"),"")</f>
        <v/>
      </c>
      <c r="K169" s="38" t="str">
        <f>IFERROR([1]!IntrinioBankFinancials(rssd_id,$S$2,K$5,K$4,$B169,"K"),"")</f>
        <v/>
      </c>
      <c r="L169" s="38" t="str">
        <f>IFERROR([1]!IntrinioBankFinancials(rssd_id,$S$2,L$5,L$4,$B169,"K"),"")</f>
        <v/>
      </c>
      <c r="M169" s="38" t="str">
        <f>IFERROR([1]!IntrinioBankFinancials(rssd_id,$S$2,M$5,M$4,$B169,"K"),"")</f>
        <v/>
      </c>
      <c r="N169" s="38" t="str">
        <f>IFERROR([1]!IntrinioBankFinancials(rssd_id,$S$2,N$5,N$4,$B169,"K"),"")</f>
        <v/>
      </c>
      <c r="O169" s="38" t="str">
        <f>IFERROR([1]!IntrinioBankFinancials(rssd_id,$S$2,O$5,O$4,$B169,"K"),"")</f>
        <v/>
      </c>
      <c r="P169" s="49" t="s">
        <v>858</v>
      </c>
    </row>
    <row r="170" spans="1:16" x14ac:dyDescent="0.4">
      <c r="A170" s="39" t="s">
        <v>859</v>
      </c>
      <c r="B170" s="37" t="s">
        <v>2525</v>
      </c>
      <c r="C170" s="38" t="str">
        <f>IFERROR([1]!IntrinioBankFinancials(rssd_id,$S$2,C$5,C$4,$B170,"K"),"")</f>
        <v/>
      </c>
      <c r="D170" s="38" t="str">
        <f>IFERROR([1]!IntrinioBankFinancials(rssd_id,$S$2,D$5,D$4,$B170,"K"),"")</f>
        <v/>
      </c>
      <c r="E170" s="38" t="str">
        <f>IFERROR([1]!IntrinioBankFinancials(rssd_id,$S$2,E$5,E$4,$B170,"K"),"")</f>
        <v/>
      </c>
      <c r="F170" s="38" t="str">
        <f>IFERROR([1]!IntrinioBankFinancials(rssd_id,$S$2,F$5,F$4,$B170,"K"),"")</f>
        <v/>
      </c>
      <c r="G170" s="38" t="str">
        <f>IFERROR([1]!IntrinioBankFinancials(rssd_id,$S$2,G$5,G$4,$B170,"K"),"")</f>
        <v/>
      </c>
      <c r="H170" s="38" t="str">
        <f>IFERROR([1]!IntrinioBankFinancials(rssd_id,$S$2,H$5,H$4,$B170,"K"),"")</f>
        <v/>
      </c>
      <c r="I170" s="38" t="str">
        <f>IFERROR([1]!IntrinioBankFinancials(rssd_id,$S$2,I$5,I$4,$B170,"K"),"")</f>
        <v/>
      </c>
      <c r="J170" s="38" t="str">
        <f>IFERROR([1]!IntrinioBankFinancials(rssd_id,$S$2,J$5,J$4,$B170,"K"),"")</f>
        <v/>
      </c>
      <c r="K170" s="38" t="str">
        <f>IFERROR([1]!IntrinioBankFinancials(rssd_id,$S$2,K$5,K$4,$B170,"K"),"")</f>
        <v/>
      </c>
      <c r="L170" s="38" t="str">
        <f>IFERROR([1]!IntrinioBankFinancials(rssd_id,$S$2,L$5,L$4,$B170,"K"),"")</f>
        <v/>
      </c>
      <c r="M170" s="38" t="str">
        <f>IFERROR([1]!IntrinioBankFinancials(rssd_id,$S$2,M$5,M$4,$B170,"K"),"")</f>
        <v/>
      </c>
      <c r="N170" s="38" t="str">
        <f>IFERROR([1]!IntrinioBankFinancials(rssd_id,$S$2,N$5,N$4,$B170,"K"),"")</f>
        <v/>
      </c>
      <c r="O170" s="38" t="str">
        <f>IFERROR([1]!IntrinioBankFinancials(rssd_id,$S$2,O$5,O$4,$B170,"K"),"")</f>
        <v/>
      </c>
      <c r="P170" s="49" t="s">
        <v>864</v>
      </c>
    </row>
    <row r="171" spans="1:16" x14ac:dyDescent="0.4">
      <c r="A171" s="39" t="s">
        <v>865</v>
      </c>
      <c r="B171" s="37" t="s">
        <v>2526</v>
      </c>
      <c r="C171" s="38" t="str">
        <f>IFERROR([1]!IntrinioBankFinancials(rssd_id,$S$2,C$5,C$4,$B171,"K"),"")</f>
        <v/>
      </c>
      <c r="D171" s="38" t="str">
        <f>IFERROR([1]!IntrinioBankFinancials(rssd_id,$S$2,D$5,D$4,$B171,"K"),"")</f>
        <v/>
      </c>
      <c r="E171" s="38" t="str">
        <f>IFERROR([1]!IntrinioBankFinancials(rssd_id,$S$2,E$5,E$4,$B171,"K"),"")</f>
        <v/>
      </c>
      <c r="F171" s="38" t="str">
        <f>IFERROR([1]!IntrinioBankFinancials(rssd_id,$S$2,F$5,F$4,$B171,"K"),"")</f>
        <v/>
      </c>
      <c r="G171" s="38" t="str">
        <f>IFERROR([1]!IntrinioBankFinancials(rssd_id,$S$2,G$5,G$4,$B171,"K"),"")</f>
        <v/>
      </c>
      <c r="H171" s="38" t="str">
        <f>IFERROR([1]!IntrinioBankFinancials(rssd_id,$S$2,H$5,H$4,$B171,"K"),"")</f>
        <v/>
      </c>
      <c r="I171" s="38" t="str">
        <f>IFERROR([1]!IntrinioBankFinancials(rssd_id,$S$2,I$5,I$4,$B171,"K"),"")</f>
        <v/>
      </c>
      <c r="J171" s="38" t="str">
        <f>IFERROR([1]!IntrinioBankFinancials(rssd_id,$S$2,J$5,J$4,$B171,"K"),"")</f>
        <v/>
      </c>
      <c r="K171" s="38" t="str">
        <f>IFERROR([1]!IntrinioBankFinancials(rssd_id,$S$2,K$5,K$4,$B171,"K"),"")</f>
        <v/>
      </c>
      <c r="L171" s="38" t="str">
        <f>IFERROR([1]!IntrinioBankFinancials(rssd_id,$S$2,L$5,L$4,$B171,"K"),"")</f>
        <v/>
      </c>
      <c r="M171" s="38" t="str">
        <f>IFERROR([1]!IntrinioBankFinancials(rssd_id,$S$2,M$5,M$4,$B171,"K"),"")</f>
        <v/>
      </c>
      <c r="N171" s="38" t="str">
        <f>IFERROR([1]!IntrinioBankFinancials(rssd_id,$S$2,N$5,N$4,$B171,"K"),"")</f>
        <v/>
      </c>
      <c r="O171" s="38" t="str">
        <f>IFERROR([1]!IntrinioBankFinancials(rssd_id,$S$2,O$5,O$4,$B171,"K"),"")</f>
        <v/>
      </c>
      <c r="P171" s="49" t="s">
        <v>870</v>
      </c>
    </row>
    <row r="172" spans="1:16" x14ac:dyDescent="0.4">
      <c r="A172" s="39" t="s">
        <v>871</v>
      </c>
      <c r="B172" s="37" t="s">
        <v>2527</v>
      </c>
      <c r="C172" s="38" t="str">
        <f>IFERROR([1]!IntrinioBankFinancials(rssd_id,$S$2,C$5,C$4,$B172,"K"),"")</f>
        <v/>
      </c>
      <c r="D172" s="38" t="str">
        <f>IFERROR([1]!IntrinioBankFinancials(rssd_id,$S$2,D$5,D$4,$B172,"K"),"")</f>
        <v/>
      </c>
      <c r="E172" s="38" t="str">
        <f>IFERROR([1]!IntrinioBankFinancials(rssd_id,$S$2,E$5,E$4,$B172,"K"),"")</f>
        <v/>
      </c>
      <c r="F172" s="38" t="str">
        <f>IFERROR([1]!IntrinioBankFinancials(rssd_id,$S$2,F$5,F$4,$B172,"K"),"")</f>
        <v/>
      </c>
      <c r="G172" s="38" t="str">
        <f>IFERROR([1]!IntrinioBankFinancials(rssd_id,$S$2,G$5,G$4,$B172,"K"),"")</f>
        <v/>
      </c>
      <c r="H172" s="38" t="str">
        <f>IFERROR([1]!IntrinioBankFinancials(rssd_id,$S$2,H$5,H$4,$B172,"K"),"")</f>
        <v/>
      </c>
      <c r="I172" s="38" t="str">
        <f>IFERROR([1]!IntrinioBankFinancials(rssd_id,$S$2,I$5,I$4,$B172,"K"),"")</f>
        <v/>
      </c>
      <c r="J172" s="38" t="str">
        <f>IFERROR([1]!IntrinioBankFinancials(rssd_id,$S$2,J$5,J$4,$B172,"K"),"")</f>
        <v/>
      </c>
      <c r="K172" s="38" t="str">
        <f>IFERROR([1]!IntrinioBankFinancials(rssd_id,$S$2,K$5,K$4,$B172,"K"),"")</f>
        <v/>
      </c>
      <c r="L172" s="38" t="str">
        <f>IFERROR([1]!IntrinioBankFinancials(rssd_id,$S$2,L$5,L$4,$B172,"K"),"")</f>
        <v/>
      </c>
      <c r="M172" s="38" t="str">
        <f>IFERROR([1]!IntrinioBankFinancials(rssd_id,$S$2,M$5,M$4,$B172,"K"),"")</f>
        <v/>
      </c>
      <c r="N172" s="38" t="str">
        <f>IFERROR([1]!IntrinioBankFinancials(rssd_id,$S$2,N$5,N$4,$B172,"K"),"")</f>
        <v/>
      </c>
      <c r="O172" s="38" t="str">
        <f>IFERROR([1]!IntrinioBankFinancials(rssd_id,$S$2,O$5,O$4,$B172,"K"),"")</f>
        <v/>
      </c>
      <c r="P172" s="49" t="s">
        <v>876</v>
      </c>
    </row>
    <row r="173" spans="1:16" x14ac:dyDescent="0.4">
      <c r="A173" s="39" t="s">
        <v>1043</v>
      </c>
      <c r="B173" s="37" t="s">
        <v>2528</v>
      </c>
      <c r="C173" s="38" t="str">
        <f>IFERROR([1]!IntrinioBankFinancials(rssd_id,$S$2,C$5,C$4,$B173,"K"),"")</f>
        <v/>
      </c>
      <c r="D173" s="38" t="str">
        <f>IFERROR([1]!IntrinioBankFinancials(rssd_id,$S$2,D$5,D$4,$B173,"K"),"")</f>
        <v/>
      </c>
      <c r="E173" s="38" t="str">
        <f>IFERROR([1]!IntrinioBankFinancials(rssd_id,$S$2,E$5,E$4,$B173,"K"),"")</f>
        <v/>
      </c>
      <c r="F173" s="38" t="str">
        <f>IFERROR([1]!IntrinioBankFinancials(rssd_id,$S$2,F$5,F$4,$B173,"K"),"")</f>
        <v/>
      </c>
      <c r="G173" s="38" t="str">
        <f>IFERROR([1]!IntrinioBankFinancials(rssd_id,$S$2,G$5,G$4,$B173,"K"),"")</f>
        <v/>
      </c>
      <c r="H173" s="38" t="str">
        <f>IFERROR([1]!IntrinioBankFinancials(rssd_id,$S$2,H$5,H$4,$B173,"K"),"")</f>
        <v/>
      </c>
      <c r="I173" s="38" t="str">
        <f>IFERROR([1]!IntrinioBankFinancials(rssd_id,$S$2,I$5,I$4,$B173,"K"),"")</f>
        <v/>
      </c>
      <c r="J173" s="38" t="str">
        <f>IFERROR([1]!IntrinioBankFinancials(rssd_id,$S$2,J$5,J$4,$B173,"K"),"")</f>
        <v/>
      </c>
      <c r="K173" s="38" t="str">
        <f>IFERROR([1]!IntrinioBankFinancials(rssd_id,$S$2,K$5,K$4,$B173,"K"),"")</f>
        <v/>
      </c>
      <c r="L173" s="38" t="str">
        <f>IFERROR([1]!IntrinioBankFinancials(rssd_id,$S$2,L$5,L$4,$B173,"K"),"")</f>
        <v/>
      </c>
      <c r="M173" s="38" t="str">
        <f>IFERROR([1]!IntrinioBankFinancials(rssd_id,$S$2,M$5,M$4,$B173,"K"),"")</f>
        <v/>
      </c>
      <c r="N173" s="38" t="str">
        <f>IFERROR([1]!IntrinioBankFinancials(rssd_id,$S$2,N$5,N$4,$B173,"K"),"")</f>
        <v/>
      </c>
      <c r="O173" s="38" t="str">
        <f>IFERROR([1]!IntrinioBankFinancials(rssd_id,$S$2,O$5,O$4,$B173,"K"),"")</f>
        <v/>
      </c>
      <c r="P173" s="49" t="s">
        <v>222</v>
      </c>
    </row>
    <row r="174" spans="1:16" x14ac:dyDescent="0.4">
      <c r="A174" s="39" t="s">
        <v>1044</v>
      </c>
      <c r="B174" s="37"/>
      <c r="C174" s="38" t="str">
        <f>IFERROR([1]!IntrinioBankFinancials(rssd_id,$S$2,C$5,C$4,$B174,"K"),"")</f>
        <v/>
      </c>
      <c r="D174" s="38" t="str">
        <f>IFERROR([1]!IntrinioBankFinancials(rssd_id,$S$2,D$5,D$4,$B174,"K"),"")</f>
        <v/>
      </c>
      <c r="E174" s="38" t="str">
        <f>IFERROR([1]!IntrinioBankFinancials(rssd_id,$S$2,E$5,E$4,$B174,"K"),"")</f>
        <v/>
      </c>
      <c r="F174" s="38" t="str">
        <f>IFERROR([1]!IntrinioBankFinancials(rssd_id,$S$2,F$5,F$4,$B174,"K"),"")</f>
        <v/>
      </c>
      <c r="G174" s="38" t="str">
        <f>IFERROR([1]!IntrinioBankFinancials(rssd_id,$S$2,G$5,G$4,$B174,"K"),"")</f>
        <v/>
      </c>
      <c r="H174" s="38" t="str">
        <f>IFERROR([1]!IntrinioBankFinancials(rssd_id,$S$2,H$5,H$4,$B174,"K"),"")</f>
        <v/>
      </c>
      <c r="I174" s="38" t="str">
        <f>IFERROR([1]!IntrinioBankFinancials(rssd_id,$S$2,I$5,I$4,$B174,"K"),"")</f>
        <v/>
      </c>
      <c r="J174" s="38" t="str">
        <f>IFERROR([1]!IntrinioBankFinancials(rssd_id,$S$2,J$5,J$4,$B174,"K"),"")</f>
        <v/>
      </c>
      <c r="K174" s="38" t="str">
        <f>IFERROR([1]!IntrinioBankFinancials(rssd_id,$S$2,K$5,K$4,$B174,"K"),"")</f>
        <v/>
      </c>
      <c r="L174" s="38" t="str">
        <f>IFERROR([1]!IntrinioBankFinancials(rssd_id,$S$2,L$5,L$4,$B174,"K"),"")</f>
        <v/>
      </c>
      <c r="M174" s="38" t="str">
        <f>IFERROR([1]!IntrinioBankFinancials(rssd_id,$S$2,M$5,M$4,$B174,"K"),"")</f>
        <v/>
      </c>
      <c r="N174" s="38" t="str">
        <f>IFERROR([1]!IntrinioBankFinancials(rssd_id,$S$2,N$5,N$4,$B174,"K"),"")</f>
        <v/>
      </c>
      <c r="O174" s="38" t="str">
        <f>IFERROR([1]!IntrinioBankFinancials(rssd_id,$S$2,O$5,O$4,$B174,"K"),"")</f>
        <v/>
      </c>
      <c r="P174" s="49" t="s">
        <v>224</v>
      </c>
    </row>
    <row r="175" spans="1:16" x14ac:dyDescent="0.4">
      <c r="A175" s="39" t="s">
        <v>1045</v>
      </c>
      <c r="B175" s="37" t="s">
        <v>2529</v>
      </c>
      <c r="C175" s="38" t="str">
        <f>IFERROR([1]!IntrinioBankFinancials(rssd_id,$S$2,C$5,C$4,$B175,"K"),"")</f>
        <v/>
      </c>
      <c r="D175" s="38" t="str">
        <f>IFERROR([1]!IntrinioBankFinancials(rssd_id,$S$2,D$5,D$4,$B175,"K"),"")</f>
        <v/>
      </c>
      <c r="E175" s="38" t="str">
        <f>IFERROR([1]!IntrinioBankFinancials(rssd_id,$S$2,E$5,E$4,$B175,"K"),"")</f>
        <v/>
      </c>
      <c r="F175" s="38" t="str">
        <f>IFERROR([1]!IntrinioBankFinancials(rssd_id,$S$2,F$5,F$4,$B175,"K"),"")</f>
        <v/>
      </c>
      <c r="G175" s="38" t="str">
        <f>IFERROR([1]!IntrinioBankFinancials(rssd_id,$S$2,G$5,G$4,$B175,"K"),"")</f>
        <v/>
      </c>
      <c r="H175" s="38" t="str">
        <f>IFERROR([1]!IntrinioBankFinancials(rssd_id,$S$2,H$5,H$4,$B175,"K"),"")</f>
        <v/>
      </c>
      <c r="I175" s="38" t="str">
        <f>IFERROR([1]!IntrinioBankFinancials(rssd_id,$S$2,I$5,I$4,$B175,"K"),"")</f>
        <v/>
      </c>
      <c r="J175" s="38" t="str">
        <f>IFERROR([1]!IntrinioBankFinancials(rssd_id,$S$2,J$5,J$4,$B175,"K"),"")</f>
        <v/>
      </c>
      <c r="K175" s="38" t="str">
        <f>IFERROR([1]!IntrinioBankFinancials(rssd_id,$S$2,K$5,K$4,$B175,"K"),"")</f>
        <v/>
      </c>
      <c r="L175" s="38" t="str">
        <f>IFERROR([1]!IntrinioBankFinancials(rssd_id,$S$2,L$5,L$4,$B175,"K"),"")</f>
        <v/>
      </c>
      <c r="M175" s="38" t="str">
        <f>IFERROR([1]!IntrinioBankFinancials(rssd_id,$S$2,M$5,M$4,$B175,"K"),"")</f>
        <v/>
      </c>
      <c r="N175" s="38" t="str">
        <f>IFERROR([1]!IntrinioBankFinancials(rssd_id,$S$2,N$5,N$4,$B175,"K"),"")</f>
        <v/>
      </c>
      <c r="O175" s="38" t="str">
        <f>IFERROR([1]!IntrinioBankFinancials(rssd_id,$S$2,O$5,O$4,$B175,"K"),"")</f>
        <v/>
      </c>
      <c r="P175" s="49" t="s">
        <v>1070</v>
      </c>
    </row>
    <row r="176" spans="1:16" x14ac:dyDescent="0.4">
      <c r="A176" s="39" t="s">
        <v>1046</v>
      </c>
      <c r="B176" s="37" t="s">
        <v>2530</v>
      </c>
      <c r="C176" s="38" t="str">
        <f>IFERROR([1]!IntrinioBankFinancials(rssd_id,$S$2,C$5,C$4,$B176,"K"),"")</f>
        <v/>
      </c>
      <c r="D176" s="38" t="str">
        <f>IFERROR([1]!IntrinioBankFinancials(rssd_id,$S$2,D$5,D$4,$B176,"K"),"")</f>
        <v/>
      </c>
      <c r="E176" s="38" t="str">
        <f>IFERROR([1]!IntrinioBankFinancials(rssd_id,$S$2,E$5,E$4,$B176,"K"),"")</f>
        <v/>
      </c>
      <c r="F176" s="38" t="str">
        <f>IFERROR([1]!IntrinioBankFinancials(rssd_id,$S$2,F$5,F$4,$B176,"K"),"")</f>
        <v/>
      </c>
      <c r="G176" s="38" t="str">
        <f>IFERROR([1]!IntrinioBankFinancials(rssd_id,$S$2,G$5,G$4,$B176,"K"),"")</f>
        <v/>
      </c>
      <c r="H176" s="38" t="str">
        <f>IFERROR([1]!IntrinioBankFinancials(rssd_id,$S$2,H$5,H$4,$B176,"K"),"")</f>
        <v/>
      </c>
      <c r="I176" s="38" t="str">
        <f>IFERROR([1]!IntrinioBankFinancials(rssd_id,$S$2,I$5,I$4,$B176,"K"),"")</f>
        <v/>
      </c>
      <c r="J176" s="38" t="str">
        <f>IFERROR([1]!IntrinioBankFinancials(rssd_id,$S$2,J$5,J$4,$B176,"K"),"")</f>
        <v/>
      </c>
      <c r="K176" s="38" t="str">
        <f>IFERROR([1]!IntrinioBankFinancials(rssd_id,$S$2,K$5,K$4,$B176,"K"),"")</f>
        <v/>
      </c>
      <c r="L176" s="38" t="str">
        <f>IFERROR([1]!IntrinioBankFinancials(rssd_id,$S$2,L$5,L$4,$B176,"K"),"")</f>
        <v/>
      </c>
      <c r="M176" s="38" t="str">
        <f>IFERROR([1]!IntrinioBankFinancials(rssd_id,$S$2,M$5,M$4,$B176,"K"),"")</f>
        <v/>
      </c>
      <c r="N176" s="38" t="str">
        <f>IFERROR([1]!IntrinioBankFinancials(rssd_id,$S$2,N$5,N$4,$B176,"K"),"")</f>
        <v/>
      </c>
      <c r="O176" s="38" t="str">
        <f>IFERROR([1]!IntrinioBankFinancials(rssd_id,$S$2,O$5,O$4,$B176,"K"),"")</f>
        <v/>
      </c>
      <c r="P176" s="49" t="s">
        <v>1071</v>
      </c>
    </row>
    <row r="177" spans="1:16" x14ac:dyDescent="0.4">
      <c r="A177" s="39" t="s">
        <v>2531</v>
      </c>
      <c r="B177" s="37" t="s">
        <v>2532</v>
      </c>
      <c r="C177" s="38" t="str">
        <f>IFERROR([1]!IntrinioBankFinancials(rssd_id,$S$2,C$5,C$4,$B177,"K"),"")</f>
        <v/>
      </c>
      <c r="D177" s="38" t="str">
        <f>IFERROR([1]!IntrinioBankFinancials(rssd_id,$S$2,D$5,D$4,$B177,"K"),"")</f>
        <v/>
      </c>
      <c r="E177" s="38" t="str">
        <f>IFERROR([1]!IntrinioBankFinancials(rssd_id,$S$2,E$5,E$4,$B177,"K"),"")</f>
        <v/>
      </c>
      <c r="F177" s="38" t="str">
        <f>IFERROR([1]!IntrinioBankFinancials(rssd_id,$S$2,F$5,F$4,$B177,"K"),"")</f>
        <v/>
      </c>
      <c r="G177" s="38" t="str">
        <f>IFERROR([1]!IntrinioBankFinancials(rssd_id,$S$2,G$5,G$4,$B177,"K"),"")</f>
        <v/>
      </c>
      <c r="H177" s="38" t="str">
        <f>IFERROR([1]!IntrinioBankFinancials(rssd_id,$S$2,H$5,H$4,$B177,"K"),"")</f>
        <v/>
      </c>
      <c r="I177" s="38" t="str">
        <f>IFERROR([1]!IntrinioBankFinancials(rssd_id,$S$2,I$5,I$4,$B177,"K"),"")</f>
        <v/>
      </c>
      <c r="J177" s="38" t="str">
        <f>IFERROR([1]!IntrinioBankFinancials(rssd_id,$S$2,J$5,J$4,$B177,"K"),"")</f>
        <v/>
      </c>
      <c r="K177" s="38" t="str">
        <f>IFERROR([1]!IntrinioBankFinancials(rssd_id,$S$2,K$5,K$4,$B177,"K"),"")</f>
        <v/>
      </c>
      <c r="L177" s="38" t="str">
        <f>IFERROR([1]!IntrinioBankFinancials(rssd_id,$S$2,L$5,L$4,$B177,"K"),"")</f>
        <v/>
      </c>
      <c r="M177" s="38" t="str">
        <f>IFERROR([1]!IntrinioBankFinancials(rssd_id,$S$2,M$5,M$4,$B177,"K"),"")</f>
        <v/>
      </c>
      <c r="N177" s="38" t="str">
        <f>IFERROR([1]!IntrinioBankFinancials(rssd_id,$S$2,N$5,N$4,$B177,"K"),"")</f>
        <v/>
      </c>
      <c r="O177" s="38" t="str">
        <f>IFERROR([1]!IntrinioBankFinancials(rssd_id,$S$2,O$5,O$4,$B177,"K"),"")</f>
        <v/>
      </c>
      <c r="P177" s="49" t="s">
        <v>225</v>
      </c>
    </row>
  </sheetData>
  <pageMargins left="0.7" right="0.7" top="0.75" bottom="0.75" header="0.3" footer="0.3"/>
  <pageSetup scale="83" fitToHeight="0" orientation="landscape" r:id="rId1"/>
  <headerFooter>
    <oddFooter>&amp;L&amp;G&amp;R&amp;P</oddFooter>
  </headerFooter>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9" tint="0.79998168889431442"/>
    <pageSetUpPr fitToPage="1"/>
  </sheetPr>
  <dimension ref="A1:S78"/>
  <sheetViews>
    <sheetView view="pageBreakPreview" zoomScaleNormal="100" zoomScaleSheetLayoutView="100" workbookViewId="0">
      <pane xSplit="1" ySplit="5" topLeftCell="H6" activePane="bottomRight" state="frozen"/>
      <selection pane="topRight"/>
      <selection pane="bottomLeft"/>
      <selection pane="bottomRight" activeCell="J6" sqref="J6"/>
    </sheetView>
  </sheetViews>
  <sheetFormatPr defaultColWidth="9.140625" defaultRowHeight="18" outlineLevelCol="1" x14ac:dyDescent="0.4"/>
  <cols>
    <col min="1" max="1" width="70.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2540</v>
      </c>
      <c r="B2" s="28"/>
      <c r="C2" s="29"/>
      <c r="D2" s="29"/>
      <c r="E2" s="29"/>
      <c r="F2" s="29"/>
      <c r="G2" s="29"/>
      <c r="H2" s="29"/>
      <c r="I2" s="29"/>
      <c r="J2" s="29"/>
      <c r="K2" s="29"/>
      <c r="L2" s="29"/>
      <c r="M2" s="29"/>
      <c r="N2" s="29"/>
      <c r="O2" s="29"/>
      <c r="P2" s="48"/>
      <c r="R2" s="6" t="s">
        <v>430</v>
      </c>
      <c r="S2" s="6" t="s">
        <v>2538</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2533</v>
      </c>
      <c r="B6" s="35"/>
      <c r="C6" s="35"/>
      <c r="D6" s="35"/>
      <c r="E6" s="35"/>
      <c r="F6" s="35"/>
      <c r="G6" s="35"/>
      <c r="H6" s="35"/>
      <c r="I6" s="35"/>
      <c r="J6" s="35"/>
      <c r="K6" s="35"/>
      <c r="L6" s="35"/>
      <c r="M6" s="35"/>
      <c r="N6" s="35"/>
      <c r="O6" s="35"/>
      <c r="P6" s="49"/>
    </row>
    <row r="7" spans="1:19" s="40" customFormat="1" ht="14.25" x14ac:dyDescent="0.4">
      <c r="A7" s="39" t="s">
        <v>2534</v>
      </c>
      <c r="B7" s="37"/>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c r="P7" s="49"/>
    </row>
    <row r="8" spans="1:19" s="40" customFormat="1" ht="28.5" x14ac:dyDescent="0.4">
      <c r="A8" s="39" t="s">
        <v>1072</v>
      </c>
      <c r="B8" s="37" t="s">
        <v>1073</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1</v>
      </c>
    </row>
    <row r="9" spans="1:19" s="40" customFormat="1" ht="14.25" x14ac:dyDescent="0.4">
      <c r="A9" s="39" t="s">
        <v>1074</v>
      </c>
      <c r="B9" s="37" t="s">
        <v>1075</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2</v>
      </c>
    </row>
    <row r="10" spans="1:19" s="40" customFormat="1" ht="14.25" x14ac:dyDescent="0.4">
      <c r="A10" s="39" t="s">
        <v>1076</v>
      </c>
      <c r="B10" s="37" t="s">
        <v>1077</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3</v>
      </c>
    </row>
    <row r="11" spans="1:19" s="40" customFormat="1" ht="14.25" x14ac:dyDescent="0.4">
      <c r="A11" s="39" t="s">
        <v>1078</v>
      </c>
      <c r="B11" s="37" t="s">
        <v>1079</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4</v>
      </c>
    </row>
    <row r="12" spans="1:19" s="40" customFormat="1" ht="14.25" x14ac:dyDescent="0.4">
      <c r="A12" s="39" t="s">
        <v>1080</v>
      </c>
      <c r="B12" s="37" t="s">
        <v>1081</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5</v>
      </c>
    </row>
    <row r="13" spans="1:19" s="40" customFormat="1" ht="14.25" x14ac:dyDescent="0.4">
      <c r="A13" s="39" t="s">
        <v>1082</v>
      </c>
      <c r="B13" s="37" t="s">
        <v>1083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6</v>
      </c>
    </row>
    <row r="14" spans="1:19" ht="42.75" x14ac:dyDescent="0.4">
      <c r="A14" s="39" t="s">
        <v>2535</v>
      </c>
      <c r="B14" s="35" t="s">
        <v>1085</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7</v>
      </c>
    </row>
    <row r="15" spans="1:19" ht="28.5" x14ac:dyDescent="0.4">
      <c r="A15" s="39" t="s">
        <v>2536</v>
      </c>
      <c r="B15" s="35"/>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row>
    <row r="16" spans="1:19" s="47" customFormat="1" x14ac:dyDescent="0.4">
      <c r="A16" s="39" t="s">
        <v>2534</v>
      </c>
      <c r="B16" s="35"/>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c r="Q16" s="13"/>
      <c r="R16" s="13"/>
      <c r="S16" s="13"/>
    </row>
    <row r="17" spans="1:19" s="47" customFormat="1" ht="28.5" x14ac:dyDescent="0.4">
      <c r="A17" s="39" t="s">
        <v>1084</v>
      </c>
      <c r="B17" s="35" t="s">
        <v>1086</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v>7</v>
      </c>
      <c r="Q17" s="13"/>
      <c r="R17" s="13"/>
      <c r="S17" s="13"/>
    </row>
    <row r="18" spans="1:19" s="47" customFormat="1" ht="28.5" x14ac:dyDescent="0.4">
      <c r="A18" s="39" t="s">
        <v>1087</v>
      </c>
      <c r="B18" s="35"/>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c r="Q18" s="13"/>
      <c r="R18" s="13"/>
      <c r="S18" s="13"/>
    </row>
    <row r="19" spans="1:19" s="47" customFormat="1" x14ac:dyDescent="0.4">
      <c r="A19" s="39" t="s">
        <v>2534</v>
      </c>
      <c r="B19" s="35"/>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c r="Q19" s="13"/>
      <c r="R19" s="13"/>
      <c r="S19" s="13"/>
    </row>
    <row r="20" spans="1:19" s="47" customFormat="1" ht="28.5" x14ac:dyDescent="0.4">
      <c r="A20" s="39" t="s">
        <v>1072</v>
      </c>
      <c r="B20" s="35" t="s">
        <v>1088</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1</v>
      </c>
      <c r="Q20" s="13"/>
      <c r="R20" s="13"/>
      <c r="S20" s="13"/>
    </row>
    <row r="21" spans="1:19" s="47" customFormat="1" x14ac:dyDescent="0.4">
      <c r="A21" s="39" t="s">
        <v>1074</v>
      </c>
      <c r="B21" s="37" t="s">
        <v>1089</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2</v>
      </c>
      <c r="Q21" s="13"/>
      <c r="R21" s="13"/>
      <c r="S21" s="13"/>
    </row>
    <row r="22" spans="1:19" s="47" customFormat="1" x14ac:dyDescent="0.4">
      <c r="A22" s="39" t="s">
        <v>1076</v>
      </c>
      <c r="B22" s="35" t="s">
        <v>1090</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3</v>
      </c>
      <c r="Q22" s="13"/>
      <c r="R22" s="13"/>
      <c r="S22" s="13"/>
    </row>
    <row r="23" spans="1:19" s="47" customFormat="1" x14ac:dyDescent="0.4">
      <c r="A23" s="39" t="s">
        <v>1078</v>
      </c>
      <c r="B23" s="37" t="s">
        <v>1091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4</v>
      </c>
      <c r="Q23" s="13"/>
      <c r="R23" s="13"/>
      <c r="S23" s="13"/>
    </row>
    <row r="24" spans="1:19" s="47" customFormat="1" x14ac:dyDescent="0.4">
      <c r="A24" s="39" t="s">
        <v>1080</v>
      </c>
      <c r="B24" s="37" t="s">
        <v>1092</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5</v>
      </c>
      <c r="Q24" s="13"/>
      <c r="R24" s="13"/>
      <c r="S24" s="13"/>
    </row>
    <row r="25" spans="1:19" s="47" customFormat="1" x14ac:dyDescent="0.4">
      <c r="A25" s="39" t="s">
        <v>1082</v>
      </c>
      <c r="B25" s="37" t="s">
        <v>1093</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6</v>
      </c>
      <c r="Q25" s="13"/>
      <c r="R25" s="13"/>
      <c r="S25" s="13"/>
    </row>
    <row r="26" spans="1:19" s="47" customFormat="1" ht="28.5" x14ac:dyDescent="0.4">
      <c r="A26" s="39" t="s">
        <v>2537</v>
      </c>
      <c r="B26" s="37" t="s">
        <v>1094</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v>7</v>
      </c>
      <c r="Q26" s="13"/>
      <c r="R26" s="13"/>
      <c r="S26" s="13"/>
    </row>
    <row r="27" spans="1:19" s="47" customFormat="1" x14ac:dyDescent="0.4">
      <c r="A27" s="39"/>
      <c r="B27" s="37"/>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c r="Q27" s="13"/>
      <c r="R27" s="13"/>
      <c r="S27" s="13"/>
    </row>
    <row r="28" spans="1:19" s="47" customFormat="1" x14ac:dyDescent="0.4">
      <c r="A28" s="39" t="s">
        <v>208</v>
      </c>
      <c r="B28" s="37"/>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c r="Q28" s="13"/>
      <c r="R28" s="13"/>
      <c r="S28" s="13"/>
    </row>
    <row r="29" spans="1:19" s="47" customFormat="1" x14ac:dyDescent="0.4">
      <c r="A29" s="39" t="s">
        <v>1095</v>
      </c>
      <c r="B29" s="37"/>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210</v>
      </c>
      <c r="Q29" s="13"/>
      <c r="R29" s="13"/>
      <c r="S29" s="13"/>
    </row>
    <row r="30" spans="1:19" s="47" customFormat="1" x14ac:dyDescent="0.4">
      <c r="A30" s="39" t="s">
        <v>1096</v>
      </c>
      <c r="B30" s="35" t="s">
        <v>1097</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1011</v>
      </c>
      <c r="Q30" s="13"/>
      <c r="R30" s="13"/>
      <c r="S30" s="13"/>
    </row>
    <row r="31" spans="1:19" s="47" customFormat="1" x14ac:dyDescent="0.4">
      <c r="A31" s="11" t="s">
        <v>1098</v>
      </c>
      <c r="B31" s="35" t="s">
        <v>1099</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1056</v>
      </c>
      <c r="Q31" s="13"/>
      <c r="R31" s="13"/>
      <c r="S31" s="13"/>
    </row>
    <row r="32" spans="1:19" s="47" customFormat="1" x14ac:dyDescent="0.4">
      <c r="A32" s="39" t="s">
        <v>1100</v>
      </c>
      <c r="B32" s="35"/>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1057</v>
      </c>
      <c r="Q32" s="13"/>
      <c r="R32" s="13"/>
      <c r="S32" s="13"/>
    </row>
    <row r="33" spans="1:19" s="47" customFormat="1" x14ac:dyDescent="0.4">
      <c r="A33" s="39" t="s">
        <v>1101</v>
      </c>
      <c r="B33" s="37" t="s">
        <v>1102</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1058</v>
      </c>
      <c r="Q33" s="13"/>
      <c r="R33" s="13"/>
      <c r="S33" s="13"/>
    </row>
    <row r="34" spans="1:19" s="47" customFormat="1" ht="28.5" x14ac:dyDescent="0.4">
      <c r="A34" s="39" t="s">
        <v>1103</v>
      </c>
      <c r="B34" s="37" t="s">
        <v>1104</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1059</v>
      </c>
      <c r="Q34" s="13"/>
      <c r="R34" s="13"/>
      <c r="S34" s="13"/>
    </row>
    <row r="35" spans="1:19" s="47" customFormat="1" x14ac:dyDescent="0.4">
      <c r="A35" s="39" t="s">
        <v>1105</v>
      </c>
      <c r="B35" s="35"/>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1062</v>
      </c>
      <c r="Q35" s="13"/>
      <c r="R35" s="13"/>
      <c r="S35" s="13"/>
    </row>
    <row r="36" spans="1:19" s="47" customFormat="1" ht="28.5" x14ac:dyDescent="0.4">
      <c r="A36" s="39" t="s">
        <v>1106</v>
      </c>
      <c r="B36" s="37" t="s">
        <v>1107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1156</v>
      </c>
      <c r="Q36" s="13"/>
      <c r="R36" s="13"/>
      <c r="S36" s="13"/>
    </row>
    <row r="37" spans="1:19" s="47" customFormat="1" ht="28.5" x14ac:dyDescent="0.4">
      <c r="A37" s="39" t="s">
        <v>1108</v>
      </c>
      <c r="B37" s="37" t="s">
        <v>1109</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1157</v>
      </c>
      <c r="Q37" s="13"/>
      <c r="R37" s="13"/>
      <c r="S37" s="13"/>
    </row>
    <row r="38" spans="1:19" s="47" customFormat="1" ht="28.5" x14ac:dyDescent="0.4">
      <c r="A38" s="39" t="s">
        <v>1110</v>
      </c>
      <c r="B38" s="35" t="s">
        <v>1111</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1158</v>
      </c>
      <c r="Q38" s="13"/>
      <c r="R38" s="13"/>
      <c r="S38" s="13"/>
    </row>
    <row r="39" spans="1:19" s="47" customFormat="1" ht="42.75" x14ac:dyDescent="0.4">
      <c r="A39" s="39" t="s">
        <v>1112</v>
      </c>
      <c r="B39" s="37" t="s">
        <v>1113</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1159</v>
      </c>
      <c r="Q39" s="13"/>
      <c r="R39" s="13"/>
      <c r="S39" s="13"/>
    </row>
    <row r="40" spans="1:19" s="47" customFormat="1" ht="28.5" x14ac:dyDescent="0.4">
      <c r="A40" s="39" t="s">
        <v>1114</v>
      </c>
      <c r="B40" s="37" t="s">
        <v>1115</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1160</v>
      </c>
      <c r="Q40" s="13"/>
      <c r="R40" s="13"/>
      <c r="S40" s="13"/>
    </row>
    <row r="41" spans="1:19" s="47" customFormat="1" ht="28.5" x14ac:dyDescent="0.4">
      <c r="A41" s="39" t="s">
        <v>1116</v>
      </c>
      <c r="B41" s="37"/>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213</v>
      </c>
      <c r="Q41" s="13"/>
      <c r="R41" s="13"/>
      <c r="S41" s="13"/>
    </row>
    <row r="42" spans="1:19" s="47" customFormat="1" x14ac:dyDescent="0.4">
      <c r="A42" s="39" t="s">
        <v>1117</v>
      </c>
      <c r="B42" s="37"/>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414</v>
      </c>
      <c r="Q42" s="13"/>
      <c r="R42" s="13"/>
      <c r="S42" s="13"/>
    </row>
    <row r="43" spans="1:19" s="47" customFormat="1" x14ac:dyDescent="0.4">
      <c r="A43" s="39" t="s">
        <v>1118</v>
      </c>
      <c r="B43" s="37" t="s">
        <v>1119</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799</v>
      </c>
      <c r="Q43" s="13"/>
      <c r="R43" s="13"/>
      <c r="S43" s="13"/>
    </row>
    <row r="44" spans="1:19" s="47" customFormat="1" x14ac:dyDescent="0.4">
      <c r="A44" s="39" t="s">
        <v>1120</v>
      </c>
      <c r="B44" s="35" t="s">
        <v>1121</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802</v>
      </c>
      <c r="Q44" s="13"/>
      <c r="R44" s="13"/>
      <c r="S44" s="13"/>
    </row>
    <row r="45" spans="1:19" s="47" customFormat="1" x14ac:dyDescent="0.4">
      <c r="A45" s="39" t="s">
        <v>1122</v>
      </c>
      <c r="B45" s="35" t="s">
        <v>1123</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417</v>
      </c>
      <c r="Q45" s="13"/>
      <c r="R45" s="13"/>
      <c r="S45" s="13"/>
    </row>
    <row r="46" spans="1:19" s="47" customFormat="1" x14ac:dyDescent="0.4">
      <c r="A46" s="39" t="s">
        <v>1124</v>
      </c>
      <c r="B46" s="37" t="s">
        <v>1125</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420</v>
      </c>
      <c r="Q46" s="13"/>
      <c r="R46" s="13"/>
      <c r="S46" s="13"/>
    </row>
    <row r="47" spans="1:19" s="47" customFormat="1" x14ac:dyDescent="0.4">
      <c r="A47" s="39" t="s">
        <v>1126</v>
      </c>
      <c r="B47" s="37" t="s">
        <v>1127</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423</v>
      </c>
      <c r="Q47" s="13"/>
      <c r="R47" s="13"/>
      <c r="S47" s="13"/>
    </row>
    <row r="48" spans="1:19" s="47" customFormat="1" ht="28.5" x14ac:dyDescent="0.4">
      <c r="A48" s="39" t="s">
        <v>1128</v>
      </c>
      <c r="B48" s="37" t="s">
        <v>1129</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1161</v>
      </c>
      <c r="Q48" s="13"/>
      <c r="R48" s="13"/>
      <c r="S48" s="13"/>
    </row>
    <row r="49" spans="1:19" s="47" customFormat="1" x14ac:dyDescent="0.4">
      <c r="A49" s="39" t="s">
        <v>1130</v>
      </c>
      <c r="B49" s="37"/>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215</v>
      </c>
      <c r="Q49" s="13"/>
      <c r="R49" s="13"/>
      <c r="S49" s="13"/>
    </row>
    <row r="50" spans="1:19" s="47" customFormat="1" ht="28.5" x14ac:dyDescent="0.4">
      <c r="A50" s="39" t="s">
        <v>1131</v>
      </c>
      <c r="B50" s="37"/>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1063</v>
      </c>
      <c r="Q50" s="13"/>
      <c r="R50" s="13"/>
      <c r="S50" s="13"/>
    </row>
    <row r="51" spans="1:19" s="47" customFormat="1" x14ac:dyDescent="0.4">
      <c r="A51" s="39" t="s">
        <v>797</v>
      </c>
      <c r="B51" s="37" t="s">
        <v>1132</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1162</v>
      </c>
      <c r="Q51" s="13"/>
      <c r="R51" s="13"/>
      <c r="S51" s="13"/>
    </row>
    <row r="52" spans="1:19" s="47" customFormat="1" x14ac:dyDescent="0.4">
      <c r="A52" s="39" t="s">
        <v>800</v>
      </c>
      <c r="B52" s="35" t="s">
        <v>1133</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1163</v>
      </c>
      <c r="Q52" s="13"/>
      <c r="R52" s="13"/>
      <c r="S52" s="13"/>
    </row>
    <row r="53" spans="1:19" s="47" customFormat="1" x14ac:dyDescent="0.4">
      <c r="A53" s="39" t="s">
        <v>803</v>
      </c>
      <c r="B53" s="35" t="s">
        <v>1134</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1164</v>
      </c>
      <c r="Q53" s="13"/>
      <c r="R53" s="13"/>
      <c r="S53" s="13"/>
    </row>
    <row r="54" spans="1:19" s="47" customFormat="1" x14ac:dyDescent="0.4">
      <c r="A54" s="39" t="s">
        <v>1135</v>
      </c>
      <c r="B54" s="37" t="s">
        <v>1136</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1165</v>
      </c>
      <c r="Q54" s="13"/>
      <c r="R54" s="13"/>
      <c r="S54" s="13"/>
    </row>
    <row r="55" spans="1:19" s="47" customFormat="1" ht="28.5" x14ac:dyDescent="0.4">
      <c r="A55" s="39" t="s">
        <v>1137</v>
      </c>
      <c r="B55" s="37" t="s">
        <v>1138</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1064</v>
      </c>
      <c r="Q55" s="13"/>
      <c r="R55" s="13"/>
      <c r="S55" s="13"/>
    </row>
    <row r="56" spans="1:19" s="47" customFormat="1" x14ac:dyDescent="0.4">
      <c r="A56" s="39" t="s">
        <v>1139</v>
      </c>
      <c r="B56" s="37"/>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217</v>
      </c>
      <c r="Q56" s="13"/>
      <c r="R56" s="13"/>
      <c r="S56" s="13"/>
    </row>
    <row r="57" spans="1:19" s="47" customFormat="1" ht="28.5" x14ac:dyDescent="0.4">
      <c r="A57" s="39" t="s">
        <v>1140</v>
      </c>
      <c r="B57" s="37"/>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837</v>
      </c>
      <c r="Q57" s="13"/>
      <c r="R57" s="13"/>
      <c r="S57" s="13"/>
    </row>
    <row r="58" spans="1:19" s="47" customFormat="1" x14ac:dyDescent="0.4">
      <c r="A58" s="39" t="s">
        <v>797</v>
      </c>
      <c r="B58" s="37" t="s">
        <v>1141</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1166</v>
      </c>
      <c r="Q58" s="13"/>
      <c r="R58" s="13"/>
      <c r="S58" s="13"/>
    </row>
    <row r="59" spans="1:19" s="47" customFormat="1" x14ac:dyDescent="0.4">
      <c r="A59" s="39" t="s">
        <v>800</v>
      </c>
      <c r="B59" s="35" t="s">
        <v>1142</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1167</v>
      </c>
      <c r="Q59" s="13"/>
      <c r="R59" s="13"/>
      <c r="S59" s="13"/>
    </row>
    <row r="60" spans="1:19" s="47" customFormat="1" x14ac:dyDescent="0.4">
      <c r="A60" s="39" t="s">
        <v>803</v>
      </c>
      <c r="B60" s="35" t="s">
        <v>1143</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1168</v>
      </c>
      <c r="Q60" s="13"/>
      <c r="R60" s="13"/>
      <c r="S60" s="13"/>
    </row>
    <row r="61" spans="1:19" s="47" customFormat="1" x14ac:dyDescent="0.4">
      <c r="A61" s="39" t="s">
        <v>1135</v>
      </c>
      <c r="B61" s="37" t="s">
        <v>1144</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1169</v>
      </c>
      <c r="Q61" s="13"/>
      <c r="R61" s="13"/>
      <c r="S61" s="13"/>
    </row>
    <row r="62" spans="1:19" s="47" customFormat="1" ht="28.5" x14ac:dyDescent="0.4">
      <c r="A62" s="39" t="s">
        <v>1145</v>
      </c>
      <c r="B62" s="37" t="s">
        <v>1146</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840</v>
      </c>
      <c r="Q62" s="13"/>
      <c r="R62" s="13"/>
      <c r="S62" s="13"/>
    </row>
    <row r="63" spans="1:19" s="47" customFormat="1" ht="28.5" x14ac:dyDescent="0.4">
      <c r="A63" s="39" t="s">
        <v>1147</v>
      </c>
      <c r="B63" s="37" t="s">
        <v>1148</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1170</v>
      </c>
      <c r="Q63" s="13"/>
      <c r="R63" s="13"/>
      <c r="S63" s="13"/>
    </row>
    <row r="64" spans="1:19" s="47" customFormat="1" ht="42.75" x14ac:dyDescent="0.4">
      <c r="A64" s="39" t="s">
        <v>1149</v>
      </c>
      <c r="B64" s="37" t="s">
        <v>1150</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220</v>
      </c>
      <c r="Q64" s="13"/>
      <c r="R64" s="13"/>
      <c r="S64" s="13"/>
    </row>
    <row r="65" spans="1:19" s="47" customFormat="1" ht="42.75" x14ac:dyDescent="0.4">
      <c r="A65" s="39" t="s">
        <v>1151</v>
      </c>
      <c r="B65" s="37"/>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222</v>
      </c>
      <c r="Q65" s="13"/>
      <c r="R65" s="13"/>
      <c r="S65" s="13"/>
    </row>
    <row r="66" spans="1:19" s="47" customFormat="1" ht="28.5" x14ac:dyDescent="0.4">
      <c r="A66" s="39" t="s">
        <v>1152</v>
      </c>
      <c r="B66" s="37" t="s">
        <v>1153</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882</v>
      </c>
      <c r="Q66" s="13"/>
      <c r="R66" s="13"/>
      <c r="S66" s="13"/>
    </row>
    <row r="67" spans="1:19" s="47" customFormat="1" ht="28.5" x14ac:dyDescent="0.4">
      <c r="A67" s="39" t="s">
        <v>1154</v>
      </c>
      <c r="B67" s="37" t="s">
        <v>1155</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887</v>
      </c>
      <c r="Q67" s="13"/>
      <c r="R67" s="13"/>
      <c r="S67" s="13"/>
    </row>
    <row r="68" spans="1:19" s="47" customFormat="1" ht="28.5" x14ac:dyDescent="0.4">
      <c r="A68" s="39" t="s">
        <v>1175</v>
      </c>
      <c r="B68" s="35" t="s">
        <v>1176</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893</v>
      </c>
      <c r="Q68" s="13"/>
      <c r="R68" s="13"/>
      <c r="S68" s="13"/>
    </row>
    <row r="69" spans="1:19" s="47" customFormat="1" ht="57" x14ac:dyDescent="0.4">
      <c r="A69" s="39" t="s">
        <v>1177</v>
      </c>
      <c r="B69" s="37"/>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224</v>
      </c>
      <c r="Q69" s="13"/>
      <c r="R69" s="13"/>
      <c r="S69" s="13"/>
    </row>
    <row r="70" spans="1:19" s="47" customFormat="1" ht="42.75" x14ac:dyDescent="0.4">
      <c r="A70" s="39" t="s">
        <v>1178</v>
      </c>
      <c r="B70" s="37" t="s">
        <v>1070</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c r="Q70" s="13"/>
      <c r="R70" s="13"/>
      <c r="S70" s="13"/>
    </row>
    <row r="71" spans="1:19" s="47" customFormat="1" ht="28.5" x14ac:dyDescent="0.4">
      <c r="A71" s="39" t="s">
        <v>1179</v>
      </c>
      <c r="B71" s="37" t="s">
        <v>1180</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1171</v>
      </c>
      <c r="Q71" s="13"/>
      <c r="R71" s="13"/>
      <c r="S71" s="13"/>
    </row>
    <row r="72" spans="1:19" x14ac:dyDescent="0.4">
      <c r="A72" s="39" t="s">
        <v>1181</v>
      </c>
      <c r="B72" s="35" t="s">
        <v>1182</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1172</v>
      </c>
    </row>
    <row r="73" spans="1:19" ht="42.75" x14ac:dyDescent="0.4">
      <c r="A73" s="39" t="s">
        <v>1183</v>
      </c>
      <c r="B73" s="35" t="s">
        <v>1071</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row>
    <row r="74" spans="1:19" ht="28.5" x14ac:dyDescent="0.4">
      <c r="A74" s="39" t="s">
        <v>1184</v>
      </c>
      <c r="B74" s="37" t="s">
        <v>1185</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1173</v>
      </c>
    </row>
    <row r="75" spans="1:19" ht="28.5" x14ac:dyDescent="0.4">
      <c r="A75" s="39" t="s">
        <v>1186</v>
      </c>
      <c r="B75" s="37" t="s">
        <v>1187</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1174</v>
      </c>
    </row>
    <row r="76" spans="1:19" ht="42.75" x14ac:dyDescent="0.4">
      <c r="A76" s="39" t="s">
        <v>1183</v>
      </c>
      <c r="B76" s="35"/>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1071</v>
      </c>
    </row>
    <row r="77" spans="1:19" ht="28.5" x14ac:dyDescent="0.4">
      <c r="A77" s="39" t="s">
        <v>1184</v>
      </c>
      <c r="B77" s="37" t="s">
        <v>1185</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1173</v>
      </c>
    </row>
    <row r="78" spans="1:19" ht="28.5" x14ac:dyDescent="0.4">
      <c r="A78" s="39" t="s">
        <v>1186</v>
      </c>
      <c r="B78" s="37" t="s">
        <v>1187</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1174</v>
      </c>
    </row>
  </sheetData>
  <pageMargins left="0.7" right="0.7" top="0.75" bottom="0.75" header="0.3" footer="0.3"/>
  <pageSetup scale="85" fitToHeight="4" orientation="landscape" r:id="rId1"/>
  <headerFooter>
    <oddFooter>&amp;L&amp;G&amp;R&amp;P</oddFoot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9" tint="0.79998168889431442"/>
    <pageSetUpPr fitToPage="1"/>
  </sheetPr>
  <dimension ref="A1:S15"/>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140625" defaultRowHeight="18" outlineLevelCol="1" x14ac:dyDescent="0.4"/>
  <cols>
    <col min="1" max="1" width="70.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2539</v>
      </c>
      <c r="B2" s="28"/>
      <c r="C2" s="29"/>
      <c r="D2" s="29"/>
      <c r="E2" s="29"/>
      <c r="F2" s="29"/>
      <c r="G2" s="29"/>
      <c r="H2" s="29"/>
      <c r="I2" s="29"/>
      <c r="J2" s="29"/>
      <c r="K2" s="29"/>
      <c r="L2" s="29"/>
      <c r="M2" s="29"/>
      <c r="N2" s="29"/>
      <c r="O2" s="29"/>
      <c r="P2" s="48"/>
      <c r="R2" s="6" t="s">
        <v>430</v>
      </c>
      <c r="S2" s="6" t="s">
        <v>2553</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2534</v>
      </c>
      <c r="B6" s="35"/>
      <c r="C6" s="35"/>
      <c r="D6" s="35"/>
      <c r="E6" s="35"/>
      <c r="F6" s="35"/>
      <c r="G6" s="35"/>
      <c r="H6" s="35"/>
      <c r="I6" s="35"/>
      <c r="J6" s="35"/>
      <c r="K6" s="35"/>
      <c r="L6" s="35"/>
      <c r="M6" s="35"/>
      <c r="N6" s="35"/>
      <c r="O6" s="35"/>
      <c r="P6" s="49"/>
    </row>
    <row r="7" spans="1:19" s="40" customFormat="1" ht="28.5" x14ac:dyDescent="0.4">
      <c r="A7" s="39" t="s">
        <v>1072</v>
      </c>
      <c r="B7" s="37" t="s">
        <v>2541</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1</v>
      </c>
    </row>
    <row r="8" spans="1:19" s="40" customFormat="1" ht="28.5" x14ac:dyDescent="0.4">
      <c r="A8" s="39" t="s">
        <v>2542</v>
      </c>
      <c r="B8" s="37" t="s">
        <v>2543</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2</v>
      </c>
    </row>
    <row r="9" spans="1:19" s="40" customFormat="1" ht="28.5" x14ac:dyDescent="0.4">
      <c r="A9" s="39" t="s">
        <v>2544</v>
      </c>
      <c r="B9" s="37" t="s">
        <v>2545</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3</v>
      </c>
    </row>
    <row r="10" spans="1:19" s="40" customFormat="1" ht="14.25" x14ac:dyDescent="0.4">
      <c r="A10" s="39" t="s">
        <v>2546</v>
      </c>
      <c r="B10" s="37" t="s">
        <v>2547</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4</v>
      </c>
    </row>
    <row r="11" spans="1:19" s="40" customFormat="1" ht="14.25" x14ac:dyDescent="0.4">
      <c r="A11" s="39" t="s">
        <v>2548</v>
      </c>
      <c r="B11" s="37" t="s">
        <v>2549</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5</v>
      </c>
    </row>
    <row r="12" spans="1:19" s="40" customFormat="1" ht="14.25" x14ac:dyDescent="0.4">
      <c r="A12" s="39" t="s">
        <v>2550</v>
      </c>
      <c r="B12" s="37" t="s">
        <v>2195</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6</v>
      </c>
    </row>
    <row r="13" spans="1:19" s="40" customFormat="1" ht="14.25" x14ac:dyDescent="0.4">
      <c r="A13" s="39"/>
      <c r="B13" s="37"/>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c r="P13" s="49"/>
    </row>
    <row r="14" spans="1:19" x14ac:dyDescent="0.4">
      <c r="A14" s="39" t="s">
        <v>208</v>
      </c>
      <c r="B14" s="35"/>
      <c r="C14" s="35"/>
      <c r="D14" s="35"/>
      <c r="E14" s="35"/>
      <c r="F14" s="35"/>
      <c r="G14" s="35"/>
      <c r="H14" s="35"/>
      <c r="I14" s="35"/>
      <c r="J14" s="35"/>
      <c r="K14" s="35"/>
      <c r="L14" s="35"/>
      <c r="M14" s="35"/>
      <c r="N14" s="35"/>
      <c r="O14" s="35"/>
      <c r="P14" s="49"/>
    </row>
    <row r="15" spans="1:19" ht="28.5" x14ac:dyDescent="0.4">
      <c r="A15" s="39" t="s">
        <v>2551</v>
      </c>
      <c r="B15" s="37" t="s">
        <v>2552</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210</v>
      </c>
    </row>
  </sheetData>
  <pageMargins left="0.7" right="0.7" top="0.75" bottom="0.75" header="0.3" footer="0.3"/>
  <pageSetup scale="85" fitToHeight="4" orientation="landscape" r:id="rId1"/>
  <headerFooter>
    <oddFooter>&amp;L&amp;G&amp;R&amp;P</oddFooter>
  </headerFooter>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9" tint="0.79998168889431442"/>
    <pageSetUpPr fitToPage="1"/>
  </sheetPr>
  <dimension ref="A1:S87"/>
  <sheetViews>
    <sheetView view="pageBreakPreview" zoomScaleNormal="100" zoomScaleSheetLayoutView="100" workbookViewId="0">
      <pane xSplit="1" ySplit="5" topLeftCell="H6" activePane="bottomRight" state="frozen"/>
      <selection pane="topRight"/>
      <selection pane="bottomLeft"/>
      <selection pane="bottomRight" activeCell="J6" sqref="J6"/>
    </sheetView>
  </sheetViews>
  <sheetFormatPr defaultColWidth="9.140625" defaultRowHeight="18" outlineLevelCol="1" x14ac:dyDescent="0.4"/>
  <cols>
    <col min="1" max="1" width="70.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14</v>
      </c>
      <c r="B2" s="28"/>
      <c r="C2" s="29"/>
      <c r="D2" s="29"/>
      <c r="E2" s="29"/>
      <c r="F2" s="29"/>
      <c r="G2" s="29"/>
      <c r="H2" s="29"/>
      <c r="I2" s="29"/>
      <c r="J2" s="29"/>
      <c r="K2" s="29"/>
      <c r="L2" s="29"/>
      <c r="M2" s="29"/>
      <c r="N2" s="29"/>
      <c r="O2" s="29"/>
      <c r="P2" s="48"/>
      <c r="R2" s="6" t="s">
        <v>430</v>
      </c>
      <c r="S2" s="6" t="s">
        <v>1337</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1314</v>
      </c>
      <c r="B6" s="37" t="s">
        <v>2554</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1315</v>
      </c>
      <c r="B7" s="37" t="s">
        <v>2555</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1316</v>
      </c>
      <c r="B8" s="37"/>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1317</v>
      </c>
      <c r="B9" s="37" t="s">
        <v>2556</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620</v>
      </c>
    </row>
    <row r="10" spans="1:19" s="40" customFormat="1" ht="14.25" x14ac:dyDescent="0.4">
      <c r="A10" s="39" t="s">
        <v>1318</v>
      </c>
      <c r="B10" s="37" t="s">
        <v>2557</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621</v>
      </c>
    </row>
    <row r="11" spans="1:19" s="40" customFormat="1" ht="14.25" x14ac:dyDescent="0.4">
      <c r="A11" s="39" t="s">
        <v>1319</v>
      </c>
      <c r="B11" s="37" t="s">
        <v>2558</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4</v>
      </c>
    </row>
    <row r="12" spans="1:19" s="40" customFormat="1" ht="14.25" x14ac:dyDescent="0.4">
      <c r="A12" s="39" t="s">
        <v>1321</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5</v>
      </c>
    </row>
    <row r="13" spans="1:19" s="40" customFormat="1" ht="14.25" x14ac:dyDescent="0.4">
      <c r="A13" s="39" t="s">
        <v>1322</v>
      </c>
      <c r="B13" s="37" t="s">
        <v>2559</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119</v>
      </c>
    </row>
    <row r="14" spans="1:19" x14ac:dyDescent="0.4">
      <c r="A14" s="39" t="s">
        <v>1323</v>
      </c>
      <c r="B14" s="37" t="s">
        <v>2560</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122</v>
      </c>
    </row>
    <row r="15" spans="1:19" x14ac:dyDescent="0.4">
      <c r="A15" s="39" t="s">
        <v>1324</v>
      </c>
      <c r="B15" s="37" t="s">
        <v>2561</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125</v>
      </c>
    </row>
    <row r="16" spans="1:19" s="47" customFormat="1" ht="28.5" x14ac:dyDescent="0.4">
      <c r="A16" s="39" t="s">
        <v>1325</v>
      </c>
      <c r="B16" s="37" t="s">
        <v>2562</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6</v>
      </c>
      <c r="Q16" s="13"/>
      <c r="R16" s="13"/>
      <c r="S16" s="13"/>
    </row>
    <row r="17" spans="1:19" s="47" customFormat="1" x14ac:dyDescent="0.4">
      <c r="A17" s="39" t="s">
        <v>1326</v>
      </c>
      <c r="B17" s="37" t="s">
        <v>2563</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172</v>
      </c>
      <c r="Q17" s="13"/>
      <c r="R17" s="13"/>
      <c r="S17" s="13"/>
    </row>
    <row r="18" spans="1:19" s="47" customFormat="1" x14ac:dyDescent="0.4">
      <c r="A18" s="39" t="s">
        <v>1327</v>
      </c>
      <c r="B18" s="37" t="s">
        <v>2564</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175</v>
      </c>
      <c r="Q18" s="13"/>
      <c r="R18" s="13"/>
      <c r="S18" s="13"/>
    </row>
    <row r="19" spans="1:19" s="47" customFormat="1" x14ac:dyDescent="0.4">
      <c r="A19" s="39" t="s">
        <v>1328</v>
      </c>
      <c r="B19" s="37" t="s">
        <v>2565</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983</v>
      </c>
      <c r="Q19" s="13"/>
      <c r="R19" s="13"/>
      <c r="S19" s="13"/>
    </row>
    <row r="20" spans="1:19" s="47" customFormat="1" ht="28.5" x14ac:dyDescent="0.4">
      <c r="A20" s="39" t="s">
        <v>1329</v>
      </c>
      <c r="B20" s="37" t="s">
        <v>2566</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997</v>
      </c>
      <c r="Q20" s="13"/>
      <c r="R20" s="13"/>
      <c r="S20" s="13"/>
    </row>
    <row r="21" spans="1:19" s="47" customFormat="1" x14ac:dyDescent="0.4">
      <c r="A21" s="39" t="s">
        <v>1330</v>
      </c>
      <c r="B21" s="37" t="s">
        <v>2567</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1335</v>
      </c>
      <c r="Q21" s="13"/>
      <c r="R21" s="13"/>
      <c r="S21" s="13"/>
    </row>
    <row r="22" spans="1:19" s="47" customFormat="1" x14ac:dyDescent="0.4">
      <c r="A22" s="39" t="s">
        <v>1331</v>
      </c>
      <c r="B22" s="37"/>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1336</v>
      </c>
      <c r="Q22" s="13"/>
      <c r="R22" s="13"/>
      <c r="S22" s="13"/>
    </row>
    <row r="23" spans="1:19" s="47" customFormat="1" x14ac:dyDescent="0.4">
      <c r="A23" s="39" t="s">
        <v>1334</v>
      </c>
      <c r="B23" s="37" t="s">
        <v>2193</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7</v>
      </c>
      <c r="Q23" s="13"/>
      <c r="R23" s="13"/>
      <c r="S23" s="13"/>
    </row>
    <row r="24" spans="1:19" s="47" customFormat="1" x14ac:dyDescent="0.4">
      <c r="A24" s="13"/>
      <c r="B24" s="32"/>
      <c r="C24" s="33"/>
      <c r="D24" s="33"/>
      <c r="E24" s="33"/>
      <c r="F24" s="33"/>
      <c r="G24" s="33"/>
      <c r="H24" s="33"/>
      <c r="I24" s="33"/>
      <c r="J24" s="33"/>
      <c r="K24" s="33"/>
      <c r="L24" s="33"/>
      <c r="M24" s="33"/>
      <c r="N24" s="33"/>
      <c r="O24" s="33"/>
      <c r="Q24" s="13"/>
      <c r="R24" s="13"/>
      <c r="S24" s="13"/>
    </row>
    <row r="25" spans="1:19" s="47" customFormat="1" x14ac:dyDescent="0.4">
      <c r="A25" s="13"/>
      <c r="B25" s="4"/>
      <c r="C25" s="5"/>
      <c r="D25" s="5"/>
      <c r="E25" s="5"/>
      <c r="F25" s="5"/>
      <c r="G25" s="5"/>
      <c r="H25" s="5"/>
      <c r="I25" s="5"/>
      <c r="J25" s="5"/>
      <c r="K25" s="5"/>
      <c r="L25" s="5"/>
      <c r="M25" s="5"/>
      <c r="N25" s="5"/>
      <c r="O25" s="5"/>
      <c r="Q25" s="13"/>
      <c r="R25" s="13"/>
      <c r="S25" s="13"/>
    </row>
    <row r="26" spans="1:19" s="47" customFormat="1" x14ac:dyDescent="0.4">
      <c r="A26" s="13"/>
      <c r="B26" s="4"/>
      <c r="C26" s="5"/>
      <c r="D26" s="5"/>
      <c r="E26" s="5"/>
      <c r="F26" s="5"/>
      <c r="G26" s="5"/>
      <c r="H26" s="5"/>
      <c r="I26" s="5"/>
      <c r="J26" s="5"/>
      <c r="K26" s="5"/>
      <c r="L26" s="5"/>
      <c r="M26" s="5"/>
      <c r="N26" s="5"/>
      <c r="O26" s="5"/>
      <c r="Q26" s="13"/>
      <c r="R26" s="13"/>
      <c r="S26" s="13"/>
    </row>
    <row r="27" spans="1:19" s="47" customFormat="1" x14ac:dyDescent="0.4">
      <c r="A27" s="13"/>
      <c r="B27" s="4"/>
      <c r="C27" s="5"/>
      <c r="D27" s="5"/>
      <c r="E27" s="5"/>
      <c r="F27" s="5"/>
      <c r="G27" s="5"/>
      <c r="H27" s="5"/>
      <c r="I27" s="5"/>
      <c r="J27" s="5"/>
      <c r="K27" s="5"/>
      <c r="L27" s="5"/>
      <c r="M27" s="5"/>
      <c r="N27" s="5"/>
      <c r="O27" s="5"/>
      <c r="Q27" s="13"/>
      <c r="R27" s="13"/>
      <c r="S27" s="13"/>
    </row>
    <row r="28" spans="1:19" s="47" customFormat="1" x14ac:dyDescent="0.4">
      <c r="A28" s="13"/>
      <c r="B28" s="4"/>
      <c r="C28" s="5"/>
      <c r="D28" s="5"/>
      <c r="E28" s="5"/>
      <c r="F28" s="5"/>
      <c r="G28" s="5"/>
      <c r="H28" s="5"/>
      <c r="I28" s="5"/>
      <c r="J28" s="5"/>
      <c r="K28" s="5"/>
      <c r="L28" s="5"/>
      <c r="M28" s="5"/>
      <c r="N28" s="5"/>
      <c r="O28" s="5"/>
      <c r="Q28" s="13"/>
      <c r="R28" s="13"/>
      <c r="S28" s="13"/>
    </row>
    <row r="29" spans="1:19" s="47" customFormat="1" x14ac:dyDescent="0.4">
      <c r="A29" s="13"/>
      <c r="B29" s="4"/>
      <c r="C29" s="5"/>
      <c r="D29" s="5"/>
      <c r="E29" s="5"/>
      <c r="F29" s="5"/>
      <c r="G29" s="5"/>
      <c r="H29" s="5"/>
      <c r="I29" s="5"/>
      <c r="J29" s="5"/>
      <c r="K29" s="5"/>
      <c r="L29" s="5"/>
      <c r="M29" s="5"/>
      <c r="N29" s="5"/>
      <c r="O29" s="5"/>
      <c r="Q29" s="13"/>
      <c r="R29" s="13"/>
      <c r="S29" s="13"/>
    </row>
    <row r="30" spans="1:19" s="47" customFormat="1" x14ac:dyDescent="0.4">
      <c r="A30" s="13"/>
      <c r="B30" s="4"/>
      <c r="C30" s="5"/>
      <c r="D30" s="5"/>
      <c r="E30" s="5"/>
      <c r="F30" s="5"/>
      <c r="G30" s="5"/>
      <c r="H30" s="5"/>
      <c r="I30" s="5"/>
      <c r="J30" s="5"/>
      <c r="K30" s="5"/>
      <c r="L30" s="5"/>
      <c r="M30" s="5"/>
      <c r="N30" s="5"/>
      <c r="O30" s="5"/>
      <c r="Q30" s="13"/>
      <c r="R30" s="13"/>
      <c r="S30" s="13"/>
    </row>
    <row r="31" spans="1:19" s="47" customFormat="1" x14ac:dyDescent="0.4">
      <c r="A31" s="13"/>
      <c r="B31" s="4"/>
      <c r="C31" s="5"/>
      <c r="D31" s="5"/>
      <c r="E31" s="5"/>
      <c r="F31" s="5"/>
      <c r="G31" s="5"/>
      <c r="H31" s="5"/>
      <c r="I31" s="5"/>
      <c r="J31" s="5"/>
      <c r="K31" s="5"/>
      <c r="L31" s="5"/>
      <c r="M31" s="5"/>
      <c r="N31" s="5"/>
      <c r="O31" s="5"/>
      <c r="Q31" s="13"/>
      <c r="R31" s="13"/>
      <c r="S31" s="13"/>
    </row>
    <row r="32" spans="1:19" s="47" customFormat="1" x14ac:dyDescent="0.4">
      <c r="A32" s="13"/>
      <c r="B32" s="4"/>
      <c r="C32" s="5"/>
      <c r="D32" s="5"/>
      <c r="E32" s="5"/>
      <c r="F32" s="5"/>
      <c r="G32" s="5"/>
      <c r="H32" s="5"/>
      <c r="I32" s="5"/>
      <c r="J32" s="5"/>
      <c r="K32" s="5"/>
      <c r="L32" s="5"/>
      <c r="M32" s="5"/>
      <c r="N32" s="5"/>
      <c r="O32" s="5"/>
      <c r="Q32" s="13"/>
      <c r="R32" s="13"/>
      <c r="S32" s="13"/>
    </row>
    <row r="33" spans="1:19" s="47" customFormat="1" x14ac:dyDescent="0.4">
      <c r="A33" s="13"/>
      <c r="B33" s="4"/>
      <c r="C33" s="5"/>
      <c r="D33" s="5"/>
      <c r="E33" s="5"/>
      <c r="F33" s="5"/>
      <c r="G33" s="5"/>
      <c r="H33" s="5"/>
      <c r="I33" s="5"/>
      <c r="J33" s="5"/>
      <c r="K33" s="5"/>
      <c r="L33" s="5"/>
      <c r="M33" s="5"/>
      <c r="N33" s="5"/>
      <c r="O33" s="5"/>
      <c r="Q33" s="13"/>
      <c r="R33" s="13"/>
      <c r="S33" s="13"/>
    </row>
    <row r="34" spans="1:19" s="47" customFormat="1" x14ac:dyDescent="0.4">
      <c r="A34" s="13"/>
      <c r="B34" s="4"/>
      <c r="C34" s="5"/>
      <c r="D34" s="5"/>
      <c r="E34" s="5"/>
      <c r="F34" s="5"/>
      <c r="G34" s="5"/>
      <c r="H34" s="5"/>
      <c r="I34" s="5"/>
      <c r="J34" s="5"/>
      <c r="K34" s="5"/>
      <c r="L34" s="5"/>
      <c r="M34" s="5"/>
      <c r="N34" s="5"/>
      <c r="O34" s="5"/>
      <c r="Q34" s="13"/>
      <c r="R34" s="13"/>
      <c r="S34" s="13"/>
    </row>
    <row r="35" spans="1:19" s="47" customFormat="1" x14ac:dyDescent="0.4">
      <c r="A35" s="13"/>
      <c r="B35" s="4"/>
      <c r="C35" s="5"/>
      <c r="D35" s="5"/>
      <c r="E35" s="5"/>
      <c r="F35" s="5"/>
      <c r="G35" s="5"/>
      <c r="H35" s="5"/>
      <c r="I35" s="5"/>
      <c r="J35" s="5"/>
      <c r="K35" s="5"/>
      <c r="L35" s="5"/>
      <c r="M35" s="5"/>
      <c r="N35" s="5"/>
      <c r="O35" s="5"/>
      <c r="Q35" s="13"/>
      <c r="R35" s="13"/>
      <c r="S35" s="13"/>
    </row>
    <row r="36" spans="1:19" s="47" customFormat="1" x14ac:dyDescent="0.4">
      <c r="A36" s="13"/>
      <c r="B36" s="4"/>
      <c r="C36" s="5"/>
      <c r="D36" s="5"/>
      <c r="E36" s="5"/>
      <c r="F36" s="5"/>
      <c r="G36" s="5"/>
      <c r="H36" s="5"/>
      <c r="I36" s="5"/>
      <c r="J36" s="5"/>
      <c r="K36" s="5"/>
      <c r="L36" s="5"/>
      <c r="M36" s="5"/>
      <c r="N36" s="5"/>
      <c r="O36" s="5"/>
      <c r="Q36" s="13"/>
      <c r="R36" s="13"/>
      <c r="S36" s="13"/>
    </row>
    <row r="37" spans="1:19" s="47" customFormat="1" x14ac:dyDescent="0.4">
      <c r="A37" s="13"/>
      <c r="B37" s="4"/>
      <c r="C37" s="5"/>
      <c r="D37" s="5"/>
      <c r="E37" s="5"/>
      <c r="F37" s="5"/>
      <c r="G37" s="5"/>
      <c r="H37" s="5"/>
      <c r="I37" s="5"/>
      <c r="J37" s="5"/>
      <c r="K37" s="5"/>
      <c r="L37" s="5"/>
      <c r="M37" s="5"/>
      <c r="N37" s="5"/>
      <c r="O37" s="5"/>
      <c r="Q37" s="13"/>
      <c r="R37" s="13"/>
      <c r="S37" s="13"/>
    </row>
    <row r="38" spans="1:19" s="47" customFormat="1" x14ac:dyDescent="0.4">
      <c r="A38" s="13"/>
      <c r="B38" s="4"/>
      <c r="C38" s="5"/>
      <c r="D38" s="5"/>
      <c r="E38" s="5"/>
      <c r="F38" s="5"/>
      <c r="G38" s="5"/>
      <c r="H38" s="5"/>
      <c r="I38" s="5"/>
      <c r="J38" s="5"/>
      <c r="K38" s="5"/>
      <c r="L38" s="5"/>
      <c r="M38" s="5"/>
      <c r="N38" s="5"/>
      <c r="O38" s="5"/>
      <c r="Q38" s="13"/>
      <c r="R38" s="13"/>
      <c r="S38" s="13"/>
    </row>
    <row r="39" spans="1:19" s="47" customFormat="1" x14ac:dyDescent="0.4">
      <c r="A39" s="13"/>
      <c r="B39" s="4"/>
      <c r="C39" s="5"/>
      <c r="D39" s="5"/>
      <c r="E39" s="5"/>
      <c r="F39" s="5"/>
      <c r="G39" s="5"/>
      <c r="H39" s="5"/>
      <c r="I39" s="5"/>
      <c r="J39" s="5"/>
      <c r="K39" s="5"/>
      <c r="L39" s="5"/>
      <c r="M39" s="5"/>
      <c r="N39" s="5"/>
      <c r="O39" s="5"/>
      <c r="Q39" s="13"/>
      <c r="R39" s="13"/>
      <c r="S39" s="13"/>
    </row>
    <row r="40" spans="1:19" s="47" customFormat="1" x14ac:dyDescent="0.4">
      <c r="A40" s="13"/>
      <c r="B40" s="4"/>
      <c r="C40" s="5"/>
      <c r="D40" s="5"/>
      <c r="E40" s="5"/>
      <c r="F40" s="5"/>
      <c r="G40" s="5"/>
      <c r="H40" s="5"/>
      <c r="I40" s="5"/>
      <c r="J40" s="5"/>
      <c r="K40" s="5"/>
      <c r="L40" s="5"/>
      <c r="M40" s="5"/>
      <c r="N40" s="5"/>
      <c r="O40" s="5"/>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sheetData>
  <pageMargins left="0.7" right="0.7" top="0.75" bottom="0.75" header="0.3" footer="0.3"/>
  <pageSetup scale="85" fitToHeight="0" orientation="landscape" r:id="rId1"/>
  <headerFooter>
    <oddFooter>&amp;L&amp;G&amp;R&amp;P</oddFooter>
  </headerFooter>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9" tint="0.79998168889431442"/>
    <pageSetUpPr fitToPage="1"/>
  </sheetPr>
  <dimension ref="A1:S78"/>
  <sheetViews>
    <sheetView view="pageBreakPreview" zoomScaleNormal="100" zoomScaleSheetLayoutView="100" workbookViewId="0">
      <pane xSplit="1" ySplit="5" topLeftCell="H6" activePane="bottomRight" state="frozen"/>
      <selection pane="topRight"/>
      <selection pane="bottomLeft"/>
      <selection pane="bottomRight" activeCell="J6" sqref="J6"/>
    </sheetView>
  </sheetViews>
  <sheetFormatPr defaultColWidth="9.140625" defaultRowHeight="18" outlineLevelCol="1" x14ac:dyDescent="0.4"/>
  <cols>
    <col min="1" max="1" width="70.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15</v>
      </c>
      <c r="B2" s="28"/>
      <c r="C2" s="29"/>
      <c r="D2" s="29"/>
      <c r="E2" s="29"/>
      <c r="F2" s="29"/>
      <c r="G2" s="29"/>
      <c r="H2" s="29"/>
      <c r="I2" s="29"/>
      <c r="J2" s="29"/>
      <c r="K2" s="29"/>
      <c r="L2" s="29"/>
      <c r="M2" s="29"/>
      <c r="N2" s="29"/>
      <c r="O2" s="29"/>
      <c r="P2" s="48"/>
      <c r="R2" s="6" t="s">
        <v>430</v>
      </c>
      <c r="S2" s="6" t="s">
        <v>1338</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2568</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2569</v>
      </c>
      <c r="B7" s="37" t="s">
        <v>1339</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27</v>
      </c>
    </row>
    <row r="8" spans="1:19" s="40" customFormat="1" ht="14.25" x14ac:dyDescent="0.4">
      <c r="A8" s="39" t="s">
        <v>1340</v>
      </c>
      <c r="B8" s="37" t="s">
        <v>2570</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57</v>
      </c>
    </row>
    <row r="9" spans="1:19" s="40" customFormat="1" ht="14.25" x14ac:dyDescent="0.4">
      <c r="A9" s="39" t="s">
        <v>1341</v>
      </c>
      <c r="B9" s="37" t="s">
        <v>2571</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2</v>
      </c>
    </row>
    <row r="10" spans="1:19" s="40" customFormat="1" ht="14.25" x14ac:dyDescent="0.4">
      <c r="A10" s="39" t="s">
        <v>1342</v>
      </c>
      <c r="B10" s="37" t="s">
        <v>2572</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3</v>
      </c>
    </row>
    <row r="11" spans="1:19" s="40" customFormat="1" ht="28.5" x14ac:dyDescent="0.4">
      <c r="A11" s="39" t="s">
        <v>1343</v>
      </c>
      <c r="B11" s="37" t="s">
        <v>2573</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4</v>
      </c>
    </row>
    <row r="12" spans="1:19" s="40" customFormat="1" ht="14.25" x14ac:dyDescent="0.4">
      <c r="A12" s="39" t="s">
        <v>1344</v>
      </c>
      <c r="B12" s="37" t="s">
        <v>2574</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622</v>
      </c>
    </row>
    <row r="13" spans="1:19" s="40" customFormat="1" ht="14.25" x14ac:dyDescent="0.4">
      <c r="A13" s="39" t="s">
        <v>1345</v>
      </c>
      <c r="B13" s="37" t="s">
        <v>2575</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623</v>
      </c>
    </row>
    <row r="14" spans="1:19" x14ac:dyDescent="0.4">
      <c r="A14" s="39" t="s">
        <v>1346</v>
      </c>
      <c r="B14" s="37" t="s">
        <v>2576</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624</v>
      </c>
    </row>
    <row r="15" spans="1:19" x14ac:dyDescent="0.4">
      <c r="A15" s="39" t="s">
        <v>1347</v>
      </c>
      <c r="B15" s="37" t="s">
        <v>2577</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625</v>
      </c>
    </row>
    <row r="16" spans="1:19" s="47" customFormat="1" x14ac:dyDescent="0.4">
      <c r="A16" s="39" t="s">
        <v>1349</v>
      </c>
      <c r="B16" s="37" t="s">
        <v>2202</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5</v>
      </c>
      <c r="Q16" s="13"/>
      <c r="R16" s="13"/>
      <c r="S16" s="13"/>
    </row>
    <row r="17" spans="1:19" s="47" customFormat="1" x14ac:dyDescent="0.4">
      <c r="A17" s="13"/>
      <c r="B17" s="4"/>
      <c r="C17" s="5"/>
      <c r="D17" s="5"/>
      <c r="E17" s="5"/>
      <c r="F17" s="5"/>
      <c r="G17" s="5"/>
      <c r="H17" s="5"/>
      <c r="I17" s="5"/>
      <c r="J17" s="5"/>
      <c r="K17" s="5"/>
      <c r="L17" s="5"/>
      <c r="M17" s="5"/>
      <c r="N17" s="5"/>
      <c r="O17" s="5"/>
      <c r="Q17" s="13"/>
      <c r="R17" s="13"/>
      <c r="S17" s="13"/>
    </row>
    <row r="18" spans="1:19" s="47" customFormat="1" x14ac:dyDescent="0.4">
      <c r="A18" s="13"/>
      <c r="B18" s="4"/>
      <c r="C18" s="5"/>
      <c r="D18" s="5"/>
      <c r="E18" s="5"/>
      <c r="F18" s="5"/>
      <c r="G18" s="5"/>
      <c r="H18" s="5"/>
      <c r="I18" s="5"/>
      <c r="J18" s="5"/>
      <c r="K18" s="5"/>
      <c r="L18" s="5"/>
      <c r="M18" s="5"/>
      <c r="N18" s="5"/>
      <c r="O18" s="5"/>
      <c r="Q18" s="13"/>
      <c r="R18" s="13"/>
      <c r="S18" s="13"/>
    </row>
    <row r="19" spans="1:19" s="47" customFormat="1" x14ac:dyDescent="0.4">
      <c r="A19" s="13"/>
      <c r="B19" s="4"/>
      <c r="C19" s="5"/>
      <c r="D19" s="5"/>
      <c r="E19" s="5"/>
      <c r="F19" s="5"/>
      <c r="G19" s="5"/>
      <c r="H19" s="5"/>
      <c r="I19" s="5"/>
      <c r="J19" s="5"/>
      <c r="K19" s="5"/>
      <c r="L19" s="5"/>
      <c r="M19" s="5"/>
      <c r="N19" s="5"/>
      <c r="O19" s="5"/>
      <c r="Q19" s="13"/>
      <c r="R19" s="13"/>
      <c r="S19" s="13"/>
    </row>
    <row r="20" spans="1:19" s="47" customFormat="1" x14ac:dyDescent="0.4">
      <c r="A20" s="13"/>
      <c r="B20" s="4"/>
      <c r="C20" s="5"/>
      <c r="D20" s="5"/>
      <c r="E20" s="5"/>
      <c r="F20" s="5"/>
      <c r="G20" s="5"/>
      <c r="H20" s="5"/>
      <c r="I20" s="5"/>
      <c r="J20" s="5"/>
      <c r="K20" s="5"/>
      <c r="L20" s="5"/>
      <c r="M20" s="5"/>
      <c r="N20" s="5"/>
      <c r="O20" s="5"/>
      <c r="Q20" s="13"/>
      <c r="R20" s="13"/>
      <c r="S20" s="13"/>
    </row>
    <row r="21" spans="1:19" s="47" customFormat="1" x14ac:dyDescent="0.4">
      <c r="A21" s="13"/>
      <c r="B21" s="4"/>
      <c r="C21" s="5"/>
      <c r="D21" s="5"/>
      <c r="E21" s="5"/>
      <c r="F21" s="5"/>
      <c r="G21" s="5"/>
      <c r="H21" s="5"/>
      <c r="I21" s="5"/>
      <c r="J21" s="5"/>
      <c r="K21" s="5"/>
      <c r="L21" s="5"/>
      <c r="M21" s="5"/>
      <c r="N21" s="5"/>
      <c r="O21" s="5"/>
      <c r="Q21" s="13"/>
      <c r="R21" s="13"/>
      <c r="S21" s="13"/>
    </row>
    <row r="22" spans="1:19" s="47" customFormat="1" x14ac:dyDescent="0.4">
      <c r="A22" s="13"/>
      <c r="B22" s="4"/>
      <c r="C22" s="5"/>
      <c r="D22" s="5"/>
      <c r="E22" s="5"/>
      <c r="F22" s="5"/>
      <c r="G22" s="5"/>
      <c r="H22" s="5"/>
      <c r="I22" s="5"/>
      <c r="J22" s="5"/>
      <c r="K22" s="5"/>
      <c r="L22" s="5"/>
      <c r="M22" s="5"/>
      <c r="N22" s="5"/>
      <c r="O22" s="5"/>
      <c r="Q22" s="13"/>
      <c r="R22" s="13"/>
      <c r="S22" s="13"/>
    </row>
    <row r="23" spans="1:19" s="47" customFormat="1" x14ac:dyDescent="0.4">
      <c r="A23" s="13"/>
      <c r="B23" s="4"/>
      <c r="C23" s="5"/>
      <c r="D23" s="5"/>
      <c r="E23" s="5"/>
      <c r="F23" s="5"/>
      <c r="G23" s="5"/>
      <c r="H23" s="5"/>
      <c r="I23" s="5"/>
      <c r="J23" s="5"/>
      <c r="K23" s="5"/>
      <c r="L23" s="5"/>
      <c r="M23" s="5"/>
      <c r="N23" s="5"/>
      <c r="O23" s="5"/>
      <c r="Q23" s="13"/>
      <c r="R23" s="13"/>
      <c r="S23" s="13"/>
    </row>
    <row r="24" spans="1:19" s="47" customFormat="1" x14ac:dyDescent="0.4">
      <c r="A24" s="13"/>
      <c r="B24" s="4"/>
      <c r="C24" s="5"/>
      <c r="D24" s="5"/>
      <c r="E24" s="5"/>
      <c r="F24" s="5"/>
      <c r="G24" s="5"/>
      <c r="H24" s="5"/>
      <c r="I24" s="5"/>
      <c r="J24" s="5"/>
      <c r="K24" s="5"/>
      <c r="L24" s="5"/>
      <c r="M24" s="5"/>
      <c r="N24" s="5"/>
      <c r="O24" s="5"/>
      <c r="Q24" s="13"/>
      <c r="R24" s="13"/>
      <c r="S24" s="13"/>
    </row>
    <row r="25" spans="1:19" s="47" customFormat="1" x14ac:dyDescent="0.4">
      <c r="A25" s="13"/>
      <c r="B25" s="4"/>
      <c r="C25" s="5"/>
      <c r="D25" s="5"/>
      <c r="E25" s="5"/>
      <c r="F25" s="5"/>
      <c r="G25" s="5"/>
      <c r="H25" s="5"/>
      <c r="I25" s="5"/>
      <c r="J25" s="5"/>
      <c r="K25" s="5"/>
      <c r="L25" s="5"/>
      <c r="M25" s="5"/>
      <c r="N25" s="5"/>
      <c r="O25" s="5"/>
      <c r="Q25" s="13"/>
      <c r="R25" s="13"/>
      <c r="S25" s="13"/>
    </row>
    <row r="26" spans="1:19" s="47" customFormat="1" x14ac:dyDescent="0.4">
      <c r="A26" s="13"/>
      <c r="B26" s="4"/>
      <c r="C26" s="5"/>
      <c r="D26" s="5"/>
      <c r="E26" s="5"/>
      <c r="F26" s="5"/>
      <c r="G26" s="5"/>
      <c r="H26" s="5"/>
      <c r="I26" s="5"/>
      <c r="J26" s="5"/>
      <c r="K26" s="5"/>
      <c r="L26" s="5"/>
      <c r="M26" s="5"/>
      <c r="N26" s="5"/>
      <c r="O26" s="5"/>
      <c r="Q26" s="13"/>
      <c r="R26" s="13"/>
      <c r="S26" s="13"/>
    </row>
    <row r="27" spans="1:19" s="47" customFormat="1" x14ac:dyDescent="0.4">
      <c r="A27" s="13"/>
      <c r="B27" s="4"/>
      <c r="C27" s="5"/>
      <c r="D27" s="5"/>
      <c r="E27" s="5"/>
      <c r="F27" s="5"/>
      <c r="G27" s="5"/>
      <c r="H27" s="5"/>
      <c r="I27" s="5"/>
      <c r="J27" s="5"/>
      <c r="K27" s="5"/>
      <c r="L27" s="5"/>
      <c r="M27" s="5"/>
      <c r="N27" s="5"/>
      <c r="O27" s="5"/>
      <c r="Q27" s="13"/>
      <c r="R27" s="13"/>
      <c r="S27" s="13"/>
    </row>
    <row r="28" spans="1:19" s="47" customFormat="1" x14ac:dyDescent="0.4">
      <c r="A28" s="13"/>
      <c r="B28" s="4"/>
      <c r="C28" s="5"/>
      <c r="D28" s="5"/>
      <c r="E28" s="5"/>
      <c r="F28" s="5"/>
      <c r="G28" s="5"/>
      <c r="H28" s="5"/>
      <c r="I28" s="5"/>
      <c r="J28" s="5"/>
      <c r="K28" s="5"/>
      <c r="L28" s="5"/>
      <c r="M28" s="5"/>
      <c r="N28" s="5"/>
      <c r="O28" s="5"/>
      <c r="Q28" s="13"/>
      <c r="R28" s="13"/>
      <c r="S28" s="13"/>
    </row>
    <row r="29" spans="1:19" s="47" customFormat="1" x14ac:dyDescent="0.4">
      <c r="A29" s="13"/>
      <c r="B29" s="4"/>
      <c r="C29" s="5"/>
      <c r="D29" s="5"/>
      <c r="E29" s="5"/>
      <c r="F29" s="5"/>
      <c r="G29" s="5"/>
      <c r="H29" s="5"/>
      <c r="I29" s="5"/>
      <c r="J29" s="5"/>
      <c r="K29" s="5"/>
      <c r="L29" s="5"/>
      <c r="M29" s="5"/>
      <c r="N29" s="5"/>
      <c r="O29" s="5"/>
      <c r="Q29" s="13"/>
      <c r="R29" s="13"/>
      <c r="S29" s="13"/>
    </row>
    <row r="30" spans="1:19" s="47" customFormat="1" x14ac:dyDescent="0.4">
      <c r="A30" s="13"/>
      <c r="B30" s="4"/>
      <c r="C30" s="5"/>
      <c r="D30" s="5"/>
      <c r="E30" s="5"/>
      <c r="F30" s="5"/>
      <c r="G30" s="5"/>
      <c r="H30" s="5"/>
      <c r="I30" s="5"/>
      <c r="J30" s="5"/>
      <c r="K30" s="5"/>
      <c r="L30" s="5"/>
      <c r="M30" s="5"/>
      <c r="N30" s="5"/>
      <c r="O30" s="5"/>
      <c r="Q30" s="13"/>
      <c r="R30" s="13"/>
      <c r="S30" s="13"/>
    </row>
    <row r="31" spans="1:19" s="47" customFormat="1" x14ac:dyDescent="0.4">
      <c r="A31" s="13"/>
      <c r="B31" s="4"/>
      <c r="C31" s="5"/>
      <c r="D31" s="5"/>
      <c r="E31" s="5"/>
      <c r="F31" s="5"/>
      <c r="G31" s="5"/>
      <c r="H31" s="5"/>
      <c r="I31" s="5"/>
      <c r="J31" s="5"/>
      <c r="K31" s="5"/>
      <c r="L31" s="5"/>
      <c r="M31" s="5"/>
      <c r="N31" s="5"/>
      <c r="O31" s="5"/>
      <c r="Q31" s="13"/>
      <c r="R31" s="13"/>
      <c r="S31" s="13"/>
    </row>
    <row r="32" spans="1:19" s="47" customFormat="1" x14ac:dyDescent="0.4">
      <c r="A32" s="13"/>
      <c r="B32" s="4"/>
      <c r="C32" s="5"/>
      <c r="D32" s="5"/>
      <c r="E32" s="5"/>
      <c r="F32" s="5"/>
      <c r="G32" s="5"/>
      <c r="H32" s="5"/>
      <c r="I32" s="5"/>
      <c r="J32" s="5"/>
      <c r="K32" s="5"/>
      <c r="L32" s="5"/>
      <c r="M32" s="5"/>
      <c r="N32" s="5"/>
      <c r="O32" s="5"/>
      <c r="Q32" s="13"/>
      <c r="R32" s="13"/>
      <c r="S32" s="13"/>
    </row>
    <row r="33" spans="1:19" s="47" customFormat="1" x14ac:dyDescent="0.4">
      <c r="A33" s="13"/>
      <c r="B33" s="4"/>
      <c r="C33" s="5"/>
      <c r="D33" s="5"/>
      <c r="E33" s="5"/>
      <c r="F33" s="5"/>
      <c r="G33" s="5"/>
      <c r="H33" s="5"/>
      <c r="I33" s="5"/>
      <c r="J33" s="5"/>
      <c r="K33" s="5"/>
      <c r="L33" s="5"/>
      <c r="M33" s="5"/>
      <c r="N33" s="5"/>
      <c r="O33" s="5"/>
      <c r="Q33" s="13"/>
      <c r="R33" s="13"/>
      <c r="S33" s="13"/>
    </row>
    <row r="34" spans="1:19" s="47" customFormat="1" x14ac:dyDescent="0.4">
      <c r="A34" s="13"/>
      <c r="B34" s="4"/>
      <c r="C34" s="5"/>
      <c r="D34" s="5"/>
      <c r="E34" s="5"/>
      <c r="F34" s="5"/>
      <c r="G34" s="5"/>
      <c r="H34" s="5"/>
      <c r="I34" s="5"/>
      <c r="J34" s="5"/>
      <c r="K34" s="5"/>
      <c r="L34" s="5"/>
      <c r="M34" s="5"/>
      <c r="N34" s="5"/>
      <c r="O34" s="5"/>
      <c r="Q34" s="13"/>
      <c r="R34" s="13"/>
      <c r="S34" s="13"/>
    </row>
    <row r="35" spans="1:19" s="47" customFormat="1" x14ac:dyDescent="0.4">
      <c r="A35" s="13"/>
      <c r="B35" s="4"/>
      <c r="C35" s="5"/>
      <c r="D35" s="5"/>
      <c r="E35" s="5"/>
      <c r="F35" s="5"/>
      <c r="G35" s="5"/>
      <c r="H35" s="5"/>
      <c r="I35" s="5"/>
      <c r="J35" s="5"/>
      <c r="K35" s="5"/>
      <c r="L35" s="5"/>
      <c r="M35" s="5"/>
      <c r="N35" s="5"/>
      <c r="O35" s="5"/>
      <c r="Q35" s="13"/>
      <c r="R35" s="13"/>
      <c r="S35" s="13"/>
    </row>
    <row r="36" spans="1:19" s="47" customFormat="1" x14ac:dyDescent="0.4">
      <c r="A36" s="13"/>
      <c r="B36" s="4"/>
      <c r="C36" s="5"/>
      <c r="D36" s="5"/>
      <c r="E36" s="5"/>
      <c r="F36" s="5"/>
      <c r="G36" s="5"/>
      <c r="H36" s="5"/>
      <c r="I36" s="5"/>
      <c r="J36" s="5"/>
      <c r="K36" s="5"/>
      <c r="L36" s="5"/>
      <c r="M36" s="5"/>
      <c r="N36" s="5"/>
      <c r="O36" s="5"/>
      <c r="Q36" s="13"/>
      <c r="R36" s="13"/>
      <c r="S36" s="13"/>
    </row>
    <row r="37" spans="1:19" s="47" customFormat="1" x14ac:dyDescent="0.4">
      <c r="A37" s="13"/>
      <c r="B37" s="4"/>
      <c r="C37" s="5"/>
      <c r="D37" s="5"/>
      <c r="E37" s="5"/>
      <c r="F37" s="5"/>
      <c r="G37" s="5"/>
      <c r="H37" s="5"/>
      <c r="I37" s="5"/>
      <c r="J37" s="5"/>
      <c r="K37" s="5"/>
      <c r="L37" s="5"/>
      <c r="M37" s="5"/>
      <c r="N37" s="5"/>
      <c r="O37" s="5"/>
      <c r="Q37" s="13"/>
      <c r="R37" s="13"/>
      <c r="S37" s="13"/>
    </row>
    <row r="38" spans="1:19" s="47" customFormat="1" x14ac:dyDescent="0.4">
      <c r="A38" s="13"/>
      <c r="B38" s="4"/>
      <c r="C38" s="5"/>
      <c r="D38" s="5"/>
      <c r="E38" s="5"/>
      <c r="F38" s="5"/>
      <c r="G38" s="5"/>
      <c r="H38" s="5"/>
      <c r="I38" s="5"/>
      <c r="J38" s="5"/>
      <c r="K38" s="5"/>
      <c r="L38" s="5"/>
      <c r="M38" s="5"/>
      <c r="N38" s="5"/>
      <c r="O38" s="5"/>
      <c r="Q38" s="13"/>
      <c r="R38" s="13"/>
      <c r="S38" s="13"/>
    </row>
    <row r="39" spans="1:19" s="47" customFormat="1" x14ac:dyDescent="0.4">
      <c r="A39" s="13"/>
      <c r="B39" s="4"/>
      <c r="C39" s="5"/>
      <c r="D39" s="5"/>
      <c r="E39" s="5"/>
      <c r="F39" s="5"/>
      <c r="G39" s="5"/>
      <c r="H39" s="5"/>
      <c r="I39" s="5"/>
      <c r="J39" s="5"/>
      <c r="K39" s="5"/>
      <c r="L39" s="5"/>
      <c r="M39" s="5"/>
      <c r="N39" s="5"/>
      <c r="O39" s="5"/>
      <c r="Q39" s="13"/>
      <c r="R39" s="13"/>
      <c r="S39" s="13"/>
    </row>
    <row r="40" spans="1:19" s="47" customFormat="1" x14ac:dyDescent="0.4">
      <c r="A40" s="13"/>
      <c r="B40" s="4"/>
      <c r="C40" s="5"/>
      <c r="D40" s="5"/>
      <c r="E40" s="5"/>
      <c r="F40" s="5"/>
      <c r="G40" s="5"/>
      <c r="H40" s="5"/>
      <c r="I40" s="5"/>
      <c r="J40" s="5"/>
      <c r="K40" s="5"/>
      <c r="L40" s="5"/>
      <c r="M40" s="5"/>
      <c r="N40" s="5"/>
      <c r="O40" s="5"/>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sheetData>
  <pageMargins left="0.7" right="0.7" top="0.75" bottom="0.75" header="0.3" footer="0.3"/>
  <pageSetup scale="85" fitToHeight="0" orientation="landscape" r:id="rId1"/>
  <headerFooter>
    <oddFooter>&amp;L&amp;G&amp;R&amp;P</oddFooter>
  </headerFooter>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9" tint="0.79998168889431442"/>
    <pageSetUpPr fitToPage="1"/>
  </sheetPr>
  <dimension ref="A1:S87"/>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140625" defaultRowHeight="18" outlineLevelCol="1" x14ac:dyDescent="0.4"/>
  <cols>
    <col min="1" max="1" width="70.5" style="13" customWidth="1"/>
    <col min="2" max="2" width="13.640625" style="4" hidden="1" customWidth="1" outlineLevel="1"/>
    <col min="3" max="9" width="13.640625" style="5" hidden="1" customWidth="1" outlineLevel="1"/>
    <col min="10" max="10" width="13.640625" style="5" customWidth="1" collapsed="1"/>
    <col min="11" max="14" width="13.640625" style="5" customWidth="1"/>
    <col min="15" max="15" width="14" style="5" bestFit="1"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2622</v>
      </c>
      <c r="B2" s="28"/>
      <c r="C2" s="29"/>
      <c r="D2" s="29"/>
      <c r="E2" s="29"/>
      <c r="F2" s="29"/>
      <c r="G2" s="29"/>
      <c r="H2" s="29"/>
      <c r="I2" s="29"/>
      <c r="J2" s="29"/>
      <c r="K2" s="29"/>
      <c r="L2" s="29"/>
      <c r="M2" s="29"/>
      <c r="N2" s="29"/>
      <c r="O2" s="29"/>
      <c r="P2" s="48"/>
      <c r="R2" s="6" t="s">
        <v>430</v>
      </c>
      <c r="S2" s="6" t="s">
        <v>2623</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2578</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1600</v>
      </c>
      <c r="B7" s="37"/>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2579</v>
      </c>
      <c r="B8" s="37" t="s">
        <v>2580</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2581</v>
      </c>
      <c r="B9" s="37" t="s">
        <v>2582</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14.25" x14ac:dyDescent="0.4">
      <c r="A10" s="39" t="s">
        <v>2583</v>
      </c>
      <c r="B10" s="37" t="s">
        <v>598</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5</v>
      </c>
    </row>
    <row r="11" spans="1:19" s="40" customFormat="1" ht="14.25" x14ac:dyDescent="0.4">
      <c r="A11" s="39" t="s">
        <v>2584</v>
      </c>
      <c r="B11" s="37" t="s">
        <v>2585</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6</v>
      </c>
    </row>
    <row r="12" spans="1:19" s="40" customFormat="1" ht="14.25" x14ac:dyDescent="0.4">
      <c r="A12" s="39" t="s">
        <v>2586</v>
      </c>
      <c r="B12" s="37" t="s">
        <v>2587</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7</v>
      </c>
    </row>
    <row r="13" spans="1:19" s="40" customFormat="1" ht="28.5" x14ac:dyDescent="0.4">
      <c r="A13" s="39" t="s">
        <v>2588</v>
      </c>
      <c r="B13" s="37" t="s">
        <v>2589</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8</v>
      </c>
    </row>
    <row r="14" spans="1:19" ht="28.5" x14ac:dyDescent="0.4">
      <c r="A14" s="39" t="s">
        <v>2590</v>
      </c>
      <c r="B14" s="37" t="s">
        <v>2591</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9</v>
      </c>
    </row>
    <row r="15" spans="1:19" x14ac:dyDescent="0.4">
      <c r="A15" s="39"/>
      <c r="B15" s="37"/>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row>
    <row r="16" spans="1:19" s="47" customFormat="1" x14ac:dyDescent="0.4">
      <c r="A16" s="39" t="s">
        <v>2592</v>
      </c>
      <c r="B16" s="37"/>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c r="Q16" s="13"/>
      <c r="R16" s="13"/>
      <c r="S16" s="13"/>
    </row>
    <row r="17" spans="1:19" s="47" customFormat="1" x14ac:dyDescent="0.4">
      <c r="A17" s="39" t="s">
        <v>2593</v>
      </c>
      <c r="B17" s="37" t="s">
        <v>664</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v>10</v>
      </c>
      <c r="Q17" s="13"/>
      <c r="R17" s="13"/>
      <c r="S17" s="13"/>
    </row>
    <row r="18" spans="1:19" s="47" customFormat="1" x14ac:dyDescent="0.4">
      <c r="A18" s="39" t="s">
        <v>2594</v>
      </c>
      <c r="B18" s="37" t="s">
        <v>2595</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11</v>
      </c>
      <c r="Q18" s="13"/>
      <c r="R18" s="13"/>
      <c r="S18" s="13"/>
    </row>
    <row r="19" spans="1:19" s="47" customFormat="1" x14ac:dyDescent="0.4">
      <c r="A19" s="39" t="s">
        <v>2596</v>
      </c>
      <c r="B19" s="37" t="s">
        <v>680</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v>12</v>
      </c>
      <c r="Q19" s="13"/>
      <c r="R19" s="13"/>
      <c r="S19" s="13"/>
    </row>
    <row r="20" spans="1:19" s="47" customFormat="1" x14ac:dyDescent="0.4">
      <c r="A20" s="39" t="s">
        <v>2597</v>
      </c>
      <c r="B20" s="37"/>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13</v>
      </c>
      <c r="Q20" s="13"/>
      <c r="R20" s="13"/>
      <c r="S20" s="13"/>
    </row>
    <row r="21" spans="1:19" s="47" customFormat="1" x14ac:dyDescent="0.4">
      <c r="A21" s="39" t="s">
        <v>2598</v>
      </c>
      <c r="B21" s="37"/>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628</v>
      </c>
      <c r="Q21" s="13"/>
      <c r="R21" s="13"/>
      <c r="S21" s="13"/>
    </row>
    <row r="22" spans="1:19" s="47" customFormat="1" x14ac:dyDescent="0.4">
      <c r="A22" s="39" t="s">
        <v>2599</v>
      </c>
      <c r="B22" s="37" t="s">
        <v>2600</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629</v>
      </c>
      <c r="Q22" s="13"/>
      <c r="R22" s="13"/>
      <c r="S22" s="13"/>
    </row>
    <row r="23" spans="1:19" s="47" customFormat="1" x14ac:dyDescent="0.4">
      <c r="A23" s="39" t="s">
        <v>2601</v>
      </c>
      <c r="B23" s="37" t="s">
        <v>2602</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630</v>
      </c>
      <c r="Q23" s="13"/>
      <c r="R23" s="13"/>
      <c r="S23" s="13"/>
    </row>
    <row r="24" spans="1:19" s="47" customFormat="1" x14ac:dyDescent="0.4">
      <c r="A24" s="39" t="s">
        <v>2603</v>
      </c>
      <c r="B24" s="37"/>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631</v>
      </c>
      <c r="Q24" s="13"/>
      <c r="R24" s="13"/>
      <c r="S24" s="13"/>
    </row>
    <row r="25" spans="1:19" s="47" customFormat="1" x14ac:dyDescent="0.4">
      <c r="A25" s="39" t="s">
        <v>705</v>
      </c>
      <c r="B25" s="37" t="s">
        <v>2604</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1689</v>
      </c>
      <c r="Q25" s="13"/>
      <c r="R25" s="13"/>
      <c r="S25" s="13"/>
    </row>
    <row r="26" spans="1:19" s="47" customFormat="1" x14ac:dyDescent="0.4">
      <c r="A26" s="39" t="s">
        <v>2605</v>
      </c>
      <c r="B26" s="37" t="s">
        <v>2606</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1690</v>
      </c>
      <c r="Q26" s="13"/>
      <c r="R26" s="13"/>
      <c r="S26" s="13"/>
    </row>
    <row r="27" spans="1:19" s="47" customFormat="1" ht="28.5" x14ac:dyDescent="0.4">
      <c r="A27" s="39" t="s">
        <v>2607</v>
      </c>
      <c r="B27" s="37" t="s">
        <v>2608</v>
      </c>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v>14</v>
      </c>
      <c r="Q27" s="13"/>
      <c r="R27" s="13"/>
      <c r="S27" s="13"/>
    </row>
    <row r="28" spans="1:19" s="47" customFormat="1" ht="28.5" x14ac:dyDescent="0.4">
      <c r="A28" s="39" t="s">
        <v>2609</v>
      </c>
      <c r="B28" s="37" t="s">
        <v>2610</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15</v>
      </c>
      <c r="Q28" s="13"/>
      <c r="R28" s="13"/>
      <c r="S28" s="13"/>
    </row>
    <row r="29" spans="1:19" s="47" customFormat="1" ht="28.5" x14ac:dyDescent="0.4">
      <c r="A29" s="39" t="s">
        <v>2611</v>
      </c>
      <c r="B29" s="37"/>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16</v>
      </c>
      <c r="Q29" s="13"/>
      <c r="R29" s="13"/>
      <c r="S29" s="13"/>
    </row>
    <row r="30" spans="1:19" s="47" customFormat="1" ht="28.5" x14ac:dyDescent="0.4">
      <c r="A30" s="39" t="s">
        <v>2612</v>
      </c>
      <c r="B30" s="37" t="s">
        <v>564</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17</v>
      </c>
      <c r="Q30" s="13"/>
      <c r="R30" s="13"/>
      <c r="S30" s="13"/>
    </row>
    <row r="31" spans="1:19" s="47" customFormat="1" x14ac:dyDescent="0.4">
      <c r="A31" s="39" t="s">
        <v>2613</v>
      </c>
      <c r="B31" s="37"/>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v>18</v>
      </c>
      <c r="Q31" s="13"/>
      <c r="R31" s="13"/>
      <c r="S31" s="13"/>
    </row>
    <row r="32" spans="1:19" s="47" customFormat="1" x14ac:dyDescent="0.4">
      <c r="A32" s="39"/>
      <c r="B32" s="37"/>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c r="Q32" s="13"/>
      <c r="R32" s="13"/>
      <c r="S32" s="13"/>
    </row>
    <row r="33" spans="1:19" s="47" customFormat="1" x14ac:dyDescent="0.4">
      <c r="A33" s="39" t="s">
        <v>2614</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c r="Q33" s="13"/>
      <c r="R33" s="13"/>
      <c r="S33" s="13"/>
    </row>
    <row r="34" spans="1:19" s="47" customFormat="1" x14ac:dyDescent="0.4">
      <c r="A34" s="39" t="s">
        <v>2593</v>
      </c>
      <c r="B34" s="37" t="s">
        <v>667</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v>10</v>
      </c>
      <c r="Q34" s="13"/>
      <c r="R34" s="13"/>
      <c r="S34" s="13"/>
    </row>
    <row r="35" spans="1:19" s="47" customFormat="1" x14ac:dyDescent="0.4">
      <c r="A35" s="39" t="s">
        <v>2594</v>
      </c>
      <c r="B35" s="37" t="s">
        <v>2615</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v>11</v>
      </c>
      <c r="Q35" s="13"/>
      <c r="R35" s="13"/>
      <c r="S35" s="13"/>
    </row>
    <row r="36" spans="1:19" s="47" customFormat="1" x14ac:dyDescent="0.4">
      <c r="A36" s="39" t="s">
        <v>2596</v>
      </c>
      <c r="B36" s="37" t="s">
        <v>683</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v>12</v>
      </c>
      <c r="Q36" s="13"/>
      <c r="R36" s="13"/>
      <c r="S36" s="13"/>
    </row>
    <row r="37" spans="1:19" s="47" customFormat="1" x14ac:dyDescent="0.4">
      <c r="A37" s="39" t="s">
        <v>2597</v>
      </c>
      <c r="B37" s="37"/>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v>13</v>
      </c>
      <c r="Q37" s="13"/>
      <c r="R37" s="13"/>
      <c r="S37" s="13"/>
    </row>
    <row r="38" spans="1:19" s="47" customFormat="1" x14ac:dyDescent="0.4">
      <c r="A38" s="39" t="s">
        <v>2598</v>
      </c>
      <c r="B38" s="37"/>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628</v>
      </c>
      <c r="Q38" s="13"/>
      <c r="R38" s="13"/>
      <c r="S38" s="13"/>
    </row>
    <row r="39" spans="1:19" s="47" customFormat="1" x14ac:dyDescent="0.4">
      <c r="A39" s="39" t="s">
        <v>2599</v>
      </c>
      <c r="B39" s="37" t="s">
        <v>2616</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629</v>
      </c>
      <c r="Q39" s="13"/>
      <c r="R39" s="13"/>
      <c r="S39" s="13"/>
    </row>
    <row r="40" spans="1:19" s="47" customFormat="1" x14ac:dyDescent="0.4">
      <c r="A40" s="39" t="s">
        <v>2601</v>
      </c>
      <c r="B40" s="37" t="s">
        <v>2617</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630</v>
      </c>
      <c r="Q40" s="13"/>
      <c r="R40" s="13"/>
      <c r="S40" s="13"/>
    </row>
    <row r="41" spans="1:19" s="47" customFormat="1" x14ac:dyDescent="0.4">
      <c r="A41" s="39" t="s">
        <v>2603</v>
      </c>
      <c r="B41" s="37"/>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631</v>
      </c>
      <c r="Q41" s="13"/>
      <c r="R41" s="13"/>
      <c r="S41" s="13"/>
    </row>
    <row r="42" spans="1:19" s="47" customFormat="1" x14ac:dyDescent="0.4">
      <c r="A42" s="39" t="s">
        <v>705</v>
      </c>
      <c r="B42" s="37" t="s">
        <v>2618</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1689</v>
      </c>
      <c r="Q42" s="13"/>
      <c r="R42" s="13"/>
      <c r="S42" s="13"/>
    </row>
    <row r="43" spans="1:19" s="47" customFormat="1" x14ac:dyDescent="0.4">
      <c r="A43" s="39" t="s">
        <v>2605</v>
      </c>
      <c r="B43" s="37" t="s">
        <v>2619</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1690</v>
      </c>
      <c r="Q43" s="13"/>
      <c r="R43" s="13"/>
      <c r="S43" s="13"/>
    </row>
    <row r="44" spans="1:19" s="47" customFormat="1" ht="28.5" x14ac:dyDescent="0.4">
      <c r="A44" s="39" t="s">
        <v>2607</v>
      </c>
      <c r="B44" s="37" t="s">
        <v>2620</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14</v>
      </c>
      <c r="Q44" s="13"/>
      <c r="R44" s="13"/>
      <c r="S44" s="13"/>
    </row>
    <row r="45" spans="1:19" s="47" customFormat="1" ht="28.5" x14ac:dyDescent="0.4">
      <c r="A45" s="39" t="s">
        <v>2609</v>
      </c>
      <c r="B45" s="37" t="s">
        <v>2621</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v>15</v>
      </c>
      <c r="Q45" s="13"/>
      <c r="R45" s="13"/>
      <c r="S45" s="13"/>
    </row>
    <row r="46" spans="1:19" s="47" customFormat="1" ht="28.5" x14ac:dyDescent="0.4">
      <c r="A46" s="39" t="s">
        <v>2611</v>
      </c>
      <c r="B46" s="37" t="s">
        <v>790</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v>16</v>
      </c>
      <c r="Q46" s="13"/>
      <c r="R46" s="13"/>
      <c r="S46" s="13"/>
    </row>
    <row r="47" spans="1:19" s="47" customFormat="1" ht="28.5" x14ac:dyDescent="0.4">
      <c r="A47" s="39" t="s">
        <v>2612</v>
      </c>
      <c r="B47" s="37" t="s">
        <v>566</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v>17</v>
      </c>
      <c r="Q47" s="13"/>
      <c r="R47" s="13"/>
      <c r="S47" s="13"/>
    </row>
    <row r="48" spans="1:19" s="47" customFormat="1" x14ac:dyDescent="0.4">
      <c r="A48" s="39" t="s">
        <v>2613</v>
      </c>
      <c r="B48" s="37" t="s">
        <v>1320</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v>18</v>
      </c>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sheetData>
  <pageMargins left="0.7" right="0.7" top="0.75" bottom="0.75" header="0.3" footer="0.3"/>
  <pageSetup scale="85" fitToHeight="0" orientation="landscape" r:id="rId1"/>
  <headerFooter>
    <oddFooter>&amp;L&amp;G&amp;R&amp;P</oddFooter>
  </headerFooter>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79998168889431442"/>
    <pageSetUpPr fitToPage="1"/>
  </sheetPr>
  <dimension ref="A1:S96"/>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140625" defaultRowHeight="18" outlineLevelCol="1" x14ac:dyDescent="0.4"/>
  <cols>
    <col min="1" max="1" width="70.5" style="13" customWidth="1"/>
    <col min="2" max="2" width="13.640625" style="4" hidden="1" customWidth="1" outlineLevel="1"/>
    <col min="3" max="9" width="13.640625" style="5" hidden="1" customWidth="1" outlineLevel="1"/>
    <col min="10" max="10" width="14.140625" style="5" customWidth="1" collapsed="1"/>
    <col min="11" max="15" width="14.1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16</v>
      </c>
      <c r="B2" s="28"/>
      <c r="C2" s="29"/>
      <c r="D2" s="29"/>
      <c r="E2" s="29"/>
      <c r="F2" s="29"/>
      <c r="G2" s="29"/>
      <c r="H2" s="29"/>
      <c r="I2" s="29"/>
      <c r="J2" s="29"/>
      <c r="K2" s="29"/>
      <c r="L2" s="29"/>
      <c r="M2" s="29"/>
      <c r="N2" s="29"/>
      <c r="O2" s="29"/>
      <c r="P2" s="48"/>
      <c r="R2" s="6" t="s">
        <v>430</v>
      </c>
      <c r="S2" s="6" t="s">
        <v>1350</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1351</v>
      </c>
      <c r="B6" s="37" t="s">
        <v>2624</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1352</v>
      </c>
      <c r="B7" s="37" t="s">
        <v>2625</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1353</v>
      </c>
      <c r="B8" s="37" t="s">
        <v>2626</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28.5" x14ac:dyDescent="0.4">
      <c r="A9" s="39" t="s">
        <v>1354</v>
      </c>
      <c r="B9" s="37" t="s">
        <v>2627</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14.25" x14ac:dyDescent="0.4">
      <c r="A10" s="39" t="s">
        <v>1355</v>
      </c>
      <c r="B10" s="37" t="s">
        <v>2628</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5</v>
      </c>
    </row>
    <row r="11" spans="1:19" s="40" customFormat="1" ht="14.25" x14ac:dyDescent="0.4">
      <c r="A11" s="39" t="s">
        <v>954</v>
      </c>
      <c r="B11" s="37"/>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6</v>
      </c>
    </row>
    <row r="12" spans="1:19" s="40" customFormat="1" ht="14.25" x14ac:dyDescent="0.4">
      <c r="A12" s="39" t="s">
        <v>2629</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172</v>
      </c>
    </row>
    <row r="13" spans="1:19" s="40" customFormat="1" ht="14.25" x14ac:dyDescent="0.4">
      <c r="A13" s="39" t="s">
        <v>2630</v>
      </c>
      <c r="B13" s="37" t="s">
        <v>1356</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957</v>
      </c>
    </row>
    <row r="14" spans="1:19" x14ac:dyDescent="0.4">
      <c r="A14" s="39" t="s">
        <v>2631</v>
      </c>
      <c r="B14" s="37"/>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960</v>
      </c>
    </row>
    <row r="15" spans="1:19" x14ac:dyDescent="0.4">
      <c r="A15" s="39" t="s">
        <v>30</v>
      </c>
      <c r="B15" s="37" t="s">
        <v>1357</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2645</v>
      </c>
    </row>
    <row r="16" spans="1:19" s="47" customFormat="1" x14ac:dyDescent="0.4">
      <c r="A16" s="39" t="s">
        <v>33</v>
      </c>
      <c r="B16" s="37" t="s">
        <v>1358</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2646</v>
      </c>
      <c r="Q16" s="13"/>
      <c r="R16" s="13"/>
      <c r="S16" s="13"/>
    </row>
    <row r="17" spans="1:19" s="47" customFormat="1" x14ac:dyDescent="0.4">
      <c r="A17" s="39" t="s">
        <v>1200</v>
      </c>
      <c r="B17" s="37" t="s">
        <v>1371</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962</v>
      </c>
      <c r="Q17" s="13"/>
      <c r="R17" s="13"/>
      <c r="S17" s="13"/>
    </row>
    <row r="18" spans="1:19" s="47" customFormat="1" x14ac:dyDescent="0.4">
      <c r="A18" s="39" t="s">
        <v>389</v>
      </c>
      <c r="B18" s="37" t="s">
        <v>1360</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976</v>
      </c>
      <c r="Q18" s="13"/>
      <c r="R18" s="13"/>
      <c r="S18" s="13"/>
    </row>
    <row r="19" spans="1:19" s="47" customFormat="1" x14ac:dyDescent="0.4">
      <c r="A19" s="39" t="s">
        <v>390</v>
      </c>
      <c r="B19" s="37"/>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979</v>
      </c>
      <c r="Q19" s="13"/>
      <c r="R19" s="13"/>
      <c r="S19" s="13"/>
    </row>
    <row r="20" spans="1:19" s="47" customFormat="1" x14ac:dyDescent="0.4">
      <c r="A20" s="39" t="s">
        <v>41</v>
      </c>
      <c r="B20" s="37" t="s">
        <v>1362</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2647</v>
      </c>
      <c r="Q20" s="13"/>
      <c r="R20" s="13"/>
      <c r="S20" s="13"/>
    </row>
    <row r="21" spans="1:19" s="47" customFormat="1" ht="28.5" x14ac:dyDescent="0.4">
      <c r="A21" s="39" t="s">
        <v>292</v>
      </c>
      <c r="B21" s="37" t="s">
        <v>1363</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2648</v>
      </c>
      <c r="Q21" s="13"/>
      <c r="R21" s="13"/>
      <c r="S21" s="13"/>
    </row>
    <row r="22" spans="1:19" s="47" customFormat="1" x14ac:dyDescent="0.4">
      <c r="A22" s="39" t="s">
        <v>2632</v>
      </c>
      <c r="B22" s="37" t="s">
        <v>2633</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175</v>
      </c>
      <c r="Q22" s="13"/>
      <c r="R22" s="13"/>
      <c r="S22" s="13"/>
    </row>
    <row r="23" spans="1:19" s="47" customFormat="1" x14ac:dyDescent="0.4">
      <c r="A23" s="39" t="s">
        <v>1364</v>
      </c>
      <c r="B23" s="37" t="s">
        <v>2634</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7</v>
      </c>
      <c r="Q23" s="13"/>
      <c r="R23" s="13"/>
      <c r="S23" s="13"/>
    </row>
    <row r="24" spans="1:19" s="47" customFormat="1" x14ac:dyDescent="0.4">
      <c r="A24" s="39" t="s">
        <v>1365</v>
      </c>
      <c r="B24" s="37" t="s">
        <v>2635</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8</v>
      </c>
      <c r="Q24" s="13"/>
      <c r="R24" s="13"/>
      <c r="S24" s="13"/>
    </row>
    <row r="25" spans="1:19" s="47" customFormat="1" x14ac:dyDescent="0.4">
      <c r="A25" s="39" t="s">
        <v>1366</v>
      </c>
      <c r="B25" s="37" t="s">
        <v>2636</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9</v>
      </c>
      <c r="Q25" s="13"/>
      <c r="R25" s="13"/>
      <c r="S25" s="13"/>
    </row>
    <row r="26" spans="1:19" s="47" customFormat="1" ht="42.75" x14ac:dyDescent="0.4">
      <c r="A26" s="39" t="s">
        <v>2637</v>
      </c>
      <c r="B26" s="37" t="s">
        <v>1367</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v>10</v>
      </c>
      <c r="Q26" s="13"/>
      <c r="R26" s="13"/>
      <c r="S26" s="13"/>
    </row>
    <row r="27" spans="1:19" s="47" customFormat="1" x14ac:dyDescent="0.4">
      <c r="A27" s="39" t="s">
        <v>2638</v>
      </c>
      <c r="B27" s="37"/>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v>11</v>
      </c>
      <c r="Q27" s="13"/>
      <c r="R27" s="13"/>
      <c r="S27" s="13"/>
    </row>
    <row r="28" spans="1:19" s="47" customFormat="1" x14ac:dyDescent="0.4">
      <c r="A28" s="39" t="s">
        <v>91</v>
      </c>
      <c r="B28" s="37" t="s">
        <v>1368</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1372</v>
      </c>
      <c r="Q28" s="13"/>
      <c r="R28" s="13"/>
      <c r="S28" s="13"/>
    </row>
    <row r="29" spans="1:19" s="47" customFormat="1" x14ac:dyDescent="0.4">
      <c r="A29" s="39" t="s">
        <v>94</v>
      </c>
      <c r="B29" s="37" t="s">
        <v>1369</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1373</v>
      </c>
      <c r="Q29" s="13"/>
      <c r="R29" s="13"/>
      <c r="S29" s="13"/>
    </row>
    <row r="30" spans="1:19" s="47" customFormat="1" x14ac:dyDescent="0.4">
      <c r="A30" s="39" t="s">
        <v>97</v>
      </c>
      <c r="B30" s="37" t="s">
        <v>1370</v>
      </c>
      <c r="C30" s="38"/>
      <c r="D30" s="38"/>
      <c r="E30" s="38"/>
      <c r="F30" s="38"/>
      <c r="G30" s="38"/>
      <c r="H30" s="38"/>
      <c r="I30" s="38"/>
      <c r="J30" s="38"/>
      <c r="K30" s="38"/>
      <c r="L30" s="38"/>
      <c r="M30" s="38"/>
      <c r="N30" s="38"/>
      <c r="O30" s="38"/>
      <c r="P30" s="49" t="s">
        <v>1374</v>
      </c>
      <c r="Q30" s="13"/>
      <c r="R30" s="13"/>
      <c r="S30" s="13"/>
    </row>
    <row r="31" spans="1:19" s="47" customFormat="1" ht="28.5" x14ac:dyDescent="0.4">
      <c r="A31" s="39" t="s">
        <v>2639</v>
      </c>
      <c r="B31" s="37" t="s">
        <v>2640</v>
      </c>
      <c r="C31" s="38"/>
      <c r="D31" s="38"/>
      <c r="E31" s="38"/>
      <c r="F31" s="38"/>
      <c r="G31" s="38"/>
      <c r="H31" s="38"/>
      <c r="I31" s="38"/>
      <c r="J31" s="38"/>
      <c r="K31" s="38"/>
      <c r="L31" s="38"/>
      <c r="M31" s="38"/>
      <c r="N31" s="38"/>
      <c r="O31" s="38"/>
      <c r="P31" s="49">
        <v>12</v>
      </c>
      <c r="Q31" s="13"/>
      <c r="R31" s="13"/>
      <c r="S31" s="13"/>
    </row>
    <row r="32" spans="1:19" s="47" customFormat="1" x14ac:dyDescent="0.4">
      <c r="A32" s="39" t="s">
        <v>2641</v>
      </c>
      <c r="B32" s="37" t="s">
        <v>2642</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13</v>
      </c>
      <c r="Q32" s="13"/>
      <c r="R32" s="13"/>
      <c r="S32" s="13"/>
    </row>
    <row r="33" spans="1:19" s="47" customFormat="1" ht="28.5" x14ac:dyDescent="0.4">
      <c r="A33" s="39" t="s">
        <v>2643</v>
      </c>
      <c r="B33" s="37" t="s">
        <v>2644</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14</v>
      </c>
      <c r="Q33" s="13"/>
      <c r="R33" s="13"/>
      <c r="S33" s="13"/>
    </row>
    <row r="34" spans="1:19" s="47" customFormat="1" x14ac:dyDescent="0.4">
      <c r="A34" s="13"/>
      <c r="B34" s="4"/>
      <c r="C34" s="5"/>
      <c r="D34" s="5"/>
      <c r="E34" s="5"/>
      <c r="F34" s="5"/>
      <c r="G34" s="5"/>
      <c r="H34" s="5"/>
      <c r="I34" s="5"/>
      <c r="J34" s="5"/>
      <c r="K34" s="5"/>
      <c r="L34" s="5"/>
      <c r="M34" s="5"/>
      <c r="N34" s="5"/>
      <c r="O34" s="5"/>
      <c r="Q34" s="13"/>
      <c r="R34" s="13"/>
      <c r="S34" s="13"/>
    </row>
    <row r="35" spans="1:19" s="47" customFormat="1" x14ac:dyDescent="0.4">
      <c r="A35" s="13"/>
      <c r="B35" s="4"/>
      <c r="C35" s="5"/>
      <c r="D35" s="5"/>
      <c r="E35" s="5"/>
      <c r="F35" s="5"/>
      <c r="G35" s="5"/>
      <c r="H35" s="5"/>
      <c r="I35" s="5"/>
      <c r="J35" s="5"/>
      <c r="K35" s="5"/>
      <c r="L35" s="5"/>
      <c r="M35" s="5"/>
      <c r="N35" s="5"/>
      <c r="O35" s="5"/>
      <c r="Q35" s="13"/>
      <c r="R35" s="13"/>
      <c r="S35" s="13"/>
    </row>
    <row r="36" spans="1:19" s="47" customFormat="1" x14ac:dyDescent="0.4">
      <c r="A36" s="13"/>
      <c r="B36" s="4"/>
      <c r="C36" s="5"/>
      <c r="D36" s="5"/>
      <c r="E36" s="5"/>
      <c r="F36" s="5"/>
      <c r="G36" s="5"/>
      <c r="H36" s="5"/>
      <c r="I36" s="5"/>
      <c r="J36" s="5"/>
      <c r="K36" s="5"/>
      <c r="L36" s="5"/>
      <c r="M36" s="5"/>
      <c r="N36" s="5"/>
      <c r="O36" s="5"/>
      <c r="Q36" s="13"/>
      <c r="R36" s="13"/>
      <c r="S36" s="13"/>
    </row>
    <row r="37" spans="1:19" s="47" customFormat="1" x14ac:dyDescent="0.4">
      <c r="A37" s="13"/>
      <c r="B37" s="4"/>
      <c r="C37" s="5"/>
      <c r="D37" s="5"/>
      <c r="E37" s="5"/>
      <c r="F37" s="5"/>
      <c r="G37" s="5"/>
      <c r="H37" s="5"/>
      <c r="I37" s="5"/>
      <c r="J37" s="5"/>
      <c r="K37" s="5"/>
      <c r="L37" s="5"/>
      <c r="M37" s="5"/>
      <c r="N37" s="5"/>
      <c r="O37" s="5"/>
      <c r="Q37" s="13"/>
      <c r="R37" s="13"/>
      <c r="S37" s="13"/>
    </row>
    <row r="38" spans="1:19" s="47" customFormat="1" x14ac:dyDescent="0.4">
      <c r="A38" s="13"/>
      <c r="B38" s="4"/>
      <c r="C38" s="5"/>
      <c r="D38" s="5"/>
      <c r="E38" s="5"/>
      <c r="F38" s="5"/>
      <c r="G38" s="5"/>
      <c r="H38" s="5"/>
      <c r="I38" s="5"/>
      <c r="J38" s="5"/>
      <c r="K38" s="5"/>
      <c r="L38" s="5"/>
      <c r="M38" s="5"/>
      <c r="N38" s="5"/>
      <c r="O38" s="5"/>
      <c r="Q38" s="13"/>
      <c r="R38" s="13"/>
      <c r="S38" s="13"/>
    </row>
    <row r="39" spans="1:19" s="47" customFormat="1" x14ac:dyDescent="0.4">
      <c r="A39" s="13"/>
      <c r="B39" s="4"/>
      <c r="C39" s="5"/>
      <c r="D39" s="5"/>
      <c r="E39" s="5"/>
      <c r="F39" s="5"/>
      <c r="G39" s="5"/>
      <c r="H39" s="5"/>
      <c r="I39" s="5"/>
      <c r="J39" s="5"/>
      <c r="K39" s="5"/>
      <c r="L39" s="5"/>
      <c r="M39" s="5"/>
      <c r="N39" s="5"/>
      <c r="O39" s="5"/>
      <c r="Q39" s="13"/>
      <c r="R39" s="13"/>
      <c r="S39" s="13"/>
    </row>
    <row r="40" spans="1:19" s="47" customFormat="1" x14ac:dyDescent="0.4">
      <c r="A40" s="13"/>
      <c r="B40" s="4"/>
      <c r="C40" s="5"/>
      <c r="D40" s="5"/>
      <c r="E40" s="5"/>
      <c r="F40" s="5"/>
      <c r="G40" s="5"/>
      <c r="H40" s="5"/>
      <c r="I40" s="5"/>
      <c r="J40" s="5"/>
      <c r="K40" s="5"/>
      <c r="L40" s="5"/>
      <c r="M40" s="5"/>
      <c r="N40" s="5"/>
      <c r="O40" s="5"/>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row r="96" spans="1:19" s="47" customFormat="1" x14ac:dyDescent="0.4">
      <c r="A96" s="13"/>
      <c r="B96" s="4"/>
      <c r="C96" s="5"/>
      <c r="D96" s="5"/>
      <c r="E96" s="5"/>
      <c r="F96" s="5"/>
      <c r="G96" s="5"/>
      <c r="H96" s="5"/>
      <c r="I96" s="5"/>
      <c r="J96" s="5"/>
      <c r="K96" s="5"/>
      <c r="L96" s="5"/>
      <c r="M96" s="5"/>
      <c r="N96" s="5"/>
      <c r="O96" s="5"/>
      <c r="Q96" s="13"/>
      <c r="R96" s="13"/>
      <c r="S96" s="13"/>
    </row>
  </sheetData>
  <pageMargins left="0.7" right="0.7" top="0.75" bottom="0.75" header="0.3" footer="0.3"/>
  <pageSetup scale="70" orientation="landscape" r:id="rId1"/>
  <headerFooter>
    <oddFooter>&amp;L&amp;G&amp;R&amp;P</oddFooter>
  </headerFooter>
  <legacyDrawingHF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79998168889431442"/>
    <pageSetUpPr fitToPage="1"/>
  </sheetPr>
  <dimension ref="A1:S201"/>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140625" defaultRowHeight="18" outlineLevelCol="1" x14ac:dyDescent="0.4"/>
  <cols>
    <col min="1" max="1" width="70.5" style="13" customWidth="1"/>
    <col min="2" max="2" width="13.640625" style="4" hidden="1" customWidth="1" outlineLevel="1"/>
    <col min="3" max="9" width="13.640625" style="5" hidden="1" customWidth="1" outlineLevel="1"/>
    <col min="10" max="10" width="13.640625" style="5" customWidth="1" collapsed="1"/>
    <col min="11" max="14" width="13.640625" style="5" customWidth="1"/>
    <col min="15" max="15" width="15.140625" style="5" bestFit="1"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17</v>
      </c>
      <c r="B2" s="28"/>
      <c r="C2" s="29"/>
      <c r="D2" s="29"/>
      <c r="E2" s="29"/>
      <c r="F2" s="29"/>
      <c r="G2" s="29"/>
      <c r="H2" s="29"/>
      <c r="I2" s="29"/>
      <c r="J2" s="29"/>
      <c r="K2" s="29"/>
      <c r="L2" s="29"/>
      <c r="M2" s="29"/>
      <c r="N2" s="29"/>
      <c r="O2" s="29"/>
      <c r="P2" s="48"/>
      <c r="R2" s="6" t="s">
        <v>430</v>
      </c>
      <c r="S2" s="6" t="s">
        <v>1515</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2649</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1375</v>
      </c>
      <c r="B7" s="37" t="s">
        <v>2650</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27</v>
      </c>
    </row>
    <row r="8" spans="1:19" s="40" customFormat="1" ht="42.75" x14ac:dyDescent="0.4">
      <c r="A8" s="39" t="s">
        <v>2651</v>
      </c>
      <c r="B8" s="37" t="s">
        <v>1376</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29</v>
      </c>
    </row>
    <row r="9" spans="1:19" s="40" customFormat="1" ht="28.5" x14ac:dyDescent="0.4">
      <c r="A9" s="39" t="s">
        <v>2652</v>
      </c>
      <c r="B9" s="37" t="s">
        <v>1377</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38</v>
      </c>
    </row>
    <row r="10" spans="1:19" s="40" customFormat="1" ht="14.25" x14ac:dyDescent="0.4">
      <c r="A10" s="39" t="s">
        <v>1378</v>
      </c>
      <c r="B10" s="37" t="s">
        <v>2653</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57</v>
      </c>
    </row>
    <row r="11" spans="1:19" s="40" customFormat="1" ht="14.25" x14ac:dyDescent="0.4">
      <c r="A11" s="39" t="s">
        <v>1379</v>
      </c>
      <c r="B11" s="37" t="s">
        <v>2654</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1457</v>
      </c>
    </row>
    <row r="12" spans="1:19" s="40" customFormat="1" ht="14.25" x14ac:dyDescent="0.4">
      <c r="A12" s="39" t="s">
        <v>1380</v>
      </c>
      <c r="B12" s="37" t="s">
        <v>2655</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1458</v>
      </c>
    </row>
    <row r="13" spans="1:19" s="40" customFormat="1" ht="28.5" x14ac:dyDescent="0.4">
      <c r="A13" s="39" t="s">
        <v>1381</v>
      </c>
      <c r="B13" s="37"/>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60</v>
      </c>
    </row>
    <row r="14" spans="1:19" x14ac:dyDescent="0.4">
      <c r="A14" s="39" t="s">
        <v>1382</v>
      </c>
      <c r="B14" s="37"/>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363</v>
      </c>
    </row>
    <row r="15" spans="1:19" x14ac:dyDescent="0.4">
      <c r="A15" s="39" t="s">
        <v>1383</v>
      </c>
      <c r="B15" s="37" t="s">
        <v>2656</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1459</v>
      </c>
    </row>
    <row r="16" spans="1:19" s="47" customFormat="1" ht="28.5" x14ac:dyDescent="0.4">
      <c r="A16" s="39" t="s">
        <v>1384</v>
      </c>
      <c r="B16" s="37" t="s">
        <v>2657</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1460</v>
      </c>
      <c r="Q16" s="13"/>
      <c r="R16" s="13"/>
      <c r="S16" s="13"/>
    </row>
    <row r="17" spans="1:19" s="47" customFormat="1" x14ac:dyDescent="0.4">
      <c r="A17" s="39" t="s">
        <v>1385</v>
      </c>
      <c r="B17" s="37" t="s">
        <v>2658</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365</v>
      </c>
      <c r="Q17" s="13"/>
      <c r="R17" s="13"/>
      <c r="S17" s="13"/>
    </row>
    <row r="18" spans="1:19" s="47" customFormat="1" x14ac:dyDescent="0.4">
      <c r="A18" s="39" t="s">
        <v>1386</v>
      </c>
      <c r="B18" s="37" t="s">
        <v>2659</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62</v>
      </c>
      <c r="Q18" s="13"/>
      <c r="R18" s="13"/>
      <c r="S18" s="13"/>
    </row>
    <row r="19" spans="1:19" s="47" customFormat="1" x14ac:dyDescent="0.4">
      <c r="A19" s="39" t="s">
        <v>1387</v>
      </c>
      <c r="B19" s="37"/>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74</v>
      </c>
      <c r="Q19" s="13"/>
      <c r="R19" s="13"/>
      <c r="S19" s="13"/>
    </row>
    <row r="20" spans="1:19" s="47" customFormat="1" x14ac:dyDescent="0.4">
      <c r="A20" s="39" t="s">
        <v>1388</v>
      </c>
      <c r="B20" s="37" t="s">
        <v>2660</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381</v>
      </c>
      <c r="Q20" s="13"/>
      <c r="R20" s="13"/>
      <c r="S20" s="13"/>
    </row>
    <row r="21" spans="1:19" s="47" customFormat="1" x14ac:dyDescent="0.4">
      <c r="A21" s="39" t="s">
        <v>1389</v>
      </c>
      <c r="B21" s="37" t="s">
        <v>2661</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385</v>
      </c>
      <c r="Q21" s="13"/>
      <c r="R21" s="13"/>
      <c r="S21" s="13"/>
    </row>
    <row r="22" spans="1:19" s="47" customFormat="1" x14ac:dyDescent="0.4">
      <c r="A22" s="39" t="s">
        <v>1390</v>
      </c>
      <c r="B22" s="37" t="s">
        <v>2662</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1461</v>
      </c>
      <c r="Q22" s="13"/>
      <c r="R22" s="13"/>
      <c r="S22" s="13"/>
    </row>
    <row r="23" spans="1:19" s="47" customFormat="1" x14ac:dyDescent="0.4">
      <c r="A23" s="39" t="s">
        <v>2663</v>
      </c>
      <c r="B23" s="37" t="s">
        <v>2664</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2</v>
      </c>
      <c r="Q23" s="13"/>
      <c r="R23" s="13"/>
      <c r="S23" s="13"/>
    </row>
    <row r="24" spans="1:19" s="47" customFormat="1" x14ac:dyDescent="0.4">
      <c r="A24" s="39" t="s">
        <v>1391</v>
      </c>
      <c r="B24" s="37" t="s">
        <v>2665</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86</v>
      </c>
      <c r="Q24" s="13"/>
      <c r="R24" s="13"/>
      <c r="S24" s="13"/>
    </row>
    <row r="25" spans="1:19" s="47" customFormat="1" x14ac:dyDescent="0.4">
      <c r="A25" s="39" t="s">
        <v>2666</v>
      </c>
      <c r="B25" s="37" t="s">
        <v>2667</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3</v>
      </c>
      <c r="Q25" s="13"/>
      <c r="R25" s="13"/>
      <c r="S25" s="13"/>
    </row>
    <row r="26" spans="1:19" s="47" customFormat="1" x14ac:dyDescent="0.4">
      <c r="A26" s="39" t="s">
        <v>1392</v>
      </c>
      <c r="B26" s="37" t="s">
        <v>2668</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620</v>
      </c>
      <c r="Q26" s="13"/>
      <c r="R26" s="13"/>
      <c r="S26" s="13"/>
    </row>
    <row r="27" spans="1:19" s="47" customFormat="1" x14ac:dyDescent="0.4">
      <c r="A27" s="39" t="s">
        <v>1393</v>
      </c>
      <c r="B27" s="37" t="s">
        <v>2669</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v>4</v>
      </c>
      <c r="Q27" s="13"/>
      <c r="R27" s="13"/>
      <c r="S27" s="13"/>
    </row>
    <row r="28" spans="1:19" s="47" customFormat="1" x14ac:dyDescent="0.4">
      <c r="A28" s="39" t="s">
        <v>1201</v>
      </c>
      <c r="B28" s="37"/>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5</v>
      </c>
      <c r="Q28" s="13"/>
      <c r="R28" s="13"/>
      <c r="S28" s="13"/>
    </row>
    <row r="29" spans="1:19" s="47" customFormat="1" x14ac:dyDescent="0.4">
      <c r="A29" s="39" t="s">
        <v>1394</v>
      </c>
      <c r="B29" s="37"/>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6</v>
      </c>
      <c r="Q29" s="13"/>
      <c r="R29" s="13"/>
      <c r="S29" s="13"/>
    </row>
    <row r="30" spans="1:19" s="47" customFormat="1" ht="28.5" x14ac:dyDescent="0.4">
      <c r="A30" s="39" t="s">
        <v>1395</v>
      </c>
      <c r="B30" s="37" t="s">
        <v>2670</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172</v>
      </c>
      <c r="Q30" s="13"/>
      <c r="R30" s="13"/>
      <c r="S30" s="13"/>
    </row>
    <row r="31" spans="1:19" s="47" customFormat="1" x14ac:dyDescent="0.4">
      <c r="A31" s="39" t="s">
        <v>2671</v>
      </c>
      <c r="B31" s="37" t="s">
        <v>2672</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175</v>
      </c>
      <c r="Q31" s="13"/>
      <c r="R31" s="13"/>
      <c r="S31" s="13"/>
    </row>
    <row r="32" spans="1:19" s="47" customFormat="1" x14ac:dyDescent="0.4">
      <c r="A32" s="39" t="s">
        <v>1396</v>
      </c>
      <c r="B32" s="37"/>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7</v>
      </c>
      <c r="Q32" s="13"/>
      <c r="R32" s="13"/>
      <c r="S32" s="13"/>
    </row>
    <row r="33" spans="1:19" s="47" customFormat="1" x14ac:dyDescent="0.4">
      <c r="A33" s="39" t="s">
        <v>1397</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179</v>
      </c>
      <c r="Q33" s="13"/>
      <c r="R33" s="13"/>
      <c r="S33" s="13"/>
    </row>
    <row r="34" spans="1:19" s="47" customFormat="1" x14ac:dyDescent="0.4">
      <c r="A34" s="39" t="s">
        <v>1398</v>
      </c>
      <c r="B34" s="37" t="s">
        <v>2673</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1462</v>
      </c>
      <c r="Q34" s="13"/>
      <c r="R34" s="13"/>
      <c r="S34" s="13"/>
    </row>
    <row r="35" spans="1:19" s="47" customFormat="1" x14ac:dyDescent="0.4">
      <c r="A35" s="39" t="s">
        <v>1399</v>
      </c>
      <c r="B35" s="37" t="s">
        <v>2674</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1463</v>
      </c>
      <c r="Q35" s="13"/>
      <c r="R35" s="13"/>
      <c r="S35" s="13"/>
    </row>
    <row r="36" spans="1:19" s="47" customFormat="1" x14ac:dyDescent="0.4">
      <c r="A36" s="39" t="s">
        <v>1400</v>
      </c>
      <c r="B36" s="37" t="s">
        <v>2675</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1464</v>
      </c>
      <c r="Q36" s="13"/>
      <c r="R36" s="13"/>
      <c r="S36" s="13"/>
    </row>
    <row r="37" spans="1:19" s="47" customFormat="1" x14ac:dyDescent="0.4">
      <c r="A37" s="39" t="s">
        <v>1401</v>
      </c>
      <c r="B37" s="37" t="s">
        <v>2676</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1465</v>
      </c>
      <c r="Q37" s="13"/>
      <c r="R37" s="13"/>
      <c r="S37" s="13"/>
    </row>
    <row r="38" spans="1:19" s="47" customFormat="1" x14ac:dyDescent="0.4">
      <c r="A38" s="39" t="s">
        <v>1402</v>
      </c>
      <c r="B38" s="37"/>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181</v>
      </c>
      <c r="Q38" s="13"/>
      <c r="R38" s="13"/>
      <c r="S38" s="13"/>
    </row>
    <row r="39" spans="1:19" s="47" customFormat="1" x14ac:dyDescent="0.4">
      <c r="A39" s="39" t="s">
        <v>1403</v>
      </c>
      <c r="B39" s="37" t="s">
        <v>2677</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1466</v>
      </c>
      <c r="Q39" s="13"/>
      <c r="R39" s="13"/>
      <c r="S39" s="13"/>
    </row>
    <row r="40" spans="1:19" s="47" customFormat="1" x14ac:dyDescent="0.4">
      <c r="A40" s="39" t="s">
        <v>1404</v>
      </c>
      <c r="B40" s="37" t="s">
        <v>2678</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1467</v>
      </c>
      <c r="Q40" s="13"/>
      <c r="R40" s="13"/>
      <c r="S40" s="13"/>
    </row>
    <row r="41" spans="1:19" s="47" customFormat="1" x14ac:dyDescent="0.4">
      <c r="A41" s="39" t="s">
        <v>2679</v>
      </c>
      <c r="B41" s="37"/>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c r="Q41" s="13"/>
      <c r="R41" s="13"/>
      <c r="S41" s="13"/>
    </row>
    <row r="42" spans="1:19" s="47" customFormat="1" x14ac:dyDescent="0.4">
      <c r="A42" s="39" t="s">
        <v>1396</v>
      </c>
      <c r="B42" s="37"/>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7</v>
      </c>
      <c r="Q42" s="13"/>
      <c r="R42" s="13"/>
      <c r="S42" s="13"/>
    </row>
    <row r="43" spans="1:19" s="47" customFormat="1" x14ac:dyDescent="0.4">
      <c r="A43" s="39" t="s">
        <v>1397</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179</v>
      </c>
      <c r="Q43" s="13"/>
      <c r="R43" s="13"/>
      <c r="S43" s="13"/>
    </row>
    <row r="44" spans="1:19" s="47" customFormat="1" x14ac:dyDescent="0.4">
      <c r="A44" s="39" t="s">
        <v>1398</v>
      </c>
      <c r="B44" s="37" t="s">
        <v>2680</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1462</v>
      </c>
      <c r="Q44" s="13"/>
      <c r="R44" s="13"/>
      <c r="S44" s="13"/>
    </row>
    <row r="45" spans="1:19" s="47" customFormat="1" x14ac:dyDescent="0.4">
      <c r="A45" s="39" t="s">
        <v>1399</v>
      </c>
      <c r="B45" s="37" t="s">
        <v>2681</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1463</v>
      </c>
      <c r="Q45" s="13"/>
      <c r="R45" s="13"/>
      <c r="S45" s="13"/>
    </row>
    <row r="46" spans="1:19" s="47" customFormat="1" x14ac:dyDescent="0.4">
      <c r="A46" s="39" t="s">
        <v>1400</v>
      </c>
      <c r="B46" s="37" t="s">
        <v>2682</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1464</v>
      </c>
      <c r="Q46" s="13"/>
      <c r="R46" s="13"/>
      <c r="S46" s="13"/>
    </row>
    <row r="47" spans="1:19" s="47" customFormat="1" x14ac:dyDescent="0.4">
      <c r="A47" s="39" t="s">
        <v>1401</v>
      </c>
      <c r="B47" s="37" t="s">
        <v>2683</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1465</v>
      </c>
      <c r="Q47" s="13"/>
      <c r="R47" s="13"/>
      <c r="S47" s="13"/>
    </row>
    <row r="48" spans="1:19" s="47" customFormat="1" x14ac:dyDescent="0.4">
      <c r="A48" s="39" t="s">
        <v>1402</v>
      </c>
      <c r="B48" s="37"/>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181</v>
      </c>
      <c r="Q48" s="13"/>
      <c r="R48" s="13"/>
      <c r="S48" s="13"/>
    </row>
    <row r="49" spans="1:19" s="47" customFormat="1" x14ac:dyDescent="0.4">
      <c r="A49" s="39" t="s">
        <v>1403</v>
      </c>
      <c r="B49" s="37" t="s">
        <v>2684</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1466</v>
      </c>
      <c r="Q49" s="13"/>
      <c r="R49" s="13"/>
      <c r="S49" s="13"/>
    </row>
    <row r="50" spans="1:19" s="47" customFormat="1" x14ac:dyDescent="0.4">
      <c r="A50" s="39" t="s">
        <v>1404</v>
      </c>
      <c r="B50" s="37" t="s">
        <v>2685</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1467</v>
      </c>
      <c r="Q50" s="13"/>
      <c r="R50" s="13"/>
      <c r="S50" s="13"/>
    </row>
    <row r="51" spans="1:19" s="47" customFormat="1" x14ac:dyDescent="0.4">
      <c r="A51" s="39" t="s">
        <v>2686</v>
      </c>
      <c r="B51" s="37"/>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183</v>
      </c>
      <c r="Q51" s="13"/>
      <c r="R51" s="13"/>
      <c r="S51" s="13"/>
    </row>
    <row r="52" spans="1:19" s="47" customFormat="1" x14ac:dyDescent="0.4">
      <c r="A52" s="39" t="s">
        <v>1405</v>
      </c>
      <c r="B52" s="37"/>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186</v>
      </c>
      <c r="Q52" s="13"/>
      <c r="R52" s="13"/>
      <c r="S52" s="13"/>
    </row>
    <row r="53" spans="1:19" s="47" customFormat="1" x14ac:dyDescent="0.4">
      <c r="A53" s="39" t="s">
        <v>1406</v>
      </c>
      <c r="B53" s="37" t="s">
        <v>2687</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1468</v>
      </c>
      <c r="Q53" s="13"/>
      <c r="R53" s="13"/>
      <c r="S53" s="13"/>
    </row>
    <row r="54" spans="1:19" s="47" customFormat="1" x14ac:dyDescent="0.4">
      <c r="A54" s="39" t="s">
        <v>1407</v>
      </c>
      <c r="B54" s="37" t="s">
        <v>2688</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1469</v>
      </c>
      <c r="Q54" s="13"/>
      <c r="R54" s="13"/>
      <c r="S54" s="13"/>
    </row>
    <row r="55" spans="1:19" s="47" customFormat="1" x14ac:dyDescent="0.4">
      <c r="A55" s="39" t="s">
        <v>1408</v>
      </c>
      <c r="B55" s="37"/>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189</v>
      </c>
      <c r="Q55" s="13"/>
      <c r="R55" s="13"/>
      <c r="S55" s="13"/>
    </row>
    <row r="56" spans="1:19" s="47" customFormat="1" x14ac:dyDescent="0.4">
      <c r="A56" s="39" t="s">
        <v>1406</v>
      </c>
      <c r="B56" s="37" t="s">
        <v>2689</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1470</v>
      </c>
      <c r="Q56" s="13"/>
      <c r="R56" s="13"/>
      <c r="S56" s="13"/>
    </row>
    <row r="57" spans="1:19" s="47" customFormat="1" ht="28.5" x14ac:dyDescent="0.4">
      <c r="A57" s="39" t="s">
        <v>1409</v>
      </c>
      <c r="B57" s="37" t="s">
        <v>2690</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1471</v>
      </c>
      <c r="Q57" s="13"/>
      <c r="R57" s="13"/>
      <c r="S57" s="13"/>
    </row>
    <row r="58" spans="1:19" s="47" customFormat="1" ht="28.5" x14ac:dyDescent="0.4">
      <c r="A58" s="39" t="s">
        <v>1410</v>
      </c>
      <c r="B58" s="37" t="s">
        <v>2691</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1472</v>
      </c>
      <c r="Q58" s="13"/>
      <c r="R58" s="13"/>
      <c r="S58" s="13"/>
    </row>
    <row r="59" spans="1:19" s="47" customFormat="1" x14ac:dyDescent="0.4">
      <c r="A59" s="39" t="s">
        <v>2692</v>
      </c>
      <c r="B59" s="37"/>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c r="Q59" s="13"/>
      <c r="R59" s="13"/>
      <c r="S59" s="13"/>
    </row>
    <row r="60" spans="1:19" s="47" customFormat="1" x14ac:dyDescent="0.4">
      <c r="A60" s="39" t="s">
        <v>1411</v>
      </c>
      <c r="B60" s="37"/>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192</v>
      </c>
      <c r="Q60" s="13"/>
      <c r="R60" s="13"/>
      <c r="S60" s="13"/>
    </row>
    <row r="61" spans="1:19" s="47" customFormat="1" x14ac:dyDescent="0.4">
      <c r="A61" s="39" t="s">
        <v>1412</v>
      </c>
      <c r="B61" s="37"/>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1473</v>
      </c>
      <c r="Q61" s="13"/>
      <c r="R61" s="13"/>
      <c r="S61" s="13"/>
    </row>
    <row r="62" spans="1:19" s="47" customFormat="1" x14ac:dyDescent="0.4">
      <c r="A62" s="39" t="s">
        <v>1413</v>
      </c>
      <c r="B62" s="37" t="s">
        <v>2693</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1474</v>
      </c>
      <c r="Q62" s="13"/>
      <c r="R62" s="13"/>
      <c r="S62" s="13"/>
    </row>
    <row r="63" spans="1:19" s="47" customFormat="1" x14ac:dyDescent="0.4">
      <c r="A63" s="39" t="s">
        <v>1414</v>
      </c>
      <c r="B63" s="37" t="s">
        <v>2694</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1475</v>
      </c>
      <c r="Q63" s="13"/>
      <c r="R63" s="13"/>
      <c r="S63" s="13"/>
    </row>
    <row r="64" spans="1:19" s="47" customFormat="1" x14ac:dyDescent="0.4">
      <c r="A64" s="39" t="s">
        <v>1415</v>
      </c>
      <c r="B64" s="37"/>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1476</v>
      </c>
      <c r="Q64" s="13"/>
      <c r="R64" s="13"/>
      <c r="S64" s="13"/>
    </row>
    <row r="65" spans="1:19" s="47" customFormat="1" x14ac:dyDescent="0.4">
      <c r="A65" s="39" t="s">
        <v>1413</v>
      </c>
      <c r="B65" s="37" t="s">
        <v>2695</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1477</v>
      </c>
      <c r="Q65" s="13"/>
      <c r="R65" s="13"/>
      <c r="S65" s="13"/>
    </row>
    <row r="66" spans="1:19" s="47" customFormat="1" x14ac:dyDescent="0.4">
      <c r="A66" s="39" t="s">
        <v>1414</v>
      </c>
      <c r="B66" s="37" t="s">
        <v>2696</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1478</v>
      </c>
      <c r="Q66" s="13"/>
      <c r="R66" s="13"/>
      <c r="S66" s="13"/>
    </row>
    <row r="67" spans="1:19" s="47" customFormat="1" x14ac:dyDescent="0.4">
      <c r="A67" s="39" t="s">
        <v>2697</v>
      </c>
      <c r="B67" s="37"/>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c r="Q67" s="13"/>
      <c r="R67" s="13"/>
      <c r="S67" s="13"/>
    </row>
    <row r="68" spans="1:19" s="47" customFormat="1" x14ac:dyDescent="0.4">
      <c r="A68" s="39" t="s">
        <v>1411</v>
      </c>
      <c r="B68" s="37"/>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192</v>
      </c>
      <c r="Q68" s="13"/>
      <c r="R68" s="13"/>
      <c r="S68" s="13"/>
    </row>
    <row r="69" spans="1:19" s="47" customFormat="1" x14ac:dyDescent="0.4">
      <c r="A69" s="39" t="s">
        <v>1412</v>
      </c>
      <c r="B69" s="37"/>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1473</v>
      </c>
      <c r="Q69" s="13"/>
      <c r="R69" s="13"/>
      <c r="S69" s="13"/>
    </row>
    <row r="70" spans="1:19" s="47" customFormat="1" x14ac:dyDescent="0.4">
      <c r="A70" s="39" t="s">
        <v>1413</v>
      </c>
      <c r="B70" s="37" t="s">
        <v>2698</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1474</v>
      </c>
      <c r="Q70" s="13"/>
      <c r="R70" s="13"/>
      <c r="S70" s="13"/>
    </row>
    <row r="71" spans="1:19" s="47" customFormat="1" x14ac:dyDescent="0.4">
      <c r="A71" s="39" t="s">
        <v>1414</v>
      </c>
      <c r="B71" s="37" t="s">
        <v>2699</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1475</v>
      </c>
      <c r="Q71" s="13"/>
      <c r="R71" s="13"/>
      <c r="S71" s="13"/>
    </row>
    <row r="72" spans="1:19" s="47" customFormat="1" x14ac:dyDescent="0.4">
      <c r="A72" s="39" t="s">
        <v>1415</v>
      </c>
      <c r="B72" s="37"/>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1476</v>
      </c>
      <c r="Q72" s="13"/>
      <c r="R72" s="13"/>
      <c r="S72" s="13"/>
    </row>
    <row r="73" spans="1:19" s="47" customFormat="1" x14ac:dyDescent="0.4">
      <c r="A73" s="39" t="s">
        <v>1413</v>
      </c>
      <c r="B73" s="37" t="s">
        <v>2700</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1477</v>
      </c>
      <c r="Q73" s="13"/>
      <c r="R73" s="13"/>
      <c r="S73" s="13"/>
    </row>
    <row r="74" spans="1:19" s="47" customFormat="1" x14ac:dyDescent="0.4">
      <c r="A74" s="39" t="s">
        <v>1416</v>
      </c>
      <c r="B74" s="37" t="s">
        <v>2701</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1478</v>
      </c>
      <c r="Q74" s="13"/>
      <c r="R74" s="13"/>
      <c r="S74" s="13"/>
    </row>
    <row r="75" spans="1:19" s="47" customFormat="1" x14ac:dyDescent="0.4">
      <c r="A75" s="39" t="s">
        <v>2702</v>
      </c>
      <c r="B75" s="37"/>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c r="Q75" s="13"/>
      <c r="R75" s="13"/>
      <c r="S75" s="13"/>
    </row>
    <row r="76" spans="1:19" s="47" customFormat="1" x14ac:dyDescent="0.4">
      <c r="A76" s="39" t="s">
        <v>1411</v>
      </c>
      <c r="B76" s="37"/>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192</v>
      </c>
      <c r="Q76" s="13"/>
      <c r="R76" s="13"/>
      <c r="S76" s="13"/>
    </row>
    <row r="77" spans="1:19" s="47" customFormat="1" x14ac:dyDescent="0.4">
      <c r="A77" s="39" t="s">
        <v>1412</v>
      </c>
      <c r="B77" s="37"/>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1473</v>
      </c>
      <c r="Q77" s="13"/>
      <c r="R77" s="13"/>
      <c r="S77" s="13"/>
    </row>
    <row r="78" spans="1:19" s="47" customFormat="1" x14ac:dyDescent="0.4">
      <c r="A78" s="39" t="s">
        <v>1413</v>
      </c>
      <c r="B78" s="37" t="s">
        <v>2703</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1474</v>
      </c>
      <c r="Q78" s="13"/>
      <c r="R78" s="13"/>
      <c r="S78" s="13"/>
    </row>
    <row r="79" spans="1:19" s="47" customFormat="1" x14ac:dyDescent="0.4">
      <c r="A79" s="39" t="s">
        <v>1414</v>
      </c>
      <c r="B79" s="37" t="s">
        <v>2704</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1475</v>
      </c>
      <c r="Q79" s="13"/>
      <c r="R79" s="13"/>
      <c r="S79" s="13"/>
    </row>
    <row r="80" spans="1:19" s="47" customFormat="1" x14ac:dyDescent="0.4">
      <c r="A80" s="39" t="s">
        <v>1415</v>
      </c>
      <c r="B80" s="37"/>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1476</v>
      </c>
      <c r="Q80" s="13"/>
      <c r="R80" s="13"/>
      <c r="S80" s="13"/>
    </row>
    <row r="81" spans="1:19" s="47" customFormat="1" x14ac:dyDescent="0.4">
      <c r="A81" s="39" t="s">
        <v>1413</v>
      </c>
      <c r="B81" s="37" t="s">
        <v>2705</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1477</v>
      </c>
      <c r="Q81" s="13"/>
      <c r="R81" s="13"/>
      <c r="S81" s="13"/>
    </row>
    <row r="82" spans="1:19" s="47" customFormat="1" x14ac:dyDescent="0.4">
      <c r="A82" s="39" t="s">
        <v>1414</v>
      </c>
      <c r="B82" s="37" t="s">
        <v>2706</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1478</v>
      </c>
      <c r="Q82" s="13"/>
      <c r="R82" s="13"/>
      <c r="S82" s="13"/>
    </row>
    <row r="83" spans="1:19" s="47" customFormat="1" x14ac:dyDescent="0.4">
      <c r="A83" s="39" t="s">
        <v>1417</v>
      </c>
      <c r="B83" s="37" t="s">
        <v>2707</v>
      </c>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v>8</v>
      </c>
      <c r="Q83" s="13"/>
      <c r="R83" s="13"/>
      <c r="S83" s="13"/>
    </row>
    <row r="84" spans="1:19" s="47" customFormat="1" ht="42.75" x14ac:dyDescent="0.4">
      <c r="A84" s="39" t="s">
        <v>1418</v>
      </c>
      <c r="B84" s="37" t="s">
        <v>2708</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v>9</v>
      </c>
      <c r="Q84" s="13"/>
      <c r="R84" s="13"/>
      <c r="S84" s="13"/>
    </row>
    <row r="85" spans="1:19" s="47" customFormat="1" x14ac:dyDescent="0.4">
      <c r="A85" s="39" t="s">
        <v>1419</v>
      </c>
      <c r="B85" s="37"/>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1262</v>
      </c>
      <c r="Q85" s="13"/>
      <c r="R85" s="13"/>
      <c r="S85" s="13"/>
    </row>
    <row r="86" spans="1:19" s="47" customFormat="1" x14ac:dyDescent="0.4">
      <c r="A86" s="39" t="s">
        <v>1420</v>
      </c>
      <c r="B86" s="37" t="s">
        <v>2709</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1263</v>
      </c>
      <c r="Q86" s="13"/>
      <c r="R86" s="13"/>
      <c r="S86" s="13"/>
    </row>
    <row r="87" spans="1:19" s="47" customFormat="1" ht="28.5" x14ac:dyDescent="0.4">
      <c r="A87" s="39" t="s">
        <v>1421</v>
      </c>
      <c r="B87" s="37" t="s">
        <v>2710</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1479</v>
      </c>
      <c r="Q87" s="13"/>
      <c r="R87" s="13"/>
      <c r="S87" s="13"/>
    </row>
    <row r="88" spans="1:19" s="47" customFormat="1" x14ac:dyDescent="0.4">
      <c r="A88" s="39" t="s">
        <v>1422</v>
      </c>
      <c r="B88" s="37"/>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1480</v>
      </c>
      <c r="Q88" s="13"/>
      <c r="R88" s="13"/>
      <c r="S88" s="13"/>
    </row>
    <row r="89" spans="1:19" s="47" customFormat="1" x14ac:dyDescent="0.4">
      <c r="A89" s="39" t="s">
        <v>1332</v>
      </c>
      <c r="B89" s="37" t="s">
        <v>1423</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1481</v>
      </c>
      <c r="Q89" s="13"/>
      <c r="R89" s="13"/>
      <c r="S89" s="13"/>
    </row>
    <row r="90" spans="1:19" s="47" customFormat="1" x14ac:dyDescent="0.4">
      <c r="A90" s="39" t="s">
        <v>1333</v>
      </c>
      <c r="B90" s="37" t="s">
        <v>2711</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1482</v>
      </c>
      <c r="Q90" s="13"/>
      <c r="R90" s="13"/>
      <c r="S90" s="13"/>
    </row>
    <row r="91" spans="1:19" s="47" customFormat="1" x14ac:dyDescent="0.4">
      <c r="A91" s="39" t="s">
        <v>1424</v>
      </c>
      <c r="B91" s="37"/>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1483</v>
      </c>
      <c r="Q91" s="13"/>
      <c r="R91" s="13"/>
      <c r="S91" s="13"/>
    </row>
    <row r="92" spans="1:19" s="47" customFormat="1" x14ac:dyDescent="0.4">
      <c r="A92" s="39" t="s">
        <v>1332</v>
      </c>
      <c r="B92" s="37" t="s">
        <v>1425</v>
      </c>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1484</v>
      </c>
      <c r="Q92" s="13"/>
      <c r="R92" s="13"/>
      <c r="S92" s="13"/>
    </row>
    <row r="93" spans="1:19" s="47" customFormat="1" x14ac:dyDescent="0.4">
      <c r="A93" s="39" t="s">
        <v>1333</v>
      </c>
      <c r="B93" s="37" t="s">
        <v>2712</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1485</v>
      </c>
      <c r="Q93" s="13"/>
      <c r="R93" s="13"/>
      <c r="S93" s="13"/>
    </row>
    <row r="94" spans="1:19" s="47" customFormat="1" x14ac:dyDescent="0.4">
      <c r="A94" s="39" t="s">
        <v>1348</v>
      </c>
      <c r="B94" s="37"/>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1486</v>
      </c>
      <c r="Q94" s="13"/>
      <c r="R94" s="13"/>
      <c r="S94" s="13"/>
    </row>
    <row r="95" spans="1:19" s="47" customFormat="1" x14ac:dyDescent="0.4">
      <c r="A95" s="39" t="s">
        <v>1332</v>
      </c>
      <c r="B95" s="37" t="s">
        <v>1426</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1487</v>
      </c>
      <c r="Q95" s="13"/>
      <c r="R95" s="13"/>
      <c r="S95" s="13"/>
    </row>
    <row r="96" spans="1:19" s="47" customFormat="1" x14ac:dyDescent="0.4">
      <c r="A96" s="39" t="s">
        <v>1333</v>
      </c>
      <c r="B96" s="37" t="s">
        <v>2713</v>
      </c>
      <c r="C96" s="38" t="str">
        <f>IFERROR([1]!IntrinioBankFinancials(rssd_id,$S$2,C$5,C$4,$B96,"K"),"")</f>
        <v/>
      </c>
      <c r="D96" s="38" t="str">
        <f>IFERROR([1]!IntrinioBankFinancials(rssd_id,$S$2,D$5,D$4,$B96,"K"),"")</f>
        <v/>
      </c>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t="s">
        <v>1488</v>
      </c>
      <c r="Q96" s="13"/>
      <c r="R96" s="13"/>
      <c r="S96" s="13"/>
    </row>
    <row r="97" spans="1:16" ht="42.75" x14ac:dyDescent="0.4">
      <c r="A97" s="39" t="s">
        <v>1427</v>
      </c>
      <c r="B97" s="37" t="s">
        <v>2714</v>
      </c>
      <c r="C97" s="38" t="str">
        <f>IFERROR([1]!IntrinioBankFinancials(rssd_id,$S$2,C$5,C$4,$B97,"K"),"")</f>
        <v/>
      </c>
      <c r="D97" s="38" t="str">
        <f>IFERROR([1]!IntrinioBankFinancials(rssd_id,$S$2,D$5,D$4,$B97,"K"),"")</f>
        <v/>
      </c>
      <c r="E97" s="38" t="str">
        <f>IFERROR([1]!IntrinioBankFinancials(rssd_id,$S$2,E$5,E$4,$B97,"K"),"")</f>
        <v/>
      </c>
      <c r="F97" s="38" t="str">
        <f>IFERROR([1]!IntrinioBankFinancials(rssd_id,$S$2,F$5,F$4,$B97,"K"),"")</f>
        <v/>
      </c>
      <c r="G97" s="38" t="str">
        <f>IFERROR([1]!IntrinioBankFinancials(rssd_id,$S$2,G$5,G$4,$B97,"K"),"")</f>
        <v/>
      </c>
      <c r="H97" s="38" t="str">
        <f>IFERROR([1]!IntrinioBankFinancials(rssd_id,$S$2,H$5,H$4,$B97,"K"),"")</f>
        <v/>
      </c>
      <c r="I97" s="38" t="str">
        <f>IFERROR([1]!IntrinioBankFinancials(rssd_id,$S$2,I$5,I$4,$B97,"K"),"")</f>
        <v/>
      </c>
      <c r="J97" s="38" t="str">
        <f>IFERROR([1]!IntrinioBankFinancials(rssd_id,$S$2,J$5,J$4,$B97,"K"),"")</f>
        <v/>
      </c>
      <c r="K97" s="38" t="str">
        <f>IFERROR([1]!IntrinioBankFinancials(rssd_id,$S$2,K$5,K$4,$B97,"K"),"")</f>
        <v/>
      </c>
      <c r="L97" s="38" t="str">
        <f>IFERROR([1]!IntrinioBankFinancials(rssd_id,$S$2,L$5,L$4,$B97,"K"),"")</f>
        <v/>
      </c>
      <c r="M97" s="38" t="str">
        <f>IFERROR([1]!IntrinioBankFinancials(rssd_id,$S$2,M$5,M$4,$B97,"K"),"")</f>
        <v/>
      </c>
      <c r="N97" s="38" t="str">
        <f>IFERROR([1]!IntrinioBankFinancials(rssd_id,$S$2,N$5,N$4,$B97,"K"),"")</f>
        <v/>
      </c>
      <c r="O97" s="38" t="str">
        <f>IFERROR([1]!IntrinioBankFinancials(rssd_id,$S$2,O$5,O$4,$B97,"K"),"")</f>
        <v/>
      </c>
      <c r="P97" s="49">
        <v>10</v>
      </c>
    </row>
    <row r="98" spans="1:16" x14ac:dyDescent="0.4">
      <c r="A98" s="39" t="s">
        <v>1428</v>
      </c>
      <c r="B98" s="37" t="s">
        <v>2715</v>
      </c>
      <c r="C98" s="38" t="str">
        <f>IFERROR([1]!IntrinioBankFinancials(rssd_id,$S$2,C$5,C$4,$B98,"K"),"")</f>
        <v/>
      </c>
      <c r="D98" s="38" t="str">
        <f>IFERROR([1]!IntrinioBankFinancials(rssd_id,$S$2,D$5,D$4,$B98,"K"),"")</f>
        <v/>
      </c>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626</v>
      </c>
    </row>
    <row r="99" spans="1:16" x14ac:dyDescent="0.4">
      <c r="A99" s="39" t="s">
        <v>1429</v>
      </c>
      <c r="B99" s="37"/>
      <c r="C99" s="38" t="str">
        <f>IFERROR([1]!IntrinioBankFinancials(rssd_id,$S$2,C$5,C$4,$B99,"K"),"")</f>
        <v/>
      </c>
      <c r="D99" s="38" t="str">
        <f>IFERROR([1]!IntrinioBankFinancials(rssd_id,$S$2,D$5,D$4,$B99,"K"),"")</f>
        <v/>
      </c>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627</v>
      </c>
    </row>
    <row r="100" spans="1:16" x14ac:dyDescent="0.4">
      <c r="A100" s="39" t="s">
        <v>1332</v>
      </c>
      <c r="B100" s="37" t="s">
        <v>1430</v>
      </c>
      <c r="C100" s="38" t="str">
        <f>IFERROR([1]!IntrinioBankFinancials(rssd_id,$S$2,C$5,C$4,$B100,"K"),"")</f>
        <v/>
      </c>
      <c r="D100" s="38" t="str">
        <f>IFERROR([1]!IntrinioBankFinancials(rssd_id,$S$2,D$5,D$4,$B100,"K"),"")</f>
        <v/>
      </c>
      <c r="E100" s="38" t="str">
        <f>IFERROR([1]!IntrinioBankFinancials(rssd_id,$S$2,E$5,E$4,$B100,"K"),"")</f>
        <v/>
      </c>
      <c r="F100" s="38" t="str">
        <f>IFERROR([1]!IntrinioBankFinancials(rssd_id,$S$2,F$5,F$4,$B100,"K"),"")</f>
        <v/>
      </c>
      <c r="G100" s="38" t="str">
        <f>IFERROR([1]!IntrinioBankFinancials(rssd_id,$S$2,G$5,G$4,$B100,"K"),"")</f>
        <v/>
      </c>
      <c r="H100" s="38" t="str">
        <f>IFERROR([1]!IntrinioBankFinancials(rssd_id,$S$2,H$5,H$4,$B100,"K"),"")</f>
        <v/>
      </c>
      <c r="I100" s="38" t="str">
        <f>IFERROR([1]!IntrinioBankFinancials(rssd_id,$S$2,I$5,I$4,$B100,"K"),"")</f>
        <v/>
      </c>
      <c r="J100" s="38" t="str">
        <f>IFERROR([1]!IntrinioBankFinancials(rssd_id,$S$2,J$5,J$4,$B100,"K"),"")</f>
        <v/>
      </c>
      <c r="K100" s="38" t="str">
        <f>IFERROR([1]!IntrinioBankFinancials(rssd_id,$S$2,K$5,K$4,$B100,"K"),"")</f>
        <v/>
      </c>
      <c r="L100" s="38" t="str">
        <f>IFERROR([1]!IntrinioBankFinancials(rssd_id,$S$2,L$5,L$4,$B100,"K"),"")</f>
        <v/>
      </c>
      <c r="M100" s="38" t="str">
        <f>IFERROR([1]!IntrinioBankFinancials(rssd_id,$S$2,M$5,M$4,$B100,"K"),"")</f>
        <v/>
      </c>
      <c r="N100" s="38" t="str">
        <f>IFERROR([1]!IntrinioBankFinancials(rssd_id,$S$2,N$5,N$4,$B100,"K"),"")</f>
        <v/>
      </c>
      <c r="O100" s="38" t="str">
        <f>IFERROR([1]!IntrinioBankFinancials(rssd_id,$S$2,O$5,O$4,$B100,"K"),"")</f>
        <v/>
      </c>
      <c r="P100" s="49" t="s">
        <v>1489</v>
      </c>
    </row>
    <row r="101" spans="1:16" x14ac:dyDescent="0.4">
      <c r="A101" s="39" t="s">
        <v>1333</v>
      </c>
      <c r="B101" s="37" t="s">
        <v>2716</v>
      </c>
      <c r="C101" s="38" t="str">
        <f>IFERROR([1]!IntrinioBankFinancials(rssd_id,$S$2,C$5,C$4,$B101,"K"),"")</f>
        <v/>
      </c>
      <c r="D101" s="38" t="str">
        <f>IFERROR([1]!IntrinioBankFinancials(rssd_id,$S$2,D$5,D$4,$B101,"K"),"")</f>
        <v/>
      </c>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1490</v>
      </c>
    </row>
    <row r="102" spans="1:16" x14ac:dyDescent="0.4">
      <c r="A102" s="39" t="s">
        <v>1431</v>
      </c>
      <c r="B102" s="37"/>
      <c r="C102" s="38" t="str">
        <f>IFERROR([1]!IntrinioBankFinancials(rssd_id,$S$2,C$5,C$4,$B102,"K"),"")</f>
        <v/>
      </c>
      <c r="D102" s="38" t="str">
        <f>IFERROR([1]!IntrinioBankFinancials(rssd_id,$S$2,D$5,D$4,$B102,"K"),"")</f>
        <v/>
      </c>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t="s">
        <v>1491</v>
      </c>
    </row>
    <row r="103" spans="1:16" x14ac:dyDescent="0.4">
      <c r="A103" s="39" t="s">
        <v>1332</v>
      </c>
      <c r="B103" s="37" t="s">
        <v>1432</v>
      </c>
      <c r="C103" s="38" t="str">
        <f>IFERROR([1]!IntrinioBankFinancials(rssd_id,$S$2,C$5,C$4,$B103,"K"),"")</f>
        <v/>
      </c>
      <c r="D103" s="38" t="str">
        <f>IFERROR([1]!IntrinioBankFinancials(rssd_id,$S$2,D$5,D$4,$B103,"K"),"")</f>
        <v/>
      </c>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1492</v>
      </c>
    </row>
    <row r="104" spans="1:16" x14ac:dyDescent="0.4">
      <c r="A104" s="39" t="s">
        <v>1333</v>
      </c>
      <c r="B104" s="37" t="s">
        <v>2717</v>
      </c>
      <c r="C104" s="38" t="str">
        <f>IFERROR([1]!IntrinioBankFinancials(rssd_id,$S$2,C$5,C$4,$B104,"K"),"")</f>
        <v/>
      </c>
      <c r="D104" s="38" t="str">
        <f>IFERROR([1]!IntrinioBankFinancials(rssd_id,$S$2,D$5,D$4,$B104,"K"),"")</f>
        <v/>
      </c>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1493</v>
      </c>
    </row>
    <row r="105" spans="1:16" x14ac:dyDescent="0.4">
      <c r="A105" s="39" t="s">
        <v>1422</v>
      </c>
      <c r="B105" s="37"/>
      <c r="C105" s="38" t="str">
        <f>IFERROR([1]!IntrinioBankFinancials(rssd_id,$S$2,C$5,C$4,$B105,"K"),"")</f>
        <v/>
      </c>
      <c r="D105" s="38" t="str">
        <f>IFERROR([1]!IntrinioBankFinancials(rssd_id,$S$2,D$5,D$4,$B105,"K"),"")</f>
        <v/>
      </c>
      <c r="E105" s="38" t="str">
        <f>IFERROR([1]!IntrinioBankFinancials(rssd_id,$S$2,E$5,E$4,$B105,"K"),"")</f>
        <v/>
      </c>
      <c r="F105" s="38" t="str">
        <f>IFERROR([1]!IntrinioBankFinancials(rssd_id,$S$2,F$5,F$4,$B105,"K"),"")</f>
        <v/>
      </c>
      <c r="G105" s="38" t="str">
        <f>IFERROR([1]!IntrinioBankFinancials(rssd_id,$S$2,G$5,G$4,$B105,"K"),"")</f>
        <v/>
      </c>
      <c r="H105" s="38" t="str">
        <f>IFERROR([1]!IntrinioBankFinancials(rssd_id,$S$2,H$5,H$4,$B105,"K"),"")</f>
        <v/>
      </c>
      <c r="I105" s="38" t="str">
        <f>IFERROR([1]!IntrinioBankFinancials(rssd_id,$S$2,I$5,I$4,$B105,"K"),"")</f>
        <v/>
      </c>
      <c r="J105" s="38" t="str">
        <f>IFERROR([1]!IntrinioBankFinancials(rssd_id,$S$2,J$5,J$4,$B105,"K"),"")</f>
        <v/>
      </c>
      <c r="K105" s="38" t="str">
        <f>IFERROR([1]!IntrinioBankFinancials(rssd_id,$S$2,K$5,K$4,$B105,"K"),"")</f>
        <v/>
      </c>
      <c r="L105" s="38" t="str">
        <f>IFERROR([1]!IntrinioBankFinancials(rssd_id,$S$2,L$5,L$4,$B105,"K"),"")</f>
        <v/>
      </c>
      <c r="M105" s="38" t="str">
        <f>IFERROR([1]!IntrinioBankFinancials(rssd_id,$S$2,M$5,M$4,$B105,"K"),"")</f>
        <v/>
      </c>
      <c r="N105" s="38" t="str">
        <f>IFERROR([1]!IntrinioBankFinancials(rssd_id,$S$2,N$5,N$4,$B105,"K"),"")</f>
        <v/>
      </c>
      <c r="O105" s="38" t="str">
        <f>IFERROR([1]!IntrinioBankFinancials(rssd_id,$S$2,O$5,O$4,$B105,"K"),"")</f>
        <v/>
      </c>
      <c r="P105" s="49" t="s">
        <v>1494</v>
      </c>
    </row>
    <row r="106" spans="1:16" x14ac:dyDescent="0.4">
      <c r="A106" s="39" t="s">
        <v>1332</v>
      </c>
      <c r="B106" s="37" t="s">
        <v>1433</v>
      </c>
      <c r="C106" s="38" t="str">
        <f>IFERROR([1]!IntrinioBankFinancials(rssd_id,$S$2,C$5,C$4,$B106,"K"),"")</f>
        <v/>
      </c>
      <c r="D106" s="38" t="str">
        <f>IFERROR([1]!IntrinioBankFinancials(rssd_id,$S$2,D$5,D$4,$B106,"K"),"")</f>
        <v/>
      </c>
      <c r="E106" s="38" t="str">
        <f>IFERROR([1]!IntrinioBankFinancials(rssd_id,$S$2,E$5,E$4,$B106,"K"),"")</f>
        <v/>
      </c>
      <c r="F106" s="38" t="str">
        <f>IFERROR([1]!IntrinioBankFinancials(rssd_id,$S$2,F$5,F$4,$B106,"K"),"")</f>
        <v/>
      </c>
      <c r="G106" s="38" t="str">
        <f>IFERROR([1]!IntrinioBankFinancials(rssd_id,$S$2,G$5,G$4,$B106,"K"),"")</f>
        <v/>
      </c>
      <c r="H106" s="38" t="str">
        <f>IFERROR([1]!IntrinioBankFinancials(rssd_id,$S$2,H$5,H$4,$B106,"K"),"")</f>
        <v/>
      </c>
      <c r="I106" s="38" t="str">
        <f>IFERROR([1]!IntrinioBankFinancials(rssd_id,$S$2,I$5,I$4,$B106,"K"),"")</f>
        <v/>
      </c>
      <c r="J106" s="38" t="str">
        <f>IFERROR([1]!IntrinioBankFinancials(rssd_id,$S$2,J$5,J$4,$B106,"K"),"")</f>
        <v/>
      </c>
      <c r="K106" s="38" t="str">
        <f>IFERROR([1]!IntrinioBankFinancials(rssd_id,$S$2,K$5,K$4,$B106,"K"),"")</f>
        <v/>
      </c>
      <c r="L106" s="38" t="str">
        <f>IFERROR([1]!IntrinioBankFinancials(rssd_id,$S$2,L$5,L$4,$B106,"K"),"")</f>
        <v/>
      </c>
      <c r="M106" s="38" t="str">
        <f>IFERROR([1]!IntrinioBankFinancials(rssd_id,$S$2,M$5,M$4,$B106,"K"),"")</f>
        <v/>
      </c>
      <c r="N106" s="38" t="str">
        <f>IFERROR([1]!IntrinioBankFinancials(rssd_id,$S$2,N$5,N$4,$B106,"K"),"")</f>
        <v/>
      </c>
      <c r="O106" s="38" t="str">
        <f>IFERROR([1]!IntrinioBankFinancials(rssd_id,$S$2,O$5,O$4,$B106,"K"),"")</f>
        <v/>
      </c>
      <c r="P106" s="49" t="s">
        <v>1495</v>
      </c>
    </row>
    <row r="107" spans="1:16" x14ac:dyDescent="0.4">
      <c r="A107" s="39" t="s">
        <v>1333</v>
      </c>
      <c r="B107" s="37" t="s">
        <v>2718</v>
      </c>
      <c r="C107" s="38" t="str">
        <f>IFERROR([1]!IntrinioBankFinancials(rssd_id,$S$2,C$5,C$4,$B107,"K"),"")</f>
        <v/>
      </c>
      <c r="D107" s="38" t="str">
        <f>IFERROR([1]!IntrinioBankFinancials(rssd_id,$S$2,D$5,D$4,$B107,"K"),"")</f>
        <v/>
      </c>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t="s">
        <v>1496</v>
      </c>
    </row>
    <row r="108" spans="1:16" x14ac:dyDescent="0.4">
      <c r="A108" s="39" t="s">
        <v>1424</v>
      </c>
      <c r="B108" s="37"/>
      <c r="C108" s="38" t="str">
        <f>IFERROR([1]!IntrinioBankFinancials(rssd_id,$S$2,C$5,C$4,$B108,"K"),"")</f>
        <v/>
      </c>
      <c r="D108" s="38" t="str">
        <f>IFERROR([1]!IntrinioBankFinancials(rssd_id,$S$2,D$5,D$4,$B108,"K"),"")</f>
        <v/>
      </c>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t="s">
        <v>1497</v>
      </c>
    </row>
    <row r="109" spans="1:16" x14ac:dyDescent="0.4">
      <c r="A109" s="39" t="s">
        <v>1332</v>
      </c>
      <c r="B109" s="37" t="s">
        <v>1434</v>
      </c>
      <c r="C109" s="38" t="str">
        <f>IFERROR([1]!IntrinioBankFinancials(rssd_id,$S$2,C$5,C$4,$B109,"K"),"")</f>
        <v/>
      </c>
      <c r="D109" s="38" t="str">
        <f>IFERROR([1]!IntrinioBankFinancials(rssd_id,$S$2,D$5,D$4,$B109,"K"),"")</f>
        <v/>
      </c>
      <c r="E109" s="38" t="str">
        <f>IFERROR([1]!IntrinioBankFinancials(rssd_id,$S$2,E$5,E$4,$B109,"K"),"")</f>
        <v/>
      </c>
      <c r="F109" s="38" t="str">
        <f>IFERROR([1]!IntrinioBankFinancials(rssd_id,$S$2,F$5,F$4,$B109,"K"),"")</f>
        <v/>
      </c>
      <c r="G109" s="38" t="str">
        <f>IFERROR([1]!IntrinioBankFinancials(rssd_id,$S$2,G$5,G$4,$B109,"K"),"")</f>
        <v/>
      </c>
      <c r="H109" s="38" t="str">
        <f>IFERROR([1]!IntrinioBankFinancials(rssd_id,$S$2,H$5,H$4,$B109,"K"),"")</f>
        <v/>
      </c>
      <c r="I109" s="38" t="str">
        <f>IFERROR([1]!IntrinioBankFinancials(rssd_id,$S$2,I$5,I$4,$B109,"K"),"")</f>
        <v/>
      </c>
      <c r="J109" s="38" t="str">
        <f>IFERROR([1]!IntrinioBankFinancials(rssd_id,$S$2,J$5,J$4,$B109,"K"),"")</f>
        <v/>
      </c>
      <c r="K109" s="38" t="str">
        <f>IFERROR([1]!IntrinioBankFinancials(rssd_id,$S$2,K$5,K$4,$B109,"K"),"")</f>
        <v/>
      </c>
      <c r="L109" s="38" t="str">
        <f>IFERROR([1]!IntrinioBankFinancials(rssd_id,$S$2,L$5,L$4,$B109,"K"),"")</f>
        <v/>
      </c>
      <c r="M109" s="38" t="str">
        <f>IFERROR([1]!IntrinioBankFinancials(rssd_id,$S$2,M$5,M$4,$B109,"K"),"")</f>
        <v/>
      </c>
      <c r="N109" s="38" t="str">
        <f>IFERROR([1]!IntrinioBankFinancials(rssd_id,$S$2,N$5,N$4,$B109,"K"),"")</f>
        <v/>
      </c>
      <c r="O109" s="38" t="str">
        <f>IFERROR([1]!IntrinioBankFinancials(rssd_id,$S$2,O$5,O$4,$B109,"K"),"")</f>
        <v/>
      </c>
      <c r="P109" s="49" t="s">
        <v>1498</v>
      </c>
    </row>
    <row r="110" spans="1:16" x14ac:dyDescent="0.4">
      <c r="A110" s="39" t="s">
        <v>1333</v>
      </c>
      <c r="B110" s="37" t="s">
        <v>2719</v>
      </c>
      <c r="C110" s="38" t="str">
        <f>IFERROR([1]!IntrinioBankFinancials(rssd_id,$S$2,C$5,C$4,$B110,"K"),"")</f>
        <v/>
      </c>
      <c r="D110" s="38" t="str">
        <f>IFERROR([1]!IntrinioBankFinancials(rssd_id,$S$2,D$5,D$4,$B110,"K"),"")</f>
        <v/>
      </c>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t="s">
        <v>1499</v>
      </c>
    </row>
    <row r="111" spans="1:16" x14ac:dyDescent="0.4">
      <c r="A111" s="39" t="s">
        <v>1435</v>
      </c>
      <c r="B111" s="37"/>
      <c r="C111" s="38" t="str">
        <f>IFERROR([1]!IntrinioBankFinancials(rssd_id,$S$2,C$5,C$4,$B111,"K"),"")</f>
        <v/>
      </c>
      <c r="D111" s="38" t="str">
        <f>IFERROR([1]!IntrinioBankFinancials(rssd_id,$S$2,D$5,D$4,$B111,"K"),"")</f>
        <v/>
      </c>
      <c r="E111" s="38" t="str">
        <f>IFERROR([1]!IntrinioBankFinancials(rssd_id,$S$2,E$5,E$4,$B111,"K"),"")</f>
        <v/>
      </c>
      <c r="F111" s="38" t="str">
        <f>IFERROR([1]!IntrinioBankFinancials(rssd_id,$S$2,F$5,F$4,$B111,"K"),"")</f>
        <v/>
      </c>
      <c r="G111" s="38" t="str">
        <f>IFERROR([1]!IntrinioBankFinancials(rssd_id,$S$2,G$5,G$4,$B111,"K"),"")</f>
        <v/>
      </c>
      <c r="H111" s="38" t="str">
        <f>IFERROR([1]!IntrinioBankFinancials(rssd_id,$S$2,H$5,H$4,$B111,"K"),"")</f>
        <v/>
      </c>
      <c r="I111" s="38" t="str">
        <f>IFERROR([1]!IntrinioBankFinancials(rssd_id,$S$2,I$5,I$4,$B111,"K"),"")</f>
        <v/>
      </c>
      <c r="J111" s="38" t="str">
        <f>IFERROR([1]!IntrinioBankFinancials(rssd_id,$S$2,J$5,J$4,$B111,"K"),"")</f>
        <v/>
      </c>
      <c r="K111" s="38" t="str">
        <f>IFERROR([1]!IntrinioBankFinancials(rssd_id,$S$2,K$5,K$4,$B111,"K"),"")</f>
        <v/>
      </c>
      <c r="L111" s="38" t="str">
        <f>IFERROR([1]!IntrinioBankFinancials(rssd_id,$S$2,L$5,L$4,$B111,"K"),"")</f>
        <v/>
      </c>
      <c r="M111" s="38" t="str">
        <f>IFERROR([1]!IntrinioBankFinancials(rssd_id,$S$2,M$5,M$4,$B111,"K"),"")</f>
        <v/>
      </c>
      <c r="N111" s="38" t="str">
        <f>IFERROR([1]!IntrinioBankFinancials(rssd_id,$S$2,N$5,N$4,$B111,"K"),"")</f>
        <v/>
      </c>
      <c r="O111" s="38" t="str">
        <f>IFERROR([1]!IntrinioBankFinancials(rssd_id,$S$2,O$5,O$4,$B111,"K"),"")</f>
        <v/>
      </c>
      <c r="P111" s="49">
        <v>11</v>
      </c>
    </row>
    <row r="112" spans="1:16" x14ac:dyDescent="0.4">
      <c r="A112" s="39" t="s">
        <v>1436</v>
      </c>
      <c r="B112" s="37" t="s">
        <v>2720</v>
      </c>
      <c r="C112" s="38" t="str">
        <f>IFERROR([1]!IntrinioBankFinancials(rssd_id,$S$2,C$5,C$4,$B112,"K"),"")</f>
        <v/>
      </c>
      <c r="D112" s="38" t="str">
        <f>IFERROR([1]!IntrinioBankFinancials(rssd_id,$S$2,D$5,D$4,$B112,"K"),"")</f>
        <v/>
      </c>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1372</v>
      </c>
    </row>
    <row r="113" spans="1:16" x14ac:dyDescent="0.4">
      <c r="A113" s="39" t="s">
        <v>1437</v>
      </c>
      <c r="B113" s="37" t="s">
        <v>2721</v>
      </c>
      <c r="C113" s="38" t="str">
        <f>IFERROR([1]!IntrinioBankFinancials(rssd_id,$S$2,C$5,C$4,$B113,"K"),"")</f>
        <v/>
      </c>
      <c r="D113" s="38" t="str">
        <f>IFERROR([1]!IntrinioBankFinancials(rssd_id,$S$2,D$5,D$4,$B113,"K"),"")</f>
        <v/>
      </c>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t="s">
        <v>1373</v>
      </c>
    </row>
    <row r="114" spans="1:16" x14ac:dyDescent="0.4">
      <c r="A114" s="39"/>
      <c r="B114" s="37"/>
      <c r="C114" s="38" t="str">
        <f>IFERROR([1]!IntrinioBankFinancials(rssd_id,$S$2,C$5,C$4,$B114,"K"),"")</f>
        <v/>
      </c>
      <c r="D114" s="38" t="str">
        <f>IFERROR([1]!IntrinioBankFinancials(rssd_id,$S$2,D$5,D$4,$B114,"K"),"")</f>
        <v/>
      </c>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row>
    <row r="115" spans="1:16" x14ac:dyDescent="0.4">
      <c r="A115" s="39" t="s">
        <v>1438</v>
      </c>
      <c r="B115" s="37"/>
      <c r="C115" s="38" t="str">
        <f>IFERROR([1]!IntrinioBankFinancials(rssd_id,$S$2,C$5,C$4,$B115,"K"),"")</f>
        <v/>
      </c>
      <c r="D115" s="38" t="str">
        <f>IFERROR([1]!IntrinioBankFinancials(rssd_id,$S$2,D$5,D$4,$B115,"K"),"")</f>
        <v/>
      </c>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row>
    <row r="116" spans="1:16" x14ac:dyDescent="0.4">
      <c r="A116" s="39" t="s">
        <v>1439</v>
      </c>
      <c r="B116" s="37"/>
      <c r="C116" s="38" t="str">
        <f>IFERROR([1]!IntrinioBankFinancials(rssd_id,$S$2,C$5,C$4,$B116,"K"),"")</f>
        <v/>
      </c>
      <c r="D116" s="38" t="str">
        <f>IFERROR([1]!IntrinioBankFinancials(rssd_id,$S$2,D$5,D$4,$B116,"K"),"")</f>
        <v/>
      </c>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v>12</v>
      </c>
    </row>
    <row r="117" spans="1:16" x14ac:dyDescent="0.4">
      <c r="A117" s="39" t="s">
        <v>1440</v>
      </c>
      <c r="B117" s="37" t="s">
        <v>2722</v>
      </c>
      <c r="C117" s="38" t="str">
        <f>IFERROR([1]!IntrinioBankFinancials(rssd_id,$S$2,C$5,C$4,$B117,"K"),"")</f>
        <v/>
      </c>
      <c r="D117" s="38" t="str">
        <f>IFERROR([1]!IntrinioBankFinancials(rssd_id,$S$2,D$5,D$4,$B117,"K"),"")</f>
        <v/>
      </c>
      <c r="E117" s="38" t="str">
        <f>IFERROR([1]!IntrinioBankFinancials(rssd_id,$S$2,E$5,E$4,$B117,"K"),"")</f>
        <v/>
      </c>
      <c r="F117" s="38" t="str">
        <f>IFERROR([1]!IntrinioBankFinancials(rssd_id,$S$2,F$5,F$4,$B117,"K"),"")</f>
        <v/>
      </c>
      <c r="G117" s="38" t="str">
        <f>IFERROR([1]!IntrinioBankFinancials(rssd_id,$S$2,G$5,G$4,$B117,"K"),"")</f>
        <v/>
      </c>
      <c r="H117" s="38" t="str">
        <f>IFERROR([1]!IntrinioBankFinancials(rssd_id,$S$2,H$5,H$4,$B117,"K"),"")</f>
        <v/>
      </c>
      <c r="I117" s="38" t="str">
        <f>IFERROR([1]!IntrinioBankFinancials(rssd_id,$S$2,I$5,I$4,$B117,"K"),"")</f>
        <v/>
      </c>
      <c r="J117" s="38" t="str">
        <f>IFERROR([1]!IntrinioBankFinancials(rssd_id,$S$2,J$5,J$4,$B117,"K"),"")</f>
        <v/>
      </c>
      <c r="K117" s="38" t="str">
        <f>IFERROR([1]!IntrinioBankFinancials(rssd_id,$S$2,K$5,K$4,$B117,"K"),"")</f>
        <v/>
      </c>
      <c r="L117" s="38" t="str">
        <f>IFERROR([1]!IntrinioBankFinancials(rssd_id,$S$2,L$5,L$4,$B117,"K"),"")</f>
        <v/>
      </c>
      <c r="M117" s="38" t="str">
        <f>IFERROR([1]!IntrinioBankFinancials(rssd_id,$S$2,M$5,M$4,$B117,"K"),"")</f>
        <v/>
      </c>
      <c r="N117" s="38" t="str">
        <f>IFERROR([1]!IntrinioBankFinancials(rssd_id,$S$2,N$5,N$4,$B117,"K"),"")</f>
        <v/>
      </c>
      <c r="O117" s="38" t="str">
        <f>IFERROR([1]!IntrinioBankFinancials(rssd_id,$S$2,O$5,O$4,$B117,"K"),"")</f>
        <v/>
      </c>
      <c r="P117" s="49" t="s">
        <v>1500</v>
      </c>
    </row>
    <row r="118" spans="1:16" x14ac:dyDescent="0.4">
      <c r="A118" s="39" t="s">
        <v>1441</v>
      </c>
      <c r="B118" s="37" t="s">
        <v>2723</v>
      </c>
      <c r="C118" s="38" t="str">
        <f>IFERROR([1]!IntrinioBankFinancials(rssd_id,$S$2,C$5,C$4,$B118,"K"),"")</f>
        <v/>
      </c>
      <c r="D118" s="38" t="str">
        <f>IFERROR([1]!IntrinioBankFinancials(rssd_id,$S$2,D$5,D$4,$B118,"K"),"")</f>
        <v/>
      </c>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1501</v>
      </c>
    </row>
    <row r="119" spans="1:16" x14ac:dyDescent="0.4">
      <c r="A119" s="39" t="s">
        <v>1442</v>
      </c>
      <c r="B119" s="37"/>
      <c r="C119" s="38" t="str">
        <f>IFERROR([1]!IntrinioBankFinancials(rssd_id,$S$2,C$5,C$4,$B119,"K"),"")</f>
        <v/>
      </c>
      <c r="D119" s="38" t="str">
        <f>IFERROR([1]!IntrinioBankFinancials(rssd_id,$S$2,D$5,D$4,$B119,"K"),"")</f>
        <v/>
      </c>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1502</v>
      </c>
    </row>
    <row r="120" spans="1:16" x14ac:dyDescent="0.4">
      <c r="A120" s="39" t="s">
        <v>1443</v>
      </c>
      <c r="B120" s="37" t="s">
        <v>2724</v>
      </c>
      <c r="C120" s="38" t="str">
        <f>IFERROR([1]!IntrinioBankFinancials(rssd_id,$S$2,C$5,C$4,$B120,"K"),"")</f>
        <v/>
      </c>
      <c r="D120" s="38" t="str">
        <f>IFERROR([1]!IntrinioBankFinancials(rssd_id,$S$2,D$5,D$4,$B120,"K"),"")</f>
        <v/>
      </c>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t="s">
        <v>1503</v>
      </c>
    </row>
    <row r="121" spans="1:16" x14ac:dyDescent="0.4">
      <c r="A121" s="39" t="s">
        <v>1444</v>
      </c>
      <c r="B121" s="37" t="s">
        <v>2725</v>
      </c>
      <c r="C121" s="38" t="str">
        <f>IFERROR([1]!IntrinioBankFinancials(rssd_id,$S$2,C$5,C$4,$B121,"K"),"")</f>
        <v/>
      </c>
      <c r="D121" s="38" t="str">
        <f>IFERROR([1]!IntrinioBankFinancials(rssd_id,$S$2,D$5,D$4,$B121,"K"),"")</f>
        <v/>
      </c>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t="s">
        <v>1504</v>
      </c>
    </row>
    <row r="122" spans="1:16" x14ac:dyDescent="0.4">
      <c r="A122" s="39" t="s">
        <v>1445</v>
      </c>
      <c r="B122" s="37"/>
      <c r="C122" s="38" t="str">
        <f>IFERROR([1]!IntrinioBankFinancials(rssd_id,$S$2,C$5,C$4,$B122,"K"),"")</f>
        <v/>
      </c>
      <c r="D122" s="38" t="str">
        <f>IFERROR([1]!IntrinioBankFinancials(rssd_id,$S$2,D$5,D$4,$B122,"K"),"")</f>
        <v/>
      </c>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t="s">
        <v>1505</v>
      </c>
    </row>
    <row r="123" spans="1:16" x14ac:dyDescent="0.4">
      <c r="A123" s="39" t="s">
        <v>1443</v>
      </c>
      <c r="B123" s="37" t="s">
        <v>2726</v>
      </c>
      <c r="C123" s="38" t="str">
        <f>IFERROR([1]!IntrinioBankFinancials(rssd_id,$S$2,C$5,C$4,$B123,"K"),"")</f>
        <v/>
      </c>
      <c r="D123" s="38" t="str">
        <f>IFERROR([1]!IntrinioBankFinancials(rssd_id,$S$2,D$5,D$4,$B123,"K"),"")</f>
        <v/>
      </c>
      <c r="E123" s="38" t="str">
        <f>IFERROR([1]!IntrinioBankFinancials(rssd_id,$S$2,E$5,E$4,$B123,"K"),"")</f>
        <v/>
      </c>
      <c r="F123" s="38" t="str">
        <f>IFERROR([1]!IntrinioBankFinancials(rssd_id,$S$2,F$5,F$4,$B123,"K"),"")</f>
        <v/>
      </c>
      <c r="G123" s="38" t="str">
        <f>IFERROR([1]!IntrinioBankFinancials(rssd_id,$S$2,G$5,G$4,$B123,"K"),"")</f>
        <v/>
      </c>
      <c r="H123" s="38" t="str">
        <f>IFERROR([1]!IntrinioBankFinancials(rssd_id,$S$2,H$5,H$4,$B123,"K"),"")</f>
        <v/>
      </c>
      <c r="I123" s="38" t="str">
        <f>IFERROR([1]!IntrinioBankFinancials(rssd_id,$S$2,I$5,I$4,$B123,"K"),"")</f>
        <v/>
      </c>
      <c r="J123" s="38" t="str">
        <f>IFERROR([1]!IntrinioBankFinancials(rssd_id,$S$2,J$5,J$4,$B123,"K"),"")</f>
        <v/>
      </c>
      <c r="K123" s="38" t="str">
        <f>IFERROR([1]!IntrinioBankFinancials(rssd_id,$S$2,K$5,K$4,$B123,"K"),"")</f>
        <v/>
      </c>
      <c r="L123" s="38" t="str">
        <f>IFERROR([1]!IntrinioBankFinancials(rssd_id,$S$2,L$5,L$4,$B123,"K"),"")</f>
        <v/>
      </c>
      <c r="M123" s="38" t="str">
        <f>IFERROR([1]!IntrinioBankFinancials(rssd_id,$S$2,M$5,M$4,$B123,"K"),"")</f>
        <v/>
      </c>
      <c r="N123" s="38" t="str">
        <f>IFERROR([1]!IntrinioBankFinancials(rssd_id,$S$2,N$5,N$4,$B123,"K"),"")</f>
        <v/>
      </c>
      <c r="O123" s="38" t="str">
        <f>IFERROR([1]!IntrinioBankFinancials(rssd_id,$S$2,O$5,O$4,$B123,"K"),"")</f>
        <v/>
      </c>
      <c r="P123" s="49" t="s">
        <v>1506</v>
      </c>
    </row>
    <row r="124" spans="1:16" x14ac:dyDescent="0.4">
      <c r="A124" s="39" t="s">
        <v>1444</v>
      </c>
      <c r="B124" s="37" t="s">
        <v>2727</v>
      </c>
      <c r="C124" s="38" t="str">
        <f>IFERROR([1]!IntrinioBankFinancials(rssd_id,$S$2,C$5,C$4,$B124,"K"),"")</f>
        <v/>
      </c>
      <c r="D124" s="38" t="str">
        <f>IFERROR([1]!IntrinioBankFinancials(rssd_id,$S$2,D$5,D$4,$B124,"K"),"")</f>
        <v/>
      </c>
      <c r="E124" s="38" t="str">
        <f>IFERROR([1]!IntrinioBankFinancials(rssd_id,$S$2,E$5,E$4,$B124,"K"),"")</f>
        <v/>
      </c>
      <c r="F124" s="38" t="str">
        <f>IFERROR([1]!IntrinioBankFinancials(rssd_id,$S$2,F$5,F$4,$B124,"K"),"")</f>
        <v/>
      </c>
      <c r="G124" s="38" t="str">
        <f>IFERROR([1]!IntrinioBankFinancials(rssd_id,$S$2,G$5,G$4,$B124,"K"),"")</f>
        <v/>
      </c>
      <c r="H124" s="38" t="str">
        <f>IFERROR([1]!IntrinioBankFinancials(rssd_id,$S$2,H$5,H$4,$B124,"K"),"")</f>
        <v/>
      </c>
      <c r="I124" s="38" t="str">
        <f>IFERROR([1]!IntrinioBankFinancials(rssd_id,$S$2,I$5,I$4,$B124,"K"),"")</f>
        <v/>
      </c>
      <c r="J124" s="38" t="str">
        <f>IFERROR([1]!IntrinioBankFinancials(rssd_id,$S$2,J$5,J$4,$B124,"K"),"")</f>
        <v/>
      </c>
      <c r="K124" s="38" t="str">
        <f>IFERROR([1]!IntrinioBankFinancials(rssd_id,$S$2,K$5,K$4,$B124,"K"),"")</f>
        <v/>
      </c>
      <c r="L124" s="38" t="str">
        <f>IFERROR([1]!IntrinioBankFinancials(rssd_id,$S$2,L$5,L$4,$B124,"K"),"")</f>
        <v/>
      </c>
      <c r="M124" s="38" t="str">
        <f>IFERROR([1]!IntrinioBankFinancials(rssd_id,$S$2,M$5,M$4,$B124,"K"),"")</f>
        <v/>
      </c>
      <c r="N124" s="38" t="str">
        <f>IFERROR([1]!IntrinioBankFinancials(rssd_id,$S$2,N$5,N$4,$B124,"K"),"")</f>
        <v/>
      </c>
      <c r="O124" s="38" t="str">
        <f>IFERROR([1]!IntrinioBankFinancials(rssd_id,$S$2,O$5,O$4,$B124,"K"),"")</f>
        <v/>
      </c>
      <c r="P124" s="49" t="s">
        <v>1507</v>
      </c>
    </row>
    <row r="125" spans="1:16" x14ac:dyDescent="0.4">
      <c r="A125" s="39" t="s">
        <v>1446</v>
      </c>
      <c r="B125" s="37" t="s">
        <v>2728</v>
      </c>
      <c r="C125" s="38" t="str">
        <f>IFERROR([1]!IntrinioBankFinancials(rssd_id,$S$2,C$5,C$4,$B125,"K"),"")</f>
        <v/>
      </c>
      <c r="D125" s="38" t="str">
        <f>IFERROR([1]!IntrinioBankFinancials(rssd_id,$S$2,D$5,D$4,$B125,"K"),"")</f>
        <v/>
      </c>
      <c r="E125" s="38" t="str">
        <f>IFERROR([1]!IntrinioBankFinancials(rssd_id,$S$2,E$5,E$4,$B125,"K"),"")</f>
        <v/>
      </c>
      <c r="F125" s="38" t="str">
        <f>IFERROR([1]!IntrinioBankFinancials(rssd_id,$S$2,F$5,F$4,$B125,"K"),"")</f>
        <v/>
      </c>
      <c r="G125" s="38" t="str">
        <f>IFERROR([1]!IntrinioBankFinancials(rssd_id,$S$2,G$5,G$4,$B125,"K"),"")</f>
        <v/>
      </c>
      <c r="H125" s="38" t="str">
        <f>IFERROR([1]!IntrinioBankFinancials(rssd_id,$S$2,H$5,H$4,$B125,"K"),"")</f>
        <v/>
      </c>
      <c r="I125" s="38" t="str">
        <f>IFERROR([1]!IntrinioBankFinancials(rssd_id,$S$2,I$5,I$4,$B125,"K"),"")</f>
        <v/>
      </c>
      <c r="J125" s="38" t="str">
        <f>IFERROR([1]!IntrinioBankFinancials(rssd_id,$S$2,J$5,J$4,$B125,"K"),"")</f>
        <v/>
      </c>
      <c r="K125" s="38" t="str">
        <f>IFERROR([1]!IntrinioBankFinancials(rssd_id,$S$2,K$5,K$4,$B125,"K"),"")</f>
        <v/>
      </c>
      <c r="L125" s="38" t="str">
        <f>IFERROR([1]!IntrinioBankFinancials(rssd_id,$S$2,L$5,L$4,$B125,"K"),"")</f>
        <v/>
      </c>
      <c r="M125" s="38" t="str">
        <f>IFERROR([1]!IntrinioBankFinancials(rssd_id,$S$2,M$5,M$4,$B125,"K"),"")</f>
        <v/>
      </c>
      <c r="N125" s="38" t="str">
        <f>IFERROR([1]!IntrinioBankFinancials(rssd_id,$S$2,N$5,N$4,$B125,"K"),"")</f>
        <v/>
      </c>
      <c r="O125" s="38" t="str">
        <f>IFERROR([1]!IntrinioBankFinancials(rssd_id,$S$2,O$5,O$4,$B125,"K"),"")</f>
        <v/>
      </c>
      <c r="P125" s="49" t="s">
        <v>1508</v>
      </c>
    </row>
    <row r="126" spans="1:16" x14ac:dyDescent="0.4">
      <c r="A126" s="39" t="s">
        <v>1447</v>
      </c>
      <c r="B126" s="37" t="s">
        <v>2729</v>
      </c>
      <c r="C126" s="38" t="str">
        <f>IFERROR([1]!IntrinioBankFinancials(rssd_id,$S$2,C$5,C$4,$B126,"K"),"")</f>
        <v/>
      </c>
      <c r="D126" s="38" t="str">
        <f>IFERROR([1]!IntrinioBankFinancials(rssd_id,$S$2,D$5,D$4,$B126,"K"),"")</f>
        <v/>
      </c>
      <c r="E126" s="38" t="str">
        <f>IFERROR([1]!IntrinioBankFinancials(rssd_id,$S$2,E$5,E$4,$B126,"K"),"")</f>
        <v/>
      </c>
      <c r="F126" s="38" t="str">
        <f>IFERROR([1]!IntrinioBankFinancials(rssd_id,$S$2,F$5,F$4,$B126,"K"),"")</f>
        <v/>
      </c>
      <c r="G126" s="38" t="str">
        <f>IFERROR([1]!IntrinioBankFinancials(rssd_id,$S$2,G$5,G$4,$B126,"K"),"")</f>
        <v/>
      </c>
      <c r="H126" s="38" t="str">
        <f>IFERROR([1]!IntrinioBankFinancials(rssd_id,$S$2,H$5,H$4,$B126,"K"),"")</f>
        <v/>
      </c>
      <c r="I126" s="38" t="str">
        <f>IFERROR([1]!IntrinioBankFinancials(rssd_id,$S$2,I$5,I$4,$B126,"K"),"")</f>
        <v/>
      </c>
      <c r="J126" s="38" t="str">
        <f>IFERROR([1]!IntrinioBankFinancials(rssd_id,$S$2,J$5,J$4,$B126,"K"),"")</f>
        <v/>
      </c>
      <c r="K126" s="38" t="str">
        <f>IFERROR([1]!IntrinioBankFinancials(rssd_id,$S$2,K$5,K$4,$B126,"K"),"")</f>
        <v/>
      </c>
      <c r="L126" s="38" t="str">
        <f>IFERROR([1]!IntrinioBankFinancials(rssd_id,$S$2,L$5,L$4,$B126,"K"),"")</f>
        <v/>
      </c>
      <c r="M126" s="38" t="str">
        <f>IFERROR([1]!IntrinioBankFinancials(rssd_id,$S$2,M$5,M$4,$B126,"K"),"")</f>
        <v/>
      </c>
      <c r="N126" s="38" t="str">
        <f>IFERROR([1]!IntrinioBankFinancials(rssd_id,$S$2,N$5,N$4,$B126,"K"),"")</f>
        <v/>
      </c>
      <c r="O126" s="38" t="str">
        <f>IFERROR([1]!IntrinioBankFinancials(rssd_id,$S$2,O$5,O$4,$B126,"K"),"")</f>
        <v/>
      </c>
      <c r="P126" s="49">
        <v>13</v>
      </c>
    </row>
    <row r="127" spans="1:16" ht="28.5" x14ac:dyDescent="0.4">
      <c r="A127" s="39" t="s">
        <v>1448</v>
      </c>
      <c r="B127" s="37" t="s">
        <v>2730</v>
      </c>
      <c r="C127" s="38" t="str">
        <f>IFERROR([1]!IntrinioBankFinancials(rssd_id,$S$2,C$5,C$4,$B127,"K"),"")</f>
        <v/>
      </c>
      <c r="D127" s="38" t="str">
        <f>IFERROR([1]!IntrinioBankFinancials(rssd_id,$S$2,D$5,D$4,$B127,"K"),"")</f>
        <v/>
      </c>
      <c r="E127" s="38" t="str">
        <f>IFERROR([1]!IntrinioBankFinancials(rssd_id,$S$2,E$5,E$4,$B127,"K"),"")</f>
        <v/>
      </c>
      <c r="F127" s="38" t="str">
        <f>IFERROR([1]!IntrinioBankFinancials(rssd_id,$S$2,F$5,F$4,$B127,"K"),"")</f>
        <v/>
      </c>
      <c r="G127" s="38" t="str">
        <f>IFERROR([1]!IntrinioBankFinancials(rssd_id,$S$2,G$5,G$4,$B127,"K"),"")</f>
        <v/>
      </c>
      <c r="H127" s="38" t="str">
        <f>IFERROR([1]!IntrinioBankFinancials(rssd_id,$S$2,H$5,H$4,$B127,"K"),"")</f>
        <v/>
      </c>
      <c r="I127" s="38" t="str">
        <f>IFERROR([1]!IntrinioBankFinancials(rssd_id,$S$2,I$5,I$4,$B127,"K"),"")</f>
        <v/>
      </c>
      <c r="J127" s="38" t="str">
        <f>IFERROR([1]!IntrinioBankFinancials(rssd_id,$S$2,J$5,J$4,$B127,"K"),"")</f>
        <v/>
      </c>
      <c r="K127" s="38" t="str">
        <f>IFERROR([1]!IntrinioBankFinancials(rssd_id,$S$2,K$5,K$4,$B127,"K"),"")</f>
        <v/>
      </c>
      <c r="L127" s="38" t="str">
        <f>IFERROR([1]!IntrinioBankFinancials(rssd_id,$S$2,L$5,L$4,$B127,"K"),"")</f>
        <v/>
      </c>
      <c r="M127" s="38" t="str">
        <f>IFERROR([1]!IntrinioBankFinancials(rssd_id,$S$2,M$5,M$4,$B127,"K"),"")</f>
        <v/>
      </c>
      <c r="N127" s="38" t="str">
        <f>IFERROR([1]!IntrinioBankFinancials(rssd_id,$S$2,N$5,N$4,$B127,"K"),"")</f>
        <v/>
      </c>
      <c r="O127" s="38" t="str">
        <f>IFERROR([1]!IntrinioBankFinancials(rssd_id,$S$2,O$5,O$4,$B127,"K"),"")</f>
        <v/>
      </c>
      <c r="P127" s="49">
        <v>14</v>
      </c>
    </row>
    <row r="128" spans="1:16" x14ac:dyDescent="0.4">
      <c r="A128" s="39" t="s">
        <v>1449</v>
      </c>
      <c r="B128" s="37" t="s">
        <v>2731</v>
      </c>
      <c r="C128" s="38" t="str">
        <f>IFERROR([1]!IntrinioBankFinancials(rssd_id,$S$2,C$5,C$4,$B128,"K"),"")</f>
        <v/>
      </c>
      <c r="D128" s="38" t="str">
        <f>IFERROR([1]!IntrinioBankFinancials(rssd_id,$S$2,D$5,D$4,$B128,"K"),"")</f>
        <v/>
      </c>
      <c r="E128" s="38" t="str">
        <f>IFERROR([1]!IntrinioBankFinancials(rssd_id,$S$2,E$5,E$4,$B128,"K"),"")</f>
        <v/>
      </c>
      <c r="F128" s="38" t="str">
        <f>IFERROR([1]!IntrinioBankFinancials(rssd_id,$S$2,F$5,F$4,$B128,"K"),"")</f>
        <v/>
      </c>
      <c r="G128" s="38" t="str">
        <f>IFERROR([1]!IntrinioBankFinancials(rssd_id,$S$2,G$5,G$4,$B128,"K"),"")</f>
        <v/>
      </c>
      <c r="H128" s="38" t="str">
        <f>IFERROR([1]!IntrinioBankFinancials(rssd_id,$S$2,H$5,H$4,$B128,"K"),"")</f>
        <v/>
      </c>
      <c r="I128" s="38" t="str">
        <f>IFERROR([1]!IntrinioBankFinancials(rssd_id,$S$2,I$5,I$4,$B128,"K"),"")</f>
        <v/>
      </c>
      <c r="J128" s="38" t="str">
        <f>IFERROR([1]!IntrinioBankFinancials(rssd_id,$S$2,J$5,J$4,$B128,"K"),"")</f>
        <v/>
      </c>
      <c r="K128" s="38" t="str">
        <f>IFERROR([1]!IntrinioBankFinancials(rssd_id,$S$2,K$5,K$4,$B128,"K"),"")</f>
        <v/>
      </c>
      <c r="L128" s="38" t="str">
        <f>IFERROR([1]!IntrinioBankFinancials(rssd_id,$S$2,L$5,L$4,$B128,"K"),"")</f>
        <v/>
      </c>
      <c r="M128" s="38" t="str">
        <f>IFERROR([1]!IntrinioBankFinancials(rssd_id,$S$2,M$5,M$4,$B128,"K"),"")</f>
        <v/>
      </c>
      <c r="N128" s="38" t="str">
        <f>IFERROR([1]!IntrinioBankFinancials(rssd_id,$S$2,N$5,N$4,$B128,"K"),"")</f>
        <v/>
      </c>
      <c r="O128" s="38" t="str">
        <f>IFERROR([1]!IntrinioBankFinancials(rssd_id,$S$2,O$5,O$4,$B128,"K"),"")</f>
        <v/>
      </c>
      <c r="P128" s="49" t="s">
        <v>632</v>
      </c>
    </row>
    <row r="129" spans="1:16" x14ac:dyDescent="0.4">
      <c r="A129" s="39" t="s">
        <v>1450</v>
      </c>
      <c r="B129" s="37"/>
      <c r="C129" s="38" t="str">
        <f>IFERROR([1]!IntrinioBankFinancials(rssd_id,$S$2,C$5,C$4,$B129,"K"),"")</f>
        <v/>
      </c>
      <c r="D129" s="38" t="str">
        <f>IFERROR([1]!IntrinioBankFinancials(rssd_id,$S$2,D$5,D$4,$B129,"K"),"")</f>
        <v/>
      </c>
      <c r="E129" s="38" t="str">
        <f>IFERROR([1]!IntrinioBankFinancials(rssd_id,$S$2,E$5,E$4,$B129,"K"),"")</f>
        <v/>
      </c>
      <c r="F129" s="38" t="str">
        <f>IFERROR([1]!IntrinioBankFinancials(rssd_id,$S$2,F$5,F$4,$B129,"K"),"")</f>
        <v/>
      </c>
      <c r="G129" s="38" t="str">
        <f>IFERROR([1]!IntrinioBankFinancials(rssd_id,$S$2,G$5,G$4,$B129,"K"),"")</f>
        <v/>
      </c>
      <c r="H129" s="38" t="str">
        <f>IFERROR([1]!IntrinioBankFinancials(rssd_id,$S$2,H$5,H$4,$B129,"K"),"")</f>
        <v/>
      </c>
      <c r="I129" s="38" t="str">
        <f>IFERROR([1]!IntrinioBankFinancials(rssd_id,$S$2,I$5,I$4,$B129,"K"),"")</f>
        <v/>
      </c>
      <c r="J129" s="38" t="str">
        <f>IFERROR([1]!IntrinioBankFinancials(rssd_id,$S$2,J$5,J$4,$B129,"K"),"")</f>
        <v/>
      </c>
      <c r="K129" s="38" t="str">
        <f>IFERROR([1]!IntrinioBankFinancials(rssd_id,$S$2,K$5,K$4,$B129,"K"),"")</f>
        <v/>
      </c>
      <c r="L129" s="38" t="str">
        <f>IFERROR([1]!IntrinioBankFinancials(rssd_id,$S$2,L$5,L$4,$B129,"K"),"")</f>
        <v/>
      </c>
      <c r="M129" s="38" t="str">
        <f>IFERROR([1]!IntrinioBankFinancials(rssd_id,$S$2,M$5,M$4,$B129,"K"),"")</f>
        <v/>
      </c>
      <c r="N129" s="38" t="str">
        <f>IFERROR([1]!IntrinioBankFinancials(rssd_id,$S$2,N$5,N$4,$B129,"K"),"")</f>
        <v/>
      </c>
      <c r="O129" s="38" t="str">
        <f>IFERROR([1]!IntrinioBankFinancials(rssd_id,$S$2,O$5,O$4,$B129,"K"),"")</f>
        <v/>
      </c>
      <c r="P129" s="49">
        <v>15</v>
      </c>
    </row>
    <row r="130" spans="1:16" x14ac:dyDescent="0.4">
      <c r="A130" s="39" t="s">
        <v>1451</v>
      </c>
      <c r="B130" s="37"/>
      <c r="C130" s="38" t="str">
        <f>IFERROR([1]!IntrinioBankFinancials(rssd_id,$S$2,C$5,C$4,$B130,"K"),"")</f>
        <v/>
      </c>
      <c r="D130" s="38" t="str">
        <f>IFERROR([1]!IntrinioBankFinancials(rssd_id,$S$2,D$5,D$4,$B130,"K"),"")</f>
        <v/>
      </c>
      <c r="E130" s="38" t="str">
        <f>IFERROR([1]!IntrinioBankFinancials(rssd_id,$S$2,E$5,E$4,$B130,"K"),"")</f>
        <v/>
      </c>
      <c r="F130" s="38" t="str">
        <f>IFERROR([1]!IntrinioBankFinancials(rssd_id,$S$2,F$5,F$4,$B130,"K"),"")</f>
        <v/>
      </c>
      <c r="G130" s="38" t="str">
        <f>IFERROR([1]!IntrinioBankFinancials(rssd_id,$S$2,G$5,G$4,$B130,"K"),"")</f>
        <v/>
      </c>
      <c r="H130" s="38" t="str">
        <f>IFERROR([1]!IntrinioBankFinancials(rssd_id,$S$2,H$5,H$4,$B130,"K"),"")</f>
        <v/>
      </c>
      <c r="I130" s="38" t="str">
        <f>IFERROR([1]!IntrinioBankFinancials(rssd_id,$S$2,I$5,I$4,$B130,"K"),"")</f>
        <v/>
      </c>
      <c r="J130" s="38" t="str">
        <f>IFERROR([1]!IntrinioBankFinancials(rssd_id,$S$2,J$5,J$4,$B130,"K"),"")</f>
        <v/>
      </c>
      <c r="K130" s="38" t="str">
        <f>IFERROR([1]!IntrinioBankFinancials(rssd_id,$S$2,K$5,K$4,$B130,"K"),"")</f>
        <v/>
      </c>
      <c r="L130" s="38" t="str">
        <f>IFERROR([1]!IntrinioBankFinancials(rssd_id,$S$2,L$5,L$4,$B130,"K"),"")</f>
        <v/>
      </c>
      <c r="M130" s="38" t="str">
        <f>IFERROR([1]!IntrinioBankFinancials(rssd_id,$S$2,M$5,M$4,$B130,"K"),"")</f>
        <v/>
      </c>
      <c r="N130" s="38" t="str">
        <f>IFERROR([1]!IntrinioBankFinancials(rssd_id,$S$2,N$5,N$4,$B130,"K"),"")</f>
        <v/>
      </c>
      <c r="O130" s="38" t="str">
        <f>IFERROR([1]!IntrinioBankFinancials(rssd_id,$S$2,O$5,O$4,$B130,"K"),"")</f>
        <v/>
      </c>
      <c r="P130" s="49" t="s">
        <v>1509</v>
      </c>
    </row>
    <row r="131" spans="1:16" x14ac:dyDescent="0.4">
      <c r="A131" s="39" t="s">
        <v>1403</v>
      </c>
      <c r="B131" s="37" t="s">
        <v>2732</v>
      </c>
      <c r="C131" s="38" t="str">
        <f>IFERROR([1]!IntrinioBankFinancials(rssd_id,$S$2,C$5,C$4,$B131,"K"),"")</f>
        <v/>
      </c>
      <c r="D131" s="38" t="str">
        <f>IFERROR([1]!IntrinioBankFinancials(rssd_id,$S$2,D$5,D$4,$B131,"K"),"")</f>
        <v/>
      </c>
      <c r="E131" s="38" t="str">
        <f>IFERROR([1]!IntrinioBankFinancials(rssd_id,$S$2,E$5,E$4,$B131,"K"),"")</f>
        <v/>
      </c>
      <c r="F131" s="38" t="str">
        <f>IFERROR([1]!IntrinioBankFinancials(rssd_id,$S$2,F$5,F$4,$B131,"K"),"")</f>
        <v/>
      </c>
      <c r="G131" s="38" t="str">
        <f>IFERROR([1]!IntrinioBankFinancials(rssd_id,$S$2,G$5,G$4,$B131,"K"),"")</f>
        <v/>
      </c>
      <c r="H131" s="38" t="str">
        <f>IFERROR([1]!IntrinioBankFinancials(rssd_id,$S$2,H$5,H$4,$B131,"K"),"")</f>
        <v/>
      </c>
      <c r="I131" s="38" t="str">
        <f>IFERROR([1]!IntrinioBankFinancials(rssd_id,$S$2,I$5,I$4,$B131,"K"),"")</f>
        <v/>
      </c>
      <c r="J131" s="38" t="str">
        <f>IFERROR([1]!IntrinioBankFinancials(rssd_id,$S$2,J$5,J$4,$B131,"K"),"")</f>
        <v/>
      </c>
      <c r="K131" s="38" t="str">
        <f>IFERROR([1]!IntrinioBankFinancials(rssd_id,$S$2,K$5,K$4,$B131,"K"),"")</f>
        <v/>
      </c>
      <c r="L131" s="38" t="str">
        <f>IFERROR([1]!IntrinioBankFinancials(rssd_id,$S$2,L$5,L$4,$B131,"K"),"")</f>
        <v/>
      </c>
      <c r="M131" s="38" t="str">
        <f>IFERROR([1]!IntrinioBankFinancials(rssd_id,$S$2,M$5,M$4,$B131,"K"),"")</f>
        <v/>
      </c>
      <c r="N131" s="38" t="str">
        <f>IFERROR([1]!IntrinioBankFinancials(rssd_id,$S$2,N$5,N$4,$B131,"K"),"")</f>
        <v/>
      </c>
      <c r="O131" s="38" t="str">
        <f>IFERROR([1]!IntrinioBankFinancials(rssd_id,$S$2,O$5,O$4,$B131,"K"),"")</f>
        <v/>
      </c>
      <c r="P131" s="49" t="s">
        <v>1510</v>
      </c>
    </row>
    <row r="132" spans="1:16" x14ac:dyDescent="0.4">
      <c r="A132" s="39" t="s">
        <v>1404</v>
      </c>
      <c r="B132" s="37" t="s">
        <v>2733</v>
      </c>
      <c r="C132" s="38" t="str">
        <f>IFERROR([1]!IntrinioBankFinancials(rssd_id,$S$2,C$5,C$4,$B132,"K"),"")</f>
        <v/>
      </c>
      <c r="D132" s="38" t="str">
        <f>IFERROR([1]!IntrinioBankFinancials(rssd_id,$S$2,D$5,D$4,$B132,"K"),"")</f>
        <v/>
      </c>
      <c r="E132" s="38" t="str">
        <f>IFERROR([1]!IntrinioBankFinancials(rssd_id,$S$2,E$5,E$4,$B132,"K"),"")</f>
        <v/>
      </c>
      <c r="F132" s="38" t="str">
        <f>IFERROR([1]!IntrinioBankFinancials(rssd_id,$S$2,F$5,F$4,$B132,"K"),"")</f>
        <v/>
      </c>
      <c r="G132" s="38" t="str">
        <f>IFERROR([1]!IntrinioBankFinancials(rssd_id,$S$2,G$5,G$4,$B132,"K"),"")</f>
        <v/>
      </c>
      <c r="H132" s="38" t="str">
        <f>IFERROR([1]!IntrinioBankFinancials(rssd_id,$S$2,H$5,H$4,$B132,"K"),"")</f>
        <v/>
      </c>
      <c r="I132" s="38" t="str">
        <f>IFERROR([1]!IntrinioBankFinancials(rssd_id,$S$2,I$5,I$4,$B132,"K"),"")</f>
        <v/>
      </c>
      <c r="J132" s="38" t="str">
        <f>IFERROR([1]!IntrinioBankFinancials(rssd_id,$S$2,J$5,J$4,$B132,"K"),"")</f>
        <v/>
      </c>
      <c r="K132" s="38" t="str">
        <f>IFERROR([1]!IntrinioBankFinancials(rssd_id,$S$2,K$5,K$4,$B132,"K"),"")</f>
        <v/>
      </c>
      <c r="L132" s="38" t="str">
        <f>IFERROR([1]!IntrinioBankFinancials(rssd_id,$S$2,L$5,L$4,$B132,"K"),"")</f>
        <v/>
      </c>
      <c r="M132" s="38" t="str">
        <f>IFERROR([1]!IntrinioBankFinancials(rssd_id,$S$2,M$5,M$4,$B132,"K"),"")</f>
        <v/>
      </c>
      <c r="N132" s="38" t="str">
        <f>IFERROR([1]!IntrinioBankFinancials(rssd_id,$S$2,N$5,N$4,$B132,"K"),"")</f>
        <v/>
      </c>
      <c r="O132" s="38" t="str">
        <f>IFERROR([1]!IntrinioBankFinancials(rssd_id,$S$2,O$5,O$4,$B132,"K"),"")</f>
        <v/>
      </c>
      <c r="P132" s="49" t="s">
        <v>1511</v>
      </c>
    </row>
    <row r="133" spans="1:16" x14ac:dyDescent="0.4">
      <c r="A133" s="39" t="s">
        <v>1452</v>
      </c>
      <c r="B133" s="37"/>
      <c r="C133" s="38" t="str">
        <f>IFERROR([1]!IntrinioBankFinancials(rssd_id,$S$2,C$5,C$4,$B133,"K"),"")</f>
        <v/>
      </c>
      <c r="D133" s="38" t="str">
        <f>IFERROR([1]!IntrinioBankFinancials(rssd_id,$S$2,D$5,D$4,$B133,"K"),"")</f>
        <v/>
      </c>
      <c r="E133" s="38" t="str">
        <f>IFERROR([1]!IntrinioBankFinancials(rssd_id,$S$2,E$5,E$4,$B133,"K"),"")</f>
        <v/>
      </c>
      <c r="F133" s="38" t="str">
        <f>IFERROR([1]!IntrinioBankFinancials(rssd_id,$S$2,F$5,F$4,$B133,"K"),"")</f>
        <v/>
      </c>
      <c r="G133" s="38" t="str">
        <f>IFERROR([1]!IntrinioBankFinancials(rssd_id,$S$2,G$5,G$4,$B133,"K"),"")</f>
        <v/>
      </c>
      <c r="H133" s="38" t="str">
        <f>IFERROR([1]!IntrinioBankFinancials(rssd_id,$S$2,H$5,H$4,$B133,"K"),"")</f>
        <v/>
      </c>
      <c r="I133" s="38" t="str">
        <f>IFERROR([1]!IntrinioBankFinancials(rssd_id,$S$2,I$5,I$4,$B133,"K"),"")</f>
        <v/>
      </c>
      <c r="J133" s="38" t="str">
        <f>IFERROR([1]!IntrinioBankFinancials(rssd_id,$S$2,J$5,J$4,$B133,"K"),"")</f>
        <v/>
      </c>
      <c r="K133" s="38" t="str">
        <f>IFERROR([1]!IntrinioBankFinancials(rssd_id,$S$2,K$5,K$4,$B133,"K"),"")</f>
        <v/>
      </c>
      <c r="L133" s="38" t="str">
        <f>IFERROR([1]!IntrinioBankFinancials(rssd_id,$S$2,L$5,L$4,$B133,"K"),"")</f>
        <v/>
      </c>
      <c r="M133" s="38" t="str">
        <f>IFERROR([1]!IntrinioBankFinancials(rssd_id,$S$2,M$5,M$4,$B133,"K"),"")</f>
        <v/>
      </c>
      <c r="N133" s="38" t="str">
        <f>IFERROR([1]!IntrinioBankFinancials(rssd_id,$S$2,N$5,N$4,$B133,"K"),"")</f>
        <v/>
      </c>
      <c r="O133" s="38" t="str">
        <f>IFERROR([1]!IntrinioBankFinancials(rssd_id,$S$2,O$5,O$4,$B133,"K"),"")</f>
        <v/>
      </c>
      <c r="P133" s="49" t="s">
        <v>1512</v>
      </c>
    </row>
    <row r="134" spans="1:16" x14ac:dyDescent="0.4">
      <c r="A134" s="39" t="s">
        <v>1403</v>
      </c>
      <c r="B134" s="37" t="s">
        <v>2734</v>
      </c>
      <c r="C134" s="38" t="str">
        <f>IFERROR([1]!IntrinioBankFinancials(rssd_id,$S$2,C$5,C$4,$B134,"K"),"")</f>
        <v/>
      </c>
      <c r="D134" s="38" t="str">
        <f>IFERROR([1]!IntrinioBankFinancials(rssd_id,$S$2,D$5,D$4,$B134,"K"),"")</f>
        <v/>
      </c>
      <c r="E134" s="38" t="str">
        <f>IFERROR([1]!IntrinioBankFinancials(rssd_id,$S$2,E$5,E$4,$B134,"K"),"")</f>
        <v/>
      </c>
      <c r="F134" s="38" t="str">
        <f>IFERROR([1]!IntrinioBankFinancials(rssd_id,$S$2,F$5,F$4,$B134,"K"),"")</f>
        <v/>
      </c>
      <c r="G134" s="38" t="str">
        <f>IFERROR([1]!IntrinioBankFinancials(rssd_id,$S$2,G$5,G$4,$B134,"K"),"")</f>
        <v/>
      </c>
      <c r="H134" s="38" t="str">
        <f>IFERROR([1]!IntrinioBankFinancials(rssd_id,$S$2,H$5,H$4,$B134,"K"),"")</f>
        <v/>
      </c>
      <c r="I134" s="38" t="str">
        <f>IFERROR([1]!IntrinioBankFinancials(rssd_id,$S$2,I$5,I$4,$B134,"K"),"")</f>
        <v/>
      </c>
      <c r="J134" s="38" t="str">
        <f>IFERROR([1]!IntrinioBankFinancials(rssd_id,$S$2,J$5,J$4,$B134,"K"),"")</f>
        <v/>
      </c>
      <c r="K134" s="38" t="str">
        <f>IFERROR([1]!IntrinioBankFinancials(rssd_id,$S$2,K$5,K$4,$B134,"K"),"")</f>
        <v/>
      </c>
      <c r="L134" s="38" t="str">
        <f>IFERROR([1]!IntrinioBankFinancials(rssd_id,$S$2,L$5,L$4,$B134,"K"),"")</f>
        <v/>
      </c>
      <c r="M134" s="38" t="str">
        <f>IFERROR([1]!IntrinioBankFinancials(rssd_id,$S$2,M$5,M$4,$B134,"K"),"")</f>
        <v/>
      </c>
      <c r="N134" s="38" t="str">
        <f>IFERROR([1]!IntrinioBankFinancials(rssd_id,$S$2,N$5,N$4,$B134,"K"),"")</f>
        <v/>
      </c>
      <c r="O134" s="38" t="str">
        <f>IFERROR([1]!IntrinioBankFinancials(rssd_id,$S$2,O$5,O$4,$B134,"K"),"")</f>
        <v/>
      </c>
      <c r="P134" s="49" t="s">
        <v>1513</v>
      </c>
    </row>
    <row r="135" spans="1:16" x14ac:dyDescent="0.4">
      <c r="A135" s="39" t="s">
        <v>1456</v>
      </c>
      <c r="B135" s="37" t="s">
        <v>2735</v>
      </c>
      <c r="C135" s="38" t="str">
        <f>IFERROR([1]!IntrinioBankFinancials(rssd_id,$S$2,C$5,C$4,$B135,"K"),"")</f>
        <v/>
      </c>
      <c r="D135" s="38" t="str">
        <f>IFERROR([1]!IntrinioBankFinancials(rssd_id,$S$2,D$5,D$4,$B135,"K"),"")</f>
        <v/>
      </c>
      <c r="E135" s="38" t="str">
        <f>IFERROR([1]!IntrinioBankFinancials(rssd_id,$S$2,E$5,E$4,$B135,"K"),"")</f>
        <v/>
      </c>
      <c r="F135" s="38" t="str">
        <f>IFERROR([1]!IntrinioBankFinancials(rssd_id,$S$2,F$5,F$4,$B135,"K"),"")</f>
        <v/>
      </c>
      <c r="G135" s="38" t="str">
        <f>IFERROR([1]!IntrinioBankFinancials(rssd_id,$S$2,G$5,G$4,$B135,"K"),"")</f>
        <v/>
      </c>
      <c r="H135" s="38" t="str">
        <f>IFERROR([1]!IntrinioBankFinancials(rssd_id,$S$2,H$5,H$4,$B135,"K"),"")</f>
        <v/>
      </c>
      <c r="I135" s="38" t="str">
        <f>IFERROR([1]!IntrinioBankFinancials(rssd_id,$S$2,I$5,I$4,$B135,"K"),"")</f>
        <v/>
      </c>
      <c r="J135" s="38" t="str">
        <f>IFERROR([1]!IntrinioBankFinancials(rssd_id,$S$2,J$5,J$4,$B135,"K"),"")</f>
        <v/>
      </c>
      <c r="K135" s="38" t="str">
        <f>IFERROR([1]!IntrinioBankFinancials(rssd_id,$S$2,K$5,K$4,$B135,"K"),"")</f>
        <v/>
      </c>
      <c r="L135" s="38" t="str">
        <f>IFERROR([1]!IntrinioBankFinancials(rssd_id,$S$2,L$5,L$4,$B135,"K"),"")</f>
        <v/>
      </c>
      <c r="M135" s="38" t="str">
        <f>IFERROR([1]!IntrinioBankFinancials(rssd_id,$S$2,M$5,M$4,$B135,"K"),"")</f>
        <v/>
      </c>
      <c r="N135" s="38" t="str">
        <f>IFERROR([1]!IntrinioBankFinancials(rssd_id,$S$2,N$5,N$4,$B135,"K"),"")</f>
        <v/>
      </c>
      <c r="O135" s="38" t="str">
        <f>IFERROR([1]!IntrinioBankFinancials(rssd_id,$S$2,O$5,O$4,$B135,"K"),"")</f>
        <v/>
      </c>
      <c r="P135" s="49" t="s">
        <v>1514</v>
      </c>
    </row>
    <row r="136" spans="1:16" x14ac:dyDescent="0.4">
      <c r="A136" s="39"/>
      <c r="B136" s="37"/>
      <c r="C136" s="38" t="str">
        <f>IFERROR([1]!IntrinioBankFinancials(rssd_id,$S$2,C$5,C$4,$B136,"K"),"")</f>
        <v/>
      </c>
      <c r="D136" s="38" t="str">
        <f>IFERROR([1]!IntrinioBankFinancials(rssd_id,$S$2,D$5,D$4,$B136,"K"),"")</f>
        <v/>
      </c>
      <c r="E136" s="38" t="str">
        <f>IFERROR([1]!IntrinioBankFinancials(rssd_id,$S$2,E$5,E$4,$B136,"K"),"")</f>
        <v/>
      </c>
      <c r="F136" s="38" t="str">
        <f>IFERROR([1]!IntrinioBankFinancials(rssd_id,$S$2,F$5,F$4,$B136,"K"),"")</f>
        <v/>
      </c>
      <c r="G136" s="38" t="str">
        <f>IFERROR([1]!IntrinioBankFinancials(rssd_id,$S$2,G$5,G$4,$B136,"K"),"")</f>
        <v/>
      </c>
      <c r="H136" s="38" t="str">
        <f>IFERROR([1]!IntrinioBankFinancials(rssd_id,$S$2,H$5,H$4,$B136,"K"),"")</f>
        <v/>
      </c>
      <c r="I136" s="38" t="str">
        <f>IFERROR([1]!IntrinioBankFinancials(rssd_id,$S$2,I$5,I$4,$B136,"K"),"")</f>
        <v/>
      </c>
      <c r="J136" s="38" t="str">
        <f>IFERROR([1]!IntrinioBankFinancials(rssd_id,$S$2,J$5,J$4,$B136,"K"),"")</f>
        <v/>
      </c>
      <c r="K136" s="38" t="str">
        <f>IFERROR([1]!IntrinioBankFinancials(rssd_id,$S$2,K$5,K$4,$B136,"K"),"")</f>
        <v/>
      </c>
      <c r="L136" s="38" t="str">
        <f>IFERROR([1]!IntrinioBankFinancials(rssd_id,$S$2,L$5,L$4,$B136,"K"),"")</f>
        <v/>
      </c>
      <c r="M136" s="38" t="str">
        <f>IFERROR([1]!IntrinioBankFinancials(rssd_id,$S$2,M$5,M$4,$B136,"K"),"")</f>
        <v/>
      </c>
      <c r="N136" s="38" t="str">
        <f>IFERROR([1]!IntrinioBankFinancials(rssd_id,$S$2,N$5,N$4,$B136,"K"),"")</f>
        <v/>
      </c>
      <c r="O136" s="38" t="str">
        <f>IFERROR([1]!IntrinioBankFinancials(rssd_id,$S$2,O$5,O$4,$B136,"K"),"")</f>
        <v/>
      </c>
      <c r="P136" s="49"/>
    </row>
    <row r="137" spans="1:16" x14ac:dyDescent="0.4">
      <c r="A137" s="39" t="s">
        <v>1453</v>
      </c>
      <c r="B137" s="37"/>
      <c r="C137" s="38" t="str">
        <f>IFERROR([1]!IntrinioBankFinancials(rssd_id,$S$2,C$5,C$4,$B137,"K"),"")</f>
        <v/>
      </c>
      <c r="D137" s="38" t="str">
        <f>IFERROR([1]!IntrinioBankFinancials(rssd_id,$S$2,D$5,D$4,$B137,"K"),"")</f>
        <v/>
      </c>
      <c r="E137" s="38" t="str">
        <f>IFERROR([1]!IntrinioBankFinancials(rssd_id,$S$2,E$5,E$4,$B137,"K"),"")</f>
        <v/>
      </c>
      <c r="F137" s="38" t="str">
        <f>IFERROR([1]!IntrinioBankFinancials(rssd_id,$S$2,F$5,F$4,$B137,"K"),"")</f>
        <v/>
      </c>
      <c r="G137" s="38" t="str">
        <f>IFERROR([1]!IntrinioBankFinancials(rssd_id,$S$2,G$5,G$4,$B137,"K"),"")</f>
        <v/>
      </c>
      <c r="H137" s="38" t="str">
        <f>IFERROR([1]!IntrinioBankFinancials(rssd_id,$S$2,H$5,H$4,$B137,"K"),"")</f>
        <v/>
      </c>
      <c r="I137" s="38" t="str">
        <f>IFERROR([1]!IntrinioBankFinancials(rssd_id,$S$2,I$5,I$4,$B137,"K"),"")</f>
        <v/>
      </c>
      <c r="J137" s="38" t="str">
        <f>IFERROR([1]!IntrinioBankFinancials(rssd_id,$S$2,J$5,J$4,$B137,"K"),"")</f>
        <v/>
      </c>
      <c r="K137" s="38" t="str">
        <f>IFERROR([1]!IntrinioBankFinancials(rssd_id,$S$2,K$5,K$4,$B137,"K"),"")</f>
        <v/>
      </c>
      <c r="L137" s="38" t="str">
        <f>IFERROR([1]!IntrinioBankFinancials(rssd_id,$S$2,L$5,L$4,$B137,"K"),"")</f>
        <v/>
      </c>
      <c r="M137" s="38" t="str">
        <f>IFERROR([1]!IntrinioBankFinancials(rssd_id,$S$2,M$5,M$4,$B137,"K"),"")</f>
        <v/>
      </c>
      <c r="N137" s="38" t="str">
        <f>IFERROR([1]!IntrinioBankFinancials(rssd_id,$S$2,N$5,N$4,$B137,"K"),"")</f>
        <v/>
      </c>
      <c r="O137" s="38" t="str">
        <f>IFERROR([1]!IntrinioBankFinancials(rssd_id,$S$2,O$5,O$4,$B137,"K"),"")</f>
        <v/>
      </c>
      <c r="P137" s="49"/>
    </row>
    <row r="138" spans="1:16" x14ac:dyDescent="0.4">
      <c r="A138" s="39" t="s">
        <v>1439</v>
      </c>
      <c r="B138" s="37"/>
      <c r="C138" s="38" t="str">
        <f>IFERROR([1]!IntrinioBankFinancials(rssd_id,$S$2,C$5,C$4,$B138,"K"),"")</f>
        <v/>
      </c>
      <c r="D138" s="38" t="str">
        <f>IFERROR([1]!IntrinioBankFinancials(rssd_id,$S$2,D$5,D$4,$B138,"K"),"")</f>
        <v/>
      </c>
      <c r="E138" s="38" t="str">
        <f>IFERROR([1]!IntrinioBankFinancials(rssd_id,$S$2,E$5,E$4,$B138,"K"),"")</f>
        <v/>
      </c>
      <c r="F138" s="38" t="str">
        <f>IFERROR([1]!IntrinioBankFinancials(rssd_id,$S$2,F$5,F$4,$B138,"K"),"")</f>
        <v/>
      </c>
      <c r="G138" s="38" t="str">
        <f>IFERROR([1]!IntrinioBankFinancials(rssd_id,$S$2,G$5,G$4,$B138,"K"),"")</f>
        <v/>
      </c>
      <c r="H138" s="38" t="str">
        <f>IFERROR([1]!IntrinioBankFinancials(rssd_id,$S$2,H$5,H$4,$B138,"K"),"")</f>
        <v/>
      </c>
      <c r="I138" s="38" t="str">
        <f>IFERROR([1]!IntrinioBankFinancials(rssd_id,$S$2,I$5,I$4,$B138,"K"),"")</f>
        <v/>
      </c>
      <c r="J138" s="38" t="str">
        <f>IFERROR([1]!IntrinioBankFinancials(rssd_id,$S$2,J$5,J$4,$B138,"K"),"")</f>
        <v/>
      </c>
      <c r="K138" s="38" t="str">
        <f>IFERROR([1]!IntrinioBankFinancials(rssd_id,$S$2,K$5,K$4,$B138,"K"),"")</f>
        <v/>
      </c>
      <c r="L138" s="38" t="str">
        <f>IFERROR([1]!IntrinioBankFinancials(rssd_id,$S$2,L$5,L$4,$B138,"K"),"")</f>
        <v/>
      </c>
      <c r="M138" s="38" t="str">
        <f>IFERROR([1]!IntrinioBankFinancials(rssd_id,$S$2,M$5,M$4,$B138,"K"),"")</f>
        <v/>
      </c>
      <c r="N138" s="38" t="str">
        <f>IFERROR([1]!IntrinioBankFinancials(rssd_id,$S$2,N$5,N$4,$B138,"K"),"")</f>
        <v/>
      </c>
      <c r="O138" s="38" t="str">
        <f>IFERROR([1]!IntrinioBankFinancials(rssd_id,$S$2,O$5,O$4,$B138,"K"),"")</f>
        <v/>
      </c>
      <c r="P138" s="49">
        <v>12</v>
      </c>
    </row>
    <row r="139" spans="1:16" x14ac:dyDescent="0.4">
      <c r="A139" s="39" t="s">
        <v>1440</v>
      </c>
      <c r="B139" s="37" t="s">
        <v>2736</v>
      </c>
      <c r="C139" s="38" t="str">
        <f>IFERROR([1]!IntrinioBankFinancials(rssd_id,$S$2,C$5,C$4,$B139,"K"),"")</f>
        <v/>
      </c>
      <c r="D139" s="38" t="str">
        <f>IFERROR([1]!IntrinioBankFinancials(rssd_id,$S$2,D$5,D$4,$B139,"K"),"")</f>
        <v/>
      </c>
      <c r="E139" s="38" t="str">
        <f>IFERROR([1]!IntrinioBankFinancials(rssd_id,$S$2,E$5,E$4,$B139,"K"),"")</f>
        <v/>
      </c>
      <c r="F139" s="38" t="str">
        <f>IFERROR([1]!IntrinioBankFinancials(rssd_id,$S$2,F$5,F$4,$B139,"K"),"")</f>
        <v/>
      </c>
      <c r="G139" s="38" t="str">
        <f>IFERROR([1]!IntrinioBankFinancials(rssd_id,$S$2,G$5,G$4,$B139,"K"),"")</f>
        <v/>
      </c>
      <c r="H139" s="38" t="str">
        <f>IFERROR([1]!IntrinioBankFinancials(rssd_id,$S$2,H$5,H$4,$B139,"K"),"")</f>
        <v/>
      </c>
      <c r="I139" s="38" t="str">
        <f>IFERROR([1]!IntrinioBankFinancials(rssd_id,$S$2,I$5,I$4,$B139,"K"),"")</f>
        <v/>
      </c>
      <c r="J139" s="38" t="str">
        <f>IFERROR([1]!IntrinioBankFinancials(rssd_id,$S$2,J$5,J$4,$B139,"K"),"")</f>
        <v/>
      </c>
      <c r="K139" s="38" t="str">
        <f>IFERROR([1]!IntrinioBankFinancials(rssd_id,$S$2,K$5,K$4,$B139,"K"),"")</f>
        <v/>
      </c>
      <c r="L139" s="38" t="str">
        <f>IFERROR([1]!IntrinioBankFinancials(rssd_id,$S$2,L$5,L$4,$B139,"K"),"")</f>
        <v/>
      </c>
      <c r="M139" s="38" t="str">
        <f>IFERROR([1]!IntrinioBankFinancials(rssd_id,$S$2,M$5,M$4,$B139,"K"),"")</f>
        <v/>
      </c>
      <c r="N139" s="38" t="str">
        <f>IFERROR([1]!IntrinioBankFinancials(rssd_id,$S$2,N$5,N$4,$B139,"K"),"")</f>
        <v/>
      </c>
      <c r="O139" s="38" t="str">
        <f>IFERROR([1]!IntrinioBankFinancials(rssd_id,$S$2,O$5,O$4,$B139,"K"),"")</f>
        <v/>
      </c>
      <c r="P139" s="49" t="s">
        <v>1500</v>
      </c>
    </row>
    <row r="140" spans="1:16" x14ac:dyDescent="0.4">
      <c r="A140" s="39" t="s">
        <v>1441</v>
      </c>
      <c r="B140" s="37" t="s">
        <v>2737</v>
      </c>
      <c r="C140" s="38" t="str">
        <f>IFERROR([1]!IntrinioBankFinancials(rssd_id,$S$2,C$5,C$4,$B140,"K"),"")</f>
        <v/>
      </c>
      <c r="D140" s="38" t="str">
        <f>IFERROR([1]!IntrinioBankFinancials(rssd_id,$S$2,D$5,D$4,$B140,"K"),"")</f>
        <v/>
      </c>
      <c r="E140" s="38" t="str">
        <f>IFERROR([1]!IntrinioBankFinancials(rssd_id,$S$2,E$5,E$4,$B140,"K"),"")</f>
        <v/>
      </c>
      <c r="F140" s="38" t="str">
        <f>IFERROR([1]!IntrinioBankFinancials(rssd_id,$S$2,F$5,F$4,$B140,"K"),"")</f>
        <v/>
      </c>
      <c r="G140" s="38" t="str">
        <f>IFERROR([1]!IntrinioBankFinancials(rssd_id,$S$2,G$5,G$4,$B140,"K"),"")</f>
        <v/>
      </c>
      <c r="H140" s="38" t="str">
        <f>IFERROR([1]!IntrinioBankFinancials(rssd_id,$S$2,H$5,H$4,$B140,"K"),"")</f>
        <v/>
      </c>
      <c r="I140" s="38" t="str">
        <f>IFERROR([1]!IntrinioBankFinancials(rssd_id,$S$2,I$5,I$4,$B140,"K"),"")</f>
        <v/>
      </c>
      <c r="J140" s="38" t="str">
        <f>IFERROR([1]!IntrinioBankFinancials(rssd_id,$S$2,J$5,J$4,$B140,"K"),"")</f>
        <v/>
      </c>
      <c r="K140" s="38" t="str">
        <f>IFERROR([1]!IntrinioBankFinancials(rssd_id,$S$2,K$5,K$4,$B140,"K"),"")</f>
        <v/>
      </c>
      <c r="L140" s="38" t="str">
        <f>IFERROR([1]!IntrinioBankFinancials(rssd_id,$S$2,L$5,L$4,$B140,"K"),"")</f>
        <v/>
      </c>
      <c r="M140" s="38" t="str">
        <f>IFERROR([1]!IntrinioBankFinancials(rssd_id,$S$2,M$5,M$4,$B140,"K"),"")</f>
        <v/>
      </c>
      <c r="N140" s="38" t="str">
        <f>IFERROR([1]!IntrinioBankFinancials(rssd_id,$S$2,N$5,N$4,$B140,"K"),"")</f>
        <v/>
      </c>
      <c r="O140" s="38" t="str">
        <f>IFERROR([1]!IntrinioBankFinancials(rssd_id,$S$2,O$5,O$4,$B140,"K"),"")</f>
        <v/>
      </c>
      <c r="P140" s="49" t="s">
        <v>1501</v>
      </c>
    </row>
    <row r="141" spans="1:16" x14ac:dyDescent="0.4">
      <c r="A141" s="39" t="s">
        <v>1442</v>
      </c>
      <c r="B141" s="37"/>
      <c r="C141" s="38" t="str">
        <f>IFERROR([1]!IntrinioBankFinancials(rssd_id,$S$2,C$5,C$4,$B141,"K"),"")</f>
        <v/>
      </c>
      <c r="D141" s="38" t="str">
        <f>IFERROR([1]!IntrinioBankFinancials(rssd_id,$S$2,D$5,D$4,$B141,"K"),"")</f>
        <v/>
      </c>
      <c r="E141" s="38" t="str">
        <f>IFERROR([1]!IntrinioBankFinancials(rssd_id,$S$2,E$5,E$4,$B141,"K"),"")</f>
        <v/>
      </c>
      <c r="F141" s="38" t="str">
        <f>IFERROR([1]!IntrinioBankFinancials(rssd_id,$S$2,F$5,F$4,$B141,"K"),"")</f>
        <v/>
      </c>
      <c r="G141" s="38" t="str">
        <f>IFERROR([1]!IntrinioBankFinancials(rssd_id,$S$2,G$5,G$4,$B141,"K"),"")</f>
        <v/>
      </c>
      <c r="H141" s="38" t="str">
        <f>IFERROR([1]!IntrinioBankFinancials(rssd_id,$S$2,H$5,H$4,$B141,"K"),"")</f>
        <v/>
      </c>
      <c r="I141" s="38" t="str">
        <f>IFERROR([1]!IntrinioBankFinancials(rssd_id,$S$2,I$5,I$4,$B141,"K"),"")</f>
        <v/>
      </c>
      <c r="J141" s="38" t="str">
        <f>IFERROR([1]!IntrinioBankFinancials(rssd_id,$S$2,J$5,J$4,$B141,"K"),"")</f>
        <v/>
      </c>
      <c r="K141" s="38" t="str">
        <f>IFERROR([1]!IntrinioBankFinancials(rssd_id,$S$2,K$5,K$4,$B141,"K"),"")</f>
        <v/>
      </c>
      <c r="L141" s="38" t="str">
        <f>IFERROR([1]!IntrinioBankFinancials(rssd_id,$S$2,L$5,L$4,$B141,"K"),"")</f>
        <v/>
      </c>
      <c r="M141" s="38" t="str">
        <f>IFERROR([1]!IntrinioBankFinancials(rssd_id,$S$2,M$5,M$4,$B141,"K"),"")</f>
        <v/>
      </c>
      <c r="N141" s="38" t="str">
        <f>IFERROR([1]!IntrinioBankFinancials(rssd_id,$S$2,N$5,N$4,$B141,"K"),"")</f>
        <v/>
      </c>
      <c r="O141" s="38" t="str">
        <f>IFERROR([1]!IntrinioBankFinancials(rssd_id,$S$2,O$5,O$4,$B141,"K"),"")</f>
        <v/>
      </c>
      <c r="P141" s="49" t="s">
        <v>1502</v>
      </c>
    </row>
    <row r="142" spans="1:16" x14ac:dyDescent="0.4">
      <c r="A142" s="39" t="s">
        <v>1443</v>
      </c>
      <c r="B142" s="37" t="s">
        <v>2738</v>
      </c>
      <c r="C142" s="38" t="str">
        <f>IFERROR([1]!IntrinioBankFinancials(rssd_id,$S$2,C$5,C$4,$B142,"K"),"")</f>
        <v/>
      </c>
      <c r="D142" s="38" t="str">
        <f>IFERROR([1]!IntrinioBankFinancials(rssd_id,$S$2,D$5,D$4,$B142,"K"),"")</f>
        <v/>
      </c>
      <c r="E142" s="38" t="str">
        <f>IFERROR([1]!IntrinioBankFinancials(rssd_id,$S$2,E$5,E$4,$B142,"K"),"")</f>
        <v/>
      </c>
      <c r="F142" s="38" t="str">
        <f>IFERROR([1]!IntrinioBankFinancials(rssd_id,$S$2,F$5,F$4,$B142,"K"),"")</f>
        <v/>
      </c>
      <c r="G142" s="38" t="str">
        <f>IFERROR([1]!IntrinioBankFinancials(rssd_id,$S$2,G$5,G$4,$B142,"K"),"")</f>
        <v/>
      </c>
      <c r="H142" s="38" t="str">
        <f>IFERROR([1]!IntrinioBankFinancials(rssd_id,$S$2,H$5,H$4,$B142,"K"),"")</f>
        <v/>
      </c>
      <c r="I142" s="38" t="str">
        <f>IFERROR([1]!IntrinioBankFinancials(rssd_id,$S$2,I$5,I$4,$B142,"K"),"")</f>
        <v/>
      </c>
      <c r="J142" s="38" t="str">
        <f>IFERROR([1]!IntrinioBankFinancials(rssd_id,$S$2,J$5,J$4,$B142,"K"),"")</f>
        <v/>
      </c>
      <c r="K142" s="38" t="str">
        <f>IFERROR([1]!IntrinioBankFinancials(rssd_id,$S$2,K$5,K$4,$B142,"K"),"")</f>
        <v/>
      </c>
      <c r="L142" s="38" t="str">
        <f>IFERROR([1]!IntrinioBankFinancials(rssd_id,$S$2,L$5,L$4,$B142,"K"),"")</f>
        <v/>
      </c>
      <c r="M142" s="38" t="str">
        <f>IFERROR([1]!IntrinioBankFinancials(rssd_id,$S$2,M$5,M$4,$B142,"K"),"")</f>
        <v/>
      </c>
      <c r="N142" s="38" t="str">
        <f>IFERROR([1]!IntrinioBankFinancials(rssd_id,$S$2,N$5,N$4,$B142,"K"),"")</f>
        <v/>
      </c>
      <c r="O142" s="38" t="str">
        <f>IFERROR([1]!IntrinioBankFinancials(rssd_id,$S$2,O$5,O$4,$B142,"K"),"")</f>
        <v/>
      </c>
      <c r="P142" s="49" t="s">
        <v>1503</v>
      </c>
    </row>
    <row r="143" spans="1:16" x14ac:dyDescent="0.4">
      <c r="A143" s="39" t="s">
        <v>1444</v>
      </c>
      <c r="B143" s="37" t="s">
        <v>2739</v>
      </c>
      <c r="C143" s="38" t="str">
        <f>IFERROR([1]!IntrinioBankFinancials(rssd_id,$S$2,C$5,C$4,$B143,"K"),"")</f>
        <v/>
      </c>
      <c r="D143" s="38" t="str">
        <f>IFERROR([1]!IntrinioBankFinancials(rssd_id,$S$2,D$5,D$4,$B143,"K"),"")</f>
        <v/>
      </c>
      <c r="E143" s="38" t="str">
        <f>IFERROR([1]!IntrinioBankFinancials(rssd_id,$S$2,E$5,E$4,$B143,"K"),"")</f>
        <v/>
      </c>
      <c r="F143" s="38" t="str">
        <f>IFERROR([1]!IntrinioBankFinancials(rssd_id,$S$2,F$5,F$4,$B143,"K"),"")</f>
        <v/>
      </c>
      <c r="G143" s="38" t="str">
        <f>IFERROR([1]!IntrinioBankFinancials(rssd_id,$S$2,G$5,G$4,$B143,"K"),"")</f>
        <v/>
      </c>
      <c r="H143" s="38" t="str">
        <f>IFERROR([1]!IntrinioBankFinancials(rssd_id,$S$2,H$5,H$4,$B143,"K"),"")</f>
        <v/>
      </c>
      <c r="I143" s="38" t="str">
        <f>IFERROR([1]!IntrinioBankFinancials(rssd_id,$S$2,I$5,I$4,$B143,"K"),"")</f>
        <v/>
      </c>
      <c r="J143" s="38" t="str">
        <f>IFERROR([1]!IntrinioBankFinancials(rssd_id,$S$2,J$5,J$4,$B143,"K"),"")</f>
        <v/>
      </c>
      <c r="K143" s="38" t="str">
        <f>IFERROR([1]!IntrinioBankFinancials(rssd_id,$S$2,K$5,K$4,$B143,"K"),"")</f>
        <v/>
      </c>
      <c r="L143" s="38" t="str">
        <f>IFERROR([1]!IntrinioBankFinancials(rssd_id,$S$2,L$5,L$4,$B143,"K"),"")</f>
        <v/>
      </c>
      <c r="M143" s="38" t="str">
        <f>IFERROR([1]!IntrinioBankFinancials(rssd_id,$S$2,M$5,M$4,$B143,"K"),"")</f>
        <v/>
      </c>
      <c r="N143" s="38" t="str">
        <f>IFERROR([1]!IntrinioBankFinancials(rssd_id,$S$2,N$5,N$4,$B143,"K"),"")</f>
        <v/>
      </c>
      <c r="O143" s="38" t="str">
        <f>IFERROR([1]!IntrinioBankFinancials(rssd_id,$S$2,O$5,O$4,$B143,"K"),"")</f>
        <v/>
      </c>
      <c r="P143" s="49" t="s">
        <v>1504</v>
      </c>
    </row>
    <row r="144" spans="1:16" x14ac:dyDescent="0.4">
      <c r="A144" s="39" t="s">
        <v>1445</v>
      </c>
      <c r="B144" s="37"/>
      <c r="C144" s="38" t="str">
        <f>IFERROR([1]!IntrinioBankFinancials(rssd_id,$S$2,C$5,C$4,$B144,"K"),"")</f>
        <v/>
      </c>
      <c r="D144" s="38" t="str">
        <f>IFERROR([1]!IntrinioBankFinancials(rssd_id,$S$2,D$5,D$4,$B144,"K"),"")</f>
        <v/>
      </c>
      <c r="E144" s="38" t="str">
        <f>IFERROR([1]!IntrinioBankFinancials(rssd_id,$S$2,E$5,E$4,$B144,"K"),"")</f>
        <v/>
      </c>
      <c r="F144" s="38" t="str">
        <f>IFERROR([1]!IntrinioBankFinancials(rssd_id,$S$2,F$5,F$4,$B144,"K"),"")</f>
        <v/>
      </c>
      <c r="G144" s="38" t="str">
        <f>IFERROR([1]!IntrinioBankFinancials(rssd_id,$S$2,G$5,G$4,$B144,"K"),"")</f>
        <v/>
      </c>
      <c r="H144" s="38" t="str">
        <f>IFERROR([1]!IntrinioBankFinancials(rssd_id,$S$2,H$5,H$4,$B144,"K"),"")</f>
        <v/>
      </c>
      <c r="I144" s="38" t="str">
        <f>IFERROR([1]!IntrinioBankFinancials(rssd_id,$S$2,I$5,I$4,$B144,"K"),"")</f>
        <v/>
      </c>
      <c r="J144" s="38" t="str">
        <f>IFERROR([1]!IntrinioBankFinancials(rssd_id,$S$2,J$5,J$4,$B144,"K"),"")</f>
        <v/>
      </c>
      <c r="K144" s="38" t="str">
        <f>IFERROR([1]!IntrinioBankFinancials(rssd_id,$S$2,K$5,K$4,$B144,"K"),"")</f>
        <v/>
      </c>
      <c r="L144" s="38" t="str">
        <f>IFERROR([1]!IntrinioBankFinancials(rssd_id,$S$2,L$5,L$4,$B144,"K"),"")</f>
        <v/>
      </c>
      <c r="M144" s="38" t="str">
        <f>IFERROR([1]!IntrinioBankFinancials(rssd_id,$S$2,M$5,M$4,$B144,"K"),"")</f>
        <v/>
      </c>
      <c r="N144" s="38" t="str">
        <f>IFERROR([1]!IntrinioBankFinancials(rssd_id,$S$2,N$5,N$4,$B144,"K"),"")</f>
        <v/>
      </c>
      <c r="O144" s="38" t="str">
        <f>IFERROR([1]!IntrinioBankFinancials(rssd_id,$S$2,O$5,O$4,$B144,"K"),"")</f>
        <v/>
      </c>
      <c r="P144" s="49" t="s">
        <v>1505</v>
      </c>
    </row>
    <row r="145" spans="1:16" x14ac:dyDescent="0.4">
      <c r="A145" s="39" t="s">
        <v>1443</v>
      </c>
      <c r="B145" s="37" t="s">
        <v>2740</v>
      </c>
      <c r="C145" s="38" t="str">
        <f>IFERROR([1]!IntrinioBankFinancials(rssd_id,$S$2,C$5,C$4,$B145,"K"),"")</f>
        <v/>
      </c>
      <c r="D145" s="38" t="str">
        <f>IFERROR([1]!IntrinioBankFinancials(rssd_id,$S$2,D$5,D$4,$B145,"K"),"")</f>
        <v/>
      </c>
      <c r="E145" s="38" t="str">
        <f>IFERROR([1]!IntrinioBankFinancials(rssd_id,$S$2,E$5,E$4,$B145,"K"),"")</f>
        <v/>
      </c>
      <c r="F145" s="38" t="str">
        <f>IFERROR([1]!IntrinioBankFinancials(rssd_id,$S$2,F$5,F$4,$B145,"K"),"")</f>
        <v/>
      </c>
      <c r="G145" s="38" t="str">
        <f>IFERROR([1]!IntrinioBankFinancials(rssd_id,$S$2,G$5,G$4,$B145,"K"),"")</f>
        <v/>
      </c>
      <c r="H145" s="38" t="str">
        <f>IFERROR([1]!IntrinioBankFinancials(rssd_id,$S$2,H$5,H$4,$B145,"K"),"")</f>
        <v/>
      </c>
      <c r="I145" s="38" t="str">
        <f>IFERROR([1]!IntrinioBankFinancials(rssd_id,$S$2,I$5,I$4,$B145,"K"),"")</f>
        <v/>
      </c>
      <c r="J145" s="38" t="str">
        <f>IFERROR([1]!IntrinioBankFinancials(rssd_id,$S$2,J$5,J$4,$B145,"K"),"")</f>
        <v/>
      </c>
      <c r="K145" s="38" t="str">
        <f>IFERROR([1]!IntrinioBankFinancials(rssd_id,$S$2,K$5,K$4,$B145,"K"),"")</f>
        <v/>
      </c>
      <c r="L145" s="38" t="str">
        <f>IFERROR([1]!IntrinioBankFinancials(rssd_id,$S$2,L$5,L$4,$B145,"K"),"")</f>
        <v/>
      </c>
      <c r="M145" s="38" t="str">
        <f>IFERROR([1]!IntrinioBankFinancials(rssd_id,$S$2,M$5,M$4,$B145,"K"),"")</f>
        <v/>
      </c>
      <c r="N145" s="38" t="str">
        <f>IFERROR([1]!IntrinioBankFinancials(rssd_id,$S$2,N$5,N$4,$B145,"K"),"")</f>
        <v/>
      </c>
      <c r="O145" s="38" t="str">
        <f>IFERROR([1]!IntrinioBankFinancials(rssd_id,$S$2,O$5,O$4,$B145,"K"),"")</f>
        <v/>
      </c>
      <c r="P145" s="49" t="s">
        <v>1506</v>
      </c>
    </row>
    <row r="146" spans="1:16" x14ac:dyDescent="0.4">
      <c r="A146" s="39" t="s">
        <v>1444</v>
      </c>
      <c r="B146" s="37" t="s">
        <v>2741</v>
      </c>
      <c r="C146" s="38" t="str">
        <f>IFERROR([1]!IntrinioBankFinancials(rssd_id,$S$2,C$5,C$4,$B146,"K"),"")</f>
        <v/>
      </c>
      <c r="D146" s="38" t="str">
        <f>IFERROR([1]!IntrinioBankFinancials(rssd_id,$S$2,D$5,D$4,$B146,"K"),"")</f>
        <v/>
      </c>
      <c r="E146" s="38" t="str">
        <f>IFERROR([1]!IntrinioBankFinancials(rssd_id,$S$2,E$5,E$4,$B146,"K"),"")</f>
        <v/>
      </c>
      <c r="F146" s="38" t="str">
        <f>IFERROR([1]!IntrinioBankFinancials(rssd_id,$S$2,F$5,F$4,$B146,"K"),"")</f>
        <v/>
      </c>
      <c r="G146" s="38" t="str">
        <f>IFERROR([1]!IntrinioBankFinancials(rssd_id,$S$2,G$5,G$4,$B146,"K"),"")</f>
        <v/>
      </c>
      <c r="H146" s="38" t="str">
        <f>IFERROR([1]!IntrinioBankFinancials(rssd_id,$S$2,H$5,H$4,$B146,"K"),"")</f>
        <v/>
      </c>
      <c r="I146" s="38" t="str">
        <f>IFERROR([1]!IntrinioBankFinancials(rssd_id,$S$2,I$5,I$4,$B146,"K"),"")</f>
        <v/>
      </c>
      <c r="J146" s="38" t="str">
        <f>IFERROR([1]!IntrinioBankFinancials(rssd_id,$S$2,J$5,J$4,$B146,"K"),"")</f>
        <v/>
      </c>
      <c r="K146" s="38" t="str">
        <f>IFERROR([1]!IntrinioBankFinancials(rssd_id,$S$2,K$5,K$4,$B146,"K"),"")</f>
        <v/>
      </c>
      <c r="L146" s="38" t="str">
        <f>IFERROR([1]!IntrinioBankFinancials(rssd_id,$S$2,L$5,L$4,$B146,"K"),"")</f>
        <v/>
      </c>
      <c r="M146" s="38" t="str">
        <f>IFERROR([1]!IntrinioBankFinancials(rssd_id,$S$2,M$5,M$4,$B146,"K"),"")</f>
        <v/>
      </c>
      <c r="N146" s="38" t="str">
        <f>IFERROR([1]!IntrinioBankFinancials(rssd_id,$S$2,N$5,N$4,$B146,"K"),"")</f>
        <v/>
      </c>
      <c r="O146" s="38" t="str">
        <f>IFERROR([1]!IntrinioBankFinancials(rssd_id,$S$2,O$5,O$4,$B146,"K"),"")</f>
        <v/>
      </c>
      <c r="P146" s="49" t="s">
        <v>1507</v>
      </c>
    </row>
    <row r="147" spans="1:16" x14ac:dyDescent="0.4">
      <c r="A147" s="39" t="s">
        <v>1446</v>
      </c>
      <c r="B147" s="37" t="s">
        <v>2742</v>
      </c>
      <c r="C147" s="38" t="str">
        <f>IFERROR([1]!IntrinioBankFinancials(rssd_id,$S$2,C$5,C$4,$B147,"K"),"")</f>
        <v/>
      </c>
      <c r="D147" s="38" t="str">
        <f>IFERROR([1]!IntrinioBankFinancials(rssd_id,$S$2,D$5,D$4,$B147,"K"),"")</f>
        <v/>
      </c>
      <c r="E147" s="38" t="str">
        <f>IFERROR([1]!IntrinioBankFinancials(rssd_id,$S$2,E$5,E$4,$B147,"K"),"")</f>
        <v/>
      </c>
      <c r="F147" s="38" t="str">
        <f>IFERROR([1]!IntrinioBankFinancials(rssd_id,$S$2,F$5,F$4,$B147,"K"),"")</f>
        <v/>
      </c>
      <c r="G147" s="38" t="str">
        <f>IFERROR([1]!IntrinioBankFinancials(rssd_id,$S$2,G$5,G$4,$B147,"K"),"")</f>
        <v/>
      </c>
      <c r="H147" s="38" t="str">
        <f>IFERROR([1]!IntrinioBankFinancials(rssd_id,$S$2,H$5,H$4,$B147,"K"),"")</f>
        <v/>
      </c>
      <c r="I147" s="38" t="str">
        <f>IFERROR([1]!IntrinioBankFinancials(rssd_id,$S$2,I$5,I$4,$B147,"K"),"")</f>
        <v/>
      </c>
      <c r="J147" s="38" t="str">
        <f>IFERROR([1]!IntrinioBankFinancials(rssd_id,$S$2,J$5,J$4,$B147,"K"),"")</f>
        <v/>
      </c>
      <c r="K147" s="38" t="str">
        <f>IFERROR([1]!IntrinioBankFinancials(rssd_id,$S$2,K$5,K$4,$B147,"K"),"")</f>
        <v/>
      </c>
      <c r="L147" s="38" t="str">
        <f>IFERROR([1]!IntrinioBankFinancials(rssd_id,$S$2,L$5,L$4,$B147,"K"),"")</f>
        <v/>
      </c>
      <c r="M147" s="38" t="str">
        <f>IFERROR([1]!IntrinioBankFinancials(rssd_id,$S$2,M$5,M$4,$B147,"K"),"")</f>
        <v/>
      </c>
      <c r="N147" s="38" t="str">
        <f>IFERROR([1]!IntrinioBankFinancials(rssd_id,$S$2,N$5,N$4,$B147,"K"),"")</f>
        <v/>
      </c>
      <c r="O147" s="38" t="str">
        <f>IFERROR([1]!IntrinioBankFinancials(rssd_id,$S$2,O$5,O$4,$B147,"K"),"")</f>
        <v/>
      </c>
      <c r="P147" s="49" t="s">
        <v>1508</v>
      </c>
    </row>
    <row r="148" spans="1:16" x14ac:dyDescent="0.4">
      <c r="A148" s="39" t="s">
        <v>1447</v>
      </c>
      <c r="B148" s="37" t="s">
        <v>2743</v>
      </c>
      <c r="C148" s="38" t="str">
        <f>IFERROR([1]!IntrinioBankFinancials(rssd_id,$S$2,C$5,C$4,$B148,"K"),"")</f>
        <v/>
      </c>
      <c r="D148" s="38" t="str">
        <f>IFERROR([1]!IntrinioBankFinancials(rssd_id,$S$2,D$5,D$4,$B148,"K"),"")</f>
        <v/>
      </c>
      <c r="E148" s="38" t="str">
        <f>IFERROR([1]!IntrinioBankFinancials(rssd_id,$S$2,E$5,E$4,$B148,"K"),"")</f>
        <v/>
      </c>
      <c r="F148" s="38" t="str">
        <f>IFERROR([1]!IntrinioBankFinancials(rssd_id,$S$2,F$5,F$4,$B148,"K"),"")</f>
        <v/>
      </c>
      <c r="G148" s="38" t="str">
        <f>IFERROR([1]!IntrinioBankFinancials(rssd_id,$S$2,G$5,G$4,$B148,"K"),"")</f>
        <v/>
      </c>
      <c r="H148" s="38" t="str">
        <f>IFERROR([1]!IntrinioBankFinancials(rssd_id,$S$2,H$5,H$4,$B148,"K"),"")</f>
        <v/>
      </c>
      <c r="I148" s="38" t="str">
        <f>IFERROR([1]!IntrinioBankFinancials(rssd_id,$S$2,I$5,I$4,$B148,"K"),"")</f>
        <v/>
      </c>
      <c r="J148" s="38" t="str">
        <f>IFERROR([1]!IntrinioBankFinancials(rssd_id,$S$2,J$5,J$4,$B148,"K"),"")</f>
        <v/>
      </c>
      <c r="K148" s="38" t="str">
        <f>IFERROR([1]!IntrinioBankFinancials(rssd_id,$S$2,K$5,K$4,$B148,"K"),"")</f>
        <v/>
      </c>
      <c r="L148" s="38" t="str">
        <f>IFERROR([1]!IntrinioBankFinancials(rssd_id,$S$2,L$5,L$4,$B148,"K"),"")</f>
        <v/>
      </c>
      <c r="M148" s="38" t="str">
        <f>IFERROR([1]!IntrinioBankFinancials(rssd_id,$S$2,M$5,M$4,$B148,"K"),"")</f>
        <v/>
      </c>
      <c r="N148" s="38" t="str">
        <f>IFERROR([1]!IntrinioBankFinancials(rssd_id,$S$2,N$5,N$4,$B148,"K"),"")</f>
        <v/>
      </c>
      <c r="O148" s="38" t="str">
        <f>IFERROR([1]!IntrinioBankFinancials(rssd_id,$S$2,O$5,O$4,$B148,"K"),"")</f>
        <v/>
      </c>
      <c r="P148" s="49">
        <v>13</v>
      </c>
    </row>
    <row r="149" spans="1:16" ht="28.5" x14ac:dyDescent="0.4">
      <c r="A149" s="39" t="s">
        <v>1448</v>
      </c>
      <c r="B149" s="37" t="s">
        <v>2744</v>
      </c>
      <c r="C149" s="38" t="str">
        <f>IFERROR([1]!IntrinioBankFinancials(rssd_id,$S$2,C$5,C$4,$B149,"K"),"")</f>
        <v/>
      </c>
      <c r="D149" s="38" t="str">
        <f>IFERROR([1]!IntrinioBankFinancials(rssd_id,$S$2,D$5,D$4,$B149,"K"),"")</f>
        <v/>
      </c>
      <c r="E149" s="38" t="str">
        <f>IFERROR([1]!IntrinioBankFinancials(rssd_id,$S$2,E$5,E$4,$B149,"K"),"")</f>
        <v/>
      </c>
      <c r="F149" s="38" t="str">
        <f>IFERROR([1]!IntrinioBankFinancials(rssd_id,$S$2,F$5,F$4,$B149,"K"),"")</f>
        <v/>
      </c>
      <c r="G149" s="38" t="str">
        <f>IFERROR([1]!IntrinioBankFinancials(rssd_id,$S$2,G$5,G$4,$B149,"K"),"")</f>
        <v/>
      </c>
      <c r="H149" s="38" t="str">
        <f>IFERROR([1]!IntrinioBankFinancials(rssd_id,$S$2,H$5,H$4,$B149,"K"),"")</f>
        <v/>
      </c>
      <c r="I149" s="38" t="str">
        <f>IFERROR([1]!IntrinioBankFinancials(rssd_id,$S$2,I$5,I$4,$B149,"K"),"")</f>
        <v/>
      </c>
      <c r="J149" s="38" t="str">
        <f>IFERROR([1]!IntrinioBankFinancials(rssd_id,$S$2,J$5,J$4,$B149,"K"),"")</f>
        <v/>
      </c>
      <c r="K149" s="38" t="str">
        <f>IFERROR([1]!IntrinioBankFinancials(rssd_id,$S$2,K$5,K$4,$B149,"K"),"")</f>
        <v/>
      </c>
      <c r="L149" s="38" t="str">
        <f>IFERROR([1]!IntrinioBankFinancials(rssd_id,$S$2,L$5,L$4,$B149,"K"),"")</f>
        <v/>
      </c>
      <c r="M149" s="38" t="str">
        <f>IFERROR([1]!IntrinioBankFinancials(rssd_id,$S$2,M$5,M$4,$B149,"K"),"")</f>
        <v/>
      </c>
      <c r="N149" s="38" t="str">
        <f>IFERROR([1]!IntrinioBankFinancials(rssd_id,$S$2,N$5,N$4,$B149,"K"),"")</f>
        <v/>
      </c>
      <c r="O149" s="38" t="str">
        <f>IFERROR([1]!IntrinioBankFinancials(rssd_id,$S$2,O$5,O$4,$B149,"K"),"")</f>
        <v/>
      </c>
      <c r="P149" s="49">
        <v>14</v>
      </c>
    </row>
    <row r="150" spans="1:16" x14ac:dyDescent="0.4">
      <c r="A150" s="39" t="s">
        <v>1449</v>
      </c>
      <c r="B150" s="37"/>
      <c r="C150" s="38" t="str">
        <f>IFERROR([1]!IntrinioBankFinancials(rssd_id,$S$2,C$5,C$4,$B150,"K"),"")</f>
        <v/>
      </c>
      <c r="D150" s="38" t="str">
        <f>IFERROR([1]!IntrinioBankFinancials(rssd_id,$S$2,D$5,D$4,$B150,"K"),"")</f>
        <v/>
      </c>
      <c r="E150" s="38" t="str">
        <f>IFERROR([1]!IntrinioBankFinancials(rssd_id,$S$2,E$5,E$4,$B150,"K"),"")</f>
        <v/>
      </c>
      <c r="F150" s="38" t="str">
        <f>IFERROR([1]!IntrinioBankFinancials(rssd_id,$S$2,F$5,F$4,$B150,"K"),"")</f>
        <v/>
      </c>
      <c r="G150" s="38" t="str">
        <f>IFERROR([1]!IntrinioBankFinancials(rssd_id,$S$2,G$5,G$4,$B150,"K"),"")</f>
        <v/>
      </c>
      <c r="H150" s="38" t="str">
        <f>IFERROR([1]!IntrinioBankFinancials(rssd_id,$S$2,H$5,H$4,$B150,"K"),"")</f>
        <v/>
      </c>
      <c r="I150" s="38" t="str">
        <f>IFERROR([1]!IntrinioBankFinancials(rssd_id,$S$2,I$5,I$4,$B150,"K"),"")</f>
        <v/>
      </c>
      <c r="J150" s="38" t="str">
        <f>IFERROR([1]!IntrinioBankFinancials(rssd_id,$S$2,J$5,J$4,$B150,"K"),"")</f>
        <v/>
      </c>
      <c r="K150" s="38" t="str">
        <f>IFERROR([1]!IntrinioBankFinancials(rssd_id,$S$2,K$5,K$4,$B150,"K"),"")</f>
        <v/>
      </c>
      <c r="L150" s="38" t="str">
        <f>IFERROR([1]!IntrinioBankFinancials(rssd_id,$S$2,L$5,L$4,$B150,"K"),"")</f>
        <v/>
      </c>
      <c r="M150" s="38" t="str">
        <f>IFERROR([1]!IntrinioBankFinancials(rssd_id,$S$2,M$5,M$4,$B150,"K"),"")</f>
        <v/>
      </c>
      <c r="N150" s="38" t="str">
        <f>IFERROR([1]!IntrinioBankFinancials(rssd_id,$S$2,N$5,N$4,$B150,"K"),"")</f>
        <v/>
      </c>
      <c r="O150" s="38" t="str">
        <f>IFERROR([1]!IntrinioBankFinancials(rssd_id,$S$2,O$5,O$4,$B150,"K"),"")</f>
        <v/>
      </c>
      <c r="P150" s="49" t="s">
        <v>632</v>
      </c>
    </row>
    <row r="151" spans="1:16" x14ac:dyDescent="0.4">
      <c r="A151" s="39" t="s">
        <v>1450</v>
      </c>
      <c r="B151" s="37"/>
      <c r="C151" s="38" t="str">
        <f>IFERROR([1]!IntrinioBankFinancials(rssd_id,$S$2,C$5,C$4,$B151,"K"),"")</f>
        <v/>
      </c>
      <c r="D151" s="38" t="str">
        <f>IFERROR([1]!IntrinioBankFinancials(rssd_id,$S$2,D$5,D$4,$B151,"K"),"")</f>
        <v/>
      </c>
      <c r="E151" s="38" t="str">
        <f>IFERROR([1]!IntrinioBankFinancials(rssd_id,$S$2,E$5,E$4,$B151,"K"),"")</f>
        <v/>
      </c>
      <c r="F151" s="38" t="str">
        <f>IFERROR([1]!IntrinioBankFinancials(rssd_id,$S$2,F$5,F$4,$B151,"K"),"")</f>
        <v/>
      </c>
      <c r="G151" s="38" t="str">
        <f>IFERROR([1]!IntrinioBankFinancials(rssd_id,$S$2,G$5,G$4,$B151,"K"),"")</f>
        <v/>
      </c>
      <c r="H151" s="38" t="str">
        <f>IFERROR([1]!IntrinioBankFinancials(rssd_id,$S$2,H$5,H$4,$B151,"K"),"")</f>
        <v/>
      </c>
      <c r="I151" s="38" t="str">
        <f>IFERROR([1]!IntrinioBankFinancials(rssd_id,$S$2,I$5,I$4,$B151,"K"),"")</f>
        <v/>
      </c>
      <c r="J151" s="38" t="str">
        <f>IFERROR([1]!IntrinioBankFinancials(rssd_id,$S$2,J$5,J$4,$B151,"K"),"")</f>
        <v/>
      </c>
      <c r="K151" s="38" t="str">
        <f>IFERROR([1]!IntrinioBankFinancials(rssd_id,$S$2,K$5,K$4,$B151,"K"),"")</f>
        <v/>
      </c>
      <c r="L151" s="38" t="str">
        <f>IFERROR([1]!IntrinioBankFinancials(rssd_id,$S$2,L$5,L$4,$B151,"K"),"")</f>
        <v/>
      </c>
      <c r="M151" s="38" t="str">
        <f>IFERROR([1]!IntrinioBankFinancials(rssd_id,$S$2,M$5,M$4,$B151,"K"),"")</f>
        <v/>
      </c>
      <c r="N151" s="38" t="str">
        <f>IFERROR([1]!IntrinioBankFinancials(rssd_id,$S$2,N$5,N$4,$B151,"K"),"")</f>
        <v/>
      </c>
      <c r="O151" s="38" t="str">
        <f>IFERROR([1]!IntrinioBankFinancials(rssd_id,$S$2,O$5,O$4,$B151,"K"),"")</f>
        <v/>
      </c>
      <c r="P151" s="49">
        <v>15</v>
      </c>
    </row>
    <row r="152" spans="1:16" x14ac:dyDescent="0.4">
      <c r="A152" s="39" t="s">
        <v>1451</v>
      </c>
      <c r="B152" s="37"/>
      <c r="C152" s="38" t="str">
        <f>IFERROR([1]!IntrinioBankFinancials(rssd_id,$S$2,C$5,C$4,$B152,"K"),"")</f>
        <v/>
      </c>
      <c r="D152" s="38" t="str">
        <f>IFERROR([1]!IntrinioBankFinancials(rssd_id,$S$2,D$5,D$4,$B152,"K"),"")</f>
        <v/>
      </c>
      <c r="E152" s="38" t="str">
        <f>IFERROR([1]!IntrinioBankFinancials(rssd_id,$S$2,E$5,E$4,$B152,"K"),"")</f>
        <v/>
      </c>
      <c r="F152" s="38" t="str">
        <f>IFERROR([1]!IntrinioBankFinancials(rssd_id,$S$2,F$5,F$4,$B152,"K"),"")</f>
        <v/>
      </c>
      <c r="G152" s="38" t="str">
        <f>IFERROR([1]!IntrinioBankFinancials(rssd_id,$S$2,G$5,G$4,$B152,"K"),"")</f>
        <v/>
      </c>
      <c r="H152" s="38" t="str">
        <f>IFERROR([1]!IntrinioBankFinancials(rssd_id,$S$2,H$5,H$4,$B152,"K"),"")</f>
        <v/>
      </c>
      <c r="I152" s="38" t="str">
        <f>IFERROR([1]!IntrinioBankFinancials(rssd_id,$S$2,I$5,I$4,$B152,"K"),"")</f>
        <v/>
      </c>
      <c r="J152" s="38" t="str">
        <f>IFERROR([1]!IntrinioBankFinancials(rssd_id,$S$2,J$5,J$4,$B152,"K"),"")</f>
        <v/>
      </c>
      <c r="K152" s="38" t="str">
        <f>IFERROR([1]!IntrinioBankFinancials(rssd_id,$S$2,K$5,K$4,$B152,"K"),"")</f>
        <v/>
      </c>
      <c r="L152" s="38" t="str">
        <f>IFERROR([1]!IntrinioBankFinancials(rssd_id,$S$2,L$5,L$4,$B152,"K"),"")</f>
        <v/>
      </c>
      <c r="M152" s="38" t="str">
        <f>IFERROR([1]!IntrinioBankFinancials(rssd_id,$S$2,M$5,M$4,$B152,"K"),"")</f>
        <v/>
      </c>
      <c r="N152" s="38" t="str">
        <f>IFERROR([1]!IntrinioBankFinancials(rssd_id,$S$2,N$5,N$4,$B152,"K"),"")</f>
        <v/>
      </c>
      <c r="O152" s="38" t="str">
        <f>IFERROR([1]!IntrinioBankFinancials(rssd_id,$S$2,O$5,O$4,$B152,"K"),"")</f>
        <v/>
      </c>
      <c r="P152" s="49" t="s">
        <v>1509</v>
      </c>
    </row>
    <row r="153" spans="1:16" x14ac:dyDescent="0.4">
      <c r="A153" s="39" t="s">
        <v>1403</v>
      </c>
      <c r="B153" s="37" t="s">
        <v>2745</v>
      </c>
      <c r="C153" s="38" t="str">
        <f>IFERROR([1]!IntrinioBankFinancials(rssd_id,$S$2,C$5,C$4,$B153,"K"),"")</f>
        <v/>
      </c>
      <c r="D153" s="38" t="str">
        <f>IFERROR([1]!IntrinioBankFinancials(rssd_id,$S$2,D$5,D$4,$B153,"K"),"")</f>
        <v/>
      </c>
      <c r="E153" s="38" t="str">
        <f>IFERROR([1]!IntrinioBankFinancials(rssd_id,$S$2,E$5,E$4,$B153,"K"),"")</f>
        <v/>
      </c>
      <c r="F153" s="38" t="str">
        <f>IFERROR([1]!IntrinioBankFinancials(rssd_id,$S$2,F$5,F$4,$B153,"K"),"")</f>
        <v/>
      </c>
      <c r="G153" s="38" t="str">
        <f>IFERROR([1]!IntrinioBankFinancials(rssd_id,$S$2,G$5,G$4,$B153,"K"),"")</f>
        <v/>
      </c>
      <c r="H153" s="38" t="str">
        <f>IFERROR([1]!IntrinioBankFinancials(rssd_id,$S$2,H$5,H$4,$B153,"K"),"")</f>
        <v/>
      </c>
      <c r="I153" s="38" t="str">
        <f>IFERROR([1]!IntrinioBankFinancials(rssd_id,$S$2,I$5,I$4,$B153,"K"),"")</f>
        <v/>
      </c>
      <c r="J153" s="38" t="str">
        <f>IFERROR([1]!IntrinioBankFinancials(rssd_id,$S$2,J$5,J$4,$B153,"K"),"")</f>
        <v/>
      </c>
      <c r="K153" s="38" t="str">
        <f>IFERROR([1]!IntrinioBankFinancials(rssd_id,$S$2,K$5,K$4,$B153,"K"),"")</f>
        <v/>
      </c>
      <c r="L153" s="38" t="str">
        <f>IFERROR([1]!IntrinioBankFinancials(rssd_id,$S$2,L$5,L$4,$B153,"K"),"")</f>
        <v/>
      </c>
      <c r="M153" s="38" t="str">
        <f>IFERROR([1]!IntrinioBankFinancials(rssd_id,$S$2,M$5,M$4,$B153,"K"),"")</f>
        <v/>
      </c>
      <c r="N153" s="38" t="str">
        <f>IFERROR([1]!IntrinioBankFinancials(rssd_id,$S$2,N$5,N$4,$B153,"K"),"")</f>
        <v/>
      </c>
      <c r="O153" s="38" t="str">
        <f>IFERROR([1]!IntrinioBankFinancials(rssd_id,$S$2,O$5,O$4,$B153,"K"),"")</f>
        <v/>
      </c>
      <c r="P153" s="49" t="s">
        <v>1510</v>
      </c>
    </row>
    <row r="154" spans="1:16" x14ac:dyDescent="0.4">
      <c r="A154" s="39" t="s">
        <v>1404</v>
      </c>
      <c r="B154" s="37" t="s">
        <v>2746</v>
      </c>
      <c r="C154" s="38" t="str">
        <f>IFERROR([1]!IntrinioBankFinancials(rssd_id,$S$2,C$5,C$4,$B154,"K"),"")</f>
        <v/>
      </c>
      <c r="D154" s="38" t="str">
        <f>IFERROR([1]!IntrinioBankFinancials(rssd_id,$S$2,D$5,D$4,$B154,"K"),"")</f>
        <v/>
      </c>
      <c r="E154" s="38" t="str">
        <f>IFERROR([1]!IntrinioBankFinancials(rssd_id,$S$2,E$5,E$4,$B154,"K"),"")</f>
        <v/>
      </c>
      <c r="F154" s="38" t="str">
        <f>IFERROR([1]!IntrinioBankFinancials(rssd_id,$S$2,F$5,F$4,$B154,"K"),"")</f>
        <v/>
      </c>
      <c r="G154" s="38" t="str">
        <f>IFERROR([1]!IntrinioBankFinancials(rssd_id,$S$2,G$5,G$4,$B154,"K"),"")</f>
        <v/>
      </c>
      <c r="H154" s="38" t="str">
        <f>IFERROR([1]!IntrinioBankFinancials(rssd_id,$S$2,H$5,H$4,$B154,"K"),"")</f>
        <v/>
      </c>
      <c r="I154" s="38" t="str">
        <f>IFERROR([1]!IntrinioBankFinancials(rssd_id,$S$2,I$5,I$4,$B154,"K"),"")</f>
        <v/>
      </c>
      <c r="J154" s="38" t="str">
        <f>IFERROR([1]!IntrinioBankFinancials(rssd_id,$S$2,J$5,J$4,$B154,"K"),"")</f>
        <v/>
      </c>
      <c r="K154" s="38" t="str">
        <f>IFERROR([1]!IntrinioBankFinancials(rssd_id,$S$2,K$5,K$4,$B154,"K"),"")</f>
        <v/>
      </c>
      <c r="L154" s="38" t="str">
        <f>IFERROR([1]!IntrinioBankFinancials(rssd_id,$S$2,L$5,L$4,$B154,"K"),"")</f>
        <v/>
      </c>
      <c r="M154" s="38" t="str">
        <f>IFERROR([1]!IntrinioBankFinancials(rssd_id,$S$2,M$5,M$4,$B154,"K"),"")</f>
        <v/>
      </c>
      <c r="N154" s="38" t="str">
        <f>IFERROR([1]!IntrinioBankFinancials(rssd_id,$S$2,N$5,N$4,$B154,"K"),"")</f>
        <v/>
      </c>
      <c r="O154" s="38" t="str">
        <f>IFERROR([1]!IntrinioBankFinancials(rssd_id,$S$2,O$5,O$4,$B154,"K"),"")</f>
        <v/>
      </c>
      <c r="P154" s="49" t="s">
        <v>1511</v>
      </c>
    </row>
    <row r="155" spans="1:16" x14ac:dyDescent="0.4">
      <c r="A155" s="39" t="s">
        <v>1452</v>
      </c>
      <c r="B155" s="37"/>
      <c r="C155" s="38" t="str">
        <f>IFERROR([1]!IntrinioBankFinancials(rssd_id,$S$2,C$5,C$4,$B155,"K"),"")</f>
        <v/>
      </c>
      <c r="D155" s="38" t="str">
        <f>IFERROR([1]!IntrinioBankFinancials(rssd_id,$S$2,D$5,D$4,$B155,"K"),"")</f>
        <v/>
      </c>
      <c r="E155" s="38" t="str">
        <f>IFERROR([1]!IntrinioBankFinancials(rssd_id,$S$2,E$5,E$4,$B155,"K"),"")</f>
        <v/>
      </c>
      <c r="F155" s="38" t="str">
        <f>IFERROR([1]!IntrinioBankFinancials(rssd_id,$S$2,F$5,F$4,$B155,"K"),"")</f>
        <v/>
      </c>
      <c r="G155" s="38" t="str">
        <f>IFERROR([1]!IntrinioBankFinancials(rssd_id,$S$2,G$5,G$4,$B155,"K"),"")</f>
        <v/>
      </c>
      <c r="H155" s="38" t="str">
        <f>IFERROR([1]!IntrinioBankFinancials(rssd_id,$S$2,H$5,H$4,$B155,"K"),"")</f>
        <v/>
      </c>
      <c r="I155" s="38" t="str">
        <f>IFERROR([1]!IntrinioBankFinancials(rssd_id,$S$2,I$5,I$4,$B155,"K"),"")</f>
        <v/>
      </c>
      <c r="J155" s="38" t="str">
        <f>IFERROR([1]!IntrinioBankFinancials(rssd_id,$S$2,J$5,J$4,$B155,"K"),"")</f>
        <v/>
      </c>
      <c r="K155" s="38" t="str">
        <f>IFERROR([1]!IntrinioBankFinancials(rssd_id,$S$2,K$5,K$4,$B155,"K"),"")</f>
        <v/>
      </c>
      <c r="L155" s="38" t="str">
        <f>IFERROR([1]!IntrinioBankFinancials(rssd_id,$S$2,L$5,L$4,$B155,"K"),"")</f>
        <v/>
      </c>
      <c r="M155" s="38" t="str">
        <f>IFERROR([1]!IntrinioBankFinancials(rssd_id,$S$2,M$5,M$4,$B155,"K"),"")</f>
        <v/>
      </c>
      <c r="N155" s="38" t="str">
        <f>IFERROR([1]!IntrinioBankFinancials(rssd_id,$S$2,N$5,N$4,$B155,"K"),"")</f>
        <v/>
      </c>
      <c r="O155" s="38" t="str">
        <f>IFERROR([1]!IntrinioBankFinancials(rssd_id,$S$2,O$5,O$4,$B155,"K"),"")</f>
        <v/>
      </c>
      <c r="P155" s="49" t="s">
        <v>1512</v>
      </c>
    </row>
    <row r="156" spans="1:16" x14ac:dyDescent="0.4">
      <c r="A156" s="39" t="s">
        <v>1403</v>
      </c>
      <c r="B156" s="37" t="s">
        <v>2747</v>
      </c>
      <c r="C156" s="38" t="str">
        <f>IFERROR([1]!IntrinioBankFinancials(rssd_id,$S$2,C$5,C$4,$B156,"K"),"")</f>
        <v/>
      </c>
      <c r="D156" s="38" t="str">
        <f>IFERROR([1]!IntrinioBankFinancials(rssd_id,$S$2,D$5,D$4,$B156,"K"),"")</f>
        <v/>
      </c>
      <c r="E156" s="38" t="str">
        <f>IFERROR([1]!IntrinioBankFinancials(rssd_id,$S$2,E$5,E$4,$B156,"K"),"")</f>
        <v/>
      </c>
      <c r="F156" s="38" t="str">
        <f>IFERROR([1]!IntrinioBankFinancials(rssd_id,$S$2,F$5,F$4,$B156,"K"),"")</f>
        <v/>
      </c>
      <c r="G156" s="38" t="str">
        <f>IFERROR([1]!IntrinioBankFinancials(rssd_id,$S$2,G$5,G$4,$B156,"K"),"")</f>
        <v/>
      </c>
      <c r="H156" s="38" t="str">
        <f>IFERROR([1]!IntrinioBankFinancials(rssd_id,$S$2,H$5,H$4,$B156,"K"),"")</f>
        <v/>
      </c>
      <c r="I156" s="38" t="str">
        <f>IFERROR([1]!IntrinioBankFinancials(rssd_id,$S$2,I$5,I$4,$B156,"K"),"")</f>
        <v/>
      </c>
      <c r="J156" s="38" t="str">
        <f>IFERROR([1]!IntrinioBankFinancials(rssd_id,$S$2,J$5,J$4,$B156,"K"),"")</f>
        <v/>
      </c>
      <c r="K156" s="38" t="str">
        <f>IFERROR([1]!IntrinioBankFinancials(rssd_id,$S$2,K$5,K$4,$B156,"K"),"")</f>
        <v/>
      </c>
      <c r="L156" s="38" t="str">
        <f>IFERROR([1]!IntrinioBankFinancials(rssd_id,$S$2,L$5,L$4,$B156,"K"),"")</f>
        <v/>
      </c>
      <c r="M156" s="38" t="str">
        <f>IFERROR([1]!IntrinioBankFinancials(rssd_id,$S$2,M$5,M$4,$B156,"K"),"")</f>
        <v/>
      </c>
      <c r="N156" s="38" t="str">
        <f>IFERROR([1]!IntrinioBankFinancials(rssd_id,$S$2,N$5,N$4,$B156,"K"),"")</f>
        <v/>
      </c>
      <c r="O156" s="38" t="str">
        <f>IFERROR([1]!IntrinioBankFinancials(rssd_id,$S$2,O$5,O$4,$B156,"K"),"")</f>
        <v/>
      </c>
      <c r="P156" s="49" t="s">
        <v>1513</v>
      </c>
    </row>
    <row r="157" spans="1:16" x14ac:dyDescent="0.4">
      <c r="A157" s="39" t="s">
        <v>1456</v>
      </c>
      <c r="B157" s="37" t="s">
        <v>2748</v>
      </c>
      <c r="C157" s="38" t="str">
        <f>IFERROR([1]!IntrinioBankFinancials(rssd_id,$S$2,C$5,C$4,$B157,"K"),"")</f>
        <v/>
      </c>
      <c r="D157" s="38" t="str">
        <f>IFERROR([1]!IntrinioBankFinancials(rssd_id,$S$2,D$5,D$4,$B157,"K"),"")</f>
        <v/>
      </c>
      <c r="E157" s="38" t="str">
        <f>IFERROR([1]!IntrinioBankFinancials(rssd_id,$S$2,E$5,E$4,$B157,"K"),"")</f>
        <v/>
      </c>
      <c r="F157" s="38" t="str">
        <f>IFERROR([1]!IntrinioBankFinancials(rssd_id,$S$2,F$5,F$4,$B157,"K"),"")</f>
        <v/>
      </c>
      <c r="G157" s="38" t="str">
        <f>IFERROR([1]!IntrinioBankFinancials(rssd_id,$S$2,G$5,G$4,$B157,"K"),"")</f>
        <v/>
      </c>
      <c r="H157" s="38" t="str">
        <f>IFERROR([1]!IntrinioBankFinancials(rssd_id,$S$2,H$5,H$4,$B157,"K"),"")</f>
        <v/>
      </c>
      <c r="I157" s="38" t="str">
        <f>IFERROR([1]!IntrinioBankFinancials(rssd_id,$S$2,I$5,I$4,$B157,"K"),"")</f>
        <v/>
      </c>
      <c r="J157" s="38" t="str">
        <f>IFERROR([1]!IntrinioBankFinancials(rssd_id,$S$2,J$5,J$4,$B157,"K"),"")</f>
        <v/>
      </c>
      <c r="K157" s="38" t="str">
        <f>IFERROR([1]!IntrinioBankFinancials(rssd_id,$S$2,K$5,K$4,$B157,"K"),"")</f>
        <v/>
      </c>
      <c r="L157" s="38" t="str">
        <f>IFERROR([1]!IntrinioBankFinancials(rssd_id,$S$2,L$5,L$4,$B157,"K"),"")</f>
        <v/>
      </c>
      <c r="M157" s="38" t="str">
        <f>IFERROR([1]!IntrinioBankFinancials(rssd_id,$S$2,M$5,M$4,$B157,"K"),"")</f>
        <v/>
      </c>
      <c r="N157" s="38" t="str">
        <f>IFERROR([1]!IntrinioBankFinancials(rssd_id,$S$2,N$5,N$4,$B157,"K"),"")</f>
        <v/>
      </c>
      <c r="O157" s="38" t="str">
        <f>IFERROR([1]!IntrinioBankFinancials(rssd_id,$S$2,O$5,O$4,$B157,"K"),"")</f>
        <v/>
      </c>
      <c r="P157" s="49" t="s">
        <v>1514</v>
      </c>
    </row>
    <row r="158" spans="1:16" x14ac:dyDescent="0.4">
      <c r="A158" s="39"/>
      <c r="B158" s="37"/>
      <c r="C158" s="38" t="str">
        <f>IFERROR([1]!IntrinioBankFinancials(rssd_id,$S$2,C$5,C$4,$B158,"K"),"")</f>
        <v/>
      </c>
      <c r="D158" s="38" t="str">
        <f>IFERROR([1]!IntrinioBankFinancials(rssd_id,$S$2,D$5,D$4,$B158,"K"),"")</f>
        <v/>
      </c>
      <c r="E158" s="38" t="str">
        <f>IFERROR([1]!IntrinioBankFinancials(rssd_id,$S$2,E$5,E$4,$B158,"K"),"")</f>
        <v/>
      </c>
      <c r="F158" s="38" t="str">
        <f>IFERROR([1]!IntrinioBankFinancials(rssd_id,$S$2,F$5,F$4,$B158,"K"),"")</f>
        <v/>
      </c>
      <c r="G158" s="38" t="str">
        <f>IFERROR([1]!IntrinioBankFinancials(rssd_id,$S$2,G$5,G$4,$B158,"K"),"")</f>
        <v/>
      </c>
      <c r="H158" s="38" t="str">
        <f>IFERROR([1]!IntrinioBankFinancials(rssd_id,$S$2,H$5,H$4,$B158,"K"),"")</f>
        <v/>
      </c>
      <c r="I158" s="38" t="str">
        <f>IFERROR([1]!IntrinioBankFinancials(rssd_id,$S$2,I$5,I$4,$B158,"K"),"")</f>
        <v/>
      </c>
      <c r="J158" s="38" t="str">
        <f>IFERROR([1]!IntrinioBankFinancials(rssd_id,$S$2,J$5,J$4,$B158,"K"),"")</f>
        <v/>
      </c>
      <c r="K158" s="38" t="str">
        <f>IFERROR([1]!IntrinioBankFinancials(rssd_id,$S$2,K$5,K$4,$B158,"K"),"")</f>
        <v/>
      </c>
      <c r="L158" s="38" t="str">
        <f>IFERROR([1]!IntrinioBankFinancials(rssd_id,$S$2,L$5,L$4,$B158,"K"),"")</f>
        <v/>
      </c>
      <c r="M158" s="38" t="str">
        <f>IFERROR([1]!IntrinioBankFinancials(rssd_id,$S$2,M$5,M$4,$B158,"K"),"")</f>
        <v/>
      </c>
      <c r="N158" s="38" t="str">
        <f>IFERROR([1]!IntrinioBankFinancials(rssd_id,$S$2,N$5,N$4,$B158,"K"),"")</f>
        <v/>
      </c>
      <c r="O158" s="38" t="str">
        <f>IFERROR([1]!IntrinioBankFinancials(rssd_id,$S$2,O$5,O$4,$B158,"K"),"")</f>
        <v/>
      </c>
      <c r="P158" s="49"/>
    </row>
    <row r="159" spans="1:16" x14ac:dyDescent="0.4">
      <c r="A159" s="39" t="s">
        <v>1454</v>
      </c>
      <c r="B159" s="37"/>
      <c r="C159" s="38" t="str">
        <f>IFERROR([1]!IntrinioBankFinancials(rssd_id,$S$2,C$5,C$4,$B159,"K"),"")</f>
        <v/>
      </c>
      <c r="D159" s="38" t="str">
        <f>IFERROR([1]!IntrinioBankFinancials(rssd_id,$S$2,D$5,D$4,$B159,"K"),"")</f>
        <v/>
      </c>
      <c r="E159" s="38" t="str">
        <f>IFERROR([1]!IntrinioBankFinancials(rssd_id,$S$2,E$5,E$4,$B159,"K"),"")</f>
        <v/>
      </c>
      <c r="F159" s="38" t="str">
        <f>IFERROR([1]!IntrinioBankFinancials(rssd_id,$S$2,F$5,F$4,$B159,"K"),"")</f>
        <v/>
      </c>
      <c r="G159" s="38" t="str">
        <f>IFERROR([1]!IntrinioBankFinancials(rssd_id,$S$2,G$5,G$4,$B159,"K"),"")</f>
        <v/>
      </c>
      <c r="H159" s="38" t="str">
        <f>IFERROR([1]!IntrinioBankFinancials(rssd_id,$S$2,H$5,H$4,$B159,"K"),"")</f>
        <v/>
      </c>
      <c r="I159" s="38" t="str">
        <f>IFERROR([1]!IntrinioBankFinancials(rssd_id,$S$2,I$5,I$4,$B159,"K"),"")</f>
        <v/>
      </c>
      <c r="J159" s="38" t="str">
        <f>IFERROR([1]!IntrinioBankFinancials(rssd_id,$S$2,J$5,J$4,$B159,"K"),"")</f>
        <v/>
      </c>
      <c r="K159" s="38" t="str">
        <f>IFERROR([1]!IntrinioBankFinancials(rssd_id,$S$2,K$5,K$4,$B159,"K"),"")</f>
        <v/>
      </c>
      <c r="L159" s="38" t="str">
        <f>IFERROR([1]!IntrinioBankFinancials(rssd_id,$S$2,L$5,L$4,$B159,"K"),"")</f>
        <v/>
      </c>
      <c r="M159" s="38" t="str">
        <f>IFERROR([1]!IntrinioBankFinancials(rssd_id,$S$2,M$5,M$4,$B159,"K"),"")</f>
        <v/>
      </c>
      <c r="N159" s="38" t="str">
        <f>IFERROR([1]!IntrinioBankFinancials(rssd_id,$S$2,N$5,N$4,$B159,"K"),"")</f>
        <v/>
      </c>
      <c r="O159" s="38" t="str">
        <f>IFERROR([1]!IntrinioBankFinancials(rssd_id,$S$2,O$5,O$4,$B159,"K"),"")</f>
        <v/>
      </c>
      <c r="P159" s="49"/>
    </row>
    <row r="160" spans="1:16" x14ac:dyDescent="0.4">
      <c r="A160" s="39" t="s">
        <v>1439</v>
      </c>
      <c r="B160" s="37"/>
      <c r="C160" s="38" t="str">
        <f>IFERROR([1]!IntrinioBankFinancials(rssd_id,$S$2,C$5,C$4,$B160,"K"),"")</f>
        <v/>
      </c>
      <c r="D160" s="38" t="str">
        <f>IFERROR([1]!IntrinioBankFinancials(rssd_id,$S$2,D$5,D$4,$B160,"K"),"")</f>
        <v/>
      </c>
      <c r="E160" s="38" t="str">
        <f>IFERROR([1]!IntrinioBankFinancials(rssd_id,$S$2,E$5,E$4,$B160,"K"),"")</f>
        <v/>
      </c>
      <c r="F160" s="38" t="str">
        <f>IFERROR([1]!IntrinioBankFinancials(rssd_id,$S$2,F$5,F$4,$B160,"K"),"")</f>
        <v/>
      </c>
      <c r="G160" s="38" t="str">
        <f>IFERROR([1]!IntrinioBankFinancials(rssd_id,$S$2,G$5,G$4,$B160,"K"),"")</f>
        <v/>
      </c>
      <c r="H160" s="38" t="str">
        <f>IFERROR([1]!IntrinioBankFinancials(rssd_id,$S$2,H$5,H$4,$B160,"K"),"")</f>
        <v/>
      </c>
      <c r="I160" s="38" t="str">
        <f>IFERROR([1]!IntrinioBankFinancials(rssd_id,$S$2,I$5,I$4,$B160,"K"),"")</f>
        <v/>
      </c>
      <c r="J160" s="38" t="str">
        <f>IFERROR([1]!IntrinioBankFinancials(rssd_id,$S$2,J$5,J$4,$B160,"K"),"")</f>
        <v/>
      </c>
      <c r="K160" s="38" t="str">
        <f>IFERROR([1]!IntrinioBankFinancials(rssd_id,$S$2,K$5,K$4,$B160,"K"),"")</f>
        <v/>
      </c>
      <c r="L160" s="38" t="str">
        <f>IFERROR([1]!IntrinioBankFinancials(rssd_id,$S$2,L$5,L$4,$B160,"K"),"")</f>
        <v/>
      </c>
      <c r="M160" s="38" t="str">
        <f>IFERROR([1]!IntrinioBankFinancials(rssd_id,$S$2,M$5,M$4,$B160,"K"),"")</f>
        <v/>
      </c>
      <c r="N160" s="38" t="str">
        <f>IFERROR([1]!IntrinioBankFinancials(rssd_id,$S$2,N$5,N$4,$B160,"K"),"")</f>
        <v/>
      </c>
      <c r="O160" s="38" t="str">
        <f>IFERROR([1]!IntrinioBankFinancials(rssd_id,$S$2,O$5,O$4,$B160,"K"),"")</f>
        <v/>
      </c>
      <c r="P160" s="49">
        <v>12</v>
      </c>
    </row>
    <row r="161" spans="1:16" x14ac:dyDescent="0.4">
      <c r="A161" s="39" t="s">
        <v>1440</v>
      </c>
      <c r="B161" s="37" t="s">
        <v>2749</v>
      </c>
      <c r="C161" s="38" t="str">
        <f>IFERROR([1]!IntrinioBankFinancials(rssd_id,$S$2,C$5,C$4,$B161,"K"),"")</f>
        <v/>
      </c>
      <c r="D161" s="38" t="str">
        <f>IFERROR([1]!IntrinioBankFinancials(rssd_id,$S$2,D$5,D$4,$B161,"K"),"")</f>
        <v/>
      </c>
      <c r="E161" s="38" t="str">
        <f>IFERROR([1]!IntrinioBankFinancials(rssd_id,$S$2,E$5,E$4,$B161,"K"),"")</f>
        <v/>
      </c>
      <c r="F161" s="38" t="str">
        <f>IFERROR([1]!IntrinioBankFinancials(rssd_id,$S$2,F$5,F$4,$B161,"K"),"")</f>
        <v/>
      </c>
      <c r="G161" s="38" t="str">
        <f>IFERROR([1]!IntrinioBankFinancials(rssd_id,$S$2,G$5,G$4,$B161,"K"),"")</f>
        <v/>
      </c>
      <c r="H161" s="38" t="str">
        <f>IFERROR([1]!IntrinioBankFinancials(rssd_id,$S$2,H$5,H$4,$B161,"K"),"")</f>
        <v/>
      </c>
      <c r="I161" s="38" t="str">
        <f>IFERROR([1]!IntrinioBankFinancials(rssd_id,$S$2,I$5,I$4,$B161,"K"),"")</f>
        <v/>
      </c>
      <c r="J161" s="38" t="str">
        <f>IFERROR([1]!IntrinioBankFinancials(rssd_id,$S$2,J$5,J$4,$B161,"K"),"")</f>
        <v/>
      </c>
      <c r="K161" s="38" t="str">
        <f>IFERROR([1]!IntrinioBankFinancials(rssd_id,$S$2,K$5,K$4,$B161,"K"),"")</f>
        <v/>
      </c>
      <c r="L161" s="38" t="str">
        <f>IFERROR([1]!IntrinioBankFinancials(rssd_id,$S$2,L$5,L$4,$B161,"K"),"")</f>
        <v/>
      </c>
      <c r="M161" s="38" t="str">
        <f>IFERROR([1]!IntrinioBankFinancials(rssd_id,$S$2,M$5,M$4,$B161,"K"),"")</f>
        <v/>
      </c>
      <c r="N161" s="38" t="str">
        <f>IFERROR([1]!IntrinioBankFinancials(rssd_id,$S$2,N$5,N$4,$B161,"K"),"")</f>
        <v/>
      </c>
      <c r="O161" s="38" t="str">
        <f>IFERROR([1]!IntrinioBankFinancials(rssd_id,$S$2,O$5,O$4,$B161,"K"),"")</f>
        <v/>
      </c>
      <c r="P161" s="49" t="s">
        <v>1500</v>
      </c>
    </row>
    <row r="162" spans="1:16" x14ac:dyDescent="0.4">
      <c r="A162" s="39" t="s">
        <v>1441</v>
      </c>
      <c r="B162" s="37" t="s">
        <v>2750</v>
      </c>
      <c r="C162" s="38" t="str">
        <f>IFERROR([1]!IntrinioBankFinancials(rssd_id,$S$2,C$5,C$4,$B162,"K"),"")</f>
        <v/>
      </c>
      <c r="D162" s="38" t="str">
        <f>IFERROR([1]!IntrinioBankFinancials(rssd_id,$S$2,D$5,D$4,$B162,"K"),"")</f>
        <v/>
      </c>
      <c r="E162" s="38" t="str">
        <f>IFERROR([1]!IntrinioBankFinancials(rssd_id,$S$2,E$5,E$4,$B162,"K"),"")</f>
        <v/>
      </c>
      <c r="F162" s="38" t="str">
        <f>IFERROR([1]!IntrinioBankFinancials(rssd_id,$S$2,F$5,F$4,$B162,"K"),"")</f>
        <v/>
      </c>
      <c r="G162" s="38" t="str">
        <f>IFERROR([1]!IntrinioBankFinancials(rssd_id,$S$2,G$5,G$4,$B162,"K"),"")</f>
        <v/>
      </c>
      <c r="H162" s="38" t="str">
        <f>IFERROR([1]!IntrinioBankFinancials(rssd_id,$S$2,H$5,H$4,$B162,"K"),"")</f>
        <v/>
      </c>
      <c r="I162" s="38" t="str">
        <f>IFERROR([1]!IntrinioBankFinancials(rssd_id,$S$2,I$5,I$4,$B162,"K"),"")</f>
        <v/>
      </c>
      <c r="J162" s="38" t="str">
        <f>IFERROR([1]!IntrinioBankFinancials(rssd_id,$S$2,J$5,J$4,$B162,"K"),"")</f>
        <v/>
      </c>
      <c r="K162" s="38" t="str">
        <f>IFERROR([1]!IntrinioBankFinancials(rssd_id,$S$2,K$5,K$4,$B162,"K"),"")</f>
        <v/>
      </c>
      <c r="L162" s="38" t="str">
        <f>IFERROR([1]!IntrinioBankFinancials(rssd_id,$S$2,L$5,L$4,$B162,"K"),"")</f>
        <v/>
      </c>
      <c r="M162" s="38" t="str">
        <f>IFERROR([1]!IntrinioBankFinancials(rssd_id,$S$2,M$5,M$4,$B162,"K"),"")</f>
        <v/>
      </c>
      <c r="N162" s="38" t="str">
        <f>IFERROR([1]!IntrinioBankFinancials(rssd_id,$S$2,N$5,N$4,$B162,"K"),"")</f>
        <v/>
      </c>
      <c r="O162" s="38" t="str">
        <f>IFERROR([1]!IntrinioBankFinancials(rssd_id,$S$2,O$5,O$4,$B162,"K"),"")</f>
        <v/>
      </c>
      <c r="P162" s="49" t="s">
        <v>1501</v>
      </c>
    </row>
    <row r="163" spans="1:16" x14ac:dyDescent="0.4">
      <c r="A163" s="39" t="s">
        <v>1442</v>
      </c>
      <c r="B163" s="37"/>
      <c r="C163" s="38" t="str">
        <f>IFERROR([1]!IntrinioBankFinancials(rssd_id,$S$2,C$5,C$4,$B163,"K"),"")</f>
        <v/>
      </c>
      <c r="D163" s="38" t="str">
        <f>IFERROR([1]!IntrinioBankFinancials(rssd_id,$S$2,D$5,D$4,$B163,"K"),"")</f>
        <v/>
      </c>
      <c r="E163" s="38" t="str">
        <f>IFERROR([1]!IntrinioBankFinancials(rssd_id,$S$2,E$5,E$4,$B163,"K"),"")</f>
        <v/>
      </c>
      <c r="F163" s="38" t="str">
        <f>IFERROR([1]!IntrinioBankFinancials(rssd_id,$S$2,F$5,F$4,$B163,"K"),"")</f>
        <v/>
      </c>
      <c r="G163" s="38" t="str">
        <f>IFERROR([1]!IntrinioBankFinancials(rssd_id,$S$2,G$5,G$4,$B163,"K"),"")</f>
        <v/>
      </c>
      <c r="H163" s="38" t="str">
        <f>IFERROR([1]!IntrinioBankFinancials(rssd_id,$S$2,H$5,H$4,$B163,"K"),"")</f>
        <v/>
      </c>
      <c r="I163" s="38" t="str">
        <f>IFERROR([1]!IntrinioBankFinancials(rssd_id,$S$2,I$5,I$4,$B163,"K"),"")</f>
        <v/>
      </c>
      <c r="J163" s="38" t="str">
        <f>IFERROR([1]!IntrinioBankFinancials(rssd_id,$S$2,J$5,J$4,$B163,"K"),"")</f>
        <v/>
      </c>
      <c r="K163" s="38" t="str">
        <f>IFERROR([1]!IntrinioBankFinancials(rssd_id,$S$2,K$5,K$4,$B163,"K"),"")</f>
        <v/>
      </c>
      <c r="L163" s="38" t="str">
        <f>IFERROR([1]!IntrinioBankFinancials(rssd_id,$S$2,L$5,L$4,$B163,"K"),"")</f>
        <v/>
      </c>
      <c r="M163" s="38" t="str">
        <f>IFERROR([1]!IntrinioBankFinancials(rssd_id,$S$2,M$5,M$4,$B163,"K"),"")</f>
        <v/>
      </c>
      <c r="N163" s="38" t="str">
        <f>IFERROR([1]!IntrinioBankFinancials(rssd_id,$S$2,N$5,N$4,$B163,"K"),"")</f>
        <v/>
      </c>
      <c r="O163" s="38" t="str">
        <f>IFERROR([1]!IntrinioBankFinancials(rssd_id,$S$2,O$5,O$4,$B163,"K"),"")</f>
        <v/>
      </c>
      <c r="P163" s="49" t="s">
        <v>1502</v>
      </c>
    </row>
    <row r="164" spans="1:16" x14ac:dyDescent="0.4">
      <c r="A164" s="39" t="s">
        <v>1443</v>
      </c>
      <c r="B164" s="37" t="s">
        <v>2751</v>
      </c>
      <c r="C164" s="38" t="str">
        <f>IFERROR([1]!IntrinioBankFinancials(rssd_id,$S$2,C$5,C$4,$B164,"K"),"")</f>
        <v/>
      </c>
      <c r="D164" s="38" t="str">
        <f>IFERROR([1]!IntrinioBankFinancials(rssd_id,$S$2,D$5,D$4,$B164,"K"),"")</f>
        <v/>
      </c>
      <c r="E164" s="38" t="str">
        <f>IFERROR([1]!IntrinioBankFinancials(rssd_id,$S$2,E$5,E$4,$B164,"K"),"")</f>
        <v/>
      </c>
      <c r="F164" s="38" t="str">
        <f>IFERROR([1]!IntrinioBankFinancials(rssd_id,$S$2,F$5,F$4,$B164,"K"),"")</f>
        <v/>
      </c>
      <c r="G164" s="38" t="str">
        <f>IFERROR([1]!IntrinioBankFinancials(rssd_id,$S$2,G$5,G$4,$B164,"K"),"")</f>
        <v/>
      </c>
      <c r="H164" s="38" t="str">
        <f>IFERROR([1]!IntrinioBankFinancials(rssd_id,$S$2,H$5,H$4,$B164,"K"),"")</f>
        <v/>
      </c>
      <c r="I164" s="38" t="str">
        <f>IFERROR([1]!IntrinioBankFinancials(rssd_id,$S$2,I$5,I$4,$B164,"K"),"")</f>
        <v/>
      </c>
      <c r="J164" s="38" t="str">
        <f>IFERROR([1]!IntrinioBankFinancials(rssd_id,$S$2,J$5,J$4,$B164,"K"),"")</f>
        <v/>
      </c>
      <c r="K164" s="38" t="str">
        <f>IFERROR([1]!IntrinioBankFinancials(rssd_id,$S$2,K$5,K$4,$B164,"K"),"")</f>
        <v/>
      </c>
      <c r="L164" s="38" t="str">
        <f>IFERROR([1]!IntrinioBankFinancials(rssd_id,$S$2,L$5,L$4,$B164,"K"),"")</f>
        <v/>
      </c>
      <c r="M164" s="38" t="str">
        <f>IFERROR([1]!IntrinioBankFinancials(rssd_id,$S$2,M$5,M$4,$B164,"K"),"")</f>
        <v/>
      </c>
      <c r="N164" s="38" t="str">
        <f>IFERROR([1]!IntrinioBankFinancials(rssd_id,$S$2,N$5,N$4,$B164,"K"),"")</f>
        <v/>
      </c>
      <c r="O164" s="38" t="str">
        <f>IFERROR([1]!IntrinioBankFinancials(rssd_id,$S$2,O$5,O$4,$B164,"K"),"")</f>
        <v/>
      </c>
      <c r="P164" s="49" t="s">
        <v>1503</v>
      </c>
    </row>
    <row r="165" spans="1:16" x14ac:dyDescent="0.4">
      <c r="A165" s="39" t="s">
        <v>1444</v>
      </c>
      <c r="B165" s="37" t="s">
        <v>2752</v>
      </c>
      <c r="C165" s="38" t="str">
        <f>IFERROR([1]!IntrinioBankFinancials(rssd_id,$S$2,C$5,C$4,$B165,"K"),"")</f>
        <v/>
      </c>
      <c r="D165" s="38" t="str">
        <f>IFERROR([1]!IntrinioBankFinancials(rssd_id,$S$2,D$5,D$4,$B165,"K"),"")</f>
        <v/>
      </c>
      <c r="E165" s="38" t="str">
        <f>IFERROR([1]!IntrinioBankFinancials(rssd_id,$S$2,E$5,E$4,$B165,"K"),"")</f>
        <v/>
      </c>
      <c r="F165" s="38" t="str">
        <f>IFERROR([1]!IntrinioBankFinancials(rssd_id,$S$2,F$5,F$4,$B165,"K"),"")</f>
        <v/>
      </c>
      <c r="G165" s="38" t="str">
        <f>IFERROR([1]!IntrinioBankFinancials(rssd_id,$S$2,G$5,G$4,$B165,"K"),"")</f>
        <v/>
      </c>
      <c r="H165" s="38" t="str">
        <f>IFERROR([1]!IntrinioBankFinancials(rssd_id,$S$2,H$5,H$4,$B165,"K"),"")</f>
        <v/>
      </c>
      <c r="I165" s="38" t="str">
        <f>IFERROR([1]!IntrinioBankFinancials(rssd_id,$S$2,I$5,I$4,$B165,"K"),"")</f>
        <v/>
      </c>
      <c r="J165" s="38" t="str">
        <f>IFERROR([1]!IntrinioBankFinancials(rssd_id,$S$2,J$5,J$4,$B165,"K"),"")</f>
        <v/>
      </c>
      <c r="K165" s="38" t="str">
        <f>IFERROR([1]!IntrinioBankFinancials(rssd_id,$S$2,K$5,K$4,$B165,"K"),"")</f>
        <v/>
      </c>
      <c r="L165" s="38" t="str">
        <f>IFERROR([1]!IntrinioBankFinancials(rssd_id,$S$2,L$5,L$4,$B165,"K"),"")</f>
        <v/>
      </c>
      <c r="M165" s="38" t="str">
        <f>IFERROR([1]!IntrinioBankFinancials(rssd_id,$S$2,M$5,M$4,$B165,"K"),"")</f>
        <v/>
      </c>
      <c r="N165" s="38" t="str">
        <f>IFERROR([1]!IntrinioBankFinancials(rssd_id,$S$2,N$5,N$4,$B165,"K"),"")</f>
        <v/>
      </c>
      <c r="O165" s="38" t="str">
        <f>IFERROR([1]!IntrinioBankFinancials(rssd_id,$S$2,O$5,O$4,$B165,"K"),"")</f>
        <v/>
      </c>
      <c r="P165" s="49" t="s">
        <v>1504</v>
      </c>
    </row>
    <row r="166" spans="1:16" x14ac:dyDescent="0.4">
      <c r="A166" s="39" t="s">
        <v>1445</v>
      </c>
      <c r="B166" s="37"/>
      <c r="C166" s="38" t="str">
        <f>IFERROR([1]!IntrinioBankFinancials(rssd_id,$S$2,C$5,C$4,$B166,"K"),"")</f>
        <v/>
      </c>
      <c r="D166" s="38" t="str">
        <f>IFERROR([1]!IntrinioBankFinancials(rssd_id,$S$2,D$5,D$4,$B166,"K"),"")</f>
        <v/>
      </c>
      <c r="E166" s="38" t="str">
        <f>IFERROR([1]!IntrinioBankFinancials(rssd_id,$S$2,E$5,E$4,$B166,"K"),"")</f>
        <v/>
      </c>
      <c r="F166" s="38" t="str">
        <f>IFERROR([1]!IntrinioBankFinancials(rssd_id,$S$2,F$5,F$4,$B166,"K"),"")</f>
        <v/>
      </c>
      <c r="G166" s="38" t="str">
        <f>IFERROR([1]!IntrinioBankFinancials(rssd_id,$S$2,G$5,G$4,$B166,"K"),"")</f>
        <v/>
      </c>
      <c r="H166" s="38" t="str">
        <f>IFERROR([1]!IntrinioBankFinancials(rssd_id,$S$2,H$5,H$4,$B166,"K"),"")</f>
        <v/>
      </c>
      <c r="I166" s="38" t="str">
        <f>IFERROR([1]!IntrinioBankFinancials(rssd_id,$S$2,I$5,I$4,$B166,"K"),"")</f>
        <v/>
      </c>
      <c r="J166" s="38" t="str">
        <f>IFERROR([1]!IntrinioBankFinancials(rssd_id,$S$2,J$5,J$4,$B166,"K"),"")</f>
        <v/>
      </c>
      <c r="K166" s="38" t="str">
        <f>IFERROR([1]!IntrinioBankFinancials(rssd_id,$S$2,K$5,K$4,$B166,"K"),"")</f>
        <v/>
      </c>
      <c r="L166" s="38" t="str">
        <f>IFERROR([1]!IntrinioBankFinancials(rssd_id,$S$2,L$5,L$4,$B166,"K"),"")</f>
        <v/>
      </c>
      <c r="M166" s="38" t="str">
        <f>IFERROR([1]!IntrinioBankFinancials(rssd_id,$S$2,M$5,M$4,$B166,"K"),"")</f>
        <v/>
      </c>
      <c r="N166" s="38" t="str">
        <f>IFERROR([1]!IntrinioBankFinancials(rssd_id,$S$2,N$5,N$4,$B166,"K"),"")</f>
        <v/>
      </c>
      <c r="O166" s="38" t="str">
        <f>IFERROR([1]!IntrinioBankFinancials(rssd_id,$S$2,O$5,O$4,$B166,"K"),"")</f>
        <v/>
      </c>
      <c r="P166" s="49" t="s">
        <v>1505</v>
      </c>
    </row>
    <row r="167" spans="1:16" x14ac:dyDescent="0.4">
      <c r="A167" s="39" t="s">
        <v>1443</v>
      </c>
      <c r="B167" s="37" t="s">
        <v>2753</v>
      </c>
      <c r="C167" s="38" t="str">
        <f>IFERROR([1]!IntrinioBankFinancials(rssd_id,$S$2,C$5,C$4,$B167,"K"),"")</f>
        <v/>
      </c>
      <c r="D167" s="38" t="str">
        <f>IFERROR([1]!IntrinioBankFinancials(rssd_id,$S$2,D$5,D$4,$B167,"K"),"")</f>
        <v/>
      </c>
      <c r="E167" s="38" t="str">
        <f>IFERROR([1]!IntrinioBankFinancials(rssd_id,$S$2,E$5,E$4,$B167,"K"),"")</f>
        <v/>
      </c>
      <c r="F167" s="38" t="str">
        <f>IFERROR([1]!IntrinioBankFinancials(rssd_id,$S$2,F$5,F$4,$B167,"K"),"")</f>
        <v/>
      </c>
      <c r="G167" s="38" t="str">
        <f>IFERROR([1]!IntrinioBankFinancials(rssd_id,$S$2,G$5,G$4,$B167,"K"),"")</f>
        <v/>
      </c>
      <c r="H167" s="38" t="str">
        <f>IFERROR([1]!IntrinioBankFinancials(rssd_id,$S$2,H$5,H$4,$B167,"K"),"")</f>
        <v/>
      </c>
      <c r="I167" s="38" t="str">
        <f>IFERROR([1]!IntrinioBankFinancials(rssd_id,$S$2,I$5,I$4,$B167,"K"),"")</f>
        <v/>
      </c>
      <c r="J167" s="38" t="str">
        <f>IFERROR([1]!IntrinioBankFinancials(rssd_id,$S$2,J$5,J$4,$B167,"K"),"")</f>
        <v/>
      </c>
      <c r="K167" s="38" t="str">
        <f>IFERROR([1]!IntrinioBankFinancials(rssd_id,$S$2,K$5,K$4,$B167,"K"),"")</f>
        <v/>
      </c>
      <c r="L167" s="38" t="str">
        <f>IFERROR([1]!IntrinioBankFinancials(rssd_id,$S$2,L$5,L$4,$B167,"K"),"")</f>
        <v/>
      </c>
      <c r="M167" s="38" t="str">
        <f>IFERROR([1]!IntrinioBankFinancials(rssd_id,$S$2,M$5,M$4,$B167,"K"),"")</f>
        <v/>
      </c>
      <c r="N167" s="38" t="str">
        <f>IFERROR([1]!IntrinioBankFinancials(rssd_id,$S$2,N$5,N$4,$B167,"K"),"")</f>
        <v/>
      </c>
      <c r="O167" s="38" t="str">
        <f>IFERROR([1]!IntrinioBankFinancials(rssd_id,$S$2,O$5,O$4,$B167,"K"),"")</f>
        <v/>
      </c>
      <c r="P167" s="49" t="s">
        <v>1506</v>
      </c>
    </row>
    <row r="168" spans="1:16" x14ac:dyDescent="0.4">
      <c r="A168" s="39" t="s">
        <v>1444</v>
      </c>
      <c r="B168" s="37" t="s">
        <v>2754</v>
      </c>
      <c r="C168" s="38" t="str">
        <f>IFERROR([1]!IntrinioBankFinancials(rssd_id,$S$2,C$5,C$4,$B168,"K"),"")</f>
        <v/>
      </c>
      <c r="D168" s="38" t="str">
        <f>IFERROR([1]!IntrinioBankFinancials(rssd_id,$S$2,D$5,D$4,$B168,"K"),"")</f>
        <v/>
      </c>
      <c r="E168" s="38" t="str">
        <f>IFERROR([1]!IntrinioBankFinancials(rssd_id,$S$2,E$5,E$4,$B168,"K"),"")</f>
        <v/>
      </c>
      <c r="F168" s="38" t="str">
        <f>IFERROR([1]!IntrinioBankFinancials(rssd_id,$S$2,F$5,F$4,$B168,"K"),"")</f>
        <v/>
      </c>
      <c r="G168" s="38" t="str">
        <f>IFERROR([1]!IntrinioBankFinancials(rssd_id,$S$2,G$5,G$4,$B168,"K"),"")</f>
        <v/>
      </c>
      <c r="H168" s="38" t="str">
        <f>IFERROR([1]!IntrinioBankFinancials(rssd_id,$S$2,H$5,H$4,$B168,"K"),"")</f>
        <v/>
      </c>
      <c r="I168" s="38" t="str">
        <f>IFERROR([1]!IntrinioBankFinancials(rssd_id,$S$2,I$5,I$4,$B168,"K"),"")</f>
        <v/>
      </c>
      <c r="J168" s="38" t="str">
        <f>IFERROR([1]!IntrinioBankFinancials(rssd_id,$S$2,J$5,J$4,$B168,"K"),"")</f>
        <v/>
      </c>
      <c r="K168" s="38" t="str">
        <f>IFERROR([1]!IntrinioBankFinancials(rssd_id,$S$2,K$5,K$4,$B168,"K"),"")</f>
        <v/>
      </c>
      <c r="L168" s="38" t="str">
        <f>IFERROR([1]!IntrinioBankFinancials(rssd_id,$S$2,L$5,L$4,$B168,"K"),"")</f>
        <v/>
      </c>
      <c r="M168" s="38" t="str">
        <f>IFERROR([1]!IntrinioBankFinancials(rssd_id,$S$2,M$5,M$4,$B168,"K"),"")</f>
        <v/>
      </c>
      <c r="N168" s="38" t="str">
        <f>IFERROR([1]!IntrinioBankFinancials(rssd_id,$S$2,N$5,N$4,$B168,"K"),"")</f>
        <v/>
      </c>
      <c r="O168" s="38" t="str">
        <f>IFERROR([1]!IntrinioBankFinancials(rssd_id,$S$2,O$5,O$4,$B168,"K"),"")</f>
        <v/>
      </c>
      <c r="P168" s="49" t="s">
        <v>1507</v>
      </c>
    </row>
    <row r="169" spans="1:16" x14ac:dyDescent="0.4">
      <c r="A169" s="39" t="s">
        <v>1446</v>
      </c>
      <c r="B169" s="37" t="s">
        <v>2755</v>
      </c>
      <c r="C169" s="38" t="str">
        <f>IFERROR([1]!IntrinioBankFinancials(rssd_id,$S$2,C$5,C$4,$B169,"K"),"")</f>
        <v/>
      </c>
      <c r="D169" s="38" t="str">
        <f>IFERROR([1]!IntrinioBankFinancials(rssd_id,$S$2,D$5,D$4,$B169,"K"),"")</f>
        <v/>
      </c>
      <c r="E169" s="38" t="str">
        <f>IFERROR([1]!IntrinioBankFinancials(rssd_id,$S$2,E$5,E$4,$B169,"K"),"")</f>
        <v/>
      </c>
      <c r="F169" s="38" t="str">
        <f>IFERROR([1]!IntrinioBankFinancials(rssd_id,$S$2,F$5,F$4,$B169,"K"),"")</f>
        <v/>
      </c>
      <c r="G169" s="38" t="str">
        <f>IFERROR([1]!IntrinioBankFinancials(rssd_id,$S$2,G$5,G$4,$B169,"K"),"")</f>
        <v/>
      </c>
      <c r="H169" s="38" t="str">
        <f>IFERROR([1]!IntrinioBankFinancials(rssd_id,$S$2,H$5,H$4,$B169,"K"),"")</f>
        <v/>
      </c>
      <c r="I169" s="38" t="str">
        <f>IFERROR([1]!IntrinioBankFinancials(rssd_id,$S$2,I$5,I$4,$B169,"K"),"")</f>
        <v/>
      </c>
      <c r="J169" s="38" t="str">
        <f>IFERROR([1]!IntrinioBankFinancials(rssd_id,$S$2,J$5,J$4,$B169,"K"),"")</f>
        <v/>
      </c>
      <c r="K169" s="38" t="str">
        <f>IFERROR([1]!IntrinioBankFinancials(rssd_id,$S$2,K$5,K$4,$B169,"K"),"")</f>
        <v/>
      </c>
      <c r="L169" s="38" t="str">
        <f>IFERROR([1]!IntrinioBankFinancials(rssd_id,$S$2,L$5,L$4,$B169,"K"),"")</f>
        <v/>
      </c>
      <c r="M169" s="38" t="str">
        <f>IFERROR([1]!IntrinioBankFinancials(rssd_id,$S$2,M$5,M$4,$B169,"K"),"")</f>
        <v/>
      </c>
      <c r="N169" s="38" t="str">
        <f>IFERROR([1]!IntrinioBankFinancials(rssd_id,$S$2,N$5,N$4,$B169,"K"),"")</f>
        <v/>
      </c>
      <c r="O169" s="38" t="str">
        <f>IFERROR([1]!IntrinioBankFinancials(rssd_id,$S$2,O$5,O$4,$B169,"K"),"")</f>
        <v/>
      </c>
      <c r="P169" s="49" t="s">
        <v>1508</v>
      </c>
    </row>
    <row r="170" spans="1:16" x14ac:dyDescent="0.4">
      <c r="A170" s="39" t="s">
        <v>1447</v>
      </c>
      <c r="B170" s="37" t="s">
        <v>2756</v>
      </c>
      <c r="C170" s="38" t="str">
        <f>IFERROR([1]!IntrinioBankFinancials(rssd_id,$S$2,C$5,C$4,$B170,"K"),"")</f>
        <v/>
      </c>
      <c r="D170" s="38" t="str">
        <f>IFERROR([1]!IntrinioBankFinancials(rssd_id,$S$2,D$5,D$4,$B170,"K"),"")</f>
        <v/>
      </c>
      <c r="E170" s="38" t="str">
        <f>IFERROR([1]!IntrinioBankFinancials(rssd_id,$S$2,E$5,E$4,$B170,"K"),"")</f>
        <v/>
      </c>
      <c r="F170" s="38" t="str">
        <f>IFERROR([1]!IntrinioBankFinancials(rssd_id,$S$2,F$5,F$4,$B170,"K"),"")</f>
        <v/>
      </c>
      <c r="G170" s="38" t="str">
        <f>IFERROR([1]!IntrinioBankFinancials(rssd_id,$S$2,G$5,G$4,$B170,"K"),"")</f>
        <v/>
      </c>
      <c r="H170" s="38" t="str">
        <f>IFERROR([1]!IntrinioBankFinancials(rssd_id,$S$2,H$5,H$4,$B170,"K"),"")</f>
        <v/>
      </c>
      <c r="I170" s="38" t="str">
        <f>IFERROR([1]!IntrinioBankFinancials(rssd_id,$S$2,I$5,I$4,$B170,"K"),"")</f>
        <v/>
      </c>
      <c r="J170" s="38" t="str">
        <f>IFERROR([1]!IntrinioBankFinancials(rssd_id,$S$2,J$5,J$4,$B170,"K"),"")</f>
        <v/>
      </c>
      <c r="K170" s="38" t="str">
        <f>IFERROR([1]!IntrinioBankFinancials(rssd_id,$S$2,K$5,K$4,$B170,"K"),"")</f>
        <v/>
      </c>
      <c r="L170" s="38" t="str">
        <f>IFERROR([1]!IntrinioBankFinancials(rssd_id,$S$2,L$5,L$4,$B170,"K"),"")</f>
        <v/>
      </c>
      <c r="M170" s="38" t="str">
        <f>IFERROR([1]!IntrinioBankFinancials(rssd_id,$S$2,M$5,M$4,$B170,"K"),"")</f>
        <v/>
      </c>
      <c r="N170" s="38" t="str">
        <f>IFERROR([1]!IntrinioBankFinancials(rssd_id,$S$2,N$5,N$4,$B170,"K"),"")</f>
        <v/>
      </c>
      <c r="O170" s="38" t="str">
        <f>IFERROR([1]!IntrinioBankFinancials(rssd_id,$S$2,O$5,O$4,$B170,"K"),"")</f>
        <v/>
      </c>
      <c r="P170" s="49">
        <v>13</v>
      </c>
    </row>
    <row r="171" spans="1:16" ht="28.5" x14ac:dyDescent="0.4">
      <c r="A171" s="39" t="s">
        <v>1448</v>
      </c>
      <c r="B171" s="37" t="s">
        <v>2757</v>
      </c>
      <c r="C171" s="38" t="str">
        <f>IFERROR([1]!IntrinioBankFinancials(rssd_id,$S$2,C$5,C$4,$B171,"K"),"")</f>
        <v/>
      </c>
      <c r="D171" s="38" t="str">
        <f>IFERROR([1]!IntrinioBankFinancials(rssd_id,$S$2,D$5,D$4,$B171,"K"),"")</f>
        <v/>
      </c>
      <c r="E171" s="38" t="str">
        <f>IFERROR([1]!IntrinioBankFinancials(rssd_id,$S$2,E$5,E$4,$B171,"K"),"")</f>
        <v/>
      </c>
      <c r="F171" s="38" t="str">
        <f>IFERROR([1]!IntrinioBankFinancials(rssd_id,$S$2,F$5,F$4,$B171,"K"),"")</f>
        <v/>
      </c>
      <c r="G171" s="38" t="str">
        <f>IFERROR([1]!IntrinioBankFinancials(rssd_id,$S$2,G$5,G$4,$B171,"K"),"")</f>
        <v/>
      </c>
      <c r="H171" s="38" t="str">
        <f>IFERROR([1]!IntrinioBankFinancials(rssd_id,$S$2,H$5,H$4,$B171,"K"),"")</f>
        <v/>
      </c>
      <c r="I171" s="38" t="str">
        <f>IFERROR([1]!IntrinioBankFinancials(rssd_id,$S$2,I$5,I$4,$B171,"K"),"")</f>
        <v/>
      </c>
      <c r="J171" s="38" t="str">
        <f>IFERROR([1]!IntrinioBankFinancials(rssd_id,$S$2,J$5,J$4,$B171,"K"),"")</f>
        <v/>
      </c>
      <c r="K171" s="38" t="str">
        <f>IFERROR([1]!IntrinioBankFinancials(rssd_id,$S$2,K$5,K$4,$B171,"K"),"")</f>
        <v/>
      </c>
      <c r="L171" s="38" t="str">
        <f>IFERROR([1]!IntrinioBankFinancials(rssd_id,$S$2,L$5,L$4,$B171,"K"),"")</f>
        <v/>
      </c>
      <c r="M171" s="38" t="str">
        <f>IFERROR([1]!IntrinioBankFinancials(rssd_id,$S$2,M$5,M$4,$B171,"K"),"")</f>
        <v/>
      </c>
      <c r="N171" s="38" t="str">
        <f>IFERROR([1]!IntrinioBankFinancials(rssd_id,$S$2,N$5,N$4,$B171,"K"),"")</f>
        <v/>
      </c>
      <c r="O171" s="38" t="str">
        <f>IFERROR([1]!IntrinioBankFinancials(rssd_id,$S$2,O$5,O$4,$B171,"K"),"")</f>
        <v/>
      </c>
      <c r="P171" s="49">
        <v>14</v>
      </c>
    </row>
    <row r="172" spans="1:16" x14ac:dyDescent="0.4">
      <c r="A172" s="39" t="s">
        <v>1449</v>
      </c>
      <c r="B172" s="37"/>
      <c r="C172" s="38" t="str">
        <f>IFERROR([1]!IntrinioBankFinancials(rssd_id,$S$2,C$5,C$4,$B172,"K"),"")</f>
        <v/>
      </c>
      <c r="D172" s="38" t="str">
        <f>IFERROR([1]!IntrinioBankFinancials(rssd_id,$S$2,D$5,D$4,$B172,"K"),"")</f>
        <v/>
      </c>
      <c r="E172" s="38" t="str">
        <f>IFERROR([1]!IntrinioBankFinancials(rssd_id,$S$2,E$5,E$4,$B172,"K"),"")</f>
        <v/>
      </c>
      <c r="F172" s="38" t="str">
        <f>IFERROR([1]!IntrinioBankFinancials(rssd_id,$S$2,F$5,F$4,$B172,"K"),"")</f>
        <v/>
      </c>
      <c r="G172" s="38" t="str">
        <f>IFERROR([1]!IntrinioBankFinancials(rssd_id,$S$2,G$5,G$4,$B172,"K"),"")</f>
        <v/>
      </c>
      <c r="H172" s="38" t="str">
        <f>IFERROR([1]!IntrinioBankFinancials(rssd_id,$S$2,H$5,H$4,$B172,"K"),"")</f>
        <v/>
      </c>
      <c r="I172" s="38" t="str">
        <f>IFERROR([1]!IntrinioBankFinancials(rssd_id,$S$2,I$5,I$4,$B172,"K"),"")</f>
        <v/>
      </c>
      <c r="J172" s="38" t="str">
        <f>IFERROR([1]!IntrinioBankFinancials(rssd_id,$S$2,J$5,J$4,$B172,"K"),"")</f>
        <v/>
      </c>
      <c r="K172" s="38" t="str">
        <f>IFERROR([1]!IntrinioBankFinancials(rssd_id,$S$2,K$5,K$4,$B172,"K"),"")</f>
        <v/>
      </c>
      <c r="L172" s="38" t="str">
        <f>IFERROR([1]!IntrinioBankFinancials(rssd_id,$S$2,L$5,L$4,$B172,"K"),"")</f>
        <v/>
      </c>
      <c r="M172" s="38" t="str">
        <f>IFERROR([1]!IntrinioBankFinancials(rssd_id,$S$2,M$5,M$4,$B172,"K"),"")</f>
        <v/>
      </c>
      <c r="N172" s="38" t="str">
        <f>IFERROR([1]!IntrinioBankFinancials(rssd_id,$S$2,N$5,N$4,$B172,"K"),"")</f>
        <v/>
      </c>
      <c r="O172" s="38" t="str">
        <f>IFERROR([1]!IntrinioBankFinancials(rssd_id,$S$2,O$5,O$4,$B172,"K"),"")</f>
        <v/>
      </c>
      <c r="P172" s="49" t="s">
        <v>632</v>
      </c>
    </row>
    <row r="173" spans="1:16" x14ac:dyDescent="0.4">
      <c r="A173" s="39" t="s">
        <v>1450</v>
      </c>
      <c r="B173" s="37"/>
      <c r="C173" s="38" t="str">
        <f>IFERROR([1]!IntrinioBankFinancials(rssd_id,$S$2,C$5,C$4,$B173,"K"),"")</f>
        <v/>
      </c>
      <c r="D173" s="38" t="str">
        <f>IFERROR([1]!IntrinioBankFinancials(rssd_id,$S$2,D$5,D$4,$B173,"K"),"")</f>
        <v/>
      </c>
      <c r="E173" s="38" t="str">
        <f>IFERROR([1]!IntrinioBankFinancials(rssd_id,$S$2,E$5,E$4,$B173,"K"),"")</f>
        <v/>
      </c>
      <c r="F173" s="38" t="str">
        <f>IFERROR([1]!IntrinioBankFinancials(rssd_id,$S$2,F$5,F$4,$B173,"K"),"")</f>
        <v/>
      </c>
      <c r="G173" s="38" t="str">
        <f>IFERROR([1]!IntrinioBankFinancials(rssd_id,$S$2,G$5,G$4,$B173,"K"),"")</f>
        <v/>
      </c>
      <c r="H173" s="38" t="str">
        <f>IFERROR([1]!IntrinioBankFinancials(rssd_id,$S$2,H$5,H$4,$B173,"K"),"")</f>
        <v/>
      </c>
      <c r="I173" s="38" t="str">
        <f>IFERROR([1]!IntrinioBankFinancials(rssd_id,$S$2,I$5,I$4,$B173,"K"),"")</f>
        <v/>
      </c>
      <c r="J173" s="38" t="str">
        <f>IFERROR([1]!IntrinioBankFinancials(rssd_id,$S$2,J$5,J$4,$B173,"K"),"")</f>
        <v/>
      </c>
      <c r="K173" s="38" t="str">
        <f>IFERROR([1]!IntrinioBankFinancials(rssd_id,$S$2,K$5,K$4,$B173,"K"),"")</f>
        <v/>
      </c>
      <c r="L173" s="38" t="str">
        <f>IFERROR([1]!IntrinioBankFinancials(rssd_id,$S$2,L$5,L$4,$B173,"K"),"")</f>
        <v/>
      </c>
      <c r="M173" s="38" t="str">
        <f>IFERROR([1]!IntrinioBankFinancials(rssd_id,$S$2,M$5,M$4,$B173,"K"),"")</f>
        <v/>
      </c>
      <c r="N173" s="38" t="str">
        <f>IFERROR([1]!IntrinioBankFinancials(rssd_id,$S$2,N$5,N$4,$B173,"K"),"")</f>
        <v/>
      </c>
      <c r="O173" s="38" t="str">
        <f>IFERROR([1]!IntrinioBankFinancials(rssd_id,$S$2,O$5,O$4,$B173,"K"),"")</f>
        <v/>
      </c>
      <c r="P173" s="49">
        <v>15</v>
      </c>
    </row>
    <row r="174" spans="1:16" x14ac:dyDescent="0.4">
      <c r="A174" s="39" t="s">
        <v>1451</v>
      </c>
      <c r="B174" s="37"/>
      <c r="C174" s="38" t="str">
        <f>IFERROR([1]!IntrinioBankFinancials(rssd_id,$S$2,C$5,C$4,$B174,"K"),"")</f>
        <v/>
      </c>
      <c r="D174" s="38" t="str">
        <f>IFERROR([1]!IntrinioBankFinancials(rssd_id,$S$2,D$5,D$4,$B174,"K"),"")</f>
        <v/>
      </c>
      <c r="E174" s="38" t="str">
        <f>IFERROR([1]!IntrinioBankFinancials(rssd_id,$S$2,E$5,E$4,$B174,"K"),"")</f>
        <v/>
      </c>
      <c r="F174" s="38" t="str">
        <f>IFERROR([1]!IntrinioBankFinancials(rssd_id,$S$2,F$5,F$4,$B174,"K"),"")</f>
        <v/>
      </c>
      <c r="G174" s="38" t="str">
        <f>IFERROR([1]!IntrinioBankFinancials(rssd_id,$S$2,G$5,G$4,$B174,"K"),"")</f>
        <v/>
      </c>
      <c r="H174" s="38" t="str">
        <f>IFERROR([1]!IntrinioBankFinancials(rssd_id,$S$2,H$5,H$4,$B174,"K"),"")</f>
        <v/>
      </c>
      <c r="I174" s="38" t="str">
        <f>IFERROR([1]!IntrinioBankFinancials(rssd_id,$S$2,I$5,I$4,$B174,"K"),"")</f>
        <v/>
      </c>
      <c r="J174" s="38" t="str">
        <f>IFERROR([1]!IntrinioBankFinancials(rssd_id,$S$2,J$5,J$4,$B174,"K"),"")</f>
        <v/>
      </c>
      <c r="K174" s="38" t="str">
        <f>IFERROR([1]!IntrinioBankFinancials(rssd_id,$S$2,K$5,K$4,$B174,"K"),"")</f>
        <v/>
      </c>
      <c r="L174" s="38" t="str">
        <f>IFERROR([1]!IntrinioBankFinancials(rssd_id,$S$2,L$5,L$4,$B174,"K"),"")</f>
        <v/>
      </c>
      <c r="M174" s="38" t="str">
        <f>IFERROR([1]!IntrinioBankFinancials(rssd_id,$S$2,M$5,M$4,$B174,"K"),"")</f>
        <v/>
      </c>
      <c r="N174" s="38" t="str">
        <f>IFERROR([1]!IntrinioBankFinancials(rssd_id,$S$2,N$5,N$4,$B174,"K"),"")</f>
        <v/>
      </c>
      <c r="O174" s="38" t="str">
        <f>IFERROR([1]!IntrinioBankFinancials(rssd_id,$S$2,O$5,O$4,$B174,"K"),"")</f>
        <v/>
      </c>
      <c r="P174" s="49" t="s">
        <v>1509</v>
      </c>
    </row>
    <row r="175" spans="1:16" x14ac:dyDescent="0.4">
      <c r="A175" s="39" t="s">
        <v>1403</v>
      </c>
      <c r="B175" s="37" t="s">
        <v>2758</v>
      </c>
      <c r="C175" s="38" t="str">
        <f>IFERROR([1]!IntrinioBankFinancials(rssd_id,$S$2,C$5,C$4,$B175,"K"),"")</f>
        <v/>
      </c>
      <c r="D175" s="38" t="str">
        <f>IFERROR([1]!IntrinioBankFinancials(rssd_id,$S$2,D$5,D$4,$B175,"K"),"")</f>
        <v/>
      </c>
      <c r="E175" s="38" t="str">
        <f>IFERROR([1]!IntrinioBankFinancials(rssd_id,$S$2,E$5,E$4,$B175,"K"),"")</f>
        <v/>
      </c>
      <c r="F175" s="38" t="str">
        <f>IFERROR([1]!IntrinioBankFinancials(rssd_id,$S$2,F$5,F$4,$B175,"K"),"")</f>
        <v/>
      </c>
      <c r="G175" s="38" t="str">
        <f>IFERROR([1]!IntrinioBankFinancials(rssd_id,$S$2,G$5,G$4,$B175,"K"),"")</f>
        <v/>
      </c>
      <c r="H175" s="38" t="str">
        <f>IFERROR([1]!IntrinioBankFinancials(rssd_id,$S$2,H$5,H$4,$B175,"K"),"")</f>
        <v/>
      </c>
      <c r="I175" s="38" t="str">
        <f>IFERROR([1]!IntrinioBankFinancials(rssd_id,$S$2,I$5,I$4,$B175,"K"),"")</f>
        <v/>
      </c>
      <c r="J175" s="38" t="str">
        <f>IFERROR([1]!IntrinioBankFinancials(rssd_id,$S$2,J$5,J$4,$B175,"K"),"")</f>
        <v/>
      </c>
      <c r="K175" s="38" t="str">
        <f>IFERROR([1]!IntrinioBankFinancials(rssd_id,$S$2,K$5,K$4,$B175,"K"),"")</f>
        <v/>
      </c>
      <c r="L175" s="38" t="str">
        <f>IFERROR([1]!IntrinioBankFinancials(rssd_id,$S$2,L$5,L$4,$B175,"K"),"")</f>
        <v/>
      </c>
      <c r="M175" s="38" t="str">
        <f>IFERROR([1]!IntrinioBankFinancials(rssd_id,$S$2,M$5,M$4,$B175,"K"),"")</f>
        <v/>
      </c>
      <c r="N175" s="38" t="str">
        <f>IFERROR([1]!IntrinioBankFinancials(rssd_id,$S$2,N$5,N$4,$B175,"K"),"")</f>
        <v/>
      </c>
      <c r="O175" s="38" t="str">
        <f>IFERROR([1]!IntrinioBankFinancials(rssd_id,$S$2,O$5,O$4,$B175,"K"),"")</f>
        <v/>
      </c>
      <c r="P175" s="49" t="s">
        <v>1510</v>
      </c>
    </row>
    <row r="176" spans="1:16" x14ac:dyDescent="0.4">
      <c r="A176" s="39" t="s">
        <v>1404</v>
      </c>
      <c r="B176" s="37" t="s">
        <v>2759</v>
      </c>
      <c r="C176" s="38" t="str">
        <f>IFERROR([1]!IntrinioBankFinancials(rssd_id,$S$2,C$5,C$4,$B176,"K"),"")</f>
        <v/>
      </c>
      <c r="D176" s="38" t="str">
        <f>IFERROR([1]!IntrinioBankFinancials(rssd_id,$S$2,D$5,D$4,$B176,"K"),"")</f>
        <v/>
      </c>
      <c r="E176" s="38" t="str">
        <f>IFERROR([1]!IntrinioBankFinancials(rssd_id,$S$2,E$5,E$4,$B176,"K"),"")</f>
        <v/>
      </c>
      <c r="F176" s="38" t="str">
        <f>IFERROR([1]!IntrinioBankFinancials(rssd_id,$S$2,F$5,F$4,$B176,"K"),"")</f>
        <v/>
      </c>
      <c r="G176" s="38" t="str">
        <f>IFERROR([1]!IntrinioBankFinancials(rssd_id,$S$2,G$5,G$4,$B176,"K"),"")</f>
        <v/>
      </c>
      <c r="H176" s="38" t="str">
        <f>IFERROR([1]!IntrinioBankFinancials(rssd_id,$S$2,H$5,H$4,$B176,"K"),"")</f>
        <v/>
      </c>
      <c r="I176" s="38" t="str">
        <f>IFERROR([1]!IntrinioBankFinancials(rssd_id,$S$2,I$5,I$4,$B176,"K"),"")</f>
        <v/>
      </c>
      <c r="J176" s="38" t="str">
        <f>IFERROR([1]!IntrinioBankFinancials(rssd_id,$S$2,J$5,J$4,$B176,"K"),"")</f>
        <v/>
      </c>
      <c r="K176" s="38" t="str">
        <f>IFERROR([1]!IntrinioBankFinancials(rssd_id,$S$2,K$5,K$4,$B176,"K"),"")</f>
        <v/>
      </c>
      <c r="L176" s="38" t="str">
        <f>IFERROR([1]!IntrinioBankFinancials(rssd_id,$S$2,L$5,L$4,$B176,"K"),"")</f>
        <v/>
      </c>
      <c r="M176" s="38" t="str">
        <f>IFERROR([1]!IntrinioBankFinancials(rssd_id,$S$2,M$5,M$4,$B176,"K"),"")</f>
        <v/>
      </c>
      <c r="N176" s="38" t="str">
        <f>IFERROR([1]!IntrinioBankFinancials(rssd_id,$S$2,N$5,N$4,$B176,"K"),"")</f>
        <v/>
      </c>
      <c r="O176" s="38" t="str">
        <f>IFERROR([1]!IntrinioBankFinancials(rssd_id,$S$2,O$5,O$4,$B176,"K"),"")</f>
        <v/>
      </c>
      <c r="P176" s="49" t="s">
        <v>1511</v>
      </c>
    </row>
    <row r="177" spans="1:16" x14ac:dyDescent="0.4">
      <c r="A177" s="39" t="s">
        <v>1452</v>
      </c>
      <c r="B177" s="37"/>
      <c r="C177" s="38" t="str">
        <f>IFERROR([1]!IntrinioBankFinancials(rssd_id,$S$2,C$5,C$4,$B177,"K"),"")</f>
        <v/>
      </c>
      <c r="D177" s="38" t="str">
        <f>IFERROR([1]!IntrinioBankFinancials(rssd_id,$S$2,D$5,D$4,$B177,"K"),"")</f>
        <v/>
      </c>
      <c r="E177" s="38" t="str">
        <f>IFERROR([1]!IntrinioBankFinancials(rssd_id,$S$2,E$5,E$4,$B177,"K"),"")</f>
        <v/>
      </c>
      <c r="F177" s="38" t="str">
        <f>IFERROR([1]!IntrinioBankFinancials(rssd_id,$S$2,F$5,F$4,$B177,"K"),"")</f>
        <v/>
      </c>
      <c r="G177" s="38" t="str">
        <f>IFERROR([1]!IntrinioBankFinancials(rssd_id,$S$2,G$5,G$4,$B177,"K"),"")</f>
        <v/>
      </c>
      <c r="H177" s="38" t="str">
        <f>IFERROR([1]!IntrinioBankFinancials(rssd_id,$S$2,H$5,H$4,$B177,"K"),"")</f>
        <v/>
      </c>
      <c r="I177" s="38" t="str">
        <f>IFERROR([1]!IntrinioBankFinancials(rssd_id,$S$2,I$5,I$4,$B177,"K"),"")</f>
        <v/>
      </c>
      <c r="J177" s="38" t="str">
        <f>IFERROR([1]!IntrinioBankFinancials(rssd_id,$S$2,J$5,J$4,$B177,"K"),"")</f>
        <v/>
      </c>
      <c r="K177" s="38" t="str">
        <f>IFERROR([1]!IntrinioBankFinancials(rssd_id,$S$2,K$5,K$4,$B177,"K"),"")</f>
        <v/>
      </c>
      <c r="L177" s="38" t="str">
        <f>IFERROR([1]!IntrinioBankFinancials(rssd_id,$S$2,L$5,L$4,$B177,"K"),"")</f>
        <v/>
      </c>
      <c r="M177" s="38" t="str">
        <f>IFERROR([1]!IntrinioBankFinancials(rssd_id,$S$2,M$5,M$4,$B177,"K"),"")</f>
        <v/>
      </c>
      <c r="N177" s="38" t="str">
        <f>IFERROR([1]!IntrinioBankFinancials(rssd_id,$S$2,N$5,N$4,$B177,"K"),"")</f>
        <v/>
      </c>
      <c r="O177" s="38" t="str">
        <f>IFERROR([1]!IntrinioBankFinancials(rssd_id,$S$2,O$5,O$4,$B177,"K"),"")</f>
        <v/>
      </c>
      <c r="P177" s="49" t="s">
        <v>1512</v>
      </c>
    </row>
    <row r="178" spans="1:16" x14ac:dyDescent="0.4">
      <c r="A178" s="39" t="s">
        <v>1403</v>
      </c>
      <c r="B178" s="37" t="s">
        <v>2760</v>
      </c>
      <c r="C178" s="38" t="str">
        <f>IFERROR([1]!IntrinioBankFinancials(rssd_id,$S$2,C$5,C$4,$B178,"K"),"")</f>
        <v/>
      </c>
      <c r="D178" s="38" t="str">
        <f>IFERROR([1]!IntrinioBankFinancials(rssd_id,$S$2,D$5,D$4,$B178,"K"),"")</f>
        <v/>
      </c>
      <c r="E178" s="38" t="str">
        <f>IFERROR([1]!IntrinioBankFinancials(rssd_id,$S$2,E$5,E$4,$B178,"K"),"")</f>
        <v/>
      </c>
      <c r="F178" s="38" t="str">
        <f>IFERROR([1]!IntrinioBankFinancials(rssd_id,$S$2,F$5,F$4,$B178,"K"),"")</f>
        <v/>
      </c>
      <c r="G178" s="38" t="str">
        <f>IFERROR([1]!IntrinioBankFinancials(rssd_id,$S$2,G$5,G$4,$B178,"K"),"")</f>
        <v/>
      </c>
      <c r="H178" s="38" t="str">
        <f>IFERROR([1]!IntrinioBankFinancials(rssd_id,$S$2,H$5,H$4,$B178,"K"),"")</f>
        <v/>
      </c>
      <c r="I178" s="38" t="str">
        <f>IFERROR([1]!IntrinioBankFinancials(rssd_id,$S$2,I$5,I$4,$B178,"K"),"")</f>
        <v/>
      </c>
      <c r="J178" s="38" t="str">
        <f>IFERROR([1]!IntrinioBankFinancials(rssd_id,$S$2,J$5,J$4,$B178,"K"),"")</f>
        <v/>
      </c>
      <c r="K178" s="38" t="str">
        <f>IFERROR([1]!IntrinioBankFinancials(rssd_id,$S$2,K$5,K$4,$B178,"K"),"")</f>
        <v/>
      </c>
      <c r="L178" s="38" t="str">
        <f>IFERROR([1]!IntrinioBankFinancials(rssd_id,$S$2,L$5,L$4,$B178,"K"),"")</f>
        <v/>
      </c>
      <c r="M178" s="38" t="str">
        <f>IFERROR([1]!IntrinioBankFinancials(rssd_id,$S$2,M$5,M$4,$B178,"K"),"")</f>
        <v/>
      </c>
      <c r="N178" s="38" t="str">
        <f>IFERROR([1]!IntrinioBankFinancials(rssd_id,$S$2,N$5,N$4,$B178,"K"),"")</f>
        <v/>
      </c>
      <c r="O178" s="38" t="str">
        <f>IFERROR([1]!IntrinioBankFinancials(rssd_id,$S$2,O$5,O$4,$B178,"K"),"")</f>
        <v/>
      </c>
      <c r="P178" s="49" t="s">
        <v>1513</v>
      </c>
    </row>
    <row r="179" spans="1:16" x14ac:dyDescent="0.4">
      <c r="A179" s="39" t="s">
        <v>1456</v>
      </c>
      <c r="B179" s="37" t="s">
        <v>2761</v>
      </c>
      <c r="C179" s="38" t="str">
        <f>IFERROR([1]!IntrinioBankFinancials(rssd_id,$S$2,C$5,C$4,$B179,"K"),"")</f>
        <v/>
      </c>
      <c r="D179" s="38" t="str">
        <f>IFERROR([1]!IntrinioBankFinancials(rssd_id,$S$2,D$5,D$4,$B179,"K"),"")</f>
        <v/>
      </c>
      <c r="E179" s="38" t="str">
        <f>IFERROR([1]!IntrinioBankFinancials(rssd_id,$S$2,E$5,E$4,$B179,"K"),"")</f>
        <v/>
      </c>
      <c r="F179" s="38" t="str">
        <f>IFERROR([1]!IntrinioBankFinancials(rssd_id,$S$2,F$5,F$4,$B179,"K"),"")</f>
        <v/>
      </c>
      <c r="G179" s="38" t="str">
        <f>IFERROR([1]!IntrinioBankFinancials(rssd_id,$S$2,G$5,G$4,$B179,"K"),"")</f>
        <v/>
      </c>
      <c r="H179" s="38" t="str">
        <f>IFERROR([1]!IntrinioBankFinancials(rssd_id,$S$2,H$5,H$4,$B179,"K"),"")</f>
        <v/>
      </c>
      <c r="I179" s="38" t="str">
        <f>IFERROR([1]!IntrinioBankFinancials(rssd_id,$S$2,I$5,I$4,$B179,"K"),"")</f>
        <v/>
      </c>
      <c r="J179" s="38" t="str">
        <f>IFERROR([1]!IntrinioBankFinancials(rssd_id,$S$2,J$5,J$4,$B179,"K"),"")</f>
        <v/>
      </c>
      <c r="K179" s="38" t="str">
        <f>IFERROR([1]!IntrinioBankFinancials(rssd_id,$S$2,K$5,K$4,$B179,"K"),"")</f>
        <v/>
      </c>
      <c r="L179" s="38" t="str">
        <f>IFERROR([1]!IntrinioBankFinancials(rssd_id,$S$2,L$5,L$4,$B179,"K"),"")</f>
        <v/>
      </c>
      <c r="M179" s="38" t="str">
        <f>IFERROR([1]!IntrinioBankFinancials(rssd_id,$S$2,M$5,M$4,$B179,"K"),"")</f>
        <v/>
      </c>
      <c r="N179" s="38" t="str">
        <f>IFERROR([1]!IntrinioBankFinancials(rssd_id,$S$2,N$5,N$4,$B179,"K"),"")</f>
        <v/>
      </c>
      <c r="O179" s="38" t="str">
        <f>IFERROR([1]!IntrinioBankFinancials(rssd_id,$S$2,O$5,O$4,$B179,"K"),"")</f>
        <v/>
      </c>
      <c r="P179" s="49" t="s">
        <v>1514</v>
      </c>
    </row>
    <row r="180" spans="1:16" x14ac:dyDescent="0.4">
      <c r="A180" s="39"/>
      <c r="B180" s="37"/>
      <c r="C180" s="38" t="str">
        <f>IFERROR([1]!IntrinioBankFinancials(rssd_id,$S$2,C$5,C$4,$B180,"K"),"")</f>
        <v/>
      </c>
      <c r="D180" s="38" t="str">
        <f>IFERROR([1]!IntrinioBankFinancials(rssd_id,$S$2,D$5,D$4,$B180,"K"),"")</f>
        <v/>
      </c>
      <c r="E180" s="38" t="str">
        <f>IFERROR([1]!IntrinioBankFinancials(rssd_id,$S$2,E$5,E$4,$B180,"K"),"")</f>
        <v/>
      </c>
      <c r="F180" s="38" t="str">
        <f>IFERROR([1]!IntrinioBankFinancials(rssd_id,$S$2,F$5,F$4,$B180,"K"),"")</f>
        <v/>
      </c>
      <c r="G180" s="38" t="str">
        <f>IFERROR([1]!IntrinioBankFinancials(rssd_id,$S$2,G$5,G$4,$B180,"K"),"")</f>
        <v/>
      </c>
      <c r="H180" s="38" t="str">
        <f>IFERROR([1]!IntrinioBankFinancials(rssd_id,$S$2,H$5,H$4,$B180,"K"),"")</f>
        <v/>
      </c>
      <c r="I180" s="38" t="str">
        <f>IFERROR([1]!IntrinioBankFinancials(rssd_id,$S$2,I$5,I$4,$B180,"K"),"")</f>
        <v/>
      </c>
      <c r="J180" s="38" t="str">
        <f>IFERROR([1]!IntrinioBankFinancials(rssd_id,$S$2,J$5,J$4,$B180,"K"),"")</f>
        <v/>
      </c>
      <c r="K180" s="38" t="str">
        <f>IFERROR([1]!IntrinioBankFinancials(rssd_id,$S$2,K$5,K$4,$B180,"K"),"")</f>
        <v/>
      </c>
      <c r="L180" s="38" t="str">
        <f>IFERROR([1]!IntrinioBankFinancials(rssd_id,$S$2,L$5,L$4,$B180,"K"),"")</f>
        <v/>
      </c>
      <c r="M180" s="38" t="str">
        <f>IFERROR([1]!IntrinioBankFinancials(rssd_id,$S$2,M$5,M$4,$B180,"K"),"")</f>
        <v/>
      </c>
      <c r="N180" s="38" t="str">
        <f>IFERROR([1]!IntrinioBankFinancials(rssd_id,$S$2,N$5,N$4,$B180,"K"),"")</f>
        <v/>
      </c>
      <c r="O180" s="38" t="str">
        <f>IFERROR([1]!IntrinioBankFinancials(rssd_id,$S$2,O$5,O$4,$B180,"K"),"")</f>
        <v/>
      </c>
      <c r="P180" s="49"/>
    </row>
    <row r="181" spans="1:16" x14ac:dyDescent="0.4">
      <c r="A181" s="39" t="s">
        <v>1455</v>
      </c>
      <c r="B181" s="37"/>
      <c r="C181" s="38" t="str">
        <f>IFERROR([1]!IntrinioBankFinancials(rssd_id,$S$2,C$5,C$4,$B181,"K"),"")</f>
        <v/>
      </c>
      <c r="D181" s="38" t="str">
        <f>IFERROR([1]!IntrinioBankFinancials(rssd_id,$S$2,D$5,D$4,$B181,"K"),"")</f>
        <v/>
      </c>
      <c r="E181" s="38" t="str">
        <f>IFERROR([1]!IntrinioBankFinancials(rssd_id,$S$2,E$5,E$4,$B181,"K"),"")</f>
        <v/>
      </c>
      <c r="F181" s="38" t="str">
        <f>IFERROR([1]!IntrinioBankFinancials(rssd_id,$S$2,F$5,F$4,$B181,"K"),"")</f>
        <v/>
      </c>
      <c r="G181" s="38" t="str">
        <f>IFERROR([1]!IntrinioBankFinancials(rssd_id,$S$2,G$5,G$4,$B181,"K"),"")</f>
        <v/>
      </c>
      <c r="H181" s="38" t="str">
        <f>IFERROR([1]!IntrinioBankFinancials(rssd_id,$S$2,H$5,H$4,$B181,"K"),"")</f>
        <v/>
      </c>
      <c r="I181" s="38" t="str">
        <f>IFERROR([1]!IntrinioBankFinancials(rssd_id,$S$2,I$5,I$4,$B181,"K"),"")</f>
        <v/>
      </c>
      <c r="J181" s="38" t="str">
        <f>IFERROR([1]!IntrinioBankFinancials(rssd_id,$S$2,J$5,J$4,$B181,"K"),"")</f>
        <v/>
      </c>
      <c r="K181" s="38" t="str">
        <f>IFERROR([1]!IntrinioBankFinancials(rssd_id,$S$2,K$5,K$4,$B181,"K"),"")</f>
        <v/>
      </c>
      <c r="L181" s="38" t="str">
        <f>IFERROR([1]!IntrinioBankFinancials(rssd_id,$S$2,L$5,L$4,$B181,"K"),"")</f>
        <v/>
      </c>
      <c r="M181" s="38" t="str">
        <f>IFERROR([1]!IntrinioBankFinancials(rssd_id,$S$2,M$5,M$4,$B181,"K"),"")</f>
        <v/>
      </c>
      <c r="N181" s="38" t="str">
        <f>IFERROR([1]!IntrinioBankFinancials(rssd_id,$S$2,N$5,N$4,$B181,"K"),"")</f>
        <v/>
      </c>
      <c r="O181" s="38" t="str">
        <f>IFERROR([1]!IntrinioBankFinancials(rssd_id,$S$2,O$5,O$4,$B181,"K"),"")</f>
        <v/>
      </c>
      <c r="P181" s="49"/>
    </row>
    <row r="182" spans="1:16" x14ac:dyDescent="0.4">
      <c r="A182" s="39" t="s">
        <v>1439</v>
      </c>
      <c r="B182" s="37"/>
      <c r="C182" s="38" t="str">
        <f>IFERROR([1]!IntrinioBankFinancials(rssd_id,$S$2,C$5,C$4,$B182,"K"),"")</f>
        <v/>
      </c>
      <c r="D182" s="38" t="str">
        <f>IFERROR([1]!IntrinioBankFinancials(rssd_id,$S$2,D$5,D$4,$B182,"K"),"")</f>
        <v/>
      </c>
      <c r="E182" s="38" t="str">
        <f>IFERROR([1]!IntrinioBankFinancials(rssd_id,$S$2,E$5,E$4,$B182,"K"),"")</f>
        <v/>
      </c>
      <c r="F182" s="38" t="str">
        <f>IFERROR([1]!IntrinioBankFinancials(rssd_id,$S$2,F$5,F$4,$B182,"K"),"")</f>
        <v/>
      </c>
      <c r="G182" s="38" t="str">
        <f>IFERROR([1]!IntrinioBankFinancials(rssd_id,$S$2,G$5,G$4,$B182,"K"),"")</f>
        <v/>
      </c>
      <c r="H182" s="38" t="str">
        <f>IFERROR([1]!IntrinioBankFinancials(rssd_id,$S$2,H$5,H$4,$B182,"K"),"")</f>
        <v/>
      </c>
      <c r="I182" s="38" t="str">
        <f>IFERROR([1]!IntrinioBankFinancials(rssd_id,$S$2,I$5,I$4,$B182,"K"),"")</f>
        <v/>
      </c>
      <c r="J182" s="38" t="str">
        <f>IFERROR([1]!IntrinioBankFinancials(rssd_id,$S$2,J$5,J$4,$B182,"K"),"")</f>
        <v/>
      </c>
      <c r="K182" s="38" t="str">
        <f>IFERROR([1]!IntrinioBankFinancials(rssd_id,$S$2,K$5,K$4,$B182,"K"),"")</f>
        <v/>
      </c>
      <c r="L182" s="38" t="str">
        <f>IFERROR([1]!IntrinioBankFinancials(rssd_id,$S$2,L$5,L$4,$B182,"K"),"")</f>
        <v/>
      </c>
      <c r="M182" s="38" t="str">
        <f>IFERROR([1]!IntrinioBankFinancials(rssd_id,$S$2,M$5,M$4,$B182,"K"),"")</f>
        <v/>
      </c>
      <c r="N182" s="38" t="str">
        <f>IFERROR([1]!IntrinioBankFinancials(rssd_id,$S$2,N$5,N$4,$B182,"K"),"")</f>
        <v/>
      </c>
      <c r="O182" s="38" t="str">
        <f>IFERROR([1]!IntrinioBankFinancials(rssd_id,$S$2,O$5,O$4,$B182,"K"),"")</f>
        <v/>
      </c>
      <c r="P182" s="49">
        <v>12</v>
      </c>
    </row>
    <row r="183" spans="1:16" x14ac:dyDescent="0.4">
      <c r="A183" s="39" t="s">
        <v>1440</v>
      </c>
      <c r="B183" s="37" t="s">
        <v>2762</v>
      </c>
      <c r="C183" s="38" t="str">
        <f>IFERROR([1]!IntrinioBankFinancials(rssd_id,$S$2,C$5,C$4,$B183,"K"),"")</f>
        <v/>
      </c>
      <c r="D183" s="38" t="str">
        <f>IFERROR([1]!IntrinioBankFinancials(rssd_id,$S$2,D$5,D$4,$B183,"K"),"")</f>
        <v/>
      </c>
      <c r="E183" s="38" t="str">
        <f>IFERROR([1]!IntrinioBankFinancials(rssd_id,$S$2,E$5,E$4,$B183,"K"),"")</f>
        <v/>
      </c>
      <c r="F183" s="38" t="str">
        <f>IFERROR([1]!IntrinioBankFinancials(rssd_id,$S$2,F$5,F$4,$B183,"K"),"")</f>
        <v/>
      </c>
      <c r="G183" s="38" t="str">
        <f>IFERROR([1]!IntrinioBankFinancials(rssd_id,$S$2,G$5,G$4,$B183,"K"),"")</f>
        <v/>
      </c>
      <c r="H183" s="38" t="str">
        <f>IFERROR([1]!IntrinioBankFinancials(rssd_id,$S$2,H$5,H$4,$B183,"K"),"")</f>
        <v/>
      </c>
      <c r="I183" s="38" t="str">
        <f>IFERROR([1]!IntrinioBankFinancials(rssd_id,$S$2,I$5,I$4,$B183,"K"),"")</f>
        <v/>
      </c>
      <c r="J183" s="38" t="str">
        <f>IFERROR([1]!IntrinioBankFinancials(rssd_id,$S$2,J$5,J$4,$B183,"K"),"")</f>
        <v/>
      </c>
      <c r="K183" s="38" t="str">
        <f>IFERROR([1]!IntrinioBankFinancials(rssd_id,$S$2,K$5,K$4,$B183,"K"),"")</f>
        <v/>
      </c>
      <c r="L183" s="38" t="str">
        <f>IFERROR([1]!IntrinioBankFinancials(rssd_id,$S$2,L$5,L$4,$B183,"K"),"")</f>
        <v/>
      </c>
      <c r="M183" s="38" t="str">
        <f>IFERROR([1]!IntrinioBankFinancials(rssd_id,$S$2,M$5,M$4,$B183,"K"),"")</f>
        <v/>
      </c>
      <c r="N183" s="38" t="str">
        <f>IFERROR([1]!IntrinioBankFinancials(rssd_id,$S$2,N$5,N$4,$B183,"K"),"")</f>
        <v/>
      </c>
      <c r="O183" s="38" t="str">
        <f>IFERROR([1]!IntrinioBankFinancials(rssd_id,$S$2,O$5,O$4,$B183,"K"),"")</f>
        <v/>
      </c>
      <c r="P183" s="49" t="s">
        <v>1500</v>
      </c>
    </row>
    <row r="184" spans="1:16" x14ac:dyDescent="0.4">
      <c r="A184" s="39" t="s">
        <v>1441</v>
      </c>
      <c r="B184" s="37" t="s">
        <v>2763</v>
      </c>
      <c r="C184" s="38" t="str">
        <f>IFERROR([1]!IntrinioBankFinancials(rssd_id,$S$2,C$5,C$4,$B184,"K"),"")</f>
        <v/>
      </c>
      <c r="D184" s="38" t="str">
        <f>IFERROR([1]!IntrinioBankFinancials(rssd_id,$S$2,D$5,D$4,$B184,"K"),"")</f>
        <v/>
      </c>
      <c r="E184" s="38" t="str">
        <f>IFERROR([1]!IntrinioBankFinancials(rssd_id,$S$2,E$5,E$4,$B184,"K"),"")</f>
        <v/>
      </c>
      <c r="F184" s="38" t="str">
        <f>IFERROR([1]!IntrinioBankFinancials(rssd_id,$S$2,F$5,F$4,$B184,"K"),"")</f>
        <v/>
      </c>
      <c r="G184" s="38" t="str">
        <f>IFERROR([1]!IntrinioBankFinancials(rssd_id,$S$2,G$5,G$4,$B184,"K"),"")</f>
        <v/>
      </c>
      <c r="H184" s="38" t="str">
        <f>IFERROR([1]!IntrinioBankFinancials(rssd_id,$S$2,H$5,H$4,$B184,"K"),"")</f>
        <v/>
      </c>
      <c r="I184" s="38" t="str">
        <f>IFERROR([1]!IntrinioBankFinancials(rssd_id,$S$2,I$5,I$4,$B184,"K"),"")</f>
        <v/>
      </c>
      <c r="J184" s="38" t="str">
        <f>IFERROR([1]!IntrinioBankFinancials(rssd_id,$S$2,J$5,J$4,$B184,"K"),"")</f>
        <v/>
      </c>
      <c r="K184" s="38" t="str">
        <f>IFERROR([1]!IntrinioBankFinancials(rssd_id,$S$2,K$5,K$4,$B184,"K"),"")</f>
        <v/>
      </c>
      <c r="L184" s="38" t="str">
        <f>IFERROR([1]!IntrinioBankFinancials(rssd_id,$S$2,L$5,L$4,$B184,"K"),"")</f>
        <v/>
      </c>
      <c r="M184" s="38" t="str">
        <f>IFERROR([1]!IntrinioBankFinancials(rssd_id,$S$2,M$5,M$4,$B184,"K"),"")</f>
        <v/>
      </c>
      <c r="N184" s="38" t="str">
        <f>IFERROR([1]!IntrinioBankFinancials(rssd_id,$S$2,N$5,N$4,$B184,"K"),"")</f>
        <v/>
      </c>
      <c r="O184" s="38" t="str">
        <f>IFERROR([1]!IntrinioBankFinancials(rssd_id,$S$2,O$5,O$4,$B184,"K"),"")</f>
        <v/>
      </c>
      <c r="P184" s="49" t="s">
        <v>1501</v>
      </c>
    </row>
    <row r="185" spans="1:16" x14ac:dyDescent="0.4">
      <c r="A185" s="39" t="s">
        <v>1442</v>
      </c>
      <c r="B185" s="37"/>
      <c r="C185" s="38" t="str">
        <f>IFERROR([1]!IntrinioBankFinancials(rssd_id,$S$2,C$5,C$4,$B185,"K"),"")</f>
        <v/>
      </c>
      <c r="D185" s="38" t="str">
        <f>IFERROR([1]!IntrinioBankFinancials(rssd_id,$S$2,D$5,D$4,$B185,"K"),"")</f>
        <v/>
      </c>
      <c r="E185" s="38" t="str">
        <f>IFERROR([1]!IntrinioBankFinancials(rssd_id,$S$2,E$5,E$4,$B185,"K"),"")</f>
        <v/>
      </c>
      <c r="F185" s="38" t="str">
        <f>IFERROR([1]!IntrinioBankFinancials(rssd_id,$S$2,F$5,F$4,$B185,"K"),"")</f>
        <v/>
      </c>
      <c r="G185" s="38" t="str">
        <f>IFERROR([1]!IntrinioBankFinancials(rssd_id,$S$2,G$5,G$4,$B185,"K"),"")</f>
        <v/>
      </c>
      <c r="H185" s="38" t="str">
        <f>IFERROR([1]!IntrinioBankFinancials(rssd_id,$S$2,H$5,H$4,$B185,"K"),"")</f>
        <v/>
      </c>
      <c r="I185" s="38" t="str">
        <f>IFERROR([1]!IntrinioBankFinancials(rssd_id,$S$2,I$5,I$4,$B185,"K"),"")</f>
        <v/>
      </c>
      <c r="J185" s="38" t="str">
        <f>IFERROR([1]!IntrinioBankFinancials(rssd_id,$S$2,J$5,J$4,$B185,"K"),"")</f>
        <v/>
      </c>
      <c r="K185" s="38" t="str">
        <f>IFERROR([1]!IntrinioBankFinancials(rssd_id,$S$2,K$5,K$4,$B185,"K"),"")</f>
        <v/>
      </c>
      <c r="L185" s="38" t="str">
        <f>IFERROR([1]!IntrinioBankFinancials(rssd_id,$S$2,L$5,L$4,$B185,"K"),"")</f>
        <v/>
      </c>
      <c r="M185" s="38" t="str">
        <f>IFERROR([1]!IntrinioBankFinancials(rssd_id,$S$2,M$5,M$4,$B185,"K"),"")</f>
        <v/>
      </c>
      <c r="N185" s="38" t="str">
        <f>IFERROR([1]!IntrinioBankFinancials(rssd_id,$S$2,N$5,N$4,$B185,"K"),"")</f>
        <v/>
      </c>
      <c r="O185" s="38" t="str">
        <f>IFERROR([1]!IntrinioBankFinancials(rssd_id,$S$2,O$5,O$4,$B185,"K"),"")</f>
        <v/>
      </c>
      <c r="P185" s="49" t="s">
        <v>1502</v>
      </c>
    </row>
    <row r="186" spans="1:16" x14ac:dyDescent="0.4">
      <c r="A186" s="39" t="s">
        <v>1443</v>
      </c>
      <c r="B186" s="37" t="s">
        <v>2764</v>
      </c>
      <c r="C186" s="38" t="str">
        <f>IFERROR([1]!IntrinioBankFinancials(rssd_id,$S$2,C$5,C$4,$B186,"K"),"")</f>
        <v/>
      </c>
      <c r="D186" s="38" t="str">
        <f>IFERROR([1]!IntrinioBankFinancials(rssd_id,$S$2,D$5,D$4,$B186,"K"),"")</f>
        <v/>
      </c>
      <c r="E186" s="38" t="str">
        <f>IFERROR([1]!IntrinioBankFinancials(rssd_id,$S$2,E$5,E$4,$B186,"K"),"")</f>
        <v/>
      </c>
      <c r="F186" s="38" t="str">
        <f>IFERROR([1]!IntrinioBankFinancials(rssd_id,$S$2,F$5,F$4,$B186,"K"),"")</f>
        <v/>
      </c>
      <c r="G186" s="38" t="str">
        <f>IFERROR([1]!IntrinioBankFinancials(rssd_id,$S$2,G$5,G$4,$B186,"K"),"")</f>
        <v/>
      </c>
      <c r="H186" s="38" t="str">
        <f>IFERROR([1]!IntrinioBankFinancials(rssd_id,$S$2,H$5,H$4,$B186,"K"),"")</f>
        <v/>
      </c>
      <c r="I186" s="38" t="str">
        <f>IFERROR([1]!IntrinioBankFinancials(rssd_id,$S$2,I$5,I$4,$B186,"K"),"")</f>
        <v/>
      </c>
      <c r="J186" s="38" t="str">
        <f>IFERROR([1]!IntrinioBankFinancials(rssd_id,$S$2,J$5,J$4,$B186,"K"),"")</f>
        <v/>
      </c>
      <c r="K186" s="38" t="str">
        <f>IFERROR([1]!IntrinioBankFinancials(rssd_id,$S$2,K$5,K$4,$B186,"K"),"")</f>
        <v/>
      </c>
      <c r="L186" s="38" t="str">
        <f>IFERROR([1]!IntrinioBankFinancials(rssd_id,$S$2,L$5,L$4,$B186,"K"),"")</f>
        <v/>
      </c>
      <c r="M186" s="38" t="str">
        <f>IFERROR([1]!IntrinioBankFinancials(rssd_id,$S$2,M$5,M$4,$B186,"K"),"")</f>
        <v/>
      </c>
      <c r="N186" s="38" t="str">
        <f>IFERROR([1]!IntrinioBankFinancials(rssd_id,$S$2,N$5,N$4,$B186,"K"),"")</f>
        <v/>
      </c>
      <c r="O186" s="38" t="str">
        <f>IFERROR([1]!IntrinioBankFinancials(rssd_id,$S$2,O$5,O$4,$B186,"K"),"")</f>
        <v/>
      </c>
      <c r="P186" s="49" t="s">
        <v>1503</v>
      </c>
    </row>
    <row r="187" spans="1:16" x14ac:dyDescent="0.4">
      <c r="A187" s="39" t="s">
        <v>1444</v>
      </c>
      <c r="B187" s="37" t="s">
        <v>2765</v>
      </c>
      <c r="C187" s="38" t="str">
        <f>IFERROR([1]!IntrinioBankFinancials(rssd_id,$S$2,C$5,C$4,$B187,"K"),"")</f>
        <v/>
      </c>
      <c r="D187" s="38" t="str">
        <f>IFERROR([1]!IntrinioBankFinancials(rssd_id,$S$2,D$5,D$4,$B187,"K"),"")</f>
        <v/>
      </c>
      <c r="E187" s="38" t="str">
        <f>IFERROR([1]!IntrinioBankFinancials(rssd_id,$S$2,E$5,E$4,$B187,"K"),"")</f>
        <v/>
      </c>
      <c r="F187" s="38" t="str">
        <f>IFERROR([1]!IntrinioBankFinancials(rssd_id,$S$2,F$5,F$4,$B187,"K"),"")</f>
        <v/>
      </c>
      <c r="G187" s="38" t="str">
        <f>IFERROR([1]!IntrinioBankFinancials(rssd_id,$S$2,G$5,G$4,$B187,"K"),"")</f>
        <v/>
      </c>
      <c r="H187" s="38" t="str">
        <f>IFERROR([1]!IntrinioBankFinancials(rssd_id,$S$2,H$5,H$4,$B187,"K"),"")</f>
        <v/>
      </c>
      <c r="I187" s="38" t="str">
        <f>IFERROR([1]!IntrinioBankFinancials(rssd_id,$S$2,I$5,I$4,$B187,"K"),"")</f>
        <v/>
      </c>
      <c r="J187" s="38" t="str">
        <f>IFERROR([1]!IntrinioBankFinancials(rssd_id,$S$2,J$5,J$4,$B187,"K"),"")</f>
        <v/>
      </c>
      <c r="K187" s="38" t="str">
        <f>IFERROR([1]!IntrinioBankFinancials(rssd_id,$S$2,K$5,K$4,$B187,"K"),"")</f>
        <v/>
      </c>
      <c r="L187" s="38" t="str">
        <f>IFERROR([1]!IntrinioBankFinancials(rssd_id,$S$2,L$5,L$4,$B187,"K"),"")</f>
        <v/>
      </c>
      <c r="M187" s="38" t="str">
        <f>IFERROR([1]!IntrinioBankFinancials(rssd_id,$S$2,M$5,M$4,$B187,"K"),"")</f>
        <v/>
      </c>
      <c r="N187" s="38" t="str">
        <f>IFERROR([1]!IntrinioBankFinancials(rssd_id,$S$2,N$5,N$4,$B187,"K"),"")</f>
        <v/>
      </c>
      <c r="O187" s="38" t="str">
        <f>IFERROR([1]!IntrinioBankFinancials(rssd_id,$S$2,O$5,O$4,$B187,"K"),"")</f>
        <v/>
      </c>
      <c r="P187" s="49" t="s">
        <v>1504</v>
      </c>
    </row>
    <row r="188" spans="1:16" x14ac:dyDescent="0.4">
      <c r="A188" s="39" t="s">
        <v>1445</v>
      </c>
      <c r="B188" s="37"/>
      <c r="C188" s="38" t="str">
        <f>IFERROR([1]!IntrinioBankFinancials(rssd_id,$S$2,C$5,C$4,$B188,"K"),"")</f>
        <v/>
      </c>
      <c r="D188" s="38" t="str">
        <f>IFERROR([1]!IntrinioBankFinancials(rssd_id,$S$2,D$5,D$4,$B188,"K"),"")</f>
        <v/>
      </c>
      <c r="E188" s="38" t="str">
        <f>IFERROR([1]!IntrinioBankFinancials(rssd_id,$S$2,E$5,E$4,$B188,"K"),"")</f>
        <v/>
      </c>
      <c r="F188" s="38" t="str">
        <f>IFERROR([1]!IntrinioBankFinancials(rssd_id,$S$2,F$5,F$4,$B188,"K"),"")</f>
        <v/>
      </c>
      <c r="G188" s="38" t="str">
        <f>IFERROR([1]!IntrinioBankFinancials(rssd_id,$S$2,G$5,G$4,$B188,"K"),"")</f>
        <v/>
      </c>
      <c r="H188" s="38" t="str">
        <f>IFERROR([1]!IntrinioBankFinancials(rssd_id,$S$2,H$5,H$4,$B188,"K"),"")</f>
        <v/>
      </c>
      <c r="I188" s="38" t="str">
        <f>IFERROR([1]!IntrinioBankFinancials(rssd_id,$S$2,I$5,I$4,$B188,"K"),"")</f>
        <v/>
      </c>
      <c r="J188" s="38" t="str">
        <f>IFERROR([1]!IntrinioBankFinancials(rssd_id,$S$2,J$5,J$4,$B188,"K"),"")</f>
        <v/>
      </c>
      <c r="K188" s="38" t="str">
        <f>IFERROR([1]!IntrinioBankFinancials(rssd_id,$S$2,K$5,K$4,$B188,"K"),"")</f>
        <v/>
      </c>
      <c r="L188" s="38" t="str">
        <f>IFERROR([1]!IntrinioBankFinancials(rssd_id,$S$2,L$5,L$4,$B188,"K"),"")</f>
        <v/>
      </c>
      <c r="M188" s="38" t="str">
        <f>IFERROR([1]!IntrinioBankFinancials(rssd_id,$S$2,M$5,M$4,$B188,"K"),"")</f>
        <v/>
      </c>
      <c r="N188" s="38" t="str">
        <f>IFERROR([1]!IntrinioBankFinancials(rssd_id,$S$2,N$5,N$4,$B188,"K"),"")</f>
        <v/>
      </c>
      <c r="O188" s="38" t="str">
        <f>IFERROR([1]!IntrinioBankFinancials(rssd_id,$S$2,O$5,O$4,$B188,"K"),"")</f>
        <v/>
      </c>
      <c r="P188" s="49" t="s">
        <v>1505</v>
      </c>
    </row>
    <row r="189" spans="1:16" x14ac:dyDescent="0.4">
      <c r="A189" s="39" t="s">
        <v>1443</v>
      </c>
      <c r="B189" s="37" t="s">
        <v>2766</v>
      </c>
      <c r="C189" s="38" t="str">
        <f>IFERROR([1]!IntrinioBankFinancials(rssd_id,$S$2,C$5,C$4,$B189,"K"),"")</f>
        <v/>
      </c>
      <c r="D189" s="38" t="str">
        <f>IFERROR([1]!IntrinioBankFinancials(rssd_id,$S$2,D$5,D$4,$B189,"K"),"")</f>
        <v/>
      </c>
      <c r="E189" s="38" t="str">
        <f>IFERROR([1]!IntrinioBankFinancials(rssd_id,$S$2,E$5,E$4,$B189,"K"),"")</f>
        <v/>
      </c>
      <c r="F189" s="38" t="str">
        <f>IFERROR([1]!IntrinioBankFinancials(rssd_id,$S$2,F$5,F$4,$B189,"K"),"")</f>
        <v/>
      </c>
      <c r="G189" s="38" t="str">
        <f>IFERROR([1]!IntrinioBankFinancials(rssd_id,$S$2,G$5,G$4,$B189,"K"),"")</f>
        <v/>
      </c>
      <c r="H189" s="38" t="str">
        <f>IFERROR([1]!IntrinioBankFinancials(rssd_id,$S$2,H$5,H$4,$B189,"K"),"")</f>
        <v/>
      </c>
      <c r="I189" s="38" t="str">
        <f>IFERROR([1]!IntrinioBankFinancials(rssd_id,$S$2,I$5,I$4,$B189,"K"),"")</f>
        <v/>
      </c>
      <c r="J189" s="38" t="str">
        <f>IFERROR([1]!IntrinioBankFinancials(rssd_id,$S$2,J$5,J$4,$B189,"K"),"")</f>
        <v/>
      </c>
      <c r="K189" s="38" t="str">
        <f>IFERROR([1]!IntrinioBankFinancials(rssd_id,$S$2,K$5,K$4,$B189,"K"),"")</f>
        <v/>
      </c>
      <c r="L189" s="38" t="str">
        <f>IFERROR([1]!IntrinioBankFinancials(rssd_id,$S$2,L$5,L$4,$B189,"K"),"")</f>
        <v/>
      </c>
      <c r="M189" s="38" t="str">
        <f>IFERROR([1]!IntrinioBankFinancials(rssd_id,$S$2,M$5,M$4,$B189,"K"),"")</f>
        <v/>
      </c>
      <c r="N189" s="38" t="str">
        <f>IFERROR([1]!IntrinioBankFinancials(rssd_id,$S$2,N$5,N$4,$B189,"K"),"")</f>
        <v/>
      </c>
      <c r="O189" s="38" t="str">
        <f>IFERROR([1]!IntrinioBankFinancials(rssd_id,$S$2,O$5,O$4,$B189,"K"),"")</f>
        <v/>
      </c>
      <c r="P189" s="49" t="s">
        <v>1506</v>
      </c>
    </row>
    <row r="190" spans="1:16" x14ac:dyDescent="0.4">
      <c r="A190" s="39" t="s">
        <v>1444</v>
      </c>
      <c r="B190" s="37" t="s">
        <v>2767</v>
      </c>
      <c r="C190" s="38" t="str">
        <f>IFERROR([1]!IntrinioBankFinancials(rssd_id,$S$2,C$5,C$4,$B190,"K"),"")</f>
        <v/>
      </c>
      <c r="D190" s="38" t="str">
        <f>IFERROR([1]!IntrinioBankFinancials(rssd_id,$S$2,D$5,D$4,$B190,"K"),"")</f>
        <v/>
      </c>
      <c r="E190" s="38" t="str">
        <f>IFERROR([1]!IntrinioBankFinancials(rssd_id,$S$2,E$5,E$4,$B190,"K"),"")</f>
        <v/>
      </c>
      <c r="F190" s="38" t="str">
        <f>IFERROR([1]!IntrinioBankFinancials(rssd_id,$S$2,F$5,F$4,$B190,"K"),"")</f>
        <v/>
      </c>
      <c r="G190" s="38" t="str">
        <f>IFERROR([1]!IntrinioBankFinancials(rssd_id,$S$2,G$5,G$4,$B190,"K"),"")</f>
        <v/>
      </c>
      <c r="H190" s="38" t="str">
        <f>IFERROR([1]!IntrinioBankFinancials(rssd_id,$S$2,H$5,H$4,$B190,"K"),"")</f>
        <v/>
      </c>
      <c r="I190" s="38" t="str">
        <f>IFERROR([1]!IntrinioBankFinancials(rssd_id,$S$2,I$5,I$4,$B190,"K"),"")</f>
        <v/>
      </c>
      <c r="J190" s="38" t="str">
        <f>IFERROR([1]!IntrinioBankFinancials(rssd_id,$S$2,J$5,J$4,$B190,"K"),"")</f>
        <v/>
      </c>
      <c r="K190" s="38" t="str">
        <f>IFERROR([1]!IntrinioBankFinancials(rssd_id,$S$2,K$5,K$4,$B190,"K"),"")</f>
        <v/>
      </c>
      <c r="L190" s="38" t="str">
        <f>IFERROR([1]!IntrinioBankFinancials(rssd_id,$S$2,L$5,L$4,$B190,"K"),"")</f>
        <v/>
      </c>
      <c r="M190" s="38" t="str">
        <f>IFERROR([1]!IntrinioBankFinancials(rssd_id,$S$2,M$5,M$4,$B190,"K"),"")</f>
        <v/>
      </c>
      <c r="N190" s="38" t="str">
        <f>IFERROR([1]!IntrinioBankFinancials(rssd_id,$S$2,N$5,N$4,$B190,"K"),"")</f>
        <v/>
      </c>
      <c r="O190" s="38" t="str">
        <f>IFERROR([1]!IntrinioBankFinancials(rssd_id,$S$2,O$5,O$4,$B190,"K"),"")</f>
        <v/>
      </c>
      <c r="P190" s="49" t="s">
        <v>1507</v>
      </c>
    </row>
    <row r="191" spans="1:16" x14ac:dyDescent="0.4">
      <c r="A191" s="39" t="s">
        <v>1446</v>
      </c>
      <c r="B191" s="37" t="s">
        <v>2768</v>
      </c>
      <c r="C191" s="38" t="str">
        <f>IFERROR([1]!IntrinioBankFinancials(rssd_id,$S$2,C$5,C$4,$B191,"K"),"")</f>
        <v/>
      </c>
      <c r="D191" s="38" t="str">
        <f>IFERROR([1]!IntrinioBankFinancials(rssd_id,$S$2,D$5,D$4,$B191,"K"),"")</f>
        <v/>
      </c>
      <c r="E191" s="38" t="str">
        <f>IFERROR([1]!IntrinioBankFinancials(rssd_id,$S$2,E$5,E$4,$B191,"K"),"")</f>
        <v/>
      </c>
      <c r="F191" s="38" t="str">
        <f>IFERROR([1]!IntrinioBankFinancials(rssd_id,$S$2,F$5,F$4,$B191,"K"),"")</f>
        <v/>
      </c>
      <c r="G191" s="38" t="str">
        <f>IFERROR([1]!IntrinioBankFinancials(rssd_id,$S$2,G$5,G$4,$B191,"K"),"")</f>
        <v/>
      </c>
      <c r="H191" s="38" t="str">
        <f>IFERROR([1]!IntrinioBankFinancials(rssd_id,$S$2,H$5,H$4,$B191,"K"),"")</f>
        <v/>
      </c>
      <c r="I191" s="38" t="str">
        <f>IFERROR([1]!IntrinioBankFinancials(rssd_id,$S$2,I$5,I$4,$B191,"K"),"")</f>
        <v/>
      </c>
      <c r="J191" s="38" t="str">
        <f>IFERROR([1]!IntrinioBankFinancials(rssd_id,$S$2,J$5,J$4,$B191,"K"),"")</f>
        <v/>
      </c>
      <c r="K191" s="38" t="str">
        <f>IFERROR([1]!IntrinioBankFinancials(rssd_id,$S$2,K$5,K$4,$B191,"K"),"")</f>
        <v/>
      </c>
      <c r="L191" s="38" t="str">
        <f>IFERROR([1]!IntrinioBankFinancials(rssd_id,$S$2,L$5,L$4,$B191,"K"),"")</f>
        <v/>
      </c>
      <c r="M191" s="38" t="str">
        <f>IFERROR([1]!IntrinioBankFinancials(rssd_id,$S$2,M$5,M$4,$B191,"K"),"")</f>
        <v/>
      </c>
      <c r="N191" s="38" t="str">
        <f>IFERROR([1]!IntrinioBankFinancials(rssd_id,$S$2,N$5,N$4,$B191,"K"),"")</f>
        <v/>
      </c>
      <c r="O191" s="38" t="str">
        <f>IFERROR([1]!IntrinioBankFinancials(rssd_id,$S$2,O$5,O$4,$B191,"K"),"")</f>
        <v/>
      </c>
      <c r="P191" s="49" t="s">
        <v>1508</v>
      </c>
    </row>
    <row r="192" spans="1:16" x14ac:dyDescent="0.4">
      <c r="A192" s="39" t="s">
        <v>1447</v>
      </c>
      <c r="B192" s="37" t="s">
        <v>2769</v>
      </c>
      <c r="C192" s="38" t="str">
        <f>IFERROR([1]!IntrinioBankFinancials(rssd_id,$S$2,C$5,C$4,$B192,"K"),"")</f>
        <v/>
      </c>
      <c r="D192" s="38" t="str">
        <f>IFERROR([1]!IntrinioBankFinancials(rssd_id,$S$2,D$5,D$4,$B192,"K"),"")</f>
        <v/>
      </c>
      <c r="E192" s="38" t="str">
        <f>IFERROR([1]!IntrinioBankFinancials(rssd_id,$S$2,E$5,E$4,$B192,"K"),"")</f>
        <v/>
      </c>
      <c r="F192" s="38" t="str">
        <f>IFERROR([1]!IntrinioBankFinancials(rssd_id,$S$2,F$5,F$4,$B192,"K"),"")</f>
        <v/>
      </c>
      <c r="G192" s="38" t="str">
        <f>IFERROR([1]!IntrinioBankFinancials(rssd_id,$S$2,G$5,G$4,$B192,"K"),"")</f>
        <v/>
      </c>
      <c r="H192" s="38" t="str">
        <f>IFERROR([1]!IntrinioBankFinancials(rssd_id,$S$2,H$5,H$4,$B192,"K"),"")</f>
        <v/>
      </c>
      <c r="I192" s="38" t="str">
        <f>IFERROR([1]!IntrinioBankFinancials(rssd_id,$S$2,I$5,I$4,$B192,"K"),"")</f>
        <v/>
      </c>
      <c r="J192" s="38" t="str">
        <f>IFERROR([1]!IntrinioBankFinancials(rssd_id,$S$2,J$5,J$4,$B192,"K"),"")</f>
        <v/>
      </c>
      <c r="K192" s="38" t="str">
        <f>IFERROR([1]!IntrinioBankFinancials(rssd_id,$S$2,K$5,K$4,$B192,"K"),"")</f>
        <v/>
      </c>
      <c r="L192" s="38" t="str">
        <f>IFERROR([1]!IntrinioBankFinancials(rssd_id,$S$2,L$5,L$4,$B192,"K"),"")</f>
        <v/>
      </c>
      <c r="M192" s="38" t="str">
        <f>IFERROR([1]!IntrinioBankFinancials(rssd_id,$S$2,M$5,M$4,$B192,"K"),"")</f>
        <v/>
      </c>
      <c r="N192" s="38" t="str">
        <f>IFERROR([1]!IntrinioBankFinancials(rssd_id,$S$2,N$5,N$4,$B192,"K"),"")</f>
        <v/>
      </c>
      <c r="O192" s="38" t="str">
        <f>IFERROR([1]!IntrinioBankFinancials(rssd_id,$S$2,O$5,O$4,$B192,"K"),"")</f>
        <v/>
      </c>
      <c r="P192" s="49">
        <v>13</v>
      </c>
    </row>
    <row r="193" spans="1:16" ht="28.5" x14ac:dyDescent="0.4">
      <c r="A193" s="39" t="s">
        <v>1448</v>
      </c>
      <c r="B193" s="37" t="s">
        <v>2770</v>
      </c>
      <c r="C193" s="38" t="str">
        <f>IFERROR([1]!IntrinioBankFinancials(rssd_id,$S$2,C$5,C$4,$B193,"K"),"")</f>
        <v/>
      </c>
      <c r="D193" s="38" t="str">
        <f>IFERROR([1]!IntrinioBankFinancials(rssd_id,$S$2,D$5,D$4,$B193,"K"),"")</f>
        <v/>
      </c>
      <c r="E193" s="38" t="str">
        <f>IFERROR([1]!IntrinioBankFinancials(rssd_id,$S$2,E$5,E$4,$B193,"K"),"")</f>
        <v/>
      </c>
      <c r="F193" s="38" t="str">
        <f>IFERROR([1]!IntrinioBankFinancials(rssd_id,$S$2,F$5,F$4,$B193,"K"),"")</f>
        <v/>
      </c>
      <c r="G193" s="38" t="str">
        <f>IFERROR([1]!IntrinioBankFinancials(rssd_id,$S$2,G$5,G$4,$B193,"K"),"")</f>
        <v/>
      </c>
      <c r="H193" s="38" t="str">
        <f>IFERROR([1]!IntrinioBankFinancials(rssd_id,$S$2,H$5,H$4,$B193,"K"),"")</f>
        <v/>
      </c>
      <c r="I193" s="38" t="str">
        <f>IFERROR([1]!IntrinioBankFinancials(rssd_id,$S$2,I$5,I$4,$B193,"K"),"")</f>
        <v/>
      </c>
      <c r="J193" s="38" t="str">
        <f>IFERROR([1]!IntrinioBankFinancials(rssd_id,$S$2,J$5,J$4,$B193,"K"),"")</f>
        <v/>
      </c>
      <c r="K193" s="38" t="str">
        <f>IFERROR([1]!IntrinioBankFinancials(rssd_id,$S$2,K$5,K$4,$B193,"K"),"")</f>
        <v/>
      </c>
      <c r="L193" s="38" t="str">
        <f>IFERROR([1]!IntrinioBankFinancials(rssd_id,$S$2,L$5,L$4,$B193,"K"),"")</f>
        <v/>
      </c>
      <c r="M193" s="38" t="str">
        <f>IFERROR([1]!IntrinioBankFinancials(rssd_id,$S$2,M$5,M$4,$B193,"K"),"")</f>
        <v/>
      </c>
      <c r="N193" s="38" t="str">
        <f>IFERROR([1]!IntrinioBankFinancials(rssd_id,$S$2,N$5,N$4,$B193,"K"),"")</f>
        <v/>
      </c>
      <c r="O193" s="38" t="str">
        <f>IFERROR([1]!IntrinioBankFinancials(rssd_id,$S$2,O$5,O$4,$B193,"K"),"")</f>
        <v/>
      </c>
      <c r="P193" s="49">
        <v>14</v>
      </c>
    </row>
    <row r="194" spans="1:16" x14ac:dyDescent="0.4">
      <c r="A194" s="39" t="s">
        <v>1449</v>
      </c>
      <c r="B194" s="37"/>
      <c r="C194" s="38" t="str">
        <f>IFERROR([1]!IntrinioBankFinancials(rssd_id,$S$2,C$5,C$4,$B194,"K"),"")</f>
        <v/>
      </c>
      <c r="D194" s="38" t="str">
        <f>IFERROR([1]!IntrinioBankFinancials(rssd_id,$S$2,D$5,D$4,$B194,"K"),"")</f>
        <v/>
      </c>
      <c r="E194" s="38" t="str">
        <f>IFERROR([1]!IntrinioBankFinancials(rssd_id,$S$2,E$5,E$4,$B194,"K"),"")</f>
        <v/>
      </c>
      <c r="F194" s="38" t="str">
        <f>IFERROR([1]!IntrinioBankFinancials(rssd_id,$S$2,F$5,F$4,$B194,"K"),"")</f>
        <v/>
      </c>
      <c r="G194" s="38" t="str">
        <f>IFERROR([1]!IntrinioBankFinancials(rssd_id,$S$2,G$5,G$4,$B194,"K"),"")</f>
        <v/>
      </c>
      <c r="H194" s="38" t="str">
        <f>IFERROR([1]!IntrinioBankFinancials(rssd_id,$S$2,H$5,H$4,$B194,"K"),"")</f>
        <v/>
      </c>
      <c r="I194" s="38" t="str">
        <f>IFERROR([1]!IntrinioBankFinancials(rssd_id,$S$2,I$5,I$4,$B194,"K"),"")</f>
        <v/>
      </c>
      <c r="J194" s="38" t="str">
        <f>IFERROR([1]!IntrinioBankFinancials(rssd_id,$S$2,J$5,J$4,$B194,"K"),"")</f>
        <v/>
      </c>
      <c r="K194" s="38" t="str">
        <f>IFERROR([1]!IntrinioBankFinancials(rssd_id,$S$2,K$5,K$4,$B194,"K"),"")</f>
        <v/>
      </c>
      <c r="L194" s="38" t="str">
        <f>IFERROR([1]!IntrinioBankFinancials(rssd_id,$S$2,L$5,L$4,$B194,"K"),"")</f>
        <v/>
      </c>
      <c r="M194" s="38" t="str">
        <f>IFERROR([1]!IntrinioBankFinancials(rssd_id,$S$2,M$5,M$4,$B194,"K"),"")</f>
        <v/>
      </c>
      <c r="N194" s="38" t="str">
        <f>IFERROR([1]!IntrinioBankFinancials(rssd_id,$S$2,N$5,N$4,$B194,"K"),"")</f>
        <v/>
      </c>
      <c r="O194" s="38" t="str">
        <f>IFERROR([1]!IntrinioBankFinancials(rssd_id,$S$2,O$5,O$4,$B194,"K"),"")</f>
        <v/>
      </c>
      <c r="P194" s="49" t="s">
        <v>632</v>
      </c>
    </row>
    <row r="195" spans="1:16" x14ac:dyDescent="0.4">
      <c r="A195" s="39" t="s">
        <v>1450</v>
      </c>
      <c r="B195" s="37"/>
      <c r="C195" s="38" t="str">
        <f>IFERROR([1]!IntrinioBankFinancials(rssd_id,$S$2,C$5,C$4,$B195,"K"),"")</f>
        <v/>
      </c>
      <c r="D195" s="38" t="str">
        <f>IFERROR([1]!IntrinioBankFinancials(rssd_id,$S$2,D$5,D$4,$B195,"K"),"")</f>
        <v/>
      </c>
      <c r="E195" s="38" t="str">
        <f>IFERROR([1]!IntrinioBankFinancials(rssd_id,$S$2,E$5,E$4,$B195,"K"),"")</f>
        <v/>
      </c>
      <c r="F195" s="38" t="str">
        <f>IFERROR([1]!IntrinioBankFinancials(rssd_id,$S$2,F$5,F$4,$B195,"K"),"")</f>
        <v/>
      </c>
      <c r="G195" s="38" t="str">
        <f>IFERROR([1]!IntrinioBankFinancials(rssd_id,$S$2,G$5,G$4,$B195,"K"),"")</f>
        <v/>
      </c>
      <c r="H195" s="38" t="str">
        <f>IFERROR([1]!IntrinioBankFinancials(rssd_id,$S$2,H$5,H$4,$B195,"K"),"")</f>
        <v/>
      </c>
      <c r="I195" s="38" t="str">
        <f>IFERROR([1]!IntrinioBankFinancials(rssd_id,$S$2,I$5,I$4,$B195,"K"),"")</f>
        <v/>
      </c>
      <c r="J195" s="38" t="str">
        <f>IFERROR([1]!IntrinioBankFinancials(rssd_id,$S$2,J$5,J$4,$B195,"K"),"")</f>
        <v/>
      </c>
      <c r="K195" s="38" t="str">
        <f>IFERROR([1]!IntrinioBankFinancials(rssd_id,$S$2,K$5,K$4,$B195,"K"),"")</f>
        <v/>
      </c>
      <c r="L195" s="38" t="str">
        <f>IFERROR([1]!IntrinioBankFinancials(rssd_id,$S$2,L$5,L$4,$B195,"K"),"")</f>
        <v/>
      </c>
      <c r="M195" s="38" t="str">
        <f>IFERROR([1]!IntrinioBankFinancials(rssd_id,$S$2,M$5,M$4,$B195,"K"),"")</f>
        <v/>
      </c>
      <c r="N195" s="38" t="str">
        <f>IFERROR([1]!IntrinioBankFinancials(rssd_id,$S$2,N$5,N$4,$B195,"K"),"")</f>
        <v/>
      </c>
      <c r="O195" s="38" t="str">
        <f>IFERROR([1]!IntrinioBankFinancials(rssd_id,$S$2,O$5,O$4,$B195,"K"),"")</f>
        <v/>
      </c>
      <c r="P195" s="49">
        <v>15</v>
      </c>
    </row>
    <row r="196" spans="1:16" x14ac:dyDescent="0.4">
      <c r="A196" s="39" t="s">
        <v>1451</v>
      </c>
      <c r="B196" s="37"/>
      <c r="C196" s="38" t="str">
        <f>IFERROR([1]!IntrinioBankFinancials(rssd_id,$S$2,C$5,C$4,$B196,"K"),"")</f>
        <v/>
      </c>
      <c r="D196" s="38" t="str">
        <f>IFERROR([1]!IntrinioBankFinancials(rssd_id,$S$2,D$5,D$4,$B196,"K"),"")</f>
        <v/>
      </c>
      <c r="E196" s="38" t="str">
        <f>IFERROR([1]!IntrinioBankFinancials(rssd_id,$S$2,E$5,E$4,$B196,"K"),"")</f>
        <v/>
      </c>
      <c r="F196" s="38" t="str">
        <f>IFERROR([1]!IntrinioBankFinancials(rssd_id,$S$2,F$5,F$4,$B196,"K"),"")</f>
        <v/>
      </c>
      <c r="G196" s="38" t="str">
        <f>IFERROR([1]!IntrinioBankFinancials(rssd_id,$S$2,G$5,G$4,$B196,"K"),"")</f>
        <v/>
      </c>
      <c r="H196" s="38" t="str">
        <f>IFERROR([1]!IntrinioBankFinancials(rssd_id,$S$2,H$5,H$4,$B196,"K"),"")</f>
        <v/>
      </c>
      <c r="I196" s="38" t="str">
        <f>IFERROR([1]!IntrinioBankFinancials(rssd_id,$S$2,I$5,I$4,$B196,"K"),"")</f>
        <v/>
      </c>
      <c r="J196" s="38" t="str">
        <f>IFERROR([1]!IntrinioBankFinancials(rssd_id,$S$2,J$5,J$4,$B196,"K"),"")</f>
        <v/>
      </c>
      <c r="K196" s="38" t="str">
        <f>IFERROR([1]!IntrinioBankFinancials(rssd_id,$S$2,K$5,K$4,$B196,"K"),"")</f>
        <v/>
      </c>
      <c r="L196" s="38" t="str">
        <f>IFERROR([1]!IntrinioBankFinancials(rssd_id,$S$2,L$5,L$4,$B196,"K"),"")</f>
        <v/>
      </c>
      <c r="M196" s="38" t="str">
        <f>IFERROR([1]!IntrinioBankFinancials(rssd_id,$S$2,M$5,M$4,$B196,"K"),"")</f>
        <v/>
      </c>
      <c r="N196" s="38" t="str">
        <f>IFERROR([1]!IntrinioBankFinancials(rssd_id,$S$2,N$5,N$4,$B196,"K"),"")</f>
        <v/>
      </c>
      <c r="O196" s="38" t="str">
        <f>IFERROR([1]!IntrinioBankFinancials(rssd_id,$S$2,O$5,O$4,$B196,"K"),"")</f>
        <v/>
      </c>
      <c r="P196" s="49" t="s">
        <v>1509</v>
      </c>
    </row>
    <row r="197" spans="1:16" x14ac:dyDescent="0.4">
      <c r="A197" s="39" t="s">
        <v>1403</v>
      </c>
      <c r="B197" s="37" t="s">
        <v>2771</v>
      </c>
      <c r="C197" s="38" t="str">
        <f>IFERROR([1]!IntrinioBankFinancials(rssd_id,$S$2,C$5,C$4,$B197,"K"),"")</f>
        <v/>
      </c>
      <c r="D197" s="38" t="str">
        <f>IFERROR([1]!IntrinioBankFinancials(rssd_id,$S$2,D$5,D$4,$B197,"K"),"")</f>
        <v/>
      </c>
      <c r="E197" s="38" t="str">
        <f>IFERROR([1]!IntrinioBankFinancials(rssd_id,$S$2,E$5,E$4,$B197,"K"),"")</f>
        <v/>
      </c>
      <c r="F197" s="38" t="str">
        <f>IFERROR([1]!IntrinioBankFinancials(rssd_id,$S$2,F$5,F$4,$B197,"K"),"")</f>
        <v/>
      </c>
      <c r="G197" s="38" t="str">
        <f>IFERROR([1]!IntrinioBankFinancials(rssd_id,$S$2,G$5,G$4,$B197,"K"),"")</f>
        <v/>
      </c>
      <c r="H197" s="38" t="str">
        <f>IFERROR([1]!IntrinioBankFinancials(rssd_id,$S$2,H$5,H$4,$B197,"K"),"")</f>
        <v/>
      </c>
      <c r="I197" s="38" t="str">
        <f>IFERROR([1]!IntrinioBankFinancials(rssd_id,$S$2,I$5,I$4,$B197,"K"),"")</f>
        <v/>
      </c>
      <c r="J197" s="38" t="str">
        <f>IFERROR([1]!IntrinioBankFinancials(rssd_id,$S$2,J$5,J$4,$B197,"K"),"")</f>
        <v/>
      </c>
      <c r="K197" s="38" t="str">
        <f>IFERROR([1]!IntrinioBankFinancials(rssd_id,$S$2,K$5,K$4,$B197,"K"),"")</f>
        <v/>
      </c>
      <c r="L197" s="38" t="str">
        <f>IFERROR([1]!IntrinioBankFinancials(rssd_id,$S$2,L$5,L$4,$B197,"K"),"")</f>
        <v/>
      </c>
      <c r="M197" s="38" t="str">
        <f>IFERROR([1]!IntrinioBankFinancials(rssd_id,$S$2,M$5,M$4,$B197,"K"),"")</f>
        <v/>
      </c>
      <c r="N197" s="38" t="str">
        <f>IFERROR([1]!IntrinioBankFinancials(rssd_id,$S$2,N$5,N$4,$B197,"K"),"")</f>
        <v/>
      </c>
      <c r="O197" s="38" t="str">
        <f>IFERROR([1]!IntrinioBankFinancials(rssd_id,$S$2,O$5,O$4,$B197,"K"),"")</f>
        <v/>
      </c>
      <c r="P197" s="49" t="s">
        <v>1510</v>
      </c>
    </row>
    <row r="198" spans="1:16" x14ac:dyDescent="0.4">
      <c r="A198" s="39" t="s">
        <v>1404</v>
      </c>
      <c r="B198" s="37" t="s">
        <v>2772</v>
      </c>
      <c r="C198" s="38" t="str">
        <f>IFERROR([1]!IntrinioBankFinancials(rssd_id,$S$2,C$5,C$4,$B198,"K"),"")</f>
        <v/>
      </c>
      <c r="D198" s="38" t="str">
        <f>IFERROR([1]!IntrinioBankFinancials(rssd_id,$S$2,D$5,D$4,$B198,"K"),"")</f>
        <v/>
      </c>
      <c r="E198" s="38" t="str">
        <f>IFERROR([1]!IntrinioBankFinancials(rssd_id,$S$2,E$5,E$4,$B198,"K"),"")</f>
        <v/>
      </c>
      <c r="F198" s="38" t="str">
        <f>IFERROR([1]!IntrinioBankFinancials(rssd_id,$S$2,F$5,F$4,$B198,"K"),"")</f>
        <v/>
      </c>
      <c r="G198" s="38" t="str">
        <f>IFERROR([1]!IntrinioBankFinancials(rssd_id,$S$2,G$5,G$4,$B198,"K"),"")</f>
        <v/>
      </c>
      <c r="H198" s="38" t="str">
        <f>IFERROR([1]!IntrinioBankFinancials(rssd_id,$S$2,H$5,H$4,$B198,"K"),"")</f>
        <v/>
      </c>
      <c r="I198" s="38" t="str">
        <f>IFERROR([1]!IntrinioBankFinancials(rssd_id,$S$2,I$5,I$4,$B198,"K"),"")</f>
        <v/>
      </c>
      <c r="J198" s="38" t="str">
        <f>IFERROR([1]!IntrinioBankFinancials(rssd_id,$S$2,J$5,J$4,$B198,"K"),"")</f>
        <v/>
      </c>
      <c r="K198" s="38" t="str">
        <f>IFERROR([1]!IntrinioBankFinancials(rssd_id,$S$2,K$5,K$4,$B198,"K"),"")</f>
        <v/>
      </c>
      <c r="L198" s="38" t="str">
        <f>IFERROR([1]!IntrinioBankFinancials(rssd_id,$S$2,L$5,L$4,$B198,"K"),"")</f>
        <v/>
      </c>
      <c r="M198" s="38" t="str">
        <f>IFERROR([1]!IntrinioBankFinancials(rssd_id,$S$2,M$5,M$4,$B198,"K"),"")</f>
        <v/>
      </c>
      <c r="N198" s="38" t="str">
        <f>IFERROR([1]!IntrinioBankFinancials(rssd_id,$S$2,N$5,N$4,$B198,"K"),"")</f>
        <v/>
      </c>
      <c r="O198" s="38" t="str">
        <f>IFERROR([1]!IntrinioBankFinancials(rssd_id,$S$2,O$5,O$4,$B198,"K"),"")</f>
        <v/>
      </c>
      <c r="P198" s="49" t="s">
        <v>1511</v>
      </c>
    </row>
    <row r="199" spans="1:16" x14ac:dyDescent="0.4">
      <c r="A199" s="39" t="s">
        <v>1452</v>
      </c>
      <c r="B199" s="37"/>
      <c r="C199" s="38" t="str">
        <f>IFERROR([1]!IntrinioBankFinancials(rssd_id,$S$2,C$5,C$4,$B199,"K"),"")</f>
        <v/>
      </c>
      <c r="D199" s="38" t="str">
        <f>IFERROR([1]!IntrinioBankFinancials(rssd_id,$S$2,D$5,D$4,$B199,"K"),"")</f>
        <v/>
      </c>
      <c r="E199" s="38" t="str">
        <f>IFERROR([1]!IntrinioBankFinancials(rssd_id,$S$2,E$5,E$4,$B199,"K"),"")</f>
        <v/>
      </c>
      <c r="F199" s="38" t="str">
        <f>IFERROR([1]!IntrinioBankFinancials(rssd_id,$S$2,F$5,F$4,$B199,"K"),"")</f>
        <v/>
      </c>
      <c r="G199" s="38" t="str">
        <f>IFERROR([1]!IntrinioBankFinancials(rssd_id,$S$2,G$5,G$4,$B199,"K"),"")</f>
        <v/>
      </c>
      <c r="H199" s="38" t="str">
        <f>IFERROR([1]!IntrinioBankFinancials(rssd_id,$S$2,H$5,H$4,$B199,"K"),"")</f>
        <v/>
      </c>
      <c r="I199" s="38" t="str">
        <f>IFERROR([1]!IntrinioBankFinancials(rssd_id,$S$2,I$5,I$4,$B199,"K"),"")</f>
        <v/>
      </c>
      <c r="J199" s="38" t="str">
        <f>IFERROR([1]!IntrinioBankFinancials(rssd_id,$S$2,J$5,J$4,$B199,"K"),"")</f>
        <v/>
      </c>
      <c r="K199" s="38" t="str">
        <f>IFERROR([1]!IntrinioBankFinancials(rssd_id,$S$2,K$5,K$4,$B199,"K"),"")</f>
        <v/>
      </c>
      <c r="L199" s="38" t="str">
        <f>IFERROR([1]!IntrinioBankFinancials(rssd_id,$S$2,L$5,L$4,$B199,"K"),"")</f>
        <v/>
      </c>
      <c r="M199" s="38" t="str">
        <f>IFERROR([1]!IntrinioBankFinancials(rssd_id,$S$2,M$5,M$4,$B199,"K"),"")</f>
        <v/>
      </c>
      <c r="N199" s="38" t="str">
        <f>IFERROR([1]!IntrinioBankFinancials(rssd_id,$S$2,N$5,N$4,$B199,"K"),"")</f>
        <v/>
      </c>
      <c r="O199" s="38" t="str">
        <f>IFERROR([1]!IntrinioBankFinancials(rssd_id,$S$2,O$5,O$4,$B199,"K"),"")</f>
        <v/>
      </c>
      <c r="P199" s="49" t="s">
        <v>1512</v>
      </c>
    </row>
    <row r="200" spans="1:16" x14ac:dyDescent="0.4">
      <c r="A200" s="39" t="s">
        <v>1403</v>
      </c>
      <c r="B200" s="37" t="s">
        <v>2773</v>
      </c>
      <c r="C200" s="38" t="str">
        <f>IFERROR([1]!IntrinioBankFinancials(rssd_id,$S$2,C$5,C$4,$B200,"K"),"")</f>
        <v/>
      </c>
      <c r="D200" s="38" t="str">
        <f>IFERROR([1]!IntrinioBankFinancials(rssd_id,$S$2,D$5,D$4,$B200,"K"),"")</f>
        <v/>
      </c>
      <c r="E200" s="38" t="str">
        <f>IFERROR([1]!IntrinioBankFinancials(rssd_id,$S$2,E$5,E$4,$B200,"K"),"")</f>
        <v/>
      </c>
      <c r="F200" s="38" t="str">
        <f>IFERROR([1]!IntrinioBankFinancials(rssd_id,$S$2,F$5,F$4,$B200,"K"),"")</f>
        <v/>
      </c>
      <c r="G200" s="38" t="str">
        <f>IFERROR([1]!IntrinioBankFinancials(rssd_id,$S$2,G$5,G$4,$B200,"K"),"")</f>
        <v/>
      </c>
      <c r="H200" s="38" t="str">
        <f>IFERROR([1]!IntrinioBankFinancials(rssd_id,$S$2,H$5,H$4,$B200,"K"),"")</f>
        <v/>
      </c>
      <c r="I200" s="38" t="str">
        <f>IFERROR([1]!IntrinioBankFinancials(rssd_id,$S$2,I$5,I$4,$B200,"K"),"")</f>
        <v/>
      </c>
      <c r="J200" s="38" t="str">
        <f>IFERROR([1]!IntrinioBankFinancials(rssd_id,$S$2,J$5,J$4,$B200,"K"),"")</f>
        <v/>
      </c>
      <c r="K200" s="38" t="str">
        <f>IFERROR([1]!IntrinioBankFinancials(rssd_id,$S$2,K$5,K$4,$B200,"K"),"")</f>
        <v/>
      </c>
      <c r="L200" s="38" t="str">
        <f>IFERROR([1]!IntrinioBankFinancials(rssd_id,$S$2,L$5,L$4,$B200,"K"),"")</f>
        <v/>
      </c>
      <c r="M200" s="38" t="str">
        <f>IFERROR([1]!IntrinioBankFinancials(rssd_id,$S$2,M$5,M$4,$B200,"K"),"")</f>
        <v/>
      </c>
      <c r="N200" s="38" t="str">
        <f>IFERROR([1]!IntrinioBankFinancials(rssd_id,$S$2,N$5,N$4,$B200,"K"),"")</f>
        <v/>
      </c>
      <c r="O200" s="38" t="str">
        <f>IFERROR([1]!IntrinioBankFinancials(rssd_id,$S$2,O$5,O$4,$B200,"K"),"")</f>
        <v/>
      </c>
      <c r="P200" s="49" t="s">
        <v>1513</v>
      </c>
    </row>
    <row r="201" spans="1:16" x14ac:dyDescent="0.4">
      <c r="A201" s="39" t="s">
        <v>1456</v>
      </c>
      <c r="B201" s="37" t="s">
        <v>2774</v>
      </c>
      <c r="C201" s="38" t="str">
        <f>IFERROR([1]!IntrinioBankFinancials(rssd_id,$S$2,C$5,C$4,$B201,"K"),"")</f>
        <v/>
      </c>
      <c r="D201" s="38" t="str">
        <f>IFERROR([1]!IntrinioBankFinancials(rssd_id,$S$2,D$5,D$4,$B201,"K"),"")</f>
        <v/>
      </c>
      <c r="E201" s="38" t="str">
        <f>IFERROR([1]!IntrinioBankFinancials(rssd_id,$S$2,E$5,E$4,$B201,"K"),"")</f>
        <v/>
      </c>
      <c r="F201" s="38" t="str">
        <f>IFERROR([1]!IntrinioBankFinancials(rssd_id,$S$2,F$5,F$4,$B201,"K"),"")</f>
        <v/>
      </c>
      <c r="G201" s="38" t="str">
        <f>IFERROR([1]!IntrinioBankFinancials(rssd_id,$S$2,G$5,G$4,$B201,"K"),"")</f>
        <v/>
      </c>
      <c r="H201" s="38" t="str">
        <f>IFERROR([1]!IntrinioBankFinancials(rssd_id,$S$2,H$5,H$4,$B201,"K"),"")</f>
        <v/>
      </c>
      <c r="I201" s="38" t="str">
        <f>IFERROR([1]!IntrinioBankFinancials(rssd_id,$S$2,I$5,I$4,$B201,"K"),"")</f>
        <v/>
      </c>
      <c r="J201" s="38" t="str">
        <f>IFERROR([1]!IntrinioBankFinancials(rssd_id,$S$2,J$5,J$4,$B201,"K"),"")</f>
        <v/>
      </c>
      <c r="K201" s="38" t="str">
        <f>IFERROR([1]!IntrinioBankFinancials(rssd_id,$S$2,K$5,K$4,$B201,"K"),"")</f>
        <v/>
      </c>
      <c r="L201" s="38" t="str">
        <f>IFERROR([1]!IntrinioBankFinancials(rssd_id,$S$2,L$5,L$4,$B201,"K"),"")</f>
        <v/>
      </c>
      <c r="M201" s="38" t="str">
        <f>IFERROR([1]!IntrinioBankFinancials(rssd_id,$S$2,M$5,M$4,$B201,"K"),"")</f>
        <v/>
      </c>
      <c r="N201" s="38" t="str">
        <f>IFERROR([1]!IntrinioBankFinancials(rssd_id,$S$2,N$5,N$4,$B201,"K"),"")</f>
        <v/>
      </c>
      <c r="O201" s="38" t="str">
        <f>IFERROR([1]!IntrinioBankFinancials(rssd_id,$S$2,O$5,O$4,$B201,"K"),"")</f>
        <v/>
      </c>
      <c r="P201" s="49" t="s">
        <v>1514</v>
      </c>
    </row>
  </sheetData>
  <pageMargins left="0.7" right="0.7" top="0.75" bottom="0.75" header="0.3" footer="0.3"/>
  <pageSetup scale="84" fitToHeight="0" orientation="landscape" r:id="rId1"/>
  <headerFooter>
    <oddFooter>&amp;L&amp;G&amp;R&amp;P</oddFooter>
  </headerFooter>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9" tint="0.79998168889431442"/>
    <pageSetUpPr fitToPage="1"/>
  </sheetPr>
  <dimension ref="A1:S124"/>
  <sheetViews>
    <sheetView view="pageBreakPreview" zoomScaleNormal="100" zoomScaleSheetLayoutView="100" workbookViewId="0">
      <pane xSplit="1" ySplit="5" topLeftCell="G6" activePane="bottomRight" state="frozen"/>
      <selection pane="topRight"/>
      <selection pane="bottomLeft"/>
      <selection pane="bottomRight" activeCell="J6" sqref="J6"/>
    </sheetView>
  </sheetViews>
  <sheetFormatPr defaultColWidth="9.140625" defaultRowHeight="18" outlineLevelCol="1" x14ac:dyDescent="0.4"/>
  <cols>
    <col min="1" max="1" width="70.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18</v>
      </c>
      <c r="B2" s="28"/>
      <c r="C2" s="29"/>
      <c r="D2" s="29"/>
      <c r="E2" s="29"/>
      <c r="F2" s="29"/>
      <c r="G2" s="29"/>
      <c r="H2" s="29"/>
      <c r="I2" s="29"/>
      <c r="J2" s="29"/>
      <c r="K2" s="29"/>
      <c r="L2" s="29"/>
      <c r="M2" s="29"/>
      <c r="N2" s="29"/>
      <c r="O2" s="29"/>
      <c r="P2" s="48"/>
      <c r="R2" s="6" t="s">
        <v>430</v>
      </c>
      <c r="S2" s="6" t="s">
        <v>1708</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2775</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2776</v>
      </c>
      <c r="B7" s="37" t="s">
        <v>2777</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27</v>
      </c>
    </row>
    <row r="8" spans="1:19" s="40" customFormat="1" ht="57" x14ac:dyDescent="0.4">
      <c r="A8" s="39" t="s">
        <v>2778</v>
      </c>
      <c r="B8" s="37" t="s">
        <v>2779</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57</v>
      </c>
    </row>
    <row r="9" spans="1:19" s="40" customFormat="1" ht="14.25" x14ac:dyDescent="0.4">
      <c r="A9" s="39" t="s">
        <v>1516</v>
      </c>
      <c r="B9" s="37"/>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2</v>
      </c>
    </row>
    <row r="10" spans="1:19" s="40" customFormat="1" ht="14.25" x14ac:dyDescent="0.4">
      <c r="A10" s="39" t="s">
        <v>1517</v>
      </c>
      <c r="B10" s="37" t="s">
        <v>2780</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86</v>
      </c>
    </row>
    <row r="11" spans="1:19" s="40" customFormat="1" ht="14.25" x14ac:dyDescent="0.4">
      <c r="A11" s="39" t="s">
        <v>1518</v>
      </c>
      <c r="B11" s="37" t="s">
        <v>2781</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88</v>
      </c>
    </row>
    <row r="12" spans="1:19" s="40" customFormat="1" ht="14.25" x14ac:dyDescent="0.4">
      <c r="A12" s="39" t="s">
        <v>1519</v>
      </c>
      <c r="B12" s="37" t="s">
        <v>2782</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102</v>
      </c>
    </row>
    <row r="13" spans="1:19" s="40" customFormat="1" ht="14.25" x14ac:dyDescent="0.4">
      <c r="A13" s="39" t="s">
        <v>1520</v>
      </c>
      <c r="B13" s="37" t="s">
        <v>2783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105</v>
      </c>
    </row>
    <row r="14" spans="1:19" x14ac:dyDescent="0.4">
      <c r="A14" s="39" t="s">
        <v>1521</v>
      </c>
      <c r="B14" s="37" t="s">
        <v>2192</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108</v>
      </c>
    </row>
    <row r="15" spans="1:19" x14ac:dyDescent="0.4">
      <c r="A15" s="39" t="s">
        <v>1522</v>
      </c>
      <c r="B15" s="37"/>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3</v>
      </c>
    </row>
    <row r="16" spans="1:19" s="47" customFormat="1" x14ac:dyDescent="0.4">
      <c r="A16" s="39" t="s">
        <v>2784</v>
      </c>
      <c r="B16" s="37" t="s">
        <v>1523</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620</v>
      </c>
      <c r="Q16" s="13"/>
      <c r="R16" s="13"/>
      <c r="S16" s="13"/>
    </row>
    <row r="17" spans="1:19" s="47" customFormat="1" x14ac:dyDescent="0.4">
      <c r="A17" s="39" t="s">
        <v>2785</v>
      </c>
      <c r="B17" s="37" t="s">
        <v>1524</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621</v>
      </c>
      <c r="Q17" s="13"/>
      <c r="R17" s="13"/>
      <c r="S17" s="13"/>
    </row>
    <row r="18" spans="1:19" s="47" customFormat="1" x14ac:dyDescent="0.4">
      <c r="A18" s="39" t="s">
        <v>2786</v>
      </c>
      <c r="B18" s="37" t="s">
        <v>1525</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1309</v>
      </c>
      <c r="Q18" s="13"/>
      <c r="R18" s="13"/>
      <c r="S18" s="13"/>
    </row>
    <row r="19" spans="1:19" s="47" customFormat="1" x14ac:dyDescent="0.4">
      <c r="A19" s="39" t="s">
        <v>2787</v>
      </c>
      <c r="B19" s="37" t="s">
        <v>1526</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1638</v>
      </c>
      <c r="Q19" s="13"/>
      <c r="R19" s="13"/>
      <c r="S19" s="13"/>
    </row>
    <row r="20" spans="1:19" s="47" customFormat="1" x14ac:dyDescent="0.4">
      <c r="A20" s="39" t="s">
        <v>2788</v>
      </c>
      <c r="B20" s="37" t="s">
        <v>1527</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1639</v>
      </c>
      <c r="Q20" s="13"/>
      <c r="R20" s="13"/>
      <c r="S20" s="13"/>
    </row>
    <row r="21" spans="1:19" s="47" customFormat="1" x14ac:dyDescent="0.4">
      <c r="A21" s="39" t="s">
        <v>1528</v>
      </c>
      <c r="B21" s="37" t="s">
        <v>1529</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1640</v>
      </c>
      <c r="Q21" s="13"/>
      <c r="R21" s="13"/>
      <c r="S21" s="13"/>
    </row>
    <row r="22" spans="1:19" s="47" customFormat="1" x14ac:dyDescent="0.4">
      <c r="A22" s="39" t="s">
        <v>2789</v>
      </c>
      <c r="B22" s="37" t="s">
        <v>2790</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1641</v>
      </c>
      <c r="Q22" s="13"/>
      <c r="R22" s="13"/>
      <c r="S22" s="13"/>
    </row>
    <row r="23" spans="1:19" s="47" customFormat="1" x14ac:dyDescent="0.4">
      <c r="A23" s="39" t="s">
        <v>2791</v>
      </c>
      <c r="B23" s="37" t="s">
        <v>2188</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2842</v>
      </c>
      <c r="Q23" s="13"/>
      <c r="R23" s="13"/>
      <c r="S23" s="13"/>
    </row>
    <row r="24" spans="1:19" s="47" customFormat="1" x14ac:dyDescent="0.4">
      <c r="A24" s="39" t="s">
        <v>1530</v>
      </c>
      <c r="B24" s="37"/>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4</v>
      </c>
      <c r="Q24" s="13"/>
      <c r="R24" s="13"/>
      <c r="S24" s="13"/>
    </row>
    <row r="25" spans="1:19" s="47" customFormat="1" x14ac:dyDescent="0.4">
      <c r="A25" s="39" t="s">
        <v>1531</v>
      </c>
      <c r="B25" s="37"/>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5</v>
      </c>
      <c r="Q25" s="13"/>
      <c r="R25" s="13"/>
      <c r="S25" s="13"/>
    </row>
    <row r="26" spans="1:19" s="47" customFormat="1" x14ac:dyDescent="0.4">
      <c r="A26" s="39" t="s">
        <v>1532</v>
      </c>
      <c r="B26" s="37"/>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119</v>
      </c>
      <c r="Q26" s="13"/>
      <c r="R26" s="13"/>
      <c r="S26" s="13"/>
    </row>
    <row r="27" spans="1:19" s="47" customFormat="1" x14ac:dyDescent="0.4">
      <c r="A27" s="39" t="s">
        <v>1533</v>
      </c>
      <c r="B27" s="37"/>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947</v>
      </c>
      <c r="Q27" s="13"/>
      <c r="R27" s="13"/>
      <c r="S27" s="13"/>
    </row>
    <row r="28" spans="1:19" s="47" customFormat="1" x14ac:dyDescent="0.4">
      <c r="A28" s="39" t="s">
        <v>1534</v>
      </c>
      <c r="B28" s="37" t="s">
        <v>2792</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1642</v>
      </c>
      <c r="Q28" s="13"/>
      <c r="R28" s="13"/>
      <c r="S28" s="13"/>
    </row>
    <row r="29" spans="1:19" s="47" customFormat="1" x14ac:dyDescent="0.4">
      <c r="A29" s="39" t="s">
        <v>1535</v>
      </c>
      <c r="B29" s="37" t="s">
        <v>2793</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1643</v>
      </c>
      <c r="Q29" s="13"/>
      <c r="R29" s="13"/>
      <c r="S29" s="13"/>
    </row>
    <row r="30" spans="1:19" s="47" customFormat="1" x14ac:dyDescent="0.4">
      <c r="A30" s="39" t="s">
        <v>1536</v>
      </c>
      <c r="B30" s="37" t="s">
        <v>2794</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1644</v>
      </c>
      <c r="Q30" s="13"/>
      <c r="R30" s="13"/>
      <c r="S30" s="13"/>
    </row>
    <row r="31" spans="1:19" s="47" customFormat="1" x14ac:dyDescent="0.4">
      <c r="A31" s="39" t="s">
        <v>1537</v>
      </c>
      <c r="B31" s="37" t="s">
        <v>2795</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1645</v>
      </c>
      <c r="Q31" s="13"/>
      <c r="R31" s="13"/>
      <c r="S31" s="13"/>
    </row>
    <row r="32" spans="1:19" s="47" customFormat="1" ht="28.5" x14ac:dyDescent="0.4">
      <c r="A32" s="39" t="s">
        <v>1538</v>
      </c>
      <c r="B32" s="37" t="s">
        <v>2796</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949</v>
      </c>
      <c r="Q32" s="13"/>
      <c r="R32" s="13"/>
      <c r="S32" s="13"/>
    </row>
    <row r="33" spans="1:19" s="47" customFormat="1" x14ac:dyDescent="0.4">
      <c r="A33" s="39" t="s">
        <v>1539</v>
      </c>
      <c r="B33" s="37" t="s">
        <v>2797</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951</v>
      </c>
      <c r="Q33" s="13"/>
      <c r="R33" s="13"/>
      <c r="S33" s="13"/>
    </row>
    <row r="34" spans="1:19" s="47" customFormat="1" x14ac:dyDescent="0.4">
      <c r="A34" s="39" t="s">
        <v>1540</v>
      </c>
      <c r="B34" s="37"/>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122</v>
      </c>
      <c r="Q34" s="13"/>
      <c r="R34" s="13"/>
      <c r="S34" s="13"/>
    </row>
    <row r="35" spans="1:19" s="47" customFormat="1" x14ac:dyDescent="0.4">
      <c r="A35" s="39" t="s">
        <v>1541</v>
      </c>
      <c r="B35" s="37"/>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764</v>
      </c>
      <c r="Q35" s="13"/>
      <c r="R35" s="13"/>
      <c r="S35" s="13"/>
    </row>
    <row r="36" spans="1:19" s="47" customFormat="1" x14ac:dyDescent="0.4">
      <c r="A36" s="39" t="s">
        <v>1534</v>
      </c>
      <c r="B36" s="37" t="s">
        <v>2798</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1646</v>
      </c>
      <c r="Q36" s="13"/>
      <c r="R36" s="13"/>
      <c r="S36" s="13"/>
    </row>
    <row r="37" spans="1:19" s="47" customFormat="1" x14ac:dyDescent="0.4">
      <c r="A37" s="39" t="s">
        <v>1535</v>
      </c>
      <c r="B37" s="37" t="s">
        <v>2799</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1647</v>
      </c>
      <c r="Q37" s="13"/>
      <c r="R37" s="13"/>
      <c r="S37" s="13"/>
    </row>
    <row r="38" spans="1:19" s="47" customFormat="1" x14ac:dyDescent="0.4">
      <c r="A38" s="39" t="s">
        <v>1536</v>
      </c>
      <c r="B38" s="37" t="s">
        <v>2800</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1648</v>
      </c>
      <c r="Q38" s="13"/>
      <c r="R38" s="13"/>
      <c r="S38" s="13"/>
    </row>
    <row r="39" spans="1:19" s="47" customFormat="1" x14ac:dyDescent="0.4">
      <c r="A39" s="39" t="s">
        <v>1537</v>
      </c>
      <c r="B39" s="37" t="s">
        <v>2801</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1649</v>
      </c>
      <c r="Q39" s="13"/>
      <c r="R39" s="13"/>
      <c r="S39" s="13"/>
    </row>
    <row r="40" spans="1:19" s="47" customFormat="1" ht="28.5" x14ac:dyDescent="0.4">
      <c r="A40" s="39" t="s">
        <v>1542</v>
      </c>
      <c r="B40" s="37" t="s">
        <v>2802</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770</v>
      </c>
      <c r="Q40" s="13"/>
      <c r="R40" s="13"/>
      <c r="S40" s="13"/>
    </row>
    <row r="41" spans="1:19" s="47" customFormat="1" ht="28.5" x14ac:dyDescent="0.4">
      <c r="A41" s="39" t="s">
        <v>1543</v>
      </c>
      <c r="B41" s="37" t="s">
        <v>2200</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125</v>
      </c>
      <c r="Q41" s="13"/>
      <c r="R41" s="13"/>
      <c r="S41" s="13"/>
    </row>
    <row r="42" spans="1:19" s="47" customFormat="1" ht="28.5" x14ac:dyDescent="0.4">
      <c r="A42" s="39" t="s">
        <v>1544</v>
      </c>
      <c r="B42" s="37" t="s">
        <v>2803</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6</v>
      </c>
      <c r="Q42" s="13"/>
      <c r="R42" s="13"/>
      <c r="S42" s="13"/>
    </row>
    <row r="43" spans="1:19" s="47" customFormat="1" ht="28.5" x14ac:dyDescent="0.4">
      <c r="A43" s="39" t="s">
        <v>1545</v>
      </c>
      <c r="B43" s="37" t="s">
        <v>2804</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7</v>
      </c>
      <c r="Q43" s="13"/>
      <c r="R43" s="13"/>
      <c r="S43" s="13"/>
    </row>
    <row r="44" spans="1:19" s="47" customFormat="1" x14ac:dyDescent="0.4">
      <c r="A44" s="39" t="s">
        <v>1546</v>
      </c>
      <c r="B44" s="37"/>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8</v>
      </c>
      <c r="Q44" s="13"/>
      <c r="R44" s="13"/>
      <c r="S44" s="13"/>
    </row>
    <row r="45" spans="1:19" s="47" customFormat="1" ht="28.5" x14ac:dyDescent="0.4">
      <c r="A45" s="39" t="s">
        <v>2805</v>
      </c>
      <c r="B45" s="37" t="s">
        <v>1547</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1310</v>
      </c>
      <c r="Q45" s="13"/>
      <c r="R45" s="13"/>
      <c r="S45" s="13"/>
    </row>
    <row r="46" spans="1:19" s="47" customFormat="1" ht="42.75" x14ac:dyDescent="0.4">
      <c r="A46" s="39" t="s">
        <v>2806</v>
      </c>
      <c r="B46" s="37"/>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1311</v>
      </c>
      <c r="Q46" s="13"/>
      <c r="R46" s="13"/>
      <c r="S46" s="13"/>
    </row>
    <row r="47" spans="1:19" s="47" customFormat="1" x14ac:dyDescent="0.4">
      <c r="A47" s="39" t="s">
        <v>1548</v>
      </c>
      <c r="B47" s="37" t="s">
        <v>1549</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1650</v>
      </c>
      <c r="Q47" s="13"/>
      <c r="R47" s="13"/>
      <c r="S47" s="13"/>
    </row>
    <row r="48" spans="1:19" s="47" customFormat="1" x14ac:dyDescent="0.4">
      <c r="A48" s="39" t="s">
        <v>1550</v>
      </c>
      <c r="B48" s="37" t="s">
        <v>1551</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1651</v>
      </c>
      <c r="Q48" s="13"/>
      <c r="R48" s="13"/>
      <c r="S48" s="13"/>
    </row>
    <row r="49" spans="1:19" s="47" customFormat="1" x14ac:dyDescent="0.4">
      <c r="A49" s="39" t="s">
        <v>1552</v>
      </c>
      <c r="B49" s="37" t="s">
        <v>1553</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1652</v>
      </c>
      <c r="Q49" s="13"/>
      <c r="R49" s="13"/>
      <c r="S49" s="13"/>
    </row>
    <row r="50" spans="1:19" s="47" customFormat="1" x14ac:dyDescent="0.4">
      <c r="A50" s="39" t="s">
        <v>1554</v>
      </c>
      <c r="B50" s="37" t="s">
        <v>1555</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1653</v>
      </c>
      <c r="Q50" s="13"/>
      <c r="R50" s="13"/>
      <c r="S50" s="13"/>
    </row>
    <row r="51" spans="1:19" s="47" customFormat="1" x14ac:dyDescent="0.4">
      <c r="A51" s="39" t="s">
        <v>1556</v>
      </c>
      <c r="B51" s="37" t="s">
        <v>1557</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1654</v>
      </c>
      <c r="Q51" s="13"/>
      <c r="R51" s="13"/>
      <c r="S51" s="13"/>
    </row>
    <row r="52" spans="1:19" s="47" customFormat="1" x14ac:dyDescent="0.4">
      <c r="A52" s="39" t="s">
        <v>1558</v>
      </c>
      <c r="B52" s="37" t="s">
        <v>1559</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1655</v>
      </c>
      <c r="Q52" s="13"/>
      <c r="R52" s="13"/>
      <c r="S52" s="13"/>
    </row>
    <row r="53" spans="1:19" s="47" customFormat="1" x14ac:dyDescent="0.4">
      <c r="A53" s="39" t="s">
        <v>1560</v>
      </c>
      <c r="B53" s="37" t="s">
        <v>1561</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1656</v>
      </c>
      <c r="Q53" s="13"/>
      <c r="R53" s="13"/>
      <c r="S53" s="13"/>
    </row>
    <row r="54" spans="1:19" s="47" customFormat="1" x14ac:dyDescent="0.4">
      <c r="A54" s="39" t="s">
        <v>1562</v>
      </c>
      <c r="B54" s="37" t="s">
        <v>1563</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1657</v>
      </c>
      <c r="Q54" s="13"/>
      <c r="R54" s="13"/>
      <c r="S54" s="13"/>
    </row>
    <row r="55" spans="1:19" s="47" customFormat="1" x14ac:dyDescent="0.4">
      <c r="A55" s="39" t="s">
        <v>1564</v>
      </c>
      <c r="B55" s="37" t="s">
        <v>1565</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1658</v>
      </c>
      <c r="Q55" s="13"/>
      <c r="R55" s="13"/>
      <c r="S55" s="13"/>
    </row>
    <row r="56" spans="1:19" s="47" customFormat="1" x14ac:dyDescent="0.4">
      <c r="A56" s="39" t="s">
        <v>1566</v>
      </c>
      <c r="B56" s="37" t="s">
        <v>1567</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1659</v>
      </c>
      <c r="Q56" s="13"/>
      <c r="R56" s="13"/>
      <c r="S56" s="13"/>
    </row>
    <row r="57" spans="1:19" s="47" customFormat="1" ht="42.75" x14ac:dyDescent="0.4">
      <c r="A57" s="39" t="s">
        <v>1568</v>
      </c>
      <c r="B57" s="37"/>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1312</v>
      </c>
      <c r="Q57" s="13"/>
      <c r="R57" s="13"/>
      <c r="S57" s="13"/>
    </row>
    <row r="58" spans="1:19" s="47" customFormat="1" x14ac:dyDescent="0.4">
      <c r="A58" s="39" t="s">
        <v>1569</v>
      </c>
      <c r="B58" s="37" t="s">
        <v>1570</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1660</v>
      </c>
      <c r="Q58" s="13"/>
      <c r="R58" s="13"/>
      <c r="S58" s="13"/>
    </row>
    <row r="59" spans="1:19" s="47" customFormat="1" x14ac:dyDescent="0.4">
      <c r="A59" s="39" t="s">
        <v>1571</v>
      </c>
      <c r="B59" s="37" t="s">
        <v>1572</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1661</v>
      </c>
      <c r="Q59" s="13"/>
      <c r="R59" s="13"/>
      <c r="S59" s="13"/>
    </row>
    <row r="60" spans="1:19" s="47" customFormat="1" x14ac:dyDescent="0.4">
      <c r="A60" s="39" t="s">
        <v>1573</v>
      </c>
      <c r="B60" s="37" t="s">
        <v>1574</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1662</v>
      </c>
      <c r="Q60" s="13"/>
      <c r="R60" s="13"/>
      <c r="S60" s="13"/>
    </row>
    <row r="61" spans="1:19" s="47" customFormat="1" x14ac:dyDescent="0.4">
      <c r="A61" s="39" t="s">
        <v>1575</v>
      </c>
      <c r="B61" s="37" t="s">
        <v>1576</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1663</v>
      </c>
      <c r="Q61" s="13"/>
      <c r="R61" s="13"/>
      <c r="S61" s="13"/>
    </row>
    <row r="62" spans="1:19" s="47" customFormat="1" x14ac:dyDescent="0.4">
      <c r="A62" s="39" t="s">
        <v>1577</v>
      </c>
      <c r="B62" s="37" t="s">
        <v>1578</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1664</v>
      </c>
      <c r="Q62" s="13"/>
      <c r="R62" s="13"/>
      <c r="S62" s="13"/>
    </row>
    <row r="63" spans="1:19" s="47" customFormat="1" x14ac:dyDescent="0.4">
      <c r="A63" s="39" t="s">
        <v>1579</v>
      </c>
      <c r="B63" s="37" t="s">
        <v>1580</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1665</v>
      </c>
      <c r="Q63" s="13"/>
      <c r="R63" s="13"/>
      <c r="S63" s="13"/>
    </row>
    <row r="64" spans="1:19" s="47" customFormat="1" ht="42.75" x14ac:dyDescent="0.4">
      <c r="A64" s="39" t="s">
        <v>1581</v>
      </c>
      <c r="B64" s="37" t="s">
        <v>2807</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v>9</v>
      </c>
      <c r="Q64" s="13"/>
      <c r="R64" s="13"/>
      <c r="S64" s="13"/>
    </row>
    <row r="65" spans="1:19" s="47" customFormat="1" x14ac:dyDescent="0.4">
      <c r="A65" s="39" t="s">
        <v>1582</v>
      </c>
      <c r="B65" s="37"/>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v>10</v>
      </c>
      <c r="Q65" s="13"/>
      <c r="R65" s="13"/>
      <c r="S65" s="13"/>
    </row>
    <row r="66" spans="1:19" s="47" customFormat="1" ht="28.5" x14ac:dyDescent="0.4">
      <c r="A66" s="39" t="s">
        <v>2808</v>
      </c>
      <c r="B66" s="37" t="s">
        <v>1583</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626</v>
      </c>
      <c r="Q66" s="13"/>
      <c r="R66" s="13"/>
      <c r="S66" s="13"/>
    </row>
    <row r="67" spans="1:19" s="47" customFormat="1" ht="28.5" x14ac:dyDescent="0.4">
      <c r="A67" s="39" t="s">
        <v>1584</v>
      </c>
      <c r="B67" s="37" t="s">
        <v>2809</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627</v>
      </c>
      <c r="Q67" s="13"/>
      <c r="R67" s="13"/>
      <c r="S67" s="13"/>
    </row>
    <row r="68" spans="1:19" s="47" customFormat="1" ht="28.5" x14ac:dyDescent="0.4">
      <c r="A68" s="39" t="s">
        <v>1585</v>
      </c>
      <c r="B68" s="37" t="s">
        <v>1586</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v>11</v>
      </c>
      <c r="Q68" s="13"/>
      <c r="R68" s="13"/>
      <c r="S68" s="13"/>
    </row>
    <row r="69" spans="1:19" s="47" customFormat="1" ht="28.5" x14ac:dyDescent="0.4">
      <c r="A69" s="39" t="s">
        <v>1587</v>
      </c>
      <c r="B69" s="37" t="s">
        <v>1588</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v>12</v>
      </c>
      <c r="Q69" s="13"/>
      <c r="R69" s="13"/>
      <c r="S69" s="13"/>
    </row>
    <row r="70" spans="1:19" s="47" customFormat="1" x14ac:dyDescent="0.4">
      <c r="A70" s="39" t="s">
        <v>1589</v>
      </c>
      <c r="B70" s="37"/>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v>13</v>
      </c>
      <c r="Q70" s="13"/>
      <c r="R70" s="13"/>
      <c r="S70" s="13"/>
    </row>
    <row r="71" spans="1:19" s="47" customFormat="1" x14ac:dyDescent="0.4">
      <c r="A71" s="39" t="s">
        <v>1590</v>
      </c>
      <c r="B71" s="37"/>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628</v>
      </c>
      <c r="Q71" s="13"/>
      <c r="R71" s="13"/>
      <c r="S71" s="13"/>
    </row>
    <row r="72" spans="1:19" s="47" customFormat="1" x14ac:dyDescent="0.4">
      <c r="A72" s="39" t="s">
        <v>2810</v>
      </c>
      <c r="B72" s="37"/>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629</v>
      </c>
      <c r="Q72" s="13"/>
      <c r="R72" s="13"/>
      <c r="S72" s="13"/>
    </row>
    <row r="73" spans="1:19" s="47" customFormat="1" x14ac:dyDescent="0.4">
      <c r="A73" s="39" t="s">
        <v>352</v>
      </c>
      <c r="B73" s="37"/>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1666</v>
      </c>
      <c r="Q73" s="13"/>
      <c r="R73" s="13"/>
      <c r="S73" s="13"/>
    </row>
    <row r="74" spans="1:19" s="47" customFormat="1" x14ac:dyDescent="0.4">
      <c r="A74" s="39" t="s">
        <v>353</v>
      </c>
      <c r="B74" s="37" t="s">
        <v>1591</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1667</v>
      </c>
      <c r="Q74" s="13"/>
      <c r="R74" s="13"/>
      <c r="S74" s="13"/>
    </row>
    <row r="75" spans="1:19" s="47" customFormat="1" x14ac:dyDescent="0.4">
      <c r="A75" s="39" t="s">
        <v>354</v>
      </c>
      <c r="B75" s="37" t="s">
        <v>1592</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1668</v>
      </c>
      <c r="Q75" s="13"/>
      <c r="R75" s="13"/>
      <c r="S75" s="13"/>
    </row>
    <row r="76" spans="1:19" s="47" customFormat="1" x14ac:dyDescent="0.4">
      <c r="A76" s="39" t="s">
        <v>357</v>
      </c>
      <c r="B76" s="37" t="s">
        <v>1593</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1669</v>
      </c>
      <c r="Q76" s="13"/>
      <c r="R76" s="13"/>
      <c r="S76" s="13"/>
    </row>
    <row r="77" spans="1:19" s="47" customFormat="1" x14ac:dyDescent="0.4">
      <c r="A77" s="39" t="s">
        <v>360</v>
      </c>
      <c r="B77" s="37"/>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1670</v>
      </c>
      <c r="Q77" s="13"/>
      <c r="R77" s="13"/>
      <c r="S77" s="13"/>
    </row>
    <row r="78" spans="1:19" s="47" customFormat="1" ht="28.5" x14ac:dyDescent="0.4">
      <c r="A78" s="39" t="s">
        <v>434</v>
      </c>
      <c r="B78" s="37" t="s">
        <v>1594</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1671</v>
      </c>
      <c r="Q78" s="13"/>
      <c r="R78" s="13"/>
      <c r="S78" s="13"/>
    </row>
    <row r="79" spans="1:19" s="47" customFormat="1" x14ac:dyDescent="0.4">
      <c r="A79" s="39" t="s">
        <v>364</v>
      </c>
      <c r="B79" s="37"/>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1672</v>
      </c>
      <c r="Q79" s="13"/>
      <c r="R79" s="13"/>
      <c r="S79" s="13"/>
    </row>
    <row r="80" spans="1:19" s="47" customFormat="1" x14ac:dyDescent="0.4">
      <c r="A80" s="39" t="s">
        <v>366</v>
      </c>
      <c r="B80" s="37" t="s">
        <v>1595</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1673</v>
      </c>
      <c r="Q80" s="13"/>
      <c r="R80" s="13"/>
      <c r="S80" s="13"/>
    </row>
    <row r="81" spans="1:19" s="47" customFormat="1" x14ac:dyDescent="0.4">
      <c r="A81" s="39" t="s">
        <v>370</v>
      </c>
      <c r="B81" s="37" t="s">
        <v>1596</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1674</v>
      </c>
      <c r="Q81" s="13"/>
      <c r="R81" s="13"/>
      <c r="S81" s="13"/>
    </row>
    <row r="82" spans="1:19" s="47" customFormat="1" x14ac:dyDescent="0.4">
      <c r="A82" s="39" t="s">
        <v>374</v>
      </c>
      <c r="B82" s="37" t="s">
        <v>1597</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1675</v>
      </c>
      <c r="Q82" s="13"/>
      <c r="R82" s="13"/>
      <c r="S82" s="13"/>
    </row>
    <row r="83" spans="1:19" s="47" customFormat="1" x14ac:dyDescent="0.4">
      <c r="A83" s="39" t="s">
        <v>377</v>
      </c>
      <c r="B83" s="37"/>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1676</v>
      </c>
      <c r="Q83" s="13"/>
      <c r="R83" s="13"/>
      <c r="S83" s="13"/>
    </row>
    <row r="84" spans="1:19" s="47" customFormat="1" x14ac:dyDescent="0.4">
      <c r="A84" s="39" t="s">
        <v>378</v>
      </c>
      <c r="B84" s="37" t="s">
        <v>1598</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1677</v>
      </c>
      <c r="Q84" s="13"/>
      <c r="R84" s="13"/>
      <c r="S84" s="13"/>
    </row>
    <row r="85" spans="1:19" s="47" customFormat="1" x14ac:dyDescent="0.4">
      <c r="A85" s="39" t="s">
        <v>382</v>
      </c>
      <c r="B85" s="37" t="s">
        <v>1599</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1678</v>
      </c>
      <c r="Q85" s="13"/>
      <c r="R85" s="13"/>
      <c r="S85" s="13"/>
    </row>
    <row r="86" spans="1:19" s="47" customFormat="1" x14ac:dyDescent="0.4">
      <c r="A86" s="39" t="s">
        <v>2811</v>
      </c>
      <c r="B86" s="37" t="s">
        <v>2812</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630</v>
      </c>
      <c r="Q86" s="13"/>
      <c r="R86" s="13"/>
      <c r="S86" s="13"/>
    </row>
    <row r="87" spans="1:19" s="47" customFormat="1" x14ac:dyDescent="0.4">
      <c r="A87" s="39" t="s">
        <v>1601</v>
      </c>
      <c r="B87" s="37" t="s">
        <v>2813</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1679</v>
      </c>
      <c r="Q87" s="13"/>
      <c r="R87" s="13"/>
      <c r="S87" s="13"/>
    </row>
    <row r="88" spans="1:19" s="47" customFormat="1" x14ac:dyDescent="0.4">
      <c r="A88" s="39" t="s">
        <v>1213</v>
      </c>
      <c r="B88" s="37"/>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1680</v>
      </c>
      <c r="Q88" s="13"/>
      <c r="R88" s="13"/>
      <c r="S88" s="13"/>
    </row>
    <row r="89" spans="1:19" s="47" customFormat="1" x14ac:dyDescent="0.4">
      <c r="A89" s="39" t="s">
        <v>41</v>
      </c>
      <c r="B89" s="37" t="s">
        <v>2814</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1681</v>
      </c>
      <c r="Q89" s="13"/>
      <c r="R89" s="13"/>
      <c r="S89" s="13"/>
    </row>
    <row r="90" spans="1:19" s="47" customFormat="1" x14ac:dyDescent="0.4">
      <c r="A90" s="39" t="s">
        <v>393</v>
      </c>
      <c r="B90" s="37" t="s">
        <v>2815</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1682</v>
      </c>
      <c r="Q90" s="13"/>
      <c r="R90" s="13"/>
      <c r="S90" s="13"/>
    </row>
    <row r="91" spans="1:19" s="47" customFormat="1" ht="28.5" x14ac:dyDescent="0.4">
      <c r="A91" s="39" t="s">
        <v>435</v>
      </c>
      <c r="B91" s="37" t="s">
        <v>2816</v>
      </c>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1683</v>
      </c>
      <c r="Q91" s="13"/>
      <c r="R91" s="13"/>
      <c r="S91" s="13"/>
    </row>
    <row r="92" spans="1:19" s="47" customFormat="1" x14ac:dyDescent="0.4">
      <c r="A92" s="39" t="s">
        <v>1602</v>
      </c>
      <c r="B92" s="37" t="s">
        <v>2817</v>
      </c>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1684</v>
      </c>
      <c r="Q92" s="13"/>
      <c r="R92" s="13"/>
      <c r="S92" s="13"/>
    </row>
    <row r="93" spans="1:19" s="47" customFormat="1" x14ac:dyDescent="0.4">
      <c r="A93" s="39" t="s">
        <v>1603</v>
      </c>
      <c r="B93" s="37" t="s">
        <v>2818</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1685</v>
      </c>
      <c r="Q93" s="13"/>
      <c r="R93" s="13"/>
      <c r="S93" s="13"/>
    </row>
    <row r="94" spans="1:19" s="47" customFormat="1" x14ac:dyDescent="0.4">
      <c r="A94" s="39" t="s">
        <v>1604</v>
      </c>
      <c r="B94" s="37" t="s">
        <v>2819</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1686</v>
      </c>
      <c r="Q94" s="13"/>
      <c r="R94" s="13"/>
      <c r="S94" s="13"/>
    </row>
    <row r="95" spans="1:19" s="47" customFormat="1" x14ac:dyDescent="0.4">
      <c r="A95" s="39" t="s">
        <v>1605</v>
      </c>
      <c r="B95" s="37" t="s">
        <v>2820</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1687</v>
      </c>
      <c r="Q95" s="13"/>
      <c r="R95" s="13"/>
      <c r="S95" s="13"/>
    </row>
    <row r="96" spans="1:19" s="47" customFormat="1" x14ac:dyDescent="0.4">
      <c r="A96" s="39" t="s">
        <v>1606</v>
      </c>
      <c r="B96" s="37" t="s">
        <v>2821</v>
      </c>
      <c r="C96" s="38" t="str">
        <f>IFERROR([1]!IntrinioBankFinancials(rssd_id,$S$2,C$5,C$4,$B96,"K"),"")</f>
        <v/>
      </c>
      <c r="D96" s="38" t="str">
        <f>IFERROR([1]!IntrinioBankFinancials(rssd_id,$S$2,D$5,D$4,$B96,"K"),"")</f>
        <v/>
      </c>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t="s">
        <v>1688</v>
      </c>
      <c r="Q96" s="13"/>
      <c r="R96" s="13"/>
      <c r="S96" s="13"/>
    </row>
    <row r="97" spans="1:16" x14ac:dyDescent="0.4">
      <c r="A97" s="39" t="s">
        <v>2822</v>
      </c>
      <c r="B97" s="37" t="s">
        <v>2823</v>
      </c>
      <c r="C97" s="38" t="str">
        <f>IFERROR([1]!IntrinioBankFinancials(rssd_id,$S$2,C$5,C$4,$B97,"K"),"")</f>
        <v/>
      </c>
      <c r="D97" s="38" t="str">
        <f>IFERROR([1]!IntrinioBankFinancials(rssd_id,$S$2,D$5,D$4,$B97,"K"),"")</f>
        <v/>
      </c>
      <c r="E97" s="38" t="str">
        <f>IFERROR([1]!IntrinioBankFinancials(rssd_id,$S$2,E$5,E$4,$B97,"K"),"")</f>
        <v/>
      </c>
      <c r="F97" s="38" t="str">
        <f>IFERROR([1]!IntrinioBankFinancials(rssd_id,$S$2,F$5,F$4,$B97,"K"),"")</f>
        <v/>
      </c>
      <c r="G97" s="38" t="str">
        <f>IFERROR([1]!IntrinioBankFinancials(rssd_id,$S$2,G$5,G$4,$B97,"K"),"")</f>
        <v/>
      </c>
      <c r="H97" s="38" t="str">
        <f>IFERROR([1]!IntrinioBankFinancials(rssd_id,$S$2,H$5,H$4,$B97,"K"),"")</f>
        <v/>
      </c>
      <c r="I97" s="38" t="str">
        <f>IFERROR([1]!IntrinioBankFinancials(rssd_id,$S$2,I$5,I$4,$B97,"K"),"")</f>
        <v/>
      </c>
      <c r="J97" s="38" t="str">
        <f>IFERROR([1]!IntrinioBankFinancials(rssd_id,$S$2,J$5,J$4,$B97,"K"),"")</f>
        <v/>
      </c>
      <c r="K97" s="38" t="str">
        <f>IFERROR([1]!IntrinioBankFinancials(rssd_id,$S$2,K$5,K$4,$B97,"K"),"")</f>
        <v/>
      </c>
      <c r="L97" s="38" t="str">
        <f>IFERROR([1]!IntrinioBankFinancials(rssd_id,$S$2,L$5,L$4,$B97,"K"),"")</f>
        <v/>
      </c>
      <c r="M97" s="38" t="str">
        <f>IFERROR([1]!IntrinioBankFinancials(rssd_id,$S$2,M$5,M$4,$B97,"K"),"")</f>
        <v/>
      </c>
      <c r="N97" s="38" t="str">
        <f>IFERROR([1]!IntrinioBankFinancials(rssd_id,$S$2,N$5,N$4,$B97,"K"),"")</f>
        <v/>
      </c>
      <c r="O97" s="38" t="str">
        <f>IFERROR([1]!IntrinioBankFinancials(rssd_id,$S$2,O$5,O$4,$B97,"K"),"")</f>
        <v/>
      </c>
      <c r="P97" s="49" t="s">
        <v>2843</v>
      </c>
    </row>
    <row r="98" spans="1:16" x14ac:dyDescent="0.4">
      <c r="A98" s="39" t="s">
        <v>1607</v>
      </c>
      <c r="B98" s="37"/>
      <c r="C98" s="38" t="str">
        <f>IFERROR([1]!IntrinioBankFinancials(rssd_id,$S$2,C$5,C$4,$B98,"K"),"")</f>
        <v/>
      </c>
      <c r="D98" s="38" t="str">
        <f>IFERROR([1]!IntrinioBankFinancials(rssd_id,$S$2,D$5,D$4,$B98,"K"),"")</f>
        <v/>
      </c>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631</v>
      </c>
    </row>
    <row r="99" spans="1:16" x14ac:dyDescent="0.4">
      <c r="A99" s="39" t="s">
        <v>2824</v>
      </c>
      <c r="B99" s="37" t="s">
        <v>1608</v>
      </c>
      <c r="C99" s="38" t="str">
        <f>IFERROR([1]!IntrinioBankFinancials(rssd_id,$S$2,C$5,C$4,$B99,"K"),"")</f>
        <v/>
      </c>
      <c r="D99" s="38" t="str">
        <f>IFERROR([1]!IntrinioBankFinancials(rssd_id,$S$2,D$5,D$4,$B99,"K"),"")</f>
        <v/>
      </c>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1689</v>
      </c>
    </row>
    <row r="100" spans="1:16" x14ac:dyDescent="0.4">
      <c r="A100" s="39" t="s">
        <v>2825</v>
      </c>
      <c r="B100" s="37" t="s">
        <v>1609</v>
      </c>
      <c r="C100" s="38" t="str">
        <f>IFERROR([1]!IntrinioBankFinancials(rssd_id,$S$2,C$5,C$4,$B100,"K"),"")</f>
        <v/>
      </c>
      <c r="D100" s="38" t="str">
        <f>IFERROR([1]!IntrinioBankFinancials(rssd_id,$S$2,D$5,D$4,$B100,"K"),"")</f>
        <v/>
      </c>
      <c r="E100" s="38" t="str">
        <f>IFERROR([1]!IntrinioBankFinancials(rssd_id,$S$2,E$5,E$4,$B100,"K"),"")</f>
        <v/>
      </c>
      <c r="F100" s="38" t="str">
        <f>IFERROR([1]!IntrinioBankFinancials(rssd_id,$S$2,F$5,F$4,$B100,"K"),"")</f>
        <v/>
      </c>
      <c r="G100" s="38" t="str">
        <f>IFERROR([1]!IntrinioBankFinancials(rssd_id,$S$2,G$5,G$4,$B100,"K"),"")</f>
        <v/>
      </c>
      <c r="H100" s="38" t="str">
        <f>IFERROR([1]!IntrinioBankFinancials(rssd_id,$S$2,H$5,H$4,$B100,"K"),"")</f>
        <v/>
      </c>
      <c r="I100" s="38" t="str">
        <f>IFERROR([1]!IntrinioBankFinancials(rssd_id,$S$2,I$5,I$4,$B100,"K"),"")</f>
        <v/>
      </c>
      <c r="J100" s="38" t="str">
        <f>IFERROR([1]!IntrinioBankFinancials(rssd_id,$S$2,J$5,J$4,$B100,"K"),"")</f>
        <v/>
      </c>
      <c r="K100" s="38" t="str">
        <f>IFERROR([1]!IntrinioBankFinancials(rssd_id,$S$2,K$5,K$4,$B100,"K"),"")</f>
        <v/>
      </c>
      <c r="L100" s="38" t="str">
        <f>IFERROR([1]!IntrinioBankFinancials(rssd_id,$S$2,L$5,L$4,$B100,"K"),"")</f>
        <v/>
      </c>
      <c r="M100" s="38" t="str">
        <f>IFERROR([1]!IntrinioBankFinancials(rssd_id,$S$2,M$5,M$4,$B100,"K"),"")</f>
        <v/>
      </c>
      <c r="N100" s="38" t="str">
        <f>IFERROR([1]!IntrinioBankFinancials(rssd_id,$S$2,N$5,N$4,$B100,"K"),"")</f>
        <v/>
      </c>
      <c r="O100" s="38" t="str">
        <f>IFERROR([1]!IntrinioBankFinancials(rssd_id,$S$2,O$5,O$4,$B100,"K"),"")</f>
        <v/>
      </c>
      <c r="P100" s="49" t="s">
        <v>1690</v>
      </c>
    </row>
    <row r="101" spans="1:16" x14ac:dyDescent="0.4">
      <c r="A101" s="39" t="s">
        <v>2826</v>
      </c>
      <c r="B101" s="37" t="s">
        <v>1610</v>
      </c>
      <c r="C101" s="38" t="str">
        <f>IFERROR([1]!IntrinioBankFinancials(rssd_id,$S$2,C$5,C$4,$B101,"K"),"")</f>
        <v/>
      </c>
      <c r="D101" s="38" t="str">
        <f>IFERROR([1]!IntrinioBankFinancials(rssd_id,$S$2,D$5,D$4,$B101,"K"),"")</f>
        <v/>
      </c>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1691</v>
      </c>
    </row>
    <row r="102" spans="1:16" x14ac:dyDescent="0.4">
      <c r="A102" s="39" t="s">
        <v>2827</v>
      </c>
      <c r="B102" s="37" t="s">
        <v>1611</v>
      </c>
      <c r="C102" s="38" t="str">
        <f>IFERROR([1]!IntrinioBankFinancials(rssd_id,$S$2,C$5,C$4,$B102,"K"),"")</f>
        <v/>
      </c>
      <c r="D102" s="38" t="str">
        <f>IFERROR([1]!IntrinioBankFinancials(rssd_id,$S$2,D$5,D$4,$B102,"K"),"")</f>
        <v/>
      </c>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t="s">
        <v>1692</v>
      </c>
    </row>
    <row r="103" spans="1:16" x14ac:dyDescent="0.4">
      <c r="A103" s="39" t="s">
        <v>2828</v>
      </c>
      <c r="B103" s="37" t="s">
        <v>1612</v>
      </c>
      <c r="C103" s="38" t="str">
        <f>IFERROR([1]!IntrinioBankFinancials(rssd_id,$S$2,C$5,C$4,$B103,"K"),"")</f>
        <v/>
      </c>
      <c r="D103" s="38" t="str">
        <f>IFERROR([1]!IntrinioBankFinancials(rssd_id,$S$2,D$5,D$4,$B103,"K"),"")</f>
        <v/>
      </c>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1693</v>
      </c>
    </row>
    <row r="104" spans="1:16" x14ac:dyDescent="0.4">
      <c r="A104" s="39" t="s">
        <v>2829</v>
      </c>
      <c r="B104" s="37" t="s">
        <v>2830</v>
      </c>
      <c r="C104" s="38" t="str">
        <f>IFERROR([1]!IntrinioBankFinancials(rssd_id,$S$2,C$5,C$4,$B104,"K"),"")</f>
        <v/>
      </c>
      <c r="D104" s="38" t="str">
        <f>IFERROR([1]!IntrinioBankFinancials(rssd_id,$S$2,D$5,D$4,$B104,"K"),"")</f>
        <v/>
      </c>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1694</v>
      </c>
    </row>
    <row r="105" spans="1:16" ht="28.5" x14ac:dyDescent="0.4">
      <c r="A105" s="39" t="s">
        <v>2831</v>
      </c>
      <c r="B105" s="37" t="s">
        <v>2832</v>
      </c>
      <c r="C105" s="38" t="str">
        <f>IFERROR([1]!IntrinioBankFinancials(rssd_id,$S$2,C$5,C$4,$B105,"K"),"")</f>
        <v/>
      </c>
      <c r="D105" s="38" t="str">
        <f>IFERROR([1]!IntrinioBankFinancials(rssd_id,$S$2,D$5,D$4,$B105,"K"),"")</f>
        <v/>
      </c>
      <c r="E105" s="38" t="str">
        <f>IFERROR([1]!IntrinioBankFinancials(rssd_id,$S$2,E$5,E$4,$B105,"K"),"")</f>
        <v/>
      </c>
      <c r="F105" s="38" t="str">
        <f>IFERROR([1]!IntrinioBankFinancials(rssd_id,$S$2,F$5,F$4,$B105,"K"),"")</f>
        <v/>
      </c>
      <c r="G105" s="38" t="str">
        <f>IFERROR([1]!IntrinioBankFinancials(rssd_id,$S$2,G$5,G$4,$B105,"K"),"")</f>
        <v/>
      </c>
      <c r="H105" s="38" t="str">
        <f>IFERROR([1]!IntrinioBankFinancials(rssd_id,$S$2,H$5,H$4,$B105,"K"),"")</f>
        <v/>
      </c>
      <c r="I105" s="38" t="str">
        <f>IFERROR([1]!IntrinioBankFinancials(rssd_id,$S$2,I$5,I$4,$B105,"K"),"")</f>
        <v/>
      </c>
      <c r="J105" s="38" t="str">
        <f>IFERROR([1]!IntrinioBankFinancials(rssd_id,$S$2,J$5,J$4,$B105,"K"),"")</f>
        <v/>
      </c>
      <c r="K105" s="38" t="str">
        <f>IFERROR([1]!IntrinioBankFinancials(rssd_id,$S$2,K$5,K$4,$B105,"K"),"")</f>
        <v/>
      </c>
      <c r="L105" s="38" t="str">
        <f>IFERROR([1]!IntrinioBankFinancials(rssd_id,$S$2,L$5,L$4,$B105,"K"),"")</f>
        <v/>
      </c>
      <c r="M105" s="38" t="str">
        <f>IFERROR([1]!IntrinioBankFinancials(rssd_id,$S$2,M$5,M$4,$B105,"K"),"")</f>
        <v/>
      </c>
      <c r="N105" s="38" t="str">
        <f>IFERROR([1]!IntrinioBankFinancials(rssd_id,$S$2,N$5,N$4,$B105,"K"),"")</f>
        <v/>
      </c>
      <c r="O105" s="38" t="str">
        <f>IFERROR([1]!IntrinioBankFinancials(rssd_id,$S$2,O$5,O$4,$B105,"K"),"")</f>
        <v/>
      </c>
      <c r="P105" s="49" t="s">
        <v>1695</v>
      </c>
    </row>
    <row r="106" spans="1:16" x14ac:dyDescent="0.4">
      <c r="A106" s="39" t="s">
        <v>1613</v>
      </c>
      <c r="B106" s="37" t="s">
        <v>2833</v>
      </c>
      <c r="C106" s="38" t="str">
        <f>IFERROR([1]!IntrinioBankFinancials(rssd_id,$S$2,C$5,C$4,$B106,"K"),"")</f>
        <v/>
      </c>
      <c r="D106" s="38" t="str">
        <f>IFERROR([1]!IntrinioBankFinancials(rssd_id,$S$2,D$5,D$4,$B106,"K"),"")</f>
        <v/>
      </c>
      <c r="E106" s="38" t="str">
        <f>IFERROR([1]!IntrinioBankFinancials(rssd_id,$S$2,E$5,E$4,$B106,"K"),"")</f>
        <v/>
      </c>
      <c r="F106" s="38" t="str">
        <f>IFERROR([1]!IntrinioBankFinancials(rssd_id,$S$2,F$5,F$4,$B106,"K"),"")</f>
        <v/>
      </c>
      <c r="G106" s="38" t="str">
        <f>IFERROR([1]!IntrinioBankFinancials(rssd_id,$S$2,G$5,G$4,$B106,"K"),"")</f>
        <v/>
      </c>
      <c r="H106" s="38" t="str">
        <f>IFERROR([1]!IntrinioBankFinancials(rssd_id,$S$2,H$5,H$4,$B106,"K"),"")</f>
        <v/>
      </c>
      <c r="I106" s="38" t="str">
        <f>IFERROR([1]!IntrinioBankFinancials(rssd_id,$S$2,I$5,I$4,$B106,"K"),"")</f>
        <v/>
      </c>
      <c r="J106" s="38" t="str">
        <f>IFERROR([1]!IntrinioBankFinancials(rssd_id,$S$2,J$5,J$4,$B106,"K"),"")</f>
        <v/>
      </c>
      <c r="K106" s="38" t="str">
        <f>IFERROR([1]!IntrinioBankFinancials(rssd_id,$S$2,K$5,K$4,$B106,"K"),"")</f>
        <v/>
      </c>
      <c r="L106" s="38" t="str">
        <f>IFERROR([1]!IntrinioBankFinancials(rssd_id,$S$2,L$5,L$4,$B106,"K"),"")</f>
        <v/>
      </c>
      <c r="M106" s="38" t="str">
        <f>IFERROR([1]!IntrinioBankFinancials(rssd_id,$S$2,M$5,M$4,$B106,"K"),"")</f>
        <v/>
      </c>
      <c r="N106" s="38" t="str">
        <f>IFERROR([1]!IntrinioBankFinancials(rssd_id,$S$2,N$5,N$4,$B106,"K"),"")</f>
        <v/>
      </c>
      <c r="O106" s="38" t="str">
        <f>IFERROR([1]!IntrinioBankFinancials(rssd_id,$S$2,O$5,O$4,$B106,"K"),"")</f>
        <v/>
      </c>
      <c r="P106" s="49" t="s">
        <v>1696</v>
      </c>
    </row>
    <row r="107" spans="1:16" x14ac:dyDescent="0.4">
      <c r="A107" s="39" t="s">
        <v>1614</v>
      </c>
      <c r="B107" s="37" t="s">
        <v>2834</v>
      </c>
      <c r="C107" s="38" t="str">
        <f>IFERROR([1]!IntrinioBankFinancials(rssd_id,$S$2,C$5,C$4,$B107,"K"),"")</f>
        <v/>
      </c>
      <c r="D107" s="38" t="str">
        <f>IFERROR([1]!IntrinioBankFinancials(rssd_id,$S$2,D$5,D$4,$B107,"K"),"")</f>
        <v/>
      </c>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t="s">
        <v>1697</v>
      </c>
    </row>
    <row r="108" spans="1:16" x14ac:dyDescent="0.4">
      <c r="A108" s="39" t="s">
        <v>1615</v>
      </c>
      <c r="B108" s="37"/>
      <c r="C108" s="38" t="str">
        <f>IFERROR([1]!IntrinioBankFinancials(rssd_id,$S$2,C$5,C$4,$B108,"K"),"")</f>
        <v/>
      </c>
      <c r="D108" s="38" t="str">
        <f>IFERROR([1]!IntrinioBankFinancials(rssd_id,$S$2,D$5,D$4,$B108,"K"),"")</f>
        <v/>
      </c>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v>14</v>
      </c>
    </row>
    <row r="109" spans="1:16" x14ac:dyDescent="0.4">
      <c r="A109" s="39" t="s">
        <v>1616</v>
      </c>
      <c r="B109" s="37" t="s">
        <v>2835</v>
      </c>
      <c r="C109" s="38" t="str">
        <f>IFERROR([1]!IntrinioBankFinancials(rssd_id,$S$2,C$5,C$4,$B109,"K"),"")</f>
        <v/>
      </c>
      <c r="D109" s="38" t="str">
        <f>IFERROR([1]!IntrinioBankFinancials(rssd_id,$S$2,D$5,D$4,$B109,"K"),"")</f>
        <v/>
      </c>
      <c r="E109" s="38" t="str">
        <f>IFERROR([1]!IntrinioBankFinancials(rssd_id,$S$2,E$5,E$4,$B109,"K"),"")</f>
        <v/>
      </c>
      <c r="F109" s="38" t="str">
        <f>IFERROR([1]!IntrinioBankFinancials(rssd_id,$S$2,F$5,F$4,$B109,"K"),"")</f>
        <v/>
      </c>
      <c r="G109" s="38" t="str">
        <f>IFERROR([1]!IntrinioBankFinancials(rssd_id,$S$2,G$5,G$4,$B109,"K"),"")</f>
        <v/>
      </c>
      <c r="H109" s="38" t="str">
        <f>IFERROR([1]!IntrinioBankFinancials(rssd_id,$S$2,H$5,H$4,$B109,"K"),"")</f>
        <v/>
      </c>
      <c r="I109" s="38" t="str">
        <f>IFERROR([1]!IntrinioBankFinancials(rssd_id,$S$2,I$5,I$4,$B109,"K"),"")</f>
        <v/>
      </c>
      <c r="J109" s="38" t="str">
        <f>IFERROR([1]!IntrinioBankFinancials(rssd_id,$S$2,J$5,J$4,$B109,"K"),"")</f>
        <v/>
      </c>
      <c r="K109" s="38" t="str">
        <f>IFERROR([1]!IntrinioBankFinancials(rssd_id,$S$2,K$5,K$4,$B109,"K"),"")</f>
        <v/>
      </c>
      <c r="L109" s="38" t="str">
        <f>IFERROR([1]!IntrinioBankFinancials(rssd_id,$S$2,L$5,L$4,$B109,"K"),"")</f>
        <v/>
      </c>
      <c r="M109" s="38" t="str">
        <f>IFERROR([1]!IntrinioBankFinancials(rssd_id,$S$2,M$5,M$4,$B109,"K"),"")</f>
        <v/>
      </c>
      <c r="N109" s="38" t="str">
        <f>IFERROR([1]!IntrinioBankFinancials(rssd_id,$S$2,N$5,N$4,$B109,"K"),"")</f>
        <v/>
      </c>
      <c r="O109" s="38" t="str">
        <f>IFERROR([1]!IntrinioBankFinancials(rssd_id,$S$2,O$5,O$4,$B109,"K"),"")</f>
        <v/>
      </c>
      <c r="P109" s="49" t="s">
        <v>632</v>
      </c>
    </row>
    <row r="110" spans="1:16" x14ac:dyDescent="0.4">
      <c r="A110" s="39" t="s">
        <v>1617</v>
      </c>
      <c r="B110" s="37" t="s">
        <v>2836</v>
      </c>
      <c r="C110" s="38" t="str">
        <f>IFERROR([1]!IntrinioBankFinancials(rssd_id,$S$2,C$5,C$4,$B110,"K"),"")</f>
        <v/>
      </c>
      <c r="D110" s="38" t="str">
        <f>IFERROR([1]!IntrinioBankFinancials(rssd_id,$S$2,D$5,D$4,$B110,"K"),"")</f>
        <v/>
      </c>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t="s">
        <v>633</v>
      </c>
    </row>
    <row r="111" spans="1:16" x14ac:dyDescent="0.4">
      <c r="A111" s="39" t="s">
        <v>1618</v>
      </c>
      <c r="B111" s="37"/>
      <c r="C111" s="38" t="str">
        <f>IFERROR([1]!IntrinioBankFinancials(rssd_id,$S$2,C$5,C$4,$B111,"K"),"")</f>
        <v/>
      </c>
      <c r="D111" s="38" t="str">
        <f>IFERROR([1]!IntrinioBankFinancials(rssd_id,$S$2,D$5,D$4,$B111,"K"),"")</f>
        <v/>
      </c>
      <c r="E111" s="38" t="str">
        <f>IFERROR([1]!IntrinioBankFinancials(rssd_id,$S$2,E$5,E$4,$B111,"K"),"")</f>
        <v/>
      </c>
      <c r="F111" s="38" t="str">
        <f>IFERROR([1]!IntrinioBankFinancials(rssd_id,$S$2,F$5,F$4,$B111,"K"),"")</f>
        <v/>
      </c>
      <c r="G111" s="38" t="str">
        <f>IFERROR([1]!IntrinioBankFinancials(rssd_id,$S$2,G$5,G$4,$B111,"K"),"")</f>
        <v/>
      </c>
      <c r="H111" s="38" t="str">
        <f>IFERROR([1]!IntrinioBankFinancials(rssd_id,$S$2,H$5,H$4,$B111,"K"),"")</f>
        <v/>
      </c>
      <c r="I111" s="38" t="str">
        <f>IFERROR([1]!IntrinioBankFinancials(rssd_id,$S$2,I$5,I$4,$B111,"K"),"")</f>
        <v/>
      </c>
      <c r="J111" s="38" t="str">
        <f>IFERROR([1]!IntrinioBankFinancials(rssd_id,$S$2,J$5,J$4,$B111,"K"),"")</f>
        <v/>
      </c>
      <c r="K111" s="38" t="str">
        <f>IFERROR([1]!IntrinioBankFinancials(rssd_id,$S$2,K$5,K$4,$B111,"K"),"")</f>
        <v/>
      </c>
      <c r="L111" s="38" t="str">
        <f>IFERROR([1]!IntrinioBankFinancials(rssd_id,$S$2,L$5,L$4,$B111,"K"),"")</f>
        <v/>
      </c>
      <c r="M111" s="38" t="str">
        <f>IFERROR([1]!IntrinioBankFinancials(rssd_id,$S$2,M$5,M$4,$B111,"K"),"")</f>
        <v/>
      </c>
      <c r="N111" s="38" t="str">
        <f>IFERROR([1]!IntrinioBankFinancials(rssd_id,$S$2,N$5,N$4,$B111,"K"),"")</f>
        <v/>
      </c>
      <c r="O111" s="38" t="str">
        <f>IFERROR([1]!IntrinioBankFinancials(rssd_id,$S$2,O$5,O$4,$B111,"K"),"")</f>
        <v/>
      </c>
      <c r="P111" s="49">
        <v>15</v>
      </c>
    </row>
    <row r="112" spans="1:16" ht="57" x14ac:dyDescent="0.4">
      <c r="A112" s="39" t="s">
        <v>2837</v>
      </c>
      <c r="B112" s="37" t="s">
        <v>1619</v>
      </c>
      <c r="C112" s="38" t="str">
        <f>IFERROR([1]!IntrinioBankFinancials(rssd_id,$S$2,C$5,C$4,$B112,"K"),"")</f>
        <v/>
      </c>
      <c r="D112" s="38" t="str">
        <f>IFERROR([1]!IntrinioBankFinancials(rssd_id,$S$2,D$5,D$4,$B112,"K"),"")</f>
        <v/>
      </c>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1509</v>
      </c>
    </row>
    <row r="113" spans="1:16" ht="42.75" x14ac:dyDescent="0.4">
      <c r="A113" s="39" t="s">
        <v>1620</v>
      </c>
      <c r="B113" s="37" t="s">
        <v>1621</v>
      </c>
      <c r="C113" s="38" t="str">
        <f>IFERROR([1]!IntrinioBankFinancials(rssd_id,$S$2,C$5,C$4,$B113,"K"),"")</f>
        <v/>
      </c>
      <c r="D113" s="38" t="str">
        <f>IFERROR([1]!IntrinioBankFinancials(rssd_id,$S$2,D$5,D$4,$B113,"K"),"")</f>
        <v/>
      </c>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t="s">
        <v>1512</v>
      </c>
    </row>
    <row r="114" spans="1:16" x14ac:dyDescent="0.4">
      <c r="A114" s="39" t="s">
        <v>1622</v>
      </c>
      <c r="B114" s="37"/>
      <c r="C114" s="38" t="str">
        <f>IFERROR([1]!IntrinioBankFinancials(rssd_id,$S$2,C$5,C$4,$B114,"K"),"")</f>
        <v/>
      </c>
      <c r="D114" s="38" t="str">
        <f>IFERROR([1]!IntrinioBankFinancials(rssd_id,$S$2,D$5,D$4,$B114,"K"),"")</f>
        <v/>
      </c>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v>16</v>
      </c>
    </row>
    <row r="115" spans="1:16" ht="28.5" x14ac:dyDescent="0.4">
      <c r="A115" s="39" t="s">
        <v>1623</v>
      </c>
      <c r="B115" s="37"/>
      <c r="C115" s="38" t="str">
        <f>IFERROR([1]!IntrinioBankFinancials(rssd_id,$S$2,C$5,C$4,$B115,"K"),"")</f>
        <v/>
      </c>
      <c r="D115" s="38" t="str">
        <f>IFERROR([1]!IntrinioBankFinancials(rssd_id,$S$2,D$5,D$4,$B115,"K"),"")</f>
        <v/>
      </c>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t="s">
        <v>1698</v>
      </c>
    </row>
    <row r="116" spans="1:16" x14ac:dyDescent="0.4">
      <c r="A116" s="39" t="s">
        <v>1624</v>
      </c>
      <c r="B116" s="37" t="s">
        <v>1625</v>
      </c>
      <c r="C116" s="38" t="str">
        <f>IFERROR([1]!IntrinioBankFinancials(rssd_id,$S$2,C$5,C$4,$B116,"K"),"")</f>
        <v/>
      </c>
      <c r="D116" s="38" t="str">
        <f>IFERROR([1]!IntrinioBankFinancials(rssd_id,$S$2,D$5,D$4,$B116,"K"),"")</f>
        <v/>
      </c>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t="s">
        <v>1699</v>
      </c>
    </row>
    <row r="117" spans="1:16" x14ac:dyDescent="0.4">
      <c r="A117" s="39" t="s">
        <v>1626</v>
      </c>
      <c r="B117" s="37" t="s">
        <v>1627</v>
      </c>
      <c r="C117" s="38" t="str">
        <f>IFERROR([1]!IntrinioBankFinancials(rssd_id,$S$2,C$5,C$4,$B117,"K"),"")</f>
        <v/>
      </c>
      <c r="D117" s="38" t="str">
        <f>IFERROR([1]!IntrinioBankFinancials(rssd_id,$S$2,D$5,D$4,$B117,"K"),"")</f>
        <v/>
      </c>
      <c r="E117" s="38" t="str">
        <f>IFERROR([1]!IntrinioBankFinancials(rssd_id,$S$2,E$5,E$4,$B117,"K"),"")</f>
        <v/>
      </c>
      <c r="F117" s="38" t="str">
        <f>IFERROR([1]!IntrinioBankFinancials(rssd_id,$S$2,F$5,F$4,$B117,"K"),"")</f>
        <v/>
      </c>
      <c r="G117" s="38" t="str">
        <f>IFERROR([1]!IntrinioBankFinancials(rssd_id,$S$2,G$5,G$4,$B117,"K"),"")</f>
        <v/>
      </c>
      <c r="H117" s="38" t="str">
        <f>IFERROR([1]!IntrinioBankFinancials(rssd_id,$S$2,H$5,H$4,$B117,"K"),"")</f>
        <v/>
      </c>
      <c r="I117" s="38" t="str">
        <f>IFERROR([1]!IntrinioBankFinancials(rssd_id,$S$2,I$5,I$4,$B117,"K"),"")</f>
        <v/>
      </c>
      <c r="J117" s="38" t="str">
        <f>IFERROR([1]!IntrinioBankFinancials(rssd_id,$S$2,J$5,J$4,$B117,"K"),"")</f>
        <v/>
      </c>
      <c r="K117" s="38" t="str">
        <f>IFERROR([1]!IntrinioBankFinancials(rssd_id,$S$2,K$5,K$4,$B117,"K"),"")</f>
        <v/>
      </c>
      <c r="L117" s="38" t="str">
        <f>IFERROR([1]!IntrinioBankFinancials(rssd_id,$S$2,L$5,L$4,$B117,"K"),"")</f>
        <v/>
      </c>
      <c r="M117" s="38" t="str">
        <f>IFERROR([1]!IntrinioBankFinancials(rssd_id,$S$2,M$5,M$4,$B117,"K"),"")</f>
        <v/>
      </c>
      <c r="N117" s="38" t="str">
        <f>IFERROR([1]!IntrinioBankFinancials(rssd_id,$S$2,N$5,N$4,$B117,"K"),"")</f>
        <v/>
      </c>
      <c r="O117" s="38" t="str">
        <f>IFERROR([1]!IntrinioBankFinancials(rssd_id,$S$2,O$5,O$4,$B117,"K"),"")</f>
        <v/>
      </c>
      <c r="P117" s="49" t="s">
        <v>1700</v>
      </c>
    </row>
    <row r="118" spans="1:16" x14ac:dyDescent="0.4">
      <c r="A118" s="39" t="s">
        <v>1628</v>
      </c>
      <c r="B118" s="37" t="s">
        <v>1629</v>
      </c>
      <c r="C118" s="38" t="str">
        <f>IFERROR([1]!IntrinioBankFinancials(rssd_id,$S$2,C$5,C$4,$B118,"K"),"")</f>
        <v/>
      </c>
      <c r="D118" s="38" t="str">
        <f>IFERROR([1]!IntrinioBankFinancials(rssd_id,$S$2,D$5,D$4,$B118,"K"),"")</f>
        <v/>
      </c>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1701</v>
      </c>
    </row>
    <row r="119" spans="1:16" ht="42.75" x14ac:dyDescent="0.4">
      <c r="A119" s="39" t="s">
        <v>2838</v>
      </c>
      <c r="B119" s="37" t="s">
        <v>1630</v>
      </c>
      <c r="C119" s="38" t="str">
        <f>IFERROR([1]!IntrinioBankFinancials(rssd_id,$S$2,C$5,C$4,$B119,"K"),"")</f>
        <v/>
      </c>
      <c r="D119" s="38" t="str">
        <f>IFERROR([1]!IntrinioBankFinancials(rssd_id,$S$2,D$5,D$4,$B119,"K"),"")</f>
        <v/>
      </c>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1702</v>
      </c>
    </row>
    <row r="120" spans="1:16" ht="42.75" x14ac:dyDescent="0.4">
      <c r="A120" s="39" t="s">
        <v>2839</v>
      </c>
      <c r="B120" s="37" t="s">
        <v>1631</v>
      </c>
      <c r="C120" s="38" t="str">
        <f>IFERROR([1]!IntrinioBankFinancials(rssd_id,$S$2,C$5,C$4,$B120,"K"),"")</f>
        <v/>
      </c>
      <c r="D120" s="38" t="str">
        <f>IFERROR([1]!IntrinioBankFinancials(rssd_id,$S$2,D$5,D$4,$B120,"K"),"")</f>
        <v/>
      </c>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t="s">
        <v>1703</v>
      </c>
    </row>
    <row r="121" spans="1:16" ht="128.25" x14ac:dyDescent="0.4">
      <c r="A121" s="39" t="s">
        <v>2840</v>
      </c>
      <c r="B121" s="37" t="s">
        <v>1632</v>
      </c>
      <c r="C121" s="38" t="str">
        <f>IFERROR([1]!IntrinioBankFinancials(rssd_id,$S$2,C$5,C$4,$B121,"K"),"")</f>
        <v/>
      </c>
      <c r="D121" s="38" t="str">
        <f>IFERROR([1]!IntrinioBankFinancials(rssd_id,$S$2,D$5,D$4,$B121,"K"),"")</f>
        <v/>
      </c>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t="s">
        <v>1704</v>
      </c>
    </row>
    <row r="122" spans="1:16" x14ac:dyDescent="0.4">
      <c r="A122" s="39" t="s">
        <v>1633</v>
      </c>
      <c r="B122" s="37" t="s">
        <v>1634</v>
      </c>
      <c r="C122" s="38" t="str">
        <f>IFERROR([1]!IntrinioBankFinancials(rssd_id,$S$2,C$5,C$4,$B122,"K"),"")</f>
        <v/>
      </c>
      <c r="D122" s="38" t="str">
        <f>IFERROR([1]!IntrinioBankFinancials(rssd_id,$S$2,D$5,D$4,$B122,"K"),"")</f>
        <v/>
      </c>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t="s">
        <v>1705</v>
      </c>
    </row>
    <row r="123" spans="1:16" x14ac:dyDescent="0.4">
      <c r="A123" s="39" t="s">
        <v>1635</v>
      </c>
      <c r="B123" s="37" t="s">
        <v>1636</v>
      </c>
      <c r="C123" s="38" t="str">
        <f>IFERROR([1]!IntrinioBankFinancials(rssd_id,$S$2,C$5,C$4,$B123,"K"),"")</f>
        <v/>
      </c>
      <c r="D123" s="38" t="str">
        <f>IFERROR([1]!IntrinioBankFinancials(rssd_id,$S$2,D$5,D$4,$B123,"K"),"")</f>
        <v/>
      </c>
      <c r="E123" s="38" t="str">
        <f>IFERROR([1]!IntrinioBankFinancials(rssd_id,$S$2,E$5,E$4,$B123,"K"),"")</f>
        <v/>
      </c>
      <c r="F123" s="38" t="str">
        <f>IFERROR([1]!IntrinioBankFinancials(rssd_id,$S$2,F$5,F$4,$B123,"K"),"")</f>
        <v/>
      </c>
      <c r="G123" s="38" t="str">
        <f>IFERROR([1]!IntrinioBankFinancials(rssd_id,$S$2,G$5,G$4,$B123,"K"),"")</f>
        <v/>
      </c>
      <c r="H123" s="38" t="str">
        <f>IFERROR([1]!IntrinioBankFinancials(rssd_id,$S$2,H$5,H$4,$B123,"K"),"")</f>
        <v/>
      </c>
      <c r="I123" s="38" t="str">
        <f>IFERROR([1]!IntrinioBankFinancials(rssd_id,$S$2,I$5,I$4,$B123,"K"),"")</f>
        <v/>
      </c>
      <c r="J123" s="38" t="str">
        <f>IFERROR([1]!IntrinioBankFinancials(rssd_id,$S$2,J$5,J$4,$B123,"K"),"")</f>
        <v/>
      </c>
      <c r="K123" s="38" t="str">
        <f>IFERROR([1]!IntrinioBankFinancials(rssd_id,$S$2,K$5,K$4,$B123,"K"),"")</f>
        <v/>
      </c>
      <c r="L123" s="38" t="str">
        <f>IFERROR([1]!IntrinioBankFinancials(rssd_id,$S$2,L$5,L$4,$B123,"K"),"")</f>
        <v/>
      </c>
      <c r="M123" s="38" t="str">
        <f>IFERROR([1]!IntrinioBankFinancials(rssd_id,$S$2,M$5,M$4,$B123,"K"),"")</f>
        <v/>
      </c>
      <c r="N123" s="38" t="str">
        <f>IFERROR([1]!IntrinioBankFinancials(rssd_id,$S$2,N$5,N$4,$B123,"K"),"")</f>
        <v/>
      </c>
      <c r="O123" s="38" t="str">
        <f>IFERROR([1]!IntrinioBankFinancials(rssd_id,$S$2,O$5,O$4,$B123,"K"),"")</f>
        <v/>
      </c>
      <c r="P123" s="49" t="s">
        <v>1706</v>
      </c>
    </row>
    <row r="124" spans="1:16" ht="28.5" x14ac:dyDescent="0.4">
      <c r="A124" s="39" t="s">
        <v>2841</v>
      </c>
      <c r="B124" s="37" t="s">
        <v>1637</v>
      </c>
      <c r="C124" s="38" t="str">
        <f>IFERROR([1]!IntrinioBankFinancials(rssd_id,$S$2,C$5,C$4,$B124,"K"),"")</f>
        <v/>
      </c>
      <c r="D124" s="38" t="str">
        <f>IFERROR([1]!IntrinioBankFinancials(rssd_id,$S$2,D$5,D$4,$B124,"K"),"")</f>
        <v/>
      </c>
      <c r="E124" s="38" t="str">
        <f>IFERROR([1]!IntrinioBankFinancials(rssd_id,$S$2,E$5,E$4,$B124,"K"),"")</f>
        <v/>
      </c>
      <c r="F124" s="38" t="str">
        <f>IFERROR([1]!IntrinioBankFinancials(rssd_id,$S$2,F$5,F$4,$B124,"K"),"")</f>
        <v/>
      </c>
      <c r="G124" s="38" t="str">
        <f>IFERROR([1]!IntrinioBankFinancials(rssd_id,$S$2,G$5,G$4,$B124,"K"),"")</f>
        <v/>
      </c>
      <c r="H124" s="38" t="str">
        <f>IFERROR([1]!IntrinioBankFinancials(rssd_id,$S$2,H$5,H$4,$B124,"K"),"")</f>
        <v/>
      </c>
      <c r="I124" s="38" t="str">
        <f>IFERROR([1]!IntrinioBankFinancials(rssd_id,$S$2,I$5,I$4,$B124,"K"),"")</f>
        <v/>
      </c>
      <c r="J124" s="38" t="str">
        <f>IFERROR([1]!IntrinioBankFinancials(rssd_id,$S$2,J$5,J$4,$B124,"K"),"")</f>
        <v/>
      </c>
      <c r="K124" s="38" t="str">
        <f>IFERROR([1]!IntrinioBankFinancials(rssd_id,$S$2,K$5,K$4,$B124,"K"),"")</f>
        <v/>
      </c>
      <c r="L124" s="38" t="str">
        <f>IFERROR([1]!IntrinioBankFinancials(rssd_id,$S$2,L$5,L$4,$B124,"K"),"")</f>
        <v/>
      </c>
      <c r="M124" s="38" t="str">
        <f>IFERROR([1]!IntrinioBankFinancials(rssd_id,$S$2,M$5,M$4,$B124,"K"),"")</f>
        <v/>
      </c>
      <c r="N124" s="38" t="str">
        <f>IFERROR([1]!IntrinioBankFinancials(rssd_id,$S$2,N$5,N$4,$B124,"K"),"")</f>
        <v/>
      </c>
      <c r="O124" s="38" t="str">
        <f>IFERROR([1]!IntrinioBankFinancials(rssd_id,$S$2,O$5,O$4,$B124,"K"),"")</f>
        <v/>
      </c>
      <c r="P124" s="49" t="s">
        <v>1707</v>
      </c>
    </row>
  </sheetData>
  <pageMargins left="0.7" right="0.7" top="0.75" bottom="0.75" header="0.3" footer="0.3"/>
  <pageSetup scale="81" fitToHeight="5" orientation="landscape" r:id="rId1"/>
  <headerFooter>
    <oddFooter>&amp;L&amp;G&amp;R&amp;P</oddFooter>
  </headerFooter>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9" tint="0.79998168889431442"/>
    <pageSetUpPr fitToPage="1"/>
  </sheetPr>
  <dimension ref="A1:Q111"/>
  <sheetViews>
    <sheetView view="pageBreakPreview" zoomScaleNormal="100" zoomScaleSheetLayoutView="100" workbookViewId="0">
      <pane xSplit="1" ySplit="8" topLeftCell="F9" activePane="bottomRight" state="frozen"/>
      <selection pane="topRight"/>
      <selection pane="bottomLeft"/>
      <selection pane="bottomRight" activeCell="H9" sqref="H9"/>
    </sheetView>
  </sheetViews>
  <sheetFormatPr defaultColWidth="9.140625" defaultRowHeight="18" outlineLevelCol="1" x14ac:dyDescent="0.4"/>
  <cols>
    <col min="1" max="1" width="70.5" style="13" customWidth="1"/>
    <col min="2" max="2" width="13.640625" style="4" hidden="1" customWidth="1" outlineLevel="1"/>
    <col min="3" max="7" width="13.640625" style="5" hidden="1" customWidth="1" outlineLevel="1"/>
    <col min="8" max="8" width="13.640625" style="4" customWidth="1" collapsed="1"/>
    <col min="9" max="13" width="13.640625" style="5" customWidth="1"/>
    <col min="14" max="14" width="11.140625" style="5" bestFit="1" customWidth="1"/>
    <col min="15" max="15" width="9.140625" style="13"/>
    <col min="16" max="16" width="18.5" style="13" bestFit="1" customWidth="1"/>
    <col min="17" max="16384" width="9.140625" style="13"/>
  </cols>
  <sheetData>
    <row r="1" spans="1:17" x14ac:dyDescent="0.4">
      <c r="A1" s="11" t="str">
        <f>name</f>
        <v/>
      </c>
    </row>
    <row r="2" spans="1:17" x14ac:dyDescent="0.4">
      <c r="A2" s="1" t="s">
        <v>19</v>
      </c>
      <c r="B2" s="28"/>
      <c r="C2" s="29"/>
      <c r="D2" s="29"/>
      <c r="E2" s="29"/>
      <c r="F2" s="29"/>
      <c r="G2" s="29"/>
      <c r="H2" s="28"/>
      <c r="I2" s="29"/>
      <c r="J2" s="29"/>
      <c r="K2" s="29"/>
      <c r="L2" s="29"/>
      <c r="M2" s="29"/>
      <c r="N2" s="29"/>
      <c r="P2" s="6" t="s">
        <v>430</v>
      </c>
      <c r="Q2" s="6" t="s">
        <v>1841</v>
      </c>
    </row>
    <row r="3" spans="1:17" x14ac:dyDescent="0.4">
      <c r="A3" s="19" t="s">
        <v>24</v>
      </c>
      <c r="B3" s="28"/>
      <c r="C3" s="29"/>
      <c r="D3" s="29"/>
      <c r="E3" s="29"/>
      <c r="F3" s="29"/>
      <c r="G3" s="29"/>
      <c r="H3" s="28"/>
      <c r="I3" s="29"/>
      <c r="J3" s="29"/>
      <c r="K3" s="29"/>
      <c r="L3" s="29"/>
      <c r="M3" s="29"/>
      <c r="N3" s="29"/>
      <c r="P3" s="6"/>
      <c r="Q3" s="6"/>
    </row>
    <row r="4" spans="1:17" x14ac:dyDescent="0.4">
      <c r="A4" s="19"/>
      <c r="B4" s="124" t="str">
        <f>[1]!IntrinioBankFundamentals(rssd_id,Q2,fiscal_period_type,1,"fiscal_period")</f>
        <v/>
      </c>
      <c r="C4" s="124"/>
      <c r="D4" s="124"/>
      <c r="E4" s="124"/>
      <c r="F4" s="124"/>
      <c r="G4" s="124"/>
      <c r="H4" s="117" t="str">
        <f>[1]!IntrinioBankFundamentals(rssd_id,Q2,fiscal_period_type,0,"fiscal_period")</f>
        <v/>
      </c>
      <c r="I4" s="118"/>
      <c r="J4" s="118"/>
      <c r="K4" s="118"/>
      <c r="L4" s="118"/>
      <c r="M4" s="118"/>
      <c r="N4" s="29"/>
      <c r="P4" s="6"/>
      <c r="Q4" s="6"/>
    </row>
    <row r="5" spans="1:17" x14ac:dyDescent="0.4">
      <c r="A5" s="1"/>
      <c r="B5" s="120" t="str">
        <f>[1]!IntrinioBankFundamentals(rssd_id,Q2,fiscal_period_type,1,"fiscal_year")</f>
        <v/>
      </c>
      <c r="C5" s="120"/>
      <c r="D5" s="120"/>
      <c r="E5" s="120"/>
      <c r="F5" s="120"/>
      <c r="G5" s="120"/>
      <c r="H5" s="119" t="str">
        <f>[1]!IntrinioBankFundamentals(rssd_id,Q2,fiscal_period_type,0,"fiscal_year")</f>
        <v/>
      </c>
      <c r="I5" s="120"/>
      <c r="J5" s="120"/>
      <c r="K5" s="120"/>
      <c r="L5" s="120"/>
      <c r="M5" s="120"/>
      <c r="N5" s="29"/>
      <c r="P5" s="6"/>
      <c r="Q5" s="6"/>
    </row>
    <row r="6" spans="1:17" x14ac:dyDescent="0.4">
      <c r="B6" s="123" t="s">
        <v>1709</v>
      </c>
      <c r="C6" s="123"/>
      <c r="D6" s="123" t="s">
        <v>1710</v>
      </c>
      <c r="E6" s="123"/>
      <c r="F6" s="123" t="s">
        <v>1711</v>
      </c>
      <c r="G6" s="123"/>
      <c r="H6" s="121" t="s">
        <v>1709</v>
      </c>
      <c r="I6" s="122"/>
      <c r="J6" s="122" t="s">
        <v>1710</v>
      </c>
      <c r="K6" s="122"/>
      <c r="L6" s="122" t="s">
        <v>1711</v>
      </c>
      <c r="M6" s="122"/>
      <c r="N6" s="52"/>
    </row>
    <row r="7" spans="1:17" x14ac:dyDescent="0.55000000000000004">
      <c r="A7" s="23"/>
      <c r="B7" s="123" t="s">
        <v>1712</v>
      </c>
      <c r="C7" s="123"/>
      <c r="D7" s="123" t="s">
        <v>1713</v>
      </c>
      <c r="E7" s="123"/>
      <c r="F7" s="123"/>
      <c r="G7" s="123"/>
      <c r="H7" s="121" t="s">
        <v>1712</v>
      </c>
      <c r="I7" s="122"/>
      <c r="J7" s="122" t="s">
        <v>1713</v>
      </c>
      <c r="K7" s="122"/>
      <c r="L7" s="122"/>
      <c r="M7" s="122"/>
      <c r="N7" s="88"/>
    </row>
    <row r="8" spans="1:17" x14ac:dyDescent="0.55000000000000004">
      <c r="A8" s="23"/>
      <c r="B8" s="123" t="s">
        <v>1714</v>
      </c>
      <c r="C8" s="123"/>
      <c r="D8" s="123" t="s">
        <v>1714</v>
      </c>
      <c r="E8" s="123"/>
      <c r="F8" s="123"/>
      <c r="G8" s="123"/>
      <c r="H8" s="125" t="s">
        <v>1714</v>
      </c>
      <c r="I8" s="126"/>
      <c r="J8" s="126" t="s">
        <v>1714</v>
      </c>
      <c r="K8" s="126"/>
      <c r="L8" s="126"/>
      <c r="M8" s="126"/>
      <c r="N8" s="31"/>
    </row>
    <row r="9" spans="1:17" s="40" customFormat="1" ht="14.25" x14ac:dyDescent="0.4">
      <c r="A9" s="39" t="s">
        <v>28</v>
      </c>
      <c r="B9" s="37"/>
      <c r="C9" s="38" t="str">
        <f>IFERROR([1]!IntrinioBankFinancials(rssd_id,$Q$2,$B$5,$B$4,B9,"K"),"")</f>
        <v/>
      </c>
      <c r="D9" s="37"/>
      <c r="E9" s="38" t="str">
        <f>IFERROR([1]!IntrinioBankFinancials(rssd_id,$Q$2,$B$5,$B$4,D9,"K"),"")</f>
        <v/>
      </c>
      <c r="F9" s="37"/>
      <c r="G9" s="38" t="str">
        <f>IFERROR([1]!IntrinioBankFinancials(rssd_id,$Q$2,$B$5,$B$4,F9,"K"),"")</f>
        <v/>
      </c>
      <c r="H9" s="37"/>
      <c r="I9" s="38" t="str">
        <f>IFERROR([1]!IntrinioBankFinancials(rssd_id,$Q$2,$H$5,$H$4,H9,"K"),"")</f>
        <v/>
      </c>
      <c r="J9" s="37"/>
      <c r="K9" s="38" t="str">
        <f>IFERROR([1]!IntrinioBankFinancials(rssd_id,$Q$2,$H$5,$H$4,J9,"K"),"")</f>
        <v/>
      </c>
      <c r="L9" s="37"/>
      <c r="M9" s="38" t="str">
        <f>IFERROR([1]!IntrinioBankFinancials(rssd_id,$Q$2,$H$5,$H$4,L9,"K"),"")</f>
        <v/>
      </c>
      <c r="N9" s="49">
        <v>1</v>
      </c>
    </row>
    <row r="10" spans="1:17" s="40" customFormat="1" ht="14.25" x14ac:dyDescent="0.4">
      <c r="A10" s="39" t="s">
        <v>2423</v>
      </c>
      <c r="B10" s="37"/>
      <c r="C10" s="38" t="str">
        <f>IFERROR([1]!IntrinioBankFinancials(rssd_id,$Q$2,$B$5,$B$4,B10,"K"),"")</f>
        <v/>
      </c>
      <c r="D10" s="37"/>
      <c r="E10" s="38" t="str">
        <f>IFERROR([1]!IntrinioBankFinancials(rssd_id,$Q$2,$B$5,$B$4,D10,"K"),"")</f>
        <v/>
      </c>
      <c r="F10" s="37"/>
      <c r="G10" s="38" t="str">
        <f>IFERROR([1]!IntrinioBankFinancials(rssd_id,$Q$2,$B$5,$B$4,F10,"K"),"")</f>
        <v/>
      </c>
      <c r="H10" s="37"/>
      <c r="I10" s="38" t="str">
        <f>IFERROR([1]!IntrinioBankFinancials(rssd_id,$Q$2,$H$5,$H$4,H10,"K"),"")</f>
        <v/>
      </c>
      <c r="J10" s="37"/>
      <c r="K10" s="38" t="str">
        <f>IFERROR([1]!IntrinioBankFinancials(rssd_id,$Q$2,$H$5,$H$4,J10,"K"),"")</f>
        <v/>
      </c>
      <c r="L10" s="37"/>
      <c r="M10" s="38" t="str">
        <f>IFERROR([1]!IntrinioBankFinancials(rssd_id,$Q$2,$H$5,$H$4,L10,"K"),"")</f>
        <v/>
      </c>
      <c r="N10" s="49" t="s">
        <v>27</v>
      </c>
    </row>
    <row r="11" spans="1:17" s="40" customFormat="1" ht="14.25" x14ac:dyDescent="0.4">
      <c r="A11" s="39" t="s">
        <v>353</v>
      </c>
      <c r="B11" s="37" t="s">
        <v>1715</v>
      </c>
      <c r="C11" s="38" t="str">
        <f>IFERROR([1]!IntrinioBankFinancials(rssd_id,$Q$2,$B$5,$B$4,B11,"K"),"")</f>
        <v/>
      </c>
      <c r="D11" s="37" t="s">
        <v>1716</v>
      </c>
      <c r="E11" s="38" t="str">
        <f>IFERROR([1]!IntrinioBankFinancials(rssd_id,$Q$2,$B$5,$B$4,D11,"K"),"")</f>
        <v/>
      </c>
      <c r="F11" s="37" t="s">
        <v>1717</v>
      </c>
      <c r="G11" s="38" t="str">
        <f>IFERROR([1]!IntrinioBankFinancials(rssd_id,$Q$2,$B$5,$B$4,F11,"K"),"")</f>
        <v/>
      </c>
      <c r="H11" s="37" t="s">
        <v>1715</v>
      </c>
      <c r="I11" s="38" t="str">
        <f>IFERROR([1]!IntrinioBankFinancials(rssd_id,$Q$2,$H$5,$H$4,H11,"K"),"")</f>
        <v/>
      </c>
      <c r="J11" s="37" t="s">
        <v>1716</v>
      </c>
      <c r="K11" s="38" t="str">
        <f>IFERROR([1]!IntrinioBankFinancials(rssd_id,$Q$2,$H$5,$H$4,J11,"K"),"")</f>
        <v/>
      </c>
      <c r="L11" s="37" t="s">
        <v>1717</v>
      </c>
      <c r="M11" s="38" t="str">
        <f>IFERROR([1]!IntrinioBankFinancials(rssd_id,$Q$2,$H$5,$H$4,L11,"K"),"")</f>
        <v/>
      </c>
      <c r="N11" s="49" t="s">
        <v>29</v>
      </c>
    </row>
    <row r="12" spans="1:17" s="40" customFormat="1" ht="14.25" x14ac:dyDescent="0.4">
      <c r="A12" s="39" t="s">
        <v>354</v>
      </c>
      <c r="B12" s="37" t="s">
        <v>1718</v>
      </c>
      <c r="C12" s="38" t="str">
        <f>IFERROR([1]!IntrinioBankFinancials(rssd_id,$Q$2,$B$5,$B$4,B12,"K"),"")</f>
        <v/>
      </c>
      <c r="D12" s="37" t="s">
        <v>1719</v>
      </c>
      <c r="E12" s="38" t="str">
        <f>IFERROR([1]!IntrinioBankFinancials(rssd_id,$Q$2,$B$5,$B$4,D12,"K"),"")</f>
        <v/>
      </c>
      <c r="F12" s="37" t="s">
        <v>1720</v>
      </c>
      <c r="G12" s="38" t="str">
        <f>IFERROR([1]!IntrinioBankFinancials(rssd_id,$Q$2,$B$5,$B$4,F12,"K"),"")</f>
        <v/>
      </c>
      <c r="H12" s="37" t="s">
        <v>1718</v>
      </c>
      <c r="I12" s="38" t="str">
        <f>IFERROR([1]!IntrinioBankFinancials(rssd_id,$Q$2,$H$5,$H$4,H12,"K"),"")</f>
        <v/>
      </c>
      <c r="J12" s="37" t="s">
        <v>1719</v>
      </c>
      <c r="K12" s="38" t="str">
        <f>IFERROR([1]!IntrinioBankFinancials(rssd_id,$Q$2,$H$5,$H$4,J12,"K"),"")</f>
        <v/>
      </c>
      <c r="L12" s="37" t="s">
        <v>1720</v>
      </c>
      <c r="M12" s="38" t="str">
        <f>IFERROR([1]!IntrinioBankFinancials(rssd_id,$Q$2,$H$5,$H$4,L12,"K"),"")</f>
        <v/>
      </c>
      <c r="N12" s="49" t="s">
        <v>38</v>
      </c>
    </row>
    <row r="13" spans="1:17" s="40" customFormat="1" ht="14.25" x14ac:dyDescent="0.4">
      <c r="A13" s="39" t="s">
        <v>2844</v>
      </c>
      <c r="B13" s="37" t="s">
        <v>1721</v>
      </c>
      <c r="C13" s="38" t="str">
        <f>IFERROR([1]!IntrinioBankFinancials(rssd_id,$Q$2,$B$5,$B$4,B13,"K"),"")</f>
        <v/>
      </c>
      <c r="D13" s="37" t="s">
        <v>1722</v>
      </c>
      <c r="E13" s="38" t="str">
        <f>IFERROR([1]!IntrinioBankFinancials(rssd_id,$Q$2,$B$5,$B$4,D13,"K"),"")</f>
        <v/>
      </c>
      <c r="F13" s="37" t="s">
        <v>1723</v>
      </c>
      <c r="G13" s="38" t="str">
        <f>IFERROR([1]!IntrinioBankFinancials(rssd_id,$Q$2,$B$5,$B$4,F13,"K"),"")</f>
        <v/>
      </c>
      <c r="H13" s="37" t="s">
        <v>1721</v>
      </c>
      <c r="I13" s="38" t="str">
        <f>IFERROR([1]!IntrinioBankFinancials(rssd_id,$Q$2,$H$5,$H$4,H13,"K"),"")</f>
        <v/>
      </c>
      <c r="J13" s="37" t="s">
        <v>1722</v>
      </c>
      <c r="K13" s="38" t="str">
        <f>IFERROR([1]!IntrinioBankFinancials(rssd_id,$Q$2,$H$5,$H$4,J13,"K"),"")</f>
        <v/>
      </c>
      <c r="L13" s="37" t="s">
        <v>1723</v>
      </c>
      <c r="M13" s="38" t="str">
        <f>IFERROR([1]!IntrinioBankFinancials(rssd_id,$Q$2,$H$5,$H$4,L13,"K"),"")</f>
        <v/>
      </c>
      <c r="N13" s="49" t="s">
        <v>57</v>
      </c>
    </row>
    <row r="14" spans="1:17" s="40" customFormat="1" ht="14.25" x14ac:dyDescent="0.4">
      <c r="A14" s="39" t="s">
        <v>2845</v>
      </c>
      <c r="B14" s="37"/>
      <c r="C14" s="38" t="str">
        <f>IFERROR([1]!IntrinioBankFinancials(rssd_id,$Q$2,$B$5,$B$4,B14,"K"),"")</f>
        <v/>
      </c>
      <c r="D14" s="37"/>
      <c r="E14" s="38" t="str">
        <f>IFERROR([1]!IntrinioBankFinancials(rssd_id,$Q$2,$B$5,$B$4,D14,"K"),"")</f>
        <v/>
      </c>
      <c r="F14" s="37"/>
      <c r="G14" s="38" t="str">
        <f>IFERROR([1]!IntrinioBankFinancials(rssd_id,$Q$2,$B$5,$B$4,F14,"K"),"")</f>
        <v/>
      </c>
      <c r="H14" s="37"/>
      <c r="I14" s="38" t="str">
        <f>IFERROR([1]!IntrinioBankFinancials(rssd_id,$Q$2,$H$5,$H$4,H14,"K"),"")</f>
        <v/>
      </c>
      <c r="J14" s="37"/>
      <c r="K14" s="38" t="str">
        <f>IFERROR([1]!IntrinioBankFinancials(rssd_id,$Q$2,$H$5,$H$4,J14,"K"),"")</f>
        <v/>
      </c>
      <c r="L14" s="37"/>
      <c r="M14" s="38" t="str">
        <f>IFERROR([1]!IntrinioBankFinancials(rssd_id,$Q$2,$H$5,$H$4,L14,"K"),"")</f>
        <v/>
      </c>
      <c r="N14" s="49" t="s">
        <v>60</v>
      </c>
    </row>
    <row r="15" spans="1:17" s="40" customFormat="1" ht="28.5" x14ac:dyDescent="0.4">
      <c r="A15" s="39" t="s">
        <v>434</v>
      </c>
      <c r="B15" s="37" t="s">
        <v>1724</v>
      </c>
      <c r="C15" s="38" t="str">
        <f>IFERROR([1]!IntrinioBankFinancials(rssd_id,$Q$2,$B$5,$B$4,B15,"K"),"")</f>
        <v/>
      </c>
      <c r="D15" s="37" t="s">
        <v>1725</v>
      </c>
      <c r="E15" s="38" t="str">
        <f>IFERROR([1]!IntrinioBankFinancials(rssd_id,$Q$2,$B$5,$B$4,D15,"K"),"")</f>
        <v/>
      </c>
      <c r="F15" s="37" t="s">
        <v>1726</v>
      </c>
      <c r="G15" s="38" t="str">
        <f>IFERROR([1]!IntrinioBankFinancials(rssd_id,$Q$2,$B$5,$B$4,F15,"K"),"")</f>
        <v/>
      </c>
      <c r="H15" s="37" t="s">
        <v>1724</v>
      </c>
      <c r="I15" s="38" t="str">
        <f>IFERROR([1]!IntrinioBankFinancials(rssd_id,$Q$2,$H$5,$H$4,H15,"K"),"")</f>
        <v/>
      </c>
      <c r="J15" s="37" t="s">
        <v>1725</v>
      </c>
      <c r="K15" s="38" t="str">
        <f>IFERROR([1]!IntrinioBankFinancials(rssd_id,$Q$2,$H$5,$H$4,J15,"K"),"")</f>
        <v/>
      </c>
      <c r="L15" s="37" t="s">
        <v>1726</v>
      </c>
      <c r="M15" s="38" t="str">
        <f>IFERROR([1]!IntrinioBankFinancials(rssd_id,$Q$2,$H$5,$H$4,L15,"K"),"")</f>
        <v/>
      </c>
      <c r="N15" s="49" t="s">
        <v>363</v>
      </c>
    </row>
    <row r="16" spans="1:17" s="40" customFormat="1" ht="14.25" x14ac:dyDescent="0.4">
      <c r="A16" s="39" t="s">
        <v>364</v>
      </c>
      <c r="B16" s="37"/>
      <c r="C16" s="38" t="str">
        <f>IFERROR([1]!IntrinioBankFinancials(rssd_id,$Q$2,$B$5,$B$4,B16,"K"),"")</f>
        <v/>
      </c>
      <c r="D16" s="37"/>
      <c r="E16" s="38" t="str">
        <f>IFERROR([1]!IntrinioBankFinancials(rssd_id,$Q$2,$B$5,$B$4,D16,"K"),"")</f>
        <v/>
      </c>
      <c r="F16" s="37"/>
      <c r="G16" s="38" t="str">
        <f>IFERROR([1]!IntrinioBankFinancials(rssd_id,$Q$2,$B$5,$B$4,F16,"K"),"")</f>
        <v/>
      </c>
      <c r="H16" s="37"/>
      <c r="I16" s="38" t="str">
        <f>IFERROR([1]!IntrinioBankFinancials(rssd_id,$Q$2,$H$5,$H$4,H16,"K"),"")</f>
        <v/>
      </c>
      <c r="J16" s="37"/>
      <c r="K16" s="38" t="str">
        <f>IFERROR([1]!IntrinioBankFinancials(rssd_id,$Q$2,$H$5,$H$4,J16,"K"),"")</f>
        <v/>
      </c>
      <c r="L16" s="37"/>
      <c r="M16" s="38" t="str">
        <f>IFERROR([1]!IntrinioBankFinancials(rssd_id,$Q$2,$H$5,$H$4,L16,"K"),"")</f>
        <v/>
      </c>
      <c r="N16" s="49" t="s">
        <v>365</v>
      </c>
    </row>
    <row r="17" spans="1:17" x14ac:dyDescent="0.4">
      <c r="A17" s="39" t="s">
        <v>366</v>
      </c>
      <c r="B17" s="37" t="s">
        <v>1727</v>
      </c>
      <c r="C17" s="38" t="str">
        <f>IFERROR([1]!IntrinioBankFinancials(rssd_id,$Q$2,$B$5,$B$4,B17,"K"),"")</f>
        <v/>
      </c>
      <c r="D17" s="37" t="s">
        <v>1728</v>
      </c>
      <c r="E17" s="38" t="str">
        <f>IFERROR([1]!IntrinioBankFinancials(rssd_id,$Q$2,$B$5,$B$4,D17,"K"),"")</f>
        <v/>
      </c>
      <c r="F17" s="37" t="s">
        <v>1729</v>
      </c>
      <c r="G17" s="38" t="str">
        <f>IFERROR([1]!IntrinioBankFinancials(rssd_id,$Q$2,$B$5,$B$4,F17,"K"),"")</f>
        <v/>
      </c>
      <c r="H17" s="37" t="s">
        <v>1727</v>
      </c>
      <c r="I17" s="38" t="str">
        <f>IFERROR([1]!IntrinioBankFinancials(rssd_id,$Q$2,$H$5,$H$4,H17,"K"),"")</f>
        <v/>
      </c>
      <c r="J17" s="37" t="s">
        <v>1728</v>
      </c>
      <c r="K17" s="38" t="str">
        <f>IFERROR([1]!IntrinioBankFinancials(rssd_id,$Q$2,$H$5,$H$4,J17,"K"),"")</f>
        <v/>
      </c>
      <c r="L17" s="37" t="s">
        <v>1729</v>
      </c>
      <c r="M17" s="38" t="str">
        <f>IFERROR([1]!IntrinioBankFinancials(rssd_id,$Q$2,$H$5,$H$4,L17,"K"),"")</f>
        <v/>
      </c>
      <c r="N17" s="49" t="s">
        <v>369</v>
      </c>
    </row>
    <row r="18" spans="1:17" x14ac:dyDescent="0.4">
      <c r="A18" s="39" t="s">
        <v>370</v>
      </c>
      <c r="B18" s="37" t="s">
        <v>1730</v>
      </c>
      <c r="C18" s="38" t="str">
        <f>IFERROR([1]!IntrinioBankFinancials(rssd_id,$Q$2,$B$5,$B$4,B18,"K"),"")</f>
        <v/>
      </c>
      <c r="D18" s="37" t="s">
        <v>1731</v>
      </c>
      <c r="E18" s="38" t="str">
        <f>IFERROR([1]!IntrinioBankFinancials(rssd_id,$Q$2,$B$5,$B$4,D18,"K"),"")</f>
        <v/>
      </c>
      <c r="F18" s="37" t="s">
        <v>1732</v>
      </c>
      <c r="G18" s="38" t="str">
        <f>IFERROR([1]!IntrinioBankFinancials(rssd_id,$Q$2,$B$5,$B$4,F18,"K"),"")</f>
        <v/>
      </c>
      <c r="H18" s="37" t="s">
        <v>1730</v>
      </c>
      <c r="I18" s="38" t="str">
        <f>IFERROR([1]!IntrinioBankFinancials(rssd_id,$Q$2,$H$5,$H$4,H18,"K"),"")</f>
        <v/>
      </c>
      <c r="J18" s="37" t="s">
        <v>1731</v>
      </c>
      <c r="K18" s="38" t="str">
        <f>IFERROR([1]!IntrinioBankFinancials(rssd_id,$Q$2,$H$5,$H$4,J18,"K"),"")</f>
        <v/>
      </c>
      <c r="L18" s="37" t="s">
        <v>1732</v>
      </c>
      <c r="M18" s="38" t="str">
        <f>IFERROR([1]!IntrinioBankFinancials(rssd_id,$Q$2,$H$5,$H$4,L18,"K"),"")</f>
        <v/>
      </c>
      <c r="N18" s="49" t="s">
        <v>373</v>
      </c>
    </row>
    <row r="19" spans="1:17" s="47" customFormat="1" x14ac:dyDescent="0.4">
      <c r="A19" s="39" t="s">
        <v>2846</v>
      </c>
      <c r="B19" s="37" t="s">
        <v>1733</v>
      </c>
      <c r="C19" s="38" t="str">
        <f>IFERROR([1]!IntrinioBankFinancials(rssd_id,$Q$2,$B$5,$B$4,B19,"K"),"")</f>
        <v/>
      </c>
      <c r="D19" s="37" t="s">
        <v>1734</v>
      </c>
      <c r="E19" s="38" t="str">
        <f>IFERROR([1]!IntrinioBankFinancials(rssd_id,$Q$2,$B$5,$B$4,D19,"K"),"")</f>
        <v/>
      </c>
      <c r="F19" s="37" t="s">
        <v>1735</v>
      </c>
      <c r="G19" s="38" t="str">
        <f>IFERROR([1]!IntrinioBankFinancials(rssd_id,$Q$2,$B$5,$B$4,F19,"K"),"")</f>
        <v/>
      </c>
      <c r="H19" s="37" t="s">
        <v>1733</v>
      </c>
      <c r="I19" s="38" t="str">
        <f>IFERROR([1]!IntrinioBankFinancials(rssd_id,$Q$2,$H$5,$H$4,H19,"K"),"")</f>
        <v/>
      </c>
      <c r="J19" s="37" t="s">
        <v>1734</v>
      </c>
      <c r="K19" s="38" t="str">
        <f>IFERROR([1]!IntrinioBankFinancials(rssd_id,$Q$2,$H$5,$H$4,J19,"K"),"")</f>
        <v/>
      </c>
      <c r="L19" s="37" t="s">
        <v>1735</v>
      </c>
      <c r="M19" s="38" t="str">
        <f>IFERROR([1]!IntrinioBankFinancials(rssd_id,$Q$2,$H$5,$H$4,L19,"K"),"")</f>
        <v/>
      </c>
      <c r="N19" s="49" t="s">
        <v>62</v>
      </c>
      <c r="O19" s="13"/>
      <c r="P19" s="13"/>
      <c r="Q19" s="13"/>
    </row>
    <row r="20" spans="1:17" s="47" customFormat="1" x14ac:dyDescent="0.4">
      <c r="A20" s="39" t="s">
        <v>2847</v>
      </c>
      <c r="B20" s="37"/>
      <c r="C20" s="38" t="str">
        <f>IFERROR([1]!IntrinioBankFinancials(rssd_id,$Q$2,$B$5,$B$4,B20,"K"),"")</f>
        <v/>
      </c>
      <c r="D20" s="37"/>
      <c r="E20" s="38" t="str">
        <f>IFERROR([1]!IntrinioBankFinancials(rssd_id,$Q$2,$B$5,$B$4,D20,"K"),"")</f>
        <v/>
      </c>
      <c r="F20" s="37"/>
      <c r="G20" s="38" t="str">
        <f>IFERROR([1]!IntrinioBankFinancials(rssd_id,$Q$2,$B$5,$B$4,F20,"K"),"")</f>
        <v/>
      </c>
      <c r="H20" s="37"/>
      <c r="I20" s="38" t="str">
        <f>IFERROR([1]!IntrinioBankFinancials(rssd_id,$Q$2,$H$5,$H$4,H20,"K"),"")</f>
        <v/>
      </c>
      <c r="J20" s="37"/>
      <c r="K20" s="38" t="str">
        <f>IFERROR([1]!IntrinioBankFinancials(rssd_id,$Q$2,$H$5,$H$4,J20,"K"),"")</f>
        <v/>
      </c>
      <c r="L20" s="37"/>
      <c r="M20" s="38" t="str">
        <f>IFERROR([1]!IntrinioBankFinancials(rssd_id,$Q$2,$H$5,$H$4,L20,"K"),"")</f>
        <v/>
      </c>
      <c r="N20" s="49" t="s">
        <v>74</v>
      </c>
      <c r="O20" s="13"/>
      <c r="P20" s="13"/>
      <c r="Q20" s="13"/>
    </row>
    <row r="21" spans="1:17" s="47" customFormat="1" x14ac:dyDescent="0.4">
      <c r="A21" s="39" t="s">
        <v>378</v>
      </c>
      <c r="B21" s="37" t="s">
        <v>1736</v>
      </c>
      <c r="C21" s="38" t="str">
        <f>IFERROR([1]!IntrinioBankFinancials(rssd_id,$Q$2,$B$5,$B$4,B21,"K"),"")</f>
        <v/>
      </c>
      <c r="D21" s="37" t="s">
        <v>1737</v>
      </c>
      <c r="E21" s="38" t="str">
        <f>IFERROR([1]!IntrinioBankFinancials(rssd_id,$Q$2,$B$5,$B$4,D21,"K"),"")</f>
        <v/>
      </c>
      <c r="F21" s="37" t="s">
        <v>1738</v>
      </c>
      <c r="G21" s="38" t="str">
        <f>IFERROR([1]!IntrinioBankFinancials(rssd_id,$Q$2,$B$5,$B$4,F21,"K"),"")</f>
        <v/>
      </c>
      <c r="H21" s="37" t="s">
        <v>1736</v>
      </c>
      <c r="I21" s="38" t="str">
        <f>IFERROR([1]!IntrinioBankFinancials(rssd_id,$Q$2,$H$5,$H$4,H21,"K"),"")</f>
        <v/>
      </c>
      <c r="J21" s="37" t="s">
        <v>1737</v>
      </c>
      <c r="K21" s="38" t="str">
        <f>IFERROR([1]!IntrinioBankFinancials(rssd_id,$Q$2,$H$5,$H$4,J21,"K"),"")</f>
        <v/>
      </c>
      <c r="L21" s="37" t="s">
        <v>1738</v>
      </c>
      <c r="M21" s="38" t="str">
        <f>IFERROR([1]!IntrinioBankFinancials(rssd_id,$Q$2,$H$5,$H$4,L21,"K"),"")</f>
        <v/>
      </c>
      <c r="N21" s="49" t="s">
        <v>381</v>
      </c>
      <c r="O21" s="13"/>
      <c r="P21" s="13"/>
      <c r="Q21" s="13"/>
    </row>
    <row r="22" spans="1:17" s="47" customFormat="1" x14ac:dyDescent="0.4">
      <c r="A22" s="39" t="s">
        <v>382</v>
      </c>
      <c r="B22" s="37" t="s">
        <v>1739</v>
      </c>
      <c r="C22" s="38" t="str">
        <f>IFERROR([1]!IntrinioBankFinancials(rssd_id,$Q$2,$B$5,$B$4,B22,"K"),"")</f>
        <v/>
      </c>
      <c r="D22" s="37" t="s">
        <v>1740</v>
      </c>
      <c r="E22" s="38" t="str">
        <f>IFERROR([1]!IntrinioBankFinancials(rssd_id,$Q$2,$B$5,$B$4,D22,"K"),"")</f>
        <v/>
      </c>
      <c r="F22" s="37" t="s">
        <v>1741</v>
      </c>
      <c r="G22" s="38" t="str">
        <f>IFERROR([1]!IntrinioBankFinancials(rssd_id,$Q$2,$B$5,$B$4,F22,"K"),"")</f>
        <v/>
      </c>
      <c r="H22" s="37" t="s">
        <v>1739</v>
      </c>
      <c r="I22" s="38" t="str">
        <f>IFERROR([1]!IntrinioBankFinancials(rssd_id,$Q$2,$H$5,$H$4,H22,"K"),"")</f>
        <v/>
      </c>
      <c r="J22" s="37" t="s">
        <v>1740</v>
      </c>
      <c r="K22" s="38" t="str">
        <f>IFERROR([1]!IntrinioBankFinancials(rssd_id,$Q$2,$H$5,$H$4,J22,"K"),"")</f>
        <v/>
      </c>
      <c r="L22" s="37" t="s">
        <v>1741</v>
      </c>
      <c r="M22" s="38" t="str">
        <f>IFERROR([1]!IntrinioBankFinancials(rssd_id,$Q$2,$H$5,$H$4,L22,"K"),"")</f>
        <v/>
      </c>
      <c r="N22" s="49" t="s">
        <v>385</v>
      </c>
      <c r="O22" s="13"/>
      <c r="P22" s="13"/>
      <c r="Q22" s="13"/>
    </row>
    <row r="23" spans="1:17" s="47" customFormat="1" x14ac:dyDescent="0.4">
      <c r="A23" s="39" t="s">
        <v>2848</v>
      </c>
      <c r="B23" s="37" t="s">
        <v>2849</v>
      </c>
      <c r="C23" s="38" t="str">
        <f>IFERROR([1]!IntrinioBankFinancials(rssd_id,$Q$2,$B$5,$B$4,B23,"K"),"")</f>
        <v/>
      </c>
      <c r="D23" s="37" t="s">
        <v>2912</v>
      </c>
      <c r="E23" s="38" t="str">
        <f>IFERROR([1]!IntrinioBankFinancials(rssd_id,$Q$2,$B$5,$B$4,D23,"K"),"")</f>
        <v/>
      </c>
      <c r="F23" s="37" t="s">
        <v>2960</v>
      </c>
      <c r="G23" s="38" t="str">
        <f>IFERROR([1]!IntrinioBankFinancials(rssd_id,$Q$2,$B$5,$B$4,F23,"K"),"")</f>
        <v/>
      </c>
      <c r="H23" s="37" t="s">
        <v>2849</v>
      </c>
      <c r="I23" s="38" t="str">
        <f>IFERROR([1]!IntrinioBankFinancials(rssd_id,$Q$2,$H$5,$H$4,H23,"K"),"")</f>
        <v/>
      </c>
      <c r="J23" s="37" t="s">
        <v>2912</v>
      </c>
      <c r="K23" s="38" t="str">
        <f>IFERROR([1]!IntrinioBankFinancials(rssd_id,$Q$2,$H$5,$H$4,J23,"K"),"")</f>
        <v/>
      </c>
      <c r="L23" s="37" t="s">
        <v>2960</v>
      </c>
      <c r="M23" s="38" t="str">
        <f>IFERROR([1]!IntrinioBankFinancials(rssd_id,$Q$2,$H$5,$H$4,L23,"K"),"")</f>
        <v/>
      </c>
      <c r="N23" s="49">
        <v>2</v>
      </c>
      <c r="O23" s="13"/>
      <c r="P23" s="13"/>
      <c r="Q23" s="13"/>
    </row>
    <row r="24" spans="1:17" s="47" customFormat="1" x14ac:dyDescent="0.4">
      <c r="A24" s="39" t="s">
        <v>2394</v>
      </c>
      <c r="B24" s="37"/>
      <c r="C24" s="38" t="str">
        <f>IFERROR([1]!IntrinioBankFinancials(rssd_id,$Q$2,$B$5,$B$4,B24,"K"),"")</f>
        <v/>
      </c>
      <c r="D24" s="37"/>
      <c r="E24" s="38" t="str">
        <f>IFERROR([1]!IntrinioBankFinancials(rssd_id,$Q$2,$B$5,$B$4,D24,"K"),"")</f>
        <v/>
      </c>
      <c r="F24" s="37"/>
      <c r="G24" s="38" t="str">
        <f>IFERROR([1]!IntrinioBankFinancials(rssd_id,$Q$2,$B$5,$B$4,F24,"K"),"")</f>
        <v/>
      </c>
      <c r="H24" s="37"/>
      <c r="I24" s="38" t="str">
        <f>IFERROR([1]!IntrinioBankFinancials(rssd_id,$Q$2,$H$5,$H$4,H24,"K"),"")</f>
        <v/>
      </c>
      <c r="J24" s="37"/>
      <c r="K24" s="38" t="str">
        <f>IFERROR([1]!IntrinioBankFinancials(rssd_id,$Q$2,$H$5,$H$4,J24,"K"),"")</f>
        <v/>
      </c>
      <c r="L24" s="37"/>
      <c r="M24" s="38" t="str">
        <f>IFERROR([1]!IntrinioBankFinancials(rssd_id,$Q$2,$H$5,$H$4,L24,"K"),"")</f>
        <v/>
      </c>
      <c r="N24" s="49">
        <v>3</v>
      </c>
      <c r="O24" s="13"/>
      <c r="P24" s="13"/>
      <c r="Q24" s="13"/>
    </row>
    <row r="25" spans="1:17" s="47" customFormat="1" x14ac:dyDescent="0.4">
      <c r="A25" s="39" t="s">
        <v>2850</v>
      </c>
      <c r="B25" s="37" t="s">
        <v>2851</v>
      </c>
      <c r="C25" s="38" t="str">
        <f>IFERROR([1]!IntrinioBankFinancials(rssd_id,$Q$2,$B$5,$B$4,B25,"K"),"")</f>
        <v/>
      </c>
      <c r="D25" s="37" t="s">
        <v>2913</v>
      </c>
      <c r="E25" s="38" t="str">
        <f>IFERROR([1]!IntrinioBankFinancials(rssd_id,$Q$2,$B$5,$B$4,D25,"K"),"")</f>
        <v/>
      </c>
      <c r="F25" s="37" t="s">
        <v>2961</v>
      </c>
      <c r="G25" s="38" t="str">
        <f>IFERROR([1]!IntrinioBankFinancials(rssd_id,$Q$2,$B$5,$B$4,F25,"K"),"")</f>
        <v/>
      </c>
      <c r="H25" s="37" t="s">
        <v>2851</v>
      </c>
      <c r="I25" s="38" t="str">
        <f>IFERROR([1]!IntrinioBankFinancials(rssd_id,$Q$2,$H$5,$H$4,H25,"K"),"")</f>
        <v/>
      </c>
      <c r="J25" s="37" t="s">
        <v>2913</v>
      </c>
      <c r="K25" s="38" t="str">
        <f>IFERROR([1]!IntrinioBankFinancials(rssd_id,$Q$2,$H$5,$H$4,J25,"K"),"")</f>
        <v/>
      </c>
      <c r="L25" s="37" t="s">
        <v>2961</v>
      </c>
      <c r="M25" s="38" t="str">
        <f>IFERROR([1]!IntrinioBankFinancials(rssd_id,$Q$2,$H$5,$H$4,L25,"K"),"")</f>
        <v/>
      </c>
      <c r="N25" s="49">
        <v>4</v>
      </c>
      <c r="O25" s="13"/>
      <c r="P25" s="13"/>
      <c r="Q25" s="13"/>
    </row>
    <row r="26" spans="1:17" s="47" customFormat="1" x14ac:dyDescent="0.4">
      <c r="A26" s="39" t="s">
        <v>2852</v>
      </c>
      <c r="B26" s="37" t="s">
        <v>2853</v>
      </c>
      <c r="C26" s="38" t="str">
        <f>IFERROR([1]!IntrinioBankFinancials(rssd_id,$Q$2,$B$5,$B$4,B26,"K"),"")</f>
        <v/>
      </c>
      <c r="D26" s="37" t="s">
        <v>2914</v>
      </c>
      <c r="E26" s="38" t="str">
        <f>IFERROR([1]!IntrinioBankFinancials(rssd_id,$Q$2,$B$5,$B$4,D26,"K"),"")</f>
        <v/>
      </c>
      <c r="F26" s="37" t="s">
        <v>2962</v>
      </c>
      <c r="G26" s="38" t="str">
        <f>IFERROR([1]!IntrinioBankFinancials(rssd_id,$Q$2,$B$5,$B$4,F26,"K"),"")</f>
        <v/>
      </c>
      <c r="H26" s="37" t="s">
        <v>2853</v>
      </c>
      <c r="I26" s="38" t="str">
        <f>IFERROR([1]!IntrinioBankFinancials(rssd_id,$Q$2,$H$5,$H$4,H26,"K"),"")</f>
        <v/>
      </c>
      <c r="J26" s="37" t="s">
        <v>2914</v>
      </c>
      <c r="K26" s="38" t="str">
        <f>IFERROR([1]!IntrinioBankFinancials(rssd_id,$Q$2,$H$5,$H$4,J26,"K"),"")</f>
        <v/>
      </c>
      <c r="L26" s="37" t="s">
        <v>2962</v>
      </c>
      <c r="M26" s="38" t="str">
        <f>IFERROR([1]!IntrinioBankFinancials(rssd_id,$Q$2,$H$5,$H$4,L26,"K"),"")</f>
        <v/>
      </c>
      <c r="N26" s="49">
        <v>5</v>
      </c>
      <c r="O26" s="13"/>
      <c r="P26" s="13"/>
      <c r="Q26" s="13"/>
    </row>
    <row r="27" spans="1:17" s="47" customFormat="1" x14ac:dyDescent="0.4">
      <c r="A27" s="39" t="s">
        <v>1200</v>
      </c>
      <c r="B27" s="37" t="s">
        <v>2854</v>
      </c>
      <c r="C27" s="38" t="str">
        <f>IFERROR([1]!IntrinioBankFinancials(rssd_id,$Q$2,$B$5,$B$4,B27,"K"),"")</f>
        <v/>
      </c>
      <c r="D27" s="37" t="s">
        <v>2915</v>
      </c>
      <c r="E27" s="38" t="str">
        <f>IFERROR([1]!IntrinioBankFinancials(rssd_id,$Q$2,$B$5,$B$4,D27,"K"),"")</f>
        <v/>
      </c>
      <c r="F27" s="37" t="s">
        <v>2963</v>
      </c>
      <c r="G27" s="38" t="str">
        <f>IFERROR([1]!IntrinioBankFinancials(rssd_id,$Q$2,$B$5,$B$4,F27,"K"),"")</f>
        <v/>
      </c>
      <c r="H27" s="37" t="s">
        <v>2854</v>
      </c>
      <c r="I27" s="38" t="str">
        <f>IFERROR([1]!IntrinioBankFinancials(rssd_id,$Q$2,$H$5,$H$4,H27,"K"),"")</f>
        <v/>
      </c>
      <c r="J27" s="37" t="s">
        <v>2915</v>
      </c>
      <c r="K27" s="38" t="str">
        <f>IFERROR([1]!IntrinioBankFinancials(rssd_id,$Q$2,$H$5,$H$4,J27,"K"),"")</f>
        <v/>
      </c>
      <c r="L27" s="37" t="s">
        <v>2963</v>
      </c>
      <c r="M27" s="38" t="str">
        <f>IFERROR([1]!IntrinioBankFinancials(rssd_id,$Q$2,$H$5,$H$4,L27,"K"),"")</f>
        <v/>
      </c>
      <c r="N27" s="49" t="s">
        <v>119</v>
      </c>
      <c r="O27" s="13"/>
      <c r="P27" s="13"/>
      <c r="Q27" s="13"/>
    </row>
    <row r="28" spans="1:17" s="47" customFormat="1" x14ac:dyDescent="0.4">
      <c r="A28" s="39" t="s">
        <v>2403</v>
      </c>
      <c r="B28" s="37"/>
      <c r="C28" s="38" t="str">
        <f>IFERROR([1]!IntrinioBankFinancials(rssd_id,$Q$2,$B$5,$B$4,B28,"K"),"")</f>
        <v/>
      </c>
      <c r="D28" s="37"/>
      <c r="E28" s="38" t="str">
        <f>IFERROR([1]!IntrinioBankFinancials(rssd_id,$Q$2,$B$5,$B$4,D28,"K"),"")</f>
        <v/>
      </c>
      <c r="F28" s="37"/>
      <c r="G28" s="38" t="str">
        <f>IFERROR([1]!IntrinioBankFinancials(rssd_id,$Q$2,$B$5,$B$4,F28,"K"),"")</f>
        <v/>
      </c>
      <c r="H28" s="37"/>
      <c r="I28" s="38" t="str">
        <f>IFERROR([1]!IntrinioBankFinancials(rssd_id,$Q$2,$H$5,$H$4,H28,"K"),"")</f>
        <v/>
      </c>
      <c r="J28" s="37"/>
      <c r="K28" s="38" t="str">
        <f>IFERROR([1]!IntrinioBankFinancials(rssd_id,$Q$2,$H$5,$H$4,J28,"K"),"")</f>
        <v/>
      </c>
      <c r="L28" s="37"/>
      <c r="M28" s="38" t="str">
        <f>IFERROR([1]!IntrinioBankFinancials(rssd_id,$Q$2,$H$5,$H$4,L28,"K"),"")</f>
        <v/>
      </c>
      <c r="N28" s="49" t="s">
        <v>122</v>
      </c>
      <c r="O28" s="13"/>
      <c r="P28" s="13"/>
      <c r="Q28" s="13"/>
    </row>
    <row r="29" spans="1:17" s="47" customFormat="1" x14ac:dyDescent="0.4">
      <c r="A29" s="39" t="s">
        <v>1193</v>
      </c>
      <c r="B29" s="37" t="s">
        <v>2855</v>
      </c>
      <c r="C29" s="38" t="str">
        <f>IFERROR([1]!IntrinioBankFinancials(rssd_id,$Q$2,$B$5,$B$4,B29,"K"),"")</f>
        <v/>
      </c>
      <c r="D29" s="37" t="s">
        <v>2916</v>
      </c>
      <c r="E29" s="38" t="str">
        <f>IFERROR([1]!IntrinioBankFinancials(rssd_id,$Q$2,$B$5,$B$4,D29,"K"),"")</f>
        <v/>
      </c>
      <c r="F29" s="37" t="s">
        <v>2964</v>
      </c>
      <c r="G29" s="38" t="str">
        <f>IFERROR([1]!IntrinioBankFinancials(rssd_id,$Q$2,$B$5,$B$4,F29,"K"),"")</f>
        <v/>
      </c>
      <c r="H29" s="37" t="s">
        <v>2855</v>
      </c>
      <c r="I29" s="38" t="str">
        <f>IFERROR([1]!IntrinioBankFinancials(rssd_id,$Q$2,$H$5,$H$4,H29,"K"),"")</f>
        <v/>
      </c>
      <c r="J29" s="37" t="s">
        <v>2916</v>
      </c>
      <c r="K29" s="38" t="str">
        <f>IFERROR([1]!IntrinioBankFinancials(rssd_id,$Q$2,$H$5,$H$4,J29,"K"),"")</f>
        <v/>
      </c>
      <c r="L29" s="37" t="s">
        <v>2964</v>
      </c>
      <c r="M29" s="38" t="str">
        <f>IFERROR([1]!IntrinioBankFinancials(rssd_id,$Q$2,$H$5,$H$4,L29,"K"),"")</f>
        <v/>
      </c>
      <c r="N29" s="49" t="s">
        <v>125</v>
      </c>
      <c r="O29" s="13"/>
      <c r="P29" s="13"/>
      <c r="Q29" s="13"/>
    </row>
    <row r="30" spans="1:17" s="47" customFormat="1" x14ac:dyDescent="0.4">
      <c r="A30" s="39" t="s">
        <v>1194</v>
      </c>
      <c r="B30" s="37" t="s">
        <v>2856</v>
      </c>
      <c r="C30" s="38" t="str">
        <f>IFERROR([1]!IntrinioBankFinancials(rssd_id,$Q$2,$B$5,$B$4,B30,"K"),"")</f>
        <v/>
      </c>
      <c r="D30" s="37" t="s">
        <v>2917</v>
      </c>
      <c r="E30" s="38" t="str">
        <f>IFERROR([1]!IntrinioBankFinancials(rssd_id,$Q$2,$B$5,$B$4,D30,"K"),"")</f>
        <v/>
      </c>
      <c r="F30" s="37" t="s">
        <v>2965</v>
      </c>
      <c r="G30" s="38" t="str">
        <f>IFERROR([1]!IntrinioBankFinancials(rssd_id,$Q$2,$B$5,$B$4,F30,"K"),"")</f>
        <v/>
      </c>
      <c r="H30" s="37" t="s">
        <v>2856</v>
      </c>
      <c r="I30" s="38" t="str">
        <f>IFERROR([1]!IntrinioBankFinancials(rssd_id,$Q$2,$H$5,$H$4,H30,"K"),"")</f>
        <v/>
      </c>
      <c r="J30" s="37" t="s">
        <v>2917</v>
      </c>
      <c r="K30" s="38" t="str">
        <f>IFERROR([1]!IntrinioBankFinancials(rssd_id,$Q$2,$H$5,$H$4,J30,"K"),"")</f>
        <v/>
      </c>
      <c r="L30" s="37" t="s">
        <v>2965</v>
      </c>
      <c r="M30" s="38" t="str">
        <f>IFERROR([1]!IntrinioBankFinancials(rssd_id,$Q$2,$H$5,$H$4,L30,"K"),"")</f>
        <v/>
      </c>
      <c r="N30" s="49">
        <v>6</v>
      </c>
      <c r="O30" s="13"/>
      <c r="P30" s="13"/>
      <c r="Q30" s="13"/>
    </row>
    <row r="31" spans="1:17" s="47" customFormat="1" x14ac:dyDescent="0.4">
      <c r="A31" s="39" t="s">
        <v>390</v>
      </c>
      <c r="B31" s="37"/>
      <c r="C31" s="38" t="str">
        <f>IFERROR([1]!IntrinioBankFinancials(rssd_id,$Q$2,$B$5,$B$4,B31,"K"),"")</f>
        <v/>
      </c>
      <c r="D31" s="37"/>
      <c r="E31" s="38" t="str">
        <f>IFERROR([1]!IntrinioBankFinancials(rssd_id,$Q$2,$B$5,$B$4,D31,"K"),"")</f>
        <v/>
      </c>
      <c r="F31" s="37"/>
      <c r="G31" s="38" t="str">
        <f>IFERROR([1]!IntrinioBankFinancials(rssd_id,$Q$2,$B$5,$B$4,F31,"K"),"")</f>
        <v/>
      </c>
      <c r="H31" s="37"/>
      <c r="I31" s="38" t="str">
        <f>IFERROR([1]!IntrinioBankFinancials(rssd_id,$Q$2,$H$5,$H$4,H31,"K"),"")</f>
        <v/>
      </c>
      <c r="J31" s="37"/>
      <c r="K31" s="38" t="str">
        <f>IFERROR([1]!IntrinioBankFinancials(rssd_id,$Q$2,$H$5,$H$4,J31,"K"),"")</f>
        <v/>
      </c>
      <c r="L31" s="37"/>
      <c r="M31" s="38" t="str">
        <f>IFERROR([1]!IntrinioBankFinancials(rssd_id,$Q$2,$H$5,$H$4,L31,"K"),"")</f>
        <v/>
      </c>
      <c r="N31" s="49">
        <v>7</v>
      </c>
      <c r="O31" s="13"/>
      <c r="P31" s="13"/>
      <c r="Q31" s="13"/>
    </row>
    <row r="32" spans="1:17" s="47" customFormat="1" x14ac:dyDescent="0.4">
      <c r="A32" s="39" t="s">
        <v>41</v>
      </c>
      <c r="B32" s="37" t="s">
        <v>2857</v>
      </c>
      <c r="C32" s="38" t="str">
        <f>IFERROR([1]!IntrinioBankFinancials(rssd_id,$Q$2,$B$5,$B$4,B32,"K"),"")</f>
        <v/>
      </c>
      <c r="D32" s="37" t="s">
        <v>2918</v>
      </c>
      <c r="E32" s="38" t="str">
        <f>IFERROR([1]!IntrinioBankFinancials(rssd_id,$Q$2,$B$5,$B$4,D32,"K"),"")</f>
        <v/>
      </c>
      <c r="F32" s="37" t="s">
        <v>2966</v>
      </c>
      <c r="G32" s="38" t="str">
        <f>IFERROR([1]!IntrinioBankFinancials(rssd_id,$Q$2,$B$5,$B$4,F32,"K"),"")</f>
        <v/>
      </c>
      <c r="H32" s="37" t="s">
        <v>2857</v>
      </c>
      <c r="I32" s="38" t="str">
        <f>IFERROR([1]!IntrinioBankFinancials(rssd_id,$Q$2,$H$5,$H$4,H32,"K"),"")</f>
        <v/>
      </c>
      <c r="J32" s="37" t="s">
        <v>2918</v>
      </c>
      <c r="K32" s="38" t="str">
        <f>IFERROR([1]!IntrinioBankFinancials(rssd_id,$Q$2,$H$5,$H$4,J32,"K"),"")</f>
        <v/>
      </c>
      <c r="L32" s="37" t="s">
        <v>2966</v>
      </c>
      <c r="M32" s="38" t="str">
        <f>IFERROR([1]!IntrinioBankFinancials(rssd_id,$Q$2,$H$5,$H$4,L32,"K"),"")</f>
        <v/>
      </c>
      <c r="N32" s="49">
        <v>8</v>
      </c>
      <c r="O32" s="13"/>
      <c r="P32" s="13"/>
      <c r="Q32" s="13"/>
    </row>
    <row r="33" spans="1:17" s="47" customFormat="1" x14ac:dyDescent="0.4">
      <c r="A33" s="39" t="s">
        <v>393</v>
      </c>
      <c r="B33" s="37" t="s">
        <v>2858</v>
      </c>
      <c r="C33" s="38" t="str">
        <f>IFERROR([1]!IntrinioBankFinancials(rssd_id,$Q$2,$B$5,$B$4,B33,"K"),"")</f>
        <v/>
      </c>
      <c r="D33" s="37" t="s">
        <v>2919</v>
      </c>
      <c r="E33" s="38" t="str">
        <f>IFERROR([1]!IntrinioBankFinancials(rssd_id,$Q$2,$B$5,$B$4,D33,"K"),"")</f>
        <v/>
      </c>
      <c r="F33" s="37" t="s">
        <v>2967</v>
      </c>
      <c r="G33" s="38" t="str">
        <f>IFERROR([1]!IntrinioBankFinancials(rssd_id,$Q$2,$B$5,$B$4,F33,"K"),"")</f>
        <v/>
      </c>
      <c r="H33" s="37" t="s">
        <v>2858</v>
      </c>
      <c r="I33" s="38" t="str">
        <f>IFERROR([1]!IntrinioBankFinancials(rssd_id,$Q$2,$H$5,$H$4,H33,"K"),"")</f>
        <v/>
      </c>
      <c r="J33" s="37" t="s">
        <v>2919</v>
      </c>
      <c r="K33" s="38" t="str">
        <f>IFERROR([1]!IntrinioBankFinancials(rssd_id,$Q$2,$H$5,$H$4,J33,"K"),"")</f>
        <v/>
      </c>
      <c r="L33" s="37" t="s">
        <v>2967</v>
      </c>
      <c r="M33" s="38" t="str">
        <f>IFERROR([1]!IntrinioBankFinancials(rssd_id,$Q$2,$H$5,$H$4,L33,"K"),"")</f>
        <v/>
      </c>
      <c r="N33" s="49">
        <v>9</v>
      </c>
      <c r="O33" s="13"/>
      <c r="P33" s="13"/>
      <c r="Q33" s="13"/>
    </row>
    <row r="34" spans="1:17" s="47" customFormat="1" ht="28.5" x14ac:dyDescent="0.4">
      <c r="A34" s="39" t="s">
        <v>435</v>
      </c>
      <c r="B34" s="37" t="s">
        <v>2859</v>
      </c>
      <c r="C34" s="38" t="str">
        <f>IFERROR([1]!IntrinioBankFinancials(rssd_id,$Q$2,$B$5,$B$4,B34,"K"),"")</f>
        <v/>
      </c>
      <c r="D34" s="37" t="s">
        <v>2920</v>
      </c>
      <c r="E34" s="38" t="str">
        <f>IFERROR([1]!IntrinioBankFinancials(rssd_id,$Q$2,$B$5,$B$4,D34,"K"),"")</f>
        <v/>
      </c>
      <c r="F34" s="37" t="s">
        <v>2968</v>
      </c>
      <c r="G34" s="38" t="str">
        <f>IFERROR([1]!IntrinioBankFinancials(rssd_id,$Q$2,$B$5,$B$4,F34,"K"),"")</f>
        <v/>
      </c>
      <c r="H34" s="37" t="s">
        <v>2859</v>
      </c>
      <c r="I34" s="38" t="str">
        <f>IFERROR([1]!IntrinioBankFinancials(rssd_id,$Q$2,$H$5,$H$4,H34,"K"),"")</f>
        <v/>
      </c>
      <c r="J34" s="37" t="s">
        <v>2920</v>
      </c>
      <c r="K34" s="38" t="str">
        <f>IFERROR([1]!IntrinioBankFinancials(rssd_id,$Q$2,$H$5,$H$4,J34,"K"),"")</f>
        <v/>
      </c>
      <c r="L34" s="37" t="s">
        <v>2968</v>
      </c>
      <c r="M34" s="38" t="str">
        <f>IFERROR([1]!IntrinioBankFinancials(rssd_id,$Q$2,$H$5,$H$4,L34,"K"),"")</f>
        <v/>
      </c>
      <c r="N34" s="49">
        <v>10</v>
      </c>
      <c r="O34" s="13"/>
      <c r="P34" s="13"/>
      <c r="Q34" s="13"/>
    </row>
    <row r="35" spans="1:17" s="47" customFormat="1" x14ac:dyDescent="0.4">
      <c r="A35" s="39" t="s">
        <v>398</v>
      </c>
      <c r="B35" s="37" t="s">
        <v>2860</v>
      </c>
      <c r="C35" s="38" t="str">
        <f>IFERROR([1]!IntrinioBankFinancials(rssd_id,$Q$2,$B$5,$B$4,B35,"K"),"")</f>
        <v/>
      </c>
      <c r="D35" s="37" t="s">
        <v>2921</v>
      </c>
      <c r="E35" s="38" t="str">
        <f>IFERROR([1]!IntrinioBankFinancials(rssd_id,$Q$2,$B$5,$B$4,D35,"K"),"")</f>
        <v/>
      </c>
      <c r="F35" s="37" t="s">
        <v>2969</v>
      </c>
      <c r="G35" s="38" t="str">
        <f>IFERROR([1]!IntrinioBankFinancials(rssd_id,$Q$2,$B$5,$B$4,F35,"K"),"")</f>
        <v/>
      </c>
      <c r="H35" s="37" t="s">
        <v>2860</v>
      </c>
      <c r="I35" s="38" t="str">
        <f>IFERROR([1]!IntrinioBankFinancials(rssd_id,$Q$2,$H$5,$H$4,H35,"K"),"")</f>
        <v/>
      </c>
      <c r="J35" s="37" t="s">
        <v>2921</v>
      </c>
      <c r="K35" s="38" t="str">
        <f>IFERROR([1]!IntrinioBankFinancials(rssd_id,$Q$2,$H$5,$H$4,J35,"K"),"")</f>
        <v/>
      </c>
      <c r="L35" s="37" t="s">
        <v>2969</v>
      </c>
      <c r="M35" s="38" t="str">
        <f>IFERROR([1]!IntrinioBankFinancials(rssd_id,$Q$2,$H$5,$H$4,L35,"K"),"")</f>
        <v/>
      </c>
      <c r="N35" s="49" t="s">
        <v>626</v>
      </c>
      <c r="O35" s="13"/>
      <c r="P35" s="13"/>
      <c r="Q35" s="13"/>
    </row>
    <row r="36" spans="1:17" s="47" customFormat="1" x14ac:dyDescent="0.4">
      <c r="A36" s="39" t="s">
        <v>401</v>
      </c>
      <c r="B36" s="37" t="s">
        <v>2861</v>
      </c>
      <c r="C36" s="38" t="str">
        <f>IFERROR([1]!IntrinioBankFinancials(rssd_id,$Q$2,$B$5,$B$4,B36,"K"),"")</f>
        <v/>
      </c>
      <c r="D36" s="37" t="s">
        <v>2922</v>
      </c>
      <c r="E36" s="38" t="str">
        <f>IFERROR([1]!IntrinioBankFinancials(rssd_id,$Q$2,$B$5,$B$4,D36,"K"),"")</f>
        <v/>
      </c>
      <c r="F36" s="37" t="s">
        <v>2970</v>
      </c>
      <c r="G36" s="38" t="str">
        <f>IFERROR([1]!IntrinioBankFinancials(rssd_id,$Q$2,$B$5,$B$4,F36,"K"),"")</f>
        <v/>
      </c>
      <c r="H36" s="37" t="s">
        <v>2861</v>
      </c>
      <c r="I36" s="38" t="str">
        <f>IFERROR([1]!IntrinioBankFinancials(rssd_id,$Q$2,$H$5,$H$4,H36,"K"),"")</f>
        <v/>
      </c>
      <c r="J36" s="37" t="s">
        <v>2922</v>
      </c>
      <c r="K36" s="38" t="str">
        <f>IFERROR([1]!IntrinioBankFinancials(rssd_id,$Q$2,$H$5,$H$4,J36,"K"),"")</f>
        <v/>
      </c>
      <c r="L36" s="37" t="s">
        <v>2970</v>
      </c>
      <c r="M36" s="38" t="str">
        <f>IFERROR([1]!IntrinioBankFinancials(rssd_id,$Q$2,$H$5,$H$4,L36,"K"),"")</f>
        <v/>
      </c>
      <c r="N36" s="49" t="s">
        <v>627</v>
      </c>
      <c r="O36" s="13"/>
      <c r="P36" s="13"/>
      <c r="Q36" s="13"/>
    </row>
    <row r="37" spans="1:17" s="47" customFormat="1" x14ac:dyDescent="0.4">
      <c r="A37" s="39" t="s">
        <v>2862</v>
      </c>
      <c r="B37" s="37"/>
      <c r="C37" s="38" t="str">
        <f>IFERROR([1]!IntrinioBankFinancials(rssd_id,$Q$2,$B$5,$B$4,B37,"K"),"")</f>
        <v/>
      </c>
      <c r="D37" s="37"/>
      <c r="E37" s="38" t="str">
        <f>IFERROR([1]!IntrinioBankFinancials(rssd_id,$Q$2,$B$5,$B$4,D37,"K"),"")</f>
        <v/>
      </c>
      <c r="F37" s="37"/>
      <c r="G37" s="38" t="str">
        <f>IFERROR([1]!IntrinioBankFinancials(rssd_id,$Q$2,$B$5,$B$4,F37,"K"),"")</f>
        <v/>
      </c>
      <c r="H37" s="37"/>
      <c r="I37" s="38" t="str">
        <f>IFERROR([1]!IntrinioBankFinancials(rssd_id,$Q$2,$H$5,$H$4,H37,"K"),"")</f>
        <v/>
      </c>
      <c r="J37" s="37"/>
      <c r="K37" s="38" t="str">
        <f>IFERROR([1]!IntrinioBankFinancials(rssd_id,$Q$2,$H$5,$H$4,J37,"K"),"")</f>
        <v/>
      </c>
      <c r="L37" s="37"/>
      <c r="M37" s="38" t="str">
        <f>IFERROR([1]!IntrinioBankFinancials(rssd_id,$Q$2,$H$5,$H$4,L37,"K"),"")</f>
        <v/>
      </c>
      <c r="N37" s="49">
        <v>11</v>
      </c>
      <c r="O37" s="13"/>
      <c r="P37" s="13"/>
      <c r="Q37" s="13"/>
    </row>
    <row r="38" spans="1:17" s="47" customFormat="1" x14ac:dyDescent="0.4">
      <c r="A38" s="39" t="s">
        <v>2094</v>
      </c>
      <c r="B38" s="37" t="s">
        <v>2863</v>
      </c>
      <c r="C38" s="38" t="str">
        <f>IFERROR([1]!IntrinioBankFinancials(rssd_id,$Q$2,$B$5,$B$4,B38,"K"),"")</f>
        <v/>
      </c>
      <c r="D38" s="37" t="s">
        <v>2923</v>
      </c>
      <c r="E38" s="38" t="str">
        <f>IFERROR([1]!IntrinioBankFinancials(rssd_id,$Q$2,$B$5,$B$4,D38,"K"),"")</f>
        <v/>
      </c>
      <c r="F38" s="37" t="s">
        <v>2971</v>
      </c>
      <c r="G38" s="38" t="str">
        <f>IFERROR([1]!IntrinioBankFinancials(rssd_id,$Q$2,$B$5,$B$4,F38,"K"),"")</f>
        <v/>
      </c>
      <c r="H38" s="37" t="s">
        <v>2863</v>
      </c>
      <c r="I38" s="38" t="str">
        <f>IFERROR([1]!IntrinioBankFinancials(rssd_id,$Q$2,$H$5,$H$4,H38,"K"),"")</f>
        <v/>
      </c>
      <c r="J38" s="37" t="s">
        <v>2923</v>
      </c>
      <c r="K38" s="38" t="str">
        <f>IFERROR([1]!IntrinioBankFinancials(rssd_id,$Q$2,$H$5,$H$4,J38,"K"),"")</f>
        <v/>
      </c>
      <c r="L38" s="37" t="s">
        <v>2971</v>
      </c>
      <c r="M38" s="38" t="str">
        <f>IFERROR([1]!IntrinioBankFinancials(rssd_id,$Q$2,$H$5,$H$4,L38,"K"),"")</f>
        <v/>
      </c>
      <c r="N38" s="49" t="s">
        <v>1372</v>
      </c>
      <c r="O38" s="13"/>
      <c r="P38" s="13"/>
      <c r="Q38" s="13"/>
    </row>
    <row r="39" spans="1:17" s="47" customFormat="1" x14ac:dyDescent="0.4">
      <c r="A39" s="39" t="s">
        <v>1198</v>
      </c>
      <c r="B39" s="37" t="s">
        <v>2864</v>
      </c>
      <c r="C39" s="38" t="str">
        <f>IFERROR([1]!IntrinioBankFinancials(rssd_id,$Q$2,$B$5,$B$4,B39,"K"),"")</f>
        <v/>
      </c>
      <c r="D39" s="37" t="s">
        <v>2924</v>
      </c>
      <c r="E39" s="38" t="str">
        <f>IFERROR([1]!IntrinioBankFinancials(rssd_id,$Q$2,$B$5,$B$4,D39,"K"),"")</f>
        <v/>
      </c>
      <c r="F39" s="37" t="s">
        <v>2972</v>
      </c>
      <c r="G39" s="38" t="str">
        <f>IFERROR([1]!IntrinioBankFinancials(rssd_id,$Q$2,$B$5,$B$4,F39,"K"),"")</f>
        <v/>
      </c>
      <c r="H39" s="37" t="s">
        <v>2864</v>
      </c>
      <c r="I39" s="38" t="str">
        <f>IFERROR([1]!IntrinioBankFinancials(rssd_id,$Q$2,$H$5,$H$4,H39,"K"),"")</f>
        <v/>
      </c>
      <c r="J39" s="37" t="s">
        <v>2924</v>
      </c>
      <c r="K39" s="38" t="str">
        <f>IFERROR([1]!IntrinioBankFinancials(rssd_id,$Q$2,$H$5,$H$4,J39,"K"),"")</f>
        <v/>
      </c>
      <c r="L39" s="37" t="s">
        <v>2972</v>
      </c>
      <c r="M39" s="38" t="str">
        <f>IFERROR([1]!IntrinioBankFinancials(rssd_id,$Q$2,$H$5,$H$4,L39,"K"),"")</f>
        <v/>
      </c>
      <c r="N39" s="49" t="s">
        <v>1744</v>
      </c>
      <c r="O39" s="13"/>
      <c r="P39" s="13"/>
      <c r="Q39" s="13"/>
    </row>
    <row r="40" spans="1:17" s="47" customFormat="1" ht="28.5" x14ac:dyDescent="0.4">
      <c r="A40" s="39" t="s">
        <v>2865</v>
      </c>
      <c r="B40" s="37" t="s">
        <v>2866</v>
      </c>
      <c r="C40" s="38" t="str">
        <f>IFERROR([1]!IntrinioBankFinancials(rssd_id,$Q$2,$B$5,$B$4,B40,"K"),"")</f>
        <v/>
      </c>
      <c r="D40" s="37" t="s">
        <v>2925</v>
      </c>
      <c r="E40" s="38" t="str">
        <f>IFERROR([1]!IntrinioBankFinancials(rssd_id,$Q$2,$B$5,$B$4,D40,"K"),"")</f>
        <v/>
      </c>
      <c r="F40" s="37" t="s">
        <v>2973</v>
      </c>
      <c r="G40" s="38" t="str">
        <f>IFERROR([1]!IntrinioBankFinancials(rssd_id,$Q$2,$B$5,$B$4,F40,"K"),"")</f>
        <v/>
      </c>
      <c r="H40" s="37" t="s">
        <v>2866</v>
      </c>
      <c r="I40" s="38" t="str">
        <f>IFERROR([1]!IntrinioBankFinancials(rssd_id,$Q$2,$H$5,$H$4,H40,"K"),"")</f>
        <v/>
      </c>
      <c r="J40" s="37" t="s">
        <v>2925</v>
      </c>
      <c r="K40" s="38" t="str">
        <f>IFERROR([1]!IntrinioBankFinancials(rssd_id,$Q$2,$H$5,$H$4,J40,"K"),"")</f>
        <v/>
      </c>
      <c r="L40" s="37" t="s">
        <v>2973</v>
      </c>
      <c r="M40" s="38" t="str">
        <f>IFERROR([1]!IntrinioBankFinancials(rssd_id,$Q$2,$H$5,$H$4,L40,"K"),"")</f>
        <v/>
      </c>
      <c r="N40" s="49" t="s">
        <v>1749</v>
      </c>
      <c r="O40" s="13"/>
      <c r="P40" s="13"/>
      <c r="Q40" s="13"/>
    </row>
    <row r="41" spans="1:17" s="47" customFormat="1" ht="42.75" x14ac:dyDescent="0.4">
      <c r="A41" s="39" t="s">
        <v>2867</v>
      </c>
      <c r="B41" s="37" t="s">
        <v>2868</v>
      </c>
      <c r="C41" s="38" t="str">
        <f>IFERROR([1]!IntrinioBankFinancials(rssd_id,$Q$2,$B$5,$B$4,B41,"K"),"")</f>
        <v/>
      </c>
      <c r="D41" s="37" t="s">
        <v>2926</v>
      </c>
      <c r="E41" s="38" t="str">
        <f>IFERROR([1]!IntrinioBankFinancials(rssd_id,$Q$2,$B$5,$B$4,D41,"K"),"")</f>
        <v/>
      </c>
      <c r="F41" s="37" t="s">
        <v>2974</v>
      </c>
      <c r="G41" s="38" t="str">
        <f>IFERROR([1]!IntrinioBankFinancials(rssd_id,$Q$2,$B$5,$B$4,F41,"K"),"")</f>
        <v/>
      </c>
      <c r="H41" s="37" t="s">
        <v>2868</v>
      </c>
      <c r="I41" s="38" t="str">
        <f>IFERROR([1]!IntrinioBankFinancials(rssd_id,$Q$2,$H$5,$H$4,H41,"K"),"")</f>
        <v/>
      </c>
      <c r="J41" s="37" t="s">
        <v>2926</v>
      </c>
      <c r="K41" s="38" t="str">
        <f>IFERROR([1]!IntrinioBankFinancials(rssd_id,$Q$2,$H$5,$H$4,J41,"K"),"")</f>
        <v/>
      </c>
      <c r="L41" s="37" t="s">
        <v>2974</v>
      </c>
      <c r="M41" s="38" t="str">
        <f>IFERROR([1]!IntrinioBankFinancials(rssd_id,$Q$2,$H$5,$H$4,L41,"K"),"")</f>
        <v/>
      </c>
      <c r="N41" s="49" t="s">
        <v>1754</v>
      </c>
      <c r="O41" s="13"/>
      <c r="P41" s="13"/>
      <c r="Q41" s="13"/>
    </row>
    <row r="42" spans="1:17" s="47" customFormat="1" ht="28.5" x14ac:dyDescent="0.4">
      <c r="A42" s="39" t="s">
        <v>1742</v>
      </c>
      <c r="B42" s="37" t="s">
        <v>2869</v>
      </c>
      <c r="C42" s="38" t="str">
        <f>IFERROR([1]!IntrinioBankFinancials(rssd_id,$Q$2,$B$5,$B$4,B42,"K"),"")</f>
        <v/>
      </c>
      <c r="D42" s="37" t="s">
        <v>2927</v>
      </c>
      <c r="E42" s="38" t="str">
        <f>IFERROR([1]!IntrinioBankFinancials(rssd_id,$Q$2,$B$5,$B$4,D42,"K"),"")</f>
        <v/>
      </c>
      <c r="F42" s="37" t="s">
        <v>2975</v>
      </c>
      <c r="G42" s="38" t="str">
        <f>IFERROR([1]!IntrinioBankFinancials(rssd_id,$Q$2,$B$5,$B$4,F42,"K"),"")</f>
        <v/>
      </c>
      <c r="H42" s="37" t="s">
        <v>2869</v>
      </c>
      <c r="I42" s="38" t="str">
        <f>IFERROR([1]!IntrinioBankFinancials(rssd_id,$Q$2,$H$5,$H$4,H42,"K"),"")</f>
        <v/>
      </c>
      <c r="J42" s="37" t="s">
        <v>2927</v>
      </c>
      <c r="K42" s="38" t="str">
        <f>IFERROR([1]!IntrinioBankFinancials(rssd_id,$Q$2,$H$5,$H$4,J42,"K"),"")</f>
        <v/>
      </c>
      <c r="L42" s="37" t="s">
        <v>2975</v>
      </c>
      <c r="M42" s="38" t="str">
        <f>IFERROR([1]!IntrinioBankFinancials(rssd_id,$Q$2,$H$5,$H$4,L42,"K"),"")</f>
        <v/>
      </c>
      <c r="N42" s="49" t="s">
        <v>1759</v>
      </c>
      <c r="O42" s="13"/>
      <c r="P42" s="13"/>
      <c r="Q42" s="13"/>
    </row>
    <row r="43" spans="1:17" s="47" customFormat="1" ht="28.5" x14ac:dyDescent="0.4">
      <c r="A43" s="39" t="s">
        <v>2870</v>
      </c>
      <c r="B43" s="37" t="s">
        <v>2871</v>
      </c>
      <c r="C43" s="38" t="str">
        <f>IFERROR([1]!IntrinioBankFinancials(rssd_id,$Q$2,$B$5,$B$4,B43,"K"),"")</f>
        <v/>
      </c>
      <c r="D43" s="37" t="s">
        <v>2928</v>
      </c>
      <c r="E43" s="38" t="str">
        <f>IFERROR([1]!IntrinioBankFinancials(rssd_id,$Q$2,$B$5,$B$4,D43,"K"),"")</f>
        <v/>
      </c>
      <c r="F43" s="37" t="s">
        <v>2976</v>
      </c>
      <c r="G43" s="38" t="str">
        <f>IFERROR([1]!IntrinioBankFinancials(rssd_id,$Q$2,$B$5,$B$4,F43,"K"),"")</f>
        <v/>
      </c>
      <c r="H43" s="37" t="s">
        <v>2871</v>
      </c>
      <c r="I43" s="38" t="str">
        <f>IFERROR([1]!IntrinioBankFinancials(rssd_id,$Q$2,$H$5,$H$4,H43,"K"),"")</f>
        <v/>
      </c>
      <c r="J43" s="37" t="s">
        <v>2928</v>
      </c>
      <c r="K43" s="38" t="str">
        <f>IFERROR([1]!IntrinioBankFinancials(rssd_id,$Q$2,$H$5,$H$4,J43,"K"),"")</f>
        <v/>
      </c>
      <c r="L43" s="37" t="s">
        <v>2976</v>
      </c>
      <c r="M43" s="38" t="str">
        <f>IFERROR([1]!IntrinioBankFinancials(rssd_id,$Q$2,$H$5,$H$4,L43,"K"),"")</f>
        <v/>
      </c>
      <c r="N43" s="49" t="s">
        <v>1760</v>
      </c>
      <c r="O43" s="13"/>
      <c r="P43" s="13"/>
      <c r="Q43" s="13"/>
    </row>
    <row r="44" spans="1:17" s="47" customFormat="1" ht="28.5" x14ac:dyDescent="0.4">
      <c r="A44" s="39" t="s">
        <v>2872</v>
      </c>
      <c r="B44" s="37"/>
      <c r="C44" s="38" t="str">
        <f>IFERROR([1]!IntrinioBankFinancials(rssd_id,$Q$2,$B$5,$B$4,B44,"K"),"")</f>
        <v/>
      </c>
      <c r="D44" s="37"/>
      <c r="E44" s="38" t="str">
        <f>IFERROR([1]!IntrinioBankFinancials(rssd_id,$Q$2,$B$5,$B$4,D44,"K"),"")</f>
        <v/>
      </c>
      <c r="F44" s="37"/>
      <c r="G44" s="38" t="str">
        <f>IFERROR([1]!IntrinioBankFinancials(rssd_id,$Q$2,$B$5,$B$4,F44,"K"),"")</f>
        <v/>
      </c>
      <c r="H44" s="37"/>
      <c r="I44" s="38" t="str">
        <f>IFERROR([1]!IntrinioBankFinancials(rssd_id,$Q$2,$H$5,$H$4,H44,"K"),"")</f>
        <v/>
      </c>
      <c r="J44" s="37"/>
      <c r="K44" s="38" t="str">
        <f>IFERROR([1]!IntrinioBankFinancials(rssd_id,$Q$2,$H$5,$H$4,J44,"K"),"")</f>
        <v/>
      </c>
      <c r="L44" s="37"/>
      <c r="M44" s="38" t="str">
        <f>IFERROR([1]!IntrinioBankFinancials(rssd_id,$Q$2,$H$5,$H$4,L44,"K"),"")</f>
        <v/>
      </c>
      <c r="N44" s="49" t="s">
        <v>1764</v>
      </c>
      <c r="O44" s="13"/>
      <c r="P44" s="13"/>
      <c r="Q44" s="13"/>
    </row>
    <row r="45" spans="1:17" s="47" customFormat="1" x14ac:dyDescent="0.4">
      <c r="A45" s="39" t="s">
        <v>2873</v>
      </c>
      <c r="B45" s="37"/>
      <c r="C45" s="38" t="str">
        <f>IFERROR([1]!IntrinioBankFinancials(rssd_id,$Q$2,$B$5,$B$4,B45,"K"),"")</f>
        <v/>
      </c>
      <c r="D45" s="37"/>
      <c r="E45" s="38" t="str">
        <f>IFERROR([1]!IntrinioBankFinancials(rssd_id,$Q$2,$B$5,$B$4,D45,"K"),"")</f>
        <v/>
      </c>
      <c r="F45" s="37"/>
      <c r="G45" s="38" t="str">
        <f>IFERROR([1]!IntrinioBankFinancials(rssd_id,$Q$2,$B$5,$B$4,F45,"K"),"")</f>
        <v/>
      </c>
      <c r="H45" s="37"/>
      <c r="I45" s="38" t="str">
        <f>IFERROR([1]!IntrinioBankFinancials(rssd_id,$Q$2,$H$5,$H$4,H45,"K"),"")</f>
        <v/>
      </c>
      <c r="J45" s="37"/>
      <c r="K45" s="38" t="str">
        <f>IFERROR([1]!IntrinioBankFinancials(rssd_id,$Q$2,$H$5,$H$4,J45,"K"),"")</f>
        <v/>
      </c>
      <c r="L45" s="37"/>
      <c r="M45" s="38" t="str">
        <f>IFERROR([1]!IntrinioBankFinancials(rssd_id,$Q$2,$H$5,$H$4,L45,"K"),"")</f>
        <v/>
      </c>
      <c r="N45" s="49" t="s">
        <v>1765</v>
      </c>
      <c r="O45" s="13"/>
      <c r="P45" s="13"/>
      <c r="Q45" s="13"/>
    </row>
    <row r="46" spans="1:17" s="47" customFormat="1" x14ac:dyDescent="0.4">
      <c r="A46" s="39" t="s">
        <v>1743</v>
      </c>
      <c r="B46" s="37"/>
      <c r="C46" s="38" t="str">
        <f>IFERROR([1]!IntrinioBankFinancials(rssd_id,$Q$2,$B$5,$B$4,B46,"K"),"")</f>
        <v/>
      </c>
      <c r="D46" s="37"/>
      <c r="E46" s="38" t="str">
        <f>IFERROR([1]!IntrinioBankFinancials(rssd_id,$Q$2,$B$5,$B$4,D46,"K"),"")</f>
        <v/>
      </c>
      <c r="F46" s="37"/>
      <c r="G46" s="38" t="str">
        <f>IFERROR([1]!IntrinioBankFinancials(rssd_id,$Q$2,$B$5,$B$4,F46,"K"),"")</f>
        <v/>
      </c>
      <c r="H46" s="37"/>
      <c r="I46" s="38" t="str">
        <f>IFERROR([1]!IntrinioBankFinancials(rssd_id,$Q$2,$H$5,$H$4,H46,"K"),"")</f>
        <v/>
      </c>
      <c r="J46" s="37"/>
      <c r="K46" s="38" t="str">
        <f>IFERROR([1]!IntrinioBankFinancials(rssd_id,$Q$2,$H$5,$H$4,J46,"K"),"")</f>
        <v/>
      </c>
      <c r="L46" s="37"/>
      <c r="M46" s="38" t="str">
        <f>IFERROR([1]!IntrinioBankFinancials(rssd_id,$Q$2,$H$5,$H$4,L46,"K"),"")</f>
        <v/>
      </c>
      <c r="N46" s="49" t="s">
        <v>1769</v>
      </c>
      <c r="O46" s="13"/>
      <c r="P46" s="13"/>
      <c r="Q46" s="13"/>
    </row>
    <row r="47" spans="1:17" s="47" customFormat="1" x14ac:dyDescent="0.4">
      <c r="A47" s="39" t="s">
        <v>1745</v>
      </c>
      <c r="B47" s="37" t="s">
        <v>1746</v>
      </c>
      <c r="C47" s="38" t="str">
        <f>IFERROR([1]!IntrinioBankFinancials(rssd_id,$Q$2,$B$5,$B$4,B47,"K"),"")</f>
        <v/>
      </c>
      <c r="D47" s="37" t="s">
        <v>1747</v>
      </c>
      <c r="E47" s="38" t="str">
        <f>IFERROR([1]!IntrinioBankFinancials(rssd_id,$Q$2,$B$5,$B$4,D47,"K"),"")</f>
        <v/>
      </c>
      <c r="F47" s="37" t="s">
        <v>1748</v>
      </c>
      <c r="G47" s="38" t="str">
        <f>IFERROR([1]!IntrinioBankFinancials(rssd_id,$Q$2,$B$5,$B$4,F47,"K"),"")</f>
        <v/>
      </c>
      <c r="H47" s="37" t="s">
        <v>1746</v>
      </c>
      <c r="I47" s="38" t="str">
        <f>IFERROR([1]!IntrinioBankFinancials(rssd_id,$Q$2,$H$5,$H$4,H47,"K"),"")</f>
        <v/>
      </c>
      <c r="J47" s="37" t="s">
        <v>1747</v>
      </c>
      <c r="K47" s="38" t="str">
        <f>IFERROR([1]!IntrinioBankFinancials(rssd_id,$Q$2,$H$5,$H$4,J47,"K"),"")</f>
        <v/>
      </c>
      <c r="L47" s="37" t="s">
        <v>1748</v>
      </c>
      <c r="M47" s="38" t="str">
        <f>IFERROR([1]!IntrinioBankFinancials(rssd_id,$Q$2,$H$5,$H$4,L47,"K"),"")</f>
        <v/>
      </c>
      <c r="N47" s="49" t="s">
        <v>1773</v>
      </c>
      <c r="O47" s="13"/>
      <c r="P47" s="13"/>
      <c r="Q47" s="13"/>
    </row>
    <row r="48" spans="1:17" s="47" customFormat="1" x14ac:dyDescent="0.4">
      <c r="A48" s="39" t="s">
        <v>1750</v>
      </c>
      <c r="B48" s="37" t="s">
        <v>1751</v>
      </c>
      <c r="C48" s="38" t="str">
        <f>IFERROR([1]!IntrinioBankFinancials(rssd_id,$Q$2,$B$5,$B$4,B48,"K"),"")</f>
        <v/>
      </c>
      <c r="D48" s="37" t="s">
        <v>1752</v>
      </c>
      <c r="E48" s="38" t="str">
        <f>IFERROR([1]!IntrinioBankFinancials(rssd_id,$Q$2,$B$5,$B$4,D48,"K"),"")</f>
        <v/>
      </c>
      <c r="F48" s="37" t="s">
        <v>1753</v>
      </c>
      <c r="G48" s="38" t="str">
        <f>IFERROR([1]!IntrinioBankFinancials(rssd_id,$Q$2,$B$5,$B$4,F48,"K"),"")</f>
        <v/>
      </c>
      <c r="H48" s="37" t="s">
        <v>1751</v>
      </c>
      <c r="I48" s="38" t="str">
        <f>IFERROR([1]!IntrinioBankFinancials(rssd_id,$Q$2,$H$5,$H$4,H48,"K"),"")</f>
        <v/>
      </c>
      <c r="J48" s="37" t="s">
        <v>1752</v>
      </c>
      <c r="K48" s="38" t="str">
        <f>IFERROR([1]!IntrinioBankFinancials(rssd_id,$Q$2,$H$5,$H$4,J48,"K"),"")</f>
        <v/>
      </c>
      <c r="L48" s="37" t="s">
        <v>1753</v>
      </c>
      <c r="M48" s="38" t="str">
        <f>IFERROR([1]!IntrinioBankFinancials(rssd_id,$Q$2,$H$5,$H$4,L48,"K"),"")</f>
        <v/>
      </c>
      <c r="N48" s="49" t="s">
        <v>1777</v>
      </c>
      <c r="O48" s="13"/>
      <c r="P48" s="13"/>
      <c r="Q48" s="13"/>
    </row>
    <row r="49" spans="1:17" s="47" customFormat="1" x14ac:dyDescent="0.4">
      <c r="A49" s="39" t="s">
        <v>1755</v>
      </c>
      <c r="B49" s="37" t="s">
        <v>1756</v>
      </c>
      <c r="C49" s="38" t="str">
        <f>IFERROR([1]!IntrinioBankFinancials(rssd_id,$Q$2,$B$5,$B$4,B49,"K"),"")</f>
        <v/>
      </c>
      <c r="D49" s="37" t="s">
        <v>1757</v>
      </c>
      <c r="E49" s="38" t="str">
        <f>IFERROR([1]!IntrinioBankFinancials(rssd_id,$Q$2,$B$5,$B$4,D49,"K"),"")</f>
        <v/>
      </c>
      <c r="F49" s="37" t="s">
        <v>1758</v>
      </c>
      <c r="G49" s="38" t="str">
        <f>IFERROR([1]!IntrinioBankFinancials(rssd_id,$Q$2,$B$5,$B$4,F49,"K"),"")</f>
        <v/>
      </c>
      <c r="H49" s="37" t="s">
        <v>1756</v>
      </c>
      <c r="I49" s="38" t="str">
        <f>IFERROR([1]!IntrinioBankFinancials(rssd_id,$Q$2,$H$5,$H$4,H49,"K"),"")</f>
        <v/>
      </c>
      <c r="J49" s="37" t="s">
        <v>1757</v>
      </c>
      <c r="K49" s="38" t="str">
        <f>IFERROR([1]!IntrinioBankFinancials(rssd_id,$Q$2,$H$5,$H$4,J49,"K"),"")</f>
        <v/>
      </c>
      <c r="L49" s="37" t="s">
        <v>1758</v>
      </c>
      <c r="M49" s="38" t="str">
        <f>IFERROR([1]!IntrinioBankFinancials(rssd_id,$Q$2,$H$5,$H$4,L49,"K"),"")</f>
        <v/>
      </c>
      <c r="N49" s="49" t="s">
        <v>1779</v>
      </c>
      <c r="O49" s="13"/>
      <c r="P49" s="13"/>
      <c r="Q49" s="13"/>
    </row>
    <row r="50" spans="1:17" s="47" customFormat="1" x14ac:dyDescent="0.4">
      <c r="A50" s="39" t="s">
        <v>961</v>
      </c>
      <c r="B50" s="37"/>
      <c r="C50" s="38" t="str">
        <f>IFERROR([1]!IntrinioBankFinancials(rssd_id,$Q$2,$B$5,$B$4,B50,"K"),"")</f>
        <v/>
      </c>
      <c r="D50" s="37"/>
      <c r="E50" s="38" t="str">
        <f>IFERROR([1]!IntrinioBankFinancials(rssd_id,$Q$2,$B$5,$B$4,D50,"K"),"")</f>
        <v/>
      </c>
      <c r="F50" s="37"/>
      <c r="G50" s="38" t="str">
        <f>IFERROR([1]!IntrinioBankFinancials(rssd_id,$Q$2,$B$5,$B$4,F50,"K"),"")</f>
        <v/>
      </c>
      <c r="H50" s="37"/>
      <c r="I50" s="38" t="str">
        <f>IFERROR([1]!IntrinioBankFinancials(rssd_id,$Q$2,$H$5,$H$4,H50,"K"),"")</f>
        <v/>
      </c>
      <c r="J50" s="37"/>
      <c r="K50" s="38" t="str">
        <f>IFERROR([1]!IntrinioBankFinancials(rssd_id,$Q$2,$H$5,$H$4,J50,"K"),"")</f>
        <v/>
      </c>
      <c r="L50" s="37"/>
      <c r="M50" s="38" t="str">
        <f>IFERROR([1]!IntrinioBankFinancials(rssd_id,$Q$2,$H$5,$H$4,L50,"K"),"")</f>
        <v/>
      </c>
      <c r="N50" s="49" t="s">
        <v>1784</v>
      </c>
      <c r="O50" s="13"/>
      <c r="P50" s="13"/>
      <c r="Q50" s="13"/>
    </row>
    <row r="51" spans="1:17" s="47" customFormat="1" ht="28.5" x14ac:dyDescent="0.4">
      <c r="A51" s="39" t="s">
        <v>963</v>
      </c>
      <c r="B51" s="37" t="s">
        <v>1761</v>
      </c>
      <c r="C51" s="38" t="str">
        <f>IFERROR([1]!IntrinioBankFinancials(rssd_id,$Q$2,$B$5,$B$4,B51,"K"),"")</f>
        <v/>
      </c>
      <c r="D51" s="37" t="s">
        <v>1762</v>
      </c>
      <c r="E51" s="38" t="str">
        <f>IFERROR([1]!IntrinioBankFinancials(rssd_id,$Q$2,$B$5,$B$4,D51,"K"),"")</f>
        <v/>
      </c>
      <c r="F51" s="37" t="s">
        <v>1763</v>
      </c>
      <c r="G51" s="38" t="str">
        <f>IFERROR([1]!IntrinioBankFinancials(rssd_id,$Q$2,$B$5,$B$4,F51,"K"),"")</f>
        <v/>
      </c>
      <c r="H51" s="37" t="s">
        <v>1761</v>
      </c>
      <c r="I51" s="38" t="str">
        <f>IFERROR([1]!IntrinioBankFinancials(rssd_id,$Q$2,$H$5,$H$4,H51,"K"),"")</f>
        <v/>
      </c>
      <c r="J51" s="37" t="s">
        <v>1762</v>
      </c>
      <c r="K51" s="38" t="str">
        <f>IFERROR([1]!IntrinioBankFinancials(rssd_id,$Q$2,$H$5,$H$4,J51,"K"),"")</f>
        <v/>
      </c>
      <c r="L51" s="37" t="s">
        <v>1763</v>
      </c>
      <c r="M51" s="38" t="str">
        <f>IFERROR([1]!IntrinioBankFinancials(rssd_id,$Q$2,$H$5,$H$4,L51,"K"),"")</f>
        <v/>
      </c>
      <c r="N51" s="49" t="s">
        <v>1789</v>
      </c>
      <c r="O51" s="13"/>
      <c r="P51" s="13"/>
      <c r="Q51" s="13"/>
    </row>
    <row r="52" spans="1:17" s="47" customFormat="1" x14ac:dyDescent="0.4">
      <c r="A52" s="39" t="s">
        <v>966</v>
      </c>
      <c r="B52" s="37"/>
      <c r="C52" s="38" t="str">
        <f>IFERROR([1]!IntrinioBankFinancials(rssd_id,$Q$2,$B$5,$B$4,B52,"K"),"")</f>
        <v/>
      </c>
      <c r="D52" s="37"/>
      <c r="E52" s="38" t="str">
        <f>IFERROR([1]!IntrinioBankFinancials(rssd_id,$Q$2,$B$5,$B$4,D52,"K"),"")</f>
        <v/>
      </c>
      <c r="F52" s="37"/>
      <c r="G52" s="38" t="str">
        <f>IFERROR([1]!IntrinioBankFinancials(rssd_id,$Q$2,$B$5,$B$4,F52,"K"),"")</f>
        <v/>
      </c>
      <c r="H52" s="37"/>
      <c r="I52" s="38" t="str">
        <f>IFERROR([1]!IntrinioBankFinancials(rssd_id,$Q$2,$H$5,$H$4,H52,"K"),"")</f>
        <v/>
      </c>
      <c r="J52" s="37"/>
      <c r="K52" s="38" t="str">
        <f>IFERROR([1]!IntrinioBankFinancials(rssd_id,$Q$2,$H$5,$H$4,J52,"K"),"")</f>
        <v/>
      </c>
      <c r="L52" s="37"/>
      <c r="M52" s="38" t="str">
        <f>IFERROR([1]!IntrinioBankFinancials(rssd_id,$Q$2,$H$5,$H$4,L52,"K"),"")</f>
        <v/>
      </c>
      <c r="N52" s="49" t="s">
        <v>1373</v>
      </c>
      <c r="O52" s="13"/>
      <c r="P52" s="13"/>
      <c r="Q52" s="13"/>
    </row>
    <row r="53" spans="1:17" s="47" customFormat="1" x14ac:dyDescent="0.4">
      <c r="A53" s="39" t="s">
        <v>968</v>
      </c>
      <c r="B53" s="37" t="s">
        <v>1766</v>
      </c>
      <c r="C53" s="38" t="str">
        <f>IFERROR([1]!IntrinioBankFinancials(rssd_id,$Q$2,$B$5,$B$4,B53,"K"),"")</f>
        <v/>
      </c>
      <c r="D53" s="37" t="s">
        <v>1767</v>
      </c>
      <c r="E53" s="38" t="str">
        <f>IFERROR([1]!IntrinioBankFinancials(rssd_id,$Q$2,$B$5,$B$4,D53,"K"),"")</f>
        <v/>
      </c>
      <c r="F53" s="37" t="s">
        <v>1768</v>
      </c>
      <c r="G53" s="38" t="str">
        <f>IFERROR([1]!IntrinioBankFinancials(rssd_id,$Q$2,$B$5,$B$4,F53,"K"),"")</f>
        <v/>
      </c>
      <c r="H53" s="37" t="s">
        <v>1766</v>
      </c>
      <c r="I53" s="38" t="str">
        <f>IFERROR([1]!IntrinioBankFinancials(rssd_id,$Q$2,$H$5,$H$4,H53,"K"),"")</f>
        <v/>
      </c>
      <c r="J53" s="37" t="s">
        <v>1767</v>
      </c>
      <c r="K53" s="38" t="str">
        <f>IFERROR([1]!IntrinioBankFinancials(rssd_id,$Q$2,$H$5,$H$4,J53,"K"),"")</f>
        <v/>
      </c>
      <c r="L53" s="37" t="s">
        <v>1768</v>
      </c>
      <c r="M53" s="38" t="str">
        <f>IFERROR([1]!IntrinioBankFinancials(rssd_id,$Q$2,$H$5,$H$4,L53,"K"),"")</f>
        <v/>
      </c>
      <c r="N53" s="49" t="s">
        <v>1374</v>
      </c>
      <c r="O53" s="13"/>
      <c r="P53" s="13"/>
      <c r="Q53" s="13"/>
    </row>
    <row r="54" spans="1:17" s="47" customFormat="1" x14ac:dyDescent="0.4">
      <c r="A54" s="39" t="s">
        <v>971</v>
      </c>
      <c r="B54" s="37" t="s">
        <v>1770</v>
      </c>
      <c r="C54" s="38" t="str">
        <f>IFERROR([1]!IntrinioBankFinancials(rssd_id,$Q$2,$B$5,$B$4,B54,"K"),"")</f>
        <v/>
      </c>
      <c r="D54" s="37" t="s">
        <v>1771</v>
      </c>
      <c r="E54" s="38" t="str">
        <f>IFERROR([1]!IntrinioBankFinancials(rssd_id,$Q$2,$B$5,$B$4,D54,"K"),"")</f>
        <v/>
      </c>
      <c r="F54" s="37" t="s">
        <v>1772</v>
      </c>
      <c r="G54" s="38" t="str">
        <f>IFERROR([1]!IntrinioBankFinancials(rssd_id,$Q$2,$B$5,$B$4,F54,"K"),"")</f>
        <v/>
      </c>
      <c r="H54" s="37" t="s">
        <v>1770</v>
      </c>
      <c r="I54" s="38" t="str">
        <f>IFERROR([1]!IntrinioBankFinancials(rssd_id,$Q$2,$H$5,$H$4,H54,"K"),"")</f>
        <v/>
      </c>
      <c r="J54" s="37" t="s">
        <v>1771</v>
      </c>
      <c r="K54" s="38" t="str">
        <f>IFERROR([1]!IntrinioBankFinancials(rssd_id,$Q$2,$H$5,$H$4,J54,"K"),"")</f>
        <v/>
      </c>
      <c r="L54" s="37" t="s">
        <v>1772</v>
      </c>
      <c r="M54" s="38" t="str">
        <f>IFERROR([1]!IntrinioBankFinancials(rssd_id,$Q$2,$H$5,$H$4,L54,"K"),"")</f>
        <v/>
      </c>
      <c r="N54" s="49" t="s">
        <v>1790</v>
      </c>
      <c r="O54" s="13"/>
      <c r="P54" s="13"/>
      <c r="Q54" s="13"/>
    </row>
    <row r="55" spans="1:17" s="47" customFormat="1" x14ac:dyDescent="0.4">
      <c r="A55" s="39" t="s">
        <v>974</v>
      </c>
      <c r="B55" s="37" t="s">
        <v>1774</v>
      </c>
      <c r="C55" s="38" t="str">
        <f>IFERROR([1]!IntrinioBankFinancials(rssd_id,$Q$2,$B$5,$B$4,B55,"K"),"")</f>
        <v/>
      </c>
      <c r="D55" s="37" t="s">
        <v>1775</v>
      </c>
      <c r="E55" s="38" t="str">
        <f>IFERROR([1]!IntrinioBankFinancials(rssd_id,$Q$2,$B$5,$B$4,D55,"K"),"")</f>
        <v/>
      </c>
      <c r="F55" s="37" t="s">
        <v>1776</v>
      </c>
      <c r="G55" s="38" t="str">
        <f>IFERROR([1]!IntrinioBankFinancials(rssd_id,$Q$2,$B$5,$B$4,F55,"K"),"")</f>
        <v/>
      </c>
      <c r="H55" s="37" t="s">
        <v>1774</v>
      </c>
      <c r="I55" s="38" t="str">
        <f>IFERROR([1]!IntrinioBankFinancials(rssd_id,$Q$2,$H$5,$H$4,H55,"K"),"")</f>
        <v/>
      </c>
      <c r="J55" s="37" t="s">
        <v>1775</v>
      </c>
      <c r="K55" s="38" t="str">
        <f>IFERROR([1]!IntrinioBankFinancials(rssd_id,$Q$2,$H$5,$H$4,J55,"K"),"")</f>
        <v/>
      </c>
      <c r="L55" s="37" t="s">
        <v>1776</v>
      </c>
      <c r="M55" s="38" t="str">
        <f>IFERROR([1]!IntrinioBankFinancials(rssd_id,$Q$2,$H$5,$H$4,L55,"K"),"")</f>
        <v/>
      </c>
      <c r="N55" s="49" t="s">
        <v>1791</v>
      </c>
      <c r="O55" s="13"/>
      <c r="P55" s="13"/>
      <c r="Q55" s="13"/>
    </row>
    <row r="56" spans="1:17" s="47" customFormat="1" x14ac:dyDescent="0.4">
      <c r="A56" s="39" t="s">
        <v>1778</v>
      </c>
      <c r="B56" s="37"/>
      <c r="C56" s="38" t="str">
        <f>IFERROR([1]!IntrinioBankFinancials(rssd_id,$Q$2,$B$5,$B$4,B56,"K"),"")</f>
        <v/>
      </c>
      <c r="D56" s="37"/>
      <c r="E56" s="38" t="str">
        <f>IFERROR([1]!IntrinioBankFinancials(rssd_id,$Q$2,$B$5,$B$4,D56,"K"),"")</f>
        <v/>
      </c>
      <c r="F56" s="37"/>
      <c r="G56" s="38" t="str">
        <f>IFERROR([1]!IntrinioBankFinancials(rssd_id,$Q$2,$B$5,$B$4,F56,"K"),"")</f>
        <v/>
      </c>
      <c r="H56" s="37"/>
      <c r="I56" s="38" t="str">
        <f>IFERROR([1]!IntrinioBankFinancials(rssd_id,$Q$2,$H$5,$H$4,H56,"K"),"")</f>
        <v/>
      </c>
      <c r="J56" s="37"/>
      <c r="K56" s="38" t="str">
        <f>IFERROR([1]!IntrinioBankFinancials(rssd_id,$Q$2,$H$5,$H$4,J56,"K"),"")</f>
        <v/>
      </c>
      <c r="L56" s="37"/>
      <c r="M56" s="38" t="str">
        <f>IFERROR([1]!IntrinioBankFinancials(rssd_id,$Q$2,$H$5,$H$4,L56,"K"),"")</f>
        <v/>
      </c>
      <c r="N56" s="49" t="s">
        <v>1793</v>
      </c>
      <c r="O56" s="13"/>
      <c r="P56" s="13"/>
      <c r="Q56" s="13"/>
    </row>
    <row r="57" spans="1:17" s="47" customFormat="1" x14ac:dyDescent="0.4">
      <c r="A57" s="39" t="s">
        <v>1780</v>
      </c>
      <c r="B57" s="37" t="s">
        <v>1781</v>
      </c>
      <c r="C57" s="38" t="str">
        <f>IFERROR([1]!IntrinioBankFinancials(rssd_id,$Q$2,$B$5,$B$4,B57,"K"),"")</f>
        <v/>
      </c>
      <c r="D57" s="37" t="s">
        <v>1782</v>
      </c>
      <c r="E57" s="38" t="str">
        <f>IFERROR([1]!IntrinioBankFinancials(rssd_id,$Q$2,$B$5,$B$4,D57,"K"),"")</f>
        <v/>
      </c>
      <c r="F57" s="37" t="s">
        <v>1783</v>
      </c>
      <c r="G57" s="38" t="str">
        <f>IFERROR([1]!IntrinioBankFinancials(rssd_id,$Q$2,$B$5,$B$4,F57,"K"),"")</f>
        <v/>
      </c>
      <c r="H57" s="37" t="s">
        <v>1781</v>
      </c>
      <c r="I57" s="38" t="str">
        <f>IFERROR([1]!IntrinioBankFinancials(rssd_id,$Q$2,$H$5,$H$4,H57,"K"),"")</f>
        <v/>
      </c>
      <c r="J57" s="37" t="s">
        <v>1782</v>
      </c>
      <c r="K57" s="38" t="str">
        <f>IFERROR([1]!IntrinioBankFinancials(rssd_id,$Q$2,$H$5,$H$4,J57,"K"),"")</f>
        <v/>
      </c>
      <c r="L57" s="37" t="s">
        <v>1783</v>
      </c>
      <c r="M57" s="38" t="str">
        <f>IFERROR([1]!IntrinioBankFinancials(rssd_id,$Q$2,$H$5,$H$4,L57,"K"),"")</f>
        <v/>
      </c>
      <c r="N57" s="49" t="s">
        <v>1795</v>
      </c>
      <c r="O57" s="13"/>
      <c r="P57" s="13"/>
      <c r="Q57" s="13"/>
    </row>
    <row r="58" spans="1:17" s="47" customFormat="1" x14ac:dyDescent="0.4">
      <c r="A58" s="39" t="s">
        <v>1785</v>
      </c>
      <c r="B58" s="37" t="s">
        <v>1786</v>
      </c>
      <c r="C58" s="38" t="str">
        <f>IFERROR([1]!IntrinioBankFinancials(rssd_id,$Q$2,$B$5,$B$4,B58,"K"),"")</f>
        <v/>
      </c>
      <c r="D58" s="37" t="s">
        <v>1787</v>
      </c>
      <c r="E58" s="38" t="str">
        <f>IFERROR([1]!IntrinioBankFinancials(rssd_id,$Q$2,$B$5,$B$4,D58,"K"),"")</f>
        <v/>
      </c>
      <c r="F58" s="37" t="s">
        <v>1788</v>
      </c>
      <c r="G58" s="38" t="str">
        <f>IFERROR([1]!IntrinioBankFinancials(rssd_id,$Q$2,$B$5,$B$4,F58,"K"),"")</f>
        <v/>
      </c>
      <c r="H58" s="37" t="s">
        <v>1786</v>
      </c>
      <c r="I58" s="38" t="str">
        <f>IFERROR([1]!IntrinioBankFinancials(rssd_id,$Q$2,$H$5,$H$4,H58,"K"),"")</f>
        <v/>
      </c>
      <c r="J58" s="37" t="s">
        <v>1787</v>
      </c>
      <c r="K58" s="38" t="str">
        <f>IFERROR([1]!IntrinioBankFinancials(rssd_id,$Q$2,$H$5,$H$4,J58,"K"),"")</f>
        <v/>
      </c>
      <c r="L58" s="37" t="s">
        <v>1788</v>
      </c>
      <c r="M58" s="38" t="str">
        <f>IFERROR([1]!IntrinioBankFinancials(rssd_id,$Q$2,$H$5,$H$4,L58,"K"),"")</f>
        <v/>
      </c>
      <c r="N58" s="49" t="s">
        <v>1797</v>
      </c>
      <c r="O58" s="13"/>
      <c r="P58" s="13"/>
      <c r="Q58" s="13"/>
    </row>
    <row r="59" spans="1:17" s="47" customFormat="1" x14ac:dyDescent="0.4">
      <c r="A59" s="39" t="s">
        <v>2874</v>
      </c>
      <c r="B59" s="37" t="s">
        <v>2875</v>
      </c>
      <c r="C59" s="38" t="str">
        <f>IFERROR([1]!IntrinioBankFinancials(rssd_id,$Q$2,$B$5,$B$4,B59,"K"),"")</f>
        <v/>
      </c>
      <c r="D59" s="37" t="s">
        <v>2929</v>
      </c>
      <c r="E59" s="38" t="str">
        <f>IFERROR([1]!IntrinioBankFinancials(rssd_id,$Q$2,$B$5,$B$4,D59,"K"),"")</f>
        <v/>
      </c>
      <c r="F59" s="37" t="s">
        <v>2977</v>
      </c>
      <c r="G59" s="38" t="str">
        <f>IFERROR([1]!IntrinioBankFinancials(rssd_id,$Q$2,$B$5,$B$4,F59,"K"),"")</f>
        <v/>
      </c>
      <c r="H59" s="37" t="s">
        <v>2875</v>
      </c>
      <c r="I59" s="38" t="str">
        <f>IFERROR([1]!IntrinioBankFinancials(rssd_id,$Q$2,$H$5,$H$4,H59,"K"),"")</f>
        <v/>
      </c>
      <c r="J59" s="37" t="s">
        <v>2929</v>
      </c>
      <c r="K59" s="38" t="str">
        <f>IFERROR([1]!IntrinioBankFinancials(rssd_id,$Q$2,$H$5,$H$4,J59,"K"),"")</f>
        <v/>
      </c>
      <c r="L59" s="37" t="s">
        <v>2977</v>
      </c>
      <c r="M59" s="38" t="str">
        <f>IFERROR([1]!IntrinioBankFinancials(rssd_id,$Q$2,$H$5,$H$4,L59,"K"),"")</f>
        <v/>
      </c>
      <c r="N59" s="49" t="s">
        <v>1799</v>
      </c>
      <c r="O59" s="13"/>
      <c r="P59" s="13"/>
      <c r="Q59" s="13"/>
    </row>
    <row r="60" spans="1:17" s="47" customFormat="1" x14ac:dyDescent="0.4">
      <c r="A60" s="39" t="s">
        <v>1359</v>
      </c>
      <c r="B60" s="37" t="s">
        <v>2876</v>
      </c>
      <c r="C60" s="38" t="str">
        <f>IFERROR([1]!IntrinioBankFinancials(rssd_id,$Q$2,$B$5,$B$4,B60,"K"),"")</f>
        <v/>
      </c>
      <c r="D60" s="37" t="s">
        <v>2930</v>
      </c>
      <c r="E60" s="38" t="str">
        <f>IFERROR([1]!IntrinioBankFinancials(rssd_id,$Q$2,$B$5,$B$4,D60,"K"),"")</f>
        <v/>
      </c>
      <c r="F60" s="37" t="s">
        <v>2978</v>
      </c>
      <c r="G60" s="38" t="str">
        <f>IFERROR([1]!IntrinioBankFinancials(rssd_id,$Q$2,$B$5,$B$4,F60,"K"),"")</f>
        <v/>
      </c>
      <c r="H60" s="37" t="s">
        <v>2876</v>
      </c>
      <c r="I60" s="38" t="str">
        <f>IFERROR([1]!IntrinioBankFinancials(rssd_id,$Q$2,$H$5,$H$4,H60,"K"),"")</f>
        <v/>
      </c>
      <c r="J60" s="37" t="s">
        <v>2930</v>
      </c>
      <c r="K60" s="38" t="str">
        <f>IFERROR([1]!IntrinioBankFinancials(rssd_id,$Q$2,$H$5,$H$4,J60,"K"),"")</f>
        <v/>
      </c>
      <c r="L60" s="37" t="s">
        <v>2978</v>
      </c>
      <c r="M60" s="38" t="str">
        <f>IFERROR([1]!IntrinioBankFinancials(rssd_id,$Q$2,$H$5,$H$4,L60,"K"),"")</f>
        <v/>
      </c>
      <c r="N60" s="49" t="s">
        <v>1801</v>
      </c>
      <c r="O60" s="13"/>
      <c r="P60" s="13"/>
      <c r="Q60" s="13"/>
    </row>
    <row r="61" spans="1:17" s="47" customFormat="1" x14ac:dyDescent="0.4">
      <c r="A61" s="39" t="s">
        <v>1361</v>
      </c>
      <c r="B61" s="37"/>
      <c r="C61" s="38" t="str">
        <f>IFERROR([1]!IntrinioBankFinancials(rssd_id,$Q$2,$B$5,$B$4,B61,"K"),"")</f>
        <v/>
      </c>
      <c r="D61" s="37"/>
      <c r="E61" s="38" t="str">
        <f>IFERROR([1]!IntrinioBankFinancials(rssd_id,$Q$2,$B$5,$B$4,D61,"K"),"")</f>
        <v/>
      </c>
      <c r="F61" s="37"/>
      <c r="G61" s="38" t="str">
        <f>IFERROR([1]!IntrinioBankFinancials(rssd_id,$Q$2,$B$5,$B$4,F61,"K"),"")</f>
        <v/>
      </c>
      <c r="H61" s="37"/>
      <c r="I61" s="38" t="str">
        <f>IFERROR([1]!IntrinioBankFinancials(rssd_id,$Q$2,$H$5,$H$4,H61,"K"),"")</f>
        <v/>
      </c>
      <c r="J61" s="37"/>
      <c r="K61" s="38" t="str">
        <f>IFERROR([1]!IntrinioBankFinancials(rssd_id,$Q$2,$H$5,$H$4,J61,"K"),"")</f>
        <v/>
      </c>
      <c r="L61" s="37"/>
      <c r="M61" s="38" t="str">
        <f>IFERROR([1]!IntrinioBankFinancials(rssd_id,$Q$2,$H$5,$H$4,L61,"K"),"")</f>
        <v/>
      </c>
      <c r="N61" s="49" t="s">
        <v>1803</v>
      </c>
      <c r="O61" s="13"/>
      <c r="P61" s="13"/>
      <c r="Q61" s="13"/>
    </row>
    <row r="62" spans="1:17" s="47" customFormat="1" x14ac:dyDescent="0.4">
      <c r="A62" s="39" t="s">
        <v>984</v>
      </c>
      <c r="B62" s="37" t="s">
        <v>2877</v>
      </c>
      <c r="C62" s="38" t="str">
        <f>IFERROR([1]!IntrinioBankFinancials(rssd_id,$Q$2,$B$5,$B$4,B62,"K"),"")</f>
        <v/>
      </c>
      <c r="D62" s="37" t="s">
        <v>2931</v>
      </c>
      <c r="E62" s="38" t="str">
        <f>IFERROR([1]!IntrinioBankFinancials(rssd_id,$Q$2,$B$5,$B$4,D62,"K"),"")</f>
        <v/>
      </c>
      <c r="F62" s="37" t="s">
        <v>2979</v>
      </c>
      <c r="G62" s="38" t="str">
        <f>IFERROR([1]!IntrinioBankFinancials(rssd_id,$Q$2,$B$5,$B$4,F62,"K"),"")</f>
        <v/>
      </c>
      <c r="H62" s="37" t="s">
        <v>2877</v>
      </c>
      <c r="I62" s="38" t="str">
        <f>IFERROR([1]!IntrinioBankFinancials(rssd_id,$Q$2,$H$5,$H$4,H62,"K"),"")</f>
        <v/>
      </c>
      <c r="J62" s="37" t="s">
        <v>2931</v>
      </c>
      <c r="K62" s="38" t="str">
        <f>IFERROR([1]!IntrinioBankFinancials(rssd_id,$Q$2,$H$5,$H$4,J62,"K"),"")</f>
        <v/>
      </c>
      <c r="L62" s="37" t="s">
        <v>2979</v>
      </c>
      <c r="M62" s="38" t="str">
        <f>IFERROR([1]!IntrinioBankFinancials(rssd_id,$Q$2,$H$5,$H$4,L62,"K"),"")</f>
        <v/>
      </c>
      <c r="N62" s="49" t="s">
        <v>1804</v>
      </c>
      <c r="O62" s="13"/>
      <c r="P62" s="13"/>
      <c r="Q62" s="13"/>
    </row>
    <row r="63" spans="1:17" s="47" customFormat="1" x14ac:dyDescent="0.4">
      <c r="A63" s="39" t="s">
        <v>1792</v>
      </c>
      <c r="B63" s="37" t="s">
        <v>2878</v>
      </c>
      <c r="C63" s="38" t="str">
        <f>IFERROR([1]!IntrinioBankFinancials(rssd_id,$Q$2,$B$5,$B$4,B63,"K"),"")</f>
        <v/>
      </c>
      <c r="D63" s="37" t="s">
        <v>2932</v>
      </c>
      <c r="E63" s="38" t="str">
        <f>IFERROR([1]!IntrinioBankFinancials(rssd_id,$Q$2,$B$5,$B$4,D63,"K"),"")</f>
        <v/>
      </c>
      <c r="F63" s="37" t="s">
        <v>2980</v>
      </c>
      <c r="G63" s="38" t="str">
        <f>IFERROR([1]!IntrinioBankFinancials(rssd_id,$Q$2,$B$5,$B$4,F63,"K"),"")</f>
        <v/>
      </c>
      <c r="H63" s="37" t="s">
        <v>2878</v>
      </c>
      <c r="I63" s="38" t="str">
        <f>IFERROR([1]!IntrinioBankFinancials(rssd_id,$Q$2,$H$5,$H$4,H63,"K"),"")</f>
        <v/>
      </c>
      <c r="J63" s="37" t="s">
        <v>2932</v>
      </c>
      <c r="K63" s="38" t="str">
        <f>IFERROR([1]!IntrinioBankFinancials(rssd_id,$Q$2,$H$5,$H$4,J63,"K"),"")</f>
        <v/>
      </c>
      <c r="L63" s="37" t="s">
        <v>2980</v>
      </c>
      <c r="M63" s="38" t="str">
        <f>IFERROR([1]!IntrinioBankFinancials(rssd_id,$Q$2,$H$5,$H$4,L63,"K"),"")</f>
        <v/>
      </c>
      <c r="N63" s="49" t="s">
        <v>1806</v>
      </c>
      <c r="O63" s="13"/>
      <c r="P63" s="13"/>
      <c r="Q63" s="13"/>
    </row>
    <row r="64" spans="1:17" s="47" customFormat="1" ht="28.5" x14ac:dyDescent="0.4">
      <c r="A64" s="39" t="s">
        <v>1794</v>
      </c>
      <c r="B64" s="37" t="s">
        <v>2879</v>
      </c>
      <c r="C64" s="38" t="str">
        <f>IFERROR([1]!IntrinioBankFinancials(rssd_id,$Q$2,$B$5,$B$4,B64,"K"),"")</f>
        <v/>
      </c>
      <c r="D64" s="37" t="s">
        <v>2933</v>
      </c>
      <c r="E64" s="38" t="str">
        <f>IFERROR([1]!IntrinioBankFinancials(rssd_id,$Q$2,$B$5,$B$4,D64,"K"),"")</f>
        <v/>
      </c>
      <c r="F64" s="37" t="s">
        <v>2981</v>
      </c>
      <c r="G64" s="38" t="str">
        <f>IFERROR([1]!IntrinioBankFinancials(rssd_id,$Q$2,$B$5,$B$4,F64,"K"),"")</f>
        <v/>
      </c>
      <c r="H64" s="37" t="s">
        <v>2879</v>
      </c>
      <c r="I64" s="38" t="str">
        <f>IFERROR([1]!IntrinioBankFinancials(rssd_id,$Q$2,$H$5,$H$4,H64,"K"),"")</f>
        <v/>
      </c>
      <c r="J64" s="37" t="s">
        <v>2933</v>
      </c>
      <c r="K64" s="38" t="str">
        <f>IFERROR([1]!IntrinioBankFinancials(rssd_id,$Q$2,$H$5,$H$4,J64,"K"),"")</f>
        <v/>
      </c>
      <c r="L64" s="37" t="s">
        <v>2981</v>
      </c>
      <c r="M64" s="38" t="str">
        <f>IFERROR([1]!IntrinioBankFinancials(rssd_id,$Q$2,$H$5,$H$4,L64,"K"),"")</f>
        <v/>
      </c>
      <c r="N64" s="49" t="s">
        <v>1807</v>
      </c>
      <c r="O64" s="13"/>
      <c r="P64" s="13"/>
      <c r="Q64" s="13"/>
    </row>
    <row r="65" spans="1:17" s="47" customFormat="1" x14ac:dyDescent="0.4">
      <c r="A65" s="39" t="s">
        <v>1796</v>
      </c>
      <c r="B65" s="37" t="s">
        <v>2880</v>
      </c>
      <c r="C65" s="38" t="str">
        <f>IFERROR([1]!IntrinioBankFinancials(rssd_id,$Q$2,$B$5,$B$4,B65,"K"),"")</f>
        <v/>
      </c>
      <c r="D65" s="37" t="s">
        <v>2934</v>
      </c>
      <c r="E65" s="38" t="str">
        <f>IFERROR([1]!IntrinioBankFinancials(rssd_id,$Q$2,$B$5,$B$4,D65,"K"),"")</f>
        <v/>
      </c>
      <c r="F65" s="37" t="s">
        <v>2982</v>
      </c>
      <c r="G65" s="38" t="str">
        <f>IFERROR([1]!IntrinioBankFinancials(rssd_id,$Q$2,$B$5,$B$4,F65,"K"),"")</f>
        <v/>
      </c>
      <c r="H65" s="37" t="s">
        <v>2880</v>
      </c>
      <c r="I65" s="38" t="str">
        <f>IFERROR([1]!IntrinioBankFinancials(rssd_id,$Q$2,$H$5,$H$4,H65,"K"),"")</f>
        <v/>
      </c>
      <c r="J65" s="37" t="s">
        <v>2934</v>
      </c>
      <c r="K65" s="38" t="str">
        <f>IFERROR([1]!IntrinioBankFinancials(rssd_id,$Q$2,$H$5,$H$4,J65,"K"),"")</f>
        <v/>
      </c>
      <c r="L65" s="37" t="s">
        <v>2982</v>
      </c>
      <c r="M65" s="38" t="str">
        <f>IFERROR([1]!IntrinioBankFinancials(rssd_id,$Q$2,$H$5,$H$4,L65,"K"),"")</f>
        <v/>
      </c>
      <c r="N65" s="49" t="s">
        <v>936</v>
      </c>
      <c r="O65" s="13"/>
      <c r="P65" s="13"/>
      <c r="Q65" s="13"/>
    </row>
    <row r="66" spans="1:17" s="47" customFormat="1" x14ac:dyDescent="0.4">
      <c r="A66" s="39" t="s">
        <v>1798</v>
      </c>
      <c r="B66" s="37" t="s">
        <v>2881</v>
      </c>
      <c r="C66" s="38" t="str">
        <f>IFERROR([1]!IntrinioBankFinancials(rssd_id,$Q$2,$B$5,$B$4,B66,"K"),"")</f>
        <v/>
      </c>
      <c r="D66" s="37" t="s">
        <v>2935</v>
      </c>
      <c r="E66" s="38" t="str">
        <f>IFERROR([1]!IntrinioBankFinancials(rssd_id,$Q$2,$B$5,$B$4,D66,"K"),"")</f>
        <v/>
      </c>
      <c r="F66" s="37" t="s">
        <v>2983</v>
      </c>
      <c r="G66" s="38" t="str">
        <f>IFERROR([1]!IntrinioBankFinancials(rssd_id,$Q$2,$B$5,$B$4,F66,"K"),"")</f>
        <v/>
      </c>
      <c r="H66" s="37" t="s">
        <v>2881</v>
      </c>
      <c r="I66" s="38" t="str">
        <f>IFERROR([1]!IntrinioBankFinancials(rssd_id,$Q$2,$H$5,$H$4,H66,"K"),"")</f>
        <v/>
      </c>
      <c r="J66" s="37" t="s">
        <v>2935</v>
      </c>
      <c r="K66" s="38" t="str">
        <f>IFERROR([1]!IntrinioBankFinancials(rssd_id,$Q$2,$H$5,$H$4,J66,"K"),"")</f>
        <v/>
      </c>
      <c r="L66" s="37" t="s">
        <v>2983</v>
      </c>
      <c r="M66" s="38" t="str">
        <f>IFERROR([1]!IntrinioBankFinancials(rssd_id,$Q$2,$H$5,$H$4,L66,"K"),"")</f>
        <v/>
      </c>
      <c r="N66" s="49" t="s">
        <v>936</v>
      </c>
      <c r="O66" s="13"/>
      <c r="P66" s="13"/>
      <c r="Q66" s="13"/>
    </row>
    <row r="67" spans="1:17" s="47" customFormat="1" x14ac:dyDescent="0.4">
      <c r="A67" s="39" t="s">
        <v>1800</v>
      </c>
      <c r="B67" s="37" t="s">
        <v>2882</v>
      </c>
      <c r="C67" s="38" t="str">
        <f>IFERROR([1]!IntrinioBankFinancials(rssd_id,$Q$2,$B$5,$B$4,B67,"K"),"")</f>
        <v/>
      </c>
      <c r="D67" s="37" t="s">
        <v>2936</v>
      </c>
      <c r="E67" s="38" t="str">
        <f>IFERROR([1]!IntrinioBankFinancials(rssd_id,$Q$2,$B$5,$B$4,D67,"K"),"")</f>
        <v/>
      </c>
      <c r="F67" s="37" t="s">
        <v>2984</v>
      </c>
      <c r="G67" s="38" t="str">
        <f>IFERROR([1]!IntrinioBankFinancials(rssd_id,$Q$2,$B$5,$B$4,F67,"K"),"")</f>
        <v/>
      </c>
      <c r="H67" s="37" t="s">
        <v>2882</v>
      </c>
      <c r="I67" s="38" t="str">
        <f>IFERROR([1]!IntrinioBankFinancials(rssd_id,$Q$2,$H$5,$H$4,H67,"K"),"")</f>
        <v/>
      </c>
      <c r="J67" s="37" t="s">
        <v>2936</v>
      </c>
      <c r="K67" s="38" t="str">
        <f>IFERROR([1]!IntrinioBankFinancials(rssd_id,$Q$2,$H$5,$H$4,J67,"K"),"")</f>
        <v/>
      </c>
      <c r="L67" s="37" t="s">
        <v>2984</v>
      </c>
      <c r="M67" s="38" t="str">
        <f>IFERROR([1]!IntrinioBankFinancials(rssd_id,$Q$2,$H$5,$H$4,L67,"K"),"")</f>
        <v/>
      </c>
      <c r="N67" s="49" t="s">
        <v>210</v>
      </c>
      <c r="O67" s="13"/>
      <c r="P67" s="13"/>
      <c r="Q67" s="13"/>
    </row>
    <row r="68" spans="1:17" s="47" customFormat="1" x14ac:dyDescent="0.4">
      <c r="A68" s="39" t="s">
        <v>1802</v>
      </c>
      <c r="B68" s="37" t="s">
        <v>2883</v>
      </c>
      <c r="C68" s="38" t="str">
        <f>IFERROR([1]!IntrinioBankFinancials(rssd_id,$Q$2,$B$5,$B$4,B68,"K"),"")</f>
        <v/>
      </c>
      <c r="D68" s="37" t="s">
        <v>2937</v>
      </c>
      <c r="E68" s="38" t="str">
        <f>IFERROR([1]!IntrinioBankFinancials(rssd_id,$Q$2,$B$5,$B$4,D68,"K"),"")</f>
        <v/>
      </c>
      <c r="F68" s="37" t="s">
        <v>2985</v>
      </c>
      <c r="G68" s="38" t="str">
        <f>IFERROR([1]!IntrinioBankFinancials(rssd_id,$Q$2,$B$5,$B$4,F68,"K"),"")</f>
        <v/>
      </c>
      <c r="H68" s="37" t="s">
        <v>2883</v>
      </c>
      <c r="I68" s="38" t="str">
        <f>IFERROR([1]!IntrinioBankFinancials(rssd_id,$Q$2,$H$5,$H$4,H68,"K"),"")</f>
        <v/>
      </c>
      <c r="J68" s="37" t="s">
        <v>2937</v>
      </c>
      <c r="K68" s="38" t="str">
        <f>IFERROR([1]!IntrinioBankFinancials(rssd_id,$Q$2,$H$5,$H$4,J68,"K"),"")</f>
        <v/>
      </c>
      <c r="L68" s="37" t="s">
        <v>2985</v>
      </c>
      <c r="M68" s="38" t="str">
        <f>IFERROR([1]!IntrinioBankFinancials(rssd_id,$Q$2,$H$5,$H$4,L68,"K"),"")</f>
        <v/>
      </c>
      <c r="N68" s="49" t="s">
        <v>1011</v>
      </c>
      <c r="O68" s="13"/>
      <c r="P68" s="13"/>
      <c r="Q68" s="13"/>
    </row>
    <row r="69" spans="1:17" s="47" customFormat="1" x14ac:dyDescent="0.4">
      <c r="A69" s="39" t="s">
        <v>1805</v>
      </c>
      <c r="B69" s="37" t="s">
        <v>2884</v>
      </c>
      <c r="C69" s="38" t="str">
        <f>IFERROR([1]!IntrinioBankFinancials(rssd_id,$Q$2,$B$5,$B$4,B69,"K"),"")</f>
        <v/>
      </c>
      <c r="D69" s="37" t="s">
        <v>2938</v>
      </c>
      <c r="E69" s="38" t="str">
        <f>IFERROR([1]!IntrinioBankFinancials(rssd_id,$Q$2,$B$5,$B$4,D69,"K"),"")</f>
        <v/>
      </c>
      <c r="F69" s="37" t="s">
        <v>2986</v>
      </c>
      <c r="G69" s="38" t="str">
        <f>IFERROR([1]!IntrinioBankFinancials(rssd_id,$Q$2,$B$5,$B$4,F69,"K"),"")</f>
        <v/>
      </c>
      <c r="H69" s="37" t="s">
        <v>2884</v>
      </c>
      <c r="I69" s="38" t="str">
        <f>IFERROR([1]!IntrinioBankFinancials(rssd_id,$Q$2,$H$5,$H$4,H69,"K"),"")</f>
        <v/>
      </c>
      <c r="J69" s="37" t="s">
        <v>2938</v>
      </c>
      <c r="K69" s="38" t="str">
        <f>IFERROR([1]!IntrinioBankFinancials(rssd_id,$Q$2,$H$5,$H$4,J69,"K"),"")</f>
        <v/>
      </c>
      <c r="L69" s="37" t="s">
        <v>2986</v>
      </c>
      <c r="M69" s="38" t="str">
        <f>IFERROR([1]!IntrinioBankFinancials(rssd_id,$Q$2,$H$5,$H$4,L69,"K"),"")</f>
        <v/>
      </c>
      <c r="N69" s="49" t="s">
        <v>1047</v>
      </c>
      <c r="O69" s="13"/>
      <c r="P69" s="13"/>
      <c r="Q69" s="13"/>
    </row>
    <row r="70" spans="1:17" s="47" customFormat="1" x14ac:dyDescent="0.4">
      <c r="A70" s="39" t="s">
        <v>2885</v>
      </c>
      <c r="B70" s="37" t="s">
        <v>2886</v>
      </c>
      <c r="C70" s="38" t="str">
        <f>IFERROR([1]!IntrinioBankFinancials(rssd_id,$Q$2,$B$5,$B$4,B70,"K"),"")</f>
        <v/>
      </c>
      <c r="D70" s="37" t="s">
        <v>2939</v>
      </c>
      <c r="E70" s="38" t="str">
        <f>IFERROR([1]!IntrinioBankFinancials(rssd_id,$Q$2,$B$5,$B$4,D70,"K"),"")</f>
        <v/>
      </c>
      <c r="F70" s="37" t="s">
        <v>2987</v>
      </c>
      <c r="G70" s="38" t="str">
        <f>IFERROR([1]!IntrinioBankFinancials(rssd_id,$Q$2,$B$5,$B$4,F70,"K"),"")</f>
        <v/>
      </c>
      <c r="H70" s="37" t="s">
        <v>2886</v>
      </c>
      <c r="I70" s="38" t="str">
        <f>IFERROR([1]!IntrinioBankFinancials(rssd_id,$Q$2,$H$5,$H$4,H70,"K"),"")</f>
        <v/>
      </c>
      <c r="J70" s="37" t="s">
        <v>2939</v>
      </c>
      <c r="K70" s="38" t="str">
        <f>IFERROR([1]!IntrinioBankFinancials(rssd_id,$Q$2,$H$5,$H$4,J70,"K"),"")</f>
        <v/>
      </c>
      <c r="L70" s="37" t="s">
        <v>2987</v>
      </c>
      <c r="M70" s="38" t="str">
        <f>IFERROR([1]!IntrinioBankFinancials(rssd_id,$Q$2,$H$5,$H$4,L70,"K"),"")</f>
        <v/>
      </c>
      <c r="N70" s="49" t="s">
        <v>1048</v>
      </c>
      <c r="O70" s="13"/>
      <c r="P70" s="13"/>
      <c r="Q70" s="13"/>
    </row>
    <row r="71" spans="1:17" s="47" customFormat="1" ht="28.5" x14ac:dyDescent="0.4">
      <c r="A71" s="39" t="s">
        <v>2887</v>
      </c>
      <c r="B71" s="37" t="s">
        <v>2888</v>
      </c>
      <c r="C71" s="38" t="str">
        <f>IFERROR([1]!IntrinioBankFinancials(rssd_id,$Q$2,$B$5,$B$4,B71,"K"),"")</f>
        <v/>
      </c>
      <c r="D71" s="37" t="s">
        <v>2940</v>
      </c>
      <c r="E71" s="38" t="str">
        <f>IFERROR([1]!IntrinioBankFinancials(rssd_id,$Q$2,$B$5,$B$4,D71,"K"),"")</f>
        <v/>
      </c>
      <c r="F71" s="37" t="s">
        <v>2988</v>
      </c>
      <c r="G71" s="38" t="str">
        <f>IFERROR([1]!IntrinioBankFinancials(rssd_id,$Q$2,$B$5,$B$4,F71,"K"),"")</f>
        <v/>
      </c>
      <c r="H71" s="37" t="s">
        <v>2888</v>
      </c>
      <c r="I71" s="38" t="str">
        <f>IFERROR([1]!IntrinioBankFinancials(rssd_id,$Q$2,$H$5,$H$4,H71,"K"),"")</f>
        <v/>
      </c>
      <c r="J71" s="37" t="s">
        <v>2940</v>
      </c>
      <c r="K71" s="38" t="str">
        <f>IFERROR([1]!IntrinioBankFinancials(rssd_id,$Q$2,$H$5,$H$4,J71,"K"),"")</f>
        <v/>
      </c>
      <c r="L71" s="37" t="s">
        <v>2988</v>
      </c>
      <c r="M71" s="38" t="str">
        <f>IFERROR([1]!IntrinioBankFinancials(rssd_id,$Q$2,$H$5,$H$4,L71,"K"),"")</f>
        <v/>
      </c>
      <c r="N71" s="49" t="s">
        <v>1056</v>
      </c>
      <c r="O71" s="13"/>
      <c r="P71" s="13"/>
      <c r="Q71" s="13"/>
    </row>
    <row r="72" spans="1:17" s="47" customFormat="1" x14ac:dyDescent="0.4">
      <c r="A72" s="39"/>
      <c r="B72" s="37"/>
      <c r="C72" s="38" t="str">
        <f>IFERROR([1]!IntrinioBankFinancials(rssd_id,$Q$2,$B$5,$B$4,B72,"K"),"")</f>
        <v/>
      </c>
      <c r="D72" s="37"/>
      <c r="E72" s="38" t="str">
        <f>IFERROR([1]!IntrinioBankFinancials(rssd_id,$Q$2,$B$5,$B$4,D72,"K"),"")</f>
        <v/>
      </c>
      <c r="F72" s="37"/>
      <c r="G72" s="38" t="str">
        <f>IFERROR([1]!IntrinioBankFinancials(rssd_id,$Q$2,$B$5,$B$4,F72,"K"),"")</f>
        <v/>
      </c>
      <c r="H72" s="37"/>
      <c r="I72" s="38" t="str">
        <f>IFERROR([1]!IntrinioBankFinancials(rssd_id,$Q$2,$H$5,$H$4,H72,"K"),"")</f>
        <v/>
      </c>
      <c r="J72" s="37"/>
      <c r="K72" s="38" t="str">
        <f>IFERROR([1]!IntrinioBankFinancials(rssd_id,$Q$2,$H$5,$H$4,J72,"K"),"")</f>
        <v/>
      </c>
      <c r="L72" s="37"/>
      <c r="M72" s="38" t="str">
        <f>IFERROR([1]!IntrinioBankFinancials(rssd_id,$Q$2,$H$5,$H$4,L72,"K"),"")</f>
        <v/>
      </c>
      <c r="N72" s="49" t="s">
        <v>1057</v>
      </c>
      <c r="O72" s="13"/>
      <c r="P72" s="13"/>
      <c r="Q72" s="13"/>
    </row>
    <row r="73" spans="1:17" s="47" customFormat="1" x14ac:dyDescent="0.4">
      <c r="A73" s="39" t="s">
        <v>208</v>
      </c>
      <c r="B73" s="37"/>
      <c r="C73" s="38" t="str">
        <f>IFERROR([1]!IntrinioBankFinancials(rssd_id,$Q$2,$B$5,$B$4,B73,"K"),"")</f>
        <v/>
      </c>
      <c r="D73" s="37"/>
      <c r="E73" s="38" t="str">
        <f>IFERROR([1]!IntrinioBankFinancials(rssd_id,$Q$2,$B$5,$B$4,D73,"K"),"")</f>
        <v/>
      </c>
      <c r="F73" s="37"/>
      <c r="G73" s="38" t="str">
        <f>IFERROR([1]!IntrinioBankFinancials(rssd_id,$Q$2,$B$5,$B$4,F73,"K"),"")</f>
        <v/>
      </c>
      <c r="H73" s="37"/>
      <c r="I73" s="38" t="str">
        <f>IFERROR([1]!IntrinioBankFinancials(rssd_id,$Q$2,$H$5,$H$4,H73,"K"),"")</f>
        <v/>
      </c>
      <c r="J73" s="37"/>
      <c r="K73" s="38" t="str">
        <f>IFERROR([1]!IntrinioBankFinancials(rssd_id,$Q$2,$H$5,$H$4,J73,"K"),"")</f>
        <v/>
      </c>
      <c r="L73" s="37"/>
      <c r="M73" s="38" t="str">
        <f>IFERROR([1]!IntrinioBankFinancials(rssd_id,$Q$2,$H$5,$H$4,L73,"K"),"")</f>
        <v/>
      </c>
      <c r="N73" s="49" t="s">
        <v>1062</v>
      </c>
      <c r="O73" s="13"/>
      <c r="P73" s="13"/>
      <c r="Q73" s="13"/>
    </row>
    <row r="74" spans="1:17" s="47" customFormat="1" x14ac:dyDescent="0.4">
      <c r="A74" s="39" t="s">
        <v>936</v>
      </c>
      <c r="B74" s="37"/>
      <c r="C74" s="38" t="str">
        <f>IFERROR([1]!IntrinioBankFinancials(rssd_id,$Q$2,$B$5,$B$4,B74,"K"),"")</f>
        <v/>
      </c>
      <c r="D74" s="37"/>
      <c r="E74" s="38" t="str">
        <f>IFERROR([1]!IntrinioBankFinancials(rssd_id,$Q$2,$B$5,$B$4,D74,"K"),"")</f>
        <v/>
      </c>
      <c r="F74" s="37"/>
      <c r="G74" s="38" t="str">
        <f>IFERROR([1]!IntrinioBankFinancials(rssd_id,$Q$2,$B$5,$B$4,F74,"K"),"")</f>
        <v/>
      </c>
      <c r="H74" s="37"/>
      <c r="I74" s="38" t="str">
        <f>IFERROR([1]!IntrinioBankFinancials(rssd_id,$Q$2,$H$5,$H$4,H74,"K"),"")</f>
        <v/>
      </c>
      <c r="J74" s="37"/>
      <c r="K74" s="38" t="str">
        <f>IFERROR([1]!IntrinioBankFinancials(rssd_id,$Q$2,$H$5,$H$4,J74,"K"),"")</f>
        <v/>
      </c>
      <c r="L74" s="37"/>
      <c r="M74" s="38" t="str">
        <f>IFERROR([1]!IntrinioBankFinancials(rssd_id,$Q$2,$H$5,$H$4,L74,"K"),"")</f>
        <v/>
      </c>
      <c r="N74" s="49" t="s">
        <v>1156</v>
      </c>
      <c r="O74" s="13"/>
      <c r="P74" s="13"/>
      <c r="Q74" s="13"/>
    </row>
    <row r="75" spans="1:17" s="47" customFormat="1" ht="42.75" x14ac:dyDescent="0.4">
      <c r="A75" s="39" t="s">
        <v>1808</v>
      </c>
      <c r="B75" s="37"/>
      <c r="C75" s="38" t="str">
        <f>IFERROR([1]!IntrinioBankFinancials(rssd_id,$Q$2,$B$5,$B$4,B75,"K"),"")</f>
        <v/>
      </c>
      <c r="D75" s="37"/>
      <c r="E75" s="38" t="str">
        <f>IFERROR([1]!IntrinioBankFinancials(rssd_id,$Q$2,$B$5,$B$4,D75,"K"),"")</f>
        <v/>
      </c>
      <c r="F75" s="37"/>
      <c r="G75" s="38" t="str">
        <f>IFERROR([1]!IntrinioBankFinancials(rssd_id,$Q$2,$B$5,$B$4,F75,"K"),"")</f>
        <v/>
      </c>
      <c r="H75" s="37"/>
      <c r="I75" s="38" t="str">
        <f>IFERROR([1]!IntrinioBankFinancials(rssd_id,$Q$2,$H$5,$H$4,H75,"K"),"")</f>
        <v/>
      </c>
      <c r="J75" s="37"/>
      <c r="K75" s="38" t="str">
        <f>IFERROR([1]!IntrinioBankFinancials(rssd_id,$Q$2,$H$5,$H$4,J75,"K"),"")</f>
        <v/>
      </c>
      <c r="L75" s="37"/>
      <c r="M75" s="38" t="str">
        <f>IFERROR([1]!IntrinioBankFinancials(rssd_id,$Q$2,$H$5,$H$4,L75,"K"),"")</f>
        <v/>
      </c>
      <c r="N75" s="49" t="s">
        <v>1157</v>
      </c>
      <c r="O75" s="13"/>
      <c r="P75" s="13"/>
      <c r="Q75" s="13"/>
    </row>
    <row r="76" spans="1:17" s="47" customFormat="1" x14ac:dyDescent="0.4">
      <c r="A76" s="39" t="s">
        <v>2423</v>
      </c>
      <c r="B76" s="37"/>
      <c r="C76" s="38" t="str">
        <f>IFERROR([1]!IntrinioBankFinancials(rssd_id,$Q$2,$B$5,$B$4,B76,"K"),"")</f>
        <v/>
      </c>
      <c r="D76" s="37"/>
      <c r="E76" s="38" t="str">
        <f>IFERROR([1]!IntrinioBankFinancials(rssd_id,$Q$2,$B$5,$B$4,D76,"K"),"")</f>
        <v/>
      </c>
      <c r="F76" s="37"/>
      <c r="G76" s="38" t="str">
        <f>IFERROR([1]!IntrinioBankFinancials(rssd_id,$Q$2,$B$5,$B$4,F76,"K"),"")</f>
        <v/>
      </c>
      <c r="H76" s="37"/>
      <c r="I76" s="38" t="str">
        <f>IFERROR([1]!IntrinioBankFinancials(rssd_id,$Q$2,$H$5,$H$4,H76,"K"),"")</f>
        <v/>
      </c>
      <c r="J76" s="37"/>
      <c r="K76" s="38" t="str">
        <f>IFERROR([1]!IntrinioBankFinancials(rssd_id,$Q$2,$H$5,$H$4,J76,"K"),"")</f>
        <v/>
      </c>
      <c r="L76" s="37"/>
      <c r="M76" s="38" t="str">
        <f>IFERROR([1]!IntrinioBankFinancials(rssd_id,$Q$2,$H$5,$H$4,L76,"K"),"")</f>
        <v/>
      </c>
      <c r="N76" s="49" t="s">
        <v>1159</v>
      </c>
      <c r="O76" s="13"/>
      <c r="P76" s="13"/>
      <c r="Q76" s="13"/>
    </row>
    <row r="77" spans="1:17" s="47" customFormat="1" x14ac:dyDescent="0.4">
      <c r="A77" s="39" t="s">
        <v>353</v>
      </c>
      <c r="B77" s="37" t="s">
        <v>1809</v>
      </c>
      <c r="C77" s="38" t="str">
        <f>IFERROR([1]!IntrinioBankFinancials(rssd_id,$Q$2,$B$5,$B$4,B77,"K"),"")</f>
        <v/>
      </c>
      <c r="D77" s="37" t="s">
        <v>1810</v>
      </c>
      <c r="E77" s="38" t="str">
        <f>IFERROR([1]!IntrinioBankFinancials(rssd_id,$Q$2,$B$5,$B$4,D77,"K"),"")</f>
        <v/>
      </c>
      <c r="F77" s="37" t="s">
        <v>1811</v>
      </c>
      <c r="G77" s="38" t="str">
        <f>IFERROR([1]!IntrinioBankFinancials(rssd_id,$Q$2,$B$5,$B$4,F77,"K"),"")</f>
        <v/>
      </c>
      <c r="H77" s="37" t="s">
        <v>1809</v>
      </c>
      <c r="I77" s="38" t="str">
        <f>IFERROR([1]!IntrinioBankFinancials(rssd_id,$Q$2,$H$5,$H$4,H77,"K"),"")</f>
        <v/>
      </c>
      <c r="J77" s="37" t="s">
        <v>1810</v>
      </c>
      <c r="K77" s="38" t="str">
        <f>IFERROR([1]!IntrinioBankFinancials(rssd_id,$Q$2,$H$5,$H$4,J77,"K"),"")</f>
        <v/>
      </c>
      <c r="L77" s="37" t="s">
        <v>1811</v>
      </c>
      <c r="M77" s="38" t="str">
        <f>IFERROR([1]!IntrinioBankFinancials(rssd_id,$Q$2,$H$5,$H$4,L77,"K"),"")</f>
        <v/>
      </c>
      <c r="N77" s="49" t="s">
        <v>1264</v>
      </c>
      <c r="O77" s="13"/>
      <c r="P77" s="13"/>
      <c r="Q77" s="13"/>
    </row>
    <row r="78" spans="1:17" s="47" customFormat="1" x14ac:dyDescent="0.4">
      <c r="A78" s="39" t="s">
        <v>354</v>
      </c>
      <c r="B78" s="37" t="s">
        <v>1812</v>
      </c>
      <c r="C78" s="38" t="str">
        <f>IFERROR([1]!IntrinioBankFinancials(rssd_id,$Q$2,$B$5,$B$4,B78,"K"),"")</f>
        <v/>
      </c>
      <c r="D78" s="37" t="s">
        <v>1813</v>
      </c>
      <c r="E78" s="38" t="str">
        <f>IFERROR([1]!IntrinioBankFinancials(rssd_id,$Q$2,$B$5,$B$4,D78,"K"),"")</f>
        <v/>
      </c>
      <c r="F78" s="37" t="s">
        <v>1814</v>
      </c>
      <c r="G78" s="38" t="str">
        <f>IFERROR([1]!IntrinioBankFinancials(rssd_id,$Q$2,$B$5,$B$4,F78,"K"),"")</f>
        <v/>
      </c>
      <c r="H78" s="37" t="s">
        <v>1812</v>
      </c>
      <c r="I78" s="38" t="str">
        <f>IFERROR([1]!IntrinioBankFinancials(rssd_id,$Q$2,$H$5,$H$4,H78,"K"),"")</f>
        <v/>
      </c>
      <c r="J78" s="37" t="s">
        <v>1813</v>
      </c>
      <c r="K78" s="38" t="str">
        <f>IFERROR([1]!IntrinioBankFinancials(rssd_id,$Q$2,$H$5,$H$4,J78,"K"),"")</f>
        <v/>
      </c>
      <c r="L78" s="37" t="s">
        <v>1814</v>
      </c>
      <c r="M78" s="38" t="str">
        <f>IFERROR([1]!IntrinioBankFinancials(rssd_id,$Q$2,$H$5,$H$4,L78,"K"),"")</f>
        <v/>
      </c>
      <c r="N78" s="49" t="s">
        <v>1265</v>
      </c>
      <c r="O78" s="13"/>
      <c r="P78" s="13"/>
      <c r="Q78" s="13"/>
    </row>
    <row r="79" spans="1:17" s="47" customFormat="1" x14ac:dyDescent="0.4">
      <c r="A79" s="39" t="s">
        <v>2889</v>
      </c>
      <c r="B79" s="37" t="s">
        <v>1815</v>
      </c>
      <c r="C79" s="38" t="str">
        <f>IFERROR([1]!IntrinioBankFinancials(rssd_id,$Q$2,$B$5,$B$4,B79,"K"),"")</f>
        <v/>
      </c>
      <c r="D79" s="37" t="s">
        <v>1816</v>
      </c>
      <c r="E79" s="38" t="str">
        <f>IFERROR([1]!IntrinioBankFinancials(rssd_id,$Q$2,$B$5,$B$4,D79,"K"),"")</f>
        <v/>
      </c>
      <c r="F79" s="37" t="s">
        <v>1817</v>
      </c>
      <c r="G79" s="38" t="str">
        <f>IFERROR([1]!IntrinioBankFinancials(rssd_id,$Q$2,$B$5,$B$4,F79,"K"),"")</f>
        <v/>
      </c>
      <c r="H79" s="37" t="s">
        <v>1815</v>
      </c>
      <c r="I79" s="38" t="str">
        <f>IFERROR([1]!IntrinioBankFinancials(rssd_id,$Q$2,$H$5,$H$4,H79,"K"),"")</f>
        <v/>
      </c>
      <c r="J79" s="37" t="s">
        <v>1816</v>
      </c>
      <c r="K79" s="38" t="str">
        <f>IFERROR([1]!IntrinioBankFinancials(rssd_id,$Q$2,$H$5,$H$4,J79,"K"),"")</f>
        <v/>
      </c>
      <c r="L79" s="37" t="s">
        <v>1817</v>
      </c>
      <c r="M79" s="38" t="str">
        <f>IFERROR([1]!IntrinioBankFinancials(rssd_id,$Q$2,$H$5,$H$4,L79,"K"),"")</f>
        <v/>
      </c>
      <c r="N79" s="49" t="s">
        <v>1160</v>
      </c>
      <c r="O79" s="13"/>
      <c r="P79" s="13"/>
      <c r="Q79" s="13"/>
    </row>
    <row r="80" spans="1:17" s="47" customFormat="1" x14ac:dyDescent="0.4">
      <c r="A80" s="39" t="s">
        <v>2425</v>
      </c>
      <c r="B80" s="37" t="s">
        <v>1818</v>
      </c>
      <c r="C80" s="38" t="str">
        <f>IFERROR([1]!IntrinioBankFinancials(rssd_id,$Q$2,$B$5,$B$4,B80,"K"),"")</f>
        <v/>
      </c>
      <c r="D80" s="37" t="s">
        <v>1819</v>
      </c>
      <c r="E80" s="38" t="str">
        <f>IFERROR([1]!IntrinioBankFinancials(rssd_id,$Q$2,$B$5,$B$4,D80,"K"),"")</f>
        <v/>
      </c>
      <c r="F80" s="37" t="s">
        <v>1820</v>
      </c>
      <c r="G80" s="38" t="str">
        <f>IFERROR([1]!IntrinioBankFinancials(rssd_id,$Q$2,$B$5,$B$4,F80,"K"),"")</f>
        <v/>
      </c>
      <c r="H80" s="37" t="s">
        <v>1818</v>
      </c>
      <c r="I80" s="38" t="str">
        <f>IFERROR([1]!IntrinioBankFinancials(rssd_id,$Q$2,$H$5,$H$4,H80,"K"),"")</f>
        <v/>
      </c>
      <c r="J80" s="37" t="s">
        <v>1819</v>
      </c>
      <c r="K80" s="38" t="str">
        <f>IFERROR([1]!IntrinioBankFinancials(rssd_id,$Q$2,$H$5,$H$4,J80,"K"),"")</f>
        <v/>
      </c>
      <c r="L80" s="37" t="s">
        <v>1820</v>
      </c>
      <c r="M80" s="38" t="str">
        <f>IFERROR([1]!IntrinioBankFinancials(rssd_id,$Q$2,$H$5,$H$4,L80,"K"),"")</f>
        <v/>
      </c>
      <c r="N80" s="49" t="s">
        <v>1266</v>
      </c>
      <c r="O80" s="13"/>
      <c r="P80" s="13"/>
      <c r="Q80" s="13"/>
    </row>
    <row r="81" spans="1:17" s="47" customFormat="1" x14ac:dyDescent="0.4">
      <c r="A81" s="39" t="s">
        <v>2426</v>
      </c>
      <c r="B81" s="37"/>
      <c r="C81" s="38" t="str">
        <f>IFERROR([1]!IntrinioBankFinancials(rssd_id,$Q$2,$B$5,$B$4,B81,"K"),"")</f>
        <v/>
      </c>
      <c r="D81" s="37"/>
      <c r="E81" s="38" t="str">
        <f>IFERROR([1]!IntrinioBankFinancials(rssd_id,$Q$2,$B$5,$B$4,D81,"K"),"")</f>
        <v/>
      </c>
      <c r="F81" s="37"/>
      <c r="G81" s="38" t="str">
        <f>IFERROR([1]!IntrinioBankFinancials(rssd_id,$Q$2,$B$5,$B$4,F81,"K"),"")</f>
        <v/>
      </c>
      <c r="H81" s="37"/>
      <c r="I81" s="38" t="str">
        <f>IFERROR([1]!IntrinioBankFinancials(rssd_id,$Q$2,$H$5,$H$4,H81,"K"),"")</f>
        <v/>
      </c>
      <c r="J81" s="37"/>
      <c r="K81" s="38" t="str">
        <f>IFERROR([1]!IntrinioBankFinancials(rssd_id,$Q$2,$H$5,$H$4,J81,"K"),"")</f>
        <v/>
      </c>
      <c r="L81" s="37"/>
      <c r="M81" s="38" t="str">
        <f>IFERROR([1]!IntrinioBankFinancials(rssd_id,$Q$2,$H$5,$H$4,L81,"K"),"")</f>
        <v/>
      </c>
      <c r="N81" s="49" t="s">
        <v>1267</v>
      </c>
      <c r="O81" s="13"/>
      <c r="P81" s="13"/>
      <c r="Q81" s="13"/>
    </row>
    <row r="82" spans="1:17" s="47" customFormat="1" x14ac:dyDescent="0.4">
      <c r="A82" s="39" t="s">
        <v>378</v>
      </c>
      <c r="B82" s="37" t="s">
        <v>1821</v>
      </c>
      <c r="C82" s="38" t="str">
        <f>IFERROR([1]!IntrinioBankFinancials(rssd_id,$Q$2,$B$5,$B$4,B82,"K"),"")</f>
        <v/>
      </c>
      <c r="D82" s="37" t="s">
        <v>1822</v>
      </c>
      <c r="E82" s="38" t="str">
        <f>IFERROR([1]!IntrinioBankFinancials(rssd_id,$Q$2,$B$5,$B$4,D82,"K"),"")</f>
        <v/>
      </c>
      <c r="F82" s="37" t="s">
        <v>1823</v>
      </c>
      <c r="G82" s="38" t="str">
        <f>IFERROR([1]!IntrinioBankFinancials(rssd_id,$Q$2,$B$5,$B$4,F82,"K"),"")</f>
        <v/>
      </c>
      <c r="H82" s="37" t="s">
        <v>1821</v>
      </c>
      <c r="I82" s="38" t="str">
        <f>IFERROR([1]!IntrinioBankFinancials(rssd_id,$Q$2,$H$5,$H$4,H82,"K"),"")</f>
        <v/>
      </c>
      <c r="J82" s="37" t="s">
        <v>1822</v>
      </c>
      <c r="K82" s="38" t="str">
        <f>IFERROR([1]!IntrinioBankFinancials(rssd_id,$Q$2,$H$5,$H$4,J82,"K"),"")</f>
        <v/>
      </c>
      <c r="L82" s="37" t="s">
        <v>1823</v>
      </c>
      <c r="M82" s="38" t="str">
        <f>IFERROR([1]!IntrinioBankFinancials(rssd_id,$Q$2,$H$5,$H$4,L82,"K"),"")</f>
        <v/>
      </c>
      <c r="N82" s="49" t="s">
        <v>1268</v>
      </c>
      <c r="O82" s="13"/>
      <c r="P82" s="13"/>
      <c r="Q82" s="13"/>
    </row>
    <row r="83" spans="1:17" s="47" customFormat="1" x14ac:dyDescent="0.4">
      <c r="A83" s="39" t="s">
        <v>382</v>
      </c>
      <c r="B83" s="37" t="s">
        <v>1824</v>
      </c>
      <c r="C83" s="38" t="str">
        <f>IFERROR([1]!IntrinioBankFinancials(rssd_id,$Q$2,$B$5,$B$4,B83,"K"),"")</f>
        <v/>
      </c>
      <c r="D83" s="37" t="s">
        <v>1825</v>
      </c>
      <c r="E83" s="38" t="str">
        <f>IFERROR([1]!IntrinioBankFinancials(rssd_id,$Q$2,$B$5,$B$4,D83,"K"),"")</f>
        <v/>
      </c>
      <c r="F83" s="37" t="s">
        <v>1826</v>
      </c>
      <c r="G83" s="38" t="str">
        <f>IFERROR([1]!IntrinioBankFinancials(rssd_id,$Q$2,$B$5,$B$4,F83,"K"),"")</f>
        <v/>
      </c>
      <c r="H83" s="37" t="s">
        <v>1824</v>
      </c>
      <c r="I83" s="38" t="str">
        <f>IFERROR([1]!IntrinioBankFinancials(rssd_id,$Q$2,$H$5,$H$4,H83,"K"),"")</f>
        <v/>
      </c>
      <c r="J83" s="37" t="s">
        <v>1825</v>
      </c>
      <c r="K83" s="38" t="str">
        <f>IFERROR([1]!IntrinioBankFinancials(rssd_id,$Q$2,$H$5,$H$4,J83,"K"),"")</f>
        <v/>
      </c>
      <c r="L83" s="37" t="s">
        <v>1826</v>
      </c>
      <c r="M83" s="38" t="str">
        <f>IFERROR([1]!IntrinioBankFinancials(rssd_id,$Q$2,$H$5,$H$4,L83,"K"),"")</f>
        <v/>
      </c>
      <c r="N83" s="49" t="s">
        <v>1269</v>
      </c>
      <c r="O83" s="13"/>
      <c r="P83" s="13"/>
      <c r="Q83" s="13"/>
    </row>
    <row r="84" spans="1:17" s="47" customFormat="1" x14ac:dyDescent="0.4">
      <c r="A84" s="39" t="s">
        <v>2427</v>
      </c>
      <c r="B84" s="37"/>
      <c r="C84" s="38" t="str">
        <f>IFERROR([1]!IntrinioBankFinancials(rssd_id,$Q$2,$B$5,$B$4,B84,"K"),"")</f>
        <v/>
      </c>
      <c r="D84" s="37"/>
      <c r="E84" s="38" t="str">
        <f>IFERROR([1]!IntrinioBankFinancials(rssd_id,$Q$2,$B$5,$B$4,D84,"K"),"")</f>
        <v/>
      </c>
      <c r="F84" s="37"/>
      <c r="G84" s="38" t="str">
        <f>IFERROR([1]!IntrinioBankFinancials(rssd_id,$Q$2,$B$5,$B$4,F84,"K"),"")</f>
        <v/>
      </c>
      <c r="H84" s="37"/>
      <c r="I84" s="38" t="str">
        <f>IFERROR([1]!IntrinioBankFinancials(rssd_id,$Q$2,$H$5,$H$4,H84,"K"),"")</f>
        <v/>
      </c>
      <c r="J84" s="37"/>
      <c r="K84" s="38" t="str">
        <f>IFERROR([1]!IntrinioBankFinancials(rssd_id,$Q$2,$H$5,$H$4,J84,"K"),"")</f>
        <v/>
      </c>
      <c r="L84" s="37"/>
      <c r="M84" s="38" t="str">
        <f>IFERROR([1]!IntrinioBankFinancials(rssd_id,$Q$2,$H$5,$H$4,L84,"K"),"")</f>
        <v/>
      </c>
      <c r="N84" s="49" t="s">
        <v>1270</v>
      </c>
      <c r="O84" s="13"/>
      <c r="P84" s="13"/>
      <c r="Q84" s="13"/>
    </row>
    <row r="85" spans="1:17" s="47" customFormat="1" x14ac:dyDescent="0.4">
      <c r="A85" s="39" t="s">
        <v>1210</v>
      </c>
      <c r="B85" s="37" t="s">
        <v>2890</v>
      </c>
      <c r="C85" s="38" t="str">
        <f>IFERROR([1]!IntrinioBankFinancials(rssd_id,$Q$2,$B$5,$B$4,B85,"K"),"")</f>
        <v/>
      </c>
      <c r="D85" s="37" t="s">
        <v>2941</v>
      </c>
      <c r="E85" s="38" t="str">
        <f>IFERROR([1]!IntrinioBankFinancials(rssd_id,$Q$2,$B$5,$B$4,D85,"K"),"")</f>
        <v/>
      </c>
      <c r="F85" s="37" t="s">
        <v>2989</v>
      </c>
      <c r="G85" s="38" t="str">
        <f>IFERROR([1]!IntrinioBankFinancials(rssd_id,$Q$2,$B$5,$B$4,F85,"K"),"")</f>
        <v/>
      </c>
      <c r="H85" s="37" t="s">
        <v>2890</v>
      </c>
      <c r="I85" s="38" t="str">
        <f>IFERROR([1]!IntrinioBankFinancials(rssd_id,$Q$2,$H$5,$H$4,H85,"K"),"")</f>
        <v/>
      </c>
      <c r="J85" s="37" t="s">
        <v>2941</v>
      </c>
      <c r="K85" s="38" t="str">
        <f>IFERROR([1]!IntrinioBankFinancials(rssd_id,$Q$2,$H$5,$H$4,J85,"K"),"")</f>
        <v/>
      </c>
      <c r="L85" s="37" t="s">
        <v>2989</v>
      </c>
      <c r="M85" s="38" t="str">
        <f>IFERROR([1]!IntrinioBankFinancials(rssd_id,$Q$2,$H$5,$H$4,L85,"K"),"")</f>
        <v/>
      </c>
      <c r="N85" s="49" t="s">
        <v>1271</v>
      </c>
      <c r="O85" s="13"/>
      <c r="P85" s="13"/>
      <c r="Q85" s="13"/>
    </row>
    <row r="86" spans="1:17" s="47" customFormat="1" x14ac:dyDescent="0.4">
      <c r="A86" s="39" t="s">
        <v>1211</v>
      </c>
      <c r="B86" s="37" t="s">
        <v>2891</v>
      </c>
      <c r="C86" s="38" t="str">
        <f>IFERROR([1]!IntrinioBankFinancials(rssd_id,$Q$2,$B$5,$B$4,B86,"K"),"")</f>
        <v/>
      </c>
      <c r="D86" s="37" t="s">
        <v>2942</v>
      </c>
      <c r="E86" s="38" t="str">
        <f>IFERROR([1]!IntrinioBankFinancials(rssd_id,$Q$2,$B$5,$B$4,D86,"K"),"")</f>
        <v/>
      </c>
      <c r="F86" s="37" t="s">
        <v>2990</v>
      </c>
      <c r="G86" s="38" t="str">
        <f>IFERROR([1]!IntrinioBankFinancials(rssd_id,$Q$2,$B$5,$B$4,F86,"K"),"")</f>
        <v/>
      </c>
      <c r="H86" s="37" t="s">
        <v>2891</v>
      </c>
      <c r="I86" s="38" t="str">
        <f>IFERROR([1]!IntrinioBankFinancials(rssd_id,$Q$2,$H$5,$H$4,H86,"K"),"")</f>
        <v/>
      </c>
      <c r="J86" s="37" t="s">
        <v>2942</v>
      </c>
      <c r="K86" s="38" t="str">
        <f>IFERROR([1]!IntrinioBankFinancials(rssd_id,$Q$2,$H$5,$H$4,J86,"K"),"")</f>
        <v/>
      </c>
      <c r="L86" s="37" t="s">
        <v>2990</v>
      </c>
      <c r="M86" s="38" t="str">
        <f>IFERROR([1]!IntrinioBankFinancials(rssd_id,$Q$2,$H$5,$H$4,L86,"K"),"")</f>
        <v/>
      </c>
      <c r="N86" s="49" t="s">
        <v>1272</v>
      </c>
      <c r="O86" s="13"/>
      <c r="P86" s="13"/>
      <c r="Q86" s="13"/>
    </row>
    <row r="87" spans="1:17" s="47" customFormat="1" ht="28.5" x14ac:dyDescent="0.4">
      <c r="A87" s="39" t="s">
        <v>1212</v>
      </c>
      <c r="B87" s="37" t="s">
        <v>2892</v>
      </c>
      <c r="C87" s="38" t="str">
        <f>IFERROR([1]!IntrinioBankFinancials(rssd_id,$Q$2,$B$5,$B$4,B87,"K"),"")</f>
        <v/>
      </c>
      <c r="D87" s="37" t="s">
        <v>2943</v>
      </c>
      <c r="E87" s="38" t="str">
        <f>IFERROR([1]!IntrinioBankFinancials(rssd_id,$Q$2,$B$5,$B$4,D87,"K"),"")</f>
        <v/>
      </c>
      <c r="F87" s="37" t="s">
        <v>2991</v>
      </c>
      <c r="G87" s="38" t="str">
        <f>IFERROR([1]!IntrinioBankFinancials(rssd_id,$Q$2,$B$5,$B$4,F87,"K"),"")</f>
        <v/>
      </c>
      <c r="H87" s="37" t="s">
        <v>2892</v>
      </c>
      <c r="I87" s="38" t="str">
        <f>IFERROR([1]!IntrinioBankFinancials(rssd_id,$Q$2,$H$5,$H$4,H87,"K"),"")</f>
        <v/>
      </c>
      <c r="J87" s="37" t="s">
        <v>2943</v>
      </c>
      <c r="K87" s="38" t="str">
        <f>IFERROR([1]!IntrinioBankFinancials(rssd_id,$Q$2,$H$5,$H$4,J87,"K"),"")</f>
        <v/>
      </c>
      <c r="L87" s="37" t="s">
        <v>2991</v>
      </c>
      <c r="M87" s="38" t="str">
        <f>IFERROR([1]!IntrinioBankFinancials(rssd_id,$Q$2,$H$5,$H$4,L87,"K"),"")</f>
        <v/>
      </c>
      <c r="N87" s="49" t="s">
        <v>1273</v>
      </c>
      <c r="O87" s="13"/>
      <c r="P87" s="13"/>
      <c r="Q87" s="13"/>
    </row>
    <row r="88" spans="1:17" s="47" customFormat="1" x14ac:dyDescent="0.4">
      <c r="A88" s="39" t="s">
        <v>2428</v>
      </c>
      <c r="B88" s="37" t="s">
        <v>1827</v>
      </c>
      <c r="C88" s="38" t="str">
        <f>IFERROR([1]!IntrinioBankFinancials(rssd_id,$Q$2,$B$5,$B$4,B88,"K"),"")</f>
        <v/>
      </c>
      <c r="D88" s="37" t="s">
        <v>1828</v>
      </c>
      <c r="E88" s="38" t="str">
        <f>IFERROR([1]!IntrinioBankFinancials(rssd_id,$Q$2,$B$5,$B$4,D88,"K"),"")</f>
        <v/>
      </c>
      <c r="F88" s="37" t="s">
        <v>1829</v>
      </c>
      <c r="G88" s="38" t="str">
        <f>IFERROR([1]!IntrinioBankFinancials(rssd_id,$Q$2,$B$5,$B$4,F88,"K"),"")</f>
        <v/>
      </c>
      <c r="H88" s="37" t="s">
        <v>1827</v>
      </c>
      <c r="I88" s="38" t="str">
        <f>IFERROR([1]!IntrinioBankFinancials(rssd_id,$Q$2,$H$5,$H$4,H88,"K"),"")</f>
        <v/>
      </c>
      <c r="J88" s="37" t="s">
        <v>1828</v>
      </c>
      <c r="K88" s="38" t="str">
        <f>IFERROR([1]!IntrinioBankFinancials(rssd_id,$Q$2,$H$5,$H$4,J88,"K"),"")</f>
        <v/>
      </c>
      <c r="L88" s="37" t="s">
        <v>1829</v>
      </c>
      <c r="M88" s="38" t="str">
        <f>IFERROR([1]!IntrinioBankFinancials(rssd_id,$Q$2,$H$5,$H$4,L88,"K"),"")</f>
        <v/>
      </c>
      <c r="N88" s="49" t="s">
        <v>1274</v>
      </c>
      <c r="O88" s="13"/>
      <c r="P88" s="13"/>
      <c r="Q88" s="13"/>
    </row>
    <row r="89" spans="1:17" s="47" customFormat="1" x14ac:dyDescent="0.4">
      <c r="A89" s="39" t="s">
        <v>1830</v>
      </c>
      <c r="B89" s="37" t="s">
        <v>2893</v>
      </c>
      <c r="C89" s="38" t="str">
        <f>IFERROR([1]!IntrinioBankFinancials(rssd_id,$Q$2,$B$5,$B$4,B89,"K"),"")</f>
        <v/>
      </c>
      <c r="D89" s="37" t="s">
        <v>2944</v>
      </c>
      <c r="E89" s="38" t="str">
        <f>IFERROR([1]!IntrinioBankFinancials(rssd_id,$Q$2,$B$5,$B$4,D89,"K"),"")</f>
        <v/>
      </c>
      <c r="F89" s="37" t="s">
        <v>2992</v>
      </c>
      <c r="G89" s="38" t="str">
        <f>IFERROR([1]!IntrinioBankFinancials(rssd_id,$Q$2,$B$5,$B$4,F89,"K"),"")</f>
        <v/>
      </c>
      <c r="H89" s="37" t="s">
        <v>2893</v>
      </c>
      <c r="I89" s="38" t="str">
        <f>IFERROR([1]!IntrinioBankFinancials(rssd_id,$Q$2,$H$5,$H$4,H89,"K"),"")</f>
        <v/>
      </c>
      <c r="J89" s="37" t="s">
        <v>2944</v>
      </c>
      <c r="K89" s="38" t="str">
        <f>IFERROR([1]!IntrinioBankFinancials(rssd_id,$Q$2,$H$5,$H$4,J89,"K"),"")</f>
        <v/>
      </c>
      <c r="L89" s="37" t="s">
        <v>2992</v>
      </c>
      <c r="M89" s="38" t="str">
        <f>IFERROR([1]!IntrinioBankFinancials(rssd_id,$Q$2,$H$5,$H$4,L89,"K"),"")</f>
        <v/>
      </c>
      <c r="N89" s="49" t="s">
        <v>1275</v>
      </c>
      <c r="O89" s="13"/>
      <c r="P89" s="13"/>
      <c r="Q89" s="13"/>
    </row>
    <row r="90" spans="1:17" s="47" customFormat="1" x14ac:dyDescent="0.4">
      <c r="A90" s="39" t="s">
        <v>1200</v>
      </c>
      <c r="B90" s="37" t="s">
        <v>2894</v>
      </c>
      <c r="C90" s="38" t="str">
        <f>IFERROR([1]!IntrinioBankFinancials(rssd_id,$Q$2,$B$5,$B$4,B90,"K"),"")</f>
        <v/>
      </c>
      <c r="D90" s="37" t="s">
        <v>2945</v>
      </c>
      <c r="E90" s="38" t="str">
        <f>IFERROR([1]!IntrinioBankFinancials(rssd_id,$Q$2,$B$5,$B$4,D90,"K"),"")</f>
        <v/>
      </c>
      <c r="F90" s="37" t="s">
        <v>2993</v>
      </c>
      <c r="G90" s="38" t="str">
        <f>IFERROR([1]!IntrinioBankFinancials(rssd_id,$Q$2,$B$5,$B$4,F90,"K"),"")</f>
        <v/>
      </c>
      <c r="H90" s="37" t="s">
        <v>2894</v>
      </c>
      <c r="I90" s="38" t="str">
        <f>IFERROR([1]!IntrinioBankFinancials(rssd_id,$Q$2,$H$5,$H$4,H90,"K"),"")</f>
        <v/>
      </c>
      <c r="J90" s="37" t="s">
        <v>2945</v>
      </c>
      <c r="K90" s="38" t="str">
        <f>IFERROR([1]!IntrinioBankFinancials(rssd_id,$Q$2,$H$5,$H$4,J90,"K"),"")</f>
        <v/>
      </c>
      <c r="L90" s="37" t="s">
        <v>2993</v>
      </c>
      <c r="M90" s="38" t="str">
        <f>IFERROR([1]!IntrinioBankFinancials(rssd_id,$Q$2,$H$5,$H$4,L90,"K"),"")</f>
        <v/>
      </c>
      <c r="N90" s="49" t="s">
        <v>213</v>
      </c>
      <c r="O90" s="13"/>
      <c r="P90" s="13"/>
      <c r="Q90" s="13"/>
    </row>
    <row r="91" spans="1:17" s="47" customFormat="1" x14ac:dyDescent="0.4">
      <c r="A91" s="39" t="s">
        <v>1213</v>
      </c>
      <c r="B91" s="37"/>
      <c r="C91" s="38" t="str">
        <f>IFERROR([1]!IntrinioBankFinancials(rssd_id,$Q$2,$B$5,$B$4,B91,"K"),"")</f>
        <v/>
      </c>
      <c r="D91" s="37"/>
      <c r="E91" s="38" t="str">
        <f>IFERROR([1]!IntrinioBankFinancials(rssd_id,$Q$2,$B$5,$B$4,D91,"K"),"")</f>
        <v/>
      </c>
      <c r="F91" s="37"/>
      <c r="G91" s="38" t="str">
        <f>IFERROR([1]!IntrinioBankFinancials(rssd_id,$Q$2,$B$5,$B$4,F91,"K"),"")</f>
        <v/>
      </c>
      <c r="H91" s="37"/>
      <c r="I91" s="38" t="str">
        <f>IFERROR([1]!IntrinioBankFinancials(rssd_id,$Q$2,$H$5,$H$4,H91,"K"),"")</f>
        <v/>
      </c>
      <c r="J91" s="37"/>
      <c r="K91" s="38" t="str">
        <f>IFERROR([1]!IntrinioBankFinancials(rssd_id,$Q$2,$H$5,$H$4,J91,"K"),"")</f>
        <v/>
      </c>
      <c r="L91" s="37"/>
      <c r="M91" s="38" t="str">
        <f>IFERROR([1]!IntrinioBankFinancials(rssd_id,$Q$2,$H$5,$H$4,L91,"K"),"")</f>
        <v/>
      </c>
      <c r="N91" s="49" t="s">
        <v>215</v>
      </c>
      <c r="O91" s="13"/>
      <c r="P91" s="13"/>
      <c r="Q91" s="13"/>
    </row>
    <row r="92" spans="1:17" s="47" customFormat="1" x14ac:dyDescent="0.4">
      <c r="A92" s="39" t="s">
        <v>41</v>
      </c>
      <c r="B92" s="37" t="s">
        <v>2895</v>
      </c>
      <c r="C92" s="38" t="str">
        <f>IFERROR([1]!IntrinioBankFinancials(rssd_id,$Q$2,$B$5,$B$4,B92,"K"),"")</f>
        <v/>
      </c>
      <c r="D92" s="37" t="s">
        <v>2946</v>
      </c>
      <c r="E92" s="38" t="str">
        <f>IFERROR([1]!IntrinioBankFinancials(rssd_id,$Q$2,$B$5,$B$4,D92,"K"),"")</f>
        <v/>
      </c>
      <c r="F92" s="37" t="s">
        <v>2994</v>
      </c>
      <c r="G92" s="38" t="str">
        <f>IFERROR([1]!IntrinioBankFinancials(rssd_id,$Q$2,$B$5,$B$4,F92,"K"),"")</f>
        <v/>
      </c>
      <c r="H92" s="37" t="s">
        <v>2895</v>
      </c>
      <c r="I92" s="38" t="str">
        <f>IFERROR([1]!IntrinioBankFinancials(rssd_id,$Q$2,$H$5,$H$4,H92,"K"),"")</f>
        <v/>
      </c>
      <c r="J92" s="37" t="s">
        <v>2946</v>
      </c>
      <c r="K92" s="38" t="str">
        <f>IFERROR([1]!IntrinioBankFinancials(rssd_id,$Q$2,$H$5,$H$4,J92,"K"),"")</f>
        <v/>
      </c>
      <c r="L92" s="37" t="s">
        <v>2994</v>
      </c>
      <c r="M92" s="38" t="str">
        <f>IFERROR([1]!IntrinioBankFinancials(rssd_id,$Q$2,$H$5,$H$4,L92,"K"),"")</f>
        <v/>
      </c>
      <c r="N92" s="49" t="s">
        <v>1063</v>
      </c>
      <c r="O92" s="13"/>
      <c r="P92" s="13"/>
      <c r="Q92" s="13"/>
    </row>
    <row r="93" spans="1:17" s="47" customFormat="1" x14ac:dyDescent="0.4">
      <c r="A93" s="39" t="s">
        <v>393</v>
      </c>
      <c r="B93" s="37" t="s">
        <v>2896</v>
      </c>
      <c r="C93" s="38" t="str">
        <f>IFERROR([1]!IntrinioBankFinancials(rssd_id,$Q$2,$B$5,$B$4,B93,"K"),"")</f>
        <v/>
      </c>
      <c r="D93" s="37" t="s">
        <v>2947</v>
      </c>
      <c r="E93" s="38" t="str">
        <f>IFERROR([1]!IntrinioBankFinancials(rssd_id,$Q$2,$B$5,$B$4,D93,"K"),"")</f>
        <v/>
      </c>
      <c r="F93" s="37" t="s">
        <v>2995</v>
      </c>
      <c r="G93" s="38" t="str">
        <f>IFERROR([1]!IntrinioBankFinancials(rssd_id,$Q$2,$B$5,$B$4,F93,"K"),"")</f>
        <v/>
      </c>
      <c r="H93" s="37" t="s">
        <v>2896</v>
      </c>
      <c r="I93" s="38" t="str">
        <f>IFERROR([1]!IntrinioBankFinancials(rssd_id,$Q$2,$H$5,$H$4,H93,"K"),"")</f>
        <v/>
      </c>
      <c r="J93" s="37" t="s">
        <v>2947</v>
      </c>
      <c r="K93" s="38" t="str">
        <f>IFERROR([1]!IntrinioBankFinancials(rssd_id,$Q$2,$H$5,$H$4,J93,"K"),"")</f>
        <v/>
      </c>
      <c r="L93" s="37" t="s">
        <v>2995</v>
      </c>
      <c r="M93" s="38" t="str">
        <f>IFERROR([1]!IntrinioBankFinancials(rssd_id,$Q$2,$H$5,$H$4,L93,"K"),"")</f>
        <v/>
      </c>
      <c r="N93" s="49" t="s">
        <v>1064</v>
      </c>
      <c r="O93" s="13"/>
      <c r="P93" s="13"/>
      <c r="Q93" s="13"/>
    </row>
    <row r="94" spans="1:17" s="47" customFormat="1" ht="28.5" x14ac:dyDescent="0.4">
      <c r="A94" s="39" t="s">
        <v>435</v>
      </c>
      <c r="B94" s="37" t="s">
        <v>2897</v>
      </c>
      <c r="C94" s="38" t="str">
        <f>IFERROR([1]!IntrinioBankFinancials(rssd_id,$Q$2,$B$5,$B$4,B94,"K"),"")</f>
        <v/>
      </c>
      <c r="D94" s="37" t="s">
        <v>2948</v>
      </c>
      <c r="E94" s="38" t="str">
        <f>IFERROR([1]!IntrinioBankFinancials(rssd_id,$Q$2,$B$5,$B$4,D94,"K"),"")</f>
        <v/>
      </c>
      <c r="F94" s="37" t="s">
        <v>2996</v>
      </c>
      <c r="G94" s="38" t="str">
        <f>IFERROR([1]!IntrinioBankFinancials(rssd_id,$Q$2,$B$5,$B$4,F94,"K"),"")</f>
        <v/>
      </c>
      <c r="H94" s="37" t="s">
        <v>2897</v>
      </c>
      <c r="I94" s="38" t="str">
        <f>IFERROR([1]!IntrinioBankFinancials(rssd_id,$Q$2,$H$5,$H$4,H94,"K"),"")</f>
        <v/>
      </c>
      <c r="J94" s="37" t="s">
        <v>2948</v>
      </c>
      <c r="K94" s="38" t="str">
        <f>IFERROR([1]!IntrinioBankFinancials(rssd_id,$Q$2,$H$5,$H$4,J94,"K"),"")</f>
        <v/>
      </c>
      <c r="L94" s="37" t="s">
        <v>2996</v>
      </c>
      <c r="M94" s="38" t="str">
        <f>IFERROR([1]!IntrinioBankFinancials(rssd_id,$Q$2,$H$5,$H$4,L94,"K"),"")</f>
        <v/>
      </c>
      <c r="N94" s="49" t="s">
        <v>1065</v>
      </c>
      <c r="O94" s="13"/>
      <c r="P94" s="13"/>
      <c r="Q94" s="13"/>
    </row>
    <row r="95" spans="1:17" s="47" customFormat="1" x14ac:dyDescent="0.4">
      <c r="A95" s="39" t="s">
        <v>1214</v>
      </c>
      <c r="B95" s="37" t="s">
        <v>2898</v>
      </c>
      <c r="C95" s="38" t="str">
        <f>IFERROR([1]!IntrinioBankFinancials(rssd_id,$Q$2,$B$5,$B$4,B95,"K"),"")</f>
        <v/>
      </c>
      <c r="D95" s="37" t="s">
        <v>2949</v>
      </c>
      <c r="E95" s="38" t="str">
        <f>IFERROR([1]!IntrinioBankFinancials(rssd_id,$Q$2,$B$5,$B$4,D95,"K"),"")</f>
        <v/>
      </c>
      <c r="F95" s="37" t="s">
        <v>2997</v>
      </c>
      <c r="G95" s="38" t="str">
        <f>IFERROR([1]!IntrinioBankFinancials(rssd_id,$Q$2,$B$5,$B$4,F95,"K"),"")</f>
        <v/>
      </c>
      <c r="H95" s="37" t="s">
        <v>2898</v>
      </c>
      <c r="I95" s="38" t="str">
        <f>IFERROR([1]!IntrinioBankFinancials(rssd_id,$Q$2,$H$5,$H$4,H95,"K"),"")</f>
        <v/>
      </c>
      <c r="J95" s="37" t="s">
        <v>2949</v>
      </c>
      <c r="K95" s="38" t="str">
        <f>IFERROR([1]!IntrinioBankFinancials(rssd_id,$Q$2,$H$5,$H$4,J95,"K"),"")</f>
        <v/>
      </c>
      <c r="L95" s="37" t="s">
        <v>2997</v>
      </c>
      <c r="M95" s="38" t="str">
        <f>IFERROR([1]!IntrinioBankFinancials(rssd_id,$Q$2,$H$5,$H$4,L95,"K"),"")</f>
        <v/>
      </c>
      <c r="N95" s="49" t="s">
        <v>1066</v>
      </c>
      <c r="O95" s="13"/>
      <c r="P95" s="13"/>
      <c r="Q95" s="13"/>
    </row>
    <row r="96" spans="1:17" s="47" customFormat="1" x14ac:dyDescent="0.4">
      <c r="A96" s="39" t="s">
        <v>1215</v>
      </c>
      <c r="B96" s="37" t="s">
        <v>2899</v>
      </c>
      <c r="C96" s="38" t="str">
        <f>IFERROR([1]!IntrinioBankFinancials(rssd_id,$Q$2,$B$5,$B$4,B96,"K"),"")</f>
        <v/>
      </c>
      <c r="D96" s="37" t="s">
        <v>2950</v>
      </c>
      <c r="E96" s="38" t="str">
        <f>IFERROR([1]!IntrinioBankFinancials(rssd_id,$Q$2,$B$5,$B$4,D96,"K"),"")</f>
        <v/>
      </c>
      <c r="F96" s="37" t="s">
        <v>2998</v>
      </c>
      <c r="G96" s="38" t="str">
        <f>IFERROR([1]!IntrinioBankFinancials(rssd_id,$Q$2,$B$5,$B$4,F96,"K"),"")</f>
        <v/>
      </c>
      <c r="H96" s="37" t="s">
        <v>2899</v>
      </c>
      <c r="I96" s="38" t="str">
        <f>IFERROR([1]!IntrinioBankFinancials(rssd_id,$Q$2,$H$5,$H$4,H96,"K"),"")</f>
        <v/>
      </c>
      <c r="J96" s="37" t="s">
        <v>2950</v>
      </c>
      <c r="K96" s="38" t="str">
        <f>IFERROR([1]!IntrinioBankFinancials(rssd_id,$Q$2,$H$5,$H$4,J96,"K"),"")</f>
        <v/>
      </c>
      <c r="L96" s="37" t="s">
        <v>2998</v>
      </c>
      <c r="M96" s="38" t="str">
        <f>IFERROR([1]!IntrinioBankFinancials(rssd_id,$Q$2,$H$5,$H$4,L96,"K"),"")</f>
        <v/>
      </c>
      <c r="N96" s="49" t="s">
        <v>217</v>
      </c>
      <c r="O96" s="13"/>
      <c r="P96" s="13"/>
      <c r="Q96" s="13"/>
    </row>
    <row r="97" spans="1:17" s="47" customFormat="1" ht="28.5" x14ac:dyDescent="0.4">
      <c r="A97" s="39" t="s">
        <v>2900</v>
      </c>
      <c r="B97" s="37" t="s">
        <v>2901</v>
      </c>
      <c r="C97" s="38" t="str">
        <f>IFERROR([1]!IntrinioBankFinancials(rssd_id,$Q$2,$B$5,$B$4,B97,"K"),"")</f>
        <v/>
      </c>
      <c r="D97" s="37" t="s">
        <v>2951</v>
      </c>
      <c r="E97" s="38" t="str">
        <f>IFERROR([1]!IntrinioBankFinancials(rssd_id,$Q$2,$B$5,$B$4,D97,"K"),"")</f>
        <v/>
      </c>
      <c r="F97" s="37" t="s">
        <v>2999</v>
      </c>
      <c r="G97" s="38" t="str">
        <f>IFERROR([1]!IntrinioBankFinancials(rssd_id,$Q$2,$B$5,$B$4,F97,"K"),"")</f>
        <v/>
      </c>
      <c r="H97" s="37" t="s">
        <v>2901</v>
      </c>
      <c r="I97" s="38" t="str">
        <f>IFERROR([1]!IntrinioBankFinancials(rssd_id,$Q$2,$H$5,$H$4,H97,"K"),"")</f>
        <v/>
      </c>
      <c r="J97" s="37" t="s">
        <v>2951</v>
      </c>
      <c r="K97" s="38" t="str">
        <f>IFERROR([1]!IntrinioBankFinancials(rssd_id,$Q$2,$H$5,$H$4,J97,"K"),"")</f>
        <v/>
      </c>
      <c r="L97" s="37" t="s">
        <v>2999</v>
      </c>
      <c r="M97" s="38" t="str">
        <f>IFERROR([1]!IntrinioBankFinancials(rssd_id,$Q$2,$H$5,$H$4,L97,"K"),"")</f>
        <v/>
      </c>
      <c r="N97" s="49" t="s">
        <v>220</v>
      </c>
      <c r="O97" s="13"/>
      <c r="P97" s="13"/>
      <c r="Q97" s="13"/>
    </row>
    <row r="98" spans="1:17" ht="42.75" x14ac:dyDescent="0.4">
      <c r="A98" s="39" t="s">
        <v>1831</v>
      </c>
      <c r="B98" s="37" t="s">
        <v>2902</v>
      </c>
      <c r="C98" s="38" t="str">
        <f>IFERROR([1]!IntrinioBankFinancials(rssd_id,$Q$2,$B$5,$B$4,B98,"K"),"")</f>
        <v/>
      </c>
      <c r="D98" s="37" t="s">
        <v>2952</v>
      </c>
      <c r="E98" s="38" t="str">
        <f>IFERROR([1]!IntrinioBankFinancials(rssd_id,$Q$2,$B$5,$B$4,D98,"K"),"")</f>
        <v/>
      </c>
      <c r="F98" s="37" t="s">
        <v>3000</v>
      </c>
      <c r="G98" s="38" t="str">
        <f>IFERROR([1]!IntrinioBankFinancials(rssd_id,$Q$2,$B$5,$B$4,F98,"K"),"")</f>
        <v/>
      </c>
      <c r="H98" s="37" t="s">
        <v>2902</v>
      </c>
      <c r="I98" s="38" t="str">
        <f>IFERROR([1]!IntrinioBankFinancials(rssd_id,$Q$2,$H$5,$H$4,H98,"K"),"")</f>
        <v/>
      </c>
      <c r="J98" s="37" t="s">
        <v>2952</v>
      </c>
      <c r="K98" s="38" t="str">
        <f>IFERROR([1]!IntrinioBankFinancials(rssd_id,$Q$2,$H$5,$H$4,J98,"K"),"")</f>
        <v/>
      </c>
      <c r="L98" s="37" t="s">
        <v>3000</v>
      </c>
      <c r="M98" s="38" t="str">
        <f>IFERROR([1]!IntrinioBankFinancials(rssd_id,$Q$2,$H$5,$H$4,L98,"K"),"")</f>
        <v/>
      </c>
      <c r="N98" s="49" t="s">
        <v>846</v>
      </c>
    </row>
    <row r="99" spans="1:17" ht="28.5" x14ac:dyDescent="0.4">
      <c r="A99" s="39" t="s">
        <v>2903</v>
      </c>
      <c r="B99" s="37" t="s">
        <v>2904</v>
      </c>
      <c r="C99" s="38" t="str">
        <f>IFERROR([1]!IntrinioBankFinancials(rssd_id,$Q$2,$B$5,$B$4,B99,"K"),"")</f>
        <v/>
      </c>
      <c r="D99" s="37" t="s">
        <v>2953</v>
      </c>
      <c r="E99" s="38" t="str">
        <f>IFERROR([1]!IntrinioBankFinancials(rssd_id,$Q$2,$B$5,$B$4,D99,"K"),"")</f>
        <v/>
      </c>
      <c r="F99" s="37" t="s">
        <v>3001</v>
      </c>
      <c r="G99" s="38" t="str">
        <f>IFERROR([1]!IntrinioBankFinancials(rssd_id,$Q$2,$B$5,$B$4,F99,"K"),"")</f>
        <v/>
      </c>
      <c r="H99" s="37" t="s">
        <v>2904</v>
      </c>
      <c r="I99" s="38" t="str">
        <f>IFERROR([1]!IntrinioBankFinancials(rssd_id,$Q$2,$H$5,$H$4,H99,"K"),"")</f>
        <v/>
      </c>
      <c r="J99" s="37" t="s">
        <v>2953</v>
      </c>
      <c r="K99" s="38" t="str">
        <f>IFERROR([1]!IntrinioBankFinancials(rssd_id,$Q$2,$H$5,$H$4,J99,"K"),"")</f>
        <v/>
      </c>
      <c r="L99" s="37" t="s">
        <v>3001</v>
      </c>
      <c r="M99" s="38" t="str">
        <f>IFERROR([1]!IntrinioBankFinancials(rssd_id,$Q$2,$H$5,$H$4,L99,"K"),"")</f>
        <v/>
      </c>
      <c r="N99" s="49" t="s">
        <v>852</v>
      </c>
    </row>
    <row r="100" spans="1:17" x14ac:dyDescent="0.4">
      <c r="A100" s="39" t="s">
        <v>1530</v>
      </c>
      <c r="B100" s="37"/>
      <c r="C100" s="38" t="str">
        <f>IFERROR([1]!IntrinioBankFinancials(rssd_id,$Q$2,$B$5,$B$4,B100,"K"),"")</f>
        <v/>
      </c>
      <c r="D100" s="37"/>
      <c r="E100" s="38" t="str">
        <f>IFERROR([1]!IntrinioBankFinancials(rssd_id,$Q$2,$B$5,$B$4,D100,"K"),"")</f>
        <v/>
      </c>
      <c r="F100" s="37"/>
      <c r="G100" s="38" t="str">
        <f>IFERROR([1]!IntrinioBankFinancials(rssd_id,$Q$2,$B$5,$B$4,F100,"K"),"")</f>
        <v/>
      </c>
      <c r="H100" s="37"/>
      <c r="I100" s="38" t="str">
        <f>IFERROR([1]!IntrinioBankFinancials(rssd_id,$Q$2,$H$5,$H$4,H100,"K"),"")</f>
        <v/>
      </c>
      <c r="J100" s="37"/>
      <c r="K100" s="38" t="str">
        <f>IFERROR([1]!IntrinioBankFinancials(rssd_id,$Q$2,$H$5,$H$4,J100,"K"),"")</f>
        <v/>
      </c>
      <c r="L100" s="37"/>
      <c r="M100" s="38" t="str">
        <f>IFERROR([1]!IntrinioBankFinancials(rssd_id,$Q$2,$H$5,$H$4,L100,"K"),"")</f>
        <v/>
      </c>
      <c r="N100" s="49" t="s">
        <v>1835</v>
      </c>
    </row>
    <row r="101" spans="1:17" ht="28.5" x14ac:dyDescent="0.4">
      <c r="A101" s="39" t="s">
        <v>1832</v>
      </c>
      <c r="B101" s="37"/>
      <c r="C101" s="38" t="str">
        <f>IFERROR([1]!IntrinioBankFinancials(rssd_id,$Q$2,$B$5,$B$4,B101,"K"),"")</f>
        <v/>
      </c>
      <c r="D101" s="37"/>
      <c r="E101" s="38" t="str">
        <f>IFERROR([1]!IntrinioBankFinancials(rssd_id,$Q$2,$B$5,$B$4,D101,"K"),"")</f>
        <v/>
      </c>
      <c r="F101" s="37"/>
      <c r="G101" s="38" t="str">
        <f>IFERROR([1]!IntrinioBankFinancials(rssd_id,$Q$2,$B$5,$B$4,F101,"K"),"")</f>
        <v/>
      </c>
      <c r="H101" s="37"/>
      <c r="I101" s="38" t="str">
        <f>IFERROR([1]!IntrinioBankFinancials(rssd_id,$Q$2,$H$5,$H$4,H101,"K"),"")</f>
        <v/>
      </c>
      <c r="J101" s="37"/>
      <c r="K101" s="38" t="str">
        <f>IFERROR([1]!IntrinioBankFinancials(rssd_id,$Q$2,$H$5,$H$4,J101,"K"),"")</f>
        <v/>
      </c>
      <c r="L101" s="37"/>
      <c r="M101" s="38" t="str">
        <f>IFERROR([1]!IntrinioBankFinancials(rssd_id,$Q$2,$H$5,$H$4,L101,"K"),"")</f>
        <v/>
      </c>
      <c r="N101" s="49" t="s">
        <v>1837</v>
      </c>
    </row>
    <row r="102" spans="1:17" x14ac:dyDescent="0.4">
      <c r="A102" s="39" t="s">
        <v>571</v>
      </c>
      <c r="B102" s="37" t="s">
        <v>2905</v>
      </c>
      <c r="C102" s="38" t="str">
        <f>IFERROR([1]!IntrinioBankFinancials(rssd_id,$Q$2,$B$5,$B$4,B102,"K"),"")</f>
        <v/>
      </c>
      <c r="D102" s="37" t="s">
        <v>2954</v>
      </c>
      <c r="E102" s="38" t="str">
        <f>IFERROR([1]!IntrinioBankFinancials(rssd_id,$Q$2,$B$5,$B$4,D102,"K"),"")</f>
        <v/>
      </c>
      <c r="F102" s="37" t="s">
        <v>3002</v>
      </c>
      <c r="G102" s="38" t="str">
        <f>IFERROR([1]!IntrinioBankFinancials(rssd_id,$Q$2,$B$5,$B$4,F102,"K"),"")</f>
        <v/>
      </c>
      <c r="H102" s="37" t="s">
        <v>2905</v>
      </c>
      <c r="I102" s="38" t="str">
        <f>IFERROR([1]!IntrinioBankFinancials(rssd_id,$Q$2,$H$5,$H$4,H102,"K"),"")</f>
        <v/>
      </c>
      <c r="J102" s="37" t="s">
        <v>2954</v>
      </c>
      <c r="K102" s="38" t="str">
        <f>IFERROR([1]!IntrinioBankFinancials(rssd_id,$Q$2,$H$5,$H$4,J102,"K"),"")</f>
        <v/>
      </c>
      <c r="L102" s="37" t="s">
        <v>3002</v>
      </c>
      <c r="M102" s="38" t="str">
        <f>IFERROR([1]!IntrinioBankFinancials(rssd_id,$Q$2,$H$5,$H$4,L102,"K"),"")</f>
        <v/>
      </c>
      <c r="N102" s="49" t="s">
        <v>222</v>
      </c>
    </row>
    <row r="103" spans="1:17" x14ac:dyDescent="0.4">
      <c r="A103" s="39" t="s">
        <v>1833</v>
      </c>
      <c r="B103" s="37"/>
      <c r="C103" s="38" t="str">
        <f>IFERROR([1]!IntrinioBankFinancials(rssd_id,$Q$2,$B$5,$B$4,B103,"K"),"")</f>
        <v/>
      </c>
      <c r="D103" s="37"/>
      <c r="E103" s="38" t="str">
        <f>IFERROR([1]!IntrinioBankFinancials(rssd_id,$Q$2,$B$5,$B$4,D103,"K"),"")</f>
        <v/>
      </c>
      <c r="F103" s="37"/>
      <c r="G103" s="38" t="str">
        <f>IFERROR([1]!IntrinioBankFinancials(rssd_id,$Q$2,$B$5,$B$4,F103,"K"),"")</f>
        <v/>
      </c>
      <c r="H103" s="37"/>
      <c r="I103" s="38" t="str">
        <f>IFERROR([1]!IntrinioBankFinancials(rssd_id,$Q$2,$H$5,$H$4,H103,"K"),"")</f>
        <v/>
      </c>
      <c r="J103" s="37"/>
      <c r="K103" s="38" t="str">
        <f>IFERROR([1]!IntrinioBankFinancials(rssd_id,$Q$2,$H$5,$H$4,J103,"K"),"")</f>
        <v/>
      </c>
      <c r="L103" s="37"/>
      <c r="M103" s="38" t="str">
        <f>IFERROR([1]!IntrinioBankFinancials(rssd_id,$Q$2,$H$5,$H$4,L103,"K"),"")</f>
        <v/>
      </c>
      <c r="N103" s="49" t="s">
        <v>224</v>
      </c>
    </row>
    <row r="104" spans="1:17" x14ac:dyDescent="0.4">
      <c r="A104" s="39" t="s">
        <v>1834</v>
      </c>
      <c r="B104" s="37" t="s">
        <v>2906</v>
      </c>
      <c r="C104" s="38" t="str">
        <f>IFERROR([1]!IntrinioBankFinancials(rssd_id,$Q$2,$B$5,$B$4,B104,"K"),"")</f>
        <v/>
      </c>
      <c r="D104" s="37" t="s">
        <v>2955</v>
      </c>
      <c r="E104" s="38" t="str">
        <f>IFERROR([1]!IntrinioBankFinancials(rssd_id,$Q$2,$B$5,$B$4,D104,"K"),"")</f>
        <v/>
      </c>
      <c r="F104" s="37" t="s">
        <v>3003</v>
      </c>
      <c r="G104" s="38" t="str">
        <f>IFERROR([1]!IntrinioBankFinancials(rssd_id,$Q$2,$B$5,$B$4,F104,"K"),"")</f>
        <v/>
      </c>
      <c r="H104" s="37" t="s">
        <v>2906</v>
      </c>
      <c r="I104" s="38" t="str">
        <f>IFERROR([1]!IntrinioBankFinancials(rssd_id,$Q$2,$H$5,$H$4,H104,"K"),"")</f>
        <v/>
      </c>
      <c r="J104" s="37" t="s">
        <v>2955</v>
      </c>
      <c r="K104" s="38" t="str">
        <f>IFERROR([1]!IntrinioBankFinancials(rssd_id,$Q$2,$H$5,$H$4,J104,"K"),"")</f>
        <v/>
      </c>
      <c r="L104" s="37" t="s">
        <v>3003</v>
      </c>
      <c r="M104" s="38" t="str">
        <f>IFERROR([1]!IntrinioBankFinancials(rssd_id,$Q$2,$H$5,$H$4,L104,"K"),"")</f>
        <v/>
      </c>
      <c r="N104" s="49" t="s">
        <v>225</v>
      </c>
    </row>
    <row r="105" spans="1:17" x14ac:dyDescent="0.4">
      <c r="A105" s="39" t="s">
        <v>1836</v>
      </c>
      <c r="B105" s="37" t="s">
        <v>2907</v>
      </c>
      <c r="C105" s="38" t="str">
        <f>IFERROR([1]!IntrinioBankFinancials(rssd_id,$Q$2,$B$5,$B$4,B105,"K"),"")</f>
        <v/>
      </c>
      <c r="D105" s="37" t="s">
        <v>2956</v>
      </c>
      <c r="E105" s="38" t="str">
        <f>IFERROR([1]!IntrinioBankFinancials(rssd_id,$Q$2,$B$5,$B$4,D105,"K"),"")</f>
        <v/>
      </c>
      <c r="F105" s="37" t="s">
        <v>3004</v>
      </c>
      <c r="G105" s="38" t="str">
        <f>IFERROR([1]!IntrinioBankFinancials(rssd_id,$Q$2,$B$5,$B$4,F105,"K"),"")</f>
        <v/>
      </c>
      <c r="H105" s="37" t="s">
        <v>2907</v>
      </c>
      <c r="I105" s="38" t="str">
        <f>IFERROR([1]!IntrinioBankFinancials(rssd_id,$Q$2,$H$5,$H$4,H105,"K"),"")</f>
        <v/>
      </c>
      <c r="J105" s="37" t="s">
        <v>2956</v>
      </c>
      <c r="K105" s="38" t="str">
        <f>IFERROR([1]!IntrinioBankFinancials(rssd_id,$Q$2,$H$5,$H$4,J105,"K"),"")</f>
        <v/>
      </c>
      <c r="L105" s="37" t="s">
        <v>3004</v>
      </c>
      <c r="M105" s="38" t="str">
        <f>IFERROR([1]!IntrinioBankFinancials(rssd_id,$Q$2,$H$5,$H$4,L105,"K"),"")</f>
        <v/>
      </c>
      <c r="N105" s="49" t="s">
        <v>245</v>
      </c>
    </row>
    <row r="106" spans="1:17" x14ac:dyDescent="0.4">
      <c r="A106" s="39" t="s">
        <v>1838</v>
      </c>
      <c r="B106" s="37"/>
      <c r="C106" s="38" t="str">
        <f>IFERROR([1]!IntrinioBankFinancials(rssd_id,$Q$2,$B$5,$B$4,B106,"K"),"")</f>
        <v/>
      </c>
      <c r="D106" s="37" t="s">
        <v>2957</v>
      </c>
      <c r="E106" s="38" t="str">
        <f>IFERROR([1]!IntrinioBankFinancials(rssd_id,$Q$2,$B$5,$B$4,D106,"K"),"")</f>
        <v/>
      </c>
      <c r="F106" s="37" t="s">
        <v>3005</v>
      </c>
      <c r="G106" s="38" t="str">
        <f>IFERROR([1]!IntrinioBankFinancials(rssd_id,$Q$2,$B$5,$B$4,F106,"K"),"")</f>
        <v/>
      </c>
      <c r="H106" s="37"/>
      <c r="I106" s="38" t="str">
        <f>IFERROR([1]!IntrinioBankFinancials(rssd_id,$Q$2,$H$5,$H$4,H106,"K"),"")</f>
        <v/>
      </c>
      <c r="J106" s="37" t="s">
        <v>2957</v>
      </c>
      <c r="K106" s="38" t="str">
        <f>IFERROR([1]!IntrinioBankFinancials(rssd_id,$Q$2,$H$5,$H$4,J106,"K"),"")</f>
        <v/>
      </c>
      <c r="L106" s="37" t="s">
        <v>3005</v>
      </c>
      <c r="M106" s="38" t="str">
        <f>IFERROR([1]!IntrinioBankFinancials(rssd_id,$Q$2,$H$5,$H$4,L106,"K"),"")</f>
        <v/>
      </c>
      <c r="N106" s="49" t="s">
        <v>248</v>
      </c>
    </row>
    <row r="107" spans="1:17" x14ac:dyDescent="0.4">
      <c r="A107" s="39" t="s">
        <v>1839</v>
      </c>
      <c r="B107" s="37"/>
      <c r="C107" s="38" t="str">
        <f>IFERROR([1]!IntrinioBankFinancials(rssd_id,$Q$2,$B$5,$B$4,B107,"K"),"")</f>
        <v/>
      </c>
      <c r="D107" s="37"/>
      <c r="E107" s="38" t="str">
        <f>IFERROR([1]!IntrinioBankFinancials(rssd_id,$Q$2,$B$5,$B$4,D107,"K"),"")</f>
        <v/>
      </c>
      <c r="F107" s="37" t="s">
        <v>3006</v>
      </c>
      <c r="G107" s="38" t="str">
        <f>IFERROR([1]!IntrinioBankFinancials(rssd_id,$Q$2,$B$5,$B$4,F107,"K"),"")</f>
        <v/>
      </c>
      <c r="H107" s="37"/>
      <c r="I107" s="38" t="str">
        <f>IFERROR([1]!IntrinioBankFinancials(rssd_id,$Q$2,$H$5,$H$4,H107,"K"),"")</f>
        <v/>
      </c>
      <c r="J107" s="37"/>
      <c r="K107" s="38" t="str">
        <f>IFERROR([1]!IntrinioBankFinancials(rssd_id,$Q$2,$H$5,$H$4,J107,"K"),"")</f>
        <v/>
      </c>
      <c r="L107" s="37" t="s">
        <v>3006</v>
      </c>
      <c r="M107" s="38" t="str">
        <f>IFERROR([1]!IntrinioBankFinancials(rssd_id,$Q$2,$H$5,$H$4,L107,"K"),"")</f>
        <v/>
      </c>
      <c r="N107" s="49" t="s">
        <v>251</v>
      </c>
    </row>
    <row r="108" spans="1:17" x14ac:dyDescent="0.4">
      <c r="A108" s="39" t="s">
        <v>1840</v>
      </c>
      <c r="B108" s="37"/>
      <c r="C108" s="38" t="str">
        <f>IFERROR([1]!IntrinioBankFinancials(rssd_id,$Q$2,$B$5,$B$4,B108,"K"),"")</f>
        <v/>
      </c>
      <c r="D108" s="37"/>
      <c r="E108" s="38" t="str">
        <f>IFERROR([1]!IntrinioBankFinancials(rssd_id,$Q$2,$B$5,$B$4,D108,"K"),"")</f>
        <v/>
      </c>
      <c r="F108" s="37" t="s">
        <v>3007</v>
      </c>
      <c r="G108" s="38" t="str">
        <f>IFERROR([1]!IntrinioBankFinancials(rssd_id,$Q$2,$B$5,$B$4,F108,"K"),"")</f>
        <v/>
      </c>
      <c r="H108" s="37"/>
      <c r="I108" s="38"/>
      <c r="J108" s="37"/>
      <c r="K108" s="38"/>
      <c r="L108" s="37" t="s">
        <v>3007</v>
      </c>
      <c r="M108" s="38"/>
      <c r="N108" s="49"/>
    </row>
    <row r="109" spans="1:17" ht="28.5" x14ac:dyDescent="0.4">
      <c r="A109" s="39" t="s">
        <v>2908</v>
      </c>
      <c r="B109" s="37"/>
      <c r="C109" s="38" t="str">
        <f>IFERROR([1]!IntrinioBankFinancials(rssd_id,$Q$2,$B$5,$B$4,B109,"K"),"")</f>
        <v/>
      </c>
      <c r="D109" s="37"/>
      <c r="E109" s="38" t="str">
        <f>IFERROR([1]!IntrinioBankFinancials(rssd_id,$Q$2,$B$5,$B$4,D109,"K"),"")</f>
        <v/>
      </c>
      <c r="F109" s="37"/>
      <c r="G109" s="38" t="str">
        <f>IFERROR([1]!IntrinioBankFinancials(rssd_id,$Q$2,$B$5,$B$4,F109,"K"),"")</f>
        <v/>
      </c>
      <c r="H109" s="37"/>
      <c r="I109" s="38"/>
      <c r="J109" s="37"/>
      <c r="K109" s="38"/>
      <c r="L109" s="37"/>
      <c r="M109" s="38"/>
      <c r="N109" s="49"/>
    </row>
    <row r="110" spans="1:17" x14ac:dyDescent="0.4">
      <c r="A110" s="39" t="s">
        <v>1217</v>
      </c>
      <c r="B110" s="37" t="s">
        <v>2909</v>
      </c>
      <c r="C110" s="38" t="str">
        <f>IFERROR([1]!IntrinioBankFinancials(rssd_id,$Q$2,$B$5,$B$4,B110,"K"),"")</f>
        <v/>
      </c>
      <c r="D110" s="37" t="s">
        <v>2958</v>
      </c>
      <c r="E110" s="38" t="str">
        <f>IFERROR([1]!IntrinioBankFinancials(rssd_id,$Q$2,$B$5,$B$4,D110,"K"),"")</f>
        <v/>
      </c>
      <c r="F110" s="37" t="s">
        <v>3008</v>
      </c>
      <c r="G110" s="38" t="str">
        <f>IFERROR([1]!IntrinioBankFinancials(rssd_id,$Q$2,$B$5,$B$4,F110,"K"),"")</f>
        <v/>
      </c>
      <c r="H110" s="37" t="s">
        <v>2909</v>
      </c>
      <c r="I110" s="38"/>
      <c r="J110" s="37" t="s">
        <v>2958</v>
      </c>
      <c r="K110" s="38"/>
      <c r="L110" s="37" t="s">
        <v>3008</v>
      </c>
      <c r="M110" s="38"/>
      <c r="N110" s="49"/>
    </row>
    <row r="111" spans="1:17" x14ac:dyDescent="0.4">
      <c r="A111" s="39" t="s">
        <v>2910</v>
      </c>
      <c r="B111" s="37" t="s">
        <v>2911</v>
      </c>
      <c r="C111" s="38" t="str">
        <f>IFERROR([1]!IntrinioBankFinancials(rssd_id,$Q$2,$B$5,$B$4,B111,"K"),"")</f>
        <v/>
      </c>
      <c r="D111" s="37" t="s">
        <v>2959</v>
      </c>
      <c r="E111" s="38" t="str">
        <f>IFERROR([1]!IntrinioBankFinancials(rssd_id,$Q$2,$B$5,$B$4,D111,"K"),"")</f>
        <v/>
      </c>
      <c r="F111" s="37" t="s">
        <v>3009</v>
      </c>
      <c r="G111" s="38" t="str">
        <f>IFERROR([1]!IntrinioBankFinancials(rssd_id,$Q$2,$B$5,$B$4,F111,"K"),"")</f>
        <v/>
      </c>
      <c r="H111" s="37" t="s">
        <v>2911</v>
      </c>
      <c r="I111" s="38"/>
      <c r="J111" s="37" t="s">
        <v>2959</v>
      </c>
      <c r="K111" s="38"/>
      <c r="L111" s="37" t="s">
        <v>3009</v>
      </c>
      <c r="M111" s="38"/>
      <c r="N111" s="49"/>
    </row>
  </sheetData>
  <mergeCells count="22">
    <mergeCell ref="H7:I7"/>
    <mergeCell ref="J7:K7"/>
    <mergeCell ref="L7:M7"/>
    <mergeCell ref="H8:I8"/>
    <mergeCell ref="J8:K8"/>
    <mergeCell ref="L8:M8"/>
    <mergeCell ref="F6:G6"/>
    <mergeCell ref="F7:G7"/>
    <mergeCell ref="F8:G8"/>
    <mergeCell ref="B4:G4"/>
    <mergeCell ref="B5:G5"/>
    <mergeCell ref="B6:C6"/>
    <mergeCell ref="B7:C7"/>
    <mergeCell ref="B8:C8"/>
    <mergeCell ref="D6:E6"/>
    <mergeCell ref="D7:E7"/>
    <mergeCell ref="D8:E8"/>
    <mergeCell ref="H4:M4"/>
    <mergeCell ref="H5:M5"/>
    <mergeCell ref="H6:I6"/>
    <mergeCell ref="J6:K6"/>
    <mergeCell ref="L6:M6"/>
  </mergeCells>
  <pageMargins left="0.7" right="0.7" top="0.75" bottom="0.75" header="0.3" footer="0.3"/>
  <pageSetup scale="83" fitToHeight="5" orientation="landscape" r:id="rId1"/>
  <headerFooter>
    <oddFooter>&amp;L&amp;G&amp;R&amp;P</oddFooter>
  </headerFooter>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9" tint="0.79998168889431442"/>
    <pageSetUpPr fitToPage="1"/>
  </sheetPr>
  <dimension ref="A1:S93"/>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140625" defaultRowHeight="18" outlineLevelCol="1" x14ac:dyDescent="0.4"/>
  <cols>
    <col min="1" max="1" width="70.5" style="13" customWidth="1"/>
    <col min="2" max="2" width="13.640625" style="4" hidden="1" customWidth="1" outlineLevel="1"/>
    <col min="3" max="9" width="13.640625" style="5" hidden="1" customWidth="1" outlineLevel="1"/>
    <col min="10" max="10" width="14" style="5" customWidth="1" collapsed="1"/>
    <col min="11" max="15" width="14"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20</v>
      </c>
      <c r="B2" s="28"/>
      <c r="C2" s="29"/>
      <c r="D2" s="29"/>
      <c r="E2" s="29"/>
      <c r="F2" s="29"/>
      <c r="G2" s="29"/>
      <c r="H2" s="29"/>
      <c r="I2" s="29"/>
      <c r="J2" s="29"/>
      <c r="K2" s="29"/>
      <c r="L2" s="29"/>
      <c r="M2" s="29"/>
      <c r="N2" s="29"/>
      <c r="O2" s="29"/>
      <c r="P2" s="48"/>
      <c r="R2" s="6" t="s">
        <v>430</v>
      </c>
      <c r="S2" s="6" t="s">
        <v>1858</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1842</v>
      </c>
      <c r="B6" s="37" t="s">
        <v>3010</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3011</v>
      </c>
      <c r="B7" s="37" t="s">
        <v>3012</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28.5" x14ac:dyDescent="0.4">
      <c r="A8" s="39" t="s">
        <v>3013</v>
      </c>
      <c r="B8" s="37" t="s">
        <v>3014</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1843</v>
      </c>
      <c r="B9" s="37" t="s">
        <v>3015</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28.5" x14ac:dyDescent="0.4">
      <c r="A10" s="39" t="s">
        <v>1844</v>
      </c>
      <c r="B10" s="37" t="s">
        <v>3016</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622</v>
      </c>
    </row>
    <row r="11" spans="1:19" s="40" customFormat="1" ht="14.25" x14ac:dyDescent="0.4">
      <c r="A11" s="39" t="s">
        <v>1845</v>
      </c>
      <c r="B11" s="37" t="s">
        <v>3017</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5</v>
      </c>
    </row>
    <row r="12" spans="1:19" s="40" customFormat="1" ht="28.5" x14ac:dyDescent="0.4">
      <c r="A12" s="39" t="s">
        <v>1846</v>
      </c>
      <c r="B12" s="37" t="s">
        <v>3018</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6</v>
      </c>
    </row>
    <row r="13" spans="1:19" s="40" customFormat="1" ht="42.75" x14ac:dyDescent="0.4">
      <c r="A13" s="39" t="s">
        <v>1847</v>
      </c>
      <c r="B13" s="37"/>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7</v>
      </c>
    </row>
    <row r="14" spans="1:19" x14ac:dyDescent="0.4">
      <c r="A14" s="39" t="s">
        <v>1534</v>
      </c>
      <c r="B14" s="37" t="s">
        <v>3019</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179</v>
      </c>
    </row>
    <row r="15" spans="1:19" x14ac:dyDescent="0.4">
      <c r="A15" s="39" t="s">
        <v>1535</v>
      </c>
      <c r="B15" s="37" t="s">
        <v>3020</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181</v>
      </c>
    </row>
    <row r="16" spans="1:19" s="47" customFormat="1" x14ac:dyDescent="0.4">
      <c r="A16" s="39" t="s">
        <v>1536</v>
      </c>
      <c r="B16" s="37" t="s">
        <v>3021</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183</v>
      </c>
      <c r="Q16" s="13"/>
      <c r="R16" s="13"/>
      <c r="S16" s="13"/>
    </row>
    <row r="17" spans="1:19" s="47" customFormat="1" x14ac:dyDescent="0.4">
      <c r="A17" s="39" t="s">
        <v>1537</v>
      </c>
      <c r="B17" s="37" t="s">
        <v>3022</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192</v>
      </c>
      <c r="Q17" s="13"/>
      <c r="R17" s="13"/>
      <c r="S17" s="13"/>
    </row>
    <row r="18" spans="1:19" s="47" customFormat="1" ht="28.5" x14ac:dyDescent="0.4">
      <c r="A18" s="39" t="s">
        <v>1848</v>
      </c>
      <c r="B18" s="37"/>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8</v>
      </c>
      <c r="Q18" s="13"/>
      <c r="R18" s="13"/>
      <c r="S18" s="13"/>
    </row>
    <row r="19" spans="1:19" s="47" customFormat="1" x14ac:dyDescent="0.4">
      <c r="A19" s="39" t="s">
        <v>1534</v>
      </c>
      <c r="B19" s="37" t="s">
        <v>3023</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1310</v>
      </c>
      <c r="Q19" s="13"/>
      <c r="R19" s="13"/>
      <c r="S19" s="13"/>
    </row>
    <row r="20" spans="1:19" s="47" customFormat="1" x14ac:dyDescent="0.4">
      <c r="A20" s="39" t="s">
        <v>1535</v>
      </c>
      <c r="B20" s="37" t="s">
        <v>3024</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1311</v>
      </c>
      <c r="Q20" s="13"/>
      <c r="R20" s="13"/>
      <c r="S20" s="13"/>
    </row>
    <row r="21" spans="1:19" s="47" customFormat="1" x14ac:dyDescent="0.4">
      <c r="A21" s="39" t="s">
        <v>1536</v>
      </c>
      <c r="B21" s="37" t="s">
        <v>3025</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1312</v>
      </c>
      <c r="Q21" s="13"/>
      <c r="R21" s="13"/>
      <c r="S21" s="13"/>
    </row>
    <row r="22" spans="1:19" s="47" customFormat="1" x14ac:dyDescent="0.4">
      <c r="A22" s="39" t="s">
        <v>1537</v>
      </c>
      <c r="B22" s="37" t="s">
        <v>3026</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1857</v>
      </c>
      <c r="Q22" s="13"/>
      <c r="R22" s="13"/>
      <c r="S22" s="13"/>
    </row>
    <row r="23" spans="1:19" s="47" customFormat="1" ht="28.5" x14ac:dyDescent="0.4">
      <c r="A23" s="39" t="s">
        <v>1849</v>
      </c>
      <c r="B23" s="37" t="s">
        <v>1850</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9</v>
      </c>
      <c r="Q23" s="13"/>
      <c r="R23" s="13"/>
      <c r="S23" s="13"/>
    </row>
    <row r="24" spans="1:19" s="47" customFormat="1" ht="42.75" x14ac:dyDescent="0.4">
      <c r="A24" s="39" t="s">
        <v>3027</v>
      </c>
      <c r="B24" s="37" t="s">
        <v>1851</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1262</v>
      </c>
      <c r="Q24" s="13"/>
      <c r="R24" s="13"/>
      <c r="S24" s="13"/>
    </row>
    <row r="25" spans="1:19" s="47" customFormat="1" ht="42.75" x14ac:dyDescent="0.4">
      <c r="A25" s="39" t="s">
        <v>1852</v>
      </c>
      <c r="B25" s="37" t="s">
        <v>3028</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10</v>
      </c>
      <c r="Q25" s="13"/>
      <c r="R25" s="13"/>
      <c r="S25" s="13"/>
    </row>
    <row r="26" spans="1:19" s="47" customFormat="1" x14ac:dyDescent="0.4">
      <c r="A26" s="39" t="s">
        <v>1853</v>
      </c>
      <c r="B26" s="37" t="s">
        <v>3029</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626</v>
      </c>
      <c r="Q26" s="13"/>
      <c r="R26" s="13"/>
      <c r="S26" s="13"/>
    </row>
    <row r="27" spans="1:19" s="47" customFormat="1" x14ac:dyDescent="0.4">
      <c r="A27" s="39" t="s">
        <v>1854</v>
      </c>
      <c r="B27" s="37" t="s">
        <v>3030</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627</v>
      </c>
      <c r="Q27" s="13"/>
      <c r="R27" s="13"/>
      <c r="S27" s="13"/>
    </row>
    <row r="28" spans="1:19" s="47" customFormat="1" ht="42.75" x14ac:dyDescent="0.4">
      <c r="A28" s="39" t="s">
        <v>1855</v>
      </c>
      <c r="B28" s="37" t="s">
        <v>3031</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11</v>
      </c>
      <c r="Q28" s="13"/>
      <c r="R28" s="13"/>
      <c r="S28" s="13"/>
    </row>
    <row r="29" spans="1:19" s="47" customFormat="1" x14ac:dyDescent="0.4">
      <c r="A29" s="39" t="s">
        <v>1856</v>
      </c>
      <c r="B29" s="37" t="s">
        <v>3032</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1372</v>
      </c>
      <c r="Q29" s="13"/>
      <c r="R29" s="13"/>
      <c r="S29" s="13"/>
    </row>
    <row r="30" spans="1:19" s="47" customFormat="1" x14ac:dyDescent="0.4">
      <c r="A30" s="39" t="s">
        <v>3033</v>
      </c>
      <c r="B30" s="37" t="s">
        <v>3034</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1373</v>
      </c>
      <c r="Q30" s="13"/>
      <c r="R30" s="13"/>
      <c r="S30" s="13"/>
    </row>
    <row r="31" spans="1:19" s="47" customFormat="1" x14ac:dyDescent="0.4">
      <c r="A31" s="39"/>
      <c r="B31" s="37"/>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c r="Q31" s="13"/>
      <c r="R31" s="13"/>
      <c r="S31" s="13"/>
    </row>
    <row r="32" spans="1:19" s="47" customFormat="1" x14ac:dyDescent="0.4">
      <c r="A32" s="39" t="s">
        <v>208</v>
      </c>
      <c r="B32" s="37"/>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c r="Q32" s="13"/>
      <c r="R32" s="13"/>
      <c r="S32" s="13"/>
    </row>
    <row r="33" spans="1:19" s="47" customFormat="1" ht="57" x14ac:dyDescent="0.4">
      <c r="A33" s="39" t="s">
        <v>1859</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210</v>
      </c>
      <c r="Q33" s="13"/>
      <c r="R33" s="13"/>
      <c r="S33" s="13"/>
    </row>
    <row r="34" spans="1:19" s="47" customFormat="1" x14ac:dyDescent="0.4">
      <c r="A34" s="39" t="s">
        <v>1860</v>
      </c>
      <c r="B34" s="37"/>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1011</v>
      </c>
      <c r="Q34" s="13"/>
      <c r="R34" s="13"/>
      <c r="S34" s="13"/>
    </row>
    <row r="35" spans="1:19" s="47" customFormat="1" ht="28.5" x14ac:dyDescent="0.4">
      <c r="A35" s="39" t="s">
        <v>1861</v>
      </c>
      <c r="B35" s="37" t="s">
        <v>1862</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1047</v>
      </c>
      <c r="Q35" s="13"/>
      <c r="R35" s="13"/>
      <c r="S35" s="13"/>
    </row>
    <row r="36" spans="1:19" s="47" customFormat="1" ht="28.5" x14ac:dyDescent="0.4">
      <c r="A36" s="39" t="s">
        <v>1863</v>
      </c>
      <c r="B36" s="37" t="s">
        <v>1864</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1048</v>
      </c>
      <c r="Q36" s="13"/>
      <c r="R36" s="13"/>
      <c r="S36" s="13"/>
    </row>
    <row r="37" spans="1:19" s="47" customFormat="1" x14ac:dyDescent="0.4">
      <c r="A37" s="39" t="s">
        <v>1865</v>
      </c>
      <c r="B37" s="37"/>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1056</v>
      </c>
      <c r="Q37" s="13"/>
      <c r="R37" s="13"/>
      <c r="S37" s="13"/>
    </row>
    <row r="38" spans="1:19" s="47" customFormat="1" ht="28.5" x14ac:dyDescent="0.4">
      <c r="A38" s="39" t="s">
        <v>1866</v>
      </c>
      <c r="B38" s="37" t="s">
        <v>1867</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1915</v>
      </c>
      <c r="Q38" s="13"/>
      <c r="R38" s="13"/>
      <c r="S38" s="13"/>
    </row>
    <row r="39" spans="1:19" s="47" customFormat="1" ht="28.5" x14ac:dyDescent="0.4">
      <c r="A39" s="39" t="s">
        <v>1868</v>
      </c>
      <c r="B39" s="37" t="s">
        <v>1869</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1916</v>
      </c>
      <c r="Q39" s="13"/>
      <c r="R39" s="13"/>
      <c r="S39" s="13"/>
    </row>
    <row r="40" spans="1:19" s="47" customFormat="1" x14ac:dyDescent="0.4">
      <c r="A40" s="39" t="s">
        <v>1870</v>
      </c>
      <c r="B40" s="37"/>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1057</v>
      </c>
      <c r="Q40" s="13"/>
      <c r="R40" s="13"/>
      <c r="S40" s="13"/>
    </row>
    <row r="41" spans="1:19" s="47" customFormat="1" x14ac:dyDescent="0.4">
      <c r="A41" s="39" t="s">
        <v>1871</v>
      </c>
      <c r="B41" s="37" t="s">
        <v>1872</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1058</v>
      </c>
      <c r="Q41" s="13"/>
      <c r="R41" s="13"/>
      <c r="S41" s="13"/>
    </row>
    <row r="42" spans="1:19" s="47" customFormat="1" x14ac:dyDescent="0.4">
      <c r="A42" s="39" t="s">
        <v>1873</v>
      </c>
      <c r="B42" s="37" t="s">
        <v>1874</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1059</v>
      </c>
      <c r="Q42" s="13"/>
      <c r="R42" s="13"/>
      <c r="S42" s="13"/>
    </row>
    <row r="43" spans="1:19" s="47" customFormat="1" x14ac:dyDescent="0.4">
      <c r="A43" s="39" t="s">
        <v>1875</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1062</v>
      </c>
      <c r="Q43" s="13"/>
      <c r="R43" s="13"/>
      <c r="S43" s="13"/>
    </row>
    <row r="44" spans="1:19" s="47" customFormat="1" x14ac:dyDescent="0.4">
      <c r="A44" s="39" t="s">
        <v>1876</v>
      </c>
      <c r="B44" s="37" t="s">
        <v>1877</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1156</v>
      </c>
      <c r="Q44" s="13"/>
      <c r="R44" s="13"/>
      <c r="S44" s="13"/>
    </row>
    <row r="45" spans="1:19" s="47" customFormat="1" x14ac:dyDescent="0.4">
      <c r="A45" s="39" t="s">
        <v>1878</v>
      </c>
      <c r="B45" s="37" t="s">
        <v>1879</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1157</v>
      </c>
      <c r="Q45" s="13"/>
      <c r="R45" s="13"/>
      <c r="S45" s="13"/>
    </row>
    <row r="46" spans="1:19" s="47" customFormat="1" ht="42.75" x14ac:dyDescent="0.4">
      <c r="A46" s="39" t="s">
        <v>3035</v>
      </c>
      <c r="B46" s="37" t="s">
        <v>1880</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213</v>
      </c>
      <c r="Q46" s="13"/>
      <c r="R46" s="13"/>
      <c r="S46" s="13"/>
    </row>
    <row r="47" spans="1:19" s="47" customFormat="1" ht="57" x14ac:dyDescent="0.4">
      <c r="A47" s="39" t="s">
        <v>1881</v>
      </c>
      <c r="B47" s="37"/>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215</v>
      </c>
      <c r="Q47" s="13"/>
      <c r="R47" s="13"/>
      <c r="S47" s="13"/>
    </row>
    <row r="48" spans="1:19" s="47" customFormat="1" x14ac:dyDescent="0.4">
      <c r="A48" s="39" t="s">
        <v>1882</v>
      </c>
      <c r="B48" s="37" t="s">
        <v>3036</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1063</v>
      </c>
      <c r="Q48" s="13"/>
      <c r="R48" s="13"/>
      <c r="S48" s="13"/>
    </row>
    <row r="49" spans="1:19" s="47" customFormat="1" x14ac:dyDescent="0.4">
      <c r="A49" s="39" t="s">
        <v>1883</v>
      </c>
      <c r="B49" s="37" t="s">
        <v>1884</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1064</v>
      </c>
      <c r="Q49" s="13"/>
      <c r="R49" s="13"/>
      <c r="S49" s="13"/>
    </row>
    <row r="50" spans="1:19" s="47" customFormat="1" x14ac:dyDescent="0.4">
      <c r="A50" s="39" t="s">
        <v>1530</v>
      </c>
      <c r="B50" s="37"/>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217</v>
      </c>
      <c r="Q50" s="13"/>
      <c r="R50" s="13"/>
      <c r="S50" s="13"/>
    </row>
    <row r="51" spans="1:19" s="47" customFormat="1" x14ac:dyDescent="0.4">
      <c r="A51" s="39" t="s">
        <v>1201</v>
      </c>
      <c r="B51" s="37"/>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220</v>
      </c>
      <c r="Q51" s="13"/>
      <c r="R51" s="13"/>
      <c r="S51" s="13"/>
    </row>
    <row r="52" spans="1:19" s="47" customFormat="1" x14ac:dyDescent="0.4">
      <c r="A52" s="39" t="s">
        <v>1885</v>
      </c>
      <c r="B52" s="37"/>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222</v>
      </c>
      <c r="Q52" s="13"/>
      <c r="R52" s="13"/>
      <c r="S52" s="13"/>
    </row>
    <row r="53" spans="1:19" s="47" customFormat="1" x14ac:dyDescent="0.4">
      <c r="A53" s="39" t="s">
        <v>1886</v>
      </c>
      <c r="B53" s="37" t="s">
        <v>3037</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882</v>
      </c>
      <c r="Q53" s="13"/>
      <c r="R53" s="13"/>
      <c r="S53" s="13"/>
    </row>
    <row r="54" spans="1:19" s="47" customFormat="1" x14ac:dyDescent="0.4">
      <c r="A54" s="39" t="s">
        <v>1887</v>
      </c>
      <c r="B54" s="37" t="s">
        <v>3038</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887</v>
      </c>
      <c r="Q54" s="13"/>
      <c r="R54" s="13"/>
      <c r="S54" s="13"/>
    </row>
    <row r="55" spans="1:19" s="47" customFormat="1" x14ac:dyDescent="0.4">
      <c r="A55" s="39" t="s">
        <v>1888</v>
      </c>
      <c r="B55" s="37" t="s">
        <v>3039</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893</v>
      </c>
      <c r="Q55" s="13"/>
      <c r="R55" s="13"/>
      <c r="S55" s="13"/>
    </row>
    <row r="56" spans="1:19" s="47" customFormat="1" x14ac:dyDescent="0.4">
      <c r="A56" s="39" t="s">
        <v>1889</v>
      </c>
      <c r="B56" s="37" t="s">
        <v>3040</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898</v>
      </c>
      <c r="Q56" s="13"/>
      <c r="R56" s="13"/>
      <c r="S56" s="13"/>
    </row>
    <row r="57" spans="1:19" s="47" customFormat="1" ht="28.5" x14ac:dyDescent="0.4">
      <c r="A57" s="39" t="s">
        <v>1890</v>
      </c>
      <c r="B57" s="37"/>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224</v>
      </c>
      <c r="Q57" s="13"/>
      <c r="R57" s="13"/>
      <c r="S57" s="13"/>
    </row>
    <row r="58" spans="1:19" s="47" customFormat="1" x14ac:dyDescent="0.4">
      <c r="A58" s="39" t="s">
        <v>1891</v>
      </c>
      <c r="B58" s="37" t="s">
        <v>3041</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1070</v>
      </c>
      <c r="Q58" s="13"/>
      <c r="R58" s="13"/>
      <c r="S58" s="13"/>
    </row>
    <row r="59" spans="1:19" s="47" customFormat="1" x14ac:dyDescent="0.4">
      <c r="A59" s="39" t="s">
        <v>1892</v>
      </c>
      <c r="B59" s="37" t="s">
        <v>3042</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1071</v>
      </c>
      <c r="Q59" s="13"/>
      <c r="R59" s="13"/>
      <c r="S59" s="13"/>
    </row>
    <row r="60" spans="1:19" s="47" customFormat="1" ht="28.5" x14ac:dyDescent="0.4">
      <c r="A60" s="39" t="s">
        <v>1893</v>
      </c>
      <c r="B60" s="37"/>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225</v>
      </c>
      <c r="Q60" s="13"/>
      <c r="R60" s="13"/>
      <c r="S60" s="13"/>
    </row>
    <row r="61" spans="1:19" s="47" customFormat="1" x14ac:dyDescent="0.4">
      <c r="A61" s="39" t="s">
        <v>1894</v>
      </c>
      <c r="B61" s="37" t="s">
        <v>3043</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228</v>
      </c>
      <c r="Q61" s="13"/>
      <c r="R61" s="13"/>
      <c r="S61" s="13"/>
    </row>
    <row r="62" spans="1:19" s="47" customFormat="1" x14ac:dyDescent="0.4">
      <c r="A62" s="39" t="s">
        <v>1895</v>
      </c>
      <c r="B62" s="37" t="s">
        <v>3044</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231</v>
      </c>
      <c r="Q62" s="13"/>
      <c r="R62" s="13"/>
      <c r="S62" s="13"/>
    </row>
    <row r="63" spans="1:19" s="47" customFormat="1" ht="28.5" x14ac:dyDescent="0.4">
      <c r="A63" s="39" t="s">
        <v>1896</v>
      </c>
      <c r="B63" s="37"/>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245</v>
      </c>
      <c r="Q63" s="13"/>
      <c r="R63" s="13"/>
      <c r="S63" s="13"/>
    </row>
    <row r="64" spans="1:19" s="47" customFormat="1" x14ac:dyDescent="0.4">
      <c r="A64" s="39" t="s">
        <v>1897</v>
      </c>
      <c r="B64" s="37" t="s">
        <v>3045</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248</v>
      </c>
      <c r="Q64" s="13"/>
      <c r="R64" s="13"/>
      <c r="S64" s="13"/>
    </row>
    <row r="65" spans="1:19" s="47" customFormat="1" x14ac:dyDescent="0.4">
      <c r="A65" s="39" t="s">
        <v>1898</v>
      </c>
      <c r="B65" s="37" t="s">
        <v>3046</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251</v>
      </c>
      <c r="Q65" s="13"/>
      <c r="R65" s="13"/>
      <c r="S65" s="13"/>
    </row>
    <row r="66" spans="1:19" s="47" customFormat="1" ht="28.5" x14ac:dyDescent="0.4">
      <c r="A66" s="39" t="s">
        <v>3047</v>
      </c>
      <c r="B66" s="37"/>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254</v>
      </c>
      <c r="Q66" s="13"/>
      <c r="R66" s="13"/>
      <c r="S66" s="13"/>
    </row>
    <row r="67" spans="1:19" s="47" customFormat="1" x14ac:dyDescent="0.4">
      <c r="A67" s="39" t="s">
        <v>1899</v>
      </c>
      <c r="B67" s="37" t="s">
        <v>3048</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1276</v>
      </c>
      <c r="Q67" s="13"/>
      <c r="R67" s="13"/>
      <c r="S67" s="13"/>
    </row>
    <row r="68" spans="1:19" s="47" customFormat="1" ht="28.5" x14ac:dyDescent="0.4">
      <c r="A68" s="39" t="s">
        <v>1900</v>
      </c>
      <c r="B68" s="37" t="s">
        <v>3049</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1277</v>
      </c>
      <c r="Q68" s="13"/>
      <c r="R68" s="13"/>
      <c r="S68" s="13"/>
    </row>
    <row r="69" spans="1:19" s="47" customFormat="1" ht="42.75" x14ac:dyDescent="0.4">
      <c r="A69" s="39" t="s">
        <v>1901</v>
      </c>
      <c r="B69" s="37" t="s">
        <v>3050</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256</v>
      </c>
      <c r="Q69" s="13"/>
      <c r="R69" s="13"/>
      <c r="S69" s="13"/>
    </row>
    <row r="70" spans="1:19" s="47" customFormat="1" ht="28.5" x14ac:dyDescent="0.4">
      <c r="A70" s="39" t="s">
        <v>3051</v>
      </c>
      <c r="B70" s="37" t="s">
        <v>1902</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258</v>
      </c>
      <c r="Q70" s="13"/>
      <c r="R70" s="13"/>
      <c r="S70" s="13"/>
    </row>
    <row r="71" spans="1:19" s="47" customFormat="1" ht="42.75" x14ac:dyDescent="0.4">
      <c r="A71" s="39" t="s">
        <v>3052</v>
      </c>
      <c r="B71" s="37"/>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259</v>
      </c>
      <c r="Q71" s="13"/>
      <c r="R71" s="13"/>
      <c r="S71" s="13"/>
    </row>
    <row r="72" spans="1:19" s="47" customFormat="1" x14ac:dyDescent="0.4">
      <c r="A72" s="39" t="s">
        <v>1903</v>
      </c>
      <c r="B72" s="37" t="s">
        <v>3053</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262</v>
      </c>
      <c r="Q72" s="13"/>
      <c r="R72" s="13"/>
      <c r="S72" s="13"/>
    </row>
    <row r="73" spans="1:19" s="47" customFormat="1" ht="28.5" x14ac:dyDescent="0.4">
      <c r="A73" s="39" t="s">
        <v>1904</v>
      </c>
      <c r="B73" s="37" t="s">
        <v>3054</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268</v>
      </c>
      <c r="Q73" s="13"/>
      <c r="R73" s="13"/>
      <c r="S73" s="13"/>
    </row>
    <row r="74" spans="1:19" s="47" customFormat="1" x14ac:dyDescent="0.4">
      <c r="A74" s="39" t="s">
        <v>1905</v>
      </c>
      <c r="B74" s="37" t="s">
        <v>3055</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1917</v>
      </c>
      <c r="Q74" s="13"/>
      <c r="R74" s="13"/>
      <c r="S74" s="13"/>
    </row>
    <row r="75" spans="1:19" s="47" customFormat="1" ht="42.75" x14ac:dyDescent="0.4">
      <c r="A75" s="39" t="s">
        <v>1906</v>
      </c>
      <c r="B75" s="37" t="s">
        <v>3056</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1918</v>
      </c>
      <c r="Q75" s="13"/>
      <c r="R75" s="13"/>
      <c r="S75" s="13"/>
    </row>
    <row r="76" spans="1:19" s="47" customFormat="1" x14ac:dyDescent="0.4">
      <c r="A76" s="39" t="s">
        <v>865</v>
      </c>
      <c r="B76" s="37" t="s">
        <v>3057</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1919</v>
      </c>
      <c r="Q76" s="13"/>
      <c r="R76" s="13"/>
      <c r="S76" s="13"/>
    </row>
    <row r="77" spans="1:19" s="47" customFormat="1" ht="28.5" x14ac:dyDescent="0.4">
      <c r="A77" s="39" t="s">
        <v>1907</v>
      </c>
      <c r="B77" s="37" t="s">
        <v>3058</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1920</v>
      </c>
      <c r="Q77" s="13"/>
      <c r="R77" s="13"/>
      <c r="S77" s="13"/>
    </row>
    <row r="78" spans="1:19" s="47" customFormat="1" ht="28.5" x14ac:dyDescent="0.4">
      <c r="A78" s="39" t="s">
        <v>1908</v>
      </c>
      <c r="B78" s="37" t="s">
        <v>3059</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1921</v>
      </c>
      <c r="Q78" s="13"/>
      <c r="R78" s="13"/>
      <c r="S78" s="13"/>
    </row>
    <row r="79" spans="1:19" s="47" customFormat="1" x14ac:dyDescent="0.4">
      <c r="A79" s="39" t="s">
        <v>1909</v>
      </c>
      <c r="B79" s="37" t="s">
        <v>3060</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1922</v>
      </c>
      <c r="Q79" s="13"/>
      <c r="R79" s="13"/>
      <c r="S79" s="13"/>
    </row>
    <row r="80" spans="1:19" s="47" customFormat="1" x14ac:dyDescent="0.4">
      <c r="A80" s="39" t="s">
        <v>1910</v>
      </c>
      <c r="B80" s="37" t="s">
        <v>3061</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273</v>
      </c>
      <c r="Q80" s="13"/>
      <c r="R80" s="13"/>
      <c r="S80" s="13"/>
    </row>
    <row r="81" spans="1:19" s="47" customFormat="1" ht="42.75" x14ac:dyDescent="0.4">
      <c r="A81" s="39" t="s">
        <v>3062</v>
      </c>
      <c r="B81" s="37" t="s">
        <v>3063</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282</v>
      </c>
      <c r="Q81" s="13"/>
      <c r="R81" s="13"/>
      <c r="S81" s="13"/>
    </row>
    <row r="82" spans="1:19" s="47" customFormat="1" ht="57" x14ac:dyDescent="0.4">
      <c r="A82" s="39" t="s">
        <v>1911</v>
      </c>
      <c r="B82" s="37" t="s">
        <v>3064</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1923</v>
      </c>
      <c r="Q82" s="13"/>
      <c r="R82" s="13"/>
      <c r="S82" s="13"/>
    </row>
    <row r="83" spans="1:19" s="47" customFormat="1" x14ac:dyDescent="0.4">
      <c r="A83" s="39" t="s">
        <v>1912</v>
      </c>
      <c r="B83" s="37"/>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1924</v>
      </c>
      <c r="Q83" s="13"/>
      <c r="R83" s="13"/>
      <c r="S83" s="13"/>
    </row>
    <row r="84" spans="1:19" s="47" customFormat="1" ht="28.5" x14ac:dyDescent="0.4">
      <c r="A84" s="39" t="s">
        <v>3065</v>
      </c>
      <c r="B84" s="37" t="s">
        <v>3066</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1925</v>
      </c>
      <c r="Q84" s="13"/>
      <c r="R84" s="13"/>
      <c r="S84" s="13"/>
    </row>
    <row r="85" spans="1:19" s="47" customFormat="1" ht="28.5" x14ac:dyDescent="0.4">
      <c r="A85" s="39" t="s">
        <v>3067</v>
      </c>
      <c r="B85" s="37" t="s">
        <v>3068</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1926</v>
      </c>
      <c r="Q85" s="13"/>
      <c r="R85" s="13"/>
      <c r="S85" s="13"/>
    </row>
    <row r="86" spans="1:19" s="47" customFormat="1" x14ac:dyDescent="0.4">
      <c r="A86" s="39" t="s">
        <v>1913</v>
      </c>
      <c r="B86" s="37" t="s">
        <v>3069</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1927</v>
      </c>
      <c r="Q86" s="13"/>
      <c r="R86" s="13"/>
      <c r="S86" s="13"/>
    </row>
    <row r="87" spans="1:19" s="47" customFormat="1" ht="42.75" x14ac:dyDescent="0.4">
      <c r="A87" s="39" t="s">
        <v>3070</v>
      </c>
      <c r="B87" s="37" t="s">
        <v>1914</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1928</v>
      </c>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sheetData>
  <pageMargins left="0.7" right="0.7" top="0.75" bottom="0.75" header="0.3" footer="0.3"/>
  <pageSetup scale="84" fitToHeight="0" orientation="landscape" r:id="rId1"/>
  <headerFooter>
    <oddFooter>&amp;L&amp;G&amp;R&amp;P</oddFooter>
  </headerFooter>
  <legacyDrawingHF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9" tint="0.79998168889431442"/>
    <pageSetUpPr fitToPage="1"/>
  </sheetPr>
  <dimension ref="A1:S96"/>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140625" defaultRowHeight="18" outlineLevelCol="1" x14ac:dyDescent="0.4"/>
  <cols>
    <col min="1" max="1" width="70.5" style="13" customWidth="1"/>
    <col min="2" max="2" width="13.640625" style="4" hidden="1" customWidth="1" outlineLevel="1"/>
    <col min="3" max="9" width="13.640625" style="5" hidden="1" customWidth="1" outlineLevel="1"/>
    <col min="10" max="10" width="13.640625" style="5" customWidth="1" collapsed="1"/>
    <col min="11" max="15" width="13.64062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1929</v>
      </c>
      <c r="B2" s="28"/>
      <c r="C2" s="29"/>
      <c r="D2" s="29"/>
      <c r="E2" s="29"/>
      <c r="F2" s="29"/>
      <c r="G2" s="29"/>
      <c r="H2" s="29"/>
      <c r="I2" s="29"/>
      <c r="J2" s="29"/>
      <c r="K2" s="29"/>
      <c r="L2" s="29"/>
      <c r="M2" s="29"/>
      <c r="N2" s="29"/>
      <c r="O2" s="29"/>
      <c r="P2" s="48"/>
      <c r="R2" s="6" t="s">
        <v>430</v>
      </c>
      <c r="S2" s="6" t="s">
        <v>1973</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3071</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1930</v>
      </c>
      <c r="B7" s="37" t="s">
        <v>1931</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27</v>
      </c>
    </row>
    <row r="8" spans="1:19" s="40" customFormat="1" ht="14.25" x14ac:dyDescent="0.4">
      <c r="A8" s="39" t="s">
        <v>1932</v>
      </c>
      <c r="B8" s="37" t="s">
        <v>1933</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57</v>
      </c>
    </row>
    <row r="9" spans="1:19" s="40" customFormat="1" ht="14.25" x14ac:dyDescent="0.4">
      <c r="A9" s="39" t="s">
        <v>1934</v>
      </c>
      <c r="B9" s="37"/>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60</v>
      </c>
    </row>
    <row r="10" spans="1:19" s="40" customFormat="1" ht="14.25" x14ac:dyDescent="0.4">
      <c r="A10" s="39" t="s">
        <v>1935</v>
      </c>
      <c r="B10" s="37" t="s">
        <v>1936</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363</v>
      </c>
    </row>
    <row r="11" spans="1:19" s="40" customFormat="1" ht="14.25" x14ac:dyDescent="0.4">
      <c r="A11" s="39" t="s">
        <v>1937</v>
      </c>
      <c r="B11" s="37" t="s">
        <v>1938</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365</v>
      </c>
    </row>
    <row r="12" spans="1:19" s="40" customFormat="1" ht="28.5" x14ac:dyDescent="0.4">
      <c r="A12" s="39" t="s">
        <v>1939</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2</v>
      </c>
    </row>
    <row r="13" spans="1:19" s="40" customFormat="1" ht="14.25" x14ac:dyDescent="0.4">
      <c r="A13" s="39" t="s">
        <v>1930</v>
      </c>
      <c r="B13" s="37" t="s">
        <v>1940</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86</v>
      </c>
    </row>
    <row r="14" spans="1:19" x14ac:dyDescent="0.4">
      <c r="A14" s="39" t="s">
        <v>1932</v>
      </c>
      <c r="B14" s="37" t="s">
        <v>1941</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102</v>
      </c>
    </row>
    <row r="15" spans="1:19" x14ac:dyDescent="0.4">
      <c r="A15" s="39" t="s">
        <v>1934</v>
      </c>
      <c r="B15" s="37"/>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105</v>
      </c>
    </row>
    <row r="16" spans="1:19" s="47" customFormat="1" x14ac:dyDescent="0.4">
      <c r="A16" s="39" t="s">
        <v>1935</v>
      </c>
      <c r="B16" s="37" t="s">
        <v>1942</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1258</v>
      </c>
      <c r="Q16" s="13"/>
      <c r="R16" s="13"/>
      <c r="S16" s="13"/>
    </row>
    <row r="17" spans="1:19" s="47" customFormat="1" x14ac:dyDescent="0.4">
      <c r="A17" s="39" t="s">
        <v>1937</v>
      </c>
      <c r="B17" s="37" t="s">
        <v>1943</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1259</v>
      </c>
      <c r="Q17" s="13"/>
      <c r="R17" s="13"/>
      <c r="S17" s="13"/>
    </row>
    <row r="18" spans="1:19" s="47" customFormat="1" x14ac:dyDescent="0.4">
      <c r="A18" s="39" t="s">
        <v>1944</v>
      </c>
      <c r="B18" s="37"/>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3</v>
      </c>
      <c r="Q18" s="13"/>
      <c r="R18" s="13"/>
      <c r="S18" s="13"/>
    </row>
    <row r="19" spans="1:19" s="47" customFormat="1" x14ac:dyDescent="0.4">
      <c r="A19" s="39" t="s">
        <v>1930</v>
      </c>
      <c r="B19" s="37" t="s">
        <v>1945</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620</v>
      </c>
      <c r="Q19" s="13"/>
      <c r="R19" s="13"/>
      <c r="S19" s="13"/>
    </row>
    <row r="20" spans="1:19" s="47" customFormat="1" x14ac:dyDescent="0.4">
      <c r="A20" s="39" t="s">
        <v>1932</v>
      </c>
      <c r="B20" s="37" t="s">
        <v>1946</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621</v>
      </c>
      <c r="Q20" s="13"/>
      <c r="R20" s="13"/>
      <c r="S20" s="13"/>
    </row>
    <row r="21" spans="1:19" s="47" customFormat="1" x14ac:dyDescent="0.4">
      <c r="A21" s="39" t="s">
        <v>1934</v>
      </c>
      <c r="B21" s="37"/>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1309</v>
      </c>
      <c r="Q21" s="13"/>
      <c r="R21" s="13"/>
      <c r="S21" s="13"/>
    </row>
    <row r="22" spans="1:19" s="47" customFormat="1" x14ac:dyDescent="0.4">
      <c r="A22" s="39" t="s">
        <v>1935</v>
      </c>
      <c r="B22" s="37" t="s">
        <v>1947</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1971</v>
      </c>
      <c r="Q22" s="13"/>
      <c r="R22" s="13"/>
      <c r="S22" s="13"/>
    </row>
    <row r="23" spans="1:19" s="47" customFormat="1" x14ac:dyDescent="0.4">
      <c r="A23" s="39" t="s">
        <v>1937</v>
      </c>
      <c r="B23" s="37" t="s">
        <v>1948</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1972</v>
      </c>
      <c r="Q23" s="13"/>
      <c r="R23" s="13"/>
      <c r="S23" s="13"/>
    </row>
    <row r="24" spans="1:19" s="47" customFormat="1" ht="28.5" x14ac:dyDescent="0.4">
      <c r="A24" s="39" t="s">
        <v>1949</v>
      </c>
      <c r="B24" s="37"/>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4</v>
      </c>
      <c r="Q24" s="13"/>
      <c r="R24" s="13"/>
      <c r="S24" s="13"/>
    </row>
    <row r="25" spans="1:19" s="47" customFormat="1" x14ac:dyDescent="0.4">
      <c r="A25" s="39" t="s">
        <v>1930</v>
      </c>
      <c r="B25" s="37" t="s">
        <v>1950</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622</v>
      </c>
      <c r="Q25" s="13"/>
      <c r="R25" s="13"/>
      <c r="S25" s="13"/>
    </row>
    <row r="26" spans="1:19" s="47" customFormat="1" x14ac:dyDescent="0.4">
      <c r="A26" s="39" t="s">
        <v>1932</v>
      </c>
      <c r="B26" s="37" t="s">
        <v>1951</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623</v>
      </c>
      <c r="Q26" s="13"/>
      <c r="R26" s="13"/>
      <c r="S26" s="13"/>
    </row>
    <row r="27" spans="1:19" s="47" customFormat="1" x14ac:dyDescent="0.4">
      <c r="A27" s="39" t="s">
        <v>1934</v>
      </c>
      <c r="B27" s="37"/>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624</v>
      </c>
      <c r="Q27" s="13"/>
      <c r="R27" s="13"/>
      <c r="S27" s="13"/>
    </row>
    <row r="28" spans="1:19" s="47" customFormat="1" x14ac:dyDescent="0.4">
      <c r="A28" s="39" t="s">
        <v>1935</v>
      </c>
      <c r="B28" s="37" t="s">
        <v>1952</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725</v>
      </c>
      <c r="Q28" s="13"/>
      <c r="R28" s="13"/>
      <c r="S28" s="13"/>
    </row>
    <row r="29" spans="1:19" s="47" customFormat="1" x14ac:dyDescent="0.4">
      <c r="A29" s="39" t="s">
        <v>1937</v>
      </c>
      <c r="B29" s="37" t="s">
        <v>1953</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739</v>
      </c>
      <c r="Q29" s="13"/>
      <c r="R29" s="13"/>
      <c r="S29" s="13"/>
    </row>
    <row r="30" spans="1:19" s="47" customFormat="1" ht="42.75" x14ac:dyDescent="0.4">
      <c r="A30" s="39" t="s">
        <v>1954</v>
      </c>
      <c r="B30" s="37"/>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5</v>
      </c>
      <c r="Q30" s="13"/>
      <c r="R30" s="13"/>
      <c r="S30" s="13"/>
    </row>
    <row r="31" spans="1:19" s="47" customFormat="1" x14ac:dyDescent="0.4">
      <c r="A31" s="39" t="s">
        <v>1955</v>
      </c>
      <c r="B31" s="37" t="s">
        <v>1956</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119</v>
      </c>
      <c r="Q31" s="13"/>
      <c r="R31" s="13"/>
      <c r="S31" s="13"/>
    </row>
    <row r="32" spans="1:19" s="47" customFormat="1" x14ac:dyDescent="0.4">
      <c r="A32" s="39" t="s">
        <v>1957</v>
      </c>
      <c r="B32" s="37" t="s">
        <v>1958</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122</v>
      </c>
      <c r="Q32" s="13"/>
      <c r="R32" s="13"/>
      <c r="S32" s="13"/>
    </row>
    <row r="33" spans="1:19" s="47" customFormat="1" ht="28.5" x14ac:dyDescent="0.4">
      <c r="A33" s="39" t="s">
        <v>1959</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6</v>
      </c>
      <c r="Q33" s="13"/>
      <c r="R33" s="13"/>
      <c r="S33" s="13"/>
    </row>
    <row r="34" spans="1:19" s="47" customFormat="1" x14ac:dyDescent="0.4">
      <c r="A34" s="39" t="s">
        <v>1930</v>
      </c>
      <c r="B34" s="37" t="s">
        <v>1960</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172</v>
      </c>
      <c r="Q34" s="13"/>
      <c r="R34" s="13"/>
      <c r="S34" s="13"/>
    </row>
    <row r="35" spans="1:19" s="47" customFormat="1" x14ac:dyDescent="0.4">
      <c r="A35" s="39" t="s">
        <v>1932</v>
      </c>
      <c r="B35" s="37" t="s">
        <v>1961</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175</v>
      </c>
      <c r="Q35" s="13"/>
      <c r="R35" s="13"/>
      <c r="S35" s="13"/>
    </row>
    <row r="36" spans="1:19" s="47" customFormat="1" x14ac:dyDescent="0.4">
      <c r="A36" s="39" t="s">
        <v>1962</v>
      </c>
      <c r="B36" s="37"/>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983</v>
      </c>
      <c r="Q36" s="13"/>
      <c r="R36" s="13"/>
      <c r="S36" s="13"/>
    </row>
    <row r="37" spans="1:19" s="47" customFormat="1" x14ac:dyDescent="0.4">
      <c r="A37" s="39" t="s">
        <v>1935</v>
      </c>
      <c r="B37" s="37" t="s">
        <v>1963</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986</v>
      </c>
      <c r="Q37" s="13"/>
      <c r="R37" s="13"/>
      <c r="S37" s="13"/>
    </row>
    <row r="38" spans="1:19" s="47" customFormat="1" x14ac:dyDescent="0.4">
      <c r="A38" s="39" t="s">
        <v>1937</v>
      </c>
      <c r="B38" s="37" t="s">
        <v>1964</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989</v>
      </c>
      <c r="Q38" s="13"/>
      <c r="R38" s="13"/>
      <c r="S38" s="13"/>
    </row>
    <row r="39" spans="1:19" s="47" customFormat="1" ht="28.5" x14ac:dyDescent="0.4">
      <c r="A39" s="39" t="s">
        <v>1965</v>
      </c>
      <c r="B39" s="37"/>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7</v>
      </c>
      <c r="Q39" s="13"/>
      <c r="R39" s="13"/>
      <c r="S39" s="13"/>
    </row>
    <row r="40" spans="1:19" s="47" customFormat="1" ht="28.5" x14ac:dyDescent="0.4">
      <c r="A40" s="39" t="s">
        <v>1966</v>
      </c>
      <c r="B40" s="37" t="s">
        <v>1967</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179</v>
      </c>
      <c r="Q40" s="13"/>
      <c r="R40" s="13"/>
      <c r="S40" s="13"/>
    </row>
    <row r="41" spans="1:19" s="47" customFormat="1" x14ac:dyDescent="0.4">
      <c r="A41" s="39" t="s">
        <v>1968</v>
      </c>
      <c r="B41" s="37" t="s">
        <v>1969</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181</v>
      </c>
      <c r="Q41" s="13"/>
      <c r="R41" s="13"/>
      <c r="S41" s="13"/>
    </row>
    <row r="42" spans="1:19" s="47" customFormat="1" x14ac:dyDescent="0.4">
      <c r="A42" s="39" t="s">
        <v>3072</v>
      </c>
      <c r="B42" s="37" t="s">
        <v>1970</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183</v>
      </c>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row r="96" spans="1:19" s="47" customFormat="1" x14ac:dyDescent="0.4">
      <c r="A96" s="13"/>
      <c r="B96" s="4"/>
      <c r="C96" s="5"/>
      <c r="D96" s="5"/>
      <c r="E96" s="5"/>
      <c r="F96" s="5"/>
      <c r="G96" s="5"/>
      <c r="H96" s="5"/>
      <c r="I96" s="5"/>
      <c r="J96" s="5"/>
      <c r="K96" s="5"/>
      <c r="L96" s="5"/>
      <c r="M96" s="5"/>
      <c r="N96" s="5"/>
      <c r="O96" s="5"/>
      <c r="Q96" s="13"/>
      <c r="R96" s="13"/>
      <c r="S96" s="13"/>
    </row>
  </sheetData>
  <pageMargins left="0.7" right="0.7" top="0.75" bottom="0.75" header="0.3" footer="0.3"/>
  <pageSetup scale="85" fitToHeight="2" orientation="landscape" r:id="rId1"/>
  <headerFooter>
    <oddFooter>&amp;L&amp;G&amp;R&amp;P</oddFooter>
  </headerFooter>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9" tint="0.79998168889431442"/>
    <pageSetUpPr fitToPage="1"/>
  </sheetPr>
  <dimension ref="A1:S95"/>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ColWidth="9.140625" defaultRowHeight="18" outlineLevelCol="1" x14ac:dyDescent="0.4"/>
  <cols>
    <col min="1" max="1" width="70.5" style="13" customWidth="1"/>
    <col min="2" max="2" width="13.640625" style="4" hidden="1" customWidth="1" outlineLevel="1"/>
    <col min="3" max="9" width="13.640625" style="5" hidden="1" customWidth="1" outlineLevel="1"/>
    <col min="10" max="10" width="14.35546875" style="5" customWidth="1" collapsed="1"/>
    <col min="11" max="15" width="14.35546875" style="5" customWidth="1"/>
    <col min="16" max="16" width="8" style="47" bestFit="1" customWidth="1"/>
    <col min="17" max="17" width="9.140625" style="13"/>
    <col min="18" max="18" width="18.5" style="13" bestFit="1" customWidth="1"/>
    <col min="19" max="16384" width="9.140625" style="13"/>
  </cols>
  <sheetData>
    <row r="1" spans="1:19" x14ac:dyDescent="0.4">
      <c r="A1" s="11" t="str">
        <f>name</f>
        <v/>
      </c>
    </row>
    <row r="2" spans="1:19" x14ac:dyDescent="0.55000000000000004">
      <c r="A2" s="1" t="s">
        <v>1974</v>
      </c>
      <c r="B2" s="28"/>
      <c r="C2" s="29"/>
      <c r="D2" s="29"/>
      <c r="E2" s="29"/>
      <c r="F2" s="29"/>
      <c r="G2" s="29"/>
      <c r="H2" s="29"/>
      <c r="I2" s="29"/>
      <c r="J2" s="29"/>
      <c r="K2" s="29"/>
      <c r="L2" s="29"/>
      <c r="M2" s="29"/>
      <c r="N2" s="29"/>
      <c r="O2" s="29"/>
      <c r="P2" s="48"/>
      <c r="R2" s="6" t="s">
        <v>430</v>
      </c>
      <c r="S2" s="6" t="s">
        <v>2040</v>
      </c>
    </row>
    <row r="3" spans="1:19" x14ac:dyDescent="0.55000000000000004">
      <c r="A3" s="19" t="s">
        <v>24</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1975</v>
      </c>
      <c r="B6" s="37" t="s">
        <v>3073</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1976</v>
      </c>
      <c r="B7" s="37" t="s">
        <v>2207</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1977</v>
      </c>
      <c r="B8" s="37" t="s">
        <v>3074</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28.5" x14ac:dyDescent="0.4">
      <c r="A9" s="39" t="s">
        <v>1978</v>
      </c>
      <c r="B9" s="37" t="s">
        <v>1979</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620</v>
      </c>
    </row>
    <row r="10" spans="1:19" s="40" customFormat="1" ht="28.5" x14ac:dyDescent="0.4">
      <c r="A10" s="39" t="s">
        <v>1980</v>
      </c>
      <c r="B10" s="37" t="s">
        <v>3075</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4</v>
      </c>
    </row>
    <row r="11" spans="1:19" s="40" customFormat="1" ht="28.5" x14ac:dyDescent="0.4">
      <c r="A11" s="39" t="s">
        <v>1981</v>
      </c>
      <c r="B11" s="37" t="s">
        <v>3076</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5</v>
      </c>
    </row>
    <row r="12" spans="1:19" s="40" customFormat="1" ht="14.25" x14ac:dyDescent="0.4">
      <c r="A12" s="39" t="s">
        <v>1982</v>
      </c>
      <c r="B12" s="37" t="s">
        <v>3077</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6</v>
      </c>
    </row>
    <row r="13" spans="1:19" s="40" customFormat="1" ht="28.5" x14ac:dyDescent="0.4">
      <c r="A13" s="39" t="s">
        <v>1983</v>
      </c>
      <c r="B13" s="37" t="s">
        <v>3078</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7</v>
      </c>
    </row>
    <row r="14" spans="1:19" ht="28.5" x14ac:dyDescent="0.4">
      <c r="A14" s="39" t="s">
        <v>3079</v>
      </c>
      <c r="B14" s="37" t="s">
        <v>3080</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8</v>
      </c>
    </row>
    <row r="15" spans="1:19" ht="42.75" x14ac:dyDescent="0.4">
      <c r="A15" s="39" t="s">
        <v>1984</v>
      </c>
      <c r="B15" s="37"/>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9</v>
      </c>
    </row>
    <row r="16" spans="1:19" s="47" customFormat="1" ht="28.5" x14ac:dyDescent="0.4">
      <c r="A16" s="39" t="s">
        <v>1985</v>
      </c>
      <c r="B16" s="37" t="s">
        <v>3081</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1262</v>
      </c>
      <c r="Q16" s="13"/>
      <c r="R16" s="13"/>
      <c r="S16" s="13"/>
    </row>
    <row r="17" spans="1:19" s="47" customFormat="1" ht="42.75" x14ac:dyDescent="0.4">
      <c r="A17" s="39" t="s">
        <v>1986</v>
      </c>
      <c r="B17" s="37" t="s">
        <v>3082</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1263</v>
      </c>
      <c r="Q17" s="13"/>
      <c r="R17" s="13"/>
      <c r="S17" s="13"/>
    </row>
    <row r="18" spans="1:19" s="47" customFormat="1" ht="28.5" x14ac:dyDescent="0.4">
      <c r="A18" s="39" t="s">
        <v>3083</v>
      </c>
      <c r="B18" s="37" t="s">
        <v>3084</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1479</v>
      </c>
      <c r="Q18" s="13"/>
      <c r="R18" s="13"/>
      <c r="S18" s="13"/>
    </row>
    <row r="19" spans="1:19" s="47" customFormat="1" ht="57" x14ac:dyDescent="0.4">
      <c r="A19" s="39" t="s">
        <v>3085</v>
      </c>
      <c r="B19" s="37" t="s">
        <v>3086</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1480</v>
      </c>
      <c r="Q19" s="13"/>
      <c r="R19" s="13"/>
      <c r="S19" s="13"/>
    </row>
    <row r="20" spans="1:19" s="47" customFormat="1" ht="42.75" x14ac:dyDescent="0.4">
      <c r="A20" s="39" t="s">
        <v>3087</v>
      </c>
      <c r="B20" s="37" t="s">
        <v>3088</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1483</v>
      </c>
      <c r="Q20" s="13"/>
      <c r="R20" s="13"/>
      <c r="S20" s="13"/>
    </row>
    <row r="21" spans="1:19" s="47" customFormat="1" ht="71.25" x14ac:dyDescent="0.4">
      <c r="A21" s="39" t="s">
        <v>3089</v>
      </c>
      <c r="B21" s="37" t="s">
        <v>3090</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1486</v>
      </c>
      <c r="Q21" s="13"/>
      <c r="R21" s="13"/>
      <c r="S21" s="13"/>
    </row>
    <row r="22" spans="1:19" s="47" customFormat="1" ht="28.5" x14ac:dyDescent="0.4">
      <c r="A22" s="39" t="s">
        <v>1987</v>
      </c>
      <c r="B22" s="37"/>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10</v>
      </c>
      <c r="Q22" s="13"/>
      <c r="R22" s="13"/>
      <c r="S22" s="13"/>
    </row>
    <row r="23" spans="1:19" s="47" customFormat="1" ht="42.75" x14ac:dyDescent="0.4">
      <c r="A23" s="39" t="s">
        <v>1988</v>
      </c>
      <c r="B23" s="37" t="s">
        <v>3091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626</v>
      </c>
      <c r="Q23" s="13"/>
      <c r="R23" s="13"/>
      <c r="S23" s="13"/>
    </row>
    <row r="24" spans="1:19" s="47" customFormat="1" ht="28.5" x14ac:dyDescent="0.4">
      <c r="A24" s="39" t="s">
        <v>1989</v>
      </c>
      <c r="B24" s="37" t="s">
        <v>3092</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627</v>
      </c>
      <c r="Q24" s="13"/>
      <c r="R24" s="13"/>
      <c r="S24" s="13"/>
    </row>
    <row r="25" spans="1:19" s="47" customFormat="1" ht="42.75" x14ac:dyDescent="0.4">
      <c r="A25" s="39" t="s">
        <v>1990</v>
      </c>
      <c r="B25" s="37" t="s">
        <v>3093</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11</v>
      </c>
      <c r="Q25" s="13"/>
      <c r="R25" s="13"/>
      <c r="S25" s="13"/>
    </row>
    <row r="26" spans="1:19" s="47" customFormat="1" x14ac:dyDescent="0.4">
      <c r="A26" s="39" t="s">
        <v>1991</v>
      </c>
      <c r="B26" s="37" t="s">
        <v>3094</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v>12</v>
      </c>
      <c r="Q26" s="13"/>
      <c r="R26" s="13"/>
      <c r="S26" s="13"/>
    </row>
    <row r="27" spans="1:19" s="47" customFormat="1" ht="42.75" x14ac:dyDescent="0.4">
      <c r="A27" s="39" t="s">
        <v>1992</v>
      </c>
      <c r="B27" s="37" t="s">
        <v>3095</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v>13</v>
      </c>
      <c r="Q27" s="13"/>
      <c r="R27" s="13"/>
      <c r="S27" s="13"/>
    </row>
    <row r="28" spans="1:19" s="47" customFormat="1" ht="28.5" x14ac:dyDescent="0.4">
      <c r="A28" s="39" t="s">
        <v>3096</v>
      </c>
      <c r="B28" s="37" t="s">
        <v>3097</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14</v>
      </c>
      <c r="Q28" s="13"/>
      <c r="R28" s="13"/>
      <c r="S28" s="13"/>
    </row>
    <row r="29" spans="1:19" s="47" customFormat="1" ht="57" x14ac:dyDescent="0.4">
      <c r="A29" s="39" t="s">
        <v>3098</v>
      </c>
      <c r="B29" s="37" t="s">
        <v>3099</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15</v>
      </c>
      <c r="Q29" s="13"/>
      <c r="R29" s="13"/>
      <c r="S29" s="13"/>
    </row>
    <row r="30" spans="1:19" s="47" customFormat="1" ht="71.25" x14ac:dyDescent="0.4">
      <c r="A30" s="39" t="s">
        <v>3100</v>
      </c>
      <c r="B30" s="37" t="s">
        <v>3101</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16</v>
      </c>
      <c r="Q30" s="13"/>
      <c r="R30" s="13"/>
      <c r="S30" s="13"/>
    </row>
    <row r="31" spans="1:19" s="47" customFormat="1" ht="28.5" x14ac:dyDescent="0.4">
      <c r="A31" s="39" t="s">
        <v>1993</v>
      </c>
      <c r="B31" s="37" t="s">
        <v>3102</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v>17</v>
      </c>
      <c r="Q31" s="13"/>
      <c r="R31" s="13"/>
      <c r="S31" s="13"/>
    </row>
    <row r="32" spans="1:19" s="47" customFormat="1" ht="28.5" x14ac:dyDescent="0.4">
      <c r="A32" s="39" t="s">
        <v>1994</v>
      </c>
      <c r="B32" s="37" t="s">
        <v>3103</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18</v>
      </c>
      <c r="Q32" s="13"/>
      <c r="R32" s="13"/>
      <c r="S32" s="13"/>
    </row>
    <row r="33" spans="1:19" s="47" customFormat="1" x14ac:dyDescent="0.4">
      <c r="A33" s="39" t="s">
        <v>1995</v>
      </c>
      <c r="B33" s="37" t="s">
        <v>3104</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19</v>
      </c>
      <c r="Q33" s="13"/>
      <c r="R33" s="13"/>
      <c r="S33" s="13"/>
    </row>
    <row r="34" spans="1:19" s="47" customFormat="1" x14ac:dyDescent="0.4">
      <c r="A34" s="39" t="s">
        <v>1996</v>
      </c>
      <c r="B34" s="37" t="s">
        <v>3105</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v>20</v>
      </c>
      <c r="Q34" s="13"/>
      <c r="R34" s="13"/>
      <c r="S34" s="13"/>
    </row>
    <row r="35" spans="1:19" s="47" customFormat="1" ht="28.5" x14ac:dyDescent="0.4">
      <c r="A35" s="39" t="s">
        <v>1997</v>
      </c>
      <c r="B35" s="37" t="s">
        <v>3106</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v>21</v>
      </c>
      <c r="Q35" s="13"/>
      <c r="R35" s="13"/>
      <c r="S35" s="13"/>
    </row>
    <row r="36" spans="1:19" s="47" customFormat="1" x14ac:dyDescent="0.4">
      <c r="A36" s="39" t="s">
        <v>1998</v>
      </c>
      <c r="B36" s="37" t="s">
        <v>3107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v>22</v>
      </c>
      <c r="Q36" s="13"/>
      <c r="R36" s="13"/>
      <c r="S36" s="13"/>
    </row>
    <row r="37" spans="1:19" s="47" customFormat="1" x14ac:dyDescent="0.4">
      <c r="A37" s="39" t="s">
        <v>1999</v>
      </c>
      <c r="B37" s="37" t="s">
        <v>3108</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v>23</v>
      </c>
      <c r="Q37" s="13"/>
      <c r="R37" s="13"/>
      <c r="S37" s="13"/>
    </row>
    <row r="38" spans="1:19" s="47" customFormat="1" x14ac:dyDescent="0.4">
      <c r="A38" s="39" t="s">
        <v>2000</v>
      </c>
      <c r="B38" s="37" t="s">
        <v>3109</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v>24</v>
      </c>
      <c r="Q38" s="13"/>
      <c r="R38" s="13"/>
      <c r="S38" s="13"/>
    </row>
    <row r="39" spans="1:19" s="47" customFormat="1" x14ac:dyDescent="0.4">
      <c r="A39" s="39" t="s">
        <v>2001</v>
      </c>
      <c r="B39" s="37" t="s">
        <v>3110</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25</v>
      </c>
      <c r="Q39" s="13"/>
      <c r="R39" s="13"/>
      <c r="S39" s="13"/>
    </row>
    <row r="40" spans="1:19" s="47" customFormat="1" x14ac:dyDescent="0.4">
      <c r="A40" s="39" t="s">
        <v>3111</v>
      </c>
      <c r="B40" s="37" t="s">
        <v>3112</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26</v>
      </c>
      <c r="Q40" s="13"/>
      <c r="R40" s="13"/>
      <c r="S40" s="13"/>
    </row>
    <row r="41" spans="1:19" s="47" customFormat="1" x14ac:dyDescent="0.4">
      <c r="A41" s="39" t="s">
        <v>2002</v>
      </c>
      <c r="B41" s="37" t="s">
        <v>3113</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27</v>
      </c>
      <c r="Q41" s="13"/>
      <c r="R41" s="13"/>
      <c r="S41" s="13"/>
    </row>
    <row r="42" spans="1:19" s="47" customFormat="1" x14ac:dyDescent="0.4">
      <c r="A42" s="39" t="s">
        <v>2003</v>
      </c>
      <c r="B42" s="37" t="s">
        <v>3114</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28</v>
      </c>
      <c r="Q42" s="13"/>
      <c r="R42" s="13"/>
      <c r="S42" s="13"/>
    </row>
    <row r="43" spans="1:19" s="47" customFormat="1" x14ac:dyDescent="0.4">
      <c r="A43" s="39" t="s">
        <v>2004</v>
      </c>
      <c r="B43" s="37" t="s">
        <v>3115</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29</v>
      </c>
      <c r="Q43" s="13"/>
      <c r="R43" s="13"/>
      <c r="S43" s="13"/>
    </row>
    <row r="44" spans="1:19" s="47" customFormat="1" ht="28.5" x14ac:dyDescent="0.4">
      <c r="A44" s="39" t="s">
        <v>2005</v>
      </c>
      <c r="B44" s="37"/>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30</v>
      </c>
      <c r="Q44" s="13"/>
      <c r="R44" s="13"/>
      <c r="S44" s="13"/>
    </row>
    <row r="45" spans="1:19" s="47" customFormat="1" x14ac:dyDescent="0.4">
      <c r="A45" s="39" t="s">
        <v>2006</v>
      </c>
      <c r="B45" s="37" t="s">
        <v>3116</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2030</v>
      </c>
      <c r="Q45" s="13"/>
      <c r="R45" s="13"/>
      <c r="S45" s="13"/>
    </row>
    <row r="46" spans="1:19" s="47" customFormat="1" ht="28.5" x14ac:dyDescent="0.4">
      <c r="A46" s="39" t="s">
        <v>2007</v>
      </c>
      <c r="B46" s="37" t="s">
        <v>3117</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2031</v>
      </c>
      <c r="Q46" s="13"/>
      <c r="R46" s="13"/>
      <c r="S46" s="13"/>
    </row>
    <row r="47" spans="1:19" s="47" customFormat="1" ht="42.75" x14ac:dyDescent="0.4">
      <c r="A47" s="39" t="s">
        <v>2008</v>
      </c>
      <c r="B47" s="37" t="s">
        <v>3118</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v>31</v>
      </c>
      <c r="Q47" s="13"/>
      <c r="R47" s="13"/>
      <c r="S47" s="13"/>
    </row>
    <row r="48" spans="1:19" s="47" customFormat="1" x14ac:dyDescent="0.4">
      <c r="A48" s="39" t="s">
        <v>2009</v>
      </c>
      <c r="B48" s="37"/>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v>32</v>
      </c>
      <c r="Q48" s="13"/>
      <c r="R48" s="13"/>
      <c r="S48" s="13"/>
    </row>
    <row r="49" spans="1:19" s="47" customFormat="1" x14ac:dyDescent="0.4">
      <c r="A49" s="39" t="s">
        <v>2010</v>
      </c>
      <c r="B49" s="37" t="s">
        <v>3119</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2032</v>
      </c>
      <c r="Q49" s="13"/>
      <c r="R49" s="13"/>
      <c r="S49" s="13"/>
    </row>
    <row r="50" spans="1:19" s="47" customFormat="1" ht="28.5" x14ac:dyDescent="0.4">
      <c r="A50" s="39" t="s">
        <v>2011</v>
      </c>
      <c r="B50" s="37" t="s">
        <v>3120</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2033</v>
      </c>
      <c r="Q50" s="13"/>
      <c r="R50" s="13"/>
      <c r="S50" s="13"/>
    </row>
    <row r="51" spans="1:19" s="47" customFormat="1" x14ac:dyDescent="0.4">
      <c r="A51" s="39" t="s">
        <v>2012</v>
      </c>
      <c r="B51" s="37" t="s">
        <v>3121</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v>33</v>
      </c>
      <c r="Q51" s="13"/>
      <c r="R51" s="13"/>
      <c r="S51" s="13"/>
    </row>
    <row r="52" spans="1:19" s="47" customFormat="1" x14ac:dyDescent="0.4">
      <c r="A52" s="39" t="s">
        <v>2013</v>
      </c>
      <c r="B52" s="37"/>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v>34</v>
      </c>
      <c r="Q52" s="13"/>
      <c r="R52" s="13"/>
      <c r="S52" s="13"/>
    </row>
    <row r="53" spans="1:19" s="47" customFormat="1" x14ac:dyDescent="0.4">
      <c r="A53" s="39" t="s">
        <v>2014</v>
      </c>
      <c r="B53" s="37" t="s">
        <v>3122</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2034</v>
      </c>
      <c r="Q53" s="13"/>
      <c r="R53" s="13"/>
      <c r="S53" s="13"/>
    </row>
    <row r="54" spans="1:19" s="47" customFormat="1" ht="28.5" x14ac:dyDescent="0.4">
      <c r="A54" s="39" t="s">
        <v>2015</v>
      </c>
      <c r="B54" s="37" t="s">
        <v>3123</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2035</v>
      </c>
      <c r="Q54" s="13"/>
      <c r="R54" s="13"/>
      <c r="S54" s="13"/>
    </row>
    <row r="55" spans="1:19" s="47" customFormat="1" x14ac:dyDescent="0.4">
      <c r="A55" s="39" t="s">
        <v>2016</v>
      </c>
      <c r="B55" s="37"/>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v>35</v>
      </c>
      <c r="Q55" s="13"/>
      <c r="R55" s="13"/>
      <c r="S55" s="13"/>
    </row>
    <row r="56" spans="1:19" s="47" customFormat="1" x14ac:dyDescent="0.4">
      <c r="A56" s="39" t="s">
        <v>2017</v>
      </c>
      <c r="B56" s="37" t="s">
        <v>3124</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2036</v>
      </c>
      <c r="Q56" s="13"/>
      <c r="R56" s="13"/>
      <c r="S56" s="13"/>
    </row>
    <row r="57" spans="1:19" s="47" customFormat="1" ht="28.5" x14ac:dyDescent="0.4">
      <c r="A57" s="39" t="s">
        <v>2018</v>
      </c>
      <c r="B57" s="37" t="s">
        <v>3125</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2037</v>
      </c>
      <c r="Q57" s="13"/>
      <c r="R57" s="13"/>
      <c r="S57" s="13"/>
    </row>
    <row r="58" spans="1:19" s="47" customFormat="1" x14ac:dyDescent="0.4">
      <c r="A58" s="39" t="s">
        <v>2019</v>
      </c>
      <c r="B58" s="37" t="s">
        <v>2636</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v>36</v>
      </c>
      <c r="Q58" s="13"/>
      <c r="R58" s="13"/>
      <c r="S58" s="13"/>
    </row>
    <row r="59" spans="1:19" s="47" customFormat="1" ht="42.75" x14ac:dyDescent="0.4">
      <c r="A59" s="39" t="s">
        <v>2020</v>
      </c>
      <c r="B59" s="37" t="s">
        <v>3126</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v>37</v>
      </c>
      <c r="Q59" s="13"/>
      <c r="R59" s="13"/>
      <c r="S59" s="13"/>
    </row>
    <row r="60" spans="1:19" s="47" customFormat="1" x14ac:dyDescent="0.4">
      <c r="A60" s="39" t="s">
        <v>2021</v>
      </c>
      <c r="B60" s="37" t="s">
        <v>3127</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v>38</v>
      </c>
      <c r="Q60" s="13"/>
      <c r="R60" s="13"/>
      <c r="S60" s="13"/>
    </row>
    <row r="61" spans="1:19" s="47" customFormat="1" x14ac:dyDescent="0.4">
      <c r="A61" s="39" t="s">
        <v>2022</v>
      </c>
      <c r="B61" s="37" t="s">
        <v>3128</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v>39</v>
      </c>
      <c r="Q61" s="13"/>
      <c r="R61" s="13"/>
      <c r="S61" s="13"/>
    </row>
    <row r="62" spans="1:19" s="47" customFormat="1" x14ac:dyDescent="0.4">
      <c r="A62" s="39" t="s">
        <v>2023</v>
      </c>
      <c r="B62" s="37"/>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v>40</v>
      </c>
      <c r="Q62" s="13"/>
      <c r="R62" s="13"/>
      <c r="S62" s="13"/>
    </row>
    <row r="63" spans="1:19" s="47" customFormat="1" x14ac:dyDescent="0.4">
      <c r="A63" s="39" t="s">
        <v>2024</v>
      </c>
      <c r="B63" s="37" t="s">
        <v>3129</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2038</v>
      </c>
      <c r="Q63" s="13"/>
      <c r="R63" s="13"/>
      <c r="S63" s="13"/>
    </row>
    <row r="64" spans="1:19" s="47" customFormat="1" ht="42.75" x14ac:dyDescent="0.4">
      <c r="A64" s="39" t="s">
        <v>3130</v>
      </c>
      <c r="B64" s="37" t="s">
        <v>3131</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2039</v>
      </c>
      <c r="Q64" s="13"/>
      <c r="R64" s="13"/>
      <c r="S64" s="13"/>
    </row>
    <row r="65" spans="1:19" s="47" customFormat="1" x14ac:dyDescent="0.4">
      <c r="A65" s="39" t="s">
        <v>2025</v>
      </c>
      <c r="B65" s="37"/>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c r="P65" s="49" t="s">
        <v>936</v>
      </c>
      <c r="Q65" s="13"/>
      <c r="R65" s="13"/>
      <c r="S65" s="13"/>
    </row>
    <row r="66" spans="1:19" s="47" customFormat="1" ht="42.75" x14ac:dyDescent="0.4">
      <c r="A66" s="39" t="s">
        <v>2026</v>
      </c>
      <c r="B66" s="37" t="s">
        <v>3132</v>
      </c>
      <c r="C66" s="96" t="str">
        <f>IFERROR(IF([1]!IntrinioBankFinancials(rssd_id,$S$2,C$5,C$4,$B66)=0,"nm",[1]!IntrinioBankFinancials(rssd_id,$S$2,C$5,C$4,$B66)),"")</f>
        <v/>
      </c>
      <c r="D66" s="96" t="str">
        <f>IFERROR(IF([1]!IntrinioBankFinancials(rssd_id,$S$2,D$5,D$4,$B66)=0,"nm",[1]!IntrinioBankFinancials(rssd_id,$S$2,D$5,D$4,$B66)),"")</f>
        <v/>
      </c>
      <c r="E66" s="96" t="str">
        <f>IFERROR(IF([1]!IntrinioBankFinancials(rssd_id,$S$2,E$5,E$4,$B66)=0,"nm",[1]!IntrinioBankFinancials(rssd_id,$S$2,E$5,E$4,$B66)),"")</f>
        <v/>
      </c>
      <c r="F66" s="96" t="str">
        <f>IFERROR(IF([1]!IntrinioBankFinancials(rssd_id,$S$2,F$5,F$4,$B66)=0,"nm",[1]!IntrinioBankFinancials(rssd_id,$S$2,F$5,F$4,$B66)),"")</f>
        <v/>
      </c>
      <c r="G66" s="96" t="str">
        <f>IFERROR(IF([1]!IntrinioBankFinancials(rssd_id,$S$2,G$5,G$4,$B66)=0,"nm",[1]!IntrinioBankFinancials(rssd_id,$S$2,G$5,G$4,$B66)),"")</f>
        <v/>
      </c>
      <c r="H66" s="96" t="str">
        <f>IFERROR(IF([1]!IntrinioBankFinancials(rssd_id,$S$2,H$5,H$4,$B66)=0,"nm",[1]!IntrinioBankFinancials(rssd_id,$S$2,H$5,H$4,$B66)),"")</f>
        <v/>
      </c>
      <c r="I66" s="96" t="str">
        <f>IFERROR(IF([1]!IntrinioBankFinancials(rssd_id,$S$2,I$5,I$4,$B66)=0,"nm",[1]!IntrinioBankFinancials(rssd_id,$S$2,I$5,I$4,$B66)),"")</f>
        <v/>
      </c>
      <c r="J66" s="96" t="str">
        <f>IFERROR(IF([1]!IntrinioBankFinancials(rssd_id,$S$2,J$5,J$4,$B66)=0,"nm",[1]!IntrinioBankFinancials(rssd_id,$S$2,J$5,J$4,$B66)),"")</f>
        <v/>
      </c>
      <c r="K66" s="96" t="str">
        <f>IFERROR(IF([1]!IntrinioBankFinancials(rssd_id,$S$2,K$5,K$4,$B66)=0,"nm",[1]!IntrinioBankFinancials(rssd_id,$S$2,K$5,K$4,$B66)),"")</f>
        <v/>
      </c>
      <c r="L66" s="96" t="str">
        <f>IFERROR(IF([1]!IntrinioBankFinancials(rssd_id,$S$2,L$5,L$4,$B66)=0,"nm",[1]!IntrinioBankFinancials(rssd_id,$S$2,L$5,L$4,$B66)),"")</f>
        <v/>
      </c>
      <c r="M66" s="96" t="str">
        <f>IFERROR(IF([1]!IntrinioBankFinancials(rssd_id,$S$2,M$5,M$4,$B66)=0,"nm",[1]!IntrinioBankFinancials(rssd_id,$S$2,M$5,M$4,$B66)),"")</f>
        <v/>
      </c>
      <c r="N66" s="96" t="str">
        <f>IFERROR(IF([1]!IntrinioBankFinancials(rssd_id,$S$2,N$5,N$4,$B66)=0,"nm",[1]!IntrinioBankFinancials(rssd_id,$S$2,N$5,N$4,$B66)),"")</f>
        <v/>
      </c>
      <c r="O66" s="96" t="str">
        <f>IFERROR(IF([1]!IntrinioBankFinancials(rssd_id,$S$2,O$5,O$4,$B66)=0,"nm",[1]!IntrinioBankFinancials(rssd_id,$S$2,O$5,O$4,$B66)),"")</f>
        <v/>
      </c>
      <c r="P66" s="49">
        <v>41</v>
      </c>
      <c r="Q66" s="13"/>
      <c r="R66" s="13"/>
      <c r="S66" s="13"/>
    </row>
    <row r="67" spans="1:19" s="47" customFormat="1" ht="42.75" x14ac:dyDescent="0.4">
      <c r="A67" s="39" t="s">
        <v>2027</v>
      </c>
      <c r="B67" s="37" t="s">
        <v>3133</v>
      </c>
      <c r="C67" s="96" t="str">
        <f>IFERROR(IF([1]!IntrinioBankFinancials(rssd_id,$S$2,C$5,C$4,$B67)=0,"nm",[1]!IntrinioBankFinancials(rssd_id,$S$2,C$5,C$4,$B67)),"")</f>
        <v/>
      </c>
      <c r="D67" s="96" t="str">
        <f>IFERROR(IF([1]!IntrinioBankFinancials(rssd_id,$S$2,D$5,D$4,$B67)=0,"nm",[1]!IntrinioBankFinancials(rssd_id,$S$2,D$5,D$4,$B67)),"")</f>
        <v/>
      </c>
      <c r="E67" s="96" t="str">
        <f>IFERROR(IF([1]!IntrinioBankFinancials(rssd_id,$S$2,E$5,E$4,$B67)=0,"nm",[1]!IntrinioBankFinancials(rssd_id,$S$2,E$5,E$4,$B67)),"")</f>
        <v/>
      </c>
      <c r="F67" s="96" t="str">
        <f>IFERROR(IF([1]!IntrinioBankFinancials(rssd_id,$S$2,F$5,F$4,$B67)=0,"nm",[1]!IntrinioBankFinancials(rssd_id,$S$2,F$5,F$4,$B67)),"")</f>
        <v/>
      </c>
      <c r="G67" s="96" t="str">
        <f>IFERROR(IF([1]!IntrinioBankFinancials(rssd_id,$S$2,G$5,G$4,$B67)=0,"nm",[1]!IntrinioBankFinancials(rssd_id,$S$2,G$5,G$4,$B67)),"")</f>
        <v/>
      </c>
      <c r="H67" s="96" t="str">
        <f>IFERROR(IF([1]!IntrinioBankFinancials(rssd_id,$S$2,H$5,H$4,$B67)=0,"nm",[1]!IntrinioBankFinancials(rssd_id,$S$2,H$5,H$4,$B67)),"")</f>
        <v/>
      </c>
      <c r="I67" s="96" t="str">
        <f>IFERROR(IF([1]!IntrinioBankFinancials(rssd_id,$S$2,I$5,I$4,$B67)=0,"nm",[1]!IntrinioBankFinancials(rssd_id,$S$2,I$5,I$4,$B67)),"")</f>
        <v/>
      </c>
      <c r="J67" s="96" t="str">
        <f>IFERROR(IF([1]!IntrinioBankFinancials(rssd_id,$S$2,J$5,J$4,$B67)=0,"nm",[1]!IntrinioBankFinancials(rssd_id,$S$2,J$5,J$4,$B67)),"")</f>
        <v/>
      </c>
      <c r="K67" s="96" t="str">
        <f>IFERROR(IF([1]!IntrinioBankFinancials(rssd_id,$S$2,K$5,K$4,$B67)=0,"nm",[1]!IntrinioBankFinancials(rssd_id,$S$2,K$5,K$4,$B67)),"")</f>
        <v/>
      </c>
      <c r="L67" s="96" t="str">
        <f>IFERROR(IF([1]!IntrinioBankFinancials(rssd_id,$S$2,L$5,L$4,$B67)=0,"nm",[1]!IntrinioBankFinancials(rssd_id,$S$2,L$5,L$4,$B67)),"")</f>
        <v/>
      </c>
      <c r="M67" s="96" t="str">
        <f>IFERROR(IF([1]!IntrinioBankFinancials(rssd_id,$S$2,M$5,M$4,$B67)=0,"nm",[1]!IntrinioBankFinancials(rssd_id,$S$2,M$5,M$4,$B67)),"")</f>
        <v/>
      </c>
      <c r="N67" s="96" t="str">
        <f>IFERROR(IF([1]!IntrinioBankFinancials(rssd_id,$S$2,N$5,N$4,$B67)=0,"nm",[1]!IntrinioBankFinancials(rssd_id,$S$2,N$5,N$4,$B67)),"")</f>
        <v/>
      </c>
      <c r="O67" s="96" t="str">
        <f>IFERROR(IF([1]!IntrinioBankFinancials(rssd_id,$S$2,O$5,O$4,$B67)=0,"nm",[1]!IntrinioBankFinancials(rssd_id,$S$2,O$5,O$4,$B67)),"")</f>
        <v/>
      </c>
      <c r="P67" s="49">
        <v>42</v>
      </c>
      <c r="Q67" s="13"/>
      <c r="R67" s="13"/>
      <c r="S67" s="13"/>
    </row>
    <row r="68" spans="1:19" s="47" customFormat="1" ht="42.75" x14ac:dyDescent="0.4">
      <c r="A68" s="39" t="s">
        <v>2028</v>
      </c>
      <c r="B68" s="37" t="s">
        <v>3134</v>
      </c>
      <c r="C68" s="96" t="str">
        <f>IFERROR(IF([1]!IntrinioBankFinancials(rssd_id,$S$2,C$5,C$4,$B68)=0,"nm",[1]!IntrinioBankFinancials(rssd_id,$S$2,C$5,C$4,$B68)),"")</f>
        <v/>
      </c>
      <c r="D68" s="96" t="str">
        <f>IFERROR(IF([1]!IntrinioBankFinancials(rssd_id,$S$2,D$5,D$4,$B68)=0,"nm",[1]!IntrinioBankFinancials(rssd_id,$S$2,D$5,D$4,$B68)),"")</f>
        <v/>
      </c>
      <c r="E68" s="96" t="str">
        <f>IFERROR(IF([1]!IntrinioBankFinancials(rssd_id,$S$2,E$5,E$4,$B68)=0,"nm",[1]!IntrinioBankFinancials(rssd_id,$S$2,E$5,E$4,$B68)),"")</f>
        <v/>
      </c>
      <c r="F68" s="96" t="str">
        <f>IFERROR(IF([1]!IntrinioBankFinancials(rssd_id,$S$2,F$5,F$4,$B68)=0,"nm",[1]!IntrinioBankFinancials(rssd_id,$S$2,F$5,F$4,$B68)),"")</f>
        <v/>
      </c>
      <c r="G68" s="96" t="str">
        <f>IFERROR(IF([1]!IntrinioBankFinancials(rssd_id,$S$2,G$5,G$4,$B68)=0,"nm",[1]!IntrinioBankFinancials(rssd_id,$S$2,G$5,G$4,$B68)),"")</f>
        <v/>
      </c>
      <c r="H68" s="96" t="str">
        <f>IFERROR(IF([1]!IntrinioBankFinancials(rssd_id,$S$2,H$5,H$4,$B68)=0,"nm",[1]!IntrinioBankFinancials(rssd_id,$S$2,H$5,H$4,$B68)),"")</f>
        <v/>
      </c>
      <c r="I68" s="96" t="str">
        <f>IFERROR(IF([1]!IntrinioBankFinancials(rssd_id,$S$2,I$5,I$4,$B68)=0,"nm",[1]!IntrinioBankFinancials(rssd_id,$S$2,I$5,I$4,$B68)),"")</f>
        <v/>
      </c>
      <c r="J68" s="96" t="str">
        <f>IFERROR(IF([1]!IntrinioBankFinancials(rssd_id,$S$2,J$5,J$4,$B68)=0,"nm",[1]!IntrinioBankFinancials(rssd_id,$S$2,J$5,J$4,$B68)),"")</f>
        <v/>
      </c>
      <c r="K68" s="96" t="str">
        <f>IFERROR(IF([1]!IntrinioBankFinancials(rssd_id,$S$2,K$5,K$4,$B68)=0,"nm",[1]!IntrinioBankFinancials(rssd_id,$S$2,K$5,K$4,$B68)),"")</f>
        <v/>
      </c>
      <c r="L68" s="96" t="str">
        <f>IFERROR(IF([1]!IntrinioBankFinancials(rssd_id,$S$2,L$5,L$4,$B68)=0,"nm",[1]!IntrinioBankFinancials(rssd_id,$S$2,L$5,L$4,$B68)),"")</f>
        <v/>
      </c>
      <c r="M68" s="96" t="str">
        <f>IFERROR(IF([1]!IntrinioBankFinancials(rssd_id,$S$2,M$5,M$4,$B68)=0,"nm",[1]!IntrinioBankFinancials(rssd_id,$S$2,M$5,M$4,$B68)),"")</f>
        <v/>
      </c>
      <c r="N68" s="96" t="str">
        <f>IFERROR(IF([1]!IntrinioBankFinancials(rssd_id,$S$2,N$5,N$4,$B68)=0,"nm",[1]!IntrinioBankFinancials(rssd_id,$S$2,N$5,N$4,$B68)),"")</f>
        <v/>
      </c>
      <c r="O68" s="96" t="str">
        <f>IFERROR(IF([1]!IntrinioBankFinancials(rssd_id,$S$2,O$5,O$4,$B68)=0,"nm",[1]!IntrinioBankFinancials(rssd_id,$S$2,O$5,O$4,$B68)),"")</f>
        <v/>
      </c>
      <c r="P68" s="49">
        <v>43</v>
      </c>
      <c r="Q68" s="13"/>
      <c r="R68" s="13"/>
      <c r="S68" s="13"/>
    </row>
    <row r="69" spans="1:19" s="47" customFormat="1" x14ac:dyDescent="0.4">
      <c r="A69" s="39" t="s">
        <v>2029</v>
      </c>
      <c r="B69" s="37"/>
      <c r="C69" s="96" t="str">
        <f>IFERROR(IF([1]!IntrinioBankFinancials(rssd_id,$S$2,C$5,C$4,$B69)=0,"nm",[1]!IntrinioBankFinancials(rssd_id,$S$2,C$5,C$4,$B69)),"")</f>
        <v/>
      </c>
      <c r="D69" s="96" t="str">
        <f>IFERROR(IF([1]!IntrinioBankFinancials(rssd_id,$S$2,D$5,D$4,$B69)=0,"nm",[1]!IntrinioBankFinancials(rssd_id,$S$2,D$5,D$4,$B69)),"")</f>
        <v/>
      </c>
      <c r="E69" s="96" t="str">
        <f>IFERROR(IF([1]!IntrinioBankFinancials(rssd_id,$S$2,E$5,E$4,$B69)=0,"nm",[1]!IntrinioBankFinancials(rssd_id,$S$2,E$5,E$4,$B69)),"")</f>
        <v/>
      </c>
      <c r="F69" s="96" t="str">
        <f>IFERROR(IF([1]!IntrinioBankFinancials(rssd_id,$S$2,F$5,F$4,$B69)=0,"nm",[1]!IntrinioBankFinancials(rssd_id,$S$2,F$5,F$4,$B69)),"")</f>
        <v/>
      </c>
      <c r="G69" s="96" t="str">
        <f>IFERROR(IF([1]!IntrinioBankFinancials(rssd_id,$S$2,G$5,G$4,$B69)=0,"nm",[1]!IntrinioBankFinancials(rssd_id,$S$2,G$5,G$4,$B69)),"")</f>
        <v/>
      </c>
      <c r="H69" s="96" t="str">
        <f>IFERROR(IF([1]!IntrinioBankFinancials(rssd_id,$S$2,H$5,H$4,$B69)=0,"nm",[1]!IntrinioBankFinancials(rssd_id,$S$2,H$5,H$4,$B69)),"")</f>
        <v/>
      </c>
      <c r="I69" s="96" t="str">
        <f>IFERROR(IF([1]!IntrinioBankFinancials(rssd_id,$S$2,I$5,I$4,$B69)=0,"nm",[1]!IntrinioBankFinancials(rssd_id,$S$2,I$5,I$4,$B69)),"")</f>
        <v/>
      </c>
      <c r="J69" s="96" t="str">
        <f>IFERROR(IF([1]!IntrinioBankFinancials(rssd_id,$S$2,J$5,J$4,$B69)=0,"nm",[1]!IntrinioBankFinancials(rssd_id,$S$2,J$5,J$4,$B69)),"")</f>
        <v/>
      </c>
      <c r="K69" s="96" t="str">
        <f>IFERROR(IF([1]!IntrinioBankFinancials(rssd_id,$S$2,K$5,K$4,$B69)=0,"nm",[1]!IntrinioBankFinancials(rssd_id,$S$2,K$5,K$4,$B69)),"")</f>
        <v/>
      </c>
      <c r="L69" s="96" t="str">
        <f>IFERROR(IF([1]!IntrinioBankFinancials(rssd_id,$S$2,L$5,L$4,$B69)=0,"nm",[1]!IntrinioBankFinancials(rssd_id,$S$2,L$5,L$4,$B69)),"")</f>
        <v/>
      </c>
      <c r="M69" s="96" t="str">
        <f>IFERROR(IF([1]!IntrinioBankFinancials(rssd_id,$S$2,M$5,M$4,$B69)=0,"nm",[1]!IntrinioBankFinancials(rssd_id,$S$2,M$5,M$4,$B69)),"")</f>
        <v/>
      </c>
      <c r="N69" s="96" t="str">
        <f>IFERROR(IF([1]!IntrinioBankFinancials(rssd_id,$S$2,N$5,N$4,$B69)=0,"nm",[1]!IntrinioBankFinancials(rssd_id,$S$2,N$5,N$4,$B69)),"")</f>
        <v/>
      </c>
      <c r="O69" s="96"/>
      <c r="P69" s="49" t="s">
        <v>936</v>
      </c>
      <c r="Q69" s="13"/>
      <c r="R69" s="13"/>
      <c r="S69" s="13"/>
    </row>
    <row r="70" spans="1:19" s="47" customFormat="1" ht="42.75" x14ac:dyDescent="0.4">
      <c r="A70" s="39" t="s">
        <v>2026</v>
      </c>
      <c r="B70" s="37" t="s">
        <v>3135</v>
      </c>
      <c r="C70" s="96"/>
      <c r="D70" s="96"/>
      <c r="E70" s="96"/>
      <c r="F70" s="96"/>
      <c r="G70" s="96"/>
      <c r="H70" s="96"/>
      <c r="I70" s="96"/>
      <c r="J70" s="96"/>
      <c r="K70" s="96"/>
      <c r="L70" s="96"/>
      <c r="M70" s="96"/>
      <c r="N70" s="96"/>
      <c r="O70" s="96" t="str">
        <f>IFERROR(IF([1]!IntrinioBankFinancials(rssd_id,$S$2,O$5,O$4,$B70)=0,"nm",[1]!IntrinioBankFinancials(rssd_id,$S$2,O$5,O$4,$B70)),"")</f>
        <v/>
      </c>
      <c r="P70" s="49" t="s">
        <v>936</v>
      </c>
      <c r="Q70" s="13"/>
      <c r="R70" s="13"/>
      <c r="S70" s="13"/>
    </row>
    <row r="71" spans="1:19" s="47" customFormat="1" ht="42.75" x14ac:dyDescent="0.4">
      <c r="A71" s="39" t="s">
        <v>2027</v>
      </c>
      <c r="B71" s="37" t="s">
        <v>3136</v>
      </c>
      <c r="C71" s="96" t="str">
        <f>IFERROR(IF([1]!IntrinioBankFinancials(rssd_id,$S$2,C$5,C$4,$B71)=0,"nm",[1]!IntrinioBankFinancials(rssd_id,$S$2,C$5,C$4,$B71)),"")</f>
        <v/>
      </c>
      <c r="D71" s="96" t="str">
        <f>IFERROR(IF([1]!IntrinioBankFinancials(rssd_id,$S$2,D$5,D$4,$B71)=0,"nm",[1]!IntrinioBankFinancials(rssd_id,$S$2,D$5,D$4,$B71)),"")</f>
        <v/>
      </c>
      <c r="E71" s="96" t="str">
        <f>IFERROR(IF([1]!IntrinioBankFinancials(rssd_id,$S$2,E$5,E$4,$B71)=0,"nm",[1]!IntrinioBankFinancials(rssd_id,$S$2,E$5,E$4,$B71)),"")</f>
        <v/>
      </c>
      <c r="F71" s="96" t="str">
        <f>IFERROR(IF([1]!IntrinioBankFinancials(rssd_id,$S$2,F$5,F$4,$B71)=0,"nm",[1]!IntrinioBankFinancials(rssd_id,$S$2,F$5,F$4,$B71)),"")</f>
        <v/>
      </c>
      <c r="G71" s="96" t="str">
        <f>IFERROR(IF([1]!IntrinioBankFinancials(rssd_id,$S$2,G$5,G$4,$B71)=0,"nm",[1]!IntrinioBankFinancials(rssd_id,$S$2,G$5,G$4,$B71)),"")</f>
        <v/>
      </c>
      <c r="H71" s="96" t="str">
        <f>IFERROR(IF([1]!IntrinioBankFinancials(rssd_id,$S$2,H$5,H$4,$B71)=0,"nm",[1]!IntrinioBankFinancials(rssd_id,$S$2,H$5,H$4,$B71)),"")</f>
        <v/>
      </c>
      <c r="I71" s="96" t="str">
        <f>IFERROR(IF([1]!IntrinioBankFinancials(rssd_id,$S$2,I$5,I$4,$B71)=0,"nm",[1]!IntrinioBankFinancials(rssd_id,$S$2,I$5,I$4,$B71)),"")</f>
        <v/>
      </c>
      <c r="J71" s="96" t="str">
        <f>IFERROR(IF([1]!IntrinioBankFinancials(rssd_id,$S$2,J$5,J$4,$B71)=0,"nm",[1]!IntrinioBankFinancials(rssd_id,$S$2,J$5,J$4,$B71)),"")</f>
        <v/>
      </c>
      <c r="K71" s="96" t="str">
        <f>IFERROR(IF([1]!IntrinioBankFinancials(rssd_id,$S$2,K$5,K$4,$B71)=0,"nm",[1]!IntrinioBankFinancials(rssd_id,$S$2,K$5,K$4,$B71)),"")</f>
        <v/>
      </c>
      <c r="L71" s="96" t="str">
        <f>IFERROR(IF([1]!IntrinioBankFinancials(rssd_id,$S$2,L$5,L$4,$B71)=0,"nm",[1]!IntrinioBankFinancials(rssd_id,$S$2,L$5,L$4,$B71)),"")</f>
        <v/>
      </c>
      <c r="M71" s="96" t="str">
        <f>IFERROR(IF([1]!IntrinioBankFinancials(rssd_id,$S$2,M$5,M$4,$B71)=0,"nm",[1]!IntrinioBankFinancials(rssd_id,$S$2,M$5,M$4,$B71)),"")</f>
        <v/>
      </c>
      <c r="N71" s="96" t="str">
        <f>IFERROR(IF([1]!IntrinioBankFinancials(rssd_id,$S$2,N$5,N$4,$B71)=0,"nm",[1]!IntrinioBankFinancials(rssd_id,$S$2,N$5,N$4,$B71)),"")</f>
        <v/>
      </c>
      <c r="O71" s="96" t="str">
        <f>IFERROR(IF([1]!IntrinioBankFinancials(rssd_id,$S$2,O$5,O$4,$B71)=0,"nm",[1]!IntrinioBankFinancials(rssd_id,$S$2,O$5,O$4,$B71)),"")</f>
        <v/>
      </c>
      <c r="P71" s="49">
        <v>41</v>
      </c>
      <c r="Q71" s="13"/>
      <c r="R71" s="13"/>
      <c r="S71" s="13"/>
    </row>
    <row r="72" spans="1:19" s="47" customFormat="1" ht="42.75" x14ac:dyDescent="0.4">
      <c r="A72" s="39" t="s">
        <v>2028</v>
      </c>
      <c r="B72" s="37" t="s">
        <v>3137</v>
      </c>
      <c r="C72" s="96" t="str">
        <f>IFERROR(IF([1]!IntrinioBankFinancials(rssd_id,$S$2,C$5,C$4,$B72)=0,"nm",[1]!IntrinioBankFinancials(rssd_id,$S$2,C$5,C$4,$B72)),"")</f>
        <v/>
      </c>
      <c r="D72" s="96" t="str">
        <f>IFERROR(IF([1]!IntrinioBankFinancials(rssd_id,$S$2,D$5,D$4,$B72)=0,"nm",[1]!IntrinioBankFinancials(rssd_id,$S$2,D$5,D$4,$B72)),"")</f>
        <v/>
      </c>
      <c r="E72" s="96" t="str">
        <f>IFERROR(IF([1]!IntrinioBankFinancials(rssd_id,$S$2,E$5,E$4,$B72)=0,"nm",[1]!IntrinioBankFinancials(rssd_id,$S$2,E$5,E$4,$B72)),"")</f>
        <v/>
      </c>
      <c r="F72" s="96" t="str">
        <f>IFERROR(IF([1]!IntrinioBankFinancials(rssd_id,$S$2,F$5,F$4,$B72)=0,"nm",[1]!IntrinioBankFinancials(rssd_id,$S$2,F$5,F$4,$B72)),"")</f>
        <v/>
      </c>
      <c r="G72" s="96" t="str">
        <f>IFERROR(IF([1]!IntrinioBankFinancials(rssd_id,$S$2,G$5,G$4,$B72)=0,"nm",[1]!IntrinioBankFinancials(rssd_id,$S$2,G$5,G$4,$B72)),"")</f>
        <v/>
      </c>
      <c r="H72" s="96" t="str">
        <f>IFERROR(IF([1]!IntrinioBankFinancials(rssd_id,$S$2,H$5,H$4,$B72)=0,"nm",[1]!IntrinioBankFinancials(rssd_id,$S$2,H$5,H$4,$B72)),"")</f>
        <v/>
      </c>
      <c r="I72" s="96" t="str">
        <f>IFERROR(IF([1]!IntrinioBankFinancials(rssd_id,$S$2,I$5,I$4,$B72)=0,"nm",[1]!IntrinioBankFinancials(rssd_id,$S$2,I$5,I$4,$B72)),"")</f>
        <v/>
      </c>
      <c r="J72" s="96" t="str">
        <f>IFERROR(IF([1]!IntrinioBankFinancials(rssd_id,$S$2,J$5,J$4,$B72)=0,"nm",[1]!IntrinioBankFinancials(rssd_id,$S$2,J$5,J$4,$B72)),"")</f>
        <v/>
      </c>
      <c r="K72" s="96" t="str">
        <f>IFERROR(IF([1]!IntrinioBankFinancials(rssd_id,$S$2,K$5,K$4,$B72)=0,"nm",[1]!IntrinioBankFinancials(rssd_id,$S$2,K$5,K$4,$B72)),"")</f>
        <v/>
      </c>
      <c r="L72" s="96" t="str">
        <f>IFERROR(IF([1]!IntrinioBankFinancials(rssd_id,$S$2,L$5,L$4,$B72)=0,"nm",[1]!IntrinioBankFinancials(rssd_id,$S$2,L$5,L$4,$B72)),"")</f>
        <v/>
      </c>
      <c r="M72" s="96" t="str">
        <f>IFERROR(IF([1]!IntrinioBankFinancials(rssd_id,$S$2,M$5,M$4,$B72)=0,"nm",[1]!IntrinioBankFinancials(rssd_id,$S$2,M$5,M$4,$B72)),"")</f>
        <v/>
      </c>
      <c r="N72" s="96" t="str">
        <f>IFERROR(IF([1]!IntrinioBankFinancials(rssd_id,$S$2,N$5,N$4,$B72)=0,"nm",[1]!IntrinioBankFinancials(rssd_id,$S$2,N$5,N$4,$B72)),"")</f>
        <v/>
      </c>
      <c r="O72" s="96" t="str">
        <f>IFERROR(IF([1]!IntrinioBankFinancials(rssd_id,$S$2,O$5,O$4,$B72)=0,"nm",[1]!IntrinioBankFinancials(rssd_id,$S$2,O$5,O$4,$B72)),"")</f>
        <v/>
      </c>
      <c r="P72" s="49">
        <v>42</v>
      </c>
      <c r="Q72" s="13"/>
      <c r="R72" s="13"/>
      <c r="S72" s="13"/>
    </row>
    <row r="73" spans="1:19" s="47" customFormat="1" x14ac:dyDescent="0.4">
      <c r="A73" s="39" t="s">
        <v>3138</v>
      </c>
      <c r="B73" s="37" t="s">
        <v>3139</v>
      </c>
      <c r="C73" s="96" t="str">
        <f>IFERROR(IF([1]!IntrinioBankFinancials(rssd_id,$S$2,C$5,C$4,$B73)=0,"nm",[1]!IntrinioBankFinancials(rssd_id,$S$2,C$5,C$4,$B73)),"")</f>
        <v/>
      </c>
      <c r="D73" s="96" t="str">
        <f>IFERROR(IF([1]!IntrinioBankFinancials(rssd_id,$S$2,D$5,D$4,$B73)=0,"nm",[1]!IntrinioBankFinancials(rssd_id,$S$2,D$5,D$4,$B73)),"")</f>
        <v/>
      </c>
      <c r="E73" s="96" t="str">
        <f>IFERROR(IF([1]!IntrinioBankFinancials(rssd_id,$S$2,E$5,E$4,$B73)=0,"nm",[1]!IntrinioBankFinancials(rssd_id,$S$2,E$5,E$4,$B73)),"")</f>
        <v/>
      </c>
      <c r="F73" s="96" t="str">
        <f>IFERROR(IF([1]!IntrinioBankFinancials(rssd_id,$S$2,F$5,F$4,$B73)=0,"nm",[1]!IntrinioBankFinancials(rssd_id,$S$2,F$5,F$4,$B73)),"")</f>
        <v/>
      </c>
      <c r="G73" s="96" t="str">
        <f>IFERROR(IF([1]!IntrinioBankFinancials(rssd_id,$S$2,G$5,G$4,$B73)=0,"nm",[1]!IntrinioBankFinancials(rssd_id,$S$2,G$5,G$4,$B73)),"")</f>
        <v/>
      </c>
      <c r="H73" s="96" t="str">
        <f>IFERROR(IF([1]!IntrinioBankFinancials(rssd_id,$S$2,H$5,H$4,$B73)=0,"nm",[1]!IntrinioBankFinancials(rssd_id,$S$2,H$5,H$4,$B73)),"")</f>
        <v/>
      </c>
      <c r="I73" s="96" t="str">
        <f>IFERROR(IF([1]!IntrinioBankFinancials(rssd_id,$S$2,I$5,I$4,$B73)=0,"nm",[1]!IntrinioBankFinancials(rssd_id,$S$2,I$5,I$4,$B73)),"")</f>
        <v/>
      </c>
      <c r="J73" s="96" t="str">
        <f>IFERROR(IF([1]!IntrinioBankFinancials(rssd_id,$S$2,J$5,J$4,$B73)=0,"nm",[1]!IntrinioBankFinancials(rssd_id,$S$2,J$5,J$4,$B73)),"")</f>
        <v/>
      </c>
      <c r="K73" s="96" t="str">
        <f>IFERROR(IF([1]!IntrinioBankFinancials(rssd_id,$S$2,K$5,K$4,$B73)=0,"nm",[1]!IntrinioBankFinancials(rssd_id,$S$2,K$5,K$4,$B73)),"")</f>
        <v/>
      </c>
      <c r="L73" s="96" t="str">
        <f>IFERROR(IF([1]!IntrinioBankFinancials(rssd_id,$S$2,L$5,L$4,$B73)=0,"nm",[1]!IntrinioBankFinancials(rssd_id,$S$2,L$5,L$4,$B73)),"")</f>
        <v/>
      </c>
      <c r="M73" s="96" t="str">
        <f>IFERROR(IF([1]!IntrinioBankFinancials(rssd_id,$S$2,M$5,M$4,$B73)=0,"nm",[1]!IntrinioBankFinancials(rssd_id,$S$2,M$5,M$4,$B73)),"")</f>
        <v/>
      </c>
      <c r="N73" s="96" t="str">
        <f>IFERROR(IF([1]!IntrinioBankFinancials(rssd_id,$S$2,N$5,N$4,$B73)=0,"nm",[1]!IntrinioBankFinancials(rssd_id,$S$2,N$5,N$4,$B73)),"")</f>
        <v/>
      </c>
      <c r="O73" s="96" t="str">
        <f>IFERROR(IF([1]!IntrinioBankFinancials(rssd_id,$S$2,O$5,O$4,$B73)=0,"nm",[1]!IntrinioBankFinancials(rssd_id,$S$2,O$5,O$4,$B73)),"")</f>
        <v/>
      </c>
      <c r="P73" s="49">
        <v>43</v>
      </c>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sheetData>
  <pageMargins left="0.7" right="0.7" top="0.75" bottom="0.75" header="0.3" footer="0.3"/>
  <pageSetup scale="83" fitToHeight="0" orientation="landscape" r:id="rId1"/>
  <headerFooter>
    <oddFooter>&amp;L&amp;G&amp;R&amp;P</oddFooter>
  </headerFooter>
  <legacyDrawingHF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9" tint="0.79998168889431442"/>
    <pageSetUpPr fitToPage="1"/>
  </sheetPr>
  <dimension ref="A1:Q37"/>
  <sheetViews>
    <sheetView view="pageBreakPreview" zoomScaleNormal="100" zoomScaleSheetLayoutView="100" workbookViewId="0">
      <pane xSplit="1" ySplit="7" topLeftCell="F8" activePane="bottomRight" state="frozen"/>
      <selection pane="topRight"/>
      <selection pane="bottomLeft"/>
      <selection pane="bottomRight" activeCell="H8" sqref="H8"/>
    </sheetView>
  </sheetViews>
  <sheetFormatPr defaultColWidth="9.140625" defaultRowHeight="18" outlineLevelCol="1" x14ac:dyDescent="0.4"/>
  <cols>
    <col min="1" max="1" width="70.5" style="13" customWidth="1"/>
    <col min="2" max="2" width="13.640625" style="4" hidden="1" customWidth="1" outlineLevel="1"/>
    <col min="3" max="7" width="13.640625" style="5" hidden="1" customWidth="1" outlineLevel="1"/>
    <col min="8" max="8" width="13.640625" style="4" customWidth="1" collapsed="1"/>
    <col min="9" max="13" width="13.640625" style="5" customWidth="1"/>
    <col min="14" max="14" width="7.5" style="5" customWidth="1"/>
    <col min="15" max="15" width="9.140625" style="13"/>
    <col min="16" max="16" width="18.5" style="13" bestFit="1" customWidth="1"/>
    <col min="17" max="16384" width="9.140625" style="13"/>
  </cols>
  <sheetData>
    <row r="1" spans="1:17" x14ac:dyDescent="0.4">
      <c r="A1" s="11" t="str">
        <f>name</f>
        <v/>
      </c>
    </row>
    <row r="2" spans="1:17" x14ac:dyDescent="0.4">
      <c r="A2" s="1" t="s">
        <v>23</v>
      </c>
      <c r="B2" s="28"/>
      <c r="C2" s="29"/>
      <c r="D2" s="29"/>
      <c r="E2" s="29"/>
      <c r="F2" s="29"/>
      <c r="G2" s="29"/>
      <c r="H2" s="28"/>
      <c r="I2" s="29"/>
      <c r="J2" s="29"/>
      <c r="K2" s="29"/>
      <c r="L2" s="29"/>
      <c r="M2" s="29"/>
      <c r="N2" s="29"/>
      <c r="P2" s="6" t="s">
        <v>430</v>
      </c>
      <c r="Q2" s="6" t="s">
        <v>2087</v>
      </c>
    </row>
    <row r="3" spans="1:17" x14ac:dyDescent="0.4">
      <c r="A3" s="19" t="s">
        <v>24</v>
      </c>
      <c r="B3" s="28"/>
      <c r="C3" s="52"/>
      <c r="D3" s="52"/>
      <c r="E3" s="52"/>
      <c r="F3" s="52"/>
      <c r="G3" s="52"/>
      <c r="H3" s="28"/>
      <c r="I3" s="52"/>
      <c r="J3" s="52"/>
      <c r="K3" s="52"/>
      <c r="L3" s="52"/>
      <c r="M3" s="52"/>
      <c r="N3" s="52"/>
    </row>
    <row r="4" spans="1:17" x14ac:dyDescent="0.4">
      <c r="A4" s="19"/>
      <c r="B4" s="124" t="str">
        <f>[1]!IntrinioBankFundamentals(rssd_id,Q2,fiscal_period_type,1,"fiscal_period")</f>
        <v/>
      </c>
      <c r="C4" s="124"/>
      <c r="D4" s="124"/>
      <c r="E4" s="124"/>
      <c r="F4" s="124"/>
      <c r="G4" s="124"/>
      <c r="H4" s="117" t="str">
        <f>[1]!IntrinioBankFundamentals(rssd_id,Q2,fiscal_period_type,0,"fiscal_period")</f>
        <v/>
      </c>
      <c r="I4" s="118"/>
      <c r="J4" s="118"/>
      <c r="K4" s="118"/>
      <c r="L4" s="118"/>
      <c r="M4" s="118"/>
      <c r="N4" s="52"/>
    </row>
    <row r="5" spans="1:17" x14ac:dyDescent="0.4">
      <c r="A5" s="19"/>
      <c r="B5" s="120" t="str">
        <f>[1]!IntrinioBankFundamentals(rssd_id,Q2,fiscal_period_type,1,"fiscal_year")</f>
        <v/>
      </c>
      <c r="C5" s="120"/>
      <c r="D5" s="120"/>
      <c r="E5" s="120"/>
      <c r="F5" s="120"/>
      <c r="G5" s="120"/>
      <c r="H5" s="119" t="str">
        <f>[1]!IntrinioBankFundamentals(rssd_id,Q2,fiscal_period_type,0,"fiscal_year")</f>
        <v/>
      </c>
      <c r="I5" s="120"/>
      <c r="J5" s="120"/>
      <c r="K5" s="120"/>
      <c r="L5" s="120"/>
      <c r="M5" s="120"/>
      <c r="N5" s="52"/>
    </row>
    <row r="6" spans="1:17" x14ac:dyDescent="0.55000000000000004">
      <c r="A6" s="23"/>
      <c r="B6" s="123" t="s">
        <v>2041</v>
      </c>
      <c r="C6" s="123"/>
      <c r="D6" s="123" t="s">
        <v>2042</v>
      </c>
      <c r="E6" s="123"/>
      <c r="F6" s="123" t="s">
        <v>2043</v>
      </c>
      <c r="G6" s="123"/>
      <c r="H6" s="128" t="s">
        <v>2041</v>
      </c>
      <c r="I6" s="129"/>
      <c r="J6" s="123" t="s">
        <v>2042</v>
      </c>
      <c r="K6" s="123"/>
      <c r="L6" s="123" t="s">
        <v>2043</v>
      </c>
      <c r="M6" s="123"/>
      <c r="N6" s="88"/>
    </row>
    <row r="7" spans="1:17" x14ac:dyDescent="0.55000000000000004">
      <c r="A7" s="23"/>
      <c r="B7" s="126" t="s">
        <v>2044</v>
      </c>
      <c r="C7" s="126"/>
      <c r="D7" s="123" t="s">
        <v>2045</v>
      </c>
      <c r="E7" s="123"/>
      <c r="F7" s="123"/>
      <c r="G7" s="123"/>
      <c r="H7" s="127" t="s">
        <v>2044</v>
      </c>
      <c r="I7" s="126"/>
      <c r="J7" s="123" t="s">
        <v>2045</v>
      </c>
      <c r="K7" s="123"/>
      <c r="L7" s="123"/>
      <c r="M7" s="123"/>
      <c r="N7" s="31"/>
    </row>
    <row r="8" spans="1:17" s="40" customFormat="1" ht="28.5" x14ac:dyDescent="0.4">
      <c r="A8" s="39" t="s">
        <v>2046</v>
      </c>
      <c r="B8" s="37"/>
      <c r="C8" s="38"/>
      <c r="D8" s="37"/>
      <c r="E8" s="38"/>
      <c r="F8" s="37"/>
      <c r="G8" s="38"/>
      <c r="H8" s="37"/>
      <c r="I8" s="38"/>
      <c r="J8" s="37"/>
      <c r="K8" s="38"/>
      <c r="L8" s="37"/>
      <c r="M8" s="38" t="str">
        <f>IFERROR([1]!IntrinioBankFinancials(rssd_id,$Q$2,$H$5,$H$4,L8,"K"),"")</f>
        <v/>
      </c>
      <c r="N8" s="49">
        <v>1</v>
      </c>
    </row>
    <row r="9" spans="1:17" s="40" customFormat="1" ht="14.25" x14ac:dyDescent="0.4">
      <c r="A9" s="39" t="s">
        <v>2047</v>
      </c>
      <c r="B9" s="37" t="s">
        <v>3140</v>
      </c>
      <c r="C9" s="38">
        <v>0</v>
      </c>
      <c r="D9" s="37" t="s">
        <v>3158</v>
      </c>
      <c r="E9" s="38">
        <v>0</v>
      </c>
      <c r="F9" s="37" t="s">
        <v>2048</v>
      </c>
      <c r="G9" s="38">
        <v>0</v>
      </c>
      <c r="H9" s="37" t="s">
        <v>3140</v>
      </c>
      <c r="I9" s="38">
        <v>0</v>
      </c>
      <c r="J9" s="37" t="s">
        <v>3158</v>
      </c>
      <c r="K9" s="38">
        <v>0</v>
      </c>
      <c r="L9" s="37" t="s">
        <v>3176</v>
      </c>
      <c r="M9" s="38" t="str">
        <f>IFERROR([1]!IntrinioBankFinancials(rssd_id,$Q$2,$H$5,$H$4,L9,"K"),"")</f>
        <v/>
      </c>
      <c r="N9" s="49" t="s">
        <v>27</v>
      </c>
    </row>
    <row r="10" spans="1:17" s="40" customFormat="1" ht="14.25" x14ac:dyDescent="0.4">
      <c r="A10" s="39" t="s">
        <v>2049</v>
      </c>
      <c r="B10" s="37" t="s">
        <v>3141</v>
      </c>
      <c r="C10" s="38">
        <v>0</v>
      </c>
      <c r="D10" s="37" t="s">
        <v>3159</v>
      </c>
      <c r="E10" s="38">
        <v>0</v>
      </c>
      <c r="F10" s="37" t="s">
        <v>2050</v>
      </c>
      <c r="G10" s="38">
        <v>0</v>
      </c>
      <c r="H10" s="37" t="s">
        <v>3141</v>
      </c>
      <c r="I10" s="38">
        <v>0</v>
      </c>
      <c r="J10" s="37" t="s">
        <v>3159</v>
      </c>
      <c r="K10" s="38">
        <v>0</v>
      </c>
      <c r="L10" s="37" t="s">
        <v>3177</v>
      </c>
      <c r="M10" s="38" t="str">
        <f>IFERROR([1]!IntrinioBankFinancials(rssd_id,$Q$2,$H$5,$H$4,L10,"K"),"")</f>
        <v/>
      </c>
      <c r="N10" s="49" t="s">
        <v>57</v>
      </c>
    </row>
    <row r="11" spans="1:17" s="40" customFormat="1" ht="14.25" x14ac:dyDescent="0.4">
      <c r="A11" s="39" t="s">
        <v>2051</v>
      </c>
      <c r="B11" s="37" t="s">
        <v>3142</v>
      </c>
      <c r="C11" s="38">
        <v>0</v>
      </c>
      <c r="D11" s="37" t="s">
        <v>3160</v>
      </c>
      <c r="E11" s="38">
        <v>0</v>
      </c>
      <c r="F11" s="37" t="s">
        <v>2052</v>
      </c>
      <c r="G11" s="38">
        <v>0</v>
      </c>
      <c r="H11" s="37" t="s">
        <v>3142</v>
      </c>
      <c r="I11" s="38">
        <v>0</v>
      </c>
      <c r="J11" s="37" t="s">
        <v>3160</v>
      </c>
      <c r="K11" s="38">
        <v>0</v>
      </c>
      <c r="L11" s="37" t="s">
        <v>3178</v>
      </c>
      <c r="M11" s="38" t="str">
        <f>IFERROR([1]!IntrinioBankFinancials(rssd_id,$Q$2,$H$5,$H$4,L11,"K"),"")</f>
        <v/>
      </c>
      <c r="N11" s="49" t="s">
        <v>60</v>
      </c>
    </row>
    <row r="12" spans="1:17" s="40" customFormat="1" ht="14.25" x14ac:dyDescent="0.4">
      <c r="A12" s="39" t="s">
        <v>2053</v>
      </c>
      <c r="B12" s="37" t="s">
        <v>3143</v>
      </c>
      <c r="C12" s="38">
        <v>0</v>
      </c>
      <c r="D12" s="37" t="s">
        <v>3161</v>
      </c>
      <c r="E12" s="38">
        <v>0</v>
      </c>
      <c r="F12" s="37" t="s">
        <v>2054</v>
      </c>
      <c r="G12" s="38">
        <v>0</v>
      </c>
      <c r="H12" s="37" t="s">
        <v>3143</v>
      </c>
      <c r="I12" s="38">
        <v>0</v>
      </c>
      <c r="J12" s="37" t="s">
        <v>3161</v>
      </c>
      <c r="K12" s="38">
        <v>0</v>
      </c>
      <c r="L12" s="37" t="s">
        <v>3179</v>
      </c>
      <c r="M12" s="38" t="str">
        <f>IFERROR([1]!IntrinioBankFinancials(rssd_id,$Q$2,$H$5,$H$4,L12,"K"),"")</f>
        <v/>
      </c>
      <c r="N12" s="49" t="s">
        <v>62</v>
      </c>
    </row>
    <row r="13" spans="1:17" s="40" customFormat="1" ht="14.25" x14ac:dyDescent="0.4">
      <c r="A13" s="39" t="s">
        <v>2055</v>
      </c>
      <c r="B13" s="37" t="s">
        <v>3144</v>
      </c>
      <c r="C13" s="38">
        <v>0</v>
      </c>
      <c r="D13" s="37" t="s">
        <v>3162</v>
      </c>
      <c r="E13" s="38">
        <v>0</v>
      </c>
      <c r="F13" s="37" t="s">
        <v>2056</v>
      </c>
      <c r="G13" s="38">
        <v>0</v>
      </c>
      <c r="H13" s="37" t="s">
        <v>3144</v>
      </c>
      <c r="I13" s="38">
        <v>0</v>
      </c>
      <c r="J13" s="37" t="s">
        <v>3162</v>
      </c>
      <c r="K13" s="38">
        <v>0</v>
      </c>
      <c r="L13" s="37" t="s">
        <v>3180</v>
      </c>
      <c r="M13" s="38" t="str">
        <f>IFERROR([1]!IntrinioBankFinancials(rssd_id,$Q$2,$H$5,$H$4,L13,"K"),"")</f>
        <v/>
      </c>
      <c r="N13" s="49" t="s">
        <v>74</v>
      </c>
    </row>
    <row r="14" spans="1:17" s="40" customFormat="1" ht="14.25" x14ac:dyDescent="0.4">
      <c r="A14" s="39" t="s">
        <v>2057</v>
      </c>
      <c r="B14" s="37" t="s">
        <v>3145</v>
      </c>
      <c r="C14" s="38">
        <v>0</v>
      </c>
      <c r="D14" s="37" t="s">
        <v>3163</v>
      </c>
      <c r="E14" s="38">
        <v>0</v>
      </c>
      <c r="F14" s="37" t="s">
        <v>2058</v>
      </c>
      <c r="G14" s="38">
        <v>0</v>
      </c>
      <c r="H14" s="37" t="s">
        <v>3145</v>
      </c>
      <c r="I14" s="38">
        <v>0</v>
      </c>
      <c r="J14" s="37" t="s">
        <v>3163</v>
      </c>
      <c r="K14" s="38">
        <v>0</v>
      </c>
      <c r="L14" s="37" t="s">
        <v>3181</v>
      </c>
      <c r="M14" s="38" t="str">
        <f>IFERROR([1]!IntrinioBankFinancials(rssd_id,$Q$2,$H$5,$H$4,L14,"K"),"")</f>
        <v/>
      </c>
      <c r="N14" s="49" t="s">
        <v>77</v>
      </c>
    </row>
    <row r="15" spans="1:17" s="40" customFormat="1" ht="14.25" x14ac:dyDescent="0.4">
      <c r="A15" s="39" t="s">
        <v>2059</v>
      </c>
      <c r="B15" s="37" t="s">
        <v>3146</v>
      </c>
      <c r="C15" s="38">
        <v>0</v>
      </c>
      <c r="D15" s="37" t="s">
        <v>3164</v>
      </c>
      <c r="E15" s="38">
        <v>0</v>
      </c>
      <c r="F15" s="37" t="s">
        <v>2060</v>
      </c>
      <c r="G15" s="38">
        <v>0</v>
      </c>
      <c r="H15" s="37" t="s">
        <v>3146</v>
      </c>
      <c r="I15" s="38">
        <v>0</v>
      </c>
      <c r="J15" s="37" t="s">
        <v>3164</v>
      </c>
      <c r="K15" s="38">
        <v>0</v>
      </c>
      <c r="L15" s="37" t="s">
        <v>3182</v>
      </c>
      <c r="M15" s="38" t="str">
        <f>IFERROR([1]!IntrinioBankFinancials(rssd_id,$Q$2,$H$5,$H$4,L15,"K"),"")</f>
        <v/>
      </c>
      <c r="N15" s="49" t="s">
        <v>80</v>
      </c>
    </row>
    <row r="16" spans="1:17" x14ac:dyDescent="0.4">
      <c r="A16" s="39" t="s">
        <v>2061</v>
      </c>
      <c r="B16" s="37" t="s">
        <v>3147</v>
      </c>
      <c r="C16" s="38">
        <v>0</v>
      </c>
      <c r="D16" s="37" t="s">
        <v>3165</v>
      </c>
      <c r="E16" s="38">
        <v>0</v>
      </c>
      <c r="F16" s="37" t="s">
        <v>2062</v>
      </c>
      <c r="G16" s="38">
        <v>0</v>
      </c>
      <c r="H16" s="37" t="s">
        <v>3147</v>
      </c>
      <c r="I16" s="38">
        <v>0</v>
      </c>
      <c r="J16" s="37" t="s">
        <v>3165</v>
      </c>
      <c r="K16" s="38">
        <v>0</v>
      </c>
      <c r="L16" s="37" t="s">
        <v>3183</v>
      </c>
      <c r="M16" s="38" t="str">
        <f>IFERROR([1]!IntrinioBankFinancials(rssd_id,$Q$2,$H$5,$H$4,L16,"K"),"")</f>
        <v/>
      </c>
      <c r="N16" s="49" t="s">
        <v>83</v>
      </c>
    </row>
    <row r="17" spans="1:17" x14ac:dyDescent="0.4">
      <c r="A17" s="39" t="s">
        <v>2063</v>
      </c>
      <c r="B17" s="37" t="s">
        <v>3148</v>
      </c>
      <c r="C17" s="38">
        <v>0</v>
      </c>
      <c r="D17" s="37" t="s">
        <v>3166</v>
      </c>
      <c r="E17" s="38">
        <v>0</v>
      </c>
      <c r="F17" s="37" t="s">
        <v>2064</v>
      </c>
      <c r="G17" s="38">
        <v>0</v>
      </c>
      <c r="H17" s="37" t="s">
        <v>3148</v>
      </c>
      <c r="I17" s="38">
        <v>0</v>
      </c>
      <c r="J17" s="37" t="s">
        <v>3166</v>
      </c>
      <c r="K17" s="38">
        <v>0</v>
      </c>
      <c r="L17" s="37" t="s">
        <v>3184</v>
      </c>
      <c r="M17" s="38" t="str">
        <f>IFERROR([1]!IntrinioBankFinancials(rssd_id,$Q$2,$H$5,$H$4,L17,"K"),"")</f>
        <v/>
      </c>
      <c r="N17" s="49" t="s">
        <v>2065</v>
      </c>
    </row>
    <row r="18" spans="1:17" s="47" customFormat="1" x14ac:dyDescent="0.4">
      <c r="A18" s="39" t="s">
        <v>2066</v>
      </c>
      <c r="B18" s="37" t="s">
        <v>3149</v>
      </c>
      <c r="C18" s="38">
        <v>0</v>
      </c>
      <c r="D18" s="37" t="s">
        <v>3167</v>
      </c>
      <c r="E18" s="38">
        <v>0</v>
      </c>
      <c r="F18" s="37" t="s">
        <v>2067</v>
      </c>
      <c r="G18" s="38">
        <v>0</v>
      </c>
      <c r="H18" s="37" t="s">
        <v>3149</v>
      </c>
      <c r="I18" s="38">
        <v>0</v>
      </c>
      <c r="J18" s="37" t="s">
        <v>3167</v>
      </c>
      <c r="K18" s="38">
        <v>0</v>
      </c>
      <c r="L18" s="37" t="s">
        <v>3185</v>
      </c>
      <c r="M18" s="38" t="str">
        <f>IFERROR([1]!IntrinioBankFinancials(rssd_id,$Q$2,$H$5,$H$4,L18,"K"),"")</f>
        <v/>
      </c>
      <c r="N18" s="49" t="s">
        <v>2068</v>
      </c>
      <c r="O18" s="13"/>
      <c r="P18" s="13"/>
      <c r="Q18" s="13"/>
    </row>
    <row r="19" spans="1:17" s="47" customFormat="1" x14ac:dyDescent="0.4">
      <c r="A19" s="39" t="s">
        <v>2069</v>
      </c>
      <c r="B19" s="37" t="s">
        <v>3150</v>
      </c>
      <c r="C19" s="38">
        <v>0</v>
      </c>
      <c r="D19" s="37" t="s">
        <v>3168</v>
      </c>
      <c r="E19" s="38">
        <v>0</v>
      </c>
      <c r="F19" s="37" t="s">
        <v>2070</v>
      </c>
      <c r="G19" s="38">
        <v>0</v>
      </c>
      <c r="H19" s="37" t="s">
        <v>3150</v>
      </c>
      <c r="I19" s="38">
        <v>0</v>
      </c>
      <c r="J19" s="37" t="s">
        <v>3168</v>
      </c>
      <c r="K19" s="38">
        <v>0</v>
      </c>
      <c r="L19" s="37" t="s">
        <v>3186</v>
      </c>
      <c r="M19" s="38" t="str">
        <f>IFERROR([1]!IntrinioBankFinancials(rssd_id,$Q$2,$H$5,$H$4,L19,"K"),"")</f>
        <v/>
      </c>
      <c r="N19" s="49" t="s">
        <v>2071</v>
      </c>
      <c r="O19" s="13"/>
      <c r="P19" s="13"/>
      <c r="Q19" s="13"/>
    </row>
    <row r="20" spans="1:17" s="47" customFormat="1" ht="28.5" x14ac:dyDescent="0.4">
      <c r="A20" s="39" t="s">
        <v>2072</v>
      </c>
      <c r="B20" s="37"/>
      <c r="C20" s="38"/>
      <c r="D20" s="37"/>
      <c r="E20" s="38"/>
      <c r="F20" s="37"/>
      <c r="G20" s="38"/>
      <c r="H20" s="37"/>
      <c r="I20" s="38"/>
      <c r="J20" s="37"/>
      <c r="K20" s="38"/>
      <c r="L20" s="37"/>
      <c r="M20" s="38" t="str">
        <f>IFERROR([1]!IntrinioBankFinancials(rssd_id,$Q$2,$H$5,$H$4,L20,"K"),"")</f>
        <v/>
      </c>
      <c r="N20" s="49">
        <v>2</v>
      </c>
      <c r="O20" s="13"/>
      <c r="P20" s="13"/>
      <c r="Q20" s="13"/>
    </row>
    <row r="21" spans="1:17" s="47" customFormat="1" x14ac:dyDescent="0.4">
      <c r="A21" s="39" t="s">
        <v>2073</v>
      </c>
      <c r="B21" s="37" t="s">
        <v>3151</v>
      </c>
      <c r="C21" s="38">
        <v>0</v>
      </c>
      <c r="D21" s="37" t="s">
        <v>3169</v>
      </c>
      <c r="E21" s="38">
        <v>0</v>
      </c>
      <c r="F21" s="37" t="s">
        <v>2074</v>
      </c>
      <c r="G21" s="38">
        <v>0</v>
      </c>
      <c r="H21" s="37" t="s">
        <v>3151</v>
      </c>
      <c r="I21" s="38">
        <v>0</v>
      </c>
      <c r="J21" s="37" t="s">
        <v>3169</v>
      </c>
      <c r="K21" s="38">
        <v>0</v>
      </c>
      <c r="L21" s="37" t="s">
        <v>3187</v>
      </c>
      <c r="M21" s="38" t="str">
        <f>IFERROR([1]!IntrinioBankFinancials(rssd_id,$Q$2,$H$5,$H$4,L21,"K"),"")</f>
        <v/>
      </c>
      <c r="N21" s="49" t="s">
        <v>86</v>
      </c>
      <c r="O21" s="13"/>
      <c r="P21" s="13"/>
      <c r="Q21" s="13"/>
    </row>
    <row r="22" spans="1:17" s="47" customFormat="1" x14ac:dyDescent="0.4">
      <c r="A22" s="39" t="s">
        <v>2075</v>
      </c>
      <c r="B22" s="37" t="s">
        <v>3152</v>
      </c>
      <c r="C22" s="38">
        <v>0</v>
      </c>
      <c r="D22" s="37" t="s">
        <v>3170</v>
      </c>
      <c r="E22" s="38">
        <v>0</v>
      </c>
      <c r="F22" s="37" t="s">
        <v>2076</v>
      </c>
      <c r="G22" s="38">
        <v>0</v>
      </c>
      <c r="H22" s="37" t="s">
        <v>3152</v>
      </c>
      <c r="I22" s="38">
        <v>0</v>
      </c>
      <c r="J22" s="37" t="s">
        <v>3170</v>
      </c>
      <c r="K22" s="38">
        <v>0</v>
      </c>
      <c r="L22" s="37" t="s">
        <v>3188</v>
      </c>
      <c r="M22" s="38" t="str">
        <f>IFERROR([1]!IntrinioBankFinancials(rssd_id,$Q$2,$H$5,$H$4,L22,"K"),"")</f>
        <v/>
      </c>
      <c r="N22" s="49" t="s">
        <v>102</v>
      </c>
      <c r="O22" s="13"/>
      <c r="P22" s="13"/>
      <c r="Q22" s="13"/>
    </row>
    <row r="23" spans="1:17" s="47" customFormat="1" x14ac:dyDescent="0.4">
      <c r="A23" s="39" t="s">
        <v>2077</v>
      </c>
      <c r="B23" s="37" t="s">
        <v>3153</v>
      </c>
      <c r="C23" s="38">
        <v>0</v>
      </c>
      <c r="D23" s="37" t="s">
        <v>3171</v>
      </c>
      <c r="E23" s="38">
        <v>0</v>
      </c>
      <c r="F23" s="37" t="s">
        <v>2078</v>
      </c>
      <c r="G23" s="38">
        <v>0</v>
      </c>
      <c r="H23" s="37" t="s">
        <v>3153</v>
      </c>
      <c r="I23" s="38">
        <v>0</v>
      </c>
      <c r="J23" s="37" t="s">
        <v>3171</v>
      </c>
      <c r="K23" s="38">
        <v>0</v>
      </c>
      <c r="L23" s="37" t="s">
        <v>3189</v>
      </c>
      <c r="M23" s="38" t="str">
        <f>IFERROR([1]!IntrinioBankFinancials(rssd_id,$Q$2,$H$5,$H$4,L23,"K"),"")</f>
        <v/>
      </c>
      <c r="N23" s="49" t="s">
        <v>105</v>
      </c>
      <c r="O23" s="13"/>
      <c r="P23" s="13"/>
      <c r="Q23" s="13"/>
    </row>
    <row r="24" spans="1:17" s="47" customFormat="1" x14ac:dyDescent="0.4">
      <c r="A24" s="39" t="s">
        <v>2079</v>
      </c>
      <c r="B24" s="37" t="s">
        <v>3154</v>
      </c>
      <c r="C24" s="38">
        <v>0</v>
      </c>
      <c r="D24" s="37" t="s">
        <v>3172</v>
      </c>
      <c r="E24" s="38">
        <v>0</v>
      </c>
      <c r="F24" s="37" t="s">
        <v>2080</v>
      </c>
      <c r="G24" s="38">
        <v>0</v>
      </c>
      <c r="H24" s="37" t="s">
        <v>3154</v>
      </c>
      <c r="I24" s="38">
        <v>0</v>
      </c>
      <c r="J24" s="37" t="s">
        <v>3172</v>
      </c>
      <c r="K24" s="38">
        <v>0</v>
      </c>
      <c r="L24" s="37" t="s">
        <v>3190</v>
      </c>
      <c r="M24" s="38" t="str">
        <f>IFERROR([1]!IntrinioBankFinancials(rssd_id,$Q$2,$H$5,$H$4,L24,"K"),"")</f>
        <v/>
      </c>
      <c r="N24" s="49" t="s">
        <v>108</v>
      </c>
      <c r="O24" s="13"/>
      <c r="P24" s="13"/>
      <c r="Q24" s="13"/>
    </row>
    <row r="25" spans="1:17" s="47" customFormat="1" x14ac:dyDescent="0.4">
      <c r="A25" s="39" t="s">
        <v>2081</v>
      </c>
      <c r="B25" s="37" t="s">
        <v>3155</v>
      </c>
      <c r="C25" s="38">
        <v>0</v>
      </c>
      <c r="D25" s="37" t="s">
        <v>3173</v>
      </c>
      <c r="E25" s="38">
        <v>0</v>
      </c>
      <c r="F25" s="37" t="s">
        <v>2082</v>
      </c>
      <c r="G25" s="38">
        <v>0</v>
      </c>
      <c r="H25" s="37" t="s">
        <v>3155</v>
      </c>
      <c r="I25" s="38">
        <v>0</v>
      </c>
      <c r="J25" s="37" t="s">
        <v>3173</v>
      </c>
      <c r="K25" s="38">
        <v>0</v>
      </c>
      <c r="L25" s="37" t="s">
        <v>3191</v>
      </c>
      <c r="M25" s="38" t="str">
        <f>IFERROR([1]!IntrinioBankFinancials(rssd_id,$Q$2,$H$5,$H$4,L25,"K"),"")</f>
        <v/>
      </c>
      <c r="N25" s="49" t="s">
        <v>111</v>
      </c>
      <c r="O25" s="13"/>
      <c r="P25" s="13"/>
      <c r="Q25" s="13"/>
    </row>
    <row r="26" spans="1:17" s="47" customFormat="1" ht="28.5" x14ac:dyDescent="0.4">
      <c r="A26" s="39" t="s">
        <v>2083</v>
      </c>
      <c r="B26" s="37" t="s">
        <v>3156</v>
      </c>
      <c r="C26" s="38">
        <v>0</v>
      </c>
      <c r="D26" s="37" t="s">
        <v>3174</v>
      </c>
      <c r="E26" s="38">
        <v>0</v>
      </c>
      <c r="F26" s="37" t="s">
        <v>2084</v>
      </c>
      <c r="G26" s="38">
        <v>0</v>
      </c>
      <c r="H26" s="37" t="s">
        <v>3156</v>
      </c>
      <c r="I26" s="38">
        <v>0</v>
      </c>
      <c r="J26" s="37" t="s">
        <v>3174</v>
      </c>
      <c r="K26" s="38">
        <v>0</v>
      </c>
      <c r="L26" s="37" t="s">
        <v>3192</v>
      </c>
      <c r="M26" s="38" t="str">
        <f>IFERROR([1]!IntrinioBankFinancials(rssd_id,$Q$2,$H$5,$H$4,L26,"K"),"")</f>
        <v/>
      </c>
      <c r="N26" s="49">
        <v>3</v>
      </c>
      <c r="O26" s="13"/>
      <c r="P26" s="13"/>
      <c r="Q26" s="13"/>
    </row>
    <row r="27" spans="1:17" s="47" customFormat="1" ht="28.5" x14ac:dyDescent="0.4">
      <c r="A27" s="39" t="s">
        <v>2085</v>
      </c>
      <c r="B27" s="37" t="s">
        <v>3157</v>
      </c>
      <c r="C27" s="38">
        <v>0</v>
      </c>
      <c r="D27" s="37" t="s">
        <v>3175</v>
      </c>
      <c r="E27" s="38">
        <v>0</v>
      </c>
      <c r="F27" s="37" t="s">
        <v>2086</v>
      </c>
      <c r="G27" s="38">
        <v>0</v>
      </c>
      <c r="H27" s="37" t="s">
        <v>3157</v>
      </c>
      <c r="I27" s="38">
        <v>0</v>
      </c>
      <c r="J27" s="37" t="s">
        <v>3175</v>
      </c>
      <c r="K27" s="38">
        <v>0</v>
      </c>
      <c r="L27" s="37" t="s">
        <v>3193</v>
      </c>
      <c r="M27" s="38" t="str">
        <f>IFERROR([1]!IntrinioBankFinancials(rssd_id,$Q$2,$H$5,$H$4,L27,"K"),"")</f>
        <v/>
      </c>
      <c r="N27" s="49">
        <v>4</v>
      </c>
      <c r="O27" s="13"/>
      <c r="P27" s="13"/>
      <c r="Q27" s="13"/>
    </row>
    <row r="28" spans="1:17" s="47" customFormat="1" x14ac:dyDescent="0.4">
      <c r="A28" s="13"/>
      <c r="B28" s="4"/>
      <c r="C28" s="5"/>
      <c r="D28" s="5"/>
      <c r="E28" s="5"/>
      <c r="F28" s="5"/>
      <c r="G28" s="5"/>
      <c r="H28" s="4"/>
      <c r="I28" s="5"/>
      <c r="J28" s="5"/>
      <c r="K28" s="5"/>
      <c r="L28" s="5"/>
      <c r="M28" s="5"/>
      <c r="N28" s="5"/>
      <c r="O28" s="13"/>
      <c r="P28" s="13"/>
      <c r="Q28" s="13"/>
    </row>
    <row r="29" spans="1:17" s="47" customFormat="1" x14ac:dyDescent="0.4">
      <c r="A29" s="13"/>
      <c r="B29" s="4"/>
      <c r="C29" s="5"/>
      <c r="D29" s="5"/>
      <c r="E29" s="5"/>
      <c r="F29" s="5"/>
      <c r="G29" s="5"/>
      <c r="H29" s="4"/>
      <c r="I29" s="5"/>
      <c r="J29" s="5"/>
      <c r="K29" s="5"/>
      <c r="L29" s="5"/>
      <c r="M29" s="5"/>
      <c r="N29" s="5"/>
      <c r="O29" s="13"/>
      <c r="P29" s="13"/>
      <c r="Q29" s="13"/>
    </row>
    <row r="30" spans="1:17" s="47" customFormat="1" x14ac:dyDescent="0.4">
      <c r="A30" s="13"/>
      <c r="B30" s="4"/>
      <c r="C30" s="5"/>
      <c r="D30" s="5"/>
      <c r="E30" s="5"/>
      <c r="F30" s="5"/>
      <c r="G30" s="5"/>
      <c r="H30" s="4"/>
      <c r="I30" s="5"/>
      <c r="J30" s="5"/>
      <c r="K30" s="5"/>
      <c r="L30" s="5"/>
      <c r="M30" s="5"/>
      <c r="N30" s="5"/>
      <c r="O30" s="13"/>
      <c r="P30" s="13"/>
      <c r="Q30" s="13"/>
    </row>
    <row r="31" spans="1:17" s="47" customFormat="1" x14ac:dyDescent="0.4">
      <c r="A31" s="13"/>
      <c r="B31" s="4"/>
      <c r="C31" s="5"/>
      <c r="D31" s="5"/>
      <c r="E31" s="5"/>
      <c r="F31" s="5"/>
      <c r="G31" s="5"/>
      <c r="H31" s="4"/>
      <c r="I31" s="5"/>
      <c r="J31" s="5"/>
      <c r="K31" s="5"/>
      <c r="L31" s="5"/>
      <c r="M31" s="5"/>
      <c r="N31" s="5"/>
      <c r="O31" s="13"/>
      <c r="P31" s="13"/>
      <c r="Q31" s="13"/>
    </row>
    <row r="32" spans="1:17" s="47" customFormat="1" x14ac:dyDescent="0.4">
      <c r="A32" s="13"/>
      <c r="B32" s="4"/>
      <c r="C32" s="5"/>
      <c r="D32" s="5"/>
      <c r="E32" s="5"/>
      <c r="F32" s="5"/>
      <c r="G32" s="5"/>
      <c r="H32" s="4"/>
      <c r="I32" s="5"/>
      <c r="J32" s="5"/>
      <c r="K32" s="5"/>
      <c r="L32" s="5"/>
      <c r="M32" s="5"/>
      <c r="N32" s="5"/>
      <c r="O32" s="13"/>
      <c r="P32" s="13"/>
      <c r="Q32" s="13"/>
    </row>
    <row r="33" spans="1:17" s="47" customFormat="1" x14ac:dyDescent="0.4">
      <c r="A33" s="13"/>
      <c r="B33" s="4"/>
      <c r="C33" s="5"/>
      <c r="D33" s="5"/>
      <c r="E33" s="5"/>
      <c r="F33" s="5"/>
      <c r="G33" s="5"/>
      <c r="H33" s="4"/>
      <c r="I33" s="5"/>
      <c r="J33" s="5"/>
      <c r="K33" s="5"/>
      <c r="L33" s="5"/>
      <c r="M33" s="5"/>
      <c r="N33" s="5"/>
      <c r="O33" s="13"/>
      <c r="P33" s="13"/>
      <c r="Q33" s="13"/>
    </row>
    <row r="34" spans="1:17" s="47" customFormat="1" x14ac:dyDescent="0.4">
      <c r="A34" s="13"/>
      <c r="B34" s="4"/>
      <c r="C34" s="5"/>
      <c r="D34" s="5"/>
      <c r="E34" s="5"/>
      <c r="F34" s="5"/>
      <c r="G34" s="5"/>
      <c r="H34" s="4"/>
      <c r="I34" s="5"/>
      <c r="J34" s="5"/>
      <c r="K34" s="5"/>
      <c r="L34" s="5"/>
      <c r="M34" s="5"/>
      <c r="N34" s="5"/>
      <c r="O34" s="13"/>
      <c r="P34" s="13"/>
      <c r="Q34" s="13"/>
    </row>
    <row r="35" spans="1:17" s="47" customFormat="1" x14ac:dyDescent="0.4">
      <c r="A35" s="13"/>
      <c r="B35" s="4"/>
      <c r="C35" s="5"/>
      <c r="D35" s="5"/>
      <c r="E35" s="5"/>
      <c r="F35" s="5"/>
      <c r="G35" s="5"/>
      <c r="H35" s="4"/>
      <c r="I35" s="5"/>
      <c r="J35" s="5"/>
      <c r="K35" s="5"/>
      <c r="L35" s="5"/>
      <c r="M35" s="5"/>
      <c r="N35" s="5"/>
      <c r="O35" s="13"/>
      <c r="P35" s="13"/>
      <c r="Q35" s="13"/>
    </row>
    <row r="36" spans="1:17" s="47" customFormat="1" x14ac:dyDescent="0.4">
      <c r="A36" s="13"/>
      <c r="B36" s="4"/>
      <c r="C36" s="5"/>
      <c r="D36" s="5"/>
      <c r="E36" s="5"/>
      <c r="F36" s="5"/>
      <c r="G36" s="5"/>
      <c r="H36" s="4"/>
      <c r="I36" s="5"/>
      <c r="J36" s="5"/>
      <c r="K36" s="5"/>
      <c r="L36" s="5"/>
      <c r="M36" s="5"/>
      <c r="N36" s="5"/>
      <c r="O36" s="13"/>
      <c r="P36" s="13"/>
      <c r="Q36" s="13"/>
    </row>
    <row r="37" spans="1:17" s="47" customFormat="1" x14ac:dyDescent="0.4">
      <c r="A37" s="13"/>
      <c r="B37" s="4"/>
      <c r="C37" s="5"/>
      <c r="D37" s="5"/>
      <c r="E37" s="5"/>
      <c r="F37" s="5"/>
      <c r="G37" s="5"/>
      <c r="H37" s="4"/>
      <c r="I37" s="5"/>
      <c r="J37" s="5"/>
      <c r="K37" s="5"/>
      <c r="L37" s="5"/>
      <c r="M37" s="5"/>
      <c r="N37" s="5"/>
      <c r="O37" s="13"/>
      <c r="P37" s="13"/>
      <c r="Q37" s="13"/>
    </row>
  </sheetData>
  <mergeCells count="16">
    <mergeCell ref="B4:G4"/>
    <mergeCell ref="H4:M4"/>
    <mergeCell ref="B5:G5"/>
    <mergeCell ref="H5:M5"/>
    <mergeCell ref="H6:I6"/>
    <mergeCell ref="J6:K6"/>
    <mergeCell ref="L6:M6"/>
    <mergeCell ref="H7:I7"/>
    <mergeCell ref="J7:K7"/>
    <mergeCell ref="L7:M7"/>
    <mergeCell ref="B6:C6"/>
    <mergeCell ref="B7:C7"/>
    <mergeCell ref="D6:E6"/>
    <mergeCell ref="D7:E7"/>
    <mergeCell ref="F6:G6"/>
    <mergeCell ref="F7:G7"/>
  </mergeCells>
  <pageMargins left="0.7" right="0.7" top="0.75" bottom="0.75" header="0.3" footer="0.3"/>
  <pageSetup scale="83" orientation="landscape" r:id="rId1"/>
  <headerFooter>
    <oddFooter>&amp;L&amp;G&amp;R&amp;P</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62</vt:i4>
      </vt:variant>
    </vt:vector>
  </HeadingPairs>
  <TitlesOfParts>
    <vt:vector size="90" baseType="lpstr">
      <vt:lpstr>ToC</vt:lpstr>
      <vt:lpstr>Support</vt:lpstr>
      <vt:lpstr>RI</vt:lpstr>
      <vt:lpstr>RIA</vt:lpstr>
      <vt:lpstr>RIBI</vt:lpstr>
      <vt:lpstr>RIBII</vt:lpstr>
      <vt:lpstr>RIC</vt:lpstr>
      <vt:lpstr>RID</vt:lpstr>
      <vt:lpstr>RIE</vt:lpstr>
      <vt:lpstr>RC</vt:lpstr>
      <vt:lpstr>RCA</vt:lpstr>
      <vt:lpstr>RCB</vt:lpstr>
      <vt:lpstr>RCCI</vt:lpstr>
      <vt:lpstr>RCCII</vt:lpstr>
      <vt:lpstr>RCD</vt:lpstr>
      <vt:lpstr>RCEI</vt:lpstr>
      <vt:lpstr>RCEII</vt:lpstr>
      <vt:lpstr>RCF</vt:lpstr>
      <vt:lpstr>RCG</vt:lpstr>
      <vt:lpstr>RCH</vt:lpstr>
      <vt:lpstr>RCK</vt:lpstr>
      <vt:lpstr>RCL</vt:lpstr>
      <vt:lpstr>RCM</vt:lpstr>
      <vt:lpstr>RCN</vt:lpstr>
      <vt:lpstr>RCO</vt:lpstr>
      <vt:lpstr>RCP</vt:lpstr>
      <vt:lpstr>RCRI</vt:lpstr>
      <vt:lpstr>RCV</vt:lpstr>
      <vt:lpstr>fiscal_period</vt:lpstr>
      <vt:lpstr>fiscal_period_sequence</vt:lpstr>
      <vt:lpstr>fiscal_period_type</vt:lpstr>
      <vt:lpstr>fiscal_period_types</vt:lpstr>
      <vt:lpstr>fiscal_year</vt:lpstr>
      <vt:lpstr>name</vt:lpstr>
      <vt:lpstr>'RC'!Print_Area</vt:lpstr>
      <vt:lpstr>RCA!Print_Area</vt:lpstr>
      <vt:lpstr>RCB!Print_Area</vt:lpstr>
      <vt:lpstr>RCCI!Print_Area</vt:lpstr>
      <vt:lpstr>RCCII!Print_Area</vt:lpstr>
      <vt:lpstr>RCD!Print_Area</vt:lpstr>
      <vt:lpstr>RCEI!Print_Area</vt:lpstr>
      <vt:lpstr>RCEII!Print_Area</vt:lpstr>
      <vt:lpstr>RCF!Print_Area</vt:lpstr>
      <vt:lpstr>RCG!Print_Area</vt:lpstr>
      <vt:lpstr>RCH!Print_Area</vt:lpstr>
      <vt:lpstr>RCK!Print_Area</vt:lpstr>
      <vt:lpstr>RCL!Print_Area</vt:lpstr>
      <vt:lpstr>RCM!Print_Area</vt:lpstr>
      <vt:lpstr>RCN!Print_Area</vt:lpstr>
      <vt:lpstr>RCO!Print_Area</vt:lpstr>
      <vt:lpstr>RCP!Print_Area</vt:lpstr>
      <vt:lpstr>RCRI!Print_Area</vt:lpstr>
      <vt:lpstr>RCV!Print_Area</vt:lpstr>
      <vt:lpstr>RI!Print_Area</vt:lpstr>
      <vt:lpstr>RIA!Print_Area</vt:lpstr>
      <vt:lpstr>RIBI!Print_Area</vt:lpstr>
      <vt:lpstr>RIBII!Print_Area</vt:lpstr>
      <vt:lpstr>RIC!Print_Area</vt:lpstr>
      <vt:lpstr>RID!Print_Area</vt:lpstr>
      <vt:lpstr>RIE!Print_Area</vt:lpstr>
      <vt:lpstr>ToC!Print_Area</vt:lpstr>
      <vt:lpstr>'RC'!Print_Titles</vt:lpstr>
      <vt:lpstr>RCA!Print_Titles</vt:lpstr>
      <vt:lpstr>RCB!Print_Titles</vt:lpstr>
      <vt:lpstr>RCCI!Print_Titles</vt:lpstr>
      <vt:lpstr>RCCII!Print_Titles</vt:lpstr>
      <vt:lpstr>RCD!Print_Titles</vt:lpstr>
      <vt:lpstr>RCEI!Print_Titles</vt:lpstr>
      <vt:lpstr>RCEII!Print_Titles</vt:lpstr>
      <vt:lpstr>RCF!Print_Titles</vt:lpstr>
      <vt:lpstr>RCG!Print_Titles</vt:lpstr>
      <vt:lpstr>RCH!Print_Titles</vt:lpstr>
      <vt:lpstr>RCK!Print_Titles</vt:lpstr>
      <vt:lpstr>RCL!Print_Titles</vt:lpstr>
      <vt:lpstr>RCM!Print_Titles</vt:lpstr>
      <vt:lpstr>RCN!Print_Titles</vt:lpstr>
      <vt:lpstr>RCO!Print_Titles</vt:lpstr>
      <vt:lpstr>RCP!Print_Titles</vt:lpstr>
      <vt:lpstr>RCRI!Print_Titles</vt:lpstr>
      <vt:lpstr>RCV!Print_Titles</vt:lpstr>
      <vt:lpstr>RI!Print_Titles</vt:lpstr>
      <vt:lpstr>RIA!Print_Titles</vt:lpstr>
      <vt:lpstr>RIBI!Print_Titles</vt:lpstr>
      <vt:lpstr>RIBII!Print_Titles</vt:lpstr>
      <vt:lpstr>RIC!Print_Titles</vt:lpstr>
      <vt:lpstr>RID!Print_Titles</vt:lpstr>
      <vt:lpstr>RIE!Print_Titles</vt:lpstr>
      <vt:lpstr>ToC!Print_Titles</vt:lpstr>
      <vt:lpstr>rssd_id</vt:lpstr>
      <vt:lpstr>sequences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dc:title>
  <dc:creator>Intrinio</dc:creator>
  <cp:lastModifiedBy>Joey French</cp:lastModifiedBy>
  <cp:lastPrinted>2016-04-17T08:53:12Z</cp:lastPrinted>
  <dcterms:created xsi:type="dcterms:W3CDTF">2016-04-13T20:04:21Z</dcterms:created>
  <dcterms:modified xsi:type="dcterms:W3CDTF">2016-12-11T22:34:39Z</dcterms:modified>
</cp:coreProperties>
</file>