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mc:AlternateContent xmlns:mc="http://schemas.openxmlformats.org/markup-compatibility/2006">
    <mc:Choice Requires="x15">
      <x15ac:absPath xmlns:x15ac="http://schemas.microsoft.com/office/spreadsheetml/2010/11/ac" url="C:\Users\Intrinio\Dropbox\Projects\Intrinio Excel Addin\Templates\Banks\"/>
    </mc:Choice>
  </mc:AlternateContent>
  <bookViews>
    <workbookView xWindow="120" yWindow="15" windowWidth="18960" windowHeight="9705"/>
  </bookViews>
  <sheets>
    <sheet name="ToC" sheetId="1" r:id="rId1"/>
    <sheet name="Support" sheetId="71" state="hidden" r:id="rId2"/>
    <sheet name="HI" sheetId="4" r:id="rId3"/>
    <sheet name="HIA" sheetId="72" r:id="rId4"/>
    <sheet name="HIBI" sheetId="73" r:id="rId5"/>
    <sheet name="HIBII" sheetId="75" r:id="rId6"/>
    <sheet name="HIC" sheetId="76" r:id="rId7"/>
    <sheet name="HIE" sheetId="77" r:id="rId8"/>
    <sheet name="HC" sheetId="78" r:id="rId9"/>
    <sheet name="HCB" sheetId="80" r:id="rId10"/>
    <sheet name="HCC" sheetId="84" r:id="rId11"/>
    <sheet name="HCF" sheetId="86" r:id="rId12"/>
    <sheet name="HCG" sheetId="87" r:id="rId13"/>
    <sheet name="HCL" sheetId="89" r:id="rId14"/>
    <sheet name="HCN" sheetId="91" r:id="rId15"/>
    <sheet name="HCP" sheetId="93" r:id="rId16"/>
    <sheet name="HCRI" sheetId="97" r:id="rId17"/>
    <sheet name="HCV" sheetId="94" r:id="rId18"/>
  </sheets>
  <externalReferences>
    <externalReference r:id="rId19"/>
  </externalReferences>
  <definedNames>
    <definedName name="fiscal_period">ToC!$B$14</definedName>
    <definedName name="fiscal_period_sequence">ToC!$B$12</definedName>
    <definedName name="fiscal_period_type">ToC!$B$11</definedName>
    <definedName name="fiscal_period_types">Support!$A$2:$A$5</definedName>
    <definedName name="fiscal_year">ToC!$B$13</definedName>
    <definedName name="name">ToC!$B$6</definedName>
    <definedName name="_xlnm.Print_Area" localSheetId="8">HC!$A$1:$P$59</definedName>
    <definedName name="_xlnm.Print_Area" localSheetId="9">HCB!$A$1:$R$86</definedName>
    <definedName name="_xlnm.Print_Area" localSheetId="10">HCC!$A$1:$P$115</definedName>
    <definedName name="_xlnm.Print_Area" localSheetId="11">HCF!$A$1:$P$17</definedName>
    <definedName name="_xlnm.Print_Area" localSheetId="12">HCG!$A$1:$P$12</definedName>
    <definedName name="_xlnm.Print_Area" localSheetId="13">HCL!$A$1:$P$170</definedName>
    <definedName name="_xlnm.Print_Area" localSheetId="14">HCN!$A$1:$N$111</definedName>
    <definedName name="_xlnm.Print_Area" localSheetId="15">HCP!$A$1:$P$40</definedName>
    <definedName name="_xlnm.Print_Area" localSheetId="16">HCRI!$A$1:$P$73</definedName>
    <definedName name="_xlnm.Print_Area" localSheetId="17">HCV!$A$1:$N$27</definedName>
    <definedName name="_xlnm.Print_Area" localSheetId="2">HI!$A$1:$P$106</definedName>
    <definedName name="_xlnm.Print_Area" localSheetId="3">HIA!$A$1:$P$17</definedName>
    <definedName name="_xlnm.Print_Area" localSheetId="4">HIBI!$A$1:$J$46</definedName>
    <definedName name="_xlnm.Print_Area" localSheetId="5">HIBII!$A$1:$P$18</definedName>
    <definedName name="_xlnm.Print_Area" localSheetId="6">HIC!$A$1:$H$63</definedName>
    <definedName name="_xlnm.Print_Area" localSheetId="7">HIE!$A$1:$P$14</definedName>
    <definedName name="_xlnm.Print_Area" localSheetId="0">ToC!$A$1:$C$42</definedName>
    <definedName name="_xlnm.Print_Titles" localSheetId="8">HC!$1:$5</definedName>
    <definedName name="_xlnm.Print_Titles" localSheetId="9">HCB!$1:$8</definedName>
    <definedName name="_xlnm.Print_Titles" localSheetId="10">HCC!$1:$5</definedName>
    <definedName name="_xlnm.Print_Titles" localSheetId="11">HCF!$1:$5</definedName>
    <definedName name="_xlnm.Print_Titles" localSheetId="12">HCG!$1:$5</definedName>
    <definedName name="_xlnm.Print_Titles" localSheetId="13">HCL!$1:$5</definedName>
    <definedName name="_xlnm.Print_Titles" localSheetId="14">HCN!$1:$8</definedName>
    <definedName name="_xlnm.Print_Titles" localSheetId="15">HCP!$1:$5</definedName>
    <definedName name="_xlnm.Print_Titles" localSheetId="16">HCRI!$1:$5</definedName>
    <definedName name="_xlnm.Print_Titles" localSheetId="17">HCV!$1:$7</definedName>
    <definedName name="_xlnm.Print_Titles" localSheetId="2">HI!$1:$6</definedName>
    <definedName name="_xlnm.Print_Titles" localSheetId="3">HIA!$1:$5</definedName>
    <definedName name="_xlnm.Print_Titles" localSheetId="4">HIBI!$1:$7</definedName>
    <definedName name="_xlnm.Print_Titles" localSheetId="5">HIBII!$1:$5</definedName>
    <definedName name="_xlnm.Print_Titles" localSheetId="6">HIC!$1:$3</definedName>
    <definedName name="_xlnm.Print_Titles" localSheetId="7">HIE!$1:$5</definedName>
    <definedName name="_xlnm.Print_Titles" localSheetId="0">ToC!$1:$6</definedName>
    <definedName name="rssd_id">ToC!$B$5</definedName>
    <definedName name="sequences">Support!$B$2:$B$21</definedName>
  </definedNames>
  <calcPr calcId="171027" calcMode="manual" concurrentCalc="0"/>
</workbook>
</file>

<file path=xl/calcChain.xml><?xml version="1.0" encoding="utf-8"?>
<calcChain xmlns="http://schemas.openxmlformats.org/spreadsheetml/2006/main">
  <c r="H4" i="94" l="1"/>
  <c r="H5" i="94"/>
  <c r="M27" i="94"/>
  <c r="M26" i="94"/>
  <c r="M25" i="94"/>
  <c r="M24" i="94"/>
  <c r="M23" i="94"/>
  <c r="M22" i="94"/>
  <c r="M21" i="94"/>
  <c r="M20" i="94"/>
  <c r="M19" i="94"/>
  <c r="M18" i="94"/>
  <c r="M17" i="94"/>
  <c r="M16" i="94"/>
  <c r="M15" i="94"/>
  <c r="M14" i="94"/>
  <c r="M13" i="94"/>
  <c r="M12" i="94"/>
  <c r="M11" i="94"/>
  <c r="M10" i="94"/>
  <c r="M9" i="94"/>
  <c r="M8" i="94"/>
  <c r="B5" i="94"/>
  <c r="B4" i="94"/>
  <c r="O3" i="97"/>
  <c r="O4" i="97"/>
  <c r="O5" i="97"/>
  <c r="O73" i="97"/>
  <c r="N3" i="97"/>
  <c r="N4" i="97"/>
  <c r="N5" i="97"/>
  <c r="N73" i="97"/>
  <c r="M3" i="97"/>
  <c r="M4" i="97"/>
  <c r="M5" i="97"/>
  <c r="M73" i="97"/>
  <c r="L3" i="97"/>
  <c r="L4" i="97"/>
  <c r="L5" i="97"/>
  <c r="L73" i="97"/>
  <c r="K3" i="97"/>
  <c r="K4" i="97"/>
  <c r="K5" i="97"/>
  <c r="K73" i="97"/>
  <c r="J3" i="97"/>
  <c r="J4" i="97"/>
  <c r="J5" i="97"/>
  <c r="J73" i="97"/>
  <c r="I3" i="97"/>
  <c r="I4" i="97"/>
  <c r="I5" i="97"/>
  <c r="I73" i="97"/>
  <c r="H3" i="97"/>
  <c r="H4" i="97"/>
  <c r="H5" i="97"/>
  <c r="H73" i="97"/>
  <c r="G3" i="97"/>
  <c r="G4" i="97"/>
  <c r="G5" i="97"/>
  <c r="G73" i="97"/>
  <c r="F3" i="97"/>
  <c r="F4" i="97"/>
  <c r="F5" i="97"/>
  <c r="F73" i="97"/>
  <c r="E3" i="97"/>
  <c r="E4" i="97"/>
  <c r="E5" i="97"/>
  <c r="E73" i="97"/>
  <c r="D3" i="97"/>
  <c r="D4" i="97"/>
  <c r="D5" i="97"/>
  <c r="D73" i="97"/>
  <c r="C3" i="97"/>
  <c r="C4" i="97"/>
  <c r="C5" i="97"/>
  <c r="C73" i="97"/>
  <c r="O72" i="97"/>
  <c r="N72" i="97"/>
  <c r="M72" i="97"/>
  <c r="L72" i="97"/>
  <c r="K72" i="97"/>
  <c r="J72" i="97"/>
  <c r="I72" i="97"/>
  <c r="H72" i="97"/>
  <c r="G72" i="97"/>
  <c r="F72" i="97"/>
  <c r="E72" i="97"/>
  <c r="D72" i="97"/>
  <c r="C72" i="97"/>
  <c r="O71" i="97"/>
  <c r="N71" i="97"/>
  <c r="M71" i="97"/>
  <c r="L71" i="97"/>
  <c r="K71" i="97"/>
  <c r="J71" i="97"/>
  <c r="I71" i="97"/>
  <c r="H71" i="97"/>
  <c r="G71" i="97"/>
  <c r="F71" i="97"/>
  <c r="E71" i="97"/>
  <c r="D71" i="97"/>
  <c r="C71" i="97"/>
  <c r="O70" i="97"/>
  <c r="N69" i="97"/>
  <c r="M69" i="97"/>
  <c r="L69" i="97"/>
  <c r="K69" i="97"/>
  <c r="J69" i="97"/>
  <c r="I69" i="97"/>
  <c r="H69" i="97"/>
  <c r="G69" i="97"/>
  <c r="F69" i="97"/>
  <c r="E69" i="97"/>
  <c r="D69" i="97"/>
  <c r="C69" i="97"/>
  <c r="O68" i="97"/>
  <c r="N68" i="97"/>
  <c r="M68" i="97"/>
  <c r="L68" i="97"/>
  <c r="K68" i="97"/>
  <c r="J68" i="97"/>
  <c r="I68" i="97"/>
  <c r="H68" i="97"/>
  <c r="G68" i="97"/>
  <c r="F68" i="97"/>
  <c r="E68" i="97"/>
  <c r="D68" i="97"/>
  <c r="C68" i="97"/>
  <c r="O67" i="97"/>
  <c r="N67" i="97"/>
  <c r="M67" i="97"/>
  <c r="L67" i="97"/>
  <c r="K67" i="97"/>
  <c r="J67" i="97"/>
  <c r="I67" i="97"/>
  <c r="H67" i="97"/>
  <c r="G67" i="97"/>
  <c r="F67" i="97"/>
  <c r="E67" i="97"/>
  <c r="D67" i="97"/>
  <c r="C67" i="97"/>
  <c r="O66" i="97"/>
  <c r="N66" i="97"/>
  <c r="M66" i="97"/>
  <c r="L66" i="97"/>
  <c r="K66" i="97"/>
  <c r="J66" i="97"/>
  <c r="I66" i="97"/>
  <c r="H66" i="97"/>
  <c r="G66" i="97"/>
  <c r="F66" i="97"/>
  <c r="E66" i="97"/>
  <c r="D66" i="97"/>
  <c r="C66" i="97"/>
  <c r="N65" i="97"/>
  <c r="M65" i="97"/>
  <c r="L65" i="97"/>
  <c r="K65" i="97"/>
  <c r="J65" i="97"/>
  <c r="I65" i="97"/>
  <c r="H65" i="97"/>
  <c r="G65" i="97"/>
  <c r="F65" i="97"/>
  <c r="E65" i="97"/>
  <c r="D65" i="97"/>
  <c r="C65" i="97"/>
  <c r="O64" i="97"/>
  <c r="N64" i="97"/>
  <c r="M64" i="97"/>
  <c r="L64" i="97"/>
  <c r="K64" i="97"/>
  <c r="J64" i="97"/>
  <c r="I64" i="97"/>
  <c r="H64" i="97"/>
  <c r="G64" i="97"/>
  <c r="F64" i="97"/>
  <c r="E64" i="97"/>
  <c r="D64" i="97"/>
  <c r="C64" i="97"/>
  <c r="O63" i="97"/>
  <c r="N63" i="97"/>
  <c r="M63" i="97"/>
  <c r="L63" i="97"/>
  <c r="K63" i="97"/>
  <c r="J63" i="97"/>
  <c r="I63" i="97"/>
  <c r="H63" i="97"/>
  <c r="G63" i="97"/>
  <c r="F63" i="97"/>
  <c r="E63" i="97"/>
  <c r="D63" i="97"/>
  <c r="C63" i="97"/>
  <c r="O62" i="97"/>
  <c r="N62" i="97"/>
  <c r="M62" i="97"/>
  <c r="L62" i="97"/>
  <c r="K62" i="97"/>
  <c r="J62" i="97"/>
  <c r="I62" i="97"/>
  <c r="H62" i="97"/>
  <c r="G62" i="97"/>
  <c r="F62" i="97"/>
  <c r="E62" i="97"/>
  <c r="D62" i="97"/>
  <c r="C62" i="97"/>
  <c r="O61" i="97"/>
  <c r="N61" i="97"/>
  <c r="M61" i="97"/>
  <c r="L61" i="97"/>
  <c r="K61" i="97"/>
  <c r="J61" i="97"/>
  <c r="I61" i="97"/>
  <c r="H61" i="97"/>
  <c r="G61" i="97"/>
  <c r="F61" i="97"/>
  <c r="E61" i="97"/>
  <c r="D61" i="97"/>
  <c r="C61" i="97"/>
  <c r="O60" i="97"/>
  <c r="N60" i="97"/>
  <c r="M60" i="97"/>
  <c r="L60" i="97"/>
  <c r="K60" i="97"/>
  <c r="J60" i="97"/>
  <c r="I60" i="97"/>
  <c r="H60" i="97"/>
  <c r="G60" i="97"/>
  <c r="F60" i="97"/>
  <c r="E60" i="97"/>
  <c r="D60" i="97"/>
  <c r="C60" i="97"/>
  <c r="O59" i="97"/>
  <c r="N59" i="97"/>
  <c r="M59" i="97"/>
  <c r="L59" i="97"/>
  <c r="K59" i="97"/>
  <c r="J59" i="97"/>
  <c r="I59" i="97"/>
  <c r="H59" i="97"/>
  <c r="G59" i="97"/>
  <c r="F59" i="97"/>
  <c r="E59" i="97"/>
  <c r="D59" i="97"/>
  <c r="C59" i="97"/>
  <c r="O58" i="97"/>
  <c r="N58" i="97"/>
  <c r="M58" i="97"/>
  <c r="L58" i="97"/>
  <c r="K58" i="97"/>
  <c r="J58" i="97"/>
  <c r="I58" i="97"/>
  <c r="H58" i="97"/>
  <c r="G58" i="97"/>
  <c r="F58" i="97"/>
  <c r="E58" i="97"/>
  <c r="D58" i="97"/>
  <c r="C58" i="97"/>
  <c r="O57" i="97"/>
  <c r="N57" i="97"/>
  <c r="M57" i="97"/>
  <c r="L57" i="97"/>
  <c r="K57" i="97"/>
  <c r="J57" i="97"/>
  <c r="I57" i="97"/>
  <c r="H57" i="97"/>
  <c r="G57" i="97"/>
  <c r="F57" i="97"/>
  <c r="E57" i="97"/>
  <c r="D57" i="97"/>
  <c r="C57" i="97"/>
  <c r="O56" i="97"/>
  <c r="N56" i="97"/>
  <c r="M56" i="97"/>
  <c r="L56" i="97"/>
  <c r="K56" i="97"/>
  <c r="J56" i="97"/>
  <c r="I56" i="97"/>
  <c r="H56" i="97"/>
  <c r="G56" i="97"/>
  <c r="F56" i="97"/>
  <c r="E56" i="97"/>
  <c r="D56" i="97"/>
  <c r="C56" i="97"/>
  <c r="O55" i="97"/>
  <c r="N55" i="97"/>
  <c r="M55" i="97"/>
  <c r="L55" i="97"/>
  <c r="K55" i="97"/>
  <c r="J55" i="97"/>
  <c r="I55" i="97"/>
  <c r="H55" i="97"/>
  <c r="G55" i="97"/>
  <c r="F55" i="97"/>
  <c r="E55" i="97"/>
  <c r="D55" i="97"/>
  <c r="C55" i="97"/>
  <c r="O54" i="97"/>
  <c r="N54" i="97"/>
  <c r="M54" i="97"/>
  <c r="L54" i="97"/>
  <c r="K54" i="97"/>
  <c r="J54" i="97"/>
  <c r="I54" i="97"/>
  <c r="H54" i="97"/>
  <c r="G54" i="97"/>
  <c r="F54" i="97"/>
  <c r="E54" i="97"/>
  <c r="D54" i="97"/>
  <c r="C54" i="97"/>
  <c r="O53" i="97"/>
  <c r="N53" i="97"/>
  <c r="M53" i="97"/>
  <c r="L53" i="97"/>
  <c r="K53" i="97"/>
  <c r="J53" i="97"/>
  <c r="I53" i="97"/>
  <c r="H53" i="97"/>
  <c r="G53" i="97"/>
  <c r="F53" i="97"/>
  <c r="E53" i="97"/>
  <c r="D53" i="97"/>
  <c r="C53" i="97"/>
  <c r="O52" i="97"/>
  <c r="N52" i="97"/>
  <c r="M52" i="97"/>
  <c r="L52" i="97"/>
  <c r="K52" i="97"/>
  <c r="J52" i="97"/>
  <c r="I52" i="97"/>
  <c r="H52" i="97"/>
  <c r="G52" i="97"/>
  <c r="F52" i="97"/>
  <c r="E52" i="97"/>
  <c r="D52" i="97"/>
  <c r="C52" i="97"/>
  <c r="O51" i="97"/>
  <c r="N51" i="97"/>
  <c r="M51" i="97"/>
  <c r="L51" i="97"/>
  <c r="K51" i="97"/>
  <c r="J51" i="97"/>
  <c r="I51" i="97"/>
  <c r="H51" i="97"/>
  <c r="G51" i="97"/>
  <c r="F51" i="97"/>
  <c r="E51" i="97"/>
  <c r="D51" i="97"/>
  <c r="C51" i="97"/>
  <c r="O50" i="97"/>
  <c r="N50" i="97"/>
  <c r="M50" i="97"/>
  <c r="L50" i="97"/>
  <c r="K50" i="97"/>
  <c r="J50" i="97"/>
  <c r="I50" i="97"/>
  <c r="H50" i="97"/>
  <c r="G50" i="97"/>
  <c r="F50" i="97"/>
  <c r="E50" i="97"/>
  <c r="D50" i="97"/>
  <c r="C50" i="97"/>
  <c r="O49" i="97"/>
  <c r="N49" i="97"/>
  <c r="M49" i="97"/>
  <c r="L49" i="97"/>
  <c r="K49" i="97"/>
  <c r="J49" i="97"/>
  <c r="I49" i="97"/>
  <c r="H49" i="97"/>
  <c r="G49" i="97"/>
  <c r="F49" i="97"/>
  <c r="E49" i="97"/>
  <c r="D49" i="97"/>
  <c r="C49" i="97"/>
  <c r="O48" i="97"/>
  <c r="N48" i="97"/>
  <c r="M48" i="97"/>
  <c r="L48" i="97"/>
  <c r="K48" i="97"/>
  <c r="J48" i="97"/>
  <c r="I48" i="97"/>
  <c r="H48" i="97"/>
  <c r="G48" i="97"/>
  <c r="F48" i="97"/>
  <c r="E48" i="97"/>
  <c r="D48" i="97"/>
  <c r="C48" i="97"/>
  <c r="O47" i="97"/>
  <c r="N47" i="97"/>
  <c r="M47" i="97"/>
  <c r="L47" i="97"/>
  <c r="K47" i="97"/>
  <c r="J47" i="97"/>
  <c r="I47" i="97"/>
  <c r="H47" i="97"/>
  <c r="G47" i="97"/>
  <c r="F47" i="97"/>
  <c r="E47" i="97"/>
  <c r="D47" i="97"/>
  <c r="C47" i="97"/>
  <c r="O46" i="97"/>
  <c r="N46" i="97"/>
  <c r="M46" i="97"/>
  <c r="L46" i="97"/>
  <c r="K46" i="97"/>
  <c r="J46" i="97"/>
  <c r="I46" i="97"/>
  <c r="H46" i="97"/>
  <c r="G46" i="97"/>
  <c r="F46" i="97"/>
  <c r="E46" i="97"/>
  <c r="D46" i="97"/>
  <c r="C46" i="97"/>
  <c r="O45" i="97"/>
  <c r="N45" i="97"/>
  <c r="M45" i="97"/>
  <c r="L45" i="97"/>
  <c r="K45" i="97"/>
  <c r="J45" i="97"/>
  <c r="I45" i="97"/>
  <c r="H45" i="97"/>
  <c r="G45" i="97"/>
  <c r="F45" i="97"/>
  <c r="E45" i="97"/>
  <c r="D45" i="97"/>
  <c r="C45" i="97"/>
  <c r="O44" i="97"/>
  <c r="N44" i="97"/>
  <c r="M44" i="97"/>
  <c r="L44" i="97"/>
  <c r="K44" i="97"/>
  <c r="J44" i="97"/>
  <c r="I44" i="97"/>
  <c r="H44" i="97"/>
  <c r="G44" i="97"/>
  <c r="F44" i="97"/>
  <c r="E44" i="97"/>
  <c r="D44" i="97"/>
  <c r="C44" i="97"/>
  <c r="O43" i="97"/>
  <c r="N43" i="97"/>
  <c r="M43" i="97"/>
  <c r="L43" i="97"/>
  <c r="K43" i="97"/>
  <c r="J43" i="97"/>
  <c r="I43" i="97"/>
  <c r="H43" i="97"/>
  <c r="G43" i="97"/>
  <c r="F43" i="97"/>
  <c r="E43" i="97"/>
  <c r="D43" i="97"/>
  <c r="C43" i="97"/>
  <c r="O42" i="97"/>
  <c r="N42" i="97"/>
  <c r="M42" i="97"/>
  <c r="L42" i="97"/>
  <c r="K42" i="97"/>
  <c r="J42" i="97"/>
  <c r="I42" i="97"/>
  <c r="H42" i="97"/>
  <c r="G42" i="97"/>
  <c r="F42" i="97"/>
  <c r="E42" i="97"/>
  <c r="D42" i="97"/>
  <c r="C42" i="97"/>
  <c r="O41" i="97"/>
  <c r="N41" i="97"/>
  <c r="M41" i="97"/>
  <c r="L41" i="97"/>
  <c r="K41" i="97"/>
  <c r="J41" i="97"/>
  <c r="I41" i="97"/>
  <c r="H41" i="97"/>
  <c r="G41" i="97"/>
  <c r="F41" i="97"/>
  <c r="E41" i="97"/>
  <c r="D41" i="97"/>
  <c r="C41" i="97"/>
  <c r="O40" i="97"/>
  <c r="N40" i="97"/>
  <c r="M40" i="97"/>
  <c r="L40" i="97"/>
  <c r="K40" i="97"/>
  <c r="J40" i="97"/>
  <c r="I40" i="97"/>
  <c r="H40" i="97"/>
  <c r="G40" i="97"/>
  <c r="F40" i="97"/>
  <c r="E40" i="97"/>
  <c r="D40" i="97"/>
  <c r="C40" i="97"/>
  <c r="O39" i="97"/>
  <c r="N39" i="97"/>
  <c r="M39" i="97"/>
  <c r="L39" i="97"/>
  <c r="K39" i="97"/>
  <c r="J39" i="97"/>
  <c r="I39" i="97"/>
  <c r="H39" i="97"/>
  <c r="G39" i="97"/>
  <c r="F39" i="97"/>
  <c r="E39" i="97"/>
  <c r="D39" i="97"/>
  <c r="C39" i="97"/>
  <c r="O38" i="97"/>
  <c r="N38" i="97"/>
  <c r="M38" i="97"/>
  <c r="L38" i="97"/>
  <c r="K38" i="97"/>
  <c r="J38" i="97"/>
  <c r="I38" i="97"/>
  <c r="H38" i="97"/>
  <c r="G38" i="97"/>
  <c r="F38" i="97"/>
  <c r="E38" i="97"/>
  <c r="D38" i="97"/>
  <c r="C38" i="97"/>
  <c r="O37" i="97"/>
  <c r="N37" i="97"/>
  <c r="M37" i="97"/>
  <c r="L37" i="97"/>
  <c r="K37" i="97"/>
  <c r="J37" i="97"/>
  <c r="I37" i="97"/>
  <c r="H37" i="97"/>
  <c r="G37" i="97"/>
  <c r="F37" i="97"/>
  <c r="E37" i="97"/>
  <c r="D37" i="97"/>
  <c r="C37" i="97"/>
  <c r="O36" i="97"/>
  <c r="N36" i="97"/>
  <c r="M36" i="97"/>
  <c r="L36" i="97"/>
  <c r="K36" i="97"/>
  <c r="J36" i="97"/>
  <c r="I36" i="97"/>
  <c r="H36" i="97"/>
  <c r="G36" i="97"/>
  <c r="F36" i="97"/>
  <c r="E36" i="97"/>
  <c r="D36" i="97"/>
  <c r="C36" i="97"/>
  <c r="O35" i="97"/>
  <c r="N35" i="97"/>
  <c r="M35" i="97"/>
  <c r="L35" i="97"/>
  <c r="K35" i="97"/>
  <c r="J35" i="97"/>
  <c r="I35" i="97"/>
  <c r="H35" i="97"/>
  <c r="G35" i="97"/>
  <c r="F35" i="97"/>
  <c r="E35" i="97"/>
  <c r="D35" i="97"/>
  <c r="C35" i="97"/>
  <c r="O34" i="97"/>
  <c r="N34" i="97"/>
  <c r="M34" i="97"/>
  <c r="L34" i="97"/>
  <c r="K34" i="97"/>
  <c r="J34" i="97"/>
  <c r="I34" i="97"/>
  <c r="H34" i="97"/>
  <c r="G34" i="97"/>
  <c r="F34" i="97"/>
  <c r="E34" i="97"/>
  <c r="D34" i="97"/>
  <c r="C34" i="97"/>
  <c r="O33" i="97"/>
  <c r="N33" i="97"/>
  <c r="M33" i="97"/>
  <c r="L33" i="97"/>
  <c r="K33" i="97"/>
  <c r="J33" i="97"/>
  <c r="I33" i="97"/>
  <c r="H33" i="97"/>
  <c r="G33" i="97"/>
  <c r="F33" i="97"/>
  <c r="E33" i="97"/>
  <c r="D33" i="97"/>
  <c r="C33" i="97"/>
  <c r="O32" i="97"/>
  <c r="N32" i="97"/>
  <c r="M32" i="97"/>
  <c r="L32" i="97"/>
  <c r="K32" i="97"/>
  <c r="J32" i="97"/>
  <c r="I32" i="97"/>
  <c r="H32" i="97"/>
  <c r="G32" i="97"/>
  <c r="F32" i="97"/>
  <c r="E32" i="97"/>
  <c r="D32" i="97"/>
  <c r="C32" i="97"/>
  <c r="O31" i="97"/>
  <c r="N31" i="97"/>
  <c r="M31" i="97"/>
  <c r="L31" i="97"/>
  <c r="K31" i="97"/>
  <c r="J31" i="97"/>
  <c r="I31" i="97"/>
  <c r="H31" i="97"/>
  <c r="G31" i="97"/>
  <c r="F31" i="97"/>
  <c r="E31" i="97"/>
  <c r="D31" i="97"/>
  <c r="C31" i="97"/>
  <c r="O30" i="97"/>
  <c r="N30" i="97"/>
  <c r="M30" i="97"/>
  <c r="L30" i="97"/>
  <c r="K30" i="97"/>
  <c r="J30" i="97"/>
  <c r="I30" i="97"/>
  <c r="H30" i="97"/>
  <c r="G30" i="97"/>
  <c r="F30" i="97"/>
  <c r="E30" i="97"/>
  <c r="D30" i="97"/>
  <c r="C30" i="97"/>
  <c r="O29" i="97"/>
  <c r="N29" i="97"/>
  <c r="M29" i="97"/>
  <c r="L29" i="97"/>
  <c r="K29" i="97"/>
  <c r="J29" i="97"/>
  <c r="I29" i="97"/>
  <c r="H29" i="97"/>
  <c r="G29" i="97"/>
  <c r="F29" i="97"/>
  <c r="E29" i="97"/>
  <c r="D29" i="97"/>
  <c r="C29" i="97"/>
  <c r="O28" i="97"/>
  <c r="N28" i="97"/>
  <c r="M28" i="97"/>
  <c r="L28" i="97"/>
  <c r="K28" i="97"/>
  <c r="J28" i="97"/>
  <c r="I28" i="97"/>
  <c r="H28" i="97"/>
  <c r="G28" i="97"/>
  <c r="F28" i="97"/>
  <c r="E28" i="97"/>
  <c r="D28" i="97"/>
  <c r="C28" i="97"/>
  <c r="O27" i="97"/>
  <c r="N27" i="97"/>
  <c r="M27" i="97"/>
  <c r="L27" i="97"/>
  <c r="K27" i="97"/>
  <c r="J27" i="97"/>
  <c r="I27" i="97"/>
  <c r="H27" i="97"/>
  <c r="G27" i="97"/>
  <c r="F27" i="97"/>
  <c r="O26" i="97"/>
  <c r="N26" i="97"/>
  <c r="M26" i="97"/>
  <c r="L26" i="97"/>
  <c r="K26" i="97"/>
  <c r="J26" i="97"/>
  <c r="I26" i="97"/>
  <c r="H26" i="97"/>
  <c r="G26" i="97"/>
  <c r="F26" i="97"/>
  <c r="E26" i="97"/>
  <c r="D26" i="97"/>
  <c r="C26" i="97"/>
  <c r="O25" i="97"/>
  <c r="N25" i="97"/>
  <c r="M25" i="97"/>
  <c r="L25" i="97"/>
  <c r="K25" i="97"/>
  <c r="J25" i="97"/>
  <c r="I25" i="97"/>
  <c r="H25" i="97"/>
  <c r="G25" i="97"/>
  <c r="F25" i="97"/>
  <c r="O24" i="97"/>
  <c r="N24" i="97"/>
  <c r="M24" i="97"/>
  <c r="L24" i="97"/>
  <c r="K24" i="97"/>
  <c r="J24" i="97"/>
  <c r="I24" i="97"/>
  <c r="H24" i="97"/>
  <c r="G24" i="97"/>
  <c r="F24" i="97"/>
  <c r="E24" i="97"/>
  <c r="D24" i="97"/>
  <c r="C24" i="97"/>
  <c r="O23" i="97"/>
  <c r="N23" i="97"/>
  <c r="M23" i="97"/>
  <c r="L23" i="97"/>
  <c r="K23" i="97"/>
  <c r="J23" i="97"/>
  <c r="I23" i="97"/>
  <c r="H23" i="97"/>
  <c r="G23" i="97"/>
  <c r="F23" i="97"/>
  <c r="E23" i="97"/>
  <c r="D23" i="97"/>
  <c r="C23" i="97"/>
  <c r="O22" i="97"/>
  <c r="N22" i="97"/>
  <c r="M22" i="97"/>
  <c r="L22" i="97"/>
  <c r="K22" i="97"/>
  <c r="J22" i="97"/>
  <c r="I22" i="97"/>
  <c r="H22" i="97"/>
  <c r="G22" i="97"/>
  <c r="F22" i="97"/>
  <c r="O21" i="97"/>
  <c r="N21" i="97"/>
  <c r="M21" i="97"/>
  <c r="L21" i="97"/>
  <c r="K21" i="97"/>
  <c r="J21" i="97"/>
  <c r="I21" i="97"/>
  <c r="H21" i="97"/>
  <c r="G21" i="97"/>
  <c r="F21" i="97"/>
  <c r="O20" i="97"/>
  <c r="N20" i="97"/>
  <c r="M20" i="97"/>
  <c r="L20" i="97"/>
  <c r="K20" i="97"/>
  <c r="J20" i="97"/>
  <c r="I20" i="97"/>
  <c r="H20" i="97"/>
  <c r="G20" i="97"/>
  <c r="F20" i="97"/>
  <c r="E20" i="97"/>
  <c r="D20" i="97"/>
  <c r="C20" i="97"/>
  <c r="O19" i="97"/>
  <c r="N19" i="97"/>
  <c r="M19" i="97"/>
  <c r="L19" i="97"/>
  <c r="K19" i="97"/>
  <c r="J19" i="97"/>
  <c r="I19" i="97"/>
  <c r="H19" i="97"/>
  <c r="G19" i="97"/>
  <c r="F19" i="97"/>
  <c r="E19" i="97"/>
  <c r="D19" i="97"/>
  <c r="C19" i="97"/>
  <c r="O18" i="97"/>
  <c r="N18" i="97"/>
  <c r="M18" i="97"/>
  <c r="L18" i="97"/>
  <c r="K18" i="97"/>
  <c r="J18" i="97"/>
  <c r="I18" i="97"/>
  <c r="H18" i="97"/>
  <c r="G18" i="97"/>
  <c r="F18" i="97"/>
  <c r="E18" i="97"/>
  <c r="D18" i="97"/>
  <c r="C18" i="97"/>
  <c r="O17" i="97"/>
  <c r="N17" i="97"/>
  <c r="M17" i="97"/>
  <c r="L17" i="97"/>
  <c r="K17" i="97"/>
  <c r="J17" i="97"/>
  <c r="I17" i="97"/>
  <c r="H17" i="97"/>
  <c r="G17" i="97"/>
  <c r="F17" i="97"/>
  <c r="E17" i="97"/>
  <c r="D17" i="97"/>
  <c r="C17" i="97"/>
  <c r="O16" i="97"/>
  <c r="N16" i="97"/>
  <c r="M16" i="97"/>
  <c r="L16" i="97"/>
  <c r="K16" i="97"/>
  <c r="J16" i="97"/>
  <c r="I16" i="97"/>
  <c r="H16" i="97"/>
  <c r="G16" i="97"/>
  <c r="F16" i="97"/>
  <c r="O15" i="97"/>
  <c r="N15" i="97"/>
  <c r="M15" i="97"/>
  <c r="L15" i="97"/>
  <c r="K15" i="97"/>
  <c r="J15" i="97"/>
  <c r="I15" i="97"/>
  <c r="H15" i="97"/>
  <c r="G15" i="97"/>
  <c r="F15" i="97"/>
  <c r="O14" i="97"/>
  <c r="N14" i="97"/>
  <c r="M14" i="97"/>
  <c r="L14" i="97"/>
  <c r="K14" i="97"/>
  <c r="J14" i="97"/>
  <c r="I14" i="97"/>
  <c r="H14" i="97"/>
  <c r="G14" i="97"/>
  <c r="F14" i="97"/>
  <c r="E14" i="97"/>
  <c r="D14" i="97"/>
  <c r="C14" i="97"/>
  <c r="O13" i="97"/>
  <c r="N13" i="97"/>
  <c r="M13" i="97"/>
  <c r="L13" i="97"/>
  <c r="K13" i="97"/>
  <c r="J13" i="97"/>
  <c r="I13" i="97"/>
  <c r="H13" i="97"/>
  <c r="G13" i="97"/>
  <c r="F13" i="97"/>
  <c r="E13" i="97"/>
  <c r="D13" i="97"/>
  <c r="C13" i="97"/>
  <c r="O12" i="97"/>
  <c r="N12" i="97"/>
  <c r="M12" i="97"/>
  <c r="L12" i="97"/>
  <c r="K12" i="97"/>
  <c r="J12" i="97"/>
  <c r="I12" i="97"/>
  <c r="H12" i="97"/>
  <c r="G12" i="97"/>
  <c r="F12" i="97"/>
  <c r="E12" i="97"/>
  <c r="D12" i="97"/>
  <c r="C12" i="97"/>
  <c r="O11" i="97"/>
  <c r="N11" i="97"/>
  <c r="M11" i="97"/>
  <c r="L11" i="97"/>
  <c r="K11" i="97"/>
  <c r="J11" i="97"/>
  <c r="I11" i="97"/>
  <c r="H11" i="97"/>
  <c r="G11" i="97"/>
  <c r="F11" i="97"/>
  <c r="E11" i="97"/>
  <c r="D11" i="97"/>
  <c r="C11" i="97"/>
  <c r="O10" i="97"/>
  <c r="N10" i="97"/>
  <c r="M10" i="97"/>
  <c r="L10" i="97"/>
  <c r="K10" i="97"/>
  <c r="J10" i="97"/>
  <c r="I10" i="97"/>
  <c r="H10" i="97"/>
  <c r="G10" i="97"/>
  <c r="F10" i="97"/>
  <c r="E10" i="97"/>
  <c r="D10" i="97"/>
  <c r="C10" i="97"/>
  <c r="O9" i="97"/>
  <c r="N9" i="97"/>
  <c r="M9" i="97"/>
  <c r="L9" i="97"/>
  <c r="K9" i="97"/>
  <c r="J9" i="97"/>
  <c r="I9" i="97"/>
  <c r="H9" i="97"/>
  <c r="G9" i="97"/>
  <c r="F9" i="97"/>
  <c r="O8" i="97"/>
  <c r="N8" i="97"/>
  <c r="M8" i="97"/>
  <c r="L8" i="97"/>
  <c r="K8" i="97"/>
  <c r="J8" i="97"/>
  <c r="I8" i="97"/>
  <c r="H8" i="97"/>
  <c r="G8" i="97"/>
  <c r="F8" i="97"/>
  <c r="E8" i="97"/>
  <c r="D8" i="97"/>
  <c r="C8" i="97"/>
  <c r="O7" i="97"/>
  <c r="N7" i="97"/>
  <c r="M7" i="97"/>
  <c r="L7" i="97"/>
  <c r="K7" i="97"/>
  <c r="J7" i="97"/>
  <c r="I7" i="97"/>
  <c r="H7" i="97"/>
  <c r="G7" i="97"/>
  <c r="F7" i="97"/>
  <c r="E7" i="97"/>
  <c r="D7" i="97"/>
  <c r="C7" i="97"/>
  <c r="O6" i="97"/>
  <c r="N6" i="97"/>
  <c r="M6" i="97"/>
  <c r="L6" i="97"/>
  <c r="K6" i="97"/>
  <c r="J6" i="97"/>
  <c r="I6" i="97"/>
  <c r="H6" i="97"/>
  <c r="G6" i="97"/>
  <c r="F6" i="97"/>
  <c r="E6" i="97"/>
  <c r="D6" i="97"/>
  <c r="C6" i="97"/>
  <c r="O3" i="93"/>
  <c r="O4" i="93"/>
  <c r="O5" i="93"/>
  <c r="O40" i="93"/>
  <c r="N3" i="93"/>
  <c r="N4" i="93"/>
  <c r="N5" i="93"/>
  <c r="N40" i="93"/>
  <c r="M3" i="93"/>
  <c r="M4" i="93"/>
  <c r="M5" i="93"/>
  <c r="M40" i="93"/>
  <c r="L3" i="93"/>
  <c r="L4" i="93"/>
  <c r="L5" i="93"/>
  <c r="L40" i="93"/>
  <c r="K3" i="93"/>
  <c r="K4" i="93"/>
  <c r="K5" i="93"/>
  <c r="K40" i="93"/>
  <c r="J3" i="93"/>
  <c r="J4" i="93"/>
  <c r="J5" i="93"/>
  <c r="J40" i="93"/>
  <c r="I3" i="93"/>
  <c r="I4" i="93"/>
  <c r="I5" i="93"/>
  <c r="I40" i="93"/>
  <c r="H3" i="93"/>
  <c r="H4" i="93"/>
  <c r="H5" i="93"/>
  <c r="H40" i="93"/>
  <c r="G3" i="93"/>
  <c r="G4" i="93"/>
  <c r="G5" i="93"/>
  <c r="G40" i="93"/>
  <c r="F3" i="93"/>
  <c r="F4" i="93"/>
  <c r="F5" i="93"/>
  <c r="F40" i="93"/>
  <c r="E3" i="93"/>
  <c r="E4" i="93"/>
  <c r="E5" i="93"/>
  <c r="E40" i="93"/>
  <c r="D3" i="93"/>
  <c r="D4" i="93"/>
  <c r="D5" i="93"/>
  <c r="D40" i="93"/>
  <c r="C3" i="93"/>
  <c r="C4" i="93"/>
  <c r="C5" i="93"/>
  <c r="C40" i="93"/>
  <c r="O39" i="93"/>
  <c r="N39" i="93"/>
  <c r="M39" i="93"/>
  <c r="L39" i="93"/>
  <c r="K39" i="93"/>
  <c r="J39" i="93"/>
  <c r="I39" i="93"/>
  <c r="H39" i="93"/>
  <c r="G39" i="93"/>
  <c r="F39" i="93"/>
  <c r="E39" i="93"/>
  <c r="D39" i="93"/>
  <c r="C39" i="93"/>
  <c r="O38" i="93"/>
  <c r="N38" i="93"/>
  <c r="M38" i="93"/>
  <c r="L38" i="93"/>
  <c r="K38" i="93"/>
  <c r="J38" i="93"/>
  <c r="I38" i="93"/>
  <c r="H38" i="93"/>
  <c r="G38" i="93"/>
  <c r="F38" i="93"/>
  <c r="E38" i="93"/>
  <c r="D38" i="93"/>
  <c r="C38" i="93"/>
  <c r="O37" i="93"/>
  <c r="N37" i="93"/>
  <c r="M37" i="93"/>
  <c r="L37" i="93"/>
  <c r="K37" i="93"/>
  <c r="J37" i="93"/>
  <c r="I37" i="93"/>
  <c r="H37" i="93"/>
  <c r="G37" i="93"/>
  <c r="F37" i="93"/>
  <c r="E37" i="93"/>
  <c r="D37" i="93"/>
  <c r="C37" i="93"/>
  <c r="O36" i="93"/>
  <c r="N36" i="93"/>
  <c r="M36" i="93"/>
  <c r="L36" i="93"/>
  <c r="K36" i="93"/>
  <c r="J36" i="93"/>
  <c r="I36" i="93"/>
  <c r="H36" i="93"/>
  <c r="G36" i="93"/>
  <c r="F36" i="93"/>
  <c r="E36" i="93"/>
  <c r="D36" i="93"/>
  <c r="C36" i="93"/>
  <c r="O35" i="93"/>
  <c r="N35" i="93"/>
  <c r="M35" i="93"/>
  <c r="L35" i="93"/>
  <c r="K35" i="93"/>
  <c r="J35" i="93"/>
  <c r="I35" i="93"/>
  <c r="H35" i="93"/>
  <c r="G35" i="93"/>
  <c r="F35" i="93"/>
  <c r="E35" i="93"/>
  <c r="D35" i="93"/>
  <c r="C35" i="93"/>
  <c r="O34" i="93"/>
  <c r="N34" i="93"/>
  <c r="M34" i="93"/>
  <c r="L34" i="93"/>
  <c r="K34" i="93"/>
  <c r="J34" i="93"/>
  <c r="I34" i="93"/>
  <c r="H34" i="93"/>
  <c r="G34" i="93"/>
  <c r="F34" i="93"/>
  <c r="E34" i="93"/>
  <c r="D34" i="93"/>
  <c r="C34" i="93"/>
  <c r="O33" i="93"/>
  <c r="N33" i="93"/>
  <c r="M33" i="93"/>
  <c r="L33" i="93"/>
  <c r="K33" i="93"/>
  <c r="J33" i="93"/>
  <c r="I33" i="93"/>
  <c r="H33" i="93"/>
  <c r="G33" i="93"/>
  <c r="F33" i="93"/>
  <c r="E33" i="93"/>
  <c r="D33" i="93"/>
  <c r="C33" i="93"/>
  <c r="O32" i="93"/>
  <c r="N32" i="93"/>
  <c r="M32" i="93"/>
  <c r="L32" i="93"/>
  <c r="K32" i="93"/>
  <c r="J32" i="93"/>
  <c r="I32" i="93"/>
  <c r="H32" i="93"/>
  <c r="G32" i="93"/>
  <c r="F32" i="93"/>
  <c r="E32" i="93"/>
  <c r="D32" i="93"/>
  <c r="C32" i="93"/>
  <c r="O31" i="93"/>
  <c r="N31" i="93"/>
  <c r="M31" i="93"/>
  <c r="L31" i="93"/>
  <c r="K31" i="93"/>
  <c r="J31" i="93"/>
  <c r="I31" i="93"/>
  <c r="H31" i="93"/>
  <c r="G31" i="93"/>
  <c r="F31" i="93"/>
  <c r="E31" i="93"/>
  <c r="D31" i="93"/>
  <c r="C31" i="93"/>
  <c r="O30" i="93"/>
  <c r="N30" i="93"/>
  <c r="M30" i="93"/>
  <c r="L30" i="93"/>
  <c r="K30" i="93"/>
  <c r="J30" i="93"/>
  <c r="I30" i="93"/>
  <c r="H30" i="93"/>
  <c r="G30" i="93"/>
  <c r="F30" i="93"/>
  <c r="E30" i="93"/>
  <c r="D30" i="93"/>
  <c r="C30" i="93"/>
  <c r="O29" i="93"/>
  <c r="N29" i="93"/>
  <c r="M29" i="93"/>
  <c r="L29" i="93"/>
  <c r="K29" i="93"/>
  <c r="J29" i="93"/>
  <c r="I29" i="93"/>
  <c r="H29" i="93"/>
  <c r="G29" i="93"/>
  <c r="F29" i="93"/>
  <c r="E29" i="93"/>
  <c r="D29" i="93"/>
  <c r="C29" i="93"/>
  <c r="O28" i="93"/>
  <c r="N28" i="93"/>
  <c r="M28" i="93"/>
  <c r="L28" i="93"/>
  <c r="K28" i="93"/>
  <c r="J28" i="93"/>
  <c r="I28" i="93"/>
  <c r="H28" i="93"/>
  <c r="G28" i="93"/>
  <c r="F28" i="93"/>
  <c r="E28" i="93"/>
  <c r="D28" i="93"/>
  <c r="C28" i="93"/>
  <c r="O27" i="93"/>
  <c r="N27" i="93"/>
  <c r="M27" i="93"/>
  <c r="L27" i="93"/>
  <c r="K27" i="93"/>
  <c r="J27" i="93"/>
  <c r="I27" i="93"/>
  <c r="H27" i="93"/>
  <c r="G27" i="93"/>
  <c r="F27" i="93"/>
  <c r="O26" i="93"/>
  <c r="N26" i="93"/>
  <c r="M26" i="93"/>
  <c r="L26" i="93"/>
  <c r="K26" i="93"/>
  <c r="J26" i="93"/>
  <c r="I26" i="93"/>
  <c r="H26" i="93"/>
  <c r="G26" i="93"/>
  <c r="F26" i="93"/>
  <c r="E26" i="93"/>
  <c r="D26" i="93"/>
  <c r="C26" i="93"/>
  <c r="O25" i="93"/>
  <c r="N25" i="93"/>
  <c r="M25" i="93"/>
  <c r="L25" i="93"/>
  <c r="K25" i="93"/>
  <c r="J25" i="93"/>
  <c r="I25" i="93"/>
  <c r="H25" i="93"/>
  <c r="G25" i="93"/>
  <c r="F25" i="93"/>
  <c r="O24" i="93"/>
  <c r="N24" i="93"/>
  <c r="M24" i="93"/>
  <c r="L24" i="93"/>
  <c r="K24" i="93"/>
  <c r="J24" i="93"/>
  <c r="I24" i="93"/>
  <c r="H24" i="93"/>
  <c r="G24" i="93"/>
  <c r="F24" i="93"/>
  <c r="E24" i="93"/>
  <c r="D24" i="93"/>
  <c r="C24" i="93"/>
  <c r="O23" i="93"/>
  <c r="N23" i="93"/>
  <c r="M23" i="93"/>
  <c r="L23" i="93"/>
  <c r="K23" i="93"/>
  <c r="J23" i="93"/>
  <c r="I23" i="93"/>
  <c r="H23" i="93"/>
  <c r="G23" i="93"/>
  <c r="F23" i="93"/>
  <c r="E23" i="93"/>
  <c r="D23" i="93"/>
  <c r="C23" i="93"/>
  <c r="O22" i="93"/>
  <c r="N22" i="93"/>
  <c r="M22" i="93"/>
  <c r="L22" i="93"/>
  <c r="K22" i="93"/>
  <c r="J22" i="93"/>
  <c r="I22" i="93"/>
  <c r="H22" i="93"/>
  <c r="G22" i="93"/>
  <c r="F22" i="93"/>
  <c r="O21" i="93"/>
  <c r="N21" i="93"/>
  <c r="M21" i="93"/>
  <c r="L21" i="93"/>
  <c r="K21" i="93"/>
  <c r="J21" i="93"/>
  <c r="I21" i="93"/>
  <c r="H21" i="93"/>
  <c r="G21" i="93"/>
  <c r="F21" i="93"/>
  <c r="O20" i="93"/>
  <c r="N20" i="93"/>
  <c r="M20" i="93"/>
  <c r="L20" i="93"/>
  <c r="K20" i="93"/>
  <c r="J20" i="93"/>
  <c r="I20" i="93"/>
  <c r="H20" i="93"/>
  <c r="G20" i="93"/>
  <c r="F20" i="93"/>
  <c r="E20" i="93"/>
  <c r="D20" i="93"/>
  <c r="C20" i="93"/>
  <c r="O19" i="93"/>
  <c r="N19" i="93"/>
  <c r="M19" i="93"/>
  <c r="L19" i="93"/>
  <c r="K19" i="93"/>
  <c r="J19" i="93"/>
  <c r="I19" i="93"/>
  <c r="H19" i="93"/>
  <c r="G19" i="93"/>
  <c r="F19" i="93"/>
  <c r="E19" i="93"/>
  <c r="D19" i="93"/>
  <c r="C19" i="93"/>
  <c r="O18" i="93"/>
  <c r="N18" i="93"/>
  <c r="M18" i="93"/>
  <c r="L18" i="93"/>
  <c r="K18" i="93"/>
  <c r="J18" i="93"/>
  <c r="I18" i="93"/>
  <c r="H18" i="93"/>
  <c r="G18" i="93"/>
  <c r="F18" i="93"/>
  <c r="E18" i="93"/>
  <c r="D18" i="93"/>
  <c r="C18" i="93"/>
  <c r="O17" i="93"/>
  <c r="N17" i="93"/>
  <c r="M17" i="93"/>
  <c r="L17" i="93"/>
  <c r="K17" i="93"/>
  <c r="J17" i="93"/>
  <c r="I17" i="93"/>
  <c r="H17" i="93"/>
  <c r="G17" i="93"/>
  <c r="F17" i="93"/>
  <c r="E17" i="93"/>
  <c r="D17" i="93"/>
  <c r="C17" i="93"/>
  <c r="O16" i="93"/>
  <c r="N16" i="93"/>
  <c r="M16" i="93"/>
  <c r="L16" i="93"/>
  <c r="K16" i="93"/>
  <c r="J16" i="93"/>
  <c r="I16" i="93"/>
  <c r="H16" i="93"/>
  <c r="G16" i="93"/>
  <c r="F16" i="93"/>
  <c r="O15" i="93"/>
  <c r="N15" i="93"/>
  <c r="M15" i="93"/>
  <c r="L15" i="93"/>
  <c r="K15" i="93"/>
  <c r="J15" i="93"/>
  <c r="I15" i="93"/>
  <c r="H15" i="93"/>
  <c r="G15" i="93"/>
  <c r="F15" i="93"/>
  <c r="O14" i="93"/>
  <c r="N14" i="93"/>
  <c r="M14" i="93"/>
  <c r="L14" i="93"/>
  <c r="K14" i="93"/>
  <c r="J14" i="93"/>
  <c r="I14" i="93"/>
  <c r="H14" i="93"/>
  <c r="G14" i="93"/>
  <c r="F14" i="93"/>
  <c r="E14" i="93"/>
  <c r="D14" i="93"/>
  <c r="C14" i="93"/>
  <c r="O13" i="93"/>
  <c r="N13" i="93"/>
  <c r="M13" i="93"/>
  <c r="L13" i="93"/>
  <c r="K13" i="93"/>
  <c r="J13" i="93"/>
  <c r="I13" i="93"/>
  <c r="H13" i="93"/>
  <c r="G13" i="93"/>
  <c r="F13" i="93"/>
  <c r="E13" i="93"/>
  <c r="D13" i="93"/>
  <c r="C13" i="93"/>
  <c r="O12" i="93"/>
  <c r="N12" i="93"/>
  <c r="M12" i="93"/>
  <c r="L12" i="93"/>
  <c r="K12" i="93"/>
  <c r="J12" i="93"/>
  <c r="I12" i="93"/>
  <c r="H12" i="93"/>
  <c r="G12" i="93"/>
  <c r="F12" i="93"/>
  <c r="E12" i="93"/>
  <c r="D12" i="93"/>
  <c r="C12" i="93"/>
  <c r="O11" i="93"/>
  <c r="N11" i="93"/>
  <c r="M11" i="93"/>
  <c r="L11" i="93"/>
  <c r="K11" i="93"/>
  <c r="J11" i="93"/>
  <c r="I11" i="93"/>
  <c r="H11" i="93"/>
  <c r="G11" i="93"/>
  <c r="F11" i="93"/>
  <c r="E11" i="93"/>
  <c r="D11" i="93"/>
  <c r="C11" i="93"/>
  <c r="O10" i="93"/>
  <c r="N10" i="93"/>
  <c r="M10" i="93"/>
  <c r="L10" i="93"/>
  <c r="K10" i="93"/>
  <c r="J10" i="93"/>
  <c r="I10" i="93"/>
  <c r="H10" i="93"/>
  <c r="G10" i="93"/>
  <c r="F10" i="93"/>
  <c r="E10" i="93"/>
  <c r="D10" i="93"/>
  <c r="C10" i="93"/>
  <c r="O9" i="93"/>
  <c r="N9" i="93"/>
  <c r="M9" i="93"/>
  <c r="L9" i="93"/>
  <c r="K9" i="93"/>
  <c r="J9" i="93"/>
  <c r="I9" i="93"/>
  <c r="H9" i="93"/>
  <c r="G9" i="93"/>
  <c r="F9" i="93"/>
  <c r="O8" i="93"/>
  <c r="N8" i="93"/>
  <c r="M8" i="93"/>
  <c r="L8" i="93"/>
  <c r="K8" i="93"/>
  <c r="J8" i="93"/>
  <c r="I8" i="93"/>
  <c r="H8" i="93"/>
  <c r="G8" i="93"/>
  <c r="F8" i="93"/>
  <c r="E8" i="93"/>
  <c r="D8" i="93"/>
  <c r="C8" i="93"/>
  <c r="O7" i="93"/>
  <c r="N7" i="93"/>
  <c r="M7" i="93"/>
  <c r="L7" i="93"/>
  <c r="K7" i="93"/>
  <c r="J7" i="93"/>
  <c r="I7" i="93"/>
  <c r="H7" i="93"/>
  <c r="G7" i="93"/>
  <c r="F7" i="93"/>
  <c r="E7" i="93"/>
  <c r="D7" i="93"/>
  <c r="C7" i="93"/>
  <c r="O6" i="93"/>
  <c r="N6" i="93"/>
  <c r="M6" i="93"/>
  <c r="L6" i="93"/>
  <c r="K6" i="93"/>
  <c r="J6" i="93"/>
  <c r="I6" i="93"/>
  <c r="H6" i="93"/>
  <c r="G6" i="93"/>
  <c r="F6" i="93"/>
  <c r="E6" i="93"/>
  <c r="D6" i="93"/>
  <c r="C6" i="93"/>
  <c r="B4" i="91"/>
  <c r="B5" i="91"/>
  <c r="G111" i="91"/>
  <c r="E111" i="91"/>
  <c r="C111" i="91"/>
  <c r="G110" i="91"/>
  <c r="E110" i="91"/>
  <c r="C110" i="91"/>
  <c r="G109" i="91"/>
  <c r="E109" i="91"/>
  <c r="C109" i="91"/>
  <c r="G108" i="91"/>
  <c r="E108" i="91"/>
  <c r="C108" i="91"/>
  <c r="H4" i="91"/>
  <c r="H5" i="91"/>
  <c r="M107" i="91"/>
  <c r="K107" i="91"/>
  <c r="I107" i="91"/>
  <c r="G107" i="91"/>
  <c r="E107" i="91"/>
  <c r="C107" i="91"/>
  <c r="M106" i="91"/>
  <c r="K106" i="91"/>
  <c r="I106" i="91"/>
  <c r="G106" i="91"/>
  <c r="E106" i="91"/>
  <c r="C106" i="91"/>
  <c r="M105" i="91"/>
  <c r="K105" i="91"/>
  <c r="I105" i="91"/>
  <c r="G105" i="91"/>
  <c r="E105" i="91"/>
  <c r="C105" i="91"/>
  <c r="M104" i="91"/>
  <c r="K104" i="91"/>
  <c r="I104" i="91"/>
  <c r="G104" i="91"/>
  <c r="E104" i="91"/>
  <c r="C104" i="91"/>
  <c r="M103" i="91"/>
  <c r="K103" i="91"/>
  <c r="I103" i="91"/>
  <c r="G103" i="91"/>
  <c r="E103" i="91"/>
  <c r="C103" i="91"/>
  <c r="M102" i="91"/>
  <c r="K102" i="91"/>
  <c r="I102" i="91"/>
  <c r="G102" i="91"/>
  <c r="E102" i="91"/>
  <c r="C102" i="91"/>
  <c r="M101" i="91"/>
  <c r="K101" i="91"/>
  <c r="I101" i="91"/>
  <c r="G101" i="91"/>
  <c r="E101" i="91"/>
  <c r="C101" i="91"/>
  <c r="M100" i="91"/>
  <c r="K100" i="91"/>
  <c r="I100" i="91"/>
  <c r="G100" i="91"/>
  <c r="E100" i="91"/>
  <c r="C100" i="91"/>
  <c r="M99" i="91"/>
  <c r="K99" i="91"/>
  <c r="I99" i="91"/>
  <c r="G99" i="91"/>
  <c r="E99" i="91"/>
  <c r="C99" i="91"/>
  <c r="M98" i="91"/>
  <c r="K98" i="91"/>
  <c r="I98" i="91"/>
  <c r="G98" i="91"/>
  <c r="E98" i="91"/>
  <c r="C98" i="91"/>
  <c r="M97" i="91"/>
  <c r="K97" i="91"/>
  <c r="I97" i="91"/>
  <c r="G97" i="91"/>
  <c r="E97" i="91"/>
  <c r="C97" i="91"/>
  <c r="M96" i="91"/>
  <c r="K96" i="91"/>
  <c r="I96" i="91"/>
  <c r="G96" i="91"/>
  <c r="E96" i="91"/>
  <c r="C96" i="91"/>
  <c r="M95" i="91"/>
  <c r="K95" i="91"/>
  <c r="I95" i="91"/>
  <c r="G95" i="91"/>
  <c r="E95" i="91"/>
  <c r="C95" i="91"/>
  <c r="M94" i="91"/>
  <c r="K94" i="91"/>
  <c r="I94" i="91"/>
  <c r="G94" i="91"/>
  <c r="E94" i="91"/>
  <c r="C94" i="91"/>
  <c r="M93" i="91"/>
  <c r="K93" i="91"/>
  <c r="I93" i="91"/>
  <c r="G93" i="91"/>
  <c r="E93" i="91"/>
  <c r="C93" i="91"/>
  <c r="M92" i="91"/>
  <c r="K92" i="91"/>
  <c r="I92" i="91"/>
  <c r="G92" i="91"/>
  <c r="E92" i="91"/>
  <c r="C92" i="91"/>
  <c r="M91" i="91"/>
  <c r="K91" i="91"/>
  <c r="I91" i="91"/>
  <c r="G91" i="91"/>
  <c r="E91" i="91"/>
  <c r="C91" i="91"/>
  <c r="M90" i="91"/>
  <c r="K90" i="91"/>
  <c r="I90" i="91"/>
  <c r="G90" i="91"/>
  <c r="E90" i="91"/>
  <c r="C90" i="91"/>
  <c r="M89" i="91"/>
  <c r="K89" i="91"/>
  <c r="I89" i="91"/>
  <c r="G89" i="91"/>
  <c r="E89" i="91"/>
  <c r="C89" i="91"/>
  <c r="M88" i="91"/>
  <c r="K88" i="91"/>
  <c r="I88" i="91"/>
  <c r="G88" i="91"/>
  <c r="E88" i="91"/>
  <c r="C88" i="91"/>
  <c r="M87" i="91"/>
  <c r="K87" i="91"/>
  <c r="I87" i="91"/>
  <c r="G87" i="91"/>
  <c r="E87" i="91"/>
  <c r="C87" i="91"/>
  <c r="M86" i="91"/>
  <c r="K86" i="91"/>
  <c r="I86" i="91"/>
  <c r="G86" i="91"/>
  <c r="E86" i="91"/>
  <c r="C86" i="91"/>
  <c r="M85" i="91"/>
  <c r="K85" i="91"/>
  <c r="I85" i="91"/>
  <c r="G85" i="91"/>
  <c r="E85" i="91"/>
  <c r="C85" i="91"/>
  <c r="M84" i="91"/>
  <c r="K84" i="91"/>
  <c r="I84" i="91"/>
  <c r="G84" i="91"/>
  <c r="E84" i="91"/>
  <c r="C84" i="91"/>
  <c r="M83" i="91"/>
  <c r="K83" i="91"/>
  <c r="I83" i="91"/>
  <c r="G83" i="91"/>
  <c r="E83" i="91"/>
  <c r="C83" i="91"/>
  <c r="M82" i="91"/>
  <c r="K82" i="91"/>
  <c r="I82" i="91"/>
  <c r="G82" i="91"/>
  <c r="E82" i="91"/>
  <c r="C82" i="91"/>
  <c r="M81" i="91"/>
  <c r="K81" i="91"/>
  <c r="I81" i="91"/>
  <c r="G81" i="91"/>
  <c r="E81" i="91"/>
  <c r="C81" i="91"/>
  <c r="M80" i="91"/>
  <c r="K80" i="91"/>
  <c r="I80" i="91"/>
  <c r="G80" i="91"/>
  <c r="E80" i="91"/>
  <c r="C80" i="91"/>
  <c r="M79" i="91"/>
  <c r="K79" i="91"/>
  <c r="I79" i="91"/>
  <c r="G79" i="91"/>
  <c r="E79" i="91"/>
  <c r="C79" i="91"/>
  <c r="M78" i="91"/>
  <c r="K78" i="91"/>
  <c r="I78" i="91"/>
  <c r="G78" i="91"/>
  <c r="E78" i="91"/>
  <c r="C78" i="91"/>
  <c r="M77" i="91"/>
  <c r="K77" i="91"/>
  <c r="I77" i="91"/>
  <c r="G77" i="91"/>
  <c r="E77" i="91"/>
  <c r="C77" i="91"/>
  <c r="M76" i="91"/>
  <c r="K76" i="91"/>
  <c r="I76" i="91"/>
  <c r="G76" i="91"/>
  <c r="E76" i="91"/>
  <c r="C76" i="91"/>
  <c r="M75" i="91"/>
  <c r="K75" i="91"/>
  <c r="I75" i="91"/>
  <c r="G75" i="91"/>
  <c r="E75" i="91"/>
  <c r="C75" i="91"/>
  <c r="M74" i="91"/>
  <c r="K74" i="91"/>
  <c r="I74" i="91"/>
  <c r="G74" i="91"/>
  <c r="E74" i="91"/>
  <c r="C74" i="91"/>
  <c r="M73" i="91"/>
  <c r="K73" i="91"/>
  <c r="I73" i="91"/>
  <c r="G73" i="91"/>
  <c r="E73" i="91"/>
  <c r="C73" i="91"/>
  <c r="M72" i="91"/>
  <c r="K72" i="91"/>
  <c r="I72" i="91"/>
  <c r="G72" i="91"/>
  <c r="E72" i="91"/>
  <c r="C72" i="91"/>
  <c r="M71" i="91"/>
  <c r="K71" i="91"/>
  <c r="I71" i="91"/>
  <c r="G71" i="91"/>
  <c r="E71" i="91"/>
  <c r="C71" i="91"/>
  <c r="M70" i="91"/>
  <c r="K70" i="91"/>
  <c r="I70" i="91"/>
  <c r="G70" i="91"/>
  <c r="E70" i="91"/>
  <c r="C70" i="91"/>
  <c r="M69" i="91"/>
  <c r="K69" i="91"/>
  <c r="I69" i="91"/>
  <c r="G69" i="91"/>
  <c r="E69" i="91"/>
  <c r="C69" i="91"/>
  <c r="M68" i="91"/>
  <c r="K68" i="91"/>
  <c r="I68" i="91"/>
  <c r="G68" i="91"/>
  <c r="E68" i="91"/>
  <c r="C68" i="91"/>
  <c r="M67" i="91"/>
  <c r="K67" i="91"/>
  <c r="I67" i="91"/>
  <c r="G67" i="91"/>
  <c r="E67" i="91"/>
  <c r="C67" i="91"/>
  <c r="M66" i="91"/>
  <c r="K66" i="91"/>
  <c r="I66" i="91"/>
  <c r="G66" i="91"/>
  <c r="E66" i="91"/>
  <c r="C66" i="91"/>
  <c r="M65" i="91"/>
  <c r="K65" i="91"/>
  <c r="I65" i="91"/>
  <c r="G65" i="91"/>
  <c r="E65" i="91"/>
  <c r="C65" i="91"/>
  <c r="M64" i="91"/>
  <c r="K64" i="91"/>
  <c r="I64" i="91"/>
  <c r="G64" i="91"/>
  <c r="E64" i="91"/>
  <c r="C64" i="91"/>
  <c r="M63" i="91"/>
  <c r="K63" i="91"/>
  <c r="I63" i="91"/>
  <c r="G63" i="91"/>
  <c r="E63" i="91"/>
  <c r="C63" i="91"/>
  <c r="M62" i="91"/>
  <c r="K62" i="91"/>
  <c r="I62" i="91"/>
  <c r="G62" i="91"/>
  <c r="E62" i="91"/>
  <c r="C62" i="91"/>
  <c r="M61" i="91"/>
  <c r="K61" i="91"/>
  <c r="I61" i="91"/>
  <c r="G61" i="91"/>
  <c r="E61" i="91"/>
  <c r="C61" i="91"/>
  <c r="M60" i="91"/>
  <c r="K60" i="91"/>
  <c r="I60" i="91"/>
  <c r="G60" i="91"/>
  <c r="E60" i="91"/>
  <c r="C60" i="91"/>
  <c r="M59" i="91"/>
  <c r="K59" i="91"/>
  <c r="I59" i="91"/>
  <c r="G59" i="91"/>
  <c r="E59" i="91"/>
  <c r="C59" i="91"/>
  <c r="M58" i="91"/>
  <c r="K58" i="91"/>
  <c r="I58" i="91"/>
  <c r="G58" i="91"/>
  <c r="E58" i="91"/>
  <c r="C58" i="91"/>
  <c r="M57" i="91"/>
  <c r="K57" i="91"/>
  <c r="I57" i="91"/>
  <c r="G57" i="91"/>
  <c r="E57" i="91"/>
  <c r="C57" i="91"/>
  <c r="M56" i="91"/>
  <c r="K56" i="91"/>
  <c r="I56" i="91"/>
  <c r="G56" i="91"/>
  <c r="E56" i="91"/>
  <c r="C56" i="91"/>
  <c r="M55" i="91"/>
  <c r="K55" i="91"/>
  <c r="I55" i="91"/>
  <c r="G55" i="91"/>
  <c r="E55" i="91"/>
  <c r="C55" i="91"/>
  <c r="M54" i="91"/>
  <c r="K54" i="91"/>
  <c r="I54" i="91"/>
  <c r="G54" i="91"/>
  <c r="E54" i="91"/>
  <c r="C54" i="91"/>
  <c r="M53" i="91"/>
  <c r="K53" i="91"/>
  <c r="I53" i="91"/>
  <c r="G53" i="91"/>
  <c r="E53" i="91"/>
  <c r="C53" i="91"/>
  <c r="M52" i="91"/>
  <c r="K52" i="91"/>
  <c r="I52" i="91"/>
  <c r="G52" i="91"/>
  <c r="E52" i="91"/>
  <c r="C52" i="91"/>
  <c r="M51" i="91"/>
  <c r="K51" i="91"/>
  <c r="I51" i="91"/>
  <c r="G51" i="91"/>
  <c r="E51" i="91"/>
  <c r="C51" i="91"/>
  <c r="M50" i="91"/>
  <c r="K50" i="91"/>
  <c r="I50" i="91"/>
  <c r="G50" i="91"/>
  <c r="E50" i="91"/>
  <c r="C50" i="91"/>
  <c r="M49" i="91"/>
  <c r="K49" i="91"/>
  <c r="I49" i="91"/>
  <c r="G49" i="91"/>
  <c r="E49" i="91"/>
  <c r="C49" i="91"/>
  <c r="M48" i="91"/>
  <c r="K48" i="91"/>
  <c r="I48" i="91"/>
  <c r="G48" i="91"/>
  <c r="E48" i="91"/>
  <c r="C48" i="91"/>
  <c r="M47" i="91"/>
  <c r="K47" i="91"/>
  <c r="I47" i="91"/>
  <c r="G47" i="91"/>
  <c r="E47" i="91"/>
  <c r="C47" i="91"/>
  <c r="M46" i="91"/>
  <c r="K46" i="91"/>
  <c r="I46" i="91"/>
  <c r="G46" i="91"/>
  <c r="E46" i="91"/>
  <c r="C46" i="91"/>
  <c r="M45" i="91"/>
  <c r="K45" i="91"/>
  <c r="I45" i="91"/>
  <c r="G45" i="91"/>
  <c r="E45" i="91"/>
  <c r="C45" i="91"/>
  <c r="M44" i="91"/>
  <c r="K44" i="91"/>
  <c r="I44" i="91"/>
  <c r="G44" i="91"/>
  <c r="E44" i="91"/>
  <c r="C44" i="91"/>
  <c r="M43" i="91"/>
  <c r="K43" i="91"/>
  <c r="I43" i="91"/>
  <c r="G43" i="91"/>
  <c r="E43" i="91"/>
  <c r="C43" i="91"/>
  <c r="M42" i="91"/>
  <c r="K42" i="91"/>
  <c r="I42" i="91"/>
  <c r="G42" i="91"/>
  <c r="E42" i="91"/>
  <c r="C42" i="91"/>
  <c r="M41" i="91"/>
  <c r="K41" i="91"/>
  <c r="I41" i="91"/>
  <c r="G41" i="91"/>
  <c r="E41" i="91"/>
  <c r="C41" i="91"/>
  <c r="M40" i="91"/>
  <c r="K40" i="91"/>
  <c r="I40" i="91"/>
  <c r="G40" i="91"/>
  <c r="E40" i="91"/>
  <c r="C40" i="91"/>
  <c r="M39" i="91"/>
  <c r="K39" i="91"/>
  <c r="I39" i="91"/>
  <c r="G39" i="91"/>
  <c r="E39" i="91"/>
  <c r="C39" i="91"/>
  <c r="M38" i="91"/>
  <c r="K38" i="91"/>
  <c r="I38" i="91"/>
  <c r="G38" i="91"/>
  <c r="E38" i="91"/>
  <c r="C38" i="91"/>
  <c r="M37" i="91"/>
  <c r="K37" i="91"/>
  <c r="I37" i="91"/>
  <c r="G37" i="91"/>
  <c r="E37" i="91"/>
  <c r="C37" i="91"/>
  <c r="M36" i="91"/>
  <c r="K36" i="91"/>
  <c r="I36" i="91"/>
  <c r="G36" i="91"/>
  <c r="E36" i="91"/>
  <c r="C36" i="91"/>
  <c r="M35" i="91"/>
  <c r="K35" i="91"/>
  <c r="I35" i="91"/>
  <c r="G35" i="91"/>
  <c r="E35" i="91"/>
  <c r="C35" i="91"/>
  <c r="M34" i="91"/>
  <c r="K34" i="91"/>
  <c r="I34" i="91"/>
  <c r="G34" i="91"/>
  <c r="E34" i="91"/>
  <c r="C34" i="91"/>
  <c r="M33" i="91"/>
  <c r="K33" i="91"/>
  <c r="I33" i="91"/>
  <c r="G33" i="91"/>
  <c r="E33" i="91"/>
  <c r="C33" i="91"/>
  <c r="M32" i="91"/>
  <c r="K32" i="91"/>
  <c r="I32" i="91"/>
  <c r="G32" i="91"/>
  <c r="E32" i="91"/>
  <c r="C32" i="91"/>
  <c r="M31" i="91"/>
  <c r="K31" i="91"/>
  <c r="I31" i="91"/>
  <c r="G31" i="91"/>
  <c r="E31" i="91"/>
  <c r="C31" i="91"/>
  <c r="M30" i="91"/>
  <c r="K30" i="91"/>
  <c r="I30" i="91"/>
  <c r="G30" i="91"/>
  <c r="E30" i="91"/>
  <c r="C30" i="91"/>
  <c r="M29" i="91"/>
  <c r="K29" i="91"/>
  <c r="I29" i="91"/>
  <c r="G29" i="91"/>
  <c r="E29" i="91"/>
  <c r="C29" i="91"/>
  <c r="M28" i="91"/>
  <c r="K28" i="91"/>
  <c r="I28" i="91"/>
  <c r="G28" i="91"/>
  <c r="E28" i="91"/>
  <c r="C28" i="91"/>
  <c r="M27" i="91"/>
  <c r="K27" i="91"/>
  <c r="I27" i="91"/>
  <c r="G27" i="91"/>
  <c r="E27" i="91"/>
  <c r="C27" i="91"/>
  <c r="M26" i="91"/>
  <c r="K26" i="91"/>
  <c r="I26" i="91"/>
  <c r="G26" i="91"/>
  <c r="E26" i="91"/>
  <c r="C26" i="91"/>
  <c r="M25" i="91"/>
  <c r="K25" i="91"/>
  <c r="I25" i="91"/>
  <c r="G25" i="91"/>
  <c r="E25" i="91"/>
  <c r="C25" i="91"/>
  <c r="M24" i="91"/>
  <c r="K24" i="91"/>
  <c r="I24" i="91"/>
  <c r="G24" i="91"/>
  <c r="E24" i="91"/>
  <c r="C24" i="91"/>
  <c r="M23" i="91"/>
  <c r="K23" i="91"/>
  <c r="I23" i="91"/>
  <c r="G23" i="91"/>
  <c r="E23" i="91"/>
  <c r="C23" i="91"/>
  <c r="M22" i="91"/>
  <c r="K22" i="91"/>
  <c r="I22" i="91"/>
  <c r="G22" i="91"/>
  <c r="E22" i="91"/>
  <c r="C22" i="91"/>
  <c r="M21" i="91"/>
  <c r="K21" i="91"/>
  <c r="I21" i="91"/>
  <c r="G21" i="91"/>
  <c r="E21" i="91"/>
  <c r="C21" i="91"/>
  <c r="M20" i="91"/>
  <c r="K20" i="91"/>
  <c r="I20" i="91"/>
  <c r="G20" i="91"/>
  <c r="E20" i="91"/>
  <c r="C20" i="91"/>
  <c r="M19" i="91"/>
  <c r="K19" i="91"/>
  <c r="I19" i="91"/>
  <c r="G19" i="91"/>
  <c r="E19" i="91"/>
  <c r="C19" i="91"/>
  <c r="M18" i="91"/>
  <c r="K18" i="91"/>
  <c r="I18" i="91"/>
  <c r="G18" i="91"/>
  <c r="E18" i="91"/>
  <c r="C18" i="91"/>
  <c r="M17" i="91"/>
  <c r="K17" i="91"/>
  <c r="I17" i="91"/>
  <c r="G17" i="91"/>
  <c r="E17" i="91"/>
  <c r="C17" i="91"/>
  <c r="M16" i="91"/>
  <c r="K16" i="91"/>
  <c r="I16" i="91"/>
  <c r="G16" i="91"/>
  <c r="E16" i="91"/>
  <c r="C16" i="91"/>
  <c r="M15" i="91"/>
  <c r="K15" i="91"/>
  <c r="I15" i="91"/>
  <c r="G15" i="91"/>
  <c r="E15" i="91"/>
  <c r="C15" i="91"/>
  <c r="M14" i="91"/>
  <c r="K14" i="91"/>
  <c r="I14" i="91"/>
  <c r="G14" i="91"/>
  <c r="E14" i="91"/>
  <c r="C14" i="91"/>
  <c r="M13" i="91"/>
  <c r="K13" i="91"/>
  <c r="I13" i="91"/>
  <c r="G13" i="91"/>
  <c r="E13" i="91"/>
  <c r="C13" i="91"/>
  <c r="M12" i="91"/>
  <c r="K12" i="91"/>
  <c r="I12" i="91"/>
  <c r="G12" i="91"/>
  <c r="E12" i="91"/>
  <c r="C12" i="91"/>
  <c r="M11" i="91"/>
  <c r="K11" i="91"/>
  <c r="I11" i="91"/>
  <c r="G11" i="91"/>
  <c r="E11" i="91"/>
  <c r="C11" i="91"/>
  <c r="M10" i="91"/>
  <c r="K10" i="91"/>
  <c r="I10" i="91"/>
  <c r="G10" i="91"/>
  <c r="E10" i="91"/>
  <c r="C10" i="91"/>
  <c r="M9" i="91"/>
  <c r="K9" i="91"/>
  <c r="I9" i="91"/>
  <c r="G9" i="91"/>
  <c r="E9" i="91"/>
  <c r="C9" i="91"/>
  <c r="O3" i="89"/>
  <c r="O4" i="89"/>
  <c r="O5" i="89"/>
  <c r="O170" i="89"/>
  <c r="N3" i="89"/>
  <c r="N4" i="89"/>
  <c r="N5" i="89"/>
  <c r="N170" i="89"/>
  <c r="M3" i="89"/>
  <c r="M4" i="89"/>
  <c r="M5" i="89"/>
  <c r="M170" i="89"/>
  <c r="L3" i="89"/>
  <c r="L4" i="89"/>
  <c r="L5" i="89"/>
  <c r="L170" i="89"/>
  <c r="K3" i="89"/>
  <c r="K4" i="89"/>
  <c r="K5" i="89"/>
  <c r="K170" i="89"/>
  <c r="J3" i="89"/>
  <c r="J4" i="89"/>
  <c r="J5" i="89"/>
  <c r="J170" i="89"/>
  <c r="I3" i="89"/>
  <c r="I4" i="89"/>
  <c r="I5" i="89"/>
  <c r="I170" i="89"/>
  <c r="H3" i="89"/>
  <c r="H4" i="89"/>
  <c r="H5" i="89"/>
  <c r="H170" i="89"/>
  <c r="G3" i="89"/>
  <c r="G4" i="89"/>
  <c r="G5" i="89"/>
  <c r="G170" i="89"/>
  <c r="F3" i="89"/>
  <c r="F4" i="89"/>
  <c r="F5" i="89"/>
  <c r="F170" i="89"/>
  <c r="E3" i="89"/>
  <c r="E4" i="89"/>
  <c r="E5" i="89"/>
  <c r="E170" i="89"/>
  <c r="D3" i="89"/>
  <c r="D4" i="89"/>
  <c r="D5" i="89"/>
  <c r="D170" i="89"/>
  <c r="C3" i="89"/>
  <c r="C4" i="89"/>
  <c r="C5" i="89"/>
  <c r="C170" i="89"/>
  <c r="O169" i="89"/>
  <c r="N169" i="89"/>
  <c r="M169" i="89"/>
  <c r="L169" i="89"/>
  <c r="K169" i="89"/>
  <c r="J169" i="89"/>
  <c r="I169" i="89"/>
  <c r="H169" i="89"/>
  <c r="G169" i="89"/>
  <c r="F169" i="89"/>
  <c r="E169" i="89"/>
  <c r="D169" i="89"/>
  <c r="C169" i="89"/>
  <c r="O168" i="89"/>
  <c r="N168" i="89"/>
  <c r="M168" i="89"/>
  <c r="L168" i="89"/>
  <c r="K168" i="89"/>
  <c r="J168" i="89"/>
  <c r="I168" i="89"/>
  <c r="H168" i="89"/>
  <c r="G168" i="89"/>
  <c r="F168" i="89"/>
  <c r="E168" i="89"/>
  <c r="D168" i="89"/>
  <c r="C168" i="89"/>
  <c r="O167" i="89"/>
  <c r="N167" i="89"/>
  <c r="M167" i="89"/>
  <c r="L167" i="89"/>
  <c r="K167" i="89"/>
  <c r="J167" i="89"/>
  <c r="I167" i="89"/>
  <c r="H167" i="89"/>
  <c r="G167" i="89"/>
  <c r="F167" i="89"/>
  <c r="E167" i="89"/>
  <c r="D167" i="89"/>
  <c r="C167" i="89"/>
  <c r="O166" i="89"/>
  <c r="N166" i="89"/>
  <c r="M166" i="89"/>
  <c r="L166" i="89"/>
  <c r="K166" i="89"/>
  <c r="J166" i="89"/>
  <c r="I166" i="89"/>
  <c r="H166" i="89"/>
  <c r="G166" i="89"/>
  <c r="F166" i="89"/>
  <c r="E166" i="89"/>
  <c r="D166" i="89"/>
  <c r="C166" i="89"/>
  <c r="O165" i="89"/>
  <c r="N165" i="89"/>
  <c r="M165" i="89"/>
  <c r="L165" i="89"/>
  <c r="K165" i="89"/>
  <c r="J165" i="89"/>
  <c r="I165" i="89"/>
  <c r="H165" i="89"/>
  <c r="G165" i="89"/>
  <c r="F165" i="89"/>
  <c r="E165" i="89"/>
  <c r="D165" i="89"/>
  <c r="C165" i="89"/>
  <c r="O164" i="89"/>
  <c r="N164" i="89"/>
  <c r="M164" i="89"/>
  <c r="L164" i="89"/>
  <c r="K164" i="89"/>
  <c r="J164" i="89"/>
  <c r="I164" i="89"/>
  <c r="H164" i="89"/>
  <c r="G164" i="89"/>
  <c r="F164" i="89"/>
  <c r="E164" i="89"/>
  <c r="D164" i="89"/>
  <c r="C164" i="89"/>
  <c r="O163" i="89"/>
  <c r="N163" i="89"/>
  <c r="M163" i="89"/>
  <c r="L163" i="89"/>
  <c r="K163" i="89"/>
  <c r="J163" i="89"/>
  <c r="I163" i="89"/>
  <c r="H163" i="89"/>
  <c r="G163" i="89"/>
  <c r="F163" i="89"/>
  <c r="E163" i="89"/>
  <c r="D163" i="89"/>
  <c r="C163" i="89"/>
  <c r="O162" i="89"/>
  <c r="N162" i="89"/>
  <c r="M162" i="89"/>
  <c r="L162" i="89"/>
  <c r="K162" i="89"/>
  <c r="J162" i="89"/>
  <c r="I162" i="89"/>
  <c r="H162" i="89"/>
  <c r="G162" i="89"/>
  <c r="F162" i="89"/>
  <c r="E162" i="89"/>
  <c r="D162" i="89"/>
  <c r="C162" i="89"/>
  <c r="O161" i="89"/>
  <c r="N161" i="89"/>
  <c r="M161" i="89"/>
  <c r="L161" i="89"/>
  <c r="K161" i="89"/>
  <c r="J161" i="89"/>
  <c r="I161" i="89"/>
  <c r="H161" i="89"/>
  <c r="G161" i="89"/>
  <c r="F161" i="89"/>
  <c r="E161" i="89"/>
  <c r="D161" i="89"/>
  <c r="C161" i="89"/>
  <c r="O160" i="89"/>
  <c r="N160" i="89"/>
  <c r="M160" i="89"/>
  <c r="L160" i="89"/>
  <c r="K160" i="89"/>
  <c r="J160" i="89"/>
  <c r="I160" i="89"/>
  <c r="H160" i="89"/>
  <c r="G160" i="89"/>
  <c r="F160" i="89"/>
  <c r="E160" i="89"/>
  <c r="D160" i="89"/>
  <c r="C160" i="89"/>
  <c r="O159" i="89"/>
  <c r="N159" i="89"/>
  <c r="M159" i="89"/>
  <c r="L159" i="89"/>
  <c r="K159" i="89"/>
  <c r="J159" i="89"/>
  <c r="I159" i="89"/>
  <c r="H159" i="89"/>
  <c r="G159" i="89"/>
  <c r="F159" i="89"/>
  <c r="E159" i="89"/>
  <c r="D159" i="89"/>
  <c r="C159" i="89"/>
  <c r="O158" i="89"/>
  <c r="N158" i="89"/>
  <c r="M158" i="89"/>
  <c r="L158" i="89"/>
  <c r="K158" i="89"/>
  <c r="J158" i="89"/>
  <c r="I158" i="89"/>
  <c r="H158" i="89"/>
  <c r="G158" i="89"/>
  <c r="F158" i="89"/>
  <c r="E158" i="89"/>
  <c r="D158" i="89"/>
  <c r="C158" i="89"/>
  <c r="O157" i="89"/>
  <c r="N157" i="89"/>
  <c r="M157" i="89"/>
  <c r="L157" i="89"/>
  <c r="K157" i="89"/>
  <c r="J157" i="89"/>
  <c r="I157" i="89"/>
  <c r="H157" i="89"/>
  <c r="G157" i="89"/>
  <c r="F157" i="89"/>
  <c r="E157" i="89"/>
  <c r="D157" i="89"/>
  <c r="C157" i="89"/>
  <c r="O156" i="89"/>
  <c r="N156" i="89"/>
  <c r="M156" i="89"/>
  <c r="L156" i="89"/>
  <c r="K156" i="89"/>
  <c r="J156" i="89"/>
  <c r="I156" i="89"/>
  <c r="H156" i="89"/>
  <c r="G156" i="89"/>
  <c r="F156" i="89"/>
  <c r="E156" i="89"/>
  <c r="D156" i="89"/>
  <c r="C156" i="89"/>
  <c r="O155" i="89"/>
  <c r="N155" i="89"/>
  <c r="M155" i="89"/>
  <c r="L155" i="89"/>
  <c r="K155" i="89"/>
  <c r="J155" i="89"/>
  <c r="I155" i="89"/>
  <c r="H155" i="89"/>
  <c r="G155" i="89"/>
  <c r="F155" i="89"/>
  <c r="E155" i="89"/>
  <c r="D155" i="89"/>
  <c r="C155" i="89"/>
  <c r="O154" i="89"/>
  <c r="N154" i="89"/>
  <c r="M154" i="89"/>
  <c r="L154" i="89"/>
  <c r="K154" i="89"/>
  <c r="J154" i="89"/>
  <c r="I154" i="89"/>
  <c r="H154" i="89"/>
  <c r="G154" i="89"/>
  <c r="F154" i="89"/>
  <c r="E154" i="89"/>
  <c r="D154" i="89"/>
  <c r="C154" i="89"/>
  <c r="O153" i="89"/>
  <c r="N153" i="89"/>
  <c r="M153" i="89"/>
  <c r="L153" i="89"/>
  <c r="K153" i="89"/>
  <c r="J153" i="89"/>
  <c r="I153" i="89"/>
  <c r="H153" i="89"/>
  <c r="G153" i="89"/>
  <c r="F153" i="89"/>
  <c r="E153" i="89"/>
  <c r="D153" i="89"/>
  <c r="C153" i="89"/>
  <c r="O152" i="89"/>
  <c r="N152" i="89"/>
  <c r="M152" i="89"/>
  <c r="L152" i="89"/>
  <c r="K152" i="89"/>
  <c r="J152" i="89"/>
  <c r="I152" i="89"/>
  <c r="H152" i="89"/>
  <c r="G152" i="89"/>
  <c r="F152" i="89"/>
  <c r="E152" i="89"/>
  <c r="D152" i="89"/>
  <c r="C152" i="89"/>
  <c r="O151" i="89"/>
  <c r="N151" i="89"/>
  <c r="M151" i="89"/>
  <c r="L151" i="89"/>
  <c r="K151" i="89"/>
  <c r="J151" i="89"/>
  <c r="I151" i="89"/>
  <c r="H151" i="89"/>
  <c r="G151" i="89"/>
  <c r="F151" i="89"/>
  <c r="E151" i="89"/>
  <c r="D151" i="89"/>
  <c r="C151" i="89"/>
  <c r="O150" i="89"/>
  <c r="N150" i="89"/>
  <c r="M150" i="89"/>
  <c r="L150" i="89"/>
  <c r="K150" i="89"/>
  <c r="J150" i="89"/>
  <c r="I150" i="89"/>
  <c r="H150" i="89"/>
  <c r="G150" i="89"/>
  <c r="F150" i="89"/>
  <c r="E150" i="89"/>
  <c r="D150" i="89"/>
  <c r="C150" i="89"/>
  <c r="O149" i="89"/>
  <c r="N149" i="89"/>
  <c r="M149" i="89"/>
  <c r="L149" i="89"/>
  <c r="K149" i="89"/>
  <c r="J149" i="89"/>
  <c r="I149" i="89"/>
  <c r="H149" i="89"/>
  <c r="G149" i="89"/>
  <c r="F149" i="89"/>
  <c r="E149" i="89"/>
  <c r="D149" i="89"/>
  <c r="C149" i="89"/>
  <c r="O148" i="89"/>
  <c r="N148" i="89"/>
  <c r="M148" i="89"/>
  <c r="L148" i="89"/>
  <c r="K148" i="89"/>
  <c r="J148" i="89"/>
  <c r="I148" i="89"/>
  <c r="H148" i="89"/>
  <c r="G148" i="89"/>
  <c r="F148" i="89"/>
  <c r="E148" i="89"/>
  <c r="D148" i="89"/>
  <c r="C148" i="89"/>
  <c r="O147" i="89"/>
  <c r="N147" i="89"/>
  <c r="M147" i="89"/>
  <c r="L147" i="89"/>
  <c r="K147" i="89"/>
  <c r="J147" i="89"/>
  <c r="I147" i="89"/>
  <c r="H147" i="89"/>
  <c r="G147" i="89"/>
  <c r="F147" i="89"/>
  <c r="E147" i="89"/>
  <c r="D147" i="89"/>
  <c r="C147" i="89"/>
  <c r="O146" i="89"/>
  <c r="N146" i="89"/>
  <c r="M146" i="89"/>
  <c r="L146" i="89"/>
  <c r="K146" i="89"/>
  <c r="J146" i="89"/>
  <c r="I146" i="89"/>
  <c r="H146" i="89"/>
  <c r="G146" i="89"/>
  <c r="F146" i="89"/>
  <c r="E146" i="89"/>
  <c r="D146" i="89"/>
  <c r="C146" i="89"/>
  <c r="O145" i="89"/>
  <c r="N145" i="89"/>
  <c r="M145" i="89"/>
  <c r="L145" i="89"/>
  <c r="K145" i="89"/>
  <c r="J145" i="89"/>
  <c r="I145" i="89"/>
  <c r="H145" i="89"/>
  <c r="G145" i="89"/>
  <c r="F145" i="89"/>
  <c r="E145" i="89"/>
  <c r="D145" i="89"/>
  <c r="C145" i="89"/>
  <c r="O144" i="89"/>
  <c r="N144" i="89"/>
  <c r="M144" i="89"/>
  <c r="L144" i="89"/>
  <c r="K144" i="89"/>
  <c r="J144" i="89"/>
  <c r="I144" i="89"/>
  <c r="H144" i="89"/>
  <c r="G144" i="89"/>
  <c r="F144" i="89"/>
  <c r="E144" i="89"/>
  <c r="D144" i="89"/>
  <c r="C144" i="89"/>
  <c r="O143" i="89"/>
  <c r="N143" i="89"/>
  <c r="M143" i="89"/>
  <c r="L143" i="89"/>
  <c r="K143" i="89"/>
  <c r="J143" i="89"/>
  <c r="I143" i="89"/>
  <c r="H143" i="89"/>
  <c r="G143" i="89"/>
  <c r="F143" i="89"/>
  <c r="E143" i="89"/>
  <c r="D143" i="89"/>
  <c r="C143" i="89"/>
  <c r="O142" i="89"/>
  <c r="N142" i="89"/>
  <c r="M142" i="89"/>
  <c r="L142" i="89"/>
  <c r="K142" i="89"/>
  <c r="J142" i="89"/>
  <c r="I142" i="89"/>
  <c r="H142" i="89"/>
  <c r="G142" i="89"/>
  <c r="F142" i="89"/>
  <c r="E142" i="89"/>
  <c r="D142" i="89"/>
  <c r="C142" i="89"/>
  <c r="O141" i="89"/>
  <c r="N141" i="89"/>
  <c r="M141" i="89"/>
  <c r="L141" i="89"/>
  <c r="K141" i="89"/>
  <c r="J141" i="89"/>
  <c r="I141" i="89"/>
  <c r="H141" i="89"/>
  <c r="G141" i="89"/>
  <c r="F141" i="89"/>
  <c r="E141" i="89"/>
  <c r="D141" i="89"/>
  <c r="C141" i="89"/>
  <c r="O140" i="89"/>
  <c r="N140" i="89"/>
  <c r="M140" i="89"/>
  <c r="L140" i="89"/>
  <c r="K140" i="89"/>
  <c r="J140" i="89"/>
  <c r="I140" i="89"/>
  <c r="H140" i="89"/>
  <c r="G140" i="89"/>
  <c r="F140" i="89"/>
  <c r="E140" i="89"/>
  <c r="D140" i="89"/>
  <c r="C140" i="89"/>
  <c r="O139" i="89"/>
  <c r="N139" i="89"/>
  <c r="M139" i="89"/>
  <c r="L139" i="89"/>
  <c r="K139" i="89"/>
  <c r="J139" i="89"/>
  <c r="I139" i="89"/>
  <c r="H139" i="89"/>
  <c r="G139" i="89"/>
  <c r="F139" i="89"/>
  <c r="E139" i="89"/>
  <c r="D139" i="89"/>
  <c r="C139" i="89"/>
  <c r="O138" i="89"/>
  <c r="N138" i="89"/>
  <c r="M138" i="89"/>
  <c r="L138" i="89"/>
  <c r="K138" i="89"/>
  <c r="J138" i="89"/>
  <c r="I138" i="89"/>
  <c r="H138" i="89"/>
  <c r="G138" i="89"/>
  <c r="F138" i="89"/>
  <c r="E138" i="89"/>
  <c r="D138" i="89"/>
  <c r="C138" i="89"/>
  <c r="O137" i="89"/>
  <c r="N137" i="89"/>
  <c r="M137" i="89"/>
  <c r="L137" i="89"/>
  <c r="K137" i="89"/>
  <c r="J137" i="89"/>
  <c r="I137" i="89"/>
  <c r="H137" i="89"/>
  <c r="G137" i="89"/>
  <c r="F137" i="89"/>
  <c r="E137" i="89"/>
  <c r="D137" i="89"/>
  <c r="C137" i="89"/>
  <c r="O136" i="89"/>
  <c r="N136" i="89"/>
  <c r="M136" i="89"/>
  <c r="L136" i="89"/>
  <c r="K136" i="89"/>
  <c r="J136" i="89"/>
  <c r="I136" i="89"/>
  <c r="H136" i="89"/>
  <c r="G136" i="89"/>
  <c r="F136" i="89"/>
  <c r="E136" i="89"/>
  <c r="D136" i="89"/>
  <c r="C136" i="89"/>
  <c r="O135" i="89"/>
  <c r="N135" i="89"/>
  <c r="M135" i="89"/>
  <c r="L135" i="89"/>
  <c r="K135" i="89"/>
  <c r="J135" i="89"/>
  <c r="I135" i="89"/>
  <c r="H135" i="89"/>
  <c r="G135" i="89"/>
  <c r="F135" i="89"/>
  <c r="E135" i="89"/>
  <c r="D135" i="89"/>
  <c r="C135" i="89"/>
  <c r="O134" i="89"/>
  <c r="N134" i="89"/>
  <c r="M134" i="89"/>
  <c r="L134" i="89"/>
  <c r="K134" i="89"/>
  <c r="J134" i="89"/>
  <c r="I134" i="89"/>
  <c r="H134" i="89"/>
  <c r="G134" i="89"/>
  <c r="F134" i="89"/>
  <c r="E134" i="89"/>
  <c r="D134" i="89"/>
  <c r="C134" i="89"/>
  <c r="O133" i="89"/>
  <c r="N133" i="89"/>
  <c r="M133" i="89"/>
  <c r="L133" i="89"/>
  <c r="K133" i="89"/>
  <c r="J133" i="89"/>
  <c r="I133" i="89"/>
  <c r="H133" i="89"/>
  <c r="G133" i="89"/>
  <c r="F133" i="89"/>
  <c r="E133" i="89"/>
  <c r="D133" i="89"/>
  <c r="C133" i="89"/>
  <c r="O132" i="89"/>
  <c r="N132" i="89"/>
  <c r="M132" i="89"/>
  <c r="L132" i="89"/>
  <c r="K132" i="89"/>
  <c r="J132" i="89"/>
  <c r="I132" i="89"/>
  <c r="H132" i="89"/>
  <c r="G132" i="89"/>
  <c r="F132" i="89"/>
  <c r="E132" i="89"/>
  <c r="D132" i="89"/>
  <c r="C132" i="89"/>
  <c r="O131" i="89"/>
  <c r="N131" i="89"/>
  <c r="M131" i="89"/>
  <c r="L131" i="89"/>
  <c r="K131" i="89"/>
  <c r="J131" i="89"/>
  <c r="I131" i="89"/>
  <c r="H131" i="89"/>
  <c r="G131" i="89"/>
  <c r="F131" i="89"/>
  <c r="E131" i="89"/>
  <c r="D131" i="89"/>
  <c r="C131" i="89"/>
  <c r="O130" i="89"/>
  <c r="N130" i="89"/>
  <c r="M130" i="89"/>
  <c r="L130" i="89"/>
  <c r="K130" i="89"/>
  <c r="J130" i="89"/>
  <c r="I130" i="89"/>
  <c r="H130" i="89"/>
  <c r="G130" i="89"/>
  <c r="F130" i="89"/>
  <c r="E130" i="89"/>
  <c r="D130" i="89"/>
  <c r="C130" i="89"/>
  <c r="O129" i="89"/>
  <c r="N129" i="89"/>
  <c r="M129" i="89"/>
  <c r="L129" i="89"/>
  <c r="K129" i="89"/>
  <c r="J129" i="89"/>
  <c r="I129" i="89"/>
  <c r="H129" i="89"/>
  <c r="G129" i="89"/>
  <c r="F129" i="89"/>
  <c r="E129" i="89"/>
  <c r="D129" i="89"/>
  <c r="C129" i="89"/>
  <c r="O128" i="89"/>
  <c r="N128" i="89"/>
  <c r="M128" i="89"/>
  <c r="L128" i="89"/>
  <c r="K128" i="89"/>
  <c r="J128" i="89"/>
  <c r="I128" i="89"/>
  <c r="H128" i="89"/>
  <c r="G128" i="89"/>
  <c r="F128" i="89"/>
  <c r="E128" i="89"/>
  <c r="D128" i="89"/>
  <c r="C128" i="89"/>
  <c r="O127" i="89"/>
  <c r="N127" i="89"/>
  <c r="M127" i="89"/>
  <c r="L127" i="89"/>
  <c r="K127" i="89"/>
  <c r="J127" i="89"/>
  <c r="I127" i="89"/>
  <c r="H127" i="89"/>
  <c r="G127" i="89"/>
  <c r="F127" i="89"/>
  <c r="E127" i="89"/>
  <c r="D127" i="89"/>
  <c r="C127" i="89"/>
  <c r="O126" i="89"/>
  <c r="N126" i="89"/>
  <c r="M126" i="89"/>
  <c r="L126" i="89"/>
  <c r="K126" i="89"/>
  <c r="J126" i="89"/>
  <c r="I126" i="89"/>
  <c r="H126" i="89"/>
  <c r="G126" i="89"/>
  <c r="F126" i="89"/>
  <c r="E126" i="89"/>
  <c r="D126" i="89"/>
  <c r="C126" i="89"/>
  <c r="O125" i="89"/>
  <c r="N125" i="89"/>
  <c r="M125" i="89"/>
  <c r="L125" i="89"/>
  <c r="K125" i="89"/>
  <c r="J125" i="89"/>
  <c r="I125" i="89"/>
  <c r="H125" i="89"/>
  <c r="G125" i="89"/>
  <c r="F125" i="89"/>
  <c r="E125" i="89"/>
  <c r="D125" i="89"/>
  <c r="C125" i="89"/>
  <c r="O124" i="89"/>
  <c r="N124" i="89"/>
  <c r="M124" i="89"/>
  <c r="L124" i="89"/>
  <c r="K124" i="89"/>
  <c r="J124" i="89"/>
  <c r="I124" i="89"/>
  <c r="H124" i="89"/>
  <c r="G124" i="89"/>
  <c r="F124" i="89"/>
  <c r="E124" i="89"/>
  <c r="D124" i="89"/>
  <c r="C124" i="89"/>
  <c r="O123" i="89"/>
  <c r="N123" i="89"/>
  <c r="M123" i="89"/>
  <c r="L123" i="89"/>
  <c r="K123" i="89"/>
  <c r="J123" i="89"/>
  <c r="I123" i="89"/>
  <c r="H123" i="89"/>
  <c r="G123" i="89"/>
  <c r="F123" i="89"/>
  <c r="E123" i="89"/>
  <c r="D123" i="89"/>
  <c r="C123" i="89"/>
  <c r="O122" i="89"/>
  <c r="N122" i="89"/>
  <c r="M122" i="89"/>
  <c r="L122" i="89"/>
  <c r="K122" i="89"/>
  <c r="J122" i="89"/>
  <c r="I122" i="89"/>
  <c r="H122" i="89"/>
  <c r="G122" i="89"/>
  <c r="F122" i="89"/>
  <c r="E122" i="89"/>
  <c r="D122" i="89"/>
  <c r="C122" i="89"/>
  <c r="O121" i="89"/>
  <c r="N121" i="89"/>
  <c r="M121" i="89"/>
  <c r="L121" i="89"/>
  <c r="K121" i="89"/>
  <c r="J121" i="89"/>
  <c r="I121" i="89"/>
  <c r="H121" i="89"/>
  <c r="G121" i="89"/>
  <c r="F121" i="89"/>
  <c r="E121" i="89"/>
  <c r="D121" i="89"/>
  <c r="C121" i="89"/>
  <c r="O120" i="89"/>
  <c r="N120" i="89"/>
  <c r="M120" i="89"/>
  <c r="L120" i="89"/>
  <c r="K120" i="89"/>
  <c r="J120" i="89"/>
  <c r="I120" i="89"/>
  <c r="H120" i="89"/>
  <c r="G120" i="89"/>
  <c r="F120" i="89"/>
  <c r="E120" i="89"/>
  <c r="D120" i="89"/>
  <c r="C120" i="89"/>
  <c r="O119" i="89"/>
  <c r="N119" i="89"/>
  <c r="M119" i="89"/>
  <c r="L119" i="89"/>
  <c r="K119" i="89"/>
  <c r="J119" i="89"/>
  <c r="I119" i="89"/>
  <c r="H119" i="89"/>
  <c r="G119" i="89"/>
  <c r="F119" i="89"/>
  <c r="E119" i="89"/>
  <c r="D119" i="89"/>
  <c r="C119" i="89"/>
  <c r="O118" i="89"/>
  <c r="N118" i="89"/>
  <c r="M118" i="89"/>
  <c r="L118" i="89"/>
  <c r="K118" i="89"/>
  <c r="J118" i="89"/>
  <c r="I118" i="89"/>
  <c r="H118" i="89"/>
  <c r="G118" i="89"/>
  <c r="F118" i="89"/>
  <c r="E118" i="89"/>
  <c r="D118" i="89"/>
  <c r="C118" i="89"/>
  <c r="O117" i="89"/>
  <c r="N117" i="89"/>
  <c r="M117" i="89"/>
  <c r="L117" i="89"/>
  <c r="K117" i="89"/>
  <c r="J117" i="89"/>
  <c r="I117" i="89"/>
  <c r="H117" i="89"/>
  <c r="G117" i="89"/>
  <c r="F117" i="89"/>
  <c r="E117" i="89"/>
  <c r="D117" i="89"/>
  <c r="C117" i="89"/>
  <c r="O116" i="89"/>
  <c r="N116" i="89"/>
  <c r="M116" i="89"/>
  <c r="L116" i="89"/>
  <c r="K116" i="89"/>
  <c r="J116" i="89"/>
  <c r="I116" i="89"/>
  <c r="H116" i="89"/>
  <c r="G116" i="89"/>
  <c r="F116" i="89"/>
  <c r="E116" i="89"/>
  <c r="D116" i="89"/>
  <c r="C116" i="89"/>
  <c r="O115" i="89"/>
  <c r="N115" i="89"/>
  <c r="M115" i="89"/>
  <c r="L115" i="89"/>
  <c r="K115" i="89"/>
  <c r="J115" i="89"/>
  <c r="I115" i="89"/>
  <c r="H115" i="89"/>
  <c r="G115" i="89"/>
  <c r="F115" i="89"/>
  <c r="E115" i="89"/>
  <c r="D115" i="89"/>
  <c r="C115" i="89"/>
  <c r="O114" i="89"/>
  <c r="N114" i="89"/>
  <c r="M114" i="89"/>
  <c r="L114" i="89"/>
  <c r="K114" i="89"/>
  <c r="J114" i="89"/>
  <c r="I114" i="89"/>
  <c r="H114" i="89"/>
  <c r="G114" i="89"/>
  <c r="F114" i="89"/>
  <c r="E114" i="89"/>
  <c r="D114" i="89"/>
  <c r="C114" i="89"/>
  <c r="O113" i="89"/>
  <c r="N113" i="89"/>
  <c r="M113" i="89"/>
  <c r="L113" i="89"/>
  <c r="K113" i="89"/>
  <c r="J113" i="89"/>
  <c r="I113" i="89"/>
  <c r="H113" i="89"/>
  <c r="G113" i="89"/>
  <c r="F113" i="89"/>
  <c r="E113" i="89"/>
  <c r="D113" i="89"/>
  <c r="C113" i="89"/>
  <c r="O112" i="89"/>
  <c r="N112" i="89"/>
  <c r="M112" i="89"/>
  <c r="L112" i="89"/>
  <c r="K112" i="89"/>
  <c r="J112" i="89"/>
  <c r="I112" i="89"/>
  <c r="H112" i="89"/>
  <c r="G112" i="89"/>
  <c r="F112" i="89"/>
  <c r="E112" i="89"/>
  <c r="D112" i="89"/>
  <c r="C112" i="89"/>
  <c r="O111" i="89"/>
  <c r="N111" i="89"/>
  <c r="M111" i="89"/>
  <c r="L111" i="89"/>
  <c r="K111" i="89"/>
  <c r="J111" i="89"/>
  <c r="I111" i="89"/>
  <c r="H111" i="89"/>
  <c r="G111" i="89"/>
  <c r="F111" i="89"/>
  <c r="E111" i="89"/>
  <c r="D111" i="89"/>
  <c r="C111" i="89"/>
  <c r="O110" i="89"/>
  <c r="N110" i="89"/>
  <c r="M110" i="89"/>
  <c r="L110" i="89"/>
  <c r="K110" i="89"/>
  <c r="J110" i="89"/>
  <c r="I110" i="89"/>
  <c r="H110" i="89"/>
  <c r="G110" i="89"/>
  <c r="F110" i="89"/>
  <c r="E110" i="89"/>
  <c r="D110" i="89"/>
  <c r="C110" i="89"/>
  <c r="O109" i="89"/>
  <c r="N109" i="89"/>
  <c r="M109" i="89"/>
  <c r="L109" i="89"/>
  <c r="K109" i="89"/>
  <c r="J109" i="89"/>
  <c r="I109" i="89"/>
  <c r="H109" i="89"/>
  <c r="G109" i="89"/>
  <c r="F109" i="89"/>
  <c r="E109" i="89"/>
  <c r="D109" i="89"/>
  <c r="C109" i="89"/>
  <c r="O108" i="89"/>
  <c r="N108" i="89"/>
  <c r="M108" i="89"/>
  <c r="L108" i="89"/>
  <c r="K108" i="89"/>
  <c r="J108" i="89"/>
  <c r="I108" i="89"/>
  <c r="H108" i="89"/>
  <c r="G108" i="89"/>
  <c r="F108" i="89"/>
  <c r="E108" i="89"/>
  <c r="D108" i="89"/>
  <c r="C108" i="89"/>
  <c r="O107" i="89"/>
  <c r="N107" i="89"/>
  <c r="M107" i="89"/>
  <c r="L107" i="89"/>
  <c r="K107" i="89"/>
  <c r="J107" i="89"/>
  <c r="I107" i="89"/>
  <c r="H107" i="89"/>
  <c r="G107" i="89"/>
  <c r="F107" i="89"/>
  <c r="E107" i="89"/>
  <c r="D107" i="89"/>
  <c r="C107" i="89"/>
  <c r="O106" i="89"/>
  <c r="N106" i="89"/>
  <c r="M106" i="89"/>
  <c r="L106" i="89"/>
  <c r="K106" i="89"/>
  <c r="J106" i="89"/>
  <c r="I106" i="89"/>
  <c r="H106" i="89"/>
  <c r="G106" i="89"/>
  <c r="F106" i="89"/>
  <c r="E106" i="89"/>
  <c r="D106" i="89"/>
  <c r="C106" i="89"/>
  <c r="O105" i="89"/>
  <c r="N105" i="89"/>
  <c r="M105" i="89"/>
  <c r="L105" i="89"/>
  <c r="K105" i="89"/>
  <c r="J105" i="89"/>
  <c r="I105" i="89"/>
  <c r="H105" i="89"/>
  <c r="G105" i="89"/>
  <c r="F105" i="89"/>
  <c r="E105" i="89"/>
  <c r="D105" i="89"/>
  <c r="C105" i="89"/>
  <c r="O104" i="89"/>
  <c r="N104" i="89"/>
  <c r="M104" i="89"/>
  <c r="L104" i="89"/>
  <c r="K104" i="89"/>
  <c r="J104" i="89"/>
  <c r="I104" i="89"/>
  <c r="H104" i="89"/>
  <c r="G104" i="89"/>
  <c r="F104" i="89"/>
  <c r="E104" i="89"/>
  <c r="D104" i="89"/>
  <c r="C104" i="89"/>
  <c r="O103" i="89"/>
  <c r="N103" i="89"/>
  <c r="M103" i="89"/>
  <c r="L103" i="89"/>
  <c r="K103" i="89"/>
  <c r="J103" i="89"/>
  <c r="I103" i="89"/>
  <c r="H103" i="89"/>
  <c r="G103" i="89"/>
  <c r="F103" i="89"/>
  <c r="E103" i="89"/>
  <c r="D103" i="89"/>
  <c r="C103" i="89"/>
  <c r="O102" i="89"/>
  <c r="N102" i="89"/>
  <c r="M102" i="89"/>
  <c r="L102" i="89"/>
  <c r="K102" i="89"/>
  <c r="J102" i="89"/>
  <c r="I102" i="89"/>
  <c r="H102" i="89"/>
  <c r="G102" i="89"/>
  <c r="F102" i="89"/>
  <c r="E102" i="89"/>
  <c r="D102" i="89"/>
  <c r="C102" i="89"/>
  <c r="O101" i="89"/>
  <c r="N101" i="89"/>
  <c r="M101" i="89"/>
  <c r="L101" i="89"/>
  <c r="K101" i="89"/>
  <c r="J101" i="89"/>
  <c r="I101" i="89"/>
  <c r="H101" i="89"/>
  <c r="G101" i="89"/>
  <c r="F101" i="89"/>
  <c r="E101" i="89"/>
  <c r="D101" i="89"/>
  <c r="C101" i="89"/>
  <c r="O100" i="89"/>
  <c r="N100" i="89"/>
  <c r="M100" i="89"/>
  <c r="L100" i="89"/>
  <c r="K100" i="89"/>
  <c r="J100" i="89"/>
  <c r="I100" i="89"/>
  <c r="H100" i="89"/>
  <c r="G100" i="89"/>
  <c r="F100" i="89"/>
  <c r="E100" i="89"/>
  <c r="D100" i="89"/>
  <c r="C100" i="89"/>
  <c r="O99" i="89"/>
  <c r="N99" i="89"/>
  <c r="M99" i="89"/>
  <c r="L99" i="89"/>
  <c r="K99" i="89"/>
  <c r="J99" i="89"/>
  <c r="I99" i="89"/>
  <c r="H99" i="89"/>
  <c r="G99" i="89"/>
  <c r="F99" i="89"/>
  <c r="E99" i="89"/>
  <c r="D99" i="89"/>
  <c r="C99" i="89"/>
  <c r="O98" i="89"/>
  <c r="N98" i="89"/>
  <c r="M98" i="89"/>
  <c r="L98" i="89"/>
  <c r="K98" i="89"/>
  <c r="J98" i="89"/>
  <c r="I98" i="89"/>
  <c r="H98" i="89"/>
  <c r="G98" i="89"/>
  <c r="F98" i="89"/>
  <c r="E98" i="89"/>
  <c r="D98" i="89"/>
  <c r="C98" i="89"/>
  <c r="O97" i="89"/>
  <c r="N97" i="89"/>
  <c r="M97" i="89"/>
  <c r="L97" i="89"/>
  <c r="K97" i="89"/>
  <c r="J97" i="89"/>
  <c r="I97" i="89"/>
  <c r="H97" i="89"/>
  <c r="G97" i="89"/>
  <c r="F97" i="89"/>
  <c r="E97" i="89"/>
  <c r="D97" i="89"/>
  <c r="C97" i="89"/>
  <c r="O96" i="89"/>
  <c r="N96" i="89"/>
  <c r="M96" i="89"/>
  <c r="L96" i="89"/>
  <c r="K96" i="89"/>
  <c r="J96" i="89"/>
  <c r="I96" i="89"/>
  <c r="H96" i="89"/>
  <c r="G96" i="89"/>
  <c r="F96" i="89"/>
  <c r="E96" i="89"/>
  <c r="D96" i="89"/>
  <c r="C96" i="89"/>
  <c r="O95" i="89"/>
  <c r="N95" i="89"/>
  <c r="M95" i="89"/>
  <c r="L95" i="89"/>
  <c r="K95" i="89"/>
  <c r="J95" i="89"/>
  <c r="I95" i="89"/>
  <c r="H95" i="89"/>
  <c r="G95" i="89"/>
  <c r="F95" i="89"/>
  <c r="E95" i="89"/>
  <c r="D95" i="89"/>
  <c r="C95" i="89"/>
  <c r="O94" i="89"/>
  <c r="N94" i="89"/>
  <c r="M94" i="89"/>
  <c r="L94" i="89"/>
  <c r="K94" i="89"/>
  <c r="J94" i="89"/>
  <c r="I94" i="89"/>
  <c r="H94" i="89"/>
  <c r="G94" i="89"/>
  <c r="F94" i="89"/>
  <c r="E94" i="89"/>
  <c r="D94" i="89"/>
  <c r="C94" i="89"/>
  <c r="O93" i="89"/>
  <c r="N93" i="89"/>
  <c r="M93" i="89"/>
  <c r="L93" i="89"/>
  <c r="K93" i="89"/>
  <c r="J93" i="89"/>
  <c r="I93" i="89"/>
  <c r="H93" i="89"/>
  <c r="G93" i="89"/>
  <c r="F93" i="89"/>
  <c r="E93" i="89"/>
  <c r="D93" i="89"/>
  <c r="C93" i="89"/>
  <c r="O92" i="89"/>
  <c r="N92" i="89"/>
  <c r="M92" i="89"/>
  <c r="L92" i="89"/>
  <c r="K92" i="89"/>
  <c r="J92" i="89"/>
  <c r="I92" i="89"/>
  <c r="H92" i="89"/>
  <c r="G92" i="89"/>
  <c r="F92" i="89"/>
  <c r="E92" i="89"/>
  <c r="D92" i="89"/>
  <c r="C92" i="89"/>
  <c r="O91" i="89"/>
  <c r="N91" i="89"/>
  <c r="M91" i="89"/>
  <c r="L91" i="89"/>
  <c r="K91" i="89"/>
  <c r="J91" i="89"/>
  <c r="I91" i="89"/>
  <c r="H91" i="89"/>
  <c r="G91" i="89"/>
  <c r="F91" i="89"/>
  <c r="E91" i="89"/>
  <c r="D91" i="89"/>
  <c r="C91" i="89"/>
  <c r="O90" i="89"/>
  <c r="N90" i="89"/>
  <c r="M90" i="89"/>
  <c r="L90" i="89"/>
  <c r="K90" i="89"/>
  <c r="J90" i="89"/>
  <c r="I90" i="89"/>
  <c r="H90" i="89"/>
  <c r="G90" i="89"/>
  <c r="F90" i="89"/>
  <c r="E90" i="89"/>
  <c r="D90" i="89"/>
  <c r="C90" i="89"/>
  <c r="O89" i="89"/>
  <c r="N89" i="89"/>
  <c r="M89" i="89"/>
  <c r="L89" i="89"/>
  <c r="K89" i="89"/>
  <c r="J89" i="89"/>
  <c r="I89" i="89"/>
  <c r="H89" i="89"/>
  <c r="G89" i="89"/>
  <c r="F89" i="89"/>
  <c r="E89" i="89"/>
  <c r="D89" i="89"/>
  <c r="C89" i="89"/>
  <c r="O88" i="89"/>
  <c r="N88" i="89"/>
  <c r="M88" i="89"/>
  <c r="L88" i="89"/>
  <c r="K88" i="89"/>
  <c r="J88" i="89"/>
  <c r="I88" i="89"/>
  <c r="H88" i="89"/>
  <c r="G88" i="89"/>
  <c r="F88" i="89"/>
  <c r="E88" i="89"/>
  <c r="D88" i="89"/>
  <c r="C88" i="89"/>
  <c r="O87" i="89"/>
  <c r="N87" i="89"/>
  <c r="M87" i="89"/>
  <c r="L87" i="89"/>
  <c r="K87" i="89"/>
  <c r="J87" i="89"/>
  <c r="I87" i="89"/>
  <c r="H87" i="89"/>
  <c r="G87" i="89"/>
  <c r="F87" i="89"/>
  <c r="E87" i="89"/>
  <c r="D87" i="89"/>
  <c r="C87" i="89"/>
  <c r="O86" i="89"/>
  <c r="N86" i="89"/>
  <c r="M86" i="89"/>
  <c r="L86" i="89"/>
  <c r="K86" i="89"/>
  <c r="J86" i="89"/>
  <c r="I86" i="89"/>
  <c r="H86" i="89"/>
  <c r="G86" i="89"/>
  <c r="F86" i="89"/>
  <c r="E86" i="89"/>
  <c r="D86" i="89"/>
  <c r="C86" i="89"/>
  <c r="O85" i="89"/>
  <c r="N85" i="89"/>
  <c r="M85" i="89"/>
  <c r="L85" i="89"/>
  <c r="K85" i="89"/>
  <c r="J85" i="89"/>
  <c r="I85" i="89"/>
  <c r="H85" i="89"/>
  <c r="G85" i="89"/>
  <c r="F85" i="89"/>
  <c r="E85" i="89"/>
  <c r="D85" i="89"/>
  <c r="C85" i="89"/>
  <c r="O84" i="89"/>
  <c r="N84" i="89"/>
  <c r="M84" i="89"/>
  <c r="L84" i="89"/>
  <c r="K84" i="89"/>
  <c r="J84" i="89"/>
  <c r="I84" i="89"/>
  <c r="H84" i="89"/>
  <c r="G84" i="89"/>
  <c r="F84" i="89"/>
  <c r="E84" i="89"/>
  <c r="D84" i="89"/>
  <c r="C84" i="89"/>
  <c r="O83" i="89"/>
  <c r="N83" i="89"/>
  <c r="M83" i="89"/>
  <c r="L83" i="89"/>
  <c r="K83" i="89"/>
  <c r="J83" i="89"/>
  <c r="I83" i="89"/>
  <c r="H83" i="89"/>
  <c r="G83" i="89"/>
  <c r="F83" i="89"/>
  <c r="E83" i="89"/>
  <c r="D83" i="89"/>
  <c r="C83" i="89"/>
  <c r="O82" i="89"/>
  <c r="N82" i="89"/>
  <c r="M82" i="89"/>
  <c r="L82" i="89"/>
  <c r="K82" i="89"/>
  <c r="J82" i="89"/>
  <c r="I82" i="89"/>
  <c r="H82" i="89"/>
  <c r="G82" i="89"/>
  <c r="F82" i="89"/>
  <c r="E82" i="89"/>
  <c r="D82" i="89"/>
  <c r="C82" i="89"/>
  <c r="O81" i="89"/>
  <c r="N81" i="89"/>
  <c r="M81" i="89"/>
  <c r="L81" i="89"/>
  <c r="K81" i="89"/>
  <c r="J81" i="89"/>
  <c r="I81" i="89"/>
  <c r="H81" i="89"/>
  <c r="G81" i="89"/>
  <c r="F81" i="89"/>
  <c r="E81" i="89"/>
  <c r="D81" i="89"/>
  <c r="C81" i="89"/>
  <c r="O80" i="89"/>
  <c r="N80" i="89"/>
  <c r="M80" i="89"/>
  <c r="L80" i="89"/>
  <c r="K80" i="89"/>
  <c r="J80" i="89"/>
  <c r="I80" i="89"/>
  <c r="H80" i="89"/>
  <c r="G80" i="89"/>
  <c r="F80" i="89"/>
  <c r="E80" i="89"/>
  <c r="D80" i="89"/>
  <c r="C80" i="89"/>
  <c r="O79" i="89"/>
  <c r="N79" i="89"/>
  <c r="M79" i="89"/>
  <c r="L79" i="89"/>
  <c r="K79" i="89"/>
  <c r="J79" i="89"/>
  <c r="I79" i="89"/>
  <c r="H79" i="89"/>
  <c r="G79" i="89"/>
  <c r="F79" i="89"/>
  <c r="E79" i="89"/>
  <c r="D79" i="89"/>
  <c r="C79" i="89"/>
  <c r="O78" i="89"/>
  <c r="N78" i="89"/>
  <c r="M78" i="89"/>
  <c r="L78" i="89"/>
  <c r="K78" i="89"/>
  <c r="J78" i="89"/>
  <c r="I78" i="89"/>
  <c r="H78" i="89"/>
  <c r="G78" i="89"/>
  <c r="F78" i="89"/>
  <c r="E78" i="89"/>
  <c r="D78" i="89"/>
  <c r="C78" i="89"/>
  <c r="O77" i="89"/>
  <c r="N77" i="89"/>
  <c r="M77" i="89"/>
  <c r="L77" i="89"/>
  <c r="K77" i="89"/>
  <c r="J77" i="89"/>
  <c r="I77" i="89"/>
  <c r="H77" i="89"/>
  <c r="G77" i="89"/>
  <c r="F77" i="89"/>
  <c r="E77" i="89"/>
  <c r="D77" i="89"/>
  <c r="C77" i="89"/>
  <c r="O76" i="89"/>
  <c r="N76" i="89"/>
  <c r="M76" i="89"/>
  <c r="L76" i="89"/>
  <c r="K76" i="89"/>
  <c r="J76" i="89"/>
  <c r="I76" i="89"/>
  <c r="H76" i="89"/>
  <c r="G76" i="89"/>
  <c r="F76" i="89"/>
  <c r="E76" i="89"/>
  <c r="D76" i="89"/>
  <c r="C76" i="89"/>
  <c r="O75" i="89"/>
  <c r="N75" i="89"/>
  <c r="M75" i="89"/>
  <c r="L75" i="89"/>
  <c r="K75" i="89"/>
  <c r="J75" i="89"/>
  <c r="I75" i="89"/>
  <c r="H75" i="89"/>
  <c r="G75" i="89"/>
  <c r="F75" i="89"/>
  <c r="E75" i="89"/>
  <c r="D75" i="89"/>
  <c r="C75" i="89"/>
  <c r="O74" i="89"/>
  <c r="N74" i="89"/>
  <c r="M74" i="89"/>
  <c r="L74" i="89"/>
  <c r="K74" i="89"/>
  <c r="J74" i="89"/>
  <c r="I74" i="89"/>
  <c r="H74" i="89"/>
  <c r="G74" i="89"/>
  <c r="F74" i="89"/>
  <c r="E74" i="89"/>
  <c r="D74" i="89"/>
  <c r="C74" i="89"/>
  <c r="O73" i="89"/>
  <c r="N73" i="89"/>
  <c r="M73" i="89"/>
  <c r="L73" i="89"/>
  <c r="K73" i="89"/>
  <c r="J73" i="89"/>
  <c r="I73" i="89"/>
  <c r="H73" i="89"/>
  <c r="G73" i="89"/>
  <c r="F73" i="89"/>
  <c r="E73" i="89"/>
  <c r="D73" i="89"/>
  <c r="C73" i="89"/>
  <c r="O72" i="89"/>
  <c r="N72" i="89"/>
  <c r="M72" i="89"/>
  <c r="L72" i="89"/>
  <c r="K72" i="89"/>
  <c r="J72" i="89"/>
  <c r="I72" i="89"/>
  <c r="H72" i="89"/>
  <c r="G72" i="89"/>
  <c r="F72" i="89"/>
  <c r="E72" i="89"/>
  <c r="D72" i="89"/>
  <c r="C72" i="89"/>
  <c r="O71" i="89"/>
  <c r="N71" i="89"/>
  <c r="M71" i="89"/>
  <c r="L71" i="89"/>
  <c r="K71" i="89"/>
  <c r="J71" i="89"/>
  <c r="I71" i="89"/>
  <c r="H71" i="89"/>
  <c r="G71" i="89"/>
  <c r="F71" i="89"/>
  <c r="E71" i="89"/>
  <c r="D71" i="89"/>
  <c r="C71" i="89"/>
  <c r="O70" i="89"/>
  <c r="N70" i="89"/>
  <c r="M70" i="89"/>
  <c r="L70" i="89"/>
  <c r="K70" i="89"/>
  <c r="J70" i="89"/>
  <c r="I70" i="89"/>
  <c r="H70" i="89"/>
  <c r="G70" i="89"/>
  <c r="F70" i="89"/>
  <c r="E70" i="89"/>
  <c r="D70" i="89"/>
  <c r="C70" i="89"/>
  <c r="O69" i="89"/>
  <c r="N69" i="89"/>
  <c r="M69" i="89"/>
  <c r="L69" i="89"/>
  <c r="K69" i="89"/>
  <c r="J69" i="89"/>
  <c r="I69" i="89"/>
  <c r="H69" i="89"/>
  <c r="G69" i="89"/>
  <c r="F69" i="89"/>
  <c r="E69" i="89"/>
  <c r="D69" i="89"/>
  <c r="C69" i="89"/>
  <c r="O68" i="89"/>
  <c r="N68" i="89"/>
  <c r="M68" i="89"/>
  <c r="L68" i="89"/>
  <c r="K68" i="89"/>
  <c r="J68" i="89"/>
  <c r="I68" i="89"/>
  <c r="H68" i="89"/>
  <c r="G68" i="89"/>
  <c r="F68" i="89"/>
  <c r="E68" i="89"/>
  <c r="D68" i="89"/>
  <c r="C68" i="89"/>
  <c r="O67" i="89"/>
  <c r="N67" i="89"/>
  <c r="M67" i="89"/>
  <c r="L67" i="89"/>
  <c r="K67" i="89"/>
  <c r="J67" i="89"/>
  <c r="I67" i="89"/>
  <c r="H67" i="89"/>
  <c r="G67" i="89"/>
  <c r="F67" i="89"/>
  <c r="E67" i="89"/>
  <c r="D67" i="89"/>
  <c r="C67" i="89"/>
  <c r="O66" i="89"/>
  <c r="N66" i="89"/>
  <c r="M66" i="89"/>
  <c r="L66" i="89"/>
  <c r="K66" i="89"/>
  <c r="J66" i="89"/>
  <c r="I66" i="89"/>
  <c r="H66" i="89"/>
  <c r="G66" i="89"/>
  <c r="F66" i="89"/>
  <c r="E66" i="89"/>
  <c r="D66" i="89"/>
  <c r="C66" i="89"/>
  <c r="O65" i="89"/>
  <c r="N65" i="89"/>
  <c r="M65" i="89"/>
  <c r="L65" i="89"/>
  <c r="K65" i="89"/>
  <c r="J65" i="89"/>
  <c r="I65" i="89"/>
  <c r="H65" i="89"/>
  <c r="G65" i="89"/>
  <c r="F65" i="89"/>
  <c r="E65" i="89"/>
  <c r="D65" i="89"/>
  <c r="C65" i="89"/>
  <c r="O64" i="89"/>
  <c r="N64" i="89"/>
  <c r="M64" i="89"/>
  <c r="L64" i="89"/>
  <c r="K64" i="89"/>
  <c r="J64" i="89"/>
  <c r="I64" i="89"/>
  <c r="H64" i="89"/>
  <c r="G64" i="89"/>
  <c r="F64" i="89"/>
  <c r="E64" i="89"/>
  <c r="D64" i="89"/>
  <c r="C64" i="89"/>
  <c r="O63" i="89"/>
  <c r="N63" i="89"/>
  <c r="M63" i="89"/>
  <c r="L63" i="89"/>
  <c r="K63" i="89"/>
  <c r="J63" i="89"/>
  <c r="I63" i="89"/>
  <c r="H63" i="89"/>
  <c r="G63" i="89"/>
  <c r="F63" i="89"/>
  <c r="E63" i="89"/>
  <c r="D63" i="89"/>
  <c r="C63" i="89"/>
  <c r="O62" i="89"/>
  <c r="N62" i="89"/>
  <c r="M62" i="89"/>
  <c r="L62" i="89"/>
  <c r="K62" i="89"/>
  <c r="J62" i="89"/>
  <c r="I62" i="89"/>
  <c r="H62" i="89"/>
  <c r="G62" i="89"/>
  <c r="F62" i="89"/>
  <c r="E62" i="89"/>
  <c r="D62" i="89"/>
  <c r="C62" i="89"/>
  <c r="O61" i="89"/>
  <c r="N61" i="89"/>
  <c r="M61" i="89"/>
  <c r="L61" i="89"/>
  <c r="K61" i="89"/>
  <c r="J61" i="89"/>
  <c r="I61" i="89"/>
  <c r="H61" i="89"/>
  <c r="G61" i="89"/>
  <c r="F61" i="89"/>
  <c r="E61" i="89"/>
  <c r="D61" i="89"/>
  <c r="C61" i="89"/>
  <c r="O60" i="89"/>
  <c r="N60" i="89"/>
  <c r="M60" i="89"/>
  <c r="L60" i="89"/>
  <c r="K60" i="89"/>
  <c r="J60" i="89"/>
  <c r="I60" i="89"/>
  <c r="H60" i="89"/>
  <c r="G60" i="89"/>
  <c r="F60" i="89"/>
  <c r="E60" i="89"/>
  <c r="D60" i="89"/>
  <c r="C60" i="89"/>
  <c r="O59" i="89"/>
  <c r="N59" i="89"/>
  <c r="M59" i="89"/>
  <c r="L59" i="89"/>
  <c r="K59" i="89"/>
  <c r="J59" i="89"/>
  <c r="I59" i="89"/>
  <c r="H59" i="89"/>
  <c r="G59" i="89"/>
  <c r="F59" i="89"/>
  <c r="E59" i="89"/>
  <c r="D59" i="89"/>
  <c r="C59" i="89"/>
  <c r="O58" i="89"/>
  <c r="N58" i="89"/>
  <c r="M58" i="89"/>
  <c r="L58" i="89"/>
  <c r="K58" i="89"/>
  <c r="J58" i="89"/>
  <c r="I58" i="89"/>
  <c r="H58" i="89"/>
  <c r="G58" i="89"/>
  <c r="F58" i="89"/>
  <c r="E58" i="89"/>
  <c r="D58" i="89"/>
  <c r="C58" i="89"/>
  <c r="O57" i="89"/>
  <c r="N57" i="89"/>
  <c r="M57" i="89"/>
  <c r="L57" i="89"/>
  <c r="K57" i="89"/>
  <c r="J57" i="89"/>
  <c r="I57" i="89"/>
  <c r="H57" i="89"/>
  <c r="G57" i="89"/>
  <c r="F57" i="89"/>
  <c r="E57" i="89"/>
  <c r="D57" i="89"/>
  <c r="C57" i="89"/>
  <c r="O56" i="89"/>
  <c r="N56" i="89"/>
  <c r="M56" i="89"/>
  <c r="L56" i="89"/>
  <c r="K56" i="89"/>
  <c r="J56" i="89"/>
  <c r="I56" i="89"/>
  <c r="H56" i="89"/>
  <c r="G56" i="89"/>
  <c r="F56" i="89"/>
  <c r="E56" i="89"/>
  <c r="D56" i="89"/>
  <c r="C56" i="89"/>
  <c r="O55" i="89"/>
  <c r="N55" i="89"/>
  <c r="M55" i="89"/>
  <c r="L55" i="89"/>
  <c r="K55" i="89"/>
  <c r="J55" i="89"/>
  <c r="I55" i="89"/>
  <c r="H55" i="89"/>
  <c r="G55" i="89"/>
  <c r="F55" i="89"/>
  <c r="E55" i="89"/>
  <c r="D55" i="89"/>
  <c r="C55" i="89"/>
  <c r="O54" i="89"/>
  <c r="N54" i="89"/>
  <c r="M54" i="89"/>
  <c r="L54" i="89"/>
  <c r="K54" i="89"/>
  <c r="J54" i="89"/>
  <c r="I54" i="89"/>
  <c r="H54" i="89"/>
  <c r="G54" i="89"/>
  <c r="F54" i="89"/>
  <c r="E54" i="89"/>
  <c r="D54" i="89"/>
  <c r="C54" i="89"/>
  <c r="O53" i="89"/>
  <c r="N53" i="89"/>
  <c r="M53" i="89"/>
  <c r="L53" i="89"/>
  <c r="K53" i="89"/>
  <c r="J53" i="89"/>
  <c r="I53" i="89"/>
  <c r="H53" i="89"/>
  <c r="G53" i="89"/>
  <c r="F53" i="89"/>
  <c r="E53" i="89"/>
  <c r="D53" i="89"/>
  <c r="C53" i="89"/>
  <c r="O52" i="89"/>
  <c r="N52" i="89"/>
  <c r="M52" i="89"/>
  <c r="L52" i="89"/>
  <c r="K52" i="89"/>
  <c r="J52" i="89"/>
  <c r="I52" i="89"/>
  <c r="H52" i="89"/>
  <c r="G52" i="89"/>
  <c r="F52" i="89"/>
  <c r="E52" i="89"/>
  <c r="D52" i="89"/>
  <c r="C52" i="89"/>
  <c r="O51" i="89"/>
  <c r="N51" i="89"/>
  <c r="M51" i="89"/>
  <c r="L51" i="89"/>
  <c r="K51" i="89"/>
  <c r="J51" i="89"/>
  <c r="I51" i="89"/>
  <c r="H51" i="89"/>
  <c r="G51" i="89"/>
  <c r="F51" i="89"/>
  <c r="E51" i="89"/>
  <c r="D51" i="89"/>
  <c r="C51" i="89"/>
  <c r="O50" i="89"/>
  <c r="N50" i="89"/>
  <c r="M50" i="89"/>
  <c r="L50" i="89"/>
  <c r="K50" i="89"/>
  <c r="J50" i="89"/>
  <c r="I50" i="89"/>
  <c r="H50" i="89"/>
  <c r="G50" i="89"/>
  <c r="F50" i="89"/>
  <c r="E50" i="89"/>
  <c r="D50" i="89"/>
  <c r="C50" i="89"/>
  <c r="O49" i="89"/>
  <c r="N49" i="89"/>
  <c r="M49" i="89"/>
  <c r="L49" i="89"/>
  <c r="K49" i="89"/>
  <c r="J49" i="89"/>
  <c r="I49" i="89"/>
  <c r="H49" i="89"/>
  <c r="G49" i="89"/>
  <c r="F49" i="89"/>
  <c r="E49" i="89"/>
  <c r="D49" i="89"/>
  <c r="C49" i="89"/>
  <c r="O48" i="89"/>
  <c r="N48" i="89"/>
  <c r="M48" i="89"/>
  <c r="L48" i="89"/>
  <c r="K48" i="89"/>
  <c r="J48" i="89"/>
  <c r="I48" i="89"/>
  <c r="H48" i="89"/>
  <c r="G48" i="89"/>
  <c r="F48" i="89"/>
  <c r="E48" i="89"/>
  <c r="D48" i="89"/>
  <c r="C48" i="89"/>
  <c r="O47" i="89"/>
  <c r="N47" i="89"/>
  <c r="M47" i="89"/>
  <c r="L47" i="89"/>
  <c r="K47" i="89"/>
  <c r="J47" i="89"/>
  <c r="I47" i="89"/>
  <c r="H47" i="89"/>
  <c r="G47" i="89"/>
  <c r="F47" i="89"/>
  <c r="E47" i="89"/>
  <c r="D47" i="89"/>
  <c r="C47" i="89"/>
  <c r="O46" i="89"/>
  <c r="N46" i="89"/>
  <c r="M46" i="89"/>
  <c r="L46" i="89"/>
  <c r="K46" i="89"/>
  <c r="J46" i="89"/>
  <c r="I46" i="89"/>
  <c r="H46" i="89"/>
  <c r="G46" i="89"/>
  <c r="F46" i="89"/>
  <c r="E46" i="89"/>
  <c r="D46" i="89"/>
  <c r="C46" i="89"/>
  <c r="O45" i="89"/>
  <c r="N45" i="89"/>
  <c r="M45" i="89"/>
  <c r="L45" i="89"/>
  <c r="K45" i="89"/>
  <c r="J45" i="89"/>
  <c r="I45" i="89"/>
  <c r="H45" i="89"/>
  <c r="G45" i="89"/>
  <c r="F45" i="89"/>
  <c r="E45" i="89"/>
  <c r="D45" i="89"/>
  <c r="C45" i="89"/>
  <c r="O44" i="89"/>
  <c r="N44" i="89"/>
  <c r="M44" i="89"/>
  <c r="L44" i="89"/>
  <c r="K44" i="89"/>
  <c r="J44" i="89"/>
  <c r="I44" i="89"/>
  <c r="H44" i="89"/>
  <c r="G44" i="89"/>
  <c r="F44" i="89"/>
  <c r="E44" i="89"/>
  <c r="D44" i="89"/>
  <c r="C44" i="89"/>
  <c r="O43" i="89"/>
  <c r="N43" i="89"/>
  <c r="M43" i="89"/>
  <c r="L43" i="89"/>
  <c r="K43" i="89"/>
  <c r="J43" i="89"/>
  <c r="I43" i="89"/>
  <c r="H43" i="89"/>
  <c r="G43" i="89"/>
  <c r="F43" i="89"/>
  <c r="E43" i="89"/>
  <c r="D43" i="89"/>
  <c r="C43" i="89"/>
  <c r="O42" i="89"/>
  <c r="N42" i="89"/>
  <c r="M42" i="89"/>
  <c r="L42" i="89"/>
  <c r="K42" i="89"/>
  <c r="J42" i="89"/>
  <c r="I42" i="89"/>
  <c r="H42" i="89"/>
  <c r="G42" i="89"/>
  <c r="F42" i="89"/>
  <c r="E42" i="89"/>
  <c r="D42" i="89"/>
  <c r="C42" i="89"/>
  <c r="O41" i="89"/>
  <c r="N41" i="89"/>
  <c r="M41" i="89"/>
  <c r="L41" i="89"/>
  <c r="K41" i="89"/>
  <c r="J41" i="89"/>
  <c r="I41" i="89"/>
  <c r="H41" i="89"/>
  <c r="G41" i="89"/>
  <c r="F41" i="89"/>
  <c r="E41" i="89"/>
  <c r="D41" i="89"/>
  <c r="C41" i="89"/>
  <c r="O40" i="89"/>
  <c r="N40" i="89"/>
  <c r="M40" i="89"/>
  <c r="L40" i="89"/>
  <c r="K40" i="89"/>
  <c r="J40" i="89"/>
  <c r="I40" i="89"/>
  <c r="H40" i="89"/>
  <c r="G40" i="89"/>
  <c r="F40" i="89"/>
  <c r="E40" i="89"/>
  <c r="D40" i="89"/>
  <c r="C40" i="89"/>
  <c r="O39" i="89"/>
  <c r="N39" i="89"/>
  <c r="M39" i="89"/>
  <c r="L39" i="89"/>
  <c r="K39" i="89"/>
  <c r="J39" i="89"/>
  <c r="I39" i="89"/>
  <c r="H39" i="89"/>
  <c r="G39" i="89"/>
  <c r="F39" i="89"/>
  <c r="E39" i="89"/>
  <c r="D39" i="89"/>
  <c r="C39" i="89"/>
  <c r="O38" i="89"/>
  <c r="N38" i="89"/>
  <c r="M38" i="89"/>
  <c r="L38" i="89"/>
  <c r="K38" i="89"/>
  <c r="J38" i="89"/>
  <c r="I38" i="89"/>
  <c r="H38" i="89"/>
  <c r="G38" i="89"/>
  <c r="F38" i="89"/>
  <c r="E38" i="89"/>
  <c r="D38" i="89"/>
  <c r="C38" i="89"/>
  <c r="O37" i="89"/>
  <c r="N37" i="89"/>
  <c r="M37" i="89"/>
  <c r="L37" i="89"/>
  <c r="K37" i="89"/>
  <c r="J37" i="89"/>
  <c r="I37" i="89"/>
  <c r="H37" i="89"/>
  <c r="G37" i="89"/>
  <c r="F37" i="89"/>
  <c r="E37" i="89"/>
  <c r="D37" i="89"/>
  <c r="C37" i="89"/>
  <c r="O36" i="89"/>
  <c r="N36" i="89"/>
  <c r="M36" i="89"/>
  <c r="L36" i="89"/>
  <c r="K36" i="89"/>
  <c r="J36" i="89"/>
  <c r="I36" i="89"/>
  <c r="H36" i="89"/>
  <c r="G36" i="89"/>
  <c r="F36" i="89"/>
  <c r="E36" i="89"/>
  <c r="D36" i="89"/>
  <c r="C36" i="89"/>
  <c r="O35" i="89"/>
  <c r="N35" i="89"/>
  <c r="M35" i="89"/>
  <c r="L35" i="89"/>
  <c r="K35" i="89"/>
  <c r="J35" i="89"/>
  <c r="I35" i="89"/>
  <c r="H35" i="89"/>
  <c r="G35" i="89"/>
  <c r="F35" i="89"/>
  <c r="E35" i="89"/>
  <c r="D35" i="89"/>
  <c r="C35" i="89"/>
  <c r="O34" i="89"/>
  <c r="N34" i="89"/>
  <c r="M34" i="89"/>
  <c r="L34" i="89"/>
  <c r="K34" i="89"/>
  <c r="J34" i="89"/>
  <c r="I34" i="89"/>
  <c r="H34" i="89"/>
  <c r="G34" i="89"/>
  <c r="F34" i="89"/>
  <c r="E34" i="89"/>
  <c r="D34" i="89"/>
  <c r="C34" i="89"/>
  <c r="O33" i="89"/>
  <c r="N33" i="89"/>
  <c r="M33" i="89"/>
  <c r="L33" i="89"/>
  <c r="K33" i="89"/>
  <c r="J33" i="89"/>
  <c r="I33" i="89"/>
  <c r="H33" i="89"/>
  <c r="G33" i="89"/>
  <c r="F33" i="89"/>
  <c r="E33" i="89"/>
  <c r="D33" i="89"/>
  <c r="C33" i="89"/>
  <c r="O32" i="89"/>
  <c r="N32" i="89"/>
  <c r="M32" i="89"/>
  <c r="L32" i="89"/>
  <c r="K32" i="89"/>
  <c r="J32" i="89"/>
  <c r="I32" i="89"/>
  <c r="H32" i="89"/>
  <c r="G32" i="89"/>
  <c r="F32" i="89"/>
  <c r="E32" i="89"/>
  <c r="D32" i="89"/>
  <c r="C32" i="89"/>
  <c r="O31" i="89"/>
  <c r="N31" i="89"/>
  <c r="M31" i="89"/>
  <c r="L31" i="89"/>
  <c r="K31" i="89"/>
  <c r="J31" i="89"/>
  <c r="I31" i="89"/>
  <c r="H31" i="89"/>
  <c r="G31" i="89"/>
  <c r="F31" i="89"/>
  <c r="E31" i="89"/>
  <c r="D31" i="89"/>
  <c r="C31" i="89"/>
  <c r="O30" i="89"/>
  <c r="N30" i="89"/>
  <c r="M30" i="89"/>
  <c r="L30" i="89"/>
  <c r="K30" i="89"/>
  <c r="J30" i="89"/>
  <c r="I30" i="89"/>
  <c r="H30" i="89"/>
  <c r="G30" i="89"/>
  <c r="F30" i="89"/>
  <c r="E30" i="89"/>
  <c r="D30" i="89"/>
  <c r="C30" i="89"/>
  <c r="O29" i="89"/>
  <c r="N29" i="89"/>
  <c r="M29" i="89"/>
  <c r="L29" i="89"/>
  <c r="K29" i="89"/>
  <c r="J29" i="89"/>
  <c r="I29" i="89"/>
  <c r="H29" i="89"/>
  <c r="G29" i="89"/>
  <c r="F29" i="89"/>
  <c r="E29" i="89"/>
  <c r="D29" i="89"/>
  <c r="C29" i="89"/>
  <c r="O28" i="89"/>
  <c r="N28" i="89"/>
  <c r="M28" i="89"/>
  <c r="L28" i="89"/>
  <c r="K28" i="89"/>
  <c r="J28" i="89"/>
  <c r="I28" i="89"/>
  <c r="H28" i="89"/>
  <c r="G28" i="89"/>
  <c r="F28" i="89"/>
  <c r="E28" i="89"/>
  <c r="D28" i="89"/>
  <c r="C28" i="89"/>
  <c r="O27" i="89"/>
  <c r="N27" i="89"/>
  <c r="M27" i="89"/>
  <c r="L27" i="89"/>
  <c r="K27" i="89"/>
  <c r="J27" i="89"/>
  <c r="I27" i="89"/>
  <c r="H27" i="89"/>
  <c r="G27" i="89"/>
  <c r="F27" i="89"/>
  <c r="E27" i="89"/>
  <c r="D27" i="89"/>
  <c r="C27" i="89"/>
  <c r="O26" i="89"/>
  <c r="N26" i="89"/>
  <c r="M26" i="89"/>
  <c r="L26" i="89"/>
  <c r="K26" i="89"/>
  <c r="J26" i="89"/>
  <c r="I26" i="89"/>
  <c r="H26" i="89"/>
  <c r="G26" i="89"/>
  <c r="F26" i="89"/>
  <c r="E26" i="89"/>
  <c r="D26" i="89"/>
  <c r="C26" i="89"/>
  <c r="O25" i="89"/>
  <c r="N25" i="89"/>
  <c r="M25" i="89"/>
  <c r="L25" i="89"/>
  <c r="K25" i="89"/>
  <c r="J25" i="89"/>
  <c r="I25" i="89"/>
  <c r="H25" i="89"/>
  <c r="G25" i="89"/>
  <c r="F25" i="89"/>
  <c r="E25" i="89"/>
  <c r="D25" i="89"/>
  <c r="C25" i="89"/>
  <c r="O24" i="89"/>
  <c r="N24" i="89"/>
  <c r="M24" i="89"/>
  <c r="L24" i="89"/>
  <c r="K24" i="89"/>
  <c r="J24" i="89"/>
  <c r="I24" i="89"/>
  <c r="H24" i="89"/>
  <c r="G24" i="89"/>
  <c r="F24" i="89"/>
  <c r="E24" i="89"/>
  <c r="D24" i="89"/>
  <c r="C24" i="89"/>
  <c r="O23" i="89"/>
  <c r="N23" i="89"/>
  <c r="M23" i="89"/>
  <c r="L23" i="89"/>
  <c r="K23" i="89"/>
  <c r="J23" i="89"/>
  <c r="I23" i="89"/>
  <c r="H23" i="89"/>
  <c r="G23" i="89"/>
  <c r="F23" i="89"/>
  <c r="E23" i="89"/>
  <c r="D23" i="89"/>
  <c r="C23" i="89"/>
  <c r="O22" i="89"/>
  <c r="N22" i="89"/>
  <c r="M22" i="89"/>
  <c r="L22" i="89"/>
  <c r="K22" i="89"/>
  <c r="J22" i="89"/>
  <c r="I22" i="89"/>
  <c r="H22" i="89"/>
  <c r="G22" i="89"/>
  <c r="F22" i="89"/>
  <c r="E22" i="89"/>
  <c r="D22" i="89"/>
  <c r="C22" i="89"/>
  <c r="O21" i="89"/>
  <c r="N21" i="89"/>
  <c r="M21" i="89"/>
  <c r="L21" i="89"/>
  <c r="K21" i="89"/>
  <c r="J21" i="89"/>
  <c r="I21" i="89"/>
  <c r="H21" i="89"/>
  <c r="G21" i="89"/>
  <c r="F21" i="89"/>
  <c r="O20" i="89"/>
  <c r="N20" i="89"/>
  <c r="M20" i="89"/>
  <c r="L20" i="89"/>
  <c r="K20" i="89"/>
  <c r="J20" i="89"/>
  <c r="I20" i="89"/>
  <c r="H20" i="89"/>
  <c r="G20" i="89"/>
  <c r="F20" i="89"/>
  <c r="O19" i="89"/>
  <c r="N19" i="89"/>
  <c r="M19" i="89"/>
  <c r="L19" i="89"/>
  <c r="K19" i="89"/>
  <c r="J19" i="89"/>
  <c r="I19" i="89"/>
  <c r="H19" i="89"/>
  <c r="G19" i="89"/>
  <c r="F19" i="89"/>
  <c r="O18" i="89"/>
  <c r="N18" i="89"/>
  <c r="M18" i="89"/>
  <c r="L18" i="89"/>
  <c r="K18" i="89"/>
  <c r="J18" i="89"/>
  <c r="I18" i="89"/>
  <c r="H18" i="89"/>
  <c r="G18" i="89"/>
  <c r="F18" i="89"/>
  <c r="E18" i="89"/>
  <c r="D18" i="89"/>
  <c r="C18" i="89"/>
  <c r="O17" i="89"/>
  <c r="N17" i="89"/>
  <c r="M17" i="89"/>
  <c r="L17" i="89"/>
  <c r="K17" i="89"/>
  <c r="J17" i="89"/>
  <c r="I17" i="89"/>
  <c r="H17" i="89"/>
  <c r="G17" i="89"/>
  <c r="F17" i="89"/>
  <c r="E17" i="89"/>
  <c r="D17" i="89"/>
  <c r="C17" i="89"/>
  <c r="O16" i="89"/>
  <c r="N16" i="89"/>
  <c r="M16" i="89"/>
  <c r="L16" i="89"/>
  <c r="K16" i="89"/>
  <c r="J16" i="89"/>
  <c r="I16" i="89"/>
  <c r="H16" i="89"/>
  <c r="G16" i="89"/>
  <c r="F16" i="89"/>
  <c r="E16" i="89"/>
  <c r="D16" i="89"/>
  <c r="C16" i="89"/>
  <c r="O15" i="89"/>
  <c r="N15" i="89"/>
  <c r="M15" i="89"/>
  <c r="L15" i="89"/>
  <c r="K15" i="89"/>
  <c r="J15" i="89"/>
  <c r="I15" i="89"/>
  <c r="H15" i="89"/>
  <c r="G15" i="89"/>
  <c r="F15" i="89"/>
  <c r="E15" i="89"/>
  <c r="D15" i="89"/>
  <c r="C15" i="89"/>
  <c r="O14" i="89"/>
  <c r="N14" i="89"/>
  <c r="M14" i="89"/>
  <c r="L14" i="89"/>
  <c r="K14" i="89"/>
  <c r="J14" i="89"/>
  <c r="I14" i="89"/>
  <c r="H14" i="89"/>
  <c r="G14" i="89"/>
  <c r="F14" i="89"/>
  <c r="O13" i="89"/>
  <c r="N13" i="89"/>
  <c r="M13" i="89"/>
  <c r="L13" i="89"/>
  <c r="K13" i="89"/>
  <c r="J13" i="89"/>
  <c r="I13" i="89"/>
  <c r="H13" i="89"/>
  <c r="G13" i="89"/>
  <c r="F13" i="89"/>
  <c r="O12" i="89"/>
  <c r="N12" i="89"/>
  <c r="M12" i="89"/>
  <c r="L12" i="89"/>
  <c r="K12" i="89"/>
  <c r="J12" i="89"/>
  <c r="I12" i="89"/>
  <c r="H12" i="89"/>
  <c r="G12" i="89"/>
  <c r="F12" i="89"/>
  <c r="E12" i="89"/>
  <c r="D12" i="89"/>
  <c r="C12" i="89"/>
  <c r="O11" i="89"/>
  <c r="N11" i="89"/>
  <c r="M11" i="89"/>
  <c r="L11" i="89"/>
  <c r="K11" i="89"/>
  <c r="J11" i="89"/>
  <c r="I11" i="89"/>
  <c r="H11" i="89"/>
  <c r="G11" i="89"/>
  <c r="F11" i="89"/>
  <c r="E11" i="89"/>
  <c r="D11" i="89"/>
  <c r="C11" i="89"/>
  <c r="O10" i="89"/>
  <c r="N10" i="89"/>
  <c r="M10" i="89"/>
  <c r="L10" i="89"/>
  <c r="K10" i="89"/>
  <c r="J10" i="89"/>
  <c r="I10" i="89"/>
  <c r="H10" i="89"/>
  <c r="G10" i="89"/>
  <c r="F10" i="89"/>
  <c r="E10" i="89"/>
  <c r="D10" i="89"/>
  <c r="C10" i="89"/>
  <c r="O9" i="89"/>
  <c r="N9" i="89"/>
  <c r="M9" i="89"/>
  <c r="L9" i="89"/>
  <c r="K9" i="89"/>
  <c r="J9" i="89"/>
  <c r="I9" i="89"/>
  <c r="H9" i="89"/>
  <c r="G9" i="89"/>
  <c r="F9" i="89"/>
  <c r="E9" i="89"/>
  <c r="D9" i="89"/>
  <c r="C9" i="89"/>
  <c r="O8" i="89"/>
  <c r="N8" i="89"/>
  <c r="M8" i="89"/>
  <c r="L8" i="89"/>
  <c r="K8" i="89"/>
  <c r="J8" i="89"/>
  <c r="I8" i="89"/>
  <c r="H8" i="89"/>
  <c r="G8" i="89"/>
  <c r="F8" i="89"/>
  <c r="E8" i="89"/>
  <c r="D8" i="89"/>
  <c r="C8" i="89"/>
  <c r="O7" i="89"/>
  <c r="N7" i="89"/>
  <c r="M7" i="89"/>
  <c r="L7" i="89"/>
  <c r="K7" i="89"/>
  <c r="J7" i="89"/>
  <c r="I7" i="89"/>
  <c r="H7" i="89"/>
  <c r="G7" i="89"/>
  <c r="F7" i="89"/>
  <c r="E7" i="89"/>
  <c r="D7" i="89"/>
  <c r="C7" i="89"/>
  <c r="O6" i="89"/>
  <c r="N6" i="89"/>
  <c r="M6" i="89"/>
  <c r="L6" i="89"/>
  <c r="K6" i="89"/>
  <c r="J6" i="89"/>
  <c r="I6" i="89"/>
  <c r="H6" i="89"/>
  <c r="G6" i="89"/>
  <c r="F6" i="89"/>
  <c r="E6" i="89"/>
  <c r="D6" i="89"/>
  <c r="C6" i="89"/>
  <c r="O3" i="87"/>
  <c r="O4" i="87"/>
  <c r="O5" i="87"/>
  <c r="O12" i="87"/>
  <c r="N3" i="87"/>
  <c r="N4" i="87"/>
  <c r="N5" i="87"/>
  <c r="N12" i="87"/>
  <c r="M3" i="87"/>
  <c r="M4" i="87"/>
  <c r="M5" i="87"/>
  <c r="M12" i="87"/>
  <c r="L3" i="87"/>
  <c r="L4" i="87"/>
  <c r="L5" i="87"/>
  <c r="L12" i="87"/>
  <c r="K3" i="87"/>
  <c r="K4" i="87"/>
  <c r="K5" i="87"/>
  <c r="K12" i="87"/>
  <c r="J3" i="87"/>
  <c r="J4" i="87"/>
  <c r="J5" i="87"/>
  <c r="J12" i="87"/>
  <c r="I3" i="87"/>
  <c r="I4" i="87"/>
  <c r="I5" i="87"/>
  <c r="I12" i="87"/>
  <c r="H3" i="87"/>
  <c r="H4" i="87"/>
  <c r="H5" i="87"/>
  <c r="H12" i="87"/>
  <c r="G3" i="87"/>
  <c r="G4" i="87"/>
  <c r="G5" i="87"/>
  <c r="G12" i="87"/>
  <c r="F3" i="87"/>
  <c r="F4" i="87"/>
  <c r="F5" i="87"/>
  <c r="F12" i="87"/>
  <c r="E3" i="87"/>
  <c r="E4" i="87"/>
  <c r="E5" i="87"/>
  <c r="E12" i="87"/>
  <c r="D3" i="87"/>
  <c r="D4" i="87"/>
  <c r="D5" i="87"/>
  <c r="D12" i="87"/>
  <c r="C3" i="87"/>
  <c r="C4" i="87"/>
  <c r="C5" i="87"/>
  <c r="C12" i="87"/>
  <c r="O11" i="87"/>
  <c r="N11" i="87"/>
  <c r="M11" i="87"/>
  <c r="L11" i="87"/>
  <c r="K11" i="87"/>
  <c r="J11" i="87"/>
  <c r="I11" i="87"/>
  <c r="H11" i="87"/>
  <c r="G11" i="87"/>
  <c r="F11" i="87"/>
  <c r="E11" i="87"/>
  <c r="D11" i="87"/>
  <c r="C11" i="87"/>
  <c r="O10" i="87"/>
  <c r="N10" i="87"/>
  <c r="M10" i="87"/>
  <c r="L10" i="87"/>
  <c r="K10" i="87"/>
  <c r="J10" i="87"/>
  <c r="I10" i="87"/>
  <c r="H10" i="87"/>
  <c r="G10" i="87"/>
  <c r="F10" i="87"/>
  <c r="E10" i="87"/>
  <c r="D10" i="87"/>
  <c r="C10" i="87"/>
  <c r="O9" i="87"/>
  <c r="N9" i="87"/>
  <c r="M9" i="87"/>
  <c r="L9" i="87"/>
  <c r="K9" i="87"/>
  <c r="J9" i="87"/>
  <c r="I9" i="87"/>
  <c r="H9" i="87"/>
  <c r="G9" i="87"/>
  <c r="F9" i="87"/>
  <c r="E9" i="87"/>
  <c r="D9" i="87"/>
  <c r="C9" i="87"/>
  <c r="O8" i="87"/>
  <c r="N8" i="87"/>
  <c r="M8" i="87"/>
  <c r="L8" i="87"/>
  <c r="K8" i="87"/>
  <c r="J8" i="87"/>
  <c r="I8" i="87"/>
  <c r="H8" i="87"/>
  <c r="G8" i="87"/>
  <c r="F8" i="87"/>
  <c r="E8" i="87"/>
  <c r="D8" i="87"/>
  <c r="C8" i="87"/>
  <c r="O7" i="87"/>
  <c r="N7" i="87"/>
  <c r="M7" i="87"/>
  <c r="L7" i="87"/>
  <c r="K7" i="87"/>
  <c r="J7" i="87"/>
  <c r="I7" i="87"/>
  <c r="H7" i="87"/>
  <c r="G7" i="87"/>
  <c r="F7" i="87"/>
  <c r="E7" i="87"/>
  <c r="D7" i="87"/>
  <c r="C7" i="87"/>
  <c r="O6" i="87"/>
  <c r="N6" i="87"/>
  <c r="M6" i="87"/>
  <c r="L6" i="87"/>
  <c r="K6" i="87"/>
  <c r="J6" i="87"/>
  <c r="I6" i="87"/>
  <c r="H6" i="87"/>
  <c r="G6" i="87"/>
  <c r="F6" i="87"/>
  <c r="E6" i="87"/>
  <c r="D6" i="87"/>
  <c r="C6" i="87"/>
  <c r="O3" i="86"/>
  <c r="O4" i="86"/>
  <c r="O5" i="86"/>
  <c r="O17" i="86"/>
  <c r="N3" i="86"/>
  <c r="N4" i="86"/>
  <c r="N5" i="86"/>
  <c r="N17" i="86"/>
  <c r="M3" i="86"/>
  <c r="M4" i="86"/>
  <c r="M5" i="86"/>
  <c r="M17" i="86"/>
  <c r="L3" i="86"/>
  <c r="L4" i="86"/>
  <c r="L5" i="86"/>
  <c r="L17" i="86"/>
  <c r="K3" i="86"/>
  <c r="K4" i="86"/>
  <c r="K5" i="86"/>
  <c r="K17" i="86"/>
  <c r="J3" i="86"/>
  <c r="J4" i="86"/>
  <c r="J5" i="86"/>
  <c r="J17" i="86"/>
  <c r="I3" i="86"/>
  <c r="I4" i="86"/>
  <c r="I5" i="86"/>
  <c r="I17" i="86"/>
  <c r="H3" i="86"/>
  <c r="H4" i="86"/>
  <c r="H5" i="86"/>
  <c r="H17" i="86"/>
  <c r="G3" i="86"/>
  <c r="G4" i="86"/>
  <c r="G5" i="86"/>
  <c r="G17" i="86"/>
  <c r="F3" i="86"/>
  <c r="F4" i="86"/>
  <c r="F5" i="86"/>
  <c r="F17" i="86"/>
  <c r="E3" i="86"/>
  <c r="E4" i="86"/>
  <c r="E5" i="86"/>
  <c r="E17" i="86"/>
  <c r="D3" i="86"/>
  <c r="D4" i="86"/>
  <c r="D5" i="86"/>
  <c r="D17" i="86"/>
  <c r="C3" i="86"/>
  <c r="C4" i="86"/>
  <c r="C5" i="86"/>
  <c r="C17" i="86"/>
  <c r="O16" i="86"/>
  <c r="N16" i="86"/>
  <c r="M16" i="86"/>
  <c r="L16" i="86"/>
  <c r="K16" i="86"/>
  <c r="J16" i="86"/>
  <c r="I16" i="86"/>
  <c r="H16" i="86"/>
  <c r="G16" i="86"/>
  <c r="F16" i="86"/>
  <c r="O15" i="86"/>
  <c r="N15" i="86"/>
  <c r="M15" i="86"/>
  <c r="L15" i="86"/>
  <c r="K15" i="86"/>
  <c r="J15" i="86"/>
  <c r="I15" i="86"/>
  <c r="H15" i="86"/>
  <c r="G15" i="86"/>
  <c r="F15" i="86"/>
  <c r="O14" i="86"/>
  <c r="N14" i="86"/>
  <c r="M14" i="86"/>
  <c r="L14" i="86"/>
  <c r="K14" i="86"/>
  <c r="J14" i="86"/>
  <c r="I14" i="86"/>
  <c r="H14" i="86"/>
  <c r="G14" i="86"/>
  <c r="F14" i="86"/>
  <c r="E14" i="86"/>
  <c r="D14" i="86"/>
  <c r="C14" i="86"/>
  <c r="O13" i="86"/>
  <c r="N13" i="86"/>
  <c r="M13" i="86"/>
  <c r="L13" i="86"/>
  <c r="K13" i="86"/>
  <c r="J13" i="86"/>
  <c r="I13" i="86"/>
  <c r="H13" i="86"/>
  <c r="G13" i="86"/>
  <c r="F13" i="86"/>
  <c r="E13" i="86"/>
  <c r="D13" i="86"/>
  <c r="C13" i="86"/>
  <c r="O12" i="86"/>
  <c r="N12" i="86"/>
  <c r="M12" i="86"/>
  <c r="L12" i="86"/>
  <c r="K12" i="86"/>
  <c r="J12" i="86"/>
  <c r="I12" i="86"/>
  <c r="H12" i="86"/>
  <c r="G12" i="86"/>
  <c r="F12" i="86"/>
  <c r="E12" i="86"/>
  <c r="D12" i="86"/>
  <c r="C12" i="86"/>
  <c r="O11" i="86"/>
  <c r="N11" i="86"/>
  <c r="M11" i="86"/>
  <c r="L11" i="86"/>
  <c r="K11" i="86"/>
  <c r="J11" i="86"/>
  <c r="I11" i="86"/>
  <c r="H11" i="86"/>
  <c r="G11" i="86"/>
  <c r="F11" i="86"/>
  <c r="E11" i="86"/>
  <c r="D11" i="86"/>
  <c r="C11" i="86"/>
  <c r="O10" i="86"/>
  <c r="N10" i="86"/>
  <c r="M10" i="86"/>
  <c r="L10" i="86"/>
  <c r="K10" i="86"/>
  <c r="J10" i="86"/>
  <c r="I10" i="86"/>
  <c r="H10" i="86"/>
  <c r="G10" i="86"/>
  <c r="F10" i="86"/>
  <c r="E10" i="86"/>
  <c r="D10" i="86"/>
  <c r="C10" i="86"/>
  <c r="O9" i="86"/>
  <c r="N9" i="86"/>
  <c r="M9" i="86"/>
  <c r="L9" i="86"/>
  <c r="K9" i="86"/>
  <c r="J9" i="86"/>
  <c r="I9" i="86"/>
  <c r="H9" i="86"/>
  <c r="G9" i="86"/>
  <c r="F9" i="86"/>
  <c r="O8" i="86"/>
  <c r="N8" i="86"/>
  <c r="M8" i="86"/>
  <c r="L8" i="86"/>
  <c r="K8" i="86"/>
  <c r="J8" i="86"/>
  <c r="I8" i="86"/>
  <c r="H8" i="86"/>
  <c r="G8" i="86"/>
  <c r="F8" i="86"/>
  <c r="E8" i="86"/>
  <c r="D8" i="86"/>
  <c r="C8" i="86"/>
  <c r="O7" i="86"/>
  <c r="N7" i="86"/>
  <c r="M7" i="86"/>
  <c r="L7" i="86"/>
  <c r="K7" i="86"/>
  <c r="J7" i="86"/>
  <c r="I7" i="86"/>
  <c r="H7" i="86"/>
  <c r="G7" i="86"/>
  <c r="F7" i="86"/>
  <c r="E7" i="86"/>
  <c r="D7" i="86"/>
  <c r="C7" i="86"/>
  <c r="O6" i="86"/>
  <c r="N6" i="86"/>
  <c r="M6" i="86"/>
  <c r="L6" i="86"/>
  <c r="K6" i="86"/>
  <c r="J6" i="86"/>
  <c r="I6" i="86"/>
  <c r="H6" i="86"/>
  <c r="G6" i="86"/>
  <c r="F6" i="86"/>
  <c r="E6" i="86"/>
  <c r="D6" i="86"/>
  <c r="C6" i="86"/>
  <c r="O3" i="84"/>
  <c r="O4" i="84"/>
  <c r="O5" i="84"/>
  <c r="O115" i="84"/>
  <c r="N3" i="84"/>
  <c r="N4" i="84"/>
  <c r="N5" i="84"/>
  <c r="N115" i="84"/>
  <c r="M3" i="84"/>
  <c r="M4" i="84"/>
  <c r="M5" i="84"/>
  <c r="M115" i="84"/>
  <c r="L3" i="84"/>
  <c r="L4" i="84"/>
  <c r="L5" i="84"/>
  <c r="L115" i="84"/>
  <c r="K3" i="84"/>
  <c r="K4" i="84"/>
  <c r="K5" i="84"/>
  <c r="K115" i="84"/>
  <c r="J3" i="84"/>
  <c r="J4" i="84"/>
  <c r="J5" i="84"/>
  <c r="J115" i="84"/>
  <c r="I3" i="84"/>
  <c r="I4" i="84"/>
  <c r="I5" i="84"/>
  <c r="I115" i="84"/>
  <c r="H3" i="84"/>
  <c r="H4" i="84"/>
  <c r="H5" i="84"/>
  <c r="H115" i="84"/>
  <c r="G3" i="84"/>
  <c r="G4" i="84"/>
  <c r="G5" i="84"/>
  <c r="G115" i="84"/>
  <c r="F3" i="84"/>
  <c r="F4" i="84"/>
  <c r="F5" i="84"/>
  <c r="F115" i="84"/>
  <c r="E3" i="84"/>
  <c r="E4" i="84"/>
  <c r="E5" i="84"/>
  <c r="E115" i="84"/>
  <c r="D3" i="84"/>
  <c r="D4" i="84"/>
  <c r="D5" i="84"/>
  <c r="D115" i="84"/>
  <c r="C3" i="84"/>
  <c r="C4" i="84"/>
  <c r="C5" i="84"/>
  <c r="C115" i="84"/>
  <c r="O114" i="84"/>
  <c r="N114" i="84"/>
  <c r="M114" i="84"/>
  <c r="L114" i="84"/>
  <c r="K114" i="84"/>
  <c r="J114" i="84"/>
  <c r="I114" i="84"/>
  <c r="H114" i="84"/>
  <c r="G114" i="84"/>
  <c r="F114" i="84"/>
  <c r="E114" i="84"/>
  <c r="D114" i="84"/>
  <c r="C114" i="84"/>
  <c r="O113" i="84"/>
  <c r="N113" i="84"/>
  <c r="M113" i="84"/>
  <c r="L113" i="84"/>
  <c r="K113" i="84"/>
  <c r="J113" i="84"/>
  <c r="I113" i="84"/>
  <c r="H113" i="84"/>
  <c r="G113" i="84"/>
  <c r="F113" i="84"/>
  <c r="E113" i="84"/>
  <c r="D113" i="84"/>
  <c r="C113" i="84"/>
  <c r="O112" i="84"/>
  <c r="N112" i="84"/>
  <c r="M112" i="84"/>
  <c r="L112" i="84"/>
  <c r="K112" i="84"/>
  <c r="J112" i="84"/>
  <c r="I112" i="84"/>
  <c r="H112" i="84"/>
  <c r="G112" i="84"/>
  <c r="F112" i="84"/>
  <c r="E112" i="84"/>
  <c r="D112" i="84"/>
  <c r="C112" i="84"/>
  <c r="O111" i="84"/>
  <c r="N111" i="84"/>
  <c r="M111" i="84"/>
  <c r="L111" i="84"/>
  <c r="K111" i="84"/>
  <c r="J111" i="84"/>
  <c r="I111" i="84"/>
  <c r="H111" i="84"/>
  <c r="G111" i="84"/>
  <c r="F111" i="84"/>
  <c r="E111" i="84"/>
  <c r="D111" i="84"/>
  <c r="C111" i="84"/>
  <c r="O110" i="84"/>
  <c r="N110" i="84"/>
  <c r="M110" i="84"/>
  <c r="L110" i="84"/>
  <c r="K110" i="84"/>
  <c r="J110" i="84"/>
  <c r="I110" i="84"/>
  <c r="H110" i="84"/>
  <c r="G110" i="84"/>
  <c r="F110" i="84"/>
  <c r="E110" i="84"/>
  <c r="D110" i="84"/>
  <c r="C110" i="84"/>
  <c r="O109" i="84"/>
  <c r="N109" i="84"/>
  <c r="M109" i="84"/>
  <c r="L109" i="84"/>
  <c r="K109" i="84"/>
  <c r="J109" i="84"/>
  <c r="I109" i="84"/>
  <c r="H109" i="84"/>
  <c r="G109" i="84"/>
  <c r="F109" i="84"/>
  <c r="E109" i="84"/>
  <c r="D109" i="84"/>
  <c r="C109" i="84"/>
  <c r="O108" i="84"/>
  <c r="N108" i="84"/>
  <c r="M108" i="84"/>
  <c r="L108" i="84"/>
  <c r="K108" i="84"/>
  <c r="J108" i="84"/>
  <c r="I108" i="84"/>
  <c r="H108" i="84"/>
  <c r="G108" i="84"/>
  <c r="F108" i="84"/>
  <c r="E108" i="84"/>
  <c r="D108" i="84"/>
  <c r="C108" i="84"/>
  <c r="O107" i="84"/>
  <c r="N107" i="84"/>
  <c r="M107" i="84"/>
  <c r="L107" i="84"/>
  <c r="K107" i="84"/>
  <c r="J107" i="84"/>
  <c r="I107" i="84"/>
  <c r="H107" i="84"/>
  <c r="G107" i="84"/>
  <c r="F107" i="84"/>
  <c r="E107" i="84"/>
  <c r="D107" i="84"/>
  <c r="C107" i="84"/>
  <c r="O106" i="84"/>
  <c r="N106" i="84"/>
  <c r="M106" i="84"/>
  <c r="L106" i="84"/>
  <c r="K106" i="84"/>
  <c r="J106" i="84"/>
  <c r="I106" i="84"/>
  <c r="H106" i="84"/>
  <c r="G106" i="84"/>
  <c r="F106" i="84"/>
  <c r="E106" i="84"/>
  <c r="D106" i="84"/>
  <c r="C106" i="84"/>
  <c r="O105" i="84"/>
  <c r="N105" i="84"/>
  <c r="M105" i="84"/>
  <c r="L105" i="84"/>
  <c r="K105" i="84"/>
  <c r="J105" i="84"/>
  <c r="I105" i="84"/>
  <c r="H105" i="84"/>
  <c r="G105" i="84"/>
  <c r="F105" i="84"/>
  <c r="E105" i="84"/>
  <c r="D105" i="84"/>
  <c r="C105" i="84"/>
  <c r="O104" i="84"/>
  <c r="N104" i="84"/>
  <c r="M104" i="84"/>
  <c r="L104" i="84"/>
  <c r="K104" i="84"/>
  <c r="J104" i="84"/>
  <c r="I104" i="84"/>
  <c r="H104" i="84"/>
  <c r="G104" i="84"/>
  <c r="F104" i="84"/>
  <c r="E104" i="84"/>
  <c r="D104" i="84"/>
  <c r="C104" i="84"/>
  <c r="O103" i="84"/>
  <c r="N103" i="84"/>
  <c r="M103" i="84"/>
  <c r="L103" i="84"/>
  <c r="K103" i="84"/>
  <c r="J103" i="84"/>
  <c r="I103" i="84"/>
  <c r="H103" i="84"/>
  <c r="G103" i="84"/>
  <c r="F103" i="84"/>
  <c r="E103" i="84"/>
  <c r="D103" i="84"/>
  <c r="C103" i="84"/>
  <c r="O102" i="84"/>
  <c r="N102" i="84"/>
  <c r="M102" i="84"/>
  <c r="L102" i="84"/>
  <c r="K102" i="84"/>
  <c r="J102" i="84"/>
  <c r="I102" i="84"/>
  <c r="H102" i="84"/>
  <c r="G102" i="84"/>
  <c r="F102" i="84"/>
  <c r="E102" i="84"/>
  <c r="D102" i="84"/>
  <c r="C102" i="84"/>
  <c r="O101" i="84"/>
  <c r="N101" i="84"/>
  <c r="M101" i="84"/>
  <c r="L101" i="84"/>
  <c r="K101" i="84"/>
  <c r="J101" i="84"/>
  <c r="I101" i="84"/>
  <c r="H101" i="84"/>
  <c r="G101" i="84"/>
  <c r="F101" i="84"/>
  <c r="E101" i="84"/>
  <c r="D101" i="84"/>
  <c r="C101" i="84"/>
  <c r="O100" i="84"/>
  <c r="N100" i="84"/>
  <c r="M100" i="84"/>
  <c r="L100" i="84"/>
  <c r="K100" i="84"/>
  <c r="J100" i="84"/>
  <c r="I100" i="84"/>
  <c r="H100" i="84"/>
  <c r="G100" i="84"/>
  <c r="F100" i="84"/>
  <c r="E100" i="84"/>
  <c r="D100" i="84"/>
  <c r="C100" i="84"/>
  <c r="O99" i="84"/>
  <c r="N99" i="84"/>
  <c r="M99" i="84"/>
  <c r="L99" i="84"/>
  <c r="K99" i="84"/>
  <c r="J99" i="84"/>
  <c r="I99" i="84"/>
  <c r="H99" i="84"/>
  <c r="G99" i="84"/>
  <c r="F99" i="84"/>
  <c r="E99" i="84"/>
  <c r="D99" i="84"/>
  <c r="C99" i="84"/>
  <c r="O98" i="84"/>
  <c r="N98" i="84"/>
  <c r="M98" i="84"/>
  <c r="L98" i="84"/>
  <c r="K98" i="84"/>
  <c r="J98" i="84"/>
  <c r="I98" i="84"/>
  <c r="H98" i="84"/>
  <c r="G98" i="84"/>
  <c r="F98" i="84"/>
  <c r="E98" i="84"/>
  <c r="D98" i="84"/>
  <c r="C98" i="84"/>
  <c r="O97" i="84"/>
  <c r="N97" i="84"/>
  <c r="M97" i="84"/>
  <c r="L97" i="84"/>
  <c r="K97" i="84"/>
  <c r="J97" i="84"/>
  <c r="I97" i="84"/>
  <c r="H97" i="84"/>
  <c r="G97" i="84"/>
  <c r="F97" i="84"/>
  <c r="E97" i="84"/>
  <c r="D97" i="84"/>
  <c r="C97" i="84"/>
  <c r="O96" i="84"/>
  <c r="N96" i="84"/>
  <c r="M96" i="84"/>
  <c r="L96" i="84"/>
  <c r="K96" i="84"/>
  <c r="J96" i="84"/>
  <c r="I96" i="84"/>
  <c r="H96" i="84"/>
  <c r="G96" i="84"/>
  <c r="F96" i="84"/>
  <c r="E96" i="84"/>
  <c r="D96" i="84"/>
  <c r="C96" i="84"/>
  <c r="O95" i="84"/>
  <c r="N95" i="84"/>
  <c r="M95" i="84"/>
  <c r="L95" i="84"/>
  <c r="K95" i="84"/>
  <c r="J95" i="84"/>
  <c r="I95" i="84"/>
  <c r="H95" i="84"/>
  <c r="G95" i="84"/>
  <c r="F95" i="84"/>
  <c r="E95" i="84"/>
  <c r="D95" i="84"/>
  <c r="C95" i="84"/>
  <c r="O94" i="84"/>
  <c r="N94" i="84"/>
  <c r="M94" i="84"/>
  <c r="L94" i="84"/>
  <c r="K94" i="84"/>
  <c r="J94" i="84"/>
  <c r="I94" i="84"/>
  <c r="H94" i="84"/>
  <c r="G94" i="84"/>
  <c r="F94" i="84"/>
  <c r="E94" i="84"/>
  <c r="D94" i="84"/>
  <c r="C94" i="84"/>
  <c r="O93" i="84"/>
  <c r="N93" i="84"/>
  <c r="M93" i="84"/>
  <c r="L93" i="84"/>
  <c r="K93" i="84"/>
  <c r="J93" i="84"/>
  <c r="I93" i="84"/>
  <c r="H93" i="84"/>
  <c r="G93" i="84"/>
  <c r="F93" i="84"/>
  <c r="E93" i="84"/>
  <c r="D93" i="84"/>
  <c r="C93" i="84"/>
  <c r="O92" i="84"/>
  <c r="N92" i="84"/>
  <c r="M92" i="84"/>
  <c r="L92" i="84"/>
  <c r="K92" i="84"/>
  <c r="J92" i="84"/>
  <c r="I92" i="84"/>
  <c r="H92" i="84"/>
  <c r="G92" i="84"/>
  <c r="F92" i="84"/>
  <c r="E92" i="84"/>
  <c r="D92" i="84"/>
  <c r="C92" i="84"/>
  <c r="O91" i="84"/>
  <c r="N91" i="84"/>
  <c r="M91" i="84"/>
  <c r="L91" i="84"/>
  <c r="K91" i="84"/>
  <c r="J91" i="84"/>
  <c r="I91" i="84"/>
  <c r="H91" i="84"/>
  <c r="G91" i="84"/>
  <c r="F91" i="84"/>
  <c r="E91" i="84"/>
  <c r="D91" i="84"/>
  <c r="C91" i="84"/>
  <c r="O90" i="84"/>
  <c r="N90" i="84"/>
  <c r="M90" i="84"/>
  <c r="L90" i="84"/>
  <c r="K90" i="84"/>
  <c r="J90" i="84"/>
  <c r="I90" i="84"/>
  <c r="H90" i="84"/>
  <c r="G90" i="84"/>
  <c r="F90" i="84"/>
  <c r="E90" i="84"/>
  <c r="D90" i="84"/>
  <c r="C90" i="84"/>
  <c r="O89" i="84"/>
  <c r="N89" i="84"/>
  <c r="M89" i="84"/>
  <c r="L89" i="84"/>
  <c r="K89" i="84"/>
  <c r="J89" i="84"/>
  <c r="I89" i="84"/>
  <c r="H89" i="84"/>
  <c r="G89" i="84"/>
  <c r="F89" i="84"/>
  <c r="E89" i="84"/>
  <c r="D89" i="84"/>
  <c r="C89" i="84"/>
  <c r="O88" i="84"/>
  <c r="N88" i="84"/>
  <c r="M88" i="84"/>
  <c r="L88" i="84"/>
  <c r="K88" i="84"/>
  <c r="J88" i="84"/>
  <c r="I88" i="84"/>
  <c r="H88" i="84"/>
  <c r="G88" i="84"/>
  <c r="F88" i="84"/>
  <c r="E88" i="84"/>
  <c r="D88" i="84"/>
  <c r="C88" i="84"/>
  <c r="O87" i="84"/>
  <c r="N87" i="84"/>
  <c r="M87" i="84"/>
  <c r="L87" i="84"/>
  <c r="K87" i="84"/>
  <c r="J87" i="84"/>
  <c r="I87" i="84"/>
  <c r="H87" i="84"/>
  <c r="G87" i="84"/>
  <c r="F87" i="84"/>
  <c r="E87" i="84"/>
  <c r="D87" i="84"/>
  <c r="C87" i="84"/>
  <c r="O86" i="84"/>
  <c r="N86" i="84"/>
  <c r="M86" i="84"/>
  <c r="L86" i="84"/>
  <c r="K86" i="84"/>
  <c r="J86" i="84"/>
  <c r="I86" i="84"/>
  <c r="H86" i="84"/>
  <c r="G86" i="84"/>
  <c r="F86" i="84"/>
  <c r="E86" i="84"/>
  <c r="D86" i="84"/>
  <c r="C86" i="84"/>
  <c r="O85" i="84"/>
  <c r="N85" i="84"/>
  <c r="M85" i="84"/>
  <c r="L85" i="84"/>
  <c r="K85" i="84"/>
  <c r="J85" i="84"/>
  <c r="I85" i="84"/>
  <c r="H85" i="84"/>
  <c r="G85" i="84"/>
  <c r="F85" i="84"/>
  <c r="E85" i="84"/>
  <c r="D85" i="84"/>
  <c r="C85" i="84"/>
  <c r="O84" i="84"/>
  <c r="N84" i="84"/>
  <c r="M84" i="84"/>
  <c r="L84" i="84"/>
  <c r="K84" i="84"/>
  <c r="J84" i="84"/>
  <c r="I84" i="84"/>
  <c r="H84" i="84"/>
  <c r="G84" i="84"/>
  <c r="F84" i="84"/>
  <c r="E84" i="84"/>
  <c r="D84" i="84"/>
  <c r="C84" i="84"/>
  <c r="O83" i="84"/>
  <c r="N83" i="84"/>
  <c r="M83" i="84"/>
  <c r="L83" i="84"/>
  <c r="K83" i="84"/>
  <c r="J83" i="84"/>
  <c r="I83" i="84"/>
  <c r="H83" i="84"/>
  <c r="G83" i="84"/>
  <c r="F83" i="84"/>
  <c r="E83" i="84"/>
  <c r="D83" i="84"/>
  <c r="C83" i="84"/>
  <c r="O82" i="84"/>
  <c r="N82" i="84"/>
  <c r="M82" i="84"/>
  <c r="L82" i="84"/>
  <c r="K82" i="84"/>
  <c r="J82" i="84"/>
  <c r="I82" i="84"/>
  <c r="H82" i="84"/>
  <c r="G82" i="84"/>
  <c r="F82" i="84"/>
  <c r="E82" i="84"/>
  <c r="D82" i="84"/>
  <c r="C82" i="84"/>
  <c r="O81" i="84"/>
  <c r="N81" i="84"/>
  <c r="M81" i="84"/>
  <c r="L81" i="84"/>
  <c r="K81" i="84"/>
  <c r="J81" i="84"/>
  <c r="I81" i="84"/>
  <c r="H81" i="84"/>
  <c r="G81" i="84"/>
  <c r="F81" i="84"/>
  <c r="E81" i="84"/>
  <c r="D81" i="84"/>
  <c r="C81" i="84"/>
  <c r="O80" i="84"/>
  <c r="N80" i="84"/>
  <c r="M80" i="84"/>
  <c r="L80" i="84"/>
  <c r="K80" i="84"/>
  <c r="J80" i="84"/>
  <c r="I80" i="84"/>
  <c r="H80" i="84"/>
  <c r="G80" i="84"/>
  <c r="F80" i="84"/>
  <c r="E80" i="84"/>
  <c r="D80" i="84"/>
  <c r="C80" i="84"/>
  <c r="O79" i="84"/>
  <c r="N79" i="84"/>
  <c r="M79" i="84"/>
  <c r="L79" i="84"/>
  <c r="K79" i="84"/>
  <c r="J79" i="84"/>
  <c r="I79" i="84"/>
  <c r="H79" i="84"/>
  <c r="G79" i="84"/>
  <c r="F79" i="84"/>
  <c r="E79" i="84"/>
  <c r="D79" i="84"/>
  <c r="C79" i="84"/>
  <c r="O78" i="84"/>
  <c r="N78" i="84"/>
  <c r="M78" i="84"/>
  <c r="L78" i="84"/>
  <c r="K78" i="84"/>
  <c r="J78" i="84"/>
  <c r="I78" i="84"/>
  <c r="H78" i="84"/>
  <c r="G78" i="84"/>
  <c r="F78" i="84"/>
  <c r="E78" i="84"/>
  <c r="D78" i="84"/>
  <c r="C78" i="84"/>
  <c r="O77" i="84"/>
  <c r="N77" i="84"/>
  <c r="M77" i="84"/>
  <c r="L77" i="84"/>
  <c r="K77" i="84"/>
  <c r="J77" i="84"/>
  <c r="I77" i="84"/>
  <c r="H77" i="84"/>
  <c r="G77" i="84"/>
  <c r="F77" i="84"/>
  <c r="E77" i="84"/>
  <c r="D77" i="84"/>
  <c r="C77" i="84"/>
  <c r="O76" i="84"/>
  <c r="N76" i="84"/>
  <c r="M76" i="84"/>
  <c r="L76" i="84"/>
  <c r="K76" i="84"/>
  <c r="J76" i="84"/>
  <c r="I76" i="84"/>
  <c r="H76" i="84"/>
  <c r="G76" i="84"/>
  <c r="F76" i="84"/>
  <c r="E76" i="84"/>
  <c r="D76" i="84"/>
  <c r="C76" i="84"/>
  <c r="O75" i="84"/>
  <c r="N75" i="84"/>
  <c r="M75" i="84"/>
  <c r="L75" i="84"/>
  <c r="K75" i="84"/>
  <c r="J75" i="84"/>
  <c r="I75" i="84"/>
  <c r="H75" i="84"/>
  <c r="G75" i="84"/>
  <c r="F75" i="84"/>
  <c r="E75" i="84"/>
  <c r="D75" i="84"/>
  <c r="C75" i="84"/>
  <c r="O74" i="84"/>
  <c r="N74" i="84"/>
  <c r="M74" i="84"/>
  <c r="L74" i="84"/>
  <c r="K74" i="84"/>
  <c r="J74" i="84"/>
  <c r="I74" i="84"/>
  <c r="H74" i="84"/>
  <c r="G74" i="84"/>
  <c r="F74" i="84"/>
  <c r="E74" i="84"/>
  <c r="D74" i="84"/>
  <c r="C74" i="84"/>
  <c r="O73" i="84"/>
  <c r="N73" i="84"/>
  <c r="M73" i="84"/>
  <c r="L73" i="84"/>
  <c r="K73" i="84"/>
  <c r="J73" i="84"/>
  <c r="I73" i="84"/>
  <c r="H73" i="84"/>
  <c r="G73" i="84"/>
  <c r="F73" i="84"/>
  <c r="E73" i="84"/>
  <c r="D73" i="84"/>
  <c r="C73" i="84"/>
  <c r="O72" i="84"/>
  <c r="N72" i="84"/>
  <c r="M72" i="84"/>
  <c r="L72" i="84"/>
  <c r="K72" i="84"/>
  <c r="J72" i="84"/>
  <c r="I72" i="84"/>
  <c r="H72" i="84"/>
  <c r="G72" i="84"/>
  <c r="F72" i="84"/>
  <c r="E72" i="84"/>
  <c r="D72" i="84"/>
  <c r="C72" i="84"/>
  <c r="O71" i="84"/>
  <c r="N71" i="84"/>
  <c r="M71" i="84"/>
  <c r="L71" i="84"/>
  <c r="K71" i="84"/>
  <c r="J71" i="84"/>
  <c r="I71" i="84"/>
  <c r="H71" i="84"/>
  <c r="G71" i="84"/>
  <c r="F71" i="84"/>
  <c r="E71" i="84"/>
  <c r="D71" i="84"/>
  <c r="C71" i="84"/>
  <c r="O70" i="84"/>
  <c r="N70" i="84"/>
  <c r="M70" i="84"/>
  <c r="L70" i="84"/>
  <c r="K70" i="84"/>
  <c r="J70" i="84"/>
  <c r="I70" i="84"/>
  <c r="H70" i="84"/>
  <c r="G70" i="84"/>
  <c r="F70" i="84"/>
  <c r="E70" i="84"/>
  <c r="D70" i="84"/>
  <c r="C70" i="84"/>
  <c r="O69" i="84"/>
  <c r="N69" i="84"/>
  <c r="M69" i="84"/>
  <c r="L69" i="84"/>
  <c r="K69" i="84"/>
  <c r="J69" i="84"/>
  <c r="I69" i="84"/>
  <c r="H69" i="84"/>
  <c r="G69" i="84"/>
  <c r="F69" i="84"/>
  <c r="E69" i="84"/>
  <c r="D69" i="84"/>
  <c r="C69" i="84"/>
  <c r="O68" i="84"/>
  <c r="N68" i="84"/>
  <c r="M68" i="84"/>
  <c r="L68" i="84"/>
  <c r="K68" i="84"/>
  <c r="J68" i="84"/>
  <c r="I68" i="84"/>
  <c r="H68" i="84"/>
  <c r="G68" i="84"/>
  <c r="F68" i="84"/>
  <c r="E68" i="84"/>
  <c r="D68" i="84"/>
  <c r="C68" i="84"/>
  <c r="O67" i="84"/>
  <c r="N67" i="84"/>
  <c r="M67" i="84"/>
  <c r="L67" i="84"/>
  <c r="K67" i="84"/>
  <c r="J67" i="84"/>
  <c r="I67" i="84"/>
  <c r="H67" i="84"/>
  <c r="G67" i="84"/>
  <c r="F67" i="84"/>
  <c r="E67" i="84"/>
  <c r="D67" i="84"/>
  <c r="C67" i="84"/>
  <c r="O66" i="84"/>
  <c r="N66" i="84"/>
  <c r="M66" i="84"/>
  <c r="L66" i="84"/>
  <c r="K66" i="84"/>
  <c r="J66" i="84"/>
  <c r="I66" i="84"/>
  <c r="H66" i="84"/>
  <c r="G66" i="84"/>
  <c r="F66" i="84"/>
  <c r="E66" i="84"/>
  <c r="D66" i="84"/>
  <c r="C66" i="84"/>
  <c r="O65" i="84"/>
  <c r="N65" i="84"/>
  <c r="M65" i="84"/>
  <c r="L65" i="84"/>
  <c r="K65" i="84"/>
  <c r="J65" i="84"/>
  <c r="I65" i="84"/>
  <c r="H65" i="84"/>
  <c r="G65" i="84"/>
  <c r="F65" i="84"/>
  <c r="E65" i="84"/>
  <c r="D65" i="84"/>
  <c r="C65" i="84"/>
  <c r="O64" i="84"/>
  <c r="N64" i="84"/>
  <c r="M64" i="84"/>
  <c r="L64" i="84"/>
  <c r="K64" i="84"/>
  <c r="J64" i="84"/>
  <c r="I64" i="84"/>
  <c r="H64" i="84"/>
  <c r="G64" i="84"/>
  <c r="F64" i="84"/>
  <c r="E64" i="84"/>
  <c r="D64" i="84"/>
  <c r="C64" i="84"/>
  <c r="O63" i="84"/>
  <c r="N63" i="84"/>
  <c r="M63" i="84"/>
  <c r="L63" i="84"/>
  <c r="K63" i="84"/>
  <c r="J63" i="84"/>
  <c r="I63" i="84"/>
  <c r="H63" i="84"/>
  <c r="G63" i="84"/>
  <c r="F63" i="84"/>
  <c r="E63" i="84"/>
  <c r="D63" i="84"/>
  <c r="C63" i="84"/>
  <c r="O62" i="84"/>
  <c r="N62" i="84"/>
  <c r="M62" i="84"/>
  <c r="L62" i="84"/>
  <c r="K62" i="84"/>
  <c r="J62" i="84"/>
  <c r="I62" i="84"/>
  <c r="H62" i="84"/>
  <c r="G62" i="84"/>
  <c r="F62" i="84"/>
  <c r="E62" i="84"/>
  <c r="D62" i="84"/>
  <c r="C62" i="84"/>
  <c r="O61" i="84"/>
  <c r="N61" i="84"/>
  <c r="M61" i="84"/>
  <c r="L61" i="84"/>
  <c r="K61" i="84"/>
  <c r="J61" i="84"/>
  <c r="I61" i="84"/>
  <c r="H61" i="84"/>
  <c r="G61" i="84"/>
  <c r="F61" i="84"/>
  <c r="E61" i="84"/>
  <c r="D61" i="84"/>
  <c r="C61" i="84"/>
  <c r="O60" i="84"/>
  <c r="N60" i="84"/>
  <c r="M60" i="84"/>
  <c r="L60" i="84"/>
  <c r="K60" i="84"/>
  <c r="J60" i="84"/>
  <c r="I60" i="84"/>
  <c r="H60" i="84"/>
  <c r="G60" i="84"/>
  <c r="F60" i="84"/>
  <c r="E60" i="84"/>
  <c r="D60" i="84"/>
  <c r="C60" i="84"/>
  <c r="O59" i="84"/>
  <c r="N59" i="84"/>
  <c r="M59" i="84"/>
  <c r="L59" i="84"/>
  <c r="K59" i="84"/>
  <c r="J59" i="84"/>
  <c r="I59" i="84"/>
  <c r="H59" i="84"/>
  <c r="G59" i="84"/>
  <c r="F59" i="84"/>
  <c r="E59" i="84"/>
  <c r="D59" i="84"/>
  <c r="C59" i="84"/>
  <c r="O58" i="84"/>
  <c r="N58" i="84"/>
  <c r="M58" i="84"/>
  <c r="L58" i="84"/>
  <c r="K58" i="84"/>
  <c r="J58" i="84"/>
  <c r="I58" i="84"/>
  <c r="H58" i="84"/>
  <c r="G58" i="84"/>
  <c r="F58" i="84"/>
  <c r="E58" i="84"/>
  <c r="D58" i="84"/>
  <c r="C58" i="84"/>
  <c r="O57" i="84"/>
  <c r="N57" i="84"/>
  <c r="M57" i="84"/>
  <c r="L57" i="84"/>
  <c r="K57" i="84"/>
  <c r="J57" i="84"/>
  <c r="I57" i="84"/>
  <c r="H57" i="84"/>
  <c r="G57" i="84"/>
  <c r="F57" i="84"/>
  <c r="E57" i="84"/>
  <c r="D57" i="84"/>
  <c r="C57" i="84"/>
  <c r="O56" i="84"/>
  <c r="N56" i="84"/>
  <c r="M56" i="84"/>
  <c r="L56" i="84"/>
  <c r="K56" i="84"/>
  <c r="J56" i="84"/>
  <c r="I56" i="84"/>
  <c r="H56" i="84"/>
  <c r="G56" i="84"/>
  <c r="F56" i="84"/>
  <c r="E56" i="84"/>
  <c r="D56" i="84"/>
  <c r="C56" i="84"/>
  <c r="O55" i="84"/>
  <c r="N55" i="84"/>
  <c r="M55" i="84"/>
  <c r="L55" i="84"/>
  <c r="K55" i="84"/>
  <c r="J55" i="84"/>
  <c r="I55" i="84"/>
  <c r="H55" i="84"/>
  <c r="G55" i="84"/>
  <c r="F55" i="84"/>
  <c r="E55" i="84"/>
  <c r="D55" i="84"/>
  <c r="C55" i="84"/>
  <c r="O54" i="84"/>
  <c r="N54" i="84"/>
  <c r="M54" i="84"/>
  <c r="L54" i="84"/>
  <c r="K54" i="84"/>
  <c r="J54" i="84"/>
  <c r="I54" i="84"/>
  <c r="H54" i="84"/>
  <c r="G54" i="84"/>
  <c r="F54" i="84"/>
  <c r="E54" i="84"/>
  <c r="D54" i="84"/>
  <c r="C54" i="84"/>
  <c r="O53" i="84"/>
  <c r="N53" i="84"/>
  <c r="M53" i="84"/>
  <c r="L53" i="84"/>
  <c r="K53" i="84"/>
  <c r="J53" i="84"/>
  <c r="I53" i="84"/>
  <c r="H53" i="84"/>
  <c r="G53" i="84"/>
  <c r="F53" i="84"/>
  <c r="E53" i="84"/>
  <c r="D53" i="84"/>
  <c r="C53" i="84"/>
  <c r="O52" i="84"/>
  <c r="N52" i="84"/>
  <c r="M52" i="84"/>
  <c r="L52" i="84"/>
  <c r="K52" i="84"/>
  <c r="J52" i="84"/>
  <c r="I52" i="84"/>
  <c r="H52" i="84"/>
  <c r="G52" i="84"/>
  <c r="F52" i="84"/>
  <c r="E52" i="84"/>
  <c r="D52" i="84"/>
  <c r="C52" i="84"/>
  <c r="O51" i="84"/>
  <c r="N51" i="84"/>
  <c r="M51" i="84"/>
  <c r="L51" i="84"/>
  <c r="K51" i="84"/>
  <c r="J51" i="84"/>
  <c r="I51" i="84"/>
  <c r="H51" i="84"/>
  <c r="G51" i="84"/>
  <c r="F51" i="84"/>
  <c r="E51" i="84"/>
  <c r="D51" i="84"/>
  <c r="C51" i="84"/>
  <c r="O50" i="84"/>
  <c r="N50" i="84"/>
  <c r="M50" i="84"/>
  <c r="L50" i="84"/>
  <c r="K50" i="84"/>
  <c r="J50" i="84"/>
  <c r="I50" i="84"/>
  <c r="H50" i="84"/>
  <c r="G50" i="84"/>
  <c r="F50" i="84"/>
  <c r="E50" i="84"/>
  <c r="D50" i="84"/>
  <c r="C50" i="84"/>
  <c r="O49" i="84"/>
  <c r="N49" i="84"/>
  <c r="M49" i="84"/>
  <c r="L49" i="84"/>
  <c r="K49" i="84"/>
  <c r="J49" i="84"/>
  <c r="I49" i="84"/>
  <c r="H49" i="84"/>
  <c r="G49" i="84"/>
  <c r="F49" i="84"/>
  <c r="E49" i="84"/>
  <c r="D49" i="84"/>
  <c r="C49" i="84"/>
  <c r="O48" i="84"/>
  <c r="N48" i="84"/>
  <c r="M48" i="84"/>
  <c r="L48" i="84"/>
  <c r="K48" i="84"/>
  <c r="J48" i="84"/>
  <c r="I48" i="84"/>
  <c r="H48" i="84"/>
  <c r="G48" i="84"/>
  <c r="F48" i="84"/>
  <c r="E48" i="84"/>
  <c r="D48" i="84"/>
  <c r="C48" i="84"/>
  <c r="O47" i="84"/>
  <c r="N47" i="84"/>
  <c r="M47" i="84"/>
  <c r="L47" i="84"/>
  <c r="K47" i="84"/>
  <c r="J47" i="84"/>
  <c r="I47" i="84"/>
  <c r="H47" i="84"/>
  <c r="G47" i="84"/>
  <c r="F47" i="84"/>
  <c r="E47" i="84"/>
  <c r="D47" i="84"/>
  <c r="C47" i="84"/>
  <c r="O46" i="84"/>
  <c r="N46" i="84"/>
  <c r="M46" i="84"/>
  <c r="L46" i="84"/>
  <c r="K46" i="84"/>
  <c r="J46" i="84"/>
  <c r="I46" i="84"/>
  <c r="H46" i="84"/>
  <c r="G46" i="84"/>
  <c r="F46" i="84"/>
  <c r="E46" i="84"/>
  <c r="D46" i="84"/>
  <c r="C46" i="84"/>
  <c r="O45" i="84"/>
  <c r="N45" i="84"/>
  <c r="M45" i="84"/>
  <c r="L45" i="84"/>
  <c r="K45" i="84"/>
  <c r="J45" i="84"/>
  <c r="I45" i="84"/>
  <c r="H45" i="84"/>
  <c r="G45" i="84"/>
  <c r="F45" i="84"/>
  <c r="E45" i="84"/>
  <c r="D45" i="84"/>
  <c r="C45" i="84"/>
  <c r="O44" i="84"/>
  <c r="N44" i="84"/>
  <c r="M44" i="84"/>
  <c r="L44" i="84"/>
  <c r="K44" i="84"/>
  <c r="J44" i="84"/>
  <c r="I44" i="84"/>
  <c r="H44" i="84"/>
  <c r="G44" i="84"/>
  <c r="F44" i="84"/>
  <c r="E44" i="84"/>
  <c r="D44" i="84"/>
  <c r="C44" i="84"/>
  <c r="O43" i="84"/>
  <c r="N43" i="84"/>
  <c r="M43" i="84"/>
  <c r="L43" i="84"/>
  <c r="K43" i="84"/>
  <c r="J43" i="84"/>
  <c r="I43" i="84"/>
  <c r="H43" i="84"/>
  <c r="G43" i="84"/>
  <c r="F43" i="84"/>
  <c r="E43" i="84"/>
  <c r="D43" i="84"/>
  <c r="C43" i="84"/>
  <c r="O42" i="84"/>
  <c r="N42" i="84"/>
  <c r="M42" i="84"/>
  <c r="L42" i="84"/>
  <c r="K42" i="84"/>
  <c r="J42" i="84"/>
  <c r="I42" i="84"/>
  <c r="H42" i="84"/>
  <c r="G42" i="84"/>
  <c r="F42" i="84"/>
  <c r="E42" i="84"/>
  <c r="D42" i="84"/>
  <c r="C42" i="84"/>
  <c r="O41" i="84"/>
  <c r="N41" i="84"/>
  <c r="M41" i="84"/>
  <c r="L41" i="84"/>
  <c r="K41" i="84"/>
  <c r="J41" i="84"/>
  <c r="I41" i="84"/>
  <c r="H41" i="84"/>
  <c r="G41" i="84"/>
  <c r="F41" i="84"/>
  <c r="E41" i="84"/>
  <c r="D41" i="84"/>
  <c r="C41" i="84"/>
  <c r="O40" i="84"/>
  <c r="N40" i="84"/>
  <c r="M40" i="84"/>
  <c r="L40" i="84"/>
  <c r="K40" i="84"/>
  <c r="J40" i="84"/>
  <c r="I40" i="84"/>
  <c r="H40" i="84"/>
  <c r="G40" i="84"/>
  <c r="F40" i="84"/>
  <c r="E40" i="84"/>
  <c r="D40" i="84"/>
  <c r="C40" i="84"/>
  <c r="O39" i="84"/>
  <c r="N39" i="84"/>
  <c r="M39" i="84"/>
  <c r="L39" i="84"/>
  <c r="K39" i="84"/>
  <c r="J39" i="84"/>
  <c r="I39" i="84"/>
  <c r="H39" i="84"/>
  <c r="G39" i="84"/>
  <c r="F39" i="84"/>
  <c r="E39" i="84"/>
  <c r="D39" i="84"/>
  <c r="C39" i="84"/>
  <c r="O38" i="84"/>
  <c r="N38" i="84"/>
  <c r="M38" i="84"/>
  <c r="L38" i="84"/>
  <c r="K38" i="84"/>
  <c r="J38" i="84"/>
  <c r="I38" i="84"/>
  <c r="H38" i="84"/>
  <c r="G38" i="84"/>
  <c r="F38" i="84"/>
  <c r="E38" i="84"/>
  <c r="D38" i="84"/>
  <c r="C38" i="84"/>
  <c r="O37" i="84"/>
  <c r="N37" i="84"/>
  <c r="M37" i="84"/>
  <c r="L37" i="84"/>
  <c r="K37" i="84"/>
  <c r="J37" i="84"/>
  <c r="I37" i="84"/>
  <c r="H37" i="84"/>
  <c r="G37" i="84"/>
  <c r="F37" i="84"/>
  <c r="E37" i="84"/>
  <c r="D37" i="84"/>
  <c r="C37" i="84"/>
  <c r="O36" i="84"/>
  <c r="N36" i="84"/>
  <c r="M36" i="84"/>
  <c r="L36" i="84"/>
  <c r="K36" i="84"/>
  <c r="J36" i="84"/>
  <c r="I36" i="84"/>
  <c r="H36" i="84"/>
  <c r="G36" i="84"/>
  <c r="F36" i="84"/>
  <c r="E36" i="84"/>
  <c r="D36" i="84"/>
  <c r="C36" i="84"/>
  <c r="O35" i="84"/>
  <c r="N35" i="84"/>
  <c r="M35" i="84"/>
  <c r="L35" i="84"/>
  <c r="K35" i="84"/>
  <c r="J35" i="84"/>
  <c r="I35" i="84"/>
  <c r="H35" i="84"/>
  <c r="G35" i="84"/>
  <c r="F35" i="84"/>
  <c r="E35" i="84"/>
  <c r="D35" i="84"/>
  <c r="C35" i="84"/>
  <c r="O34" i="84"/>
  <c r="N34" i="84"/>
  <c r="M34" i="84"/>
  <c r="L34" i="84"/>
  <c r="K34" i="84"/>
  <c r="J34" i="84"/>
  <c r="I34" i="84"/>
  <c r="H34" i="84"/>
  <c r="G34" i="84"/>
  <c r="F34" i="84"/>
  <c r="E34" i="84"/>
  <c r="D34" i="84"/>
  <c r="C34" i="84"/>
  <c r="O33" i="84"/>
  <c r="N33" i="84"/>
  <c r="M33" i="84"/>
  <c r="L33" i="84"/>
  <c r="K33" i="84"/>
  <c r="J33" i="84"/>
  <c r="I33" i="84"/>
  <c r="H33" i="84"/>
  <c r="G33" i="84"/>
  <c r="F33" i="84"/>
  <c r="E33" i="84"/>
  <c r="D33" i="84"/>
  <c r="C33" i="84"/>
  <c r="O32" i="84"/>
  <c r="N32" i="84"/>
  <c r="M32" i="84"/>
  <c r="L32" i="84"/>
  <c r="K32" i="84"/>
  <c r="J32" i="84"/>
  <c r="I32" i="84"/>
  <c r="H32" i="84"/>
  <c r="G32" i="84"/>
  <c r="F32" i="84"/>
  <c r="E32" i="84"/>
  <c r="D32" i="84"/>
  <c r="C32" i="84"/>
  <c r="O31" i="84"/>
  <c r="N31" i="84"/>
  <c r="M31" i="84"/>
  <c r="L31" i="84"/>
  <c r="K31" i="84"/>
  <c r="J31" i="84"/>
  <c r="I31" i="84"/>
  <c r="H31" i="84"/>
  <c r="G31" i="84"/>
  <c r="F31" i="84"/>
  <c r="E31" i="84"/>
  <c r="D31" i="84"/>
  <c r="C31" i="84"/>
  <c r="O30" i="84"/>
  <c r="N30" i="84"/>
  <c r="M30" i="84"/>
  <c r="L30" i="84"/>
  <c r="K30" i="84"/>
  <c r="J30" i="84"/>
  <c r="I30" i="84"/>
  <c r="H30" i="84"/>
  <c r="G30" i="84"/>
  <c r="F30" i="84"/>
  <c r="E30" i="84"/>
  <c r="D30" i="84"/>
  <c r="C30" i="84"/>
  <c r="O29" i="84"/>
  <c r="N29" i="84"/>
  <c r="M29" i="84"/>
  <c r="L29" i="84"/>
  <c r="K29" i="84"/>
  <c r="J29" i="84"/>
  <c r="I29" i="84"/>
  <c r="H29" i="84"/>
  <c r="G29" i="84"/>
  <c r="F29" i="84"/>
  <c r="E29" i="84"/>
  <c r="D29" i="84"/>
  <c r="C29" i="84"/>
  <c r="O28" i="84"/>
  <c r="N28" i="84"/>
  <c r="M28" i="84"/>
  <c r="L28" i="84"/>
  <c r="K28" i="84"/>
  <c r="J28" i="84"/>
  <c r="I28" i="84"/>
  <c r="H28" i="84"/>
  <c r="G28" i="84"/>
  <c r="F28" i="84"/>
  <c r="E28" i="84"/>
  <c r="D28" i="84"/>
  <c r="C28" i="84"/>
  <c r="O27" i="84"/>
  <c r="N27" i="84"/>
  <c r="M27" i="84"/>
  <c r="L27" i="84"/>
  <c r="K27" i="84"/>
  <c r="J27" i="84"/>
  <c r="I27" i="84"/>
  <c r="H27" i="84"/>
  <c r="G27" i="84"/>
  <c r="F27" i="84"/>
  <c r="E27" i="84"/>
  <c r="D27" i="84"/>
  <c r="C27" i="84"/>
  <c r="O26" i="84"/>
  <c r="N26" i="84"/>
  <c r="M26" i="84"/>
  <c r="L26" i="84"/>
  <c r="K26" i="84"/>
  <c r="J26" i="84"/>
  <c r="I26" i="84"/>
  <c r="H26" i="84"/>
  <c r="G26" i="84"/>
  <c r="F26" i="84"/>
  <c r="E26" i="84"/>
  <c r="D26" i="84"/>
  <c r="C26" i="84"/>
  <c r="O25" i="84"/>
  <c r="N25" i="84"/>
  <c r="M25" i="84"/>
  <c r="L25" i="84"/>
  <c r="K25" i="84"/>
  <c r="J25" i="84"/>
  <c r="I25" i="84"/>
  <c r="H25" i="84"/>
  <c r="G25" i="84"/>
  <c r="F25" i="84"/>
  <c r="E25" i="84"/>
  <c r="D25" i="84"/>
  <c r="C25" i="84"/>
  <c r="O24" i="84"/>
  <c r="N24" i="84"/>
  <c r="M24" i="84"/>
  <c r="L24" i="84"/>
  <c r="K24" i="84"/>
  <c r="J24" i="84"/>
  <c r="I24" i="84"/>
  <c r="H24" i="84"/>
  <c r="G24" i="84"/>
  <c r="F24" i="84"/>
  <c r="E24" i="84"/>
  <c r="D24" i="84"/>
  <c r="C24" i="84"/>
  <c r="O23" i="84"/>
  <c r="N23" i="84"/>
  <c r="M23" i="84"/>
  <c r="L23" i="84"/>
  <c r="K23" i="84"/>
  <c r="J23" i="84"/>
  <c r="I23" i="84"/>
  <c r="H23" i="84"/>
  <c r="G23" i="84"/>
  <c r="F23" i="84"/>
  <c r="E23" i="84"/>
  <c r="D23" i="84"/>
  <c r="C23" i="84"/>
  <c r="O22" i="84"/>
  <c r="N22" i="84"/>
  <c r="M22" i="84"/>
  <c r="L22" i="84"/>
  <c r="K22" i="84"/>
  <c r="J22" i="84"/>
  <c r="I22" i="84"/>
  <c r="H22" i="84"/>
  <c r="G22" i="84"/>
  <c r="F22" i="84"/>
  <c r="E22" i="84"/>
  <c r="D22" i="84"/>
  <c r="C22" i="84"/>
  <c r="O21" i="84"/>
  <c r="N21" i="84"/>
  <c r="M21" i="84"/>
  <c r="L21" i="84"/>
  <c r="K21" i="84"/>
  <c r="J21" i="84"/>
  <c r="I21" i="84"/>
  <c r="H21" i="84"/>
  <c r="G21" i="84"/>
  <c r="F21" i="84"/>
  <c r="E21" i="84"/>
  <c r="D21" i="84"/>
  <c r="C21" i="84"/>
  <c r="O20" i="84"/>
  <c r="N20" i="84"/>
  <c r="M20" i="84"/>
  <c r="L20" i="84"/>
  <c r="K20" i="84"/>
  <c r="J20" i="84"/>
  <c r="I20" i="84"/>
  <c r="H20" i="84"/>
  <c r="G20" i="84"/>
  <c r="F20" i="84"/>
  <c r="E20" i="84"/>
  <c r="D20" i="84"/>
  <c r="C20" i="84"/>
  <c r="O19" i="84"/>
  <c r="N19" i="84"/>
  <c r="M19" i="84"/>
  <c r="L19" i="84"/>
  <c r="K19" i="84"/>
  <c r="J19" i="84"/>
  <c r="I19" i="84"/>
  <c r="H19" i="84"/>
  <c r="G19" i="84"/>
  <c r="F19" i="84"/>
  <c r="E19" i="84"/>
  <c r="D19" i="84"/>
  <c r="C19" i="84"/>
  <c r="O18" i="84"/>
  <c r="N18" i="84"/>
  <c r="M18" i="84"/>
  <c r="L18" i="84"/>
  <c r="K18" i="84"/>
  <c r="J18" i="84"/>
  <c r="I18" i="84"/>
  <c r="H18" i="84"/>
  <c r="G18" i="84"/>
  <c r="F18" i="84"/>
  <c r="E18" i="84"/>
  <c r="D18" i="84"/>
  <c r="C18" i="84"/>
  <c r="O17" i="84"/>
  <c r="N17" i="84"/>
  <c r="M17" i="84"/>
  <c r="L17" i="84"/>
  <c r="K17" i="84"/>
  <c r="J17" i="84"/>
  <c r="I17" i="84"/>
  <c r="H17" i="84"/>
  <c r="G17" i="84"/>
  <c r="F17" i="84"/>
  <c r="E17" i="84"/>
  <c r="D17" i="84"/>
  <c r="C17" i="84"/>
  <c r="O16" i="84"/>
  <c r="N16" i="84"/>
  <c r="M16" i="84"/>
  <c r="L16" i="84"/>
  <c r="K16" i="84"/>
  <c r="J16" i="84"/>
  <c r="I16" i="84"/>
  <c r="H16" i="84"/>
  <c r="G16" i="84"/>
  <c r="F16" i="84"/>
  <c r="E16" i="84"/>
  <c r="D16" i="84"/>
  <c r="C16" i="84"/>
  <c r="O15" i="84"/>
  <c r="N15" i="84"/>
  <c r="M15" i="84"/>
  <c r="L15" i="84"/>
  <c r="K15" i="84"/>
  <c r="J15" i="84"/>
  <c r="I15" i="84"/>
  <c r="H15" i="84"/>
  <c r="G15" i="84"/>
  <c r="F15" i="84"/>
  <c r="E15" i="84"/>
  <c r="D15" i="84"/>
  <c r="C15" i="84"/>
  <c r="O14" i="84"/>
  <c r="N14" i="84"/>
  <c r="M14" i="84"/>
  <c r="L14" i="84"/>
  <c r="K14" i="84"/>
  <c r="J14" i="84"/>
  <c r="I14" i="84"/>
  <c r="H14" i="84"/>
  <c r="G14" i="84"/>
  <c r="F14" i="84"/>
  <c r="E14" i="84"/>
  <c r="D14" i="84"/>
  <c r="C14" i="84"/>
  <c r="O13" i="84"/>
  <c r="N13" i="84"/>
  <c r="M13" i="84"/>
  <c r="L13" i="84"/>
  <c r="K13" i="84"/>
  <c r="J13" i="84"/>
  <c r="I13" i="84"/>
  <c r="H13" i="84"/>
  <c r="G13" i="84"/>
  <c r="F13" i="84"/>
  <c r="E13" i="84"/>
  <c r="D13" i="84"/>
  <c r="C13" i="84"/>
  <c r="O12" i="84"/>
  <c r="N12" i="84"/>
  <c r="M12" i="84"/>
  <c r="L12" i="84"/>
  <c r="K12" i="84"/>
  <c r="J12" i="84"/>
  <c r="I12" i="84"/>
  <c r="H12" i="84"/>
  <c r="G12" i="84"/>
  <c r="F12" i="84"/>
  <c r="E12" i="84"/>
  <c r="D12" i="84"/>
  <c r="C12" i="84"/>
  <c r="O11" i="84"/>
  <c r="N11" i="84"/>
  <c r="M11" i="84"/>
  <c r="L11" i="84"/>
  <c r="K11" i="84"/>
  <c r="J11" i="84"/>
  <c r="I11" i="84"/>
  <c r="H11" i="84"/>
  <c r="G11" i="84"/>
  <c r="F11" i="84"/>
  <c r="E11" i="84"/>
  <c r="D11" i="84"/>
  <c r="C11" i="84"/>
  <c r="O10" i="84"/>
  <c r="N10" i="84"/>
  <c r="M10" i="84"/>
  <c r="L10" i="84"/>
  <c r="K10" i="84"/>
  <c r="J10" i="84"/>
  <c r="I10" i="84"/>
  <c r="H10" i="84"/>
  <c r="G10" i="84"/>
  <c r="F10" i="84"/>
  <c r="E10" i="84"/>
  <c r="D10" i="84"/>
  <c r="C10" i="84"/>
  <c r="O9" i="84"/>
  <c r="N9" i="84"/>
  <c r="M9" i="84"/>
  <c r="L9" i="84"/>
  <c r="K9" i="84"/>
  <c r="J9" i="84"/>
  <c r="I9" i="84"/>
  <c r="H9" i="84"/>
  <c r="G9" i="84"/>
  <c r="F9" i="84"/>
  <c r="E9" i="84"/>
  <c r="D9" i="84"/>
  <c r="C9" i="84"/>
  <c r="O8" i="84"/>
  <c r="N8" i="84"/>
  <c r="M8" i="84"/>
  <c r="L8" i="84"/>
  <c r="K8" i="84"/>
  <c r="J8" i="84"/>
  <c r="I8" i="84"/>
  <c r="H8" i="84"/>
  <c r="G8" i="84"/>
  <c r="F8" i="84"/>
  <c r="E8" i="84"/>
  <c r="D8" i="84"/>
  <c r="C8" i="84"/>
  <c r="O7" i="84"/>
  <c r="N7" i="84"/>
  <c r="M7" i="84"/>
  <c r="L7" i="84"/>
  <c r="K7" i="84"/>
  <c r="J7" i="84"/>
  <c r="I7" i="84"/>
  <c r="H7" i="84"/>
  <c r="G7" i="84"/>
  <c r="F7" i="84"/>
  <c r="E7" i="84"/>
  <c r="D7" i="84"/>
  <c r="C7" i="84"/>
  <c r="J4" i="80"/>
  <c r="J5" i="80"/>
  <c r="Q86" i="80"/>
  <c r="O86" i="80"/>
  <c r="M86" i="80"/>
  <c r="K86" i="80"/>
  <c r="B4" i="80"/>
  <c r="B5" i="80"/>
  <c r="I86" i="80"/>
  <c r="G86" i="80"/>
  <c r="E86" i="80"/>
  <c r="C86" i="80"/>
  <c r="Q85" i="80"/>
  <c r="O85" i="80"/>
  <c r="M85" i="80"/>
  <c r="K85" i="80"/>
  <c r="I85" i="80"/>
  <c r="G85" i="80"/>
  <c r="E85" i="80"/>
  <c r="C85" i="80"/>
  <c r="Q84" i="80"/>
  <c r="O84" i="80"/>
  <c r="M84" i="80"/>
  <c r="K84" i="80"/>
  <c r="I84" i="80"/>
  <c r="G84" i="80"/>
  <c r="E84" i="80"/>
  <c r="C84" i="80"/>
  <c r="Q83" i="80"/>
  <c r="O83" i="80"/>
  <c r="M83" i="80"/>
  <c r="K83" i="80"/>
  <c r="I83" i="80"/>
  <c r="G83" i="80"/>
  <c r="E83" i="80"/>
  <c r="C83" i="80"/>
  <c r="Q82" i="80"/>
  <c r="O82" i="80"/>
  <c r="M82" i="80"/>
  <c r="K82" i="80"/>
  <c r="I82" i="80"/>
  <c r="G82" i="80"/>
  <c r="E82" i="80"/>
  <c r="C82" i="80"/>
  <c r="Q81" i="80"/>
  <c r="O81" i="80"/>
  <c r="M81" i="80"/>
  <c r="K81" i="80"/>
  <c r="I81" i="80"/>
  <c r="G81" i="80"/>
  <c r="E81" i="80"/>
  <c r="C81" i="80"/>
  <c r="Q80" i="80"/>
  <c r="O80" i="80"/>
  <c r="M80" i="80"/>
  <c r="K80" i="80"/>
  <c r="I80" i="80"/>
  <c r="G80" i="80"/>
  <c r="E80" i="80"/>
  <c r="C80" i="80"/>
  <c r="Q78" i="80"/>
  <c r="O78" i="80"/>
  <c r="M78" i="80"/>
  <c r="K78" i="80"/>
  <c r="I78" i="80"/>
  <c r="G78" i="80"/>
  <c r="E78" i="80"/>
  <c r="C78" i="80"/>
  <c r="Q77" i="80"/>
  <c r="O77" i="80"/>
  <c r="M77" i="80"/>
  <c r="K77" i="80"/>
  <c r="I77" i="80"/>
  <c r="G77" i="80"/>
  <c r="E77" i="80"/>
  <c r="C77" i="80"/>
  <c r="Q76" i="80"/>
  <c r="O76" i="80"/>
  <c r="M76" i="80"/>
  <c r="K76" i="80"/>
  <c r="I76" i="80"/>
  <c r="G76" i="80"/>
  <c r="E76" i="80"/>
  <c r="C76" i="80"/>
  <c r="Q75" i="80"/>
  <c r="O75" i="80"/>
  <c r="M75" i="80"/>
  <c r="K75" i="80"/>
  <c r="I75" i="80"/>
  <c r="G75" i="80"/>
  <c r="E75" i="80"/>
  <c r="C75" i="80"/>
  <c r="Q74" i="80"/>
  <c r="O74" i="80"/>
  <c r="M74" i="80"/>
  <c r="K74" i="80"/>
  <c r="I74" i="80"/>
  <c r="G74" i="80"/>
  <c r="E74" i="80"/>
  <c r="C74" i="80"/>
  <c r="Q73" i="80"/>
  <c r="O73" i="80"/>
  <c r="M73" i="80"/>
  <c r="K73" i="80"/>
  <c r="I73" i="80"/>
  <c r="G73" i="80"/>
  <c r="E73" i="80"/>
  <c r="C73" i="80"/>
  <c r="K67" i="80"/>
  <c r="C67" i="80"/>
  <c r="K66" i="80"/>
  <c r="C66" i="80"/>
  <c r="K64" i="80"/>
  <c r="C64" i="80"/>
  <c r="K63" i="80"/>
  <c r="C63" i="80"/>
  <c r="K62" i="80"/>
  <c r="C62" i="80"/>
  <c r="K61" i="80"/>
  <c r="C61" i="80"/>
  <c r="K59" i="80"/>
  <c r="C59" i="80"/>
  <c r="K58" i="80"/>
  <c r="C58" i="80"/>
  <c r="K57" i="80"/>
  <c r="C57" i="80"/>
  <c r="K56" i="80"/>
  <c r="C56" i="80"/>
  <c r="K55" i="80"/>
  <c r="C55" i="80"/>
  <c r="K54" i="80"/>
  <c r="C54" i="80"/>
  <c r="K52" i="80"/>
  <c r="C52" i="80"/>
  <c r="K51" i="80"/>
  <c r="C51" i="80"/>
  <c r="K50" i="80"/>
  <c r="C50" i="80"/>
  <c r="K49" i="80"/>
  <c r="C49" i="80"/>
  <c r="K48" i="80"/>
  <c r="C48" i="80"/>
  <c r="K47" i="80"/>
  <c r="C47" i="80"/>
  <c r="K44" i="80"/>
  <c r="C44" i="80"/>
  <c r="Q41" i="80"/>
  <c r="O41" i="80"/>
  <c r="M41" i="80"/>
  <c r="K41" i="80"/>
  <c r="I41" i="80"/>
  <c r="G41" i="80"/>
  <c r="E41" i="80"/>
  <c r="C41" i="80"/>
  <c r="Q40" i="80"/>
  <c r="O40" i="80"/>
  <c r="M40" i="80"/>
  <c r="K40" i="80"/>
  <c r="I40" i="80"/>
  <c r="G40" i="80"/>
  <c r="E40" i="80"/>
  <c r="C40" i="80"/>
  <c r="Q39" i="80"/>
  <c r="O39" i="80"/>
  <c r="M39" i="80"/>
  <c r="K39" i="80"/>
  <c r="I39" i="80"/>
  <c r="G39" i="80"/>
  <c r="E39" i="80"/>
  <c r="C39" i="80"/>
  <c r="Q38" i="80"/>
  <c r="O38" i="80"/>
  <c r="M38" i="80"/>
  <c r="K38" i="80"/>
  <c r="I38" i="80"/>
  <c r="G38" i="80"/>
  <c r="E38" i="80"/>
  <c r="C38" i="80"/>
  <c r="Q36" i="80"/>
  <c r="O36" i="80"/>
  <c r="M36" i="80"/>
  <c r="K36" i="80"/>
  <c r="I36" i="80"/>
  <c r="G36" i="80"/>
  <c r="E36" i="80"/>
  <c r="C36" i="80"/>
  <c r="Q35" i="80"/>
  <c r="O35" i="80"/>
  <c r="M35" i="80"/>
  <c r="K35" i="80"/>
  <c r="I35" i="80"/>
  <c r="G35" i="80"/>
  <c r="E35" i="80"/>
  <c r="C35" i="80"/>
  <c r="Q34" i="80"/>
  <c r="O34" i="80"/>
  <c r="M34" i="80"/>
  <c r="K34" i="80"/>
  <c r="I34" i="80"/>
  <c r="G34" i="80"/>
  <c r="E34" i="80"/>
  <c r="C34" i="80"/>
  <c r="Q32" i="80"/>
  <c r="O32" i="80"/>
  <c r="M32" i="80"/>
  <c r="K32" i="80"/>
  <c r="I32" i="80"/>
  <c r="G32" i="80"/>
  <c r="E32" i="80"/>
  <c r="C32" i="80"/>
  <c r="Q30" i="80"/>
  <c r="O30" i="80"/>
  <c r="M30" i="80"/>
  <c r="K30" i="80"/>
  <c r="I30" i="80"/>
  <c r="G30" i="80"/>
  <c r="E30" i="80"/>
  <c r="C30" i="80"/>
  <c r="Q29" i="80"/>
  <c r="O29" i="80"/>
  <c r="M29" i="80"/>
  <c r="K29" i="80"/>
  <c r="I29" i="80"/>
  <c r="G29" i="80"/>
  <c r="E29" i="80"/>
  <c r="C29" i="80"/>
  <c r="Q27" i="80"/>
  <c r="O27" i="80"/>
  <c r="M27" i="80"/>
  <c r="K27" i="80"/>
  <c r="I27" i="80"/>
  <c r="G27" i="80"/>
  <c r="E27" i="80"/>
  <c r="C27" i="80"/>
  <c r="Q26" i="80"/>
  <c r="O26" i="80"/>
  <c r="M26" i="80"/>
  <c r="K26" i="80"/>
  <c r="I26" i="80"/>
  <c r="G26" i="80"/>
  <c r="E26" i="80"/>
  <c r="C26" i="80"/>
  <c r="Q23" i="80"/>
  <c r="O23" i="80"/>
  <c r="M23" i="80"/>
  <c r="K23" i="80"/>
  <c r="I23" i="80"/>
  <c r="G23" i="80"/>
  <c r="E23" i="80"/>
  <c r="C23" i="80"/>
  <c r="Q22" i="80"/>
  <c r="O22" i="80"/>
  <c r="M22" i="80"/>
  <c r="K22" i="80"/>
  <c r="I22" i="80"/>
  <c r="G22" i="80"/>
  <c r="E22" i="80"/>
  <c r="C22" i="80"/>
  <c r="Q21" i="80"/>
  <c r="O21" i="80"/>
  <c r="M21" i="80"/>
  <c r="K21" i="80"/>
  <c r="I21" i="80"/>
  <c r="G21" i="80"/>
  <c r="E21" i="80"/>
  <c r="C21" i="80"/>
  <c r="Q19" i="80"/>
  <c r="O19" i="80"/>
  <c r="M19" i="80"/>
  <c r="K19" i="80"/>
  <c r="I19" i="80"/>
  <c r="G19" i="80"/>
  <c r="E19" i="80"/>
  <c r="C19" i="80"/>
  <c r="Q18" i="80"/>
  <c r="O18" i="80"/>
  <c r="M18" i="80"/>
  <c r="K18" i="80"/>
  <c r="I18" i="80"/>
  <c r="G18" i="80"/>
  <c r="E18" i="80"/>
  <c r="C18" i="80"/>
  <c r="Q17" i="80"/>
  <c r="O17" i="80"/>
  <c r="M17" i="80"/>
  <c r="K17" i="80"/>
  <c r="I17" i="80"/>
  <c r="G17" i="80"/>
  <c r="E17" i="80"/>
  <c r="C17" i="80"/>
  <c r="Q14" i="80"/>
  <c r="O14" i="80"/>
  <c r="M14" i="80"/>
  <c r="K14" i="80"/>
  <c r="I14" i="80"/>
  <c r="G14" i="80"/>
  <c r="E14" i="80"/>
  <c r="C14" i="80"/>
  <c r="Q13" i="80"/>
  <c r="O13" i="80"/>
  <c r="M13" i="80"/>
  <c r="K13" i="80"/>
  <c r="I13" i="80"/>
  <c r="G13" i="80"/>
  <c r="E13" i="80"/>
  <c r="C13" i="80"/>
  <c r="Q12" i="80"/>
  <c r="O12" i="80"/>
  <c r="M12" i="80"/>
  <c r="K12" i="80"/>
  <c r="I12" i="80"/>
  <c r="G12" i="80"/>
  <c r="E12" i="80"/>
  <c r="C12" i="80"/>
  <c r="Q10" i="80"/>
  <c r="O10" i="80"/>
  <c r="M10" i="80"/>
  <c r="K10" i="80"/>
  <c r="I10" i="80"/>
  <c r="G10" i="80"/>
  <c r="E10" i="80"/>
  <c r="C10" i="80"/>
  <c r="O3" i="78"/>
  <c r="O4" i="78"/>
  <c r="O5" i="78"/>
  <c r="O59" i="78"/>
  <c r="N3" i="78"/>
  <c r="N4" i="78"/>
  <c r="N5" i="78"/>
  <c r="N59" i="78"/>
  <c r="M3" i="78"/>
  <c r="M4" i="78"/>
  <c r="M5" i="78"/>
  <c r="M59" i="78"/>
  <c r="L3" i="78"/>
  <c r="L4" i="78"/>
  <c r="L5" i="78"/>
  <c r="L59" i="78"/>
  <c r="K3" i="78"/>
  <c r="K4" i="78"/>
  <c r="K5" i="78"/>
  <c r="K59" i="78"/>
  <c r="J3" i="78"/>
  <c r="J4" i="78"/>
  <c r="J5" i="78"/>
  <c r="J59" i="78"/>
  <c r="I3" i="78"/>
  <c r="I4" i="78"/>
  <c r="I5" i="78"/>
  <c r="I59" i="78"/>
  <c r="H3" i="78"/>
  <c r="H4" i="78"/>
  <c r="H5" i="78"/>
  <c r="H59" i="78"/>
  <c r="G3" i="78"/>
  <c r="G4" i="78"/>
  <c r="G5" i="78"/>
  <c r="G59" i="78"/>
  <c r="F3" i="78"/>
  <c r="F4" i="78"/>
  <c r="F5" i="78"/>
  <c r="F59" i="78"/>
  <c r="E3" i="78"/>
  <c r="E4" i="78"/>
  <c r="E5" i="78"/>
  <c r="E59" i="78"/>
  <c r="D3" i="78"/>
  <c r="D4" i="78"/>
  <c r="D5" i="78"/>
  <c r="D59" i="78"/>
  <c r="C3" i="78"/>
  <c r="C4" i="78"/>
  <c r="C5" i="78"/>
  <c r="C59" i="78"/>
  <c r="O58" i="78"/>
  <c r="N58" i="78"/>
  <c r="M58" i="78"/>
  <c r="L58" i="78"/>
  <c r="K58" i="78"/>
  <c r="J58" i="78"/>
  <c r="I58" i="78"/>
  <c r="H58" i="78"/>
  <c r="G58" i="78"/>
  <c r="F58" i="78"/>
  <c r="E58" i="78"/>
  <c r="D58" i="78"/>
  <c r="C58" i="78"/>
  <c r="O57" i="78"/>
  <c r="N57" i="78"/>
  <c r="M57" i="78"/>
  <c r="L57" i="78"/>
  <c r="K57" i="78"/>
  <c r="J57" i="78"/>
  <c r="I57" i="78"/>
  <c r="H57" i="78"/>
  <c r="G57" i="78"/>
  <c r="F57" i="78"/>
  <c r="E57" i="78"/>
  <c r="D57" i="78"/>
  <c r="C57" i="78"/>
  <c r="O56" i="78"/>
  <c r="N56" i="78"/>
  <c r="M56" i="78"/>
  <c r="L56" i="78"/>
  <c r="K56" i="78"/>
  <c r="J56" i="78"/>
  <c r="I56" i="78"/>
  <c r="H56" i="78"/>
  <c r="G56" i="78"/>
  <c r="F56" i="78"/>
  <c r="E56" i="78"/>
  <c r="D56" i="78"/>
  <c r="C56" i="78"/>
  <c r="O55" i="78"/>
  <c r="N55" i="78"/>
  <c r="M55" i="78"/>
  <c r="L55" i="78"/>
  <c r="K55" i="78"/>
  <c r="J55" i="78"/>
  <c r="I55" i="78"/>
  <c r="H55" i="78"/>
  <c r="G55" i="78"/>
  <c r="F55" i="78"/>
  <c r="E55" i="78"/>
  <c r="D55" i="78"/>
  <c r="C55" i="78"/>
  <c r="O54" i="78"/>
  <c r="N54" i="78"/>
  <c r="M54" i="78"/>
  <c r="L54" i="78"/>
  <c r="K54" i="78"/>
  <c r="J54" i="78"/>
  <c r="I54" i="78"/>
  <c r="H54" i="78"/>
  <c r="G54" i="78"/>
  <c r="F54" i="78"/>
  <c r="E54" i="78"/>
  <c r="D54" i="78"/>
  <c r="C54" i="78"/>
  <c r="O53" i="78"/>
  <c r="N53" i="78"/>
  <c r="M53" i="78"/>
  <c r="L53" i="78"/>
  <c r="K53" i="78"/>
  <c r="J53" i="78"/>
  <c r="I53" i="78"/>
  <c r="H53" i="78"/>
  <c r="G53" i="78"/>
  <c r="F53" i="78"/>
  <c r="E53" i="78"/>
  <c r="D53" i="78"/>
  <c r="C53" i="78"/>
  <c r="O52" i="78"/>
  <c r="N52" i="78"/>
  <c r="M52" i="78"/>
  <c r="L52" i="78"/>
  <c r="K52" i="78"/>
  <c r="J52" i="78"/>
  <c r="I52" i="78"/>
  <c r="H52" i="78"/>
  <c r="G52" i="78"/>
  <c r="F52" i="78"/>
  <c r="E52" i="78"/>
  <c r="D52" i="78"/>
  <c r="C52" i="78"/>
  <c r="O51" i="78"/>
  <c r="N51" i="78"/>
  <c r="M51" i="78"/>
  <c r="L51" i="78"/>
  <c r="K51" i="78"/>
  <c r="J51" i="78"/>
  <c r="I51" i="78"/>
  <c r="H51" i="78"/>
  <c r="G51" i="78"/>
  <c r="F51" i="78"/>
  <c r="E51" i="78"/>
  <c r="D51" i="78"/>
  <c r="C51" i="78"/>
  <c r="O50" i="78"/>
  <c r="N50" i="78"/>
  <c r="M50" i="78"/>
  <c r="L50" i="78"/>
  <c r="K50" i="78"/>
  <c r="J50" i="78"/>
  <c r="I50" i="78"/>
  <c r="H50" i="78"/>
  <c r="G50" i="78"/>
  <c r="F50" i="78"/>
  <c r="E50" i="78"/>
  <c r="D50" i="78"/>
  <c r="C50" i="78"/>
  <c r="O49" i="78"/>
  <c r="N49" i="78"/>
  <c r="M49" i="78"/>
  <c r="L49" i="78"/>
  <c r="K49" i="78"/>
  <c r="J49" i="78"/>
  <c r="I49" i="78"/>
  <c r="H49" i="78"/>
  <c r="G49" i="78"/>
  <c r="F49" i="78"/>
  <c r="E49" i="78"/>
  <c r="D49" i="78"/>
  <c r="C49" i="78"/>
  <c r="O48" i="78"/>
  <c r="N48" i="78"/>
  <c r="M48" i="78"/>
  <c r="L48" i="78"/>
  <c r="K48" i="78"/>
  <c r="J48" i="78"/>
  <c r="I48" i="78"/>
  <c r="H48" i="78"/>
  <c r="G48" i="78"/>
  <c r="F48" i="78"/>
  <c r="E48" i="78"/>
  <c r="D48" i="78"/>
  <c r="C48" i="78"/>
  <c r="O47" i="78"/>
  <c r="N47" i="78"/>
  <c r="M47" i="78"/>
  <c r="L47" i="78"/>
  <c r="K47" i="78"/>
  <c r="J47" i="78"/>
  <c r="I47" i="78"/>
  <c r="H47" i="78"/>
  <c r="G47" i="78"/>
  <c r="F47" i="78"/>
  <c r="E47" i="78"/>
  <c r="D47" i="78"/>
  <c r="C47" i="78"/>
  <c r="O46" i="78"/>
  <c r="N46" i="78"/>
  <c r="M46" i="78"/>
  <c r="L46" i="78"/>
  <c r="K46" i="78"/>
  <c r="J46" i="78"/>
  <c r="I46" i="78"/>
  <c r="H46" i="78"/>
  <c r="G46" i="78"/>
  <c r="F46" i="78"/>
  <c r="E46" i="78"/>
  <c r="D46" i="78"/>
  <c r="C46" i="78"/>
  <c r="O45" i="78"/>
  <c r="N45" i="78"/>
  <c r="M45" i="78"/>
  <c r="L45" i="78"/>
  <c r="K45" i="78"/>
  <c r="J45" i="78"/>
  <c r="I45" i="78"/>
  <c r="H45" i="78"/>
  <c r="G45" i="78"/>
  <c r="F45" i="78"/>
  <c r="E45" i="78"/>
  <c r="D45" i="78"/>
  <c r="C45" i="78"/>
  <c r="O44" i="78"/>
  <c r="N44" i="78"/>
  <c r="M44" i="78"/>
  <c r="L44" i="78"/>
  <c r="K44" i="78"/>
  <c r="J44" i="78"/>
  <c r="I44" i="78"/>
  <c r="H44" i="78"/>
  <c r="G44" i="78"/>
  <c r="F44" i="78"/>
  <c r="E44" i="78"/>
  <c r="D44" i="78"/>
  <c r="C44" i="78"/>
  <c r="O43" i="78"/>
  <c r="N43" i="78"/>
  <c r="M43" i="78"/>
  <c r="L43" i="78"/>
  <c r="K43" i="78"/>
  <c r="J43" i="78"/>
  <c r="I43" i="78"/>
  <c r="H43" i="78"/>
  <c r="G43" i="78"/>
  <c r="F43" i="78"/>
  <c r="E43" i="78"/>
  <c r="D43" i="78"/>
  <c r="C43" i="78"/>
  <c r="O42" i="78"/>
  <c r="N42" i="78"/>
  <c r="M42" i="78"/>
  <c r="L42" i="78"/>
  <c r="K42" i="78"/>
  <c r="J42" i="78"/>
  <c r="I42" i="78"/>
  <c r="H42" i="78"/>
  <c r="G42" i="78"/>
  <c r="F42" i="78"/>
  <c r="E42" i="78"/>
  <c r="D42" i="78"/>
  <c r="C42" i="78"/>
  <c r="O41" i="78"/>
  <c r="N41" i="78"/>
  <c r="M41" i="78"/>
  <c r="L41" i="78"/>
  <c r="K41" i="78"/>
  <c r="J41" i="78"/>
  <c r="I41" i="78"/>
  <c r="H41" i="78"/>
  <c r="G41" i="78"/>
  <c r="F41" i="78"/>
  <c r="E41" i="78"/>
  <c r="D41" i="78"/>
  <c r="C41" i="78"/>
  <c r="O40" i="78"/>
  <c r="N40" i="78"/>
  <c r="M40" i="78"/>
  <c r="L40" i="78"/>
  <c r="K40" i="78"/>
  <c r="J40" i="78"/>
  <c r="I40" i="78"/>
  <c r="H40" i="78"/>
  <c r="G40" i="78"/>
  <c r="F40" i="78"/>
  <c r="E40" i="78"/>
  <c r="D40" i="78"/>
  <c r="C40" i="78"/>
  <c r="O39" i="78"/>
  <c r="N39" i="78"/>
  <c r="M39" i="78"/>
  <c r="L39" i="78"/>
  <c r="K39" i="78"/>
  <c r="J39" i="78"/>
  <c r="I39" i="78"/>
  <c r="H39" i="78"/>
  <c r="G39" i="78"/>
  <c r="F39" i="78"/>
  <c r="E39" i="78"/>
  <c r="D39" i="78"/>
  <c r="C39" i="78"/>
  <c r="O38" i="78"/>
  <c r="N38" i="78"/>
  <c r="M38" i="78"/>
  <c r="L38" i="78"/>
  <c r="K38" i="78"/>
  <c r="J38" i="78"/>
  <c r="I38" i="78"/>
  <c r="H38" i="78"/>
  <c r="G38" i="78"/>
  <c r="F38" i="78"/>
  <c r="E38" i="78"/>
  <c r="D38" i="78"/>
  <c r="C38" i="78"/>
  <c r="O37" i="78"/>
  <c r="N37" i="78"/>
  <c r="M37" i="78"/>
  <c r="L37" i="78"/>
  <c r="K37" i="78"/>
  <c r="J37" i="78"/>
  <c r="I37" i="78"/>
  <c r="H37" i="78"/>
  <c r="G37" i="78"/>
  <c r="F37" i="78"/>
  <c r="E37" i="78"/>
  <c r="D37" i="78"/>
  <c r="C37" i="78"/>
  <c r="O36" i="78"/>
  <c r="N36" i="78"/>
  <c r="M36" i="78"/>
  <c r="L36" i="78"/>
  <c r="K36" i="78"/>
  <c r="J36" i="78"/>
  <c r="I36" i="78"/>
  <c r="H36" i="78"/>
  <c r="G36" i="78"/>
  <c r="F36" i="78"/>
  <c r="E36" i="78"/>
  <c r="D36" i="78"/>
  <c r="C36" i="78"/>
  <c r="O35" i="78"/>
  <c r="N35" i="78"/>
  <c r="M35" i="78"/>
  <c r="L35" i="78"/>
  <c r="K35" i="78"/>
  <c r="J35" i="78"/>
  <c r="I35" i="78"/>
  <c r="H35" i="78"/>
  <c r="G35" i="78"/>
  <c r="F35" i="78"/>
  <c r="E35" i="78"/>
  <c r="D35" i="78"/>
  <c r="C35" i="78"/>
  <c r="O34" i="78"/>
  <c r="N34" i="78"/>
  <c r="M34" i="78"/>
  <c r="L34" i="78"/>
  <c r="K34" i="78"/>
  <c r="J34" i="78"/>
  <c r="I34" i="78"/>
  <c r="H34" i="78"/>
  <c r="G34" i="78"/>
  <c r="F34" i="78"/>
  <c r="E34" i="78"/>
  <c r="D34" i="78"/>
  <c r="C34" i="78"/>
  <c r="O33" i="78"/>
  <c r="N33" i="78"/>
  <c r="M33" i="78"/>
  <c r="L33" i="78"/>
  <c r="K33" i="78"/>
  <c r="J33" i="78"/>
  <c r="I33" i="78"/>
  <c r="H33" i="78"/>
  <c r="G33" i="78"/>
  <c r="F33" i="78"/>
  <c r="E33" i="78"/>
  <c r="D33" i="78"/>
  <c r="C33" i="78"/>
  <c r="O32" i="78"/>
  <c r="N32" i="78"/>
  <c r="M32" i="78"/>
  <c r="L32" i="78"/>
  <c r="K32" i="78"/>
  <c r="J32" i="78"/>
  <c r="I32" i="78"/>
  <c r="H32" i="78"/>
  <c r="G32" i="78"/>
  <c r="F32" i="78"/>
  <c r="E32" i="78"/>
  <c r="D32" i="78"/>
  <c r="C32" i="78"/>
  <c r="O31" i="78"/>
  <c r="N31" i="78"/>
  <c r="M31" i="78"/>
  <c r="L31" i="78"/>
  <c r="K31" i="78"/>
  <c r="J31" i="78"/>
  <c r="I31" i="78"/>
  <c r="H31" i="78"/>
  <c r="G31" i="78"/>
  <c r="F31" i="78"/>
  <c r="E31" i="78"/>
  <c r="D31" i="78"/>
  <c r="C31" i="78"/>
  <c r="O30" i="78"/>
  <c r="N30" i="78"/>
  <c r="M30" i="78"/>
  <c r="L30" i="78"/>
  <c r="K30" i="78"/>
  <c r="J30" i="78"/>
  <c r="I30" i="78"/>
  <c r="H30" i="78"/>
  <c r="G30" i="78"/>
  <c r="F30" i="78"/>
  <c r="E30" i="78"/>
  <c r="D30" i="78"/>
  <c r="C30" i="78"/>
  <c r="O29" i="78"/>
  <c r="N29" i="78"/>
  <c r="M29" i="78"/>
  <c r="L29" i="78"/>
  <c r="K29" i="78"/>
  <c r="J29" i="78"/>
  <c r="I29" i="78"/>
  <c r="H29" i="78"/>
  <c r="G29" i="78"/>
  <c r="F29" i="78"/>
  <c r="E29" i="78"/>
  <c r="D29" i="78"/>
  <c r="C29" i="78"/>
  <c r="O28" i="78"/>
  <c r="N28" i="78"/>
  <c r="M28" i="78"/>
  <c r="L28" i="78"/>
  <c r="K28" i="78"/>
  <c r="J28" i="78"/>
  <c r="I28" i="78"/>
  <c r="H28" i="78"/>
  <c r="G28" i="78"/>
  <c r="F28" i="78"/>
  <c r="E28" i="78"/>
  <c r="D28" i="78"/>
  <c r="C28" i="78"/>
  <c r="O27" i="78"/>
  <c r="N27" i="78"/>
  <c r="M27" i="78"/>
  <c r="L27" i="78"/>
  <c r="K27" i="78"/>
  <c r="J27" i="78"/>
  <c r="I27" i="78"/>
  <c r="H27" i="78"/>
  <c r="G27" i="78"/>
  <c r="F27" i="78"/>
  <c r="E27" i="78"/>
  <c r="D27" i="78"/>
  <c r="C27" i="78"/>
  <c r="O26" i="78"/>
  <c r="N26" i="78"/>
  <c r="M26" i="78"/>
  <c r="L26" i="78"/>
  <c r="K26" i="78"/>
  <c r="J26" i="78"/>
  <c r="I26" i="78"/>
  <c r="H26" i="78"/>
  <c r="G26" i="78"/>
  <c r="F26" i="78"/>
  <c r="E26" i="78"/>
  <c r="D26" i="78"/>
  <c r="C26" i="78"/>
  <c r="O25" i="78"/>
  <c r="N25" i="78"/>
  <c r="M25" i="78"/>
  <c r="L25" i="78"/>
  <c r="K25" i="78"/>
  <c r="J25" i="78"/>
  <c r="I25" i="78"/>
  <c r="H25" i="78"/>
  <c r="G25" i="78"/>
  <c r="F25" i="78"/>
  <c r="E25" i="78"/>
  <c r="D25" i="78"/>
  <c r="C25" i="78"/>
  <c r="O24" i="78"/>
  <c r="N24" i="78"/>
  <c r="M24" i="78"/>
  <c r="L24" i="78"/>
  <c r="K24" i="78"/>
  <c r="J24" i="78"/>
  <c r="I24" i="78"/>
  <c r="H24" i="78"/>
  <c r="G24" i="78"/>
  <c r="F24" i="78"/>
  <c r="E24" i="78"/>
  <c r="D24" i="78"/>
  <c r="C24" i="78"/>
  <c r="O23" i="78"/>
  <c r="N23" i="78"/>
  <c r="M23" i="78"/>
  <c r="L23" i="78"/>
  <c r="K23" i="78"/>
  <c r="J23" i="78"/>
  <c r="I23" i="78"/>
  <c r="H23" i="78"/>
  <c r="G23" i="78"/>
  <c r="F23" i="78"/>
  <c r="E23" i="78"/>
  <c r="D23" i="78"/>
  <c r="C23" i="78"/>
  <c r="O22" i="78"/>
  <c r="N22" i="78"/>
  <c r="M22" i="78"/>
  <c r="L22" i="78"/>
  <c r="K22" i="78"/>
  <c r="J22" i="78"/>
  <c r="I22" i="78"/>
  <c r="H22" i="78"/>
  <c r="G22" i="78"/>
  <c r="F22" i="78"/>
  <c r="E22" i="78"/>
  <c r="D22" i="78"/>
  <c r="C22" i="78"/>
  <c r="O21" i="78"/>
  <c r="N21" i="78"/>
  <c r="M21" i="78"/>
  <c r="L21" i="78"/>
  <c r="K21" i="78"/>
  <c r="J21" i="78"/>
  <c r="I21" i="78"/>
  <c r="H21" i="78"/>
  <c r="G21" i="78"/>
  <c r="F21" i="78"/>
  <c r="E21" i="78"/>
  <c r="D21" i="78"/>
  <c r="C21" i="78"/>
  <c r="O20" i="78"/>
  <c r="N20" i="78"/>
  <c r="M20" i="78"/>
  <c r="L20" i="78"/>
  <c r="K20" i="78"/>
  <c r="J20" i="78"/>
  <c r="I20" i="78"/>
  <c r="H20" i="78"/>
  <c r="G20" i="78"/>
  <c r="F20" i="78"/>
  <c r="E20" i="78"/>
  <c r="D20" i="78"/>
  <c r="C20" i="78"/>
  <c r="O19" i="78"/>
  <c r="N19" i="78"/>
  <c r="M19" i="78"/>
  <c r="L19" i="78"/>
  <c r="K19" i="78"/>
  <c r="J19" i="78"/>
  <c r="I19" i="78"/>
  <c r="H19" i="78"/>
  <c r="G19" i="78"/>
  <c r="F19" i="78"/>
  <c r="E19" i="78"/>
  <c r="D19" i="78"/>
  <c r="C19" i="78"/>
  <c r="O18" i="78"/>
  <c r="N18" i="78"/>
  <c r="M18" i="78"/>
  <c r="L18" i="78"/>
  <c r="K18" i="78"/>
  <c r="J18" i="78"/>
  <c r="I18" i="78"/>
  <c r="H18" i="78"/>
  <c r="G18" i="78"/>
  <c r="F18" i="78"/>
  <c r="E18" i="78"/>
  <c r="D18" i="78"/>
  <c r="C18" i="78"/>
  <c r="O17" i="78"/>
  <c r="N17" i="78"/>
  <c r="M17" i="78"/>
  <c r="L17" i="78"/>
  <c r="K17" i="78"/>
  <c r="J17" i="78"/>
  <c r="I17" i="78"/>
  <c r="H17" i="78"/>
  <c r="G17" i="78"/>
  <c r="F17" i="78"/>
  <c r="E17" i="78"/>
  <c r="D17" i="78"/>
  <c r="C17" i="78"/>
  <c r="O16" i="78"/>
  <c r="N16" i="78"/>
  <c r="M16" i="78"/>
  <c r="L16" i="78"/>
  <c r="K16" i="78"/>
  <c r="J16" i="78"/>
  <c r="I16" i="78"/>
  <c r="H16" i="78"/>
  <c r="G16" i="78"/>
  <c r="F16" i="78"/>
  <c r="E16" i="78"/>
  <c r="D16" i="78"/>
  <c r="C16" i="78"/>
  <c r="O15" i="78"/>
  <c r="N15" i="78"/>
  <c r="M15" i="78"/>
  <c r="L15" i="78"/>
  <c r="K15" i="78"/>
  <c r="J15" i="78"/>
  <c r="I15" i="78"/>
  <c r="H15" i="78"/>
  <c r="G15" i="78"/>
  <c r="F15" i="78"/>
  <c r="E15" i="78"/>
  <c r="D15" i="78"/>
  <c r="C15" i="78"/>
  <c r="O14" i="78"/>
  <c r="N14" i="78"/>
  <c r="M14" i="78"/>
  <c r="L14" i="78"/>
  <c r="K14" i="78"/>
  <c r="J14" i="78"/>
  <c r="I14" i="78"/>
  <c r="H14" i="78"/>
  <c r="G14" i="78"/>
  <c r="F14" i="78"/>
  <c r="E14" i="78"/>
  <c r="D14" i="78"/>
  <c r="C14" i="78"/>
  <c r="O13" i="78"/>
  <c r="N13" i="78"/>
  <c r="M13" i="78"/>
  <c r="L13" i="78"/>
  <c r="K13" i="78"/>
  <c r="J13" i="78"/>
  <c r="I13" i="78"/>
  <c r="H13" i="78"/>
  <c r="G13" i="78"/>
  <c r="F13" i="78"/>
  <c r="E13" i="78"/>
  <c r="D13" i="78"/>
  <c r="C13" i="78"/>
  <c r="O12" i="78"/>
  <c r="N12" i="78"/>
  <c r="M12" i="78"/>
  <c r="L12" i="78"/>
  <c r="K12" i="78"/>
  <c r="J12" i="78"/>
  <c r="I12" i="78"/>
  <c r="H12" i="78"/>
  <c r="G12" i="78"/>
  <c r="F12" i="78"/>
  <c r="E12" i="78"/>
  <c r="D12" i="78"/>
  <c r="C12" i="78"/>
  <c r="O11" i="78"/>
  <c r="N11" i="78"/>
  <c r="M11" i="78"/>
  <c r="L11" i="78"/>
  <c r="K11" i="78"/>
  <c r="J11" i="78"/>
  <c r="I11" i="78"/>
  <c r="H11" i="78"/>
  <c r="G11" i="78"/>
  <c r="F11" i="78"/>
  <c r="E11" i="78"/>
  <c r="D11" i="78"/>
  <c r="C11" i="78"/>
  <c r="O10" i="78"/>
  <c r="N10" i="78"/>
  <c r="M10" i="78"/>
  <c r="L10" i="78"/>
  <c r="K10" i="78"/>
  <c r="J10" i="78"/>
  <c r="I10" i="78"/>
  <c r="H10" i="78"/>
  <c r="G10" i="78"/>
  <c r="F10" i="78"/>
  <c r="E10" i="78"/>
  <c r="D10" i="78"/>
  <c r="C10" i="78"/>
  <c r="O9" i="78"/>
  <c r="N9" i="78"/>
  <c r="M9" i="78"/>
  <c r="L9" i="78"/>
  <c r="K9" i="78"/>
  <c r="J9" i="78"/>
  <c r="I9" i="78"/>
  <c r="H9" i="78"/>
  <c r="G9" i="78"/>
  <c r="F9" i="78"/>
  <c r="E9" i="78"/>
  <c r="D9" i="78"/>
  <c r="C9" i="78"/>
  <c r="O8" i="78"/>
  <c r="N8" i="78"/>
  <c r="M8" i="78"/>
  <c r="L8" i="78"/>
  <c r="K8" i="78"/>
  <c r="J8" i="78"/>
  <c r="I8" i="78"/>
  <c r="H8" i="78"/>
  <c r="G8" i="78"/>
  <c r="F8" i="78"/>
  <c r="E8" i="78"/>
  <c r="D8" i="78"/>
  <c r="C8" i="78"/>
  <c r="O7" i="78"/>
  <c r="N7" i="78"/>
  <c r="M7" i="78"/>
  <c r="L7" i="78"/>
  <c r="K7" i="78"/>
  <c r="J7" i="78"/>
  <c r="I7" i="78"/>
  <c r="H7" i="78"/>
  <c r="G7" i="78"/>
  <c r="F7" i="78"/>
  <c r="E7" i="78"/>
  <c r="D7" i="78"/>
  <c r="C7" i="78"/>
  <c r="O3" i="77"/>
  <c r="O4" i="77"/>
  <c r="O5" i="77"/>
  <c r="O14" i="77"/>
  <c r="N3" i="77"/>
  <c r="N4" i="77"/>
  <c r="N5" i="77"/>
  <c r="N14" i="77"/>
  <c r="M3" i="77"/>
  <c r="M4" i="77"/>
  <c r="M5" i="77"/>
  <c r="M14" i="77"/>
  <c r="L3" i="77"/>
  <c r="L4" i="77"/>
  <c r="L5" i="77"/>
  <c r="L14" i="77"/>
  <c r="K3" i="77"/>
  <c r="K4" i="77"/>
  <c r="K5" i="77"/>
  <c r="K14" i="77"/>
  <c r="J3" i="77"/>
  <c r="J4" i="77"/>
  <c r="J5" i="77"/>
  <c r="J14" i="77"/>
  <c r="I3" i="77"/>
  <c r="I4" i="77"/>
  <c r="I5" i="77"/>
  <c r="I14" i="77"/>
  <c r="H3" i="77"/>
  <c r="H4" i="77"/>
  <c r="H5" i="77"/>
  <c r="H14" i="77"/>
  <c r="G3" i="77"/>
  <c r="G4" i="77"/>
  <c r="G5" i="77"/>
  <c r="G14" i="77"/>
  <c r="F3" i="77"/>
  <c r="F4" i="77"/>
  <c r="F5" i="77"/>
  <c r="F14" i="77"/>
  <c r="E3" i="77"/>
  <c r="E4" i="77"/>
  <c r="E5" i="77"/>
  <c r="E14" i="77"/>
  <c r="D3" i="77"/>
  <c r="D4" i="77"/>
  <c r="D5" i="77"/>
  <c r="D14" i="77"/>
  <c r="C3" i="77"/>
  <c r="C4" i="77"/>
  <c r="C5" i="77"/>
  <c r="C14" i="77"/>
  <c r="O13" i="77"/>
  <c r="N13" i="77"/>
  <c r="M13" i="77"/>
  <c r="L13" i="77"/>
  <c r="K13" i="77"/>
  <c r="J13" i="77"/>
  <c r="I13" i="77"/>
  <c r="H13" i="77"/>
  <c r="G13" i="77"/>
  <c r="F13" i="77"/>
  <c r="E13" i="77"/>
  <c r="D13" i="77"/>
  <c r="C13" i="77"/>
  <c r="O12" i="77"/>
  <c r="N12" i="77"/>
  <c r="M12" i="77"/>
  <c r="L12" i="77"/>
  <c r="K12" i="77"/>
  <c r="J12" i="77"/>
  <c r="I12" i="77"/>
  <c r="H12" i="77"/>
  <c r="G12" i="77"/>
  <c r="F12" i="77"/>
  <c r="E12" i="77"/>
  <c r="D12" i="77"/>
  <c r="C12" i="77"/>
  <c r="O11" i="77"/>
  <c r="N11" i="77"/>
  <c r="M11" i="77"/>
  <c r="L11" i="77"/>
  <c r="K11" i="77"/>
  <c r="J11" i="77"/>
  <c r="I11" i="77"/>
  <c r="H11" i="77"/>
  <c r="G11" i="77"/>
  <c r="F11" i="77"/>
  <c r="E11" i="77"/>
  <c r="D11" i="77"/>
  <c r="C11" i="77"/>
  <c r="O10" i="77"/>
  <c r="N10" i="77"/>
  <c r="M10" i="77"/>
  <c r="L10" i="77"/>
  <c r="K10" i="77"/>
  <c r="J10" i="77"/>
  <c r="I10" i="77"/>
  <c r="H10" i="77"/>
  <c r="G10" i="77"/>
  <c r="F10" i="77"/>
  <c r="E10" i="77"/>
  <c r="D10" i="77"/>
  <c r="C10" i="77"/>
  <c r="O9" i="77"/>
  <c r="N9" i="77"/>
  <c r="M9" i="77"/>
  <c r="L9" i="77"/>
  <c r="K9" i="77"/>
  <c r="J9" i="77"/>
  <c r="I9" i="77"/>
  <c r="H9" i="77"/>
  <c r="G9" i="77"/>
  <c r="F9" i="77"/>
  <c r="E9" i="77"/>
  <c r="D9" i="77"/>
  <c r="C9" i="77"/>
  <c r="O8" i="77"/>
  <c r="N8" i="77"/>
  <c r="M8" i="77"/>
  <c r="L8" i="77"/>
  <c r="K8" i="77"/>
  <c r="J8" i="77"/>
  <c r="I8" i="77"/>
  <c r="H8" i="77"/>
  <c r="G8" i="77"/>
  <c r="F8" i="77"/>
  <c r="E8" i="77"/>
  <c r="D8" i="77"/>
  <c r="C8" i="77"/>
  <c r="O7" i="77"/>
  <c r="N7" i="77"/>
  <c r="M7" i="77"/>
  <c r="L7" i="77"/>
  <c r="K7" i="77"/>
  <c r="J7" i="77"/>
  <c r="I7" i="77"/>
  <c r="H7" i="77"/>
  <c r="G7" i="77"/>
  <c r="F7" i="77"/>
  <c r="E7" i="77"/>
  <c r="D7" i="77"/>
  <c r="C7" i="77"/>
  <c r="B34" i="76"/>
  <c r="B35" i="76"/>
  <c r="G62" i="76"/>
  <c r="F62" i="76"/>
  <c r="E62" i="76"/>
  <c r="D62" i="76"/>
  <c r="C62" i="76"/>
  <c r="B62" i="76"/>
  <c r="E60" i="76"/>
  <c r="G58" i="76"/>
  <c r="F58" i="76"/>
  <c r="E58" i="76"/>
  <c r="D58" i="76"/>
  <c r="C58" i="76"/>
  <c r="B58" i="76"/>
  <c r="G56" i="76"/>
  <c r="F56" i="76"/>
  <c r="E56" i="76"/>
  <c r="D56" i="76"/>
  <c r="C56" i="76"/>
  <c r="B56" i="76"/>
  <c r="G54" i="76"/>
  <c r="F54" i="76"/>
  <c r="E54" i="76"/>
  <c r="D54" i="76"/>
  <c r="C54" i="76"/>
  <c r="B54" i="76"/>
  <c r="G52" i="76"/>
  <c r="F52" i="76"/>
  <c r="E52" i="76"/>
  <c r="D52" i="76"/>
  <c r="C52" i="76"/>
  <c r="B52" i="76"/>
  <c r="G50" i="76"/>
  <c r="F50" i="76"/>
  <c r="E50" i="76"/>
  <c r="D50" i="76"/>
  <c r="C50" i="76"/>
  <c r="B50" i="76"/>
  <c r="G48" i="76"/>
  <c r="F48" i="76"/>
  <c r="E48" i="76"/>
  <c r="D48" i="76"/>
  <c r="C48" i="76"/>
  <c r="B48" i="76"/>
  <c r="B4" i="76"/>
  <c r="B5" i="76"/>
  <c r="G32" i="76"/>
  <c r="F32" i="76"/>
  <c r="E32" i="76"/>
  <c r="D32" i="76"/>
  <c r="C32" i="76"/>
  <c r="B32" i="76"/>
  <c r="E30" i="76"/>
  <c r="G28" i="76"/>
  <c r="F28" i="76"/>
  <c r="E28" i="76"/>
  <c r="D28" i="76"/>
  <c r="C28" i="76"/>
  <c r="B28" i="76"/>
  <c r="G26" i="76"/>
  <c r="F26" i="76"/>
  <c r="E26" i="76"/>
  <c r="D26" i="76"/>
  <c r="C26" i="76"/>
  <c r="B26" i="76"/>
  <c r="G24" i="76"/>
  <c r="F24" i="76"/>
  <c r="E24" i="76"/>
  <c r="D24" i="76"/>
  <c r="C24" i="76"/>
  <c r="B24" i="76"/>
  <c r="G22" i="76"/>
  <c r="F22" i="76"/>
  <c r="E22" i="76"/>
  <c r="D22" i="76"/>
  <c r="C22" i="76"/>
  <c r="B22" i="76"/>
  <c r="G20" i="76"/>
  <c r="F20" i="76"/>
  <c r="E20" i="76"/>
  <c r="D20" i="76"/>
  <c r="C20" i="76"/>
  <c r="B20" i="76"/>
  <c r="G18" i="76"/>
  <c r="F18" i="76"/>
  <c r="E18" i="76"/>
  <c r="D18" i="76"/>
  <c r="C18" i="76"/>
  <c r="B18" i="76"/>
  <c r="O3" i="75"/>
  <c r="O4" i="75"/>
  <c r="O5" i="75"/>
  <c r="O18" i="75"/>
  <c r="N3" i="75"/>
  <c r="N4" i="75"/>
  <c r="N5" i="75"/>
  <c r="N18" i="75"/>
  <c r="M3" i="75"/>
  <c r="M4" i="75"/>
  <c r="M5" i="75"/>
  <c r="M18" i="75"/>
  <c r="L3" i="75"/>
  <c r="L4" i="75"/>
  <c r="L5" i="75"/>
  <c r="L18" i="75"/>
  <c r="K3" i="75"/>
  <c r="K4" i="75"/>
  <c r="K5" i="75"/>
  <c r="K18" i="75"/>
  <c r="J3" i="75"/>
  <c r="J4" i="75"/>
  <c r="J5" i="75"/>
  <c r="J18" i="75"/>
  <c r="I3" i="75"/>
  <c r="I4" i="75"/>
  <c r="I5" i="75"/>
  <c r="I18" i="75"/>
  <c r="H3" i="75"/>
  <c r="H4" i="75"/>
  <c r="H5" i="75"/>
  <c r="H18" i="75"/>
  <c r="G3" i="75"/>
  <c r="G4" i="75"/>
  <c r="G5" i="75"/>
  <c r="G18" i="75"/>
  <c r="F3" i="75"/>
  <c r="F4" i="75"/>
  <c r="F5" i="75"/>
  <c r="F18" i="75"/>
  <c r="E3" i="75"/>
  <c r="E4" i="75"/>
  <c r="E5" i="75"/>
  <c r="E18" i="75"/>
  <c r="D3" i="75"/>
  <c r="D4" i="75"/>
  <c r="D5" i="75"/>
  <c r="D18" i="75"/>
  <c r="C3" i="75"/>
  <c r="C4" i="75"/>
  <c r="C5" i="75"/>
  <c r="C18" i="75"/>
  <c r="O17" i="75"/>
  <c r="N17" i="75"/>
  <c r="M17" i="75"/>
  <c r="L17" i="75"/>
  <c r="K17" i="75"/>
  <c r="J17" i="75"/>
  <c r="I17" i="75"/>
  <c r="H17" i="75"/>
  <c r="G17" i="75"/>
  <c r="F17" i="75"/>
  <c r="E17" i="75"/>
  <c r="D17" i="75"/>
  <c r="C17" i="75"/>
  <c r="O16" i="75"/>
  <c r="N16" i="75"/>
  <c r="M16" i="75"/>
  <c r="L16" i="75"/>
  <c r="K16" i="75"/>
  <c r="J16" i="75"/>
  <c r="I16" i="75"/>
  <c r="H16" i="75"/>
  <c r="G16" i="75"/>
  <c r="F16" i="75"/>
  <c r="E16" i="75"/>
  <c r="D16" i="75"/>
  <c r="C16" i="75"/>
  <c r="O15" i="75"/>
  <c r="N15" i="75"/>
  <c r="M15" i="75"/>
  <c r="L15" i="75"/>
  <c r="K15" i="75"/>
  <c r="J15" i="75"/>
  <c r="I15" i="75"/>
  <c r="H15" i="75"/>
  <c r="G15" i="75"/>
  <c r="F15" i="75"/>
  <c r="E15" i="75"/>
  <c r="D15" i="75"/>
  <c r="C15" i="75"/>
  <c r="O12" i="75"/>
  <c r="N12" i="75"/>
  <c r="M12" i="75"/>
  <c r="L12" i="75"/>
  <c r="K12" i="75"/>
  <c r="J12" i="75"/>
  <c r="I12" i="75"/>
  <c r="H12" i="75"/>
  <c r="G12" i="75"/>
  <c r="F12" i="75"/>
  <c r="E12" i="75"/>
  <c r="D12" i="75"/>
  <c r="C12" i="75"/>
  <c r="O11" i="75"/>
  <c r="N11" i="75"/>
  <c r="M11" i="75"/>
  <c r="L11" i="75"/>
  <c r="K11" i="75"/>
  <c r="J11" i="75"/>
  <c r="I11" i="75"/>
  <c r="H11" i="75"/>
  <c r="G11" i="75"/>
  <c r="F11" i="75"/>
  <c r="E11" i="75"/>
  <c r="D11" i="75"/>
  <c r="C11" i="75"/>
  <c r="O10" i="75"/>
  <c r="N10" i="75"/>
  <c r="M10" i="75"/>
  <c r="L10" i="75"/>
  <c r="K10" i="75"/>
  <c r="J10" i="75"/>
  <c r="I10" i="75"/>
  <c r="H10" i="75"/>
  <c r="G10" i="75"/>
  <c r="F10" i="75"/>
  <c r="E10" i="75"/>
  <c r="D10" i="75"/>
  <c r="C10" i="75"/>
  <c r="O9" i="75"/>
  <c r="N9" i="75"/>
  <c r="M9" i="75"/>
  <c r="L9" i="75"/>
  <c r="K9" i="75"/>
  <c r="J9" i="75"/>
  <c r="I9" i="75"/>
  <c r="H9" i="75"/>
  <c r="G9" i="75"/>
  <c r="F9" i="75"/>
  <c r="E9" i="75"/>
  <c r="D9" i="75"/>
  <c r="C9" i="75"/>
  <c r="O8" i="75"/>
  <c r="N8" i="75"/>
  <c r="M8" i="75"/>
  <c r="L8" i="75"/>
  <c r="K8" i="75"/>
  <c r="J8" i="75"/>
  <c r="I8" i="75"/>
  <c r="H8" i="75"/>
  <c r="G8" i="75"/>
  <c r="F8" i="75"/>
  <c r="E8" i="75"/>
  <c r="D8" i="75"/>
  <c r="C8" i="75"/>
  <c r="O7" i="75"/>
  <c r="N7" i="75"/>
  <c r="M7" i="75"/>
  <c r="L7" i="75"/>
  <c r="K7" i="75"/>
  <c r="J7" i="75"/>
  <c r="I7" i="75"/>
  <c r="H7" i="75"/>
  <c r="G7" i="75"/>
  <c r="F7" i="75"/>
  <c r="E7" i="75"/>
  <c r="D7" i="75"/>
  <c r="C7" i="75"/>
  <c r="O6" i="75"/>
  <c r="N6" i="75"/>
  <c r="M6" i="75"/>
  <c r="L6" i="75"/>
  <c r="K6" i="75"/>
  <c r="J6" i="75"/>
  <c r="I6" i="75"/>
  <c r="H6" i="75"/>
  <c r="G6" i="75"/>
  <c r="F6" i="75"/>
  <c r="E6" i="75"/>
  <c r="D6" i="75"/>
  <c r="C6" i="75"/>
  <c r="F4" i="73"/>
  <c r="F5" i="73"/>
  <c r="G46" i="73"/>
  <c r="B4" i="73"/>
  <c r="B5" i="73"/>
  <c r="C46" i="73"/>
  <c r="I45" i="73"/>
  <c r="G45" i="73"/>
  <c r="E45" i="73"/>
  <c r="C45" i="73"/>
  <c r="I44" i="73"/>
  <c r="G44" i="73"/>
  <c r="E44" i="73"/>
  <c r="C44" i="73"/>
  <c r="I43" i="73"/>
  <c r="G43" i="73"/>
  <c r="E43" i="73"/>
  <c r="C43" i="73"/>
  <c r="I42" i="73"/>
  <c r="G42" i="73"/>
  <c r="E42" i="73"/>
  <c r="C42" i="73"/>
  <c r="I41" i="73"/>
  <c r="G41" i="73"/>
  <c r="E41" i="73"/>
  <c r="C41" i="73"/>
  <c r="I39" i="73"/>
  <c r="G39" i="73"/>
  <c r="E39" i="73"/>
  <c r="C39" i="73"/>
  <c r="I36" i="73"/>
  <c r="G36" i="73"/>
  <c r="E36" i="73"/>
  <c r="C36" i="73"/>
  <c r="I35" i="73"/>
  <c r="G35" i="73"/>
  <c r="E35" i="73"/>
  <c r="C35" i="73"/>
  <c r="I34" i="73"/>
  <c r="G34" i="73"/>
  <c r="E34" i="73"/>
  <c r="C34" i="73"/>
  <c r="I33" i="73"/>
  <c r="G33" i="73"/>
  <c r="E33" i="73"/>
  <c r="C33" i="73"/>
  <c r="I32" i="73"/>
  <c r="G32" i="73"/>
  <c r="E32" i="73"/>
  <c r="C32" i="73"/>
  <c r="I31" i="73"/>
  <c r="G31" i="73"/>
  <c r="E31" i="73"/>
  <c r="C31" i="73"/>
  <c r="I30" i="73"/>
  <c r="G30" i="73"/>
  <c r="E30" i="73"/>
  <c r="C30" i="73"/>
  <c r="I29" i="73"/>
  <c r="G29" i="73"/>
  <c r="E29" i="73"/>
  <c r="C29" i="73"/>
  <c r="I28" i="73"/>
  <c r="G28" i="73"/>
  <c r="E28" i="73"/>
  <c r="C28" i="73"/>
  <c r="I26" i="73"/>
  <c r="G26" i="73"/>
  <c r="E26" i="73"/>
  <c r="C26" i="73"/>
  <c r="I25" i="73"/>
  <c r="G25" i="73"/>
  <c r="E25" i="73"/>
  <c r="C25" i="73"/>
  <c r="I23" i="73"/>
  <c r="G23" i="73"/>
  <c r="E23" i="73"/>
  <c r="C23" i="73"/>
  <c r="I22" i="73"/>
  <c r="G22" i="73"/>
  <c r="E22" i="73"/>
  <c r="C22" i="73"/>
  <c r="I21" i="73"/>
  <c r="G21" i="73"/>
  <c r="E21" i="73"/>
  <c r="C21" i="73"/>
  <c r="I20" i="73"/>
  <c r="G20" i="73"/>
  <c r="E20" i="73"/>
  <c r="C20" i="73"/>
  <c r="I18" i="73"/>
  <c r="G18" i="73"/>
  <c r="E18" i="73"/>
  <c r="C18" i="73"/>
  <c r="I17" i="73"/>
  <c r="G17" i="73"/>
  <c r="E17" i="73"/>
  <c r="C17" i="73"/>
  <c r="I16" i="73"/>
  <c r="G16" i="73"/>
  <c r="E16" i="73"/>
  <c r="C16" i="73"/>
  <c r="I14" i="73"/>
  <c r="G14" i="73"/>
  <c r="E14" i="73"/>
  <c r="C14" i="73"/>
  <c r="I12" i="73"/>
  <c r="G12" i="73"/>
  <c r="E12" i="73"/>
  <c r="C12" i="73"/>
  <c r="I11" i="73"/>
  <c r="G11" i="73"/>
  <c r="E11" i="73"/>
  <c r="C11" i="73"/>
  <c r="I10" i="73"/>
  <c r="G10" i="73"/>
  <c r="E10" i="73"/>
  <c r="C10" i="73"/>
  <c r="O3" i="72"/>
  <c r="O4" i="72"/>
  <c r="O5" i="72"/>
  <c r="O17" i="72"/>
  <c r="N3" i="72"/>
  <c r="N4" i="72"/>
  <c r="N5" i="72"/>
  <c r="N17" i="72"/>
  <c r="M3" i="72"/>
  <c r="M4" i="72"/>
  <c r="M5" i="72"/>
  <c r="M17" i="72"/>
  <c r="L3" i="72"/>
  <c r="L4" i="72"/>
  <c r="L5" i="72"/>
  <c r="L17" i="72"/>
  <c r="K3" i="72"/>
  <c r="K4" i="72"/>
  <c r="K5" i="72"/>
  <c r="K17" i="72"/>
  <c r="J3" i="72"/>
  <c r="J4" i="72"/>
  <c r="J5" i="72"/>
  <c r="J17" i="72"/>
  <c r="I3" i="72"/>
  <c r="I4" i="72"/>
  <c r="I5" i="72"/>
  <c r="I17" i="72"/>
  <c r="H3" i="72"/>
  <c r="H4" i="72"/>
  <c r="H5" i="72"/>
  <c r="H17" i="72"/>
  <c r="G3" i="72"/>
  <c r="G4" i="72"/>
  <c r="G5" i="72"/>
  <c r="G17" i="72"/>
  <c r="F3" i="72"/>
  <c r="F4" i="72"/>
  <c r="F5" i="72"/>
  <c r="F17" i="72"/>
  <c r="E3" i="72"/>
  <c r="E4" i="72"/>
  <c r="E5" i="72"/>
  <c r="E17" i="72"/>
  <c r="D3" i="72"/>
  <c r="D4" i="72"/>
  <c r="D5" i="72"/>
  <c r="D17" i="72"/>
  <c r="C3" i="72"/>
  <c r="C4" i="72"/>
  <c r="C5" i="72"/>
  <c r="C17" i="72"/>
  <c r="O16" i="72"/>
  <c r="N16" i="72"/>
  <c r="M16" i="72"/>
  <c r="L16" i="72"/>
  <c r="K16" i="72"/>
  <c r="J16" i="72"/>
  <c r="I16" i="72"/>
  <c r="H16" i="72"/>
  <c r="G16" i="72"/>
  <c r="F16" i="72"/>
  <c r="E16" i="72"/>
  <c r="D16" i="72"/>
  <c r="C16" i="72"/>
  <c r="O15" i="72"/>
  <c r="N15" i="72"/>
  <c r="M15" i="72"/>
  <c r="L15" i="72"/>
  <c r="K15" i="72"/>
  <c r="J15" i="72"/>
  <c r="I15" i="72"/>
  <c r="H15" i="72"/>
  <c r="G15" i="72"/>
  <c r="F15" i="72"/>
  <c r="E15" i="72"/>
  <c r="D15" i="72"/>
  <c r="C15" i="72"/>
  <c r="O14" i="72"/>
  <c r="N14" i="72"/>
  <c r="M14" i="72"/>
  <c r="L14" i="72"/>
  <c r="K14" i="72"/>
  <c r="J14" i="72"/>
  <c r="I14" i="72"/>
  <c r="H14" i="72"/>
  <c r="G14" i="72"/>
  <c r="F14" i="72"/>
  <c r="E14" i="72"/>
  <c r="D14" i="72"/>
  <c r="C14" i="72"/>
  <c r="O13" i="72"/>
  <c r="N13" i="72"/>
  <c r="M13" i="72"/>
  <c r="L13" i="72"/>
  <c r="K13" i="72"/>
  <c r="J13" i="72"/>
  <c r="I13" i="72"/>
  <c r="H13" i="72"/>
  <c r="G13" i="72"/>
  <c r="F13" i="72"/>
  <c r="E13" i="72"/>
  <c r="D13" i="72"/>
  <c r="C13" i="72"/>
  <c r="O12" i="72"/>
  <c r="N12" i="72"/>
  <c r="M12" i="72"/>
  <c r="L12" i="72"/>
  <c r="K12" i="72"/>
  <c r="J12" i="72"/>
  <c r="I12" i="72"/>
  <c r="H12" i="72"/>
  <c r="G12" i="72"/>
  <c r="F12" i="72"/>
  <c r="E12" i="72"/>
  <c r="D12" i="72"/>
  <c r="C12" i="72"/>
  <c r="O11" i="72"/>
  <c r="N11" i="72"/>
  <c r="M11" i="72"/>
  <c r="L11" i="72"/>
  <c r="K11" i="72"/>
  <c r="J11" i="72"/>
  <c r="I11" i="72"/>
  <c r="H11" i="72"/>
  <c r="G11" i="72"/>
  <c r="F11" i="72"/>
  <c r="E11" i="72"/>
  <c r="D11" i="72"/>
  <c r="C11" i="72"/>
  <c r="O10" i="72"/>
  <c r="N10" i="72"/>
  <c r="M10" i="72"/>
  <c r="L10" i="72"/>
  <c r="K10" i="72"/>
  <c r="J10" i="72"/>
  <c r="I10" i="72"/>
  <c r="H10" i="72"/>
  <c r="G10" i="72"/>
  <c r="F10" i="72"/>
  <c r="E10" i="72"/>
  <c r="D10" i="72"/>
  <c r="C10" i="72"/>
  <c r="O9" i="72"/>
  <c r="N9" i="72"/>
  <c r="M9" i="72"/>
  <c r="L9" i="72"/>
  <c r="K9" i="72"/>
  <c r="J9" i="72"/>
  <c r="I9" i="72"/>
  <c r="H9" i="72"/>
  <c r="G9" i="72"/>
  <c r="F9" i="72"/>
  <c r="E9" i="72"/>
  <c r="D9" i="72"/>
  <c r="C9" i="72"/>
  <c r="O8" i="72"/>
  <c r="N8" i="72"/>
  <c r="M8" i="72"/>
  <c r="L8" i="72"/>
  <c r="K8" i="72"/>
  <c r="J8" i="72"/>
  <c r="I8" i="72"/>
  <c r="H8" i="72"/>
  <c r="G8" i="72"/>
  <c r="F8" i="72"/>
  <c r="E8" i="72"/>
  <c r="D8" i="72"/>
  <c r="C8" i="72"/>
  <c r="O7" i="72"/>
  <c r="N7" i="72"/>
  <c r="M7" i="72"/>
  <c r="L7" i="72"/>
  <c r="K7" i="72"/>
  <c r="J7" i="72"/>
  <c r="I7" i="72"/>
  <c r="H7" i="72"/>
  <c r="G7" i="72"/>
  <c r="F7" i="72"/>
  <c r="E7" i="72"/>
  <c r="D7" i="72"/>
  <c r="C7" i="72"/>
  <c r="O6" i="72"/>
  <c r="N6" i="72"/>
  <c r="M6" i="72"/>
  <c r="L6" i="72"/>
  <c r="K6" i="72"/>
  <c r="J6" i="72"/>
  <c r="I6" i="72"/>
  <c r="H6" i="72"/>
  <c r="G6" i="72"/>
  <c r="F6" i="72"/>
  <c r="E6" i="72"/>
  <c r="D6" i="72"/>
  <c r="C6" i="72"/>
  <c r="O4" i="4"/>
  <c r="O5" i="4"/>
  <c r="O6" i="4"/>
  <c r="O106" i="4"/>
  <c r="N4" i="4"/>
  <c r="N5" i="4"/>
  <c r="N6" i="4"/>
  <c r="N106" i="4"/>
  <c r="M4" i="4"/>
  <c r="M5" i="4"/>
  <c r="M6" i="4"/>
  <c r="M106" i="4"/>
  <c r="L4" i="4"/>
  <c r="L5" i="4"/>
  <c r="L6" i="4"/>
  <c r="L106" i="4"/>
  <c r="K4" i="4"/>
  <c r="K5" i="4"/>
  <c r="K6" i="4"/>
  <c r="K106" i="4"/>
  <c r="J4" i="4"/>
  <c r="J5" i="4"/>
  <c r="J6" i="4"/>
  <c r="J106" i="4"/>
  <c r="I4" i="4"/>
  <c r="I5" i="4"/>
  <c r="I6" i="4"/>
  <c r="I106" i="4"/>
  <c r="H4" i="4"/>
  <c r="H5" i="4"/>
  <c r="H6" i="4"/>
  <c r="H106" i="4"/>
  <c r="G4" i="4"/>
  <c r="G5" i="4"/>
  <c r="G6" i="4"/>
  <c r="G106" i="4"/>
  <c r="F4" i="4"/>
  <c r="F5" i="4"/>
  <c r="F6" i="4"/>
  <c r="F106" i="4"/>
  <c r="E4" i="4"/>
  <c r="E5" i="4"/>
  <c r="E6" i="4"/>
  <c r="E106" i="4"/>
  <c r="D4" i="4"/>
  <c r="D5" i="4"/>
  <c r="D6" i="4"/>
  <c r="D106" i="4"/>
  <c r="C4" i="4"/>
  <c r="C5" i="4"/>
  <c r="C6" i="4"/>
  <c r="C106" i="4"/>
  <c r="O105" i="4"/>
  <c r="N105" i="4"/>
  <c r="M105" i="4"/>
  <c r="L105" i="4"/>
  <c r="K105" i="4"/>
  <c r="J105" i="4"/>
  <c r="I105" i="4"/>
  <c r="H105" i="4"/>
  <c r="G105" i="4"/>
  <c r="F105" i="4"/>
  <c r="E105" i="4"/>
  <c r="D105" i="4"/>
  <c r="C105" i="4"/>
  <c r="O104" i="4"/>
  <c r="N104" i="4"/>
  <c r="M104" i="4"/>
  <c r="L104" i="4"/>
  <c r="K104" i="4"/>
  <c r="J104" i="4"/>
  <c r="I104" i="4"/>
  <c r="H104" i="4"/>
  <c r="G104" i="4"/>
  <c r="F104" i="4"/>
  <c r="E104" i="4"/>
  <c r="D104" i="4"/>
  <c r="C104" i="4"/>
  <c r="O103" i="4"/>
  <c r="N103" i="4"/>
  <c r="M103" i="4"/>
  <c r="L103" i="4"/>
  <c r="K103" i="4"/>
  <c r="J103" i="4"/>
  <c r="I103" i="4"/>
  <c r="H103" i="4"/>
  <c r="G103" i="4"/>
  <c r="F103" i="4"/>
  <c r="E103" i="4"/>
  <c r="D103" i="4"/>
  <c r="C103" i="4"/>
  <c r="O101" i="4"/>
  <c r="N101" i="4"/>
  <c r="M101" i="4"/>
  <c r="L101" i="4"/>
  <c r="K101" i="4"/>
  <c r="J101" i="4"/>
  <c r="I101" i="4"/>
  <c r="H101" i="4"/>
  <c r="G101" i="4"/>
  <c r="F101" i="4"/>
  <c r="E101" i="4"/>
  <c r="D101" i="4"/>
  <c r="C101" i="4"/>
  <c r="O100" i="4"/>
  <c r="N100" i="4"/>
  <c r="M100" i="4"/>
  <c r="L100" i="4"/>
  <c r="K100" i="4"/>
  <c r="J100" i="4"/>
  <c r="I100" i="4"/>
  <c r="H100" i="4"/>
  <c r="G100" i="4"/>
  <c r="F100" i="4"/>
  <c r="E100" i="4"/>
  <c r="D100" i="4"/>
  <c r="C100" i="4"/>
  <c r="O99" i="4"/>
  <c r="N99" i="4"/>
  <c r="M99" i="4"/>
  <c r="L99" i="4"/>
  <c r="K99" i="4"/>
  <c r="J99" i="4"/>
  <c r="I99" i="4"/>
  <c r="H99" i="4"/>
  <c r="G99" i="4"/>
  <c r="F99" i="4"/>
  <c r="E99" i="4"/>
  <c r="D99" i="4"/>
  <c r="C99" i="4"/>
  <c r="O97" i="4"/>
  <c r="N97" i="4"/>
  <c r="M97" i="4"/>
  <c r="L97" i="4"/>
  <c r="K97" i="4"/>
  <c r="J97" i="4"/>
  <c r="I97" i="4"/>
  <c r="H97" i="4"/>
  <c r="G97" i="4"/>
  <c r="F97" i="4"/>
  <c r="E97" i="4"/>
  <c r="D97" i="4"/>
  <c r="C97" i="4"/>
  <c r="O96" i="4"/>
  <c r="N96" i="4"/>
  <c r="M96" i="4"/>
  <c r="L96" i="4"/>
  <c r="K96" i="4"/>
  <c r="J96" i="4"/>
  <c r="I96" i="4"/>
  <c r="H96" i="4"/>
  <c r="G96" i="4"/>
  <c r="F96" i="4"/>
  <c r="E96" i="4"/>
  <c r="D96" i="4"/>
  <c r="C96" i="4"/>
  <c r="O95" i="4"/>
  <c r="N95" i="4"/>
  <c r="M95" i="4"/>
  <c r="L95" i="4"/>
  <c r="K95" i="4"/>
  <c r="J95" i="4"/>
  <c r="I95" i="4"/>
  <c r="H95" i="4"/>
  <c r="G95" i="4"/>
  <c r="F95" i="4"/>
  <c r="E95" i="4"/>
  <c r="D95" i="4"/>
  <c r="C95" i="4"/>
  <c r="O94" i="4"/>
  <c r="N94" i="4"/>
  <c r="M94" i="4"/>
  <c r="L94" i="4"/>
  <c r="K94" i="4"/>
  <c r="J94" i="4"/>
  <c r="I94" i="4"/>
  <c r="H94" i="4"/>
  <c r="G94" i="4"/>
  <c r="F94" i="4"/>
  <c r="E94" i="4"/>
  <c r="D94" i="4"/>
  <c r="C94" i="4"/>
  <c r="O92" i="4"/>
  <c r="N92" i="4"/>
  <c r="M92" i="4"/>
  <c r="L92" i="4"/>
  <c r="K92" i="4"/>
  <c r="J92" i="4"/>
  <c r="I92" i="4"/>
  <c r="H92" i="4"/>
  <c r="G92" i="4"/>
  <c r="F92" i="4"/>
  <c r="E92" i="4"/>
  <c r="D92" i="4"/>
  <c r="C92" i="4"/>
  <c r="O91" i="4"/>
  <c r="N91" i="4"/>
  <c r="M91" i="4"/>
  <c r="L91" i="4"/>
  <c r="K91" i="4"/>
  <c r="J91" i="4"/>
  <c r="I91" i="4"/>
  <c r="H91" i="4"/>
  <c r="G91" i="4"/>
  <c r="F91" i="4"/>
  <c r="E91" i="4"/>
  <c r="D91" i="4"/>
  <c r="C91" i="4"/>
  <c r="O90" i="4"/>
  <c r="N90" i="4"/>
  <c r="M90" i="4"/>
  <c r="L90" i="4"/>
  <c r="K90" i="4"/>
  <c r="J90" i="4"/>
  <c r="I90" i="4"/>
  <c r="H90" i="4"/>
  <c r="G90" i="4"/>
  <c r="F90" i="4"/>
  <c r="E90" i="4"/>
  <c r="D90" i="4"/>
  <c r="C90" i="4"/>
  <c r="O89" i="4"/>
  <c r="N89" i="4"/>
  <c r="M89" i="4"/>
  <c r="L89" i="4"/>
  <c r="K89" i="4"/>
  <c r="J89" i="4"/>
  <c r="I89" i="4"/>
  <c r="H89" i="4"/>
  <c r="G89" i="4"/>
  <c r="F89" i="4"/>
  <c r="E89" i="4"/>
  <c r="D89" i="4"/>
  <c r="C89" i="4"/>
  <c r="O88" i="4"/>
  <c r="N88" i="4"/>
  <c r="M88" i="4"/>
  <c r="L88" i="4"/>
  <c r="K88" i="4"/>
  <c r="J88" i="4"/>
  <c r="I88" i="4"/>
  <c r="H88" i="4"/>
  <c r="G88" i="4"/>
  <c r="F88" i="4"/>
  <c r="E88" i="4"/>
  <c r="D88" i="4"/>
  <c r="C88" i="4"/>
  <c r="O86" i="4"/>
  <c r="N86" i="4"/>
  <c r="M86" i="4"/>
  <c r="L86" i="4"/>
  <c r="K86" i="4"/>
  <c r="J86" i="4"/>
  <c r="I86" i="4"/>
  <c r="H86" i="4"/>
  <c r="G86" i="4"/>
  <c r="F86" i="4"/>
  <c r="E86" i="4"/>
  <c r="D86" i="4"/>
  <c r="C86" i="4"/>
  <c r="O85" i="4"/>
  <c r="N85" i="4"/>
  <c r="M85" i="4"/>
  <c r="L85" i="4"/>
  <c r="K85" i="4"/>
  <c r="J85" i="4"/>
  <c r="I85" i="4"/>
  <c r="H85" i="4"/>
  <c r="G85" i="4"/>
  <c r="F85" i="4"/>
  <c r="E85" i="4"/>
  <c r="D85" i="4"/>
  <c r="C85" i="4"/>
  <c r="O84" i="4"/>
  <c r="N84" i="4"/>
  <c r="M84" i="4"/>
  <c r="L84" i="4"/>
  <c r="K84" i="4"/>
  <c r="J84" i="4"/>
  <c r="I84" i="4"/>
  <c r="H84" i="4"/>
  <c r="G84" i="4"/>
  <c r="F84" i="4"/>
  <c r="E84" i="4"/>
  <c r="D84" i="4"/>
  <c r="C84" i="4"/>
  <c r="O83" i="4"/>
  <c r="N83" i="4"/>
  <c r="M83" i="4"/>
  <c r="L83" i="4"/>
  <c r="K83" i="4"/>
  <c r="J83" i="4"/>
  <c r="I83" i="4"/>
  <c r="H83" i="4"/>
  <c r="G83" i="4"/>
  <c r="F83" i="4"/>
  <c r="E83" i="4"/>
  <c r="D83" i="4"/>
  <c r="C83" i="4"/>
  <c r="O82" i="4"/>
  <c r="N82" i="4"/>
  <c r="M82" i="4"/>
  <c r="L82" i="4"/>
  <c r="K82" i="4"/>
  <c r="J82" i="4"/>
  <c r="I82" i="4"/>
  <c r="H82" i="4"/>
  <c r="G82" i="4"/>
  <c r="F82" i="4"/>
  <c r="E82" i="4"/>
  <c r="D82" i="4"/>
  <c r="C82" i="4"/>
  <c r="O81" i="4"/>
  <c r="N81" i="4"/>
  <c r="M81" i="4"/>
  <c r="L81" i="4"/>
  <c r="K81" i="4"/>
  <c r="J81" i="4"/>
  <c r="I81" i="4"/>
  <c r="H81" i="4"/>
  <c r="G81" i="4"/>
  <c r="F81" i="4"/>
  <c r="E81" i="4"/>
  <c r="D81" i="4"/>
  <c r="C81" i="4"/>
  <c r="O80" i="4"/>
  <c r="N80" i="4"/>
  <c r="M80" i="4"/>
  <c r="L80" i="4"/>
  <c r="K80" i="4"/>
  <c r="J80" i="4"/>
  <c r="I80" i="4"/>
  <c r="H80" i="4"/>
  <c r="G80" i="4"/>
  <c r="F80" i="4"/>
  <c r="E80" i="4"/>
  <c r="D80" i="4"/>
  <c r="C80" i="4"/>
  <c r="O78" i="4"/>
  <c r="N78" i="4"/>
  <c r="M78" i="4"/>
  <c r="L78" i="4"/>
  <c r="K78" i="4"/>
  <c r="J78" i="4"/>
  <c r="I78" i="4"/>
  <c r="H78" i="4"/>
  <c r="G78" i="4"/>
  <c r="F78" i="4"/>
  <c r="E78" i="4"/>
  <c r="D78" i="4"/>
  <c r="C78" i="4"/>
  <c r="O77" i="4"/>
  <c r="N77" i="4"/>
  <c r="M77" i="4"/>
  <c r="L77" i="4"/>
  <c r="K77" i="4"/>
  <c r="J77" i="4"/>
  <c r="I77" i="4"/>
  <c r="H77" i="4"/>
  <c r="G77" i="4"/>
  <c r="F77" i="4"/>
  <c r="E77" i="4"/>
  <c r="D77" i="4"/>
  <c r="C77" i="4"/>
  <c r="O76" i="4"/>
  <c r="N76" i="4"/>
  <c r="M76" i="4"/>
  <c r="L76" i="4"/>
  <c r="K76" i="4"/>
  <c r="J76" i="4"/>
  <c r="I76" i="4"/>
  <c r="H76" i="4"/>
  <c r="G76" i="4"/>
  <c r="F76" i="4"/>
  <c r="E76" i="4"/>
  <c r="D76" i="4"/>
  <c r="C76" i="4"/>
  <c r="O75" i="4"/>
  <c r="N75" i="4"/>
  <c r="M75" i="4"/>
  <c r="L75" i="4"/>
  <c r="K75" i="4"/>
  <c r="J75" i="4"/>
  <c r="I75" i="4"/>
  <c r="H75" i="4"/>
  <c r="G75" i="4"/>
  <c r="F75" i="4"/>
  <c r="E75" i="4"/>
  <c r="D75" i="4"/>
  <c r="C75" i="4"/>
  <c r="O74" i="4"/>
  <c r="N74" i="4"/>
  <c r="M74" i="4"/>
  <c r="L74" i="4"/>
  <c r="K74" i="4"/>
  <c r="J74" i="4"/>
  <c r="I74" i="4"/>
  <c r="H74" i="4"/>
  <c r="G74" i="4"/>
  <c r="F74" i="4"/>
  <c r="E74" i="4"/>
  <c r="D74" i="4"/>
  <c r="C74" i="4"/>
  <c r="O73" i="4"/>
  <c r="N73" i="4"/>
  <c r="M73" i="4"/>
  <c r="L73" i="4"/>
  <c r="K73" i="4"/>
  <c r="J73" i="4"/>
  <c r="I73" i="4"/>
  <c r="H73" i="4"/>
  <c r="G73" i="4"/>
  <c r="F73" i="4"/>
  <c r="E73" i="4"/>
  <c r="D73" i="4"/>
  <c r="C73" i="4"/>
  <c r="O72" i="4"/>
  <c r="N72" i="4"/>
  <c r="M72" i="4"/>
  <c r="L72" i="4"/>
  <c r="K72" i="4"/>
  <c r="J72" i="4"/>
  <c r="I72" i="4"/>
  <c r="H72" i="4"/>
  <c r="G72" i="4"/>
  <c r="F72" i="4"/>
  <c r="E72" i="4"/>
  <c r="D72" i="4"/>
  <c r="C72" i="4"/>
  <c r="O69" i="4"/>
  <c r="N69" i="4"/>
  <c r="M69" i="4"/>
  <c r="L69" i="4"/>
  <c r="K69" i="4"/>
  <c r="J69" i="4"/>
  <c r="I69" i="4"/>
  <c r="H69" i="4"/>
  <c r="G69" i="4"/>
  <c r="F69" i="4"/>
  <c r="E69" i="4"/>
  <c r="D69" i="4"/>
  <c r="C69" i="4"/>
  <c r="O68" i="4"/>
  <c r="N68" i="4"/>
  <c r="M68" i="4"/>
  <c r="L68" i="4"/>
  <c r="K68" i="4"/>
  <c r="J68" i="4"/>
  <c r="I68" i="4"/>
  <c r="H68" i="4"/>
  <c r="G68" i="4"/>
  <c r="F68" i="4"/>
  <c r="E68" i="4"/>
  <c r="D68" i="4"/>
  <c r="C68" i="4"/>
  <c r="O67" i="4"/>
  <c r="N67" i="4"/>
  <c r="M67" i="4"/>
  <c r="L67" i="4"/>
  <c r="K67" i="4"/>
  <c r="J67" i="4"/>
  <c r="I67" i="4"/>
  <c r="H67" i="4"/>
  <c r="G67" i="4"/>
  <c r="F67" i="4"/>
  <c r="E67" i="4"/>
  <c r="D67" i="4"/>
  <c r="C67" i="4"/>
  <c r="O66" i="4"/>
  <c r="N66" i="4"/>
  <c r="M66" i="4"/>
  <c r="L66" i="4"/>
  <c r="K66" i="4"/>
  <c r="J66" i="4"/>
  <c r="I66" i="4"/>
  <c r="H66" i="4"/>
  <c r="G66" i="4"/>
  <c r="F66" i="4"/>
  <c r="E66" i="4"/>
  <c r="D66" i="4"/>
  <c r="C66" i="4"/>
  <c r="O65" i="4"/>
  <c r="N65" i="4"/>
  <c r="M65" i="4"/>
  <c r="L65" i="4"/>
  <c r="K65" i="4"/>
  <c r="J65" i="4"/>
  <c r="I65" i="4"/>
  <c r="H65" i="4"/>
  <c r="G65" i="4"/>
  <c r="F65" i="4"/>
  <c r="E65" i="4"/>
  <c r="D65" i="4"/>
  <c r="C65" i="4"/>
  <c r="O64" i="4"/>
  <c r="N64" i="4"/>
  <c r="M64" i="4"/>
  <c r="L64" i="4"/>
  <c r="K64" i="4"/>
  <c r="J64" i="4"/>
  <c r="I64" i="4"/>
  <c r="H64" i="4"/>
  <c r="G64" i="4"/>
  <c r="F64" i="4"/>
  <c r="E64" i="4"/>
  <c r="D64" i="4"/>
  <c r="C64" i="4"/>
  <c r="O63" i="4"/>
  <c r="N63" i="4"/>
  <c r="M63" i="4"/>
  <c r="L63" i="4"/>
  <c r="K63" i="4"/>
  <c r="J63" i="4"/>
  <c r="I63" i="4"/>
  <c r="H63" i="4"/>
  <c r="G63" i="4"/>
  <c r="F63" i="4"/>
  <c r="E63" i="4"/>
  <c r="D63" i="4"/>
  <c r="C63" i="4"/>
  <c r="O62" i="4"/>
  <c r="N62" i="4"/>
  <c r="M62" i="4"/>
  <c r="L62" i="4"/>
  <c r="K62" i="4"/>
  <c r="J62" i="4"/>
  <c r="I62" i="4"/>
  <c r="H62" i="4"/>
  <c r="G62" i="4"/>
  <c r="F62" i="4"/>
  <c r="E62" i="4"/>
  <c r="D62" i="4"/>
  <c r="C62" i="4"/>
  <c r="O61" i="4"/>
  <c r="N61" i="4"/>
  <c r="M61" i="4"/>
  <c r="L61" i="4"/>
  <c r="K61" i="4"/>
  <c r="J61" i="4"/>
  <c r="I61" i="4"/>
  <c r="H61" i="4"/>
  <c r="G61" i="4"/>
  <c r="F61" i="4"/>
  <c r="E61" i="4"/>
  <c r="D61" i="4"/>
  <c r="C61" i="4"/>
  <c r="O60" i="4"/>
  <c r="N60" i="4"/>
  <c r="M60" i="4"/>
  <c r="L60" i="4"/>
  <c r="K60" i="4"/>
  <c r="J60" i="4"/>
  <c r="I60" i="4"/>
  <c r="H60" i="4"/>
  <c r="G60" i="4"/>
  <c r="F60" i="4"/>
  <c r="E60" i="4"/>
  <c r="D60" i="4"/>
  <c r="C60" i="4"/>
  <c r="O59" i="4"/>
  <c r="N59" i="4"/>
  <c r="M59" i="4"/>
  <c r="L59" i="4"/>
  <c r="K59" i="4"/>
  <c r="J59" i="4"/>
  <c r="I59" i="4"/>
  <c r="H59" i="4"/>
  <c r="G59" i="4"/>
  <c r="F59" i="4"/>
  <c r="E59" i="4"/>
  <c r="D59" i="4"/>
  <c r="C59" i="4"/>
  <c r="O57" i="4"/>
  <c r="N57" i="4"/>
  <c r="M57" i="4"/>
  <c r="L57" i="4"/>
  <c r="K57" i="4"/>
  <c r="J57" i="4"/>
  <c r="I57" i="4"/>
  <c r="H57" i="4"/>
  <c r="G57" i="4"/>
  <c r="F57" i="4"/>
  <c r="E57" i="4"/>
  <c r="D57" i="4"/>
  <c r="C57" i="4"/>
  <c r="O56" i="4"/>
  <c r="N56" i="4"/>
  <c r="M56" i="4"/>
  <c r="L56" i="4"/>
  <c r="K56" i="4"/>
  <c r="J56" i="4"/>
  <c r="I56" i="4"/>
  <c r="H56" i="4"/>
  <c r="G56" i="4"/>
  <c r="F56" i="4"/>
  <c r="E56" i="4"/>
  <c r="D56" i="4"/>
  <c r="C56" i="4"/>
  <c r="O54" i="4"/>
  <c r="N54" i="4"/>
  <c r="M54" i="4"/>
  <c r="L54" i="4"/>
  <c r="K54" i="4"/>
  <c r="J54" i="4"/>
  <c r="I54" i="4"/>
  <c r="H54" i="4"/>
  <c r="G54" i="4"/>
  <c r="F54" i="4"/>
  <c r="E54" i="4"/>
  <c r="D54" i="4"/>
  <c r="C54" i="4"/>
  <c r="O53" i="4"/>
  <c r="N53" i="4"/>
  <c r="M53" i="4"/>
  <c r="L53" i="4"/>
  <c r="K53" i="4"/>
  <c r="J53" i="4"/>
  <c r="I53" i="4"/>
  <c r="H53" i="4"/>
  <c r="G53" i="4"/>
  <c r="F53" i="4"/>
  <c r="E53" i="4"/>
  <c r="D53" i="4"/>
  <c r="C53" i="4"/>
  <c r="O51" i="4"/>
  <c r="N51" i="4"/>
  <c r="M51" i="4"/>
  <c r="L51" i="4"/>
  <c r="K51" i="4"/>
  <c r="J51" i="4"/>
  <c r="I51" i="4"/>
  <c r="H51" i="4"/>
  <c r="G51" i="4"/>
  <c r="F51" i="4"/>
  <c r="E51" i="4"/>
  <c r="D51" i="4"/>
  <c r="C51" i="4"/>
  <c r="O50" i="4"/>
  <c r="N50" i="4"/>
  <c r="M50" i="4"/>
  <c r="L50" i="4"/>
  <c r="K50" i="4"/>
  <c r="J50" i="4"/>
  <c r="I50" i="4"/>
  <c r="H50" i="4"/>
  <c r="G50" i="4"/>
  <c r="F50" i="4"/>
  <c r="E50" i="4"/>
  <c r="D50" i="4"/>
  <c r="C50" i="4"/>
  <c r="O49" i="4"/>
  <c r="N49" i="4"/>
  <c r="M49" i="4"/>
  <c r="L49" i="4"/>
  <c r="K49" i="4"/>
  <c r="J49" i="4"/>
  <c r="I49" i="4"/>
  <c r="H49" i="4"/>
  <c r="G49" i="4"/>
  <c r="F49" i="4"/>
  <c r="E49" i="4"/>
  <c r="D49" i="4"/>
  <c r="C49" i="4"/>
  <c r="O48" i="4"/>
  <c r="N48" i="4"/>
  <c r="M48" i="4"/>
  <c r="L48" i="4"/>
  <c r="K48" i="4"/>
  <c r="J48" i="4"/>
  <c r="I48" i="4"/>
  <c r="H48" i="4"/>
  <c r="G48" i="4"/>
  <c r="F48" i="4"/>
  <c r="E48" i="4"/>
  <c r="D48" i="4"/>
  <c r="C48" i="4"/>
  <c r="O47" i="4"/>
  <c r="N47" i="4"/>
  <c r="M47" i="4"/>
  <c r="L47" i="4"/>
  <c r="K47" i="4"/>
  <c r="J47" i="4"/>
  <c r="I47" i="4"/>
  <c r="H47" i="4"/>
  <c r="G47" i="4"/>
  <c r="F47" i="4"/>
  <c r="E47" i="4"/>
  <c r="D47" i="4"/>
  <c r="C47" i="4"/>
  <c r="O46" i="4"/>
  <c r="N46" i="4"/>
  <c r="M46" i="4"/>
  <c r="L46" i="4"/>
  <c r="K46" i="4"/>
  <c r="J46" i="4"/>
  <c r="I46" i="4"/>
  <c r="H46" i="4"/>
  <c r="G46" i="4"/>
  <c r="F46" i="4"/>
  <c r="E46" i="4"/>
  <c r="D46" i="4"/>
  <c r="C46" i="4"/>
  <c r="O45" i="4"/>
  <c r="N45" i="4"/>
  <c r="M45" i="4"/>
  <c r="L45" i="4"/>
  <c r="K45" i="4"/>
  <c r="J45" i="4"/>
  <c r="I45" i="4"/>
  <c r="H45" i="4"/>
  <c r="G45" i="4"/>
  <c r="F45" i="4"/>
  <c r="E45" i="4"/>
  <c r="D45" i="4"/>
  <c r="C45" i="4"/>
  <c r="O44" i="4"/>
  <c r="N44" i="4"/>
  <c r="M44" i="4"/>
  <c r="L44" i="4"/>
  <c r="K44" i="4"/>
  <c r="J44" i="4"/>
  <c r="I44" i="4"/>
  <c r="H44" i="4"/>
  <c r="G44" i="4"/>
  <c r="F44" i="4"/>
  <c r="E44" i="4"/>
  <c r="D44" i="4"/>
  <c r="C44" i="4"/>
  <c r="O43" i="4"/>
  <c r="N43" i="4"/>
  <c r="M43" i="4"/>
  <c r="L43" i="4"/>
  <c r="K43" i="4"/>
  <c r="J43" i="4"/>
  <c r="I43" i="4"/>
  <c r="H43" i="4"/>
  <c r="G43" i="4"/>
  <c r="F43" i="4"/>
  <c r="E43" i="4"/>
  <c r="D43" i="4"/>
  <c r="C43" i="4"/>
  <c r="O42" i="4"/>
  <c r="N42" i="4"/>
  <c r="M42" i="4"/>
  <c r="L42" i="4"/>
  <c r="K42" i="4"/>
  <c r="J42" i="4"/>
  <c r="I42" i="4"/>
  <c r="H42" i="4"/>
  <c r="G42" i="4"/>
  <c r="F42" i="4"/>
  <c r="E42" i="4"/>
  <c r="D42" i="4"/>
  <c r="C42" i="4"/>
  <c r="O41" i="4"/>
  <c r="N41" i="4"/>
  <c r="M41" i="4"/>
  <c r="L41" i="4"/>
  <c r="K41" i="4"/>
  <c r="J41" i="4"/>
  <c r="I41" i="4"/>
  <c r="H41" i="4"/>
  <c r="G41" i="4"/>
  <c r="F41" i="4"/>
  <c r="E41" i="4"/>
  <c r="D41" i="4"/>
  <c r="C41" i="4"/>
  <c r="O39" i="4"/>
  <c r="N39" i="4"/>
  <c r="M39" i="4"/>
  <c r="L39" i="4"/>
  <c r="K39" i="4"/>
  <c r="J39" i="4"/>
  <c r="I39" i="4"/>
  <c r="H39" i="4"/>
  <c r="G39" i="4"/>
  <c r="F39" i="4"/>
  <c r="E39" i="4"/>
  <c r="D39" i="4"/>
  <c r="C39" i="4"/>
  <c r="O38" i="4"/>
  <c r="N38" i="4"/>
  <c r="M38" i="4"/>
  <c r="L38" i="4"/>
  <c r="K38" i="4"/>
  <c r="J38" i="4"/>
  <c r="I38" i="4"/>
  <c r="H38" i="4"/>
  <c r="G38" i="4"/>
  <c r="F38" i="4"/>
  <c r="E38" i="4"/>
  <c r="D38" i="4"/>
  <c r="C38" i="4"/>
  <c r="O37" i="4"/>
  <c r="N37" i="4"/>
  <c r="M37" i="4"/>
  <c r="L37" i="4"/>
  <c r="K37" i="4"/>
  <c r="J37" i="4"/>
  <c r="I37" i="4"/>
  <c r="H37" i="4"/>
  <c r="G37" i="4"/>
  <c r="F37" i="4"/>
  <c r="E37" i="4"/>
  <c r="D37" i="4"/>
  <c r="C37" i="4"/>
  <c r="O35" i="4"/>
  <c r="N35" i="4"/>
  <c r="M35" i="4"/>
  <c r="L35" i="4"/>
  <c r="K35" i="4"/>
  <c r="J35" i="4"/>
  <c r="I35" i="4"/>
  <c r="H35" i="4"/>
  <c r="G35" i="4"/>
  <c r="F35" i="4"/>
  <c r="E35" i="4"/>
  <c r="D35" i="4"/>
  <c r="C35" i="4"/>
  <c r="O34" i="4"/>
  <c r="N34" i="4"/>
  <c r="M34" i="4"/>
  <c r="L34" i="4"/>
  <c r="K34" i="4"/>
  <c r="J34" i="4"/>
  <c r="I34" i="4"/>
  <c r="H34" i="4"/>
  <c r="G34" i="4"/>
  <c r="F34" i="4"/>
  <c r="E34" i="4"/>
  <c r="D34" i="4"/>
  <c r="C34" i="4"/>
  <c r="O33" i="4"/>
  <c r="N33" i="4"/>
  <c r="M33" i="4"/>
  <c r="L33" i="4"/>
  <c r="K33" i="4"/>
  <c r="J33" i="4"/>
  <c r="I33" i="4"/>
  <c r="H33" i="4"/>
  <c r="G33" i="4"/>
  <c r="F33" i="4"/>
  <c r="E33" i="4"/>
  <c r="D33" i="4"/>
  <c r="C33" i="4"/>
  <c r="O32" i="4"/>
  <c r="N32" i="4"/>
  <c r="M32" i="4"/>
  <c r="L32" i="4"/>
  <c r="K32" i="4"/>
  <c r="J32" i="4"/>
  <c r="I32" i="4"/>
  <c r="H32" i="4"/>
  <c r="G32" i="4"/>
  <c r="F32" i="4"/>
  <c r="E32" i="4"/>
  <c r="D32" i="4"/>
  <c r="C32" i="4"/>
  <c r="O31" i="4"/>
  <c r="N31" i="4"/>
  <c r="M31" i="4"/>
  <c r="L31" i="4"/>
  <c r="K31" i="4"/>
  <c r="J31" i="4"/>
  <c r="I31" i="4"/>
  <c r="H31" i="4"/>
  <c r="G31" i="4"/>
  <c r="F31" i="4"/>
  <c r="E31" i="4"/>
  <c r="D31" i="4"/>
  <c r="C31" i="4"/>
  <c r="O30" i="4"/>
  <c r="N30" i="4"/>
  <c r="M30" i="4"/>
  <c r="L30" i="4"/>
  <c r="K30" i="4"/>
  <c r="J30" i="4"/>
  <c r="I30" i="4"/>
  <c r="H30" i="4"/>
  <c r="G30" i="4"/>
  <c r="F30" i="4"/>
  <c r="E30" i="4"/>
  <c r="D30" i="4"/>
  <c r="C30" i="4"/>
  <c r="O29" i="4"/>
  <c r="N29" i="4"/>
  <c r="M29" i="4"/>
  <c r="L29" i="4"/>
  <c r="K29" i="4"/>
  <c r="J29" i="4"/>
  <c r="I29" i="4"/>
  <c r="H29" i="4"/>
  <c r="G29" i="4"/>
  <c r="F29" i="4"/>
  <c r="E29" i="4"/>
  <c r="D29" i="4"/>
  <c r="C29" i="4"/>
  <c r="O28" i="4"/>
  <c r="N28" i="4"/>
  <c r="M28" i="4"/>
  <c r="L28" i="4"/>
  <c r="K28" i="4"/>
  <c r="J28" i="4"/>
  <c r="I28" i="4"/>
  <c r="H28" i="4"/>
  <c r="G28" i="4"/>
  <c r="F28" i="4"/>
  <c r="E28" i="4"/>
  <c r="D28" i="4"/>
  <c r="C28" i="4"/>
  <c r="O27" i="4"/>
  <c r="N27" i="4"/>
  <c r="M27" i="4"/>
  <c r="L27" i="4"/>
  <c r="K27" i="4"/>
  <c r="J27" i="4"/>
  <c r="I27" i="4"/>
  <c r="H27" i="4"/>
  <c r="G27" i="4"/>
  <c r="F27" i="4"/>
  <c r="E27" i="4"/>
  <c r="D27" i="4"/>
  <c r="C27" i="4"/>
  <c r="O25" i="4"/>
  <c r="N25" i="4"/>
  <c r="M25" i="4"/>
  <c r="L25" i="4"/>
  <c r="K25" i="4"/>
  <c r="J25" i="4"/>
  <c r="I25" i="4"/>
  <c r="H25" i="4"/>
  <c r="G25" i="4"/>
  <c r="F25" i="4"/>
  <c r="E25" i="4"/>
  <c r="D25" i="4"/>
  <c r="C25" i="4"/>
  <c r="O22" i="4"/>
  <c r="N22" i="4"/>
  <c r="M22" i="4"/>
  <c r="L22" i="4"/>
  <c r="K22" i="4"/>
  <c r="J22" i="4"/>
  <c r="I22" i="4"/>
  <c r="H22" i="4"/>
  <c r="G22" i="4"/>
  <c r="F22" i="4"/>
  <c r="E22" i="4"/>
  <c r="D22" i="4"/>
  <c r="C22" i="4"/>
  <c r="O21" i="4"/>
  <c r="N21" i="4"/>
  <c r="M21" i="4"/>
  <c r="L21" i="4"/>
  <c r="K21" i="4"/>
  <c r="J21" i="4"/>
  <c r="I21" i="4"/>
  <c r="H21" i="4"/>
  <c r="G21" i="4"/>
  <c r="F21" i="4"/>
  <c r="E21" i="4"/>
  <c r="D21" i="4"/>
  <c r="C21" i="4"/>
  <c r="O20" i="4"/>
  <c r="N20" i="4"/>
  <c r="M20" i="4"/>
  <c r="L20" i="4"/>
  <c r="K20" i="4"/>
  <c r="J20" i="4"/>
  <c r="I20" i="4"/>
  <c r="H20" i="4"/>
  <c r="G20" i="4"/>
  <c r="F20" i="4"/>
  <c r="E20" i="4"/>
  <c r="D20" i="4"/>
  <c r="C20" i="4"/>
  <c r="O19" i="4"/>
  <c r="N19" i="4"/>
  <c r="M19" i="4"/>
  <c r="L19" i="4"/>
  <c r="K19" i="4"/>
  <c r="J19" i="4"/>
  <c r="I19" i="4"/>
  <c r="H19" i="4"/>
  <c r="G19" i="4"/>
  <c r="F19" i="4"/>
  <c r="E19" i="4"/>
  <c r="D19" i="4"/>
  <c r="C19" i="4"/>
  <c r="O18" i="4"/>
  <c r="N18" i="4"/>
  <c r="M18" i="4"/>
  <c r="L18" i="4"/>
  <c r="K18" i="4"/>
  <c r="J18" i="4"/>
  <c r="I18" i="4"/>
  <c r="H18" i="4"/>
  <c r="G18" i="4"/>
  <c r="F18" i="4"/>
  <c r="E18" i="4"/>
  <c r="D18" i="4"/>
  <c r="C18" i="4"/>
  <c r="O17" i="4"/>
  <c r="N17" i="4"/>
  <c r="M17" i="4"/>
  <c r="L17" i="4"/>
  <c r="K17" i="4"/>
  <c r="J17" i="4"/>
  <c r="I17" i="4"/>
  <c r="H17" i="4"/>
  <c r="G17" i="4"/>
  <c r="F17" i="4"/>
  <c r="E17" i="4"/>
  <c r="D17" i="4"/>
  <c r="C17" i="4"/>
  <c r="O16" i="4"/>
  <c r="N16" i="4"/>
  <c r="M16" i="4"/>
  <c r="L16" i="4"/>
  <c r="K16" i="4"/>
  <c r="J16" i="4"/>
  <c r="I16" i="4"/>
  <c r="H16" i="4"/>
  <c r="G16" i="4"/>
  <c r="F16" i="4"/>
  <c r="E16" i="4"/>
  <c r="D16" i="4"/>
  <c r="C16" i="4"/>
  <c r="O14" i="4"/>
  <c r="N14" i="4"/>
  <c r="M14" i="4"/>
  <c r="L14" i="4"/>
  <c r="K14" i="4"/>
  <c r="J14" i="4"/>
  <c r="I14" i="4"/>
  <c r="H14" i="4"/>
  <c r="G14" i="4"/>
  <c r="F14" i="4"/>
  <c r="E14" i="4"/>
  <c r="D14" i="4"/>
  <c r="C14" i="4"/>
  <c r="O13" i="4"/>
  <c r="N13" i="4"/>
  <c r="M13" i="4"/>
  <c r="L13" i="4"/>
  <c r="K13" i="4"/>
  <c r="J13" i="4"/>
  <c r="I13" i="4"/>
  <c r="H13" i="4"/>
  <c r="G13" i="4"/>
  <c r="F13" i="4"/>
  <c r="E13" i="4"/>
  <c r="D13" i="4"/>
  <c r="C13" i="4"/>
  <c r="O12" i="4"/>
  <c r="N12" i="4"/>
  <c r="M12" i="4"/>
  <c r="L12" i="4"/>
  <c r="K12" i="4"/>
  <c r="J12" i="4"/>
  <c r="I12" i="4"/>
  <c r="H12" i="4"/>
  <c r="G12" i="4"/>
  <c r="F12" i="4"/>
  <c r="E12" i="4"/>
  <c r="D12" i="4"/>
  <c r="C12" i="4"/>
  <c r="O11" i="4"/>
  <c r="N11" i="4"/>
  <c r="M11" i="4"/>
  <c r="L11" i="4"/>
  <c r="K11" i="4"/>
  <c r="J11" i="4"/>
  <c r="I11" i="4"/>
  <c r="H11" i="4"/>
  <c r="G11" i="4"/>
  <c r="F11" i="4"/>
  <c r="E11" i="4"/>
  <c r="D11" i="4"/>
  <c r="C11" i="4"/>
  <c r="O10" i="4"/>
  <c r="N10" i="4"/>
  <c r="M10" i="4"/>
  <c r="L10" i="4"/>
  <c r="K10" i="4"/>
  <c r="J10" i="4"/>
  <c r="I10" i="4"/>
  <c r="H10" i="4"/>
  <c r="G10" i="4"/>
  <c r="F10" i="4"/>
  <c r="E10" i="4"/>
  <c r="D10" i="4"/>
  <c r="C10" i="4"/>
  <c r="B14" i="1"/>
  <c r="B13" i="1"/>
  <c r="B9" i="1"/>
  <c r="B8" i="1"/>
  <c r="B7" i="1"/>
  <c r="B6" i="1"/>
  <c r="F46" i="73"/>
  <c r="A34" i="1"/>
  <c r="A1" i="97"/>
  <c r="A1" i="94"/>
  <c r="A1" i="93"/>
  <c r="A1" i="91"/>
  <c r="A1" i="89"/>
  <c r="A1" i="87"/>
  <c r="A1" i="86"/>
  <c r="A1" i="84"/>
  <c r="A1" i="80"/>
  <c r="A1" i="78"/>
  <c r="A1" i="77"/>
  <c r="A1" i="76"/>
  <c r="A1" i="75"/>
  <c r="A1" i="73"/>
  <c r="B4" i="4"/>
  <c r="A1" i="72"/>
  <c r="A1" i="4"/>
  <c r="B3" i="71"/>
  <c r="B4" i="71"/>
  <c r="B5" i="71"/>
  <c r="B6" i="71"/>
  <c r="B7" i="71"/>
  <c r="B8" i="71"/>
  <c r="B9" i="71"/>
  <c r="B10" i="71"/>
  <c r="B11" i="71"/>
  <c r="B12" i="71"/>
  <c r="B13" i="71"/>
  <c r="B14" i="71"/>
  <c r="B15" i="71"/>
  <c r="B16" i="71"/>
  <c r="B17" i="71"/>
  <c r="B18" i="71"/>
  <c r="B19" i="71"/>
  <c r="B20" i="71"/>
  <c r="B21" i="71"/>
</calcChain>
</file>

<file path=xl/sharedStrings.xml><?xml version="1.0" encoding="utf-8"?>
<sst xmlns="http://schemas.openxmlformats.org/spreadsheetml/2006/main" count="3199" uniqueCount="1913">
  <si>
    <t>Board of Governors of the Federal Reserve System</t>
  </si>
  <si>
    <t>Dollar amounts in thousands</t>
  </si>
  <si>
    <t>1. Interest income:</t>
  </si>
  <si>
    <t>a. Interest and fee income on loans:</t>
  </si>
  <si>
    <t>1.a.</t>
  </si>
  <si>
    <t>1. Loans secured by real estate:</t>
  </si>
  <si>
    <t>1.a.1.</t>
  </si>
  <si>
    <t>a. Loans secured by 1-4 family residential properties</t>
  </si>
  <si>
    <t>1.a.1.a.</t>
  </si>
  <si>
    <t>b. All other loans secured by real estate</t>
  </si>
  <si>
    <t>1.a.1.b.</t>
  </si>
  <si>
    <t>2. Commercial and industrial loans</t>
  </si>
  <si>
    <t>1.a.2.</t>
  </si>
  <si>
    <t>a. Credit cards</t>
  </si>
  <si>
    <t>b. Income from lease financing receivables</t>
  </si>
  <si>
    <t>1.b.</t>
  </si>
  <si>
    <t>c. Interest income on balances due from depository institutions</t>
  </si>
  <si>
    <t>1.c.</t>
  </si>
  <si>
    <t>d. Interest and dividend income on securities:</t>
  </si>
  <si>
    <t>1.d.</t>
  </si>
  <si>
    <t>1. U.S. Treasury securities and U.S. Government agency obligations (excluding mortgage-backed securities).</t>
  </si>
  <si>
    <t>1.d.1.</t>
  </si>
  <si>
    <t>2. Mortgage-backed securities</t>
  </si>
  <si>
    <t>1.d.2.</t>
  </si>
  <si>
    <t>3. All other securities (includes securities issued by states and political subdivisions in the U.S.)</t>
  </si>
  <si>
    <t>1.d.3.</t>
  </si>
  <si>
    <t>e. Interest income from trading assets</t>
  </si>
  <si>
    <t>1.e.</t>
  </si>
  <si>
    <t>f. Interest income on federal funds sold and securities purchased under agreements to resell</t>
  </si>
  <si>
    <t>1.f.</t>
  </si>
  <si>
    <t>g. Other interest income</t>
  </si>
  <si>
    <t>1.g.</t>
  </si>
  <si>
    <t>h. Total interest income (sum of items 1.a.(6) through 1.g)</t>
  </si>
  <si>
    <t>1.h.</t>
  </si>
  <si>
    <t>2. Interest expense:</t>
  </si>
  <si>
    <t>a. Interest on deposits:</t>
  </si>
  <si>
    <t>2.a.</t>
  </si>
  <si>
    <t>2.a.1.</t>
  </si>
  <si>
    <t>2. Nontransaction accounts:</t>
  </si>
  <si>
    <t>2.a.2.</t>
  </si>
  <si>
    <t>a. Savings deposits (includes MMDAs)</t>
  </si>
  <si>
    <t>2.a.2.a.</t>
  </si>
  <si>
    <t>b. Time deposits of $100,000 or more</t>
  </si>
  <si>
    <t>2.a.2.b.</t>
  </si>
  <si>
    <t>c. Time deposits of less than $100,000</t>
  </si>
  <si>
    <t>2.a.2.c.</t>
  </si>
  <si>
    <t>b. Expense of federal funds purchased and securities sold under agreements to repurchase</t>
  </si>
  <si>
    <t>2.b.</t>
  </si>
  <si>
    <t>c. Interest on trading liabilities and other borrowed money</t>
  </si>
  <si>
    <t>2.c.</t>
  </si>
  <si>
    <t>d. Interest on subordinated notes and debentures</t>
  </si>
  <si>
    <t>2.d.</t>
  </si>
  <si>
    <t>e. Total interest expense (sum of items 2.a through 2.d)</t>
  </si>
  <si>
    <t>2.e.</t>
  </si>
  <si>
    <t>3. Net interest income (item 1.h minus 2.e)</t>
  </si>
  <si>
    <t>4. Provision for loan and lease losses</t>
  </si>
  <si>
    <t>5. Noninterest income:</t>
  </si>
  <si>
    <t>a. Income from fiduciary activities</t>
  </si>
  <si>
    <t>5.a.</t>
  </si>
  <si>
    <t>b. Service charges on deposit accounts</t>
  </si>
  <si>
    <t>5.b.</t>
  </si>
  <si>
    <t>c. Trading revenue</t>
  </si>
  <si>
    <t>5.c.</t>
  </si>
  <si>
    <t>d. Not available</t>
  </si>
  <si>
    <t>5.d.</t>
  </si>
  <si>
    <t>1. Fees and commissions from securities brokerage</t>
  </si>
  <si>
    <t>5.d.1.</t>
  </si>
  <si>
    <t>2. Investment banking, advisory, and underwriting fees and commissions</t>
  </si>
  <si>
    <t>5.d.2.</t>
  </si>
  <si>
    <t>3. Fees and commissions from annuity sales</t>
  </si>
  <si>
    <t>5.d.3.</t>
  </si>
  <si>
    <t>4. Underwriting income from insurance and reinsurance activities</t>
  </si>
  <si>
    <t>5.d.4.</t>
  </si>
  <si>
    <t>5. Income from other insurance activities</t>
  </si>
  <si>
    <t>5.d.5.</t>
  </si>
  <si>
    <t>e. Venture capital revenue</t>
  </si>
  <si>
    <t>5.e.</t>
  </si>
  <si>
    <t>f. Net servicing fees</t>
  </si>
  <si>
    <t>5.f.</t>
  </si>
  <si>
    <t>g. Net securitization income</t>
  </si>
  <si>
    <t>5.g.</t>
  </si>
  <si>
    <t>k. Net gains (losses) on sales of other assets (excluding securities)</t>
  </si>
  <si>
    <t>5.k.</t>
  </si>
  <si>
    <t>l. Other noninterest income</t>
  </si>
  <si>
    <t>5.l.</t>
  </si>
  <si>
    <t>m. Total noninterest income (sum of items 5.a through 5.l)</t>
  </si>
  <si>
    <t>5.m.</t>
  </si>
  <si>
    <t>6. Not available</t>
  </si>
  <si>
    <t>a. Realized gains (losses) on held-to-maturity securities</t>
  </si>
  <si>
    <t>6.a.</t>
  </si>
  <si>
    <t>b. Realized gains (losses) on available-for-sale securities</t>
  </si>
  <si>
    <t>6.b.</t>
  </si>
  <si>
    <t>7. Noninterest expense:</t>
  </si>
  <si>
    <t>a. Salaries and employee benefits</t>
  </si>
  <si>
    <t>7.a.</t>
  </si>
  <si>
    <t>7.b.</t>
  </si>
  <si>
    <t>c. Not available</t>
  </si>
  <si>
    <t>7.c.</t>
  </si>
  <si>
    <t>1. Goodwill impairment losses</t>
  </si>
  <si>
    <t>7.c.1.</t>
  </si>
  <si>
    <t>2. Amortization expense and impairment losses for other intangible assets</t>
  </si>
  <si>
    <t>7.c.2.</t>
  </si>
  <si>
    <t>d. Other noninterest expense</t>
  </si>
  <si>
    <t>7.d.</t>
  </si>
  <si>
    <t>e. Total noninterest expense (sum of items 7.a through 7.d)</t>
  </si>
  <si>
    <t>7.e.</t>
  </si>
  <si>
    <t>9. Applicable income taxes (on item 8)</t>
  </si>
  <si>
    <t>10. Income (loss) before extraordinary items and other adjustments (item 8 minus item 9)</t>
  </si>
  <si>
    <t>11. Extraordinary items and other adjustments, net of income taxes</t>
  </si>
  <si>
    <t>12. Net income (loss) attributable to bank and noncontrolling (minority) interests (sum of items 10 and 11)</t>
  </si>
  <si>
    <t>14. Net income (loss) attributable to bank (item 12 minus item 13)</t>
  </si>
  <si>
    <t>Memoranda</t>
  </si>
  <si>
    <t>M.1.</t>
  </si>
  <si>
    <t>M.2.</t>
  </si>
  <si>
    <t>M.3.</t>
  </si>
  <si>
    <t>M.4.</t>
  </si>
  <si>
    <t>5. Number of full-time equivalent employees at end of current period (round to nearest whole number)</t>
  </si>
  <si>
    <t>M.5.</t>
  </si>
  <si>
    <t>M.6.</t>
  </si>
  <si>
    <t>M.7.</t>
  </si>
  <si>
    <t>M.8.</t>
  </si>
  <si>
    <t>a. Interest rate exposures</t>
  </si>
  <si>
    <t>M.8.a.</t>
  </si>
  <si>
    <t>b. Foreign exchange exposures</t>
  </si>
  <si>
    <t>M.8.b.</t>
  </si>
  <si>
    <t>c. Equity security and index exposures</t>
  </si>
  <si>
    <t>M.8.c.</t>
  </si>
  <si>
    <t>d. Commodity and other exposures</t>
  </si>
  <si>
    <t>M.8.d.</t>
  </si>
  <si>
    <t>e. Credit exposures</t>
  </si>
  <si>
    <t>M.8.e.</t>
  </si>
  <si>
    <t>M.8.f.</t>
  </si>
  <si>
    <t>M.8.g.</t>
  </si>
  <si>
    <t>M.9.</t>
  </si>
  <si>
    <t>a. Net gains (losses) on credit derivatives held for trading</t>
  </si>
  <si>
    <t>M.9.a.</t>
  </si>
  <si>
    <t>b. Net gains (losses) on credit derivatives held for purposes other than trading</t>
  </si>
  <si>
    <t>M.9.b.</t>
  </si>
  <si>
    <t>10. Credit losses on derivatives (see instructions)</t>
  </si>
  <si>
    <t>M.10.</t>
  </si>
  <si>
    <t>M.11.</t>
  </si>
  <si>
    <t>M.12.</t>
  </si>
  <si>
    <t>M.13.</t>
  </si>
  <si>
    <t>a. Net gains (losses) on assets</t>
  </si>
  <si>
    <t>M.13.a.</t>
  </si>
  <si>
    <t>1. Estimated net gains (losses) on loans attributable to changes in instrument-specific credit risk</t>
  </si>
  <si>
    <t>M.13.a.1.</t>
  </si>
  <si>
    <t>b. Net gains (losses) on liabilities</t>
  </si>
  <si>
    <t>M.13.b.</t>
  </si>
  <si>
    <t>1. Estimated net gains (losses) on liabilities attributable to changes in instrument-specific credit risk</t>
  </si>
  <si>
    <t>M.13.b.1.</t>
  </si>
  <si>
    <t>14. Other-than-temporary impairment losses on held-to-maturity and available-for-sale debt securities:</t>
  </si>
  <si>
    <t>M.14.</t>
  </si>
  <si>
    <t>a. Total other-than-temporary impairment losses</t>
  </si>
  <si>
    <t>M.14.a.</t>
  </si>
  <si>
    <t>b. Portion of losses recognized in other comprehensive income (before income taxes)</t>
  </si>
  <si>
    <t>M.14.b.</t>
  </si>
  <si>
    <t>M.14.c.</t>
  </si>
  <si>
    <t>M.15.</t>
  </si>
  <si>
    <t>M.15.a.</t>
  </si>
  <si>
    <t>M.15.b.</t>
  </si>
  <si>
    <t>M.15.c.</t>
  </si>
  <si>
    <t>d. All other service charges on deposit accounts</t>
  </si>
  <si>
    <t>M.15.d.</t>
  </si>
  <si>
    <t>13. LESS: Net income (loss) attributable to noncontrolling (minority) interests (if net income, report as a positive value; if net loss, report as a negative value)</t>
  </si>
  <si>
    <t>8. Income (loss) before income taxes and extraordinary items and other adjustments (item 3 plus or minus items 4, 5.m, 6.a, 6.b, and 7.e)</t>
  </si>
  <si>
    <t>b. Expenses of premises and fixed assets (net of rental income) (excluding salaries and employee benefits and mortgage interest)</t>
  </si>
  <si>
    <t>1. Interest expense incurred to carry tax-exempt securities, loans, and leases acquired after August 7, 1986, that is not deductible for federal income tax purposes</t>
  </si>
  <si>
    <t>7. If the reporting institution has applied pushdown accounting this calendar year, report the date of the institution'sacquisition (see instructions)</t>
  </si>
  <si>
    <t>f. Impact on trading revenue of changes in the creditworthiness of the bank's derivatives counterparties on the bank's derivative assets (included in Memorandum items 8.a through 8.e above)</t>
  </si>
  <si>
    <t>g. Impact on trading revenue of changes in the creditworthiness of the bank on the bank's derivative liabilities (included in Memorandum items 8.a through 8.e above)</t>
  </si>
  <si>
    <t>9. Net gains (losses) recognized in earnings on credit derivatives that economically hedge credit exposures held outside the trading account:</t>
  </si>
  <si>
    <t>11. Does the reporting bank have a Subchapter S election in effect for federal income tax purposes for the current tax year?</t>
  </si>
  <si>
    <t>13. Net gains (losses) recognized in earnings on assets and liabilities that are reported at fair value under a fair value option:</t>
  </si>
  <si>
    <t>a. Consumer overdraft-related service charges levied on those transaction account and nontransaction savings account deposit products intended primarily for individuals for personal, household, or family use</t>
  </si>
  <si>
    <t>b. Consumer account periodic maintenance charges levied on those transaction account and nontransaction savings account deposit products intended primarily for individuals for personal, household, or family use</t>
  </si>
  <si>
    <t>c. Consumer customer automated teller machine (ATM) fees levied on those transaction account and nontransaction savings account deposit products intended primarily for individuals for personal, household, or family use</t>
  </si>
  <si>
    <t>Fiscal Year</t>
  </si>
  <si>
    <t>Fiscal Period</t>
  </si>
  <si>
    <t>Fiscal Period Type</t>
  </si>
  <si>
    <t>FY</t>
  </si>
  <si>
    <t>YTD</t>
  </si>
  <si>
    <t>sequences</t>
  </si>
  <si>
    <t>Fundamental Sequence</t>
  </si>
  <si>
    <t>Institution Name</t>
  </si>
  <si>
    <t>City</t>
  </si>
  <si>
    <t>State</t>
  </si>
  <si>
    <t>Table of Contents</t>
  </si>
  <si>
    <t>fiscal_period_types</t>
  </si>
  <si>
    <t>2. Cumulative effect of changes in accounting principles and corrections of material accounting errors</t>
  </si>
  <si>
    <t>3. Balance end of previous calendar year as restated (sum of items 1 and 2)</t>
  </si>
  <si>
    <t>5. Sale, conversion, acquisition, or retirement of capital stock, net (excluding treasury stock transactions)</t>
  </si>
  <si>
    <t>6. Treasury stock transactions, net</t>
  </si>
  <si>
    <t>7. Changes incident to business combinations, net</t>
  </si>
  <si>
    <t>8. LESS: Cash dividends declared on preferred stock</t>
  </si>
  <si>
    <t>9. LESS: Cash dividends declared on common stock</t>
  </si>
  <si>
    <t>10. Other comprehensive income</t>
  </si>
  <si>
    <t>(Column A) Charge-offs</t>
  </si>
  <si>
    <t>(Column B) Recoveries Calendar</t>
  </si>
  <si>
    <t>Calendar year-to-date</t>
  </si>
  <si>
    <t>year-to-date</t>
  </si>
  <si>
    <t>a. Construction, land development, and other land loans:</t>
  </si>
  <si>
    <t>1. 1-4 family residential construction loans</t>
  </si>
  <si>
    <t>2. Other construction loans and all land development and other land loans</t>
  </si>
  <si>
    <t>b. Secured by farmland</t>
  </si>
  <si>
    <t>c. Secured by 1-4 family residential properties:</t>
  </si>
  <si>
    <t>1.c.1.</t>
  </si>
  <si>
    <t>2. Closed-end loans secured by 1-4 family residential properties:</t>
  </si>
  <si>
    <t>1.c.2.</t>
  </si>
  <si>
    <t>a. Secured by first liens</t>
  </si>
  <si>
    <t>1.c.2.a.</t>
  </si>
  <si>
    <t>b. Secured by junior liens</t>
  </si>
  <si>
    <t>1.c.2.b.</t>
  </si>
  <si>
    <t>d. Secured by multifamily (5 or more) residential properties</t>
  </si>
  <si>
    <t>e. Secured by nonfarm nonresidential properties:</t>
  </si>
  <si>
    <t>1. Loans secured by owner-occupied nonfarm nonresidential properties</t>
  </si>
  <si>
    <t>1.e.1.</t>
  </si>
  <si>
    <t>2. Loans secured by other nonfarm nonresidential properties</t>
  </si>
  <si>
    <t>1.e.2.</t>
  </si>
  <si>
    <t>2. Loans to depository institutions and acceptances of other banks</t>
  </si>
  <si>
    <t>4. Commercial and industrial loans</t>
  </si>
  <si>
    <t>5. Loans to individuals for household, family, and other personal expenditures:</t>
  </si>
  <si>
    <t>b. Automobile loans</t>
  </si>
  <si>
    <t>6. Loans to foreign governments and official institutions</t>
  </si>
  <si>
    <t>7. All other loans</t>
  </si>
  <si>
    <t>8. Lease financing receivables</t>
  </si>
  <si>
    <t>2. Not available</t>
  </si>
  <si>
    <t>M.2.a.</t>
  </si>
  <si>
    <t>M.2.b.</t>
  </si>
  <si>
    <t>M.2.c.</t>
  </si>
  <si>
    <t>M.2.d.</t>
  </si>
  <si>
    <t>1. Total bank equity capital most recently reported for the December 31, 2014, Reports of Condition and Income (i.e., after adjustments from amended Reports of Income)</t>
  </si>
  <si>
    <t>11. Other transactions with stockholders (including a parent holding company) (not included in items 5, 6, 8, or 9 above)</t>
  </si>
  <si>
    <t>1. Transaction accounts (interest-bearing demand deposits, NOW accounts, ATS accounts, and telephone and preauthorized transfer accounts)</t>
  </si>
  <si>
    <t>statement_code</t>
  </si>
  <si>
    <t>1. Revolving, open-end loans secured by 1-4 family residential properties and extended under lines of credit</t>
  </si>
  <si>
    <t>c. Other (includes revolving credit plans other than credit cards and other consumer loans)</t>
  </si>
  <si>
    <t>9. Total (sum of items 1 through 8) Memoranda</t>
  </si>
  <si>
    <t>4. Uncollectible retail credit card fees and finance charges reversed against income (i.e., not included in charge-offs against the allowance for loan and lease losses)</t>
  </si>
  <si>
    <t>2. Recoveries (must equal part I, item 9, column B, above)</t>
  </si>
  <si>
    <t>4. LESS: Write-downs arising from transfers of loans to a held-for-sale account</t>
  </si>
  <si>
    <t>6. Adjustments (see instructions for this schedule)</t>
  </si>
  <si>
    <t>2. Separate valuation allowance for uncollectible retail credit card fees and finance charges</t>
  </si>
  <si>
    <t>3. Amount of allowance for loan and lease losses attributable to retail credit card fees and finance charges</t>
  </si>
  <si>
    <t>1. Balance most recently reported for the December 31, 2014, Reports of Condition and Income (i.e., after adjustments from amended Reports of Income)</t>
  </si>
  <si>
    <t>(Column A)</t>
  </si>
  <si>
    <t>(Column B)</t>
  </si>
  <si>
    <t>(Column C)</t>
  </si>
  <si>
    <t>(Column D)</t>
  </si>
  <si>
    <t>(Column E)</t>
  </si>
  <si>
    <t>(Column F)</t>
  </si>
  <si>
    <t>Recorded</t>
  </si>
  <si>
    <t>Allowance Balance:</t>
  </si>
  <si>
    <t>Investment:</t>
  </si>
  <si>
    <t>Individually</t>
  </si>
  <si>
    <t>Collectively</t>
  </si>
  <si>
    <t>Purchased</t>
  </si>
  <si>
    <t>Evaluated for</t>
  </si>
  <si>
    <t>Credit-Impaired</t>
  </si>
  <si>
    <t>Impairment and</t>
  </si>
  <si>
    <t>Impairment (ASC</t>
  </si>
  <si>
    <t>Loans (ASC 310-30)</t>
  </si>
  <si>
    <t>Determined to be</t>
  </si>
  <si>
    <t>450-20)</t>
  </si>
  <si>
    <t>Impaired (ASC</t>
  </si>
  <si>
    <t>310-10-35)</t>
  </si>
  <si>
    <t>1. Real estate loans:</t>
  </si>
  <si>
    <t>a. Construction loans</t>
  </si>
  <si>
    <t>b. Commercial real estate loans</t>
  </si>
  <si>
    <t>c. Residential real estate loans</t>
  </si>
  <si>
    <t>2. Commercial loans</t>
  </si>
  <si>
    <t>3. Credit cards</t>
  </si>
  <si>
    <t>4. Other consumer loans</t>
  </si>
  <si>
    <t>5. Unallocated, if any</t>
  </si>
  <si>
    <t>6. Total (for each column, sum of items 1.a through 5)</t>
  </si>
  <si>
    <t>a. Income and fees from the printing and sale of checks</t>
  </si>
  <si>
    <t>b. Earnings on/increase in value of cash surrender value of life insurance</t>
  </si>
  <si>
    <t>c. Income and fees from automated teller machines (ATMs)</t>
  </si>
  <si>
    <t>d. Rent and other income from other real estate owned</t>
  </si>
  <si>
    <t>e. Safe deposit box rent</t>
  </si>
  <si>
    <t>f. Net change in the fair values of financial instruments accounted for under a fair value option</t>
  </si>
  <si>
    <t>g. Bank card and credit card interchange fees</t>
  </si>
  <si>
    <t>h. Gains on bargain purchases</t>
  </si>
  <si>
    <t>a. Noninterest-bearing balances and currency and coin</t>
  </si>
  <si>
    <t>b. Interest-bearing balances</t>
  </si>
  <si>
    <t>2. Securities:</t>
  </si>
  <si>
    <t>3. Federal funds sold and securities purchased under agreements to resell:</t>
  </si>
  <si>
    <t>b. Securities purchased under agreements to resell</t>
  </si>
  <si>
    <t>a. Loans and leases held for sale</t>
  </si>
  <si>
    <t>b. Loans and leases, net of unearned income</t>
  </si>
  <si>
    <t>c. LESS: Allowance for loan and lease losses</t>
  </si>
  <si>
    <t>d. Loans and leases, net of unearned income and allowance (item 4.b minus 4.c)</t>
  </si>
  <si>
    <t>6. Premises and fixed assets (including capitalized leases)</t>
  </si>
  <si>
    <t>8. Investments in unconsolidated subsidiaries and associated companies</t>
  </si>
  <si>
    <t>9. Direct and indirect investments in real estate ventures</t>
  </si>
  <si>
    <t>10. Intangible assets:</t>
  </si>
  <si>
    <t>a. Goodwill</t>
  </si>
  <si>
    <t>12. Total assets (sum of items 1 through 11)</t>
  </si>
  <si>
    <t>13. Deposits:</t>
  </si>
  <si>
    <t>1. Noninterest-bearing</t>
  </si>
  <si>
    <t>2. Interest-bearing</t>
  </si>
  <si>
    <t>14. Federal funds purchased and securities sold under agreements to repurchase:</t>
  </si>
  <si>
    <t>b. Securities sold under agreements to repurchase</t>
  </si>
  <si>
    <t>17. Not applicable</t>
  </si>
  <si>
    <t>18. Not applicable</t>
  </si>
  <si>
    <t>19. Subordinated notes and debentures</t>
  </si>
  <si>
    <t>21. Total liabilities (sum of items 13 through 20)</t>
  </si>
  <si>
    <t>22. Not applicable</t>
  </si>
  <si>
    <t>23. Perpetual preferred stock and related surplus</t>
  </si>
  <si>
    <t>24. Common stock</t>
  </si>
  <si>
    <t>25. Surplus (exclude all surplus related to preferred stock)</t>
  </si>
  <si>
    <t>26. Not available</t>
  </si>
  <si>
    <t>a. Retained earnings</t>
  </si>
  <si>
    <t>b. Accumulated other comprehensive income</t>
  </si>
  <si>
    <t>c. Other equity capital components</t>
  </si>
  <si>
    <t>27. Not available</t>
  </si>
  <si>
    <t>a. Total bank equity capital (sum of items 23 through 26.c)</t>
  </si>
  <si>
    <t>b. Noncontrolling (minority) interests in consolidated subsidiaries</t>
  </si>
  <si>
    <t>28. Total equity capital (sum of items 27.a and 27.b)</t>
  </si>
  <si>
    <t>29. Total liabilities and equity capital (sum of items 21 and 28)</t>
  </si>
  <si>
    <t>3.a.</t>
  </si>
  <si>
    <t>3.b.</t>
  </si>
  <si>
    <t>4.a.</t>
  </si>
  <si>
    <t>4.b.</t>
  </si>
  <si>
    <t>4.c.</t>
  </si>
  <si>
    <t>4.d.</t>
  </si>
  <si>
    <t>10.a.</t>
  </si>
  <si>
    <t>10.b.</t>
  </si>
  <si>
    <t>13.a.</t>
  </si>
  <si>
    <t>13.a.1.</t>
  </si>
  <si>
    <t>13.a.2.</t>
  </si>
  <si>
    <t>13.b.</t>
  </si>
  <si>
    <t>14.a.</t>
  </si>
  <si>
    <t>14.b.</t>
  </si>
  <si>
    <t>26.a.</t>
  </si>
  <si>
    <t>26.b.</t>
  </si>
  <si>
    <t>26.c.</t>
  </si>
  <si>
    <t>27.a.</t>
  </si>
  <si>
    <t>27.b.</t>
  </si>
  <si>
    <t>Held-to-maturity</t>
  </si>
  <si>
    <t>Held-to-maturity Fair</t>
  </si>
  <si>
    <t>Available-for-sale</t>
  </si>
  <si>
    <t>Available-for-sale Fair</t>
  </si>
  <si>
    <t>Amortized Cost</t>
  </si>
  <si>
    <t>Value</t>
  </si>
  <si>
    <t xml:space="preserve">1. U.S. Treasury securities </t>
  </si>
  <si>
    <t>2. U.S. Government agency obligations (exclude mortgage-backed securities):</t>
  </si>
  <si>
    <t>a. Issued by U.S. Government agencies</t>
  </si>
  <si>
    <t>b. Issued by U.S. Government-sponsored agencies</t>
  </si>
  <si>
    <t>3. Securities issued by states and political subdivisions in the U.S</t>
  </si>
  <si>
    <t>4. Mortgage-backed securities (MBS):</t>
  </si>
  <si>
    <t>a. Residential mortgage pass-through securities:</t>
  </si>
  <si>
    <t>1. Guaranteed by GNMA</t>
  </si>
  <si>
    <t>4.a.1.</t>
  </si>
  <si>
    <t>2. Issued by FNMA and FHLMC</t>
  </si>
  <si>
    <t>4.a.2.</t>
  </si>
  <si>
    <t xml:space="preserve">3. Other pass-through securities </t>
  </si>
  <si>
    <t>4.a.3.</t>
  </si>
  <si>
    <t>b. Other residential mortgage-backed securities (include CMOs, REMICs, and stripped MBS):</t>
  </si>
  <si>
    <t>1. Issued or guaranteed by U.S. Government agencies or sponsored agencies</t>
  </si>
  <si>
    <t>4.b.1.</t>
  </si>
  <si>
    <t>2. Collateralized by MBS issued or guaranteed by U.S. Government agencies or sponsored agencies</t>
  </si>
  <si>
    <t>4.b.2.</t>
  </si>
  <si>
    <t>3. All other residential MBS</t>
  </si>
  <si>
    <t>4.b.3.</t>
  </si>
  <si>
    <t>c. Commercial MBS:</t>
  </si>
  <si>
    <t>1. Commercial mortgage pass-through securities:</t>
  </si>
  <si>
    <t>4.c.1.</t>
  </si>
  <si>
    <t>a. Issued or guaranteed by FNMA, FHLMC, or GNMA</t>
  </si>
  <si>
    <t>4.c.1.a.</t>
  </si>
  <si>
    <t>b. Other pass-through securities</t>
  </si>
  <si>
    <t>4.c.1.b.</t>
  </si>
  <si>
    <t>2. Other commercial MBS:</t>
  </si>
  <si>
    <t>4.c.2.</t>
  </si>
  <si>
    <t>a. Issued or guaranteed by U.S. Government agencies or sponsored agencies</t>
  </si>
  <si>
    <t>4.c.2.a.</t>
  </si>
  <si>
    <t>b. All other commercial MBS</t>
  </si>
  <si>
    <t>4.c.2.b.</t>
  </si>
  <si>
    <t>5. Asset-backed securities and structured financial products:</t>
  </si>
  <si>
    <t>a. Asset-backed securities (ABS)</t>
  </si>
  <si>
    <t>b. Structured financial products:</t>
  </si>
  <si>
    <t>1. Cash</t>
  </si>
  <si>
    <t>5.b.1.</t>
  </si>
  <si>
    <t>2. Synthetic</t>
  </si>
  <si>
    <t>5.b.2.</t>
  </si>
  <si>
    <t>3. Hybrid</t>
  </si>
  <si>
    <t>5.b.3.</t>
  </si>
  <si>
    <t>6. Other debt securities:</t>
  </si>
  <si>
    <t>a. Other domestic debt securities</t>
  </si>
  <si>
    <t>b. Other foreign debt securities</t>
  </si>
  <si>
    <t>7. Investments in mutual funds and other equity securities with readily determinable fair values</t>
  </si>
  <si>
    <t>1. Pledged securities</t>
  </si>
  <si>
    <t>2. Maturity and repricing data for debt securities (excluding those in nonaccrual status):</t>
  </si>
  <si>
    <t>1. Three months or less</t>
  </si>
  <si>
    <t>M.2.a.1.</t>
  </si>
  <si>
    <t>2. Over three months through 12 months</t>
  </si>
  <si>
    <t>M.2.a.2.</t>
  </si>
  <si>
    <t>3. Over one year through three years</t>
  </si>
  <si>
    <t>M.2.a.3.</t>
  </si>
  <si>
    <t>4. Over three years through five years</t>
  </si>
  <si>
    <t>M.2.a.4.</t>
  </si>
  <si>
    <t>5. Over five years through 15 years</t>
  </si>
  <si>
    <t>M.2.a.5.</t>
  </si>
  <si>
    <t>6. Over 15 years</t>
  </si>
  <si>
    <t>M.2.a.6.</t>
  </si>
  <si>
    <t>M.2.b.1.</t>
  </si>
  <si>
    <t>M.2.b.2.</t>
  </si>
  <si>
    <t>M.2.b.3.</t>
  </si>
  <si>
    <t>M.2.b.4.</t>
  </si>
  <si>
    <t>M.2.b.5.</t>
  </si>
  <si>
    <t>M.2.b.6.</t>
  </si>
  <si>
    <t>1. Three years or less</t>
  </si>
  <si>
    <t>M.2.c.1.</t>
  </si>
  <si>
    <t>2. Over three years</t>
  </si>
  <si>
    <t>M.2.c.2.</t>
  </si>
  <si>
    <t>a. Amortized cost</t>
  </si>
  <si>
    <t>M.4.a.</t>
  </si>
  <si>
    <t>b. Fair value</t>
  </si>
  <si>
    <t>M.4.b.</t>
  </si>
  <si>
    <t>a. Credit card receivables</t>
  </si>
  <si>
    <t>M.5.a.</t>
  </si>
  <si>
    <t>b. Home equity lines</t>
  </si>
  <si>
    <t>M.5.b.</t>
  </si>
  <si>
    <t>c. Automobile loans</t>
  </si>
  <si>
    <t>M.5.c.</t>
  </si>
  <si>
    <t>d. Other consumer loans</t>
  </si>
  <si>
    <t>M.5.d.</t>
  </si>
  <si>
    <t>e. Commercial and industrial loans</t>
  </si>
  <si>
    <t>M.5.e.</t>
  </si>
  <si>
    <t>f. Other</t>
  </si>
  <si>
    <t>M.5.f.</t>
  </si>
  <si>
    <t>a. Trust preferred securities issued by financial institutions</t>
  </si>
  <si>
    <t>M.6.a.</t>
  </si>
  <si>
    <t>M.6.b.</t>
  </si>
  <si>
    <t>c. Corporate and similar loans</t>
  </si>
  <si>
    <t>M.6.c.</t>
  </si>
  <si>
    <t>M.6.d.</t>
  </si>
  <si>
    <t>M.6.e.</t>
  </si>
  <si>
    <t>f. Diversified (mixed) pools of structured financial products</t>
  </si>
  <si>
    <t>M.6.f.</t>
  </si>
  <si>
    <t>g. Other collateral or reference assets</t>
  </si>
  <si>
    <t>M.6.g.</t>
  </si>
  <si>
    <t>a. Securities issued by the U.S. Treasury, U.S. Government agencies, and states and political subdivisions in the U.S.; other non-mortgage debt securities; and mortgage pass-through securities other than those backed by closed-end first lien 1-4 family residential mortgages with a remaining maturity or next repricing date of:</t>
  </si>
  <si>
    <t>b. Mortgage pass-through securities backed by closed-end first lien 1-4 family residential mortgages with a remaining maturity or next repricing date of:</t>
  </si>
  <si>
    <t>c. Other mortgage-backed securities (include CMOs, REMICs, and stripped MBS; exclude mortgage pass-through securities) with an expected average life of:</t>
  </si>
  <si>
    <t>d. Debt securities with a REMAINING MATURITY of one year or less (included in Memorandum items 2.a through 2.c above)</t>
  </si>
  <si>
    <t>3. Amortized cost of held-to-maturity securities sold or transferred to available-for-sale or trading securities during the calendar year-to-date (report the amortized cost at date of sale or transfer)</t>
  </si>
  <si>
    <t>b. Trust preferred securities issued by real estate investment trusts</t>
  </si>
  <si>
    <t>d. 1-4 family residential MBS issued or guaranteed by U.S. government-sponsored enterprises (GSEs)</t>
  </si>
  <si>
    <t>e. 1-4 family residential MBS not issued or guaranteed by GSEs</t>
  </si>
  <si>
    <t/>
  </si>
  <si>
    <t>3. Secured by 1-4 family residential properties:</t>
  </si>
  <si>
    <t>a. Revolving, open-end loans secured by 1-4 family residential properties and extended under lines of credit</t>
  </si>
  <si>
    <t>b. Closed-end loans secured by 1-4 family residential properties:</t>
  </si>
  <si>
    <t>1. Secured by first liens</t>
  </si>
  <si>
    <t>2. Secured by junior liens</t>
  </si>
  <si>
    <t>4. Secured by multifamily (5 or more) residential properties</t>
  </si>
  <si>
    <t>6.c.</t>
  </si>
  <si>
    <t>1. Credit cards</t>
  </si>
  <si>
    <t>6.c.1.</t>
  </si>
  <si>
    <t>6.c.2.</t>
  </si>
  <si>
    <t>6.d.</t>
  </si>
  <si>
    <t>M.1.a.</t>
  </si>
  <si>
    <t>M.1.a.1.</t>
  </si>
  <si>
    <t>M.1.a.2.</t>
  </si>
  <si>
    <t>M.1.b.</t>
  </si>
  <si>
    <t>M.1.c.</t>
  </si>
  <si>
    <t>M.1.d.</t>
  </si>
  <si>
    <t>M.3.a.</t>
  </si>
  <si>
    <t>M.3.b.</t>
  </si>
  <si>
    <t>M.3.c.</t>
  </si>
  <si>
    <t>M.3.d.</t>
  </si>
  <si>
    <t>M.1.d.1.</t>
  </si>
  <si>
    <t>M.1.d.2.</t>
  </si>
  <si>
    <t>M.1.e.</t>
  </si>
  <si>
    <t>M.1.f.</t>
  </si>
  <si>
    <t>a. To U.S. addressees (domicile)</t>
  </si>
  <si>
    <t>b. To non-U.S. addressees (domicile)</t>
  </si>
  <si>
    <t>1. Loans for purchasing or carrying securities (secured and unsecured)</t>
  </si>
  <si>
    <t>2. All other loans (exclude consumer loans)</t>
  </si>
  <si>
    <t>a. Leases to individuals for household, family, and other personal expenditures (i.e., consumer leases)</t>
  </si>
  <si>
    <t>b. All other leases</t>
  </si>
  <si>
    <t>b. Secured by farmland (including farm residential and other improvements)</t>
  </si>
  <si>
    <t>3. Loans to finance agricultural production and other loans to farmers</t>
  </si>
  <si>
    <t>5. Not applicable</t>
  </si>
  <si>
    <t>6. Loans to individuals for household, family, and other personal expenditures (i.e., consumer loans) (includes purchased paper):</t>
  </si>
  <si>
    <t>b. Other revolving credit plans</t>
  </si>
  <si>
    <t>7. Loans to foreign governments and official institutions (including foreign central banks)</t>
  </si>
  <si>
    <t>8. Obligations (other than securities and leases) of states and political subdivisions in the U.S</t>
  </si>
  <si>
    <t>a. Loans to nondepository financial institutions</t>
  </si>
  <si>
    <t>10. Lease financing receivables (net of unearned income)</t>
  </si>
  <si>
    <t>11. LESS: Any unearned income on loans reflected in items 1-9 above</t>
  </si>
  <si>
    <t>1. To U.S. addressees (domicile)</t>
  </si>
  <si>
    <t>2. To non-U.S. addressees (domicile)</t>
  </si>
  <si>
    <t>f. All other loans (include loans to individuals for household, family, and other personal expenditures)</t>
  </si>
  <si>
    <t>4. Loans to individuals for household, family, and other personal expenditures:</t>
  </si>
  <si>
    <t>5. Loans to foreign governments and official institutions</t>
  </si>
  <si>
    <t>6. Other loans</t>
  </si>
  <si>
    <t>2. Maturity and repricing data for loans and leases (excluding those in nonaccrual status):</t>
  </si>
  <si>
    <t>a. Outstanding balance</t>
  </si>
  <si>
    <t>2.c.1.</t>
  </si>
  <si>
    <t>2.c.2.</t>
  </si>
  <si>
    <t>9.b.1.</t>
  </si>
  <si>
    <t>9.b.2.</t>
  </si>
  <si>
    <t>9.a.</t>
  </si>
  <si>
    <t>9.b.</t>
  </si>
  <si>
    <t>M.1.e.1.</t>
  </si>
  <si>
    <t>M.1.e.2.</t>
  </si>
  <si>
    <t>M.1.f.1.</t>
  </si>
  <si>
    <t>M.1.f.2.</t>
  </si>
  <si>
    <t>M.1.f.3.</t>
  </si>
  <si>
    <t>M.1.f.4.</t>
  </si>
  <si>
    <t>M.1.f.4.a.</t>
  </si>
  <si>
    <t>M.1.f.4.b.</t>
  </si>
  <si>
    <t>M.1.f.4.c.</t>
  </si>
  <si>
    <t>M.1.f.5.</t>
  </si>
  <si>
    <t>M.1.f.6.</t>
  </si>
  <si>
    <t>M.1.f.6.a.</t>
  </si>
  <si>
    <t>3.c.</t>
  </si>
  <si>
    <t>8.a.</t>
  </si>
  <si>
    <t>8.b.</t>
  </si>
  <si>
    <t>1. Accrued interest receivable</t>
  </si>
  <si>
    <t>2. Net deferred tax assets</t>
  </si>
  <si>
    <t>3. Interest-only strips receivable (not in the form of a security) on:</t>
  </si>
  <si>
    <t>a. Mortgage loans</t>
  </si>
  <si>
    <t>b. Other financial assets</t>
  </si>
  <si>
    <t>4. Equity securities that DO NOT have readily determinable fair values</t>
  </si>
  <si>
    <t>5. Life insurance assets:</t>
  </si>
  <si>
    <t>a. General account life insurance assets</t>
  </si>
  <si>
    <t>b. Separate account life insurance assets</t>
  </si>
  <si>
    <t>c. Hybrid account life insurance assets</t>
  </si>
  <si>
    <t>6. All other assets (itemize and describe amounts greater than $25,000 that exceed 25% of this item)</t>
  </si>
  <si>
    <t>b. Other expenses accrued and unpaid (includes accrued income taxes payable)</t>
  </si>
  <si>
    <t>2. Net deferred tax liabilities</t>
  </si>
  <si>
    <t>3. Allowance for credit losses on off-balance sheet credit exposures</t>
  </si>
  <si>
    <t xml:space="preserve">5. Total </t>
  </si>
  <si>
    <t>c. Commercial and industrial loans</t>
  </si>
  <si>
    <t>d. Loans to individuals for household, family, and other personal expenditures:</t>
  </si>
  <si>
    <t>11.a.</t>
  </si>
  <si>
    <t>11.b.</t>
  </si>
  <si>
    <t>11.c.</t>
  </si>
  <si>
    <t>a. Revolving, open-end lines secured by 1-4 family residential properties, i.e., home equity lines</t>
  </si>
  <si>
    <t>b. Credit card lines (Sum of items 1.b.(1) and 1.b.(2) must equal item 1.b)</t>
  </si>
  <si>
    <t>1. Unused consumer credit card lines</t>
  </si>
  <si>
    <t>2. Other unused credit card lines</t>
  </si>
  <si>
    <t>c. Commitments to fund commercial real estate, construction, and land development loans:</t>
  </si>
  <si>
    <t>1. Secured by real estate:</t>
  </si>
  <si>
    <t>a. 1-4 family residential construction loan commitments</t>
  </si>
  <si>
    <t>b. Commercial real estate, other construction loan, and land development loan commitments</t>
  </si>
  <si>
    <t>2. Not secured by real estate</t>
  </si>
  <si>
    <t>d. Securities underwriting</t>
  </si>
  <si>
    <t>e. Other unused commitments:</t>
  </si>
  <si>
    <t>1. Commercial and industrial loans</t>
  </si>
  <si>
    <t>2. Loans to financial institutions</t>
  </si>
  <si>
    <t>3. All other unused commitments</t>
  </si>
  <si>
    <t>4. Commercial and similar letters of credit</t>
  </si>
  <si>
    <t>6. Securities lent and borrowed:</t>
  </si>
  <si>
    <t>a. Securities lent (including customers' securities lent where the customer is indemnified against loss by the reporting bank)</t>
  </si>
  <si>
    <t>7. Credit derivatives:</t>
  </si>
  <si>
    <t>a. Notional amounts:</t>
  </si>
  <si>
    <t>1. Credit default swaps</t>
  </si>
  <si>
    <t>2. Total return swaps</t>
  </si>
  <si>
    <t>3. Credit options</t>
  </si>
  <si>
    <t>4. Other credit derivatives</t>
  </si>
  <si>
    <t>b. Gross fair values:</t>
  </si>
  <si>
    <t>1. Gross positive fair value</t>
  </si>
  <si>
    <t>2. Gross negative fair value</t>
  </si>
  <si>
    <t>1. Positions covered under the Market Risk Rule:</t>
  </si>
  <si>
    <t>a. Sold protection</t>
  </si>
  <si>
    <t>b. Purchased protection</t>
  </si>
  <si>
    <t>2. All other positions:</t>
  </si>
  <si>
    <t>b. Purchased protection that is recognized as a guarantee for regulatory capital purposes</t>
  </si>
  <si>
    <t>c. Purchased protection that is not recognized as a guarantee for regulatory capital purposes (Column A) Remaining Maturity of One Year or Less</t>
  </si>
  <si>
    <t>d. Notional amounts by remaining maturity:</t>
  </si>
  <si>
    <t>1. Sold credit protection:</t>
  </si>
  <si>
    <t>a. Investment grade</t>
  </si>
  <si>
    <t>b. Subinvestment grade</t>
  </si>
  <si>
    <t>2. Purchased credit protection:</t>
  </si>
  <si>
    <t>b. Subinvestment grade (Column C) Remaining Maturity of Over Five Years</t>
  </si>
  <si>
    <t>8. Spot foreign exchange contracts</t>
  </si>
  <si>
    <t>a. Not applicable</t>
  </si>
  <si>
    <t>b. Commitments to purchase when-issued securities</t>
  </si>
  <si>
    <t>c. Standby letters of credit issued by another party (e.g., a Federal Home Loan Bank) on the bank's behalf</t>
  </si>
  <si>
    <t>a. Commitments to sell when-issued securities</t>
  </si>
  <si>
    <t>(Column A) Interest Rate Contracts</t>
  </si>
  <si>
    <t>12. Gross amounts (e.g., notional amounts):</t>
  </si>
  <si>
    <t>a. Futures contracts</t>
  </si>
  <si>
    <t>b. Forward contracts</t>
  </si>
  <si>
    <t>c. Exchange-traded option contracts:</t>
  </si>
  <si>
    <t>1. Written options</t>
  </si>
  <si>
    <t>2. Purchased options</t>
  </si>
  <si>
    <t>d. Over-the-counter option contracts:</t>
  </si>
  <si>
    <t>e. Swaps</t>
  </si>
  <si>
    <t>13. Total gross notional amount of derivative contracts held for trading</t>
  </si>
  <si>
    <t>14. Total gross notional amount of derivative contracts held for purposes other than trading</t>
  </si>
  <si>
    <t>a. Interest rate swaps where the bank has agreed to pay a fixed rate</t>
  </si>
  <si>
    <t>15. Gross fair values of derivative contracts:</t>
  </si>
  <si>
    <t>a. Contracts held for trading:</t>
  </si>
  <si>
    <t>b. Contracts held for purposes other than trading:</t>
  </si>
  <si>
    <t>(Column B) Foreign Exchange Contracts</t>
  </si>
  <si>
    <t>(Column C) Equity Derivative Contracts</t>
  </si>
  <si>
    <t>(Column D) Commodity and Other Contracts</t>
  </si>
  <si>
    <t xml:space="preserve">2. Gross negative fair value </t>
  </si>
  <si>
    <t>1.b.1.</t>
  </si>
  <si>
    <t>1.b.2.</t>
  </si>
  <si>
    <t>1.c.1.a.</t>
  </si>
  <si>
    <t>1.c.1.b.</t>
  </si>
  <si>
    <t>1.e.3.</t>
  </si>
  <si>
    <t>7.a.1.</t>
  </si>
  <si>
    <t>7.a.2.</t>
  </si>
  <si>
    <t>7.a.3.</t>
  </si>
  <si>
    <t>7.a.4.</t>
  </si>
  <si>
    <t>7.b.1.</t>
  </si>
  <si>
    <t>7.b.2.</t>
  </si>
  <si>
    <t>7.c.1.a.</t>
  </si>
  <si>
    <t>7.c.1.b.</t>
  </si>
  <si>
    <t>7.c.2.a.</t>
  </si>
  <si>
    <t>7.c.2.b.</t>
  </si>
  <si>
    <t>7.c.2.c.</t>
  </si>
  <si>
    <t>7.d.1.</t>
  </si>
  <si>
    <t>7.d.1.a.</t>
  </si>
  <si>
    <t>7.d.1.b.</t>
  </si>
  <si>
    <t>7.d.2.</t>
  </si>
  <si>
    <t>7.d.2.a.</t>
  </si>
  <si>
    <t>7.d.2.b.</t>
  </si>
  <si>
    <t>9.c.</t>
  </si>
  <si>
    <t>9.d.</t>
  </si>
  <si>
    <t>9.e.</t>
  </si>
  <si>
    <t>9.f.</t>
  </si>
  <si>
    <t>12.a.</t>
  </si>
  <si>
    <t>12.b.</t>
  </si>
  <si>
    <t>12.c.</t>
  </si>
  <si>
    <t>12.c.1.</t>
  </si>
  <si>
    <t>12.c.2.</t>
  </si>
  <si>
    <t>12.d.</t>
  </si>
  <si>
    <t>12.d.1.</t>
  </si>
  <si>
    <t>12.d.2.</t>
  </si>
  <si>
    <t>12.e.</t>
  </si>
  <si>
    <t>15.a.</t>
  </si>
  <si>
    <t>15.a.1.</t>
  </si>
  <si>
    <t>15.a.2.</t>
  </si>
  <si>
    <t>15.b.</t>
  </si>
  <si>
    <t>15.b.1.</t>
  </si>
  <si>
    <t>15.b.2.</t>
  </si>
  <si>
    <t>4. Not applicable</t>
  </si>
  <si>
    <t>(Column A) Past due 30</t>
  </si>
  <si>
    <t>(Column B) Past due 90</t>
  </si>
  <si>
    <t>(Column C) Nonaccrual</t>
  </si>
  <si>
    <t>through 89 days and still</t>
  </si>
  <si>
    <t>days or more and still</t>
  </si>
  <si>
    <t>accruing</t>
  </si>
  <si>
    <t>a. Guaranteed portion of loans and leases included in item 10 above, excluding rebooked "GNMA loans"</t>
  </si>
  <si>
    <t>1. Construction, land development, and other land loans:</t>
  </si>
  <si>
    <t>11.a.1.</t>
  </si>
  <si>
    <t>a. 1-4 family residential construction loans</t>
  </si>
  <si>
    <t>11.a.1.a.</t>
  </si>
  <si>
    <t>b. Other construction loans and all land development and other land loans</t>
  </si>
  <si>
    <t>11.a.1.b.</t>
  </si>
  <si>
    <t>2. Secured by farmland</t>
  </si>
  <si>
    <t>11.a.2.</t>
  </si>
  <si>
    <t>11.a.3.</t>
  </si>
  <si>
    <t>11.a.3.a.</t>
  </si>
  <si>
    <t>11.a.3.b.</t>
  </si>
  <si>
    <t>11.a.3.b.1.</t>
  </si>
  <si>
    <t>11.a.3.b.2.</t>
  </si>
  <si>
    <t>11.a.4.</t>
  </si>
  <si>
    <t>5. Secured by nonfarm nonresidential properties:</t>
  </si>
  <si>
    <t>11.a.5.</t>
  </si>
  <si>
    <t>a. Loans secured by owner-occupied nonfarm nonresidential properties</t>
  </si>
  <si>
    <t>11.a.5.a.</t>
  </si>
  <si>
    <t>b. Loans secured by other nonfarm nonresidential properties</t>
  </si>
  <si>
    <t>11.a.5.b.</t>
  </si>
  <si>
    <t>11.d.</t>
  </si>
  <si>
    <t>11.d.1.</t>
  </si>
  <si>
    <t>2. Automobile loans</t>
  </si>
  <si>
    <t>11.d.2.</t>
  </si>
  <si>
    <t>3. Other (includes revolving credit plans other than credit cards and other consumer loans)</t>
  </si>
  <si>
    <t>11.d.3.</t>
  </si>
  <si>
    <t>e. All other loans and all leases</t>
  </si>
  <si>
    <t>11.e.</t>
  </si>
  <si>
    <t>1. Loans to depository institutions and acceptances of other banks...</t>
  </si>
  <si>
    <t>11.e.1.</t>
  </si>
  <si>
    <t>2. Loans to foreign governments and official institutions</t>
  </si>
  <si>
    <t>11.e.2.</t>
  </si>
  <si>
    <t>3. Other loans</t>
  </si>
  <si>
    <t>11.e.3.</t>
  </si>
  <si>
    <t>11.e.3.a.</t>
  </si>
  <si>
    <t>4. Lease financing receivables</t>
  </si>
  <si>
    <t>11.e.4.</t>
  </si>
  <si>
    <t>11.f.</t>
  </si>
  <si>
    <t>2. Loans to depository institutions and acceptances of other banks...</t>
  </si>
  <si>
    <t>b. Loans measured at fair value:</t>
  </si>
  <si>
    <t>1. Fair value</t>
  </si>
  <si>
    <t>M.5.b.1.</t>
  </si>
  <si>
    <t>2. Unpaid principal balance</t>
  </si>
  <si>
    <t>M.5.b.2.</t>
  </si>
  <si>
    <t>6. Derivative contracts: Fair value of amounts carried as assets</t>
  </si>
  <si>
    <t>7. Additions to nonaccrual assets during the quarter</t>
  </si>
  <si>
    <t>8. Nonaccrual assets sold during the quarter</t>
  </si>
  <si>
    <t>a. Closed-end first liens</t>
  </si>
  <si>
    <t>b. Closed-end junior liens</t>
  </si>
  <si>
    <t>c. Open-end loans extended under lines of credit:</t>
  </si>
  <si>
    <t>1. Total commitment under the lines of credit</t>
  </si>
  <si>
    <t>2. Principal amount funded under the lines of credit</t>
  </si>
  <si>
    <t>2. Wholesale originations and purchases during the quarter of 1-4 family residential mortgage loans for sale:</t>
  </si>
  <si>
    <t>3. 1-4 family residential mortgages sold during the quarter:</t>
  </si>
  <si>
    <t>a. Closed-end 1-4 family residential mortgage loans</t>
  </si>
  <si>
    <t>b. Open-end 1-4 family residential mortgage loans extended under lines of credit</t>
  </si>
  <si>
    <t>6. Repurchases and indemnifications of 1-4 family residential mortgage loans during the quarter:</t>
  </si>
  <si>
    <t>c. Open-end loans extended under line of credit:</t>
  </si>
  <si>
    <t>7. Representation and warranty reserves for 1-4 family residential mortgage loans sold:</t>
  </si>
  <si>
    <t>3.c.1.</t>
  </si>
  <si>
    <t>3.c.2.</t>
  </si>
  <si>
    <t>1. Common stock plus related surplus, net of treasury stock and unearned employee stock ownership plan (ESOP) shares</t>
  </si>
  <si>
    <t>2. Retained earnings</t>
  </si>
  <si>
    <t>3. Accumulated other comprehensive income (AOCI)</t>
  </si>
  <si>
    <t>a. AOCI opt-out election (enter "1" for Yes; enter "0" for No.) (Advanced approaches institutions must enter "0" for No.)</t>
  </si>
  <si>
    <t>4. Common equity tier 1 minority interest includable in common equity tier 1 capital</t>
  </si>
  <si>
    <t>5. Common equity tier 1 capital before adjustments and deductions (sum of items 1 through 4)</t>
  </si>
  <si>
    <t>6. LESS: Goodwill net of associated deferred tax liabilities (DTLs)</t>
  </si>
  <si>
    <t>7. LESS: Intangible assets (other than goodwill and mortgage servicing assets (MSAs)), net of associated DTLs</t>
  </si>
  <si>
    <t>9. AOCI-related adjustments (items 9.a through 9.e are effective January 1, 2015) (if entered "1" for Yes in item 3.a, complete only items 9.a through 9.e; if entered "0" for No in item 3.a, complete only item 9.f):</t>
  </si>
  <si>
    <t>a. LESS: Net unrealized gains (losses) on available-for-sale securities (if a gain, report as a positive value; if a loss, report as a negative value)</t>
  </si>
  <si>
    <t>b. LESS: Net unrealized loss on available-for-sale preferred stock classified as an equity security under GAAP and available-for-sale equity exposures (report loss as a positive value)</t>
  </si>
  <si>
    <t>10. Other deductions from (additions to) common equity tier 1 capital before threshold-based deductions:</t>
  </si>
  <si>
    <t>a. LESS: Unrealized net gain (loss) related to changes in the fair value of liabilities that are due to changes in own credit risk (if a gain, report as a positive value; if a loss, report as a negative value)</t>
  </si>
  <si>
    <t>b. LESS: All other deductions from (additions to) common equity tier 1 capital before threshold-based deductions.</t>
  </si>
  <si>
    <t>11. LESS: Non-significant investments in the capital of unconsolidated financial institutions in the form of common stock that exceed the 10 percent threshold for non-significant investments</t>
  </si>
  <si>
    <t>12. Subtotal (item 5 minus items 6 through 11)</t>
  </si>
  <si>
    <t>13. LESS: Significant investments in the capital of unconsolidated financial institutions in the form of common stock, net of associated DTLs, that exceed the 10 percent common equity tier 1 capital deduction threshold</t>
  </si>
  <si>
    <t>17. LESS: Deductions applied to common equity tier 1 capital due to insufficient amounts of additional tier 1 capital and tier 2 capital to cover deductions</t>
  </si>
  <si>
    <t>18. Total adjustments and deductions for common equity tier 1 capital (sum of items 13 through 17)</t>
  </si>
  <si>
    <t>19. Common equity tier 1 capital (item 12 minus item 18)</t>
  </si>
  <si>
    <t>20. Additional tier 1 capital instruments plus related surplus</t>
  </si>
  <si>
    <t>21. Non-qualifying capital instruments subject to phase out from additional tier 1 capital</t>
  </si>
  <si>
    <t>22. Tier 1 minority interest not included in common equity tier 1 capital</t>
  </si>
  <si>
    <t>23. Additional tier 1 capital before deductions (sum of items 20, 21, and 22)</t>
  </si>
  <si>
    <t>24. LESS: Additional tier 1 capital deductions</t>
  </si>
  <si>
    <t>25. Additional tier 1 capital (greater of item 23 minus item 24, or zero)</t>
  </si>
  <si>
    <t>27. Tier 2 capital instruments plus related surplus</t>
  </si>
  <si>
    <t>28. Non-qualifying capital instruments subject to phase out from tier 2 capital</t>
  </si>
  <si>
    <t>29. Total capital minority interest that is not included in tier 1 capital</t>
  </si>
  <si>
    <t>30. Allowance for loan and lease losses and eligible credit reserves includable in tier 2 capital</t>
  </si>
  <si>
    <t>a. Allowance for loan and lease losses includable in tier 2 capital</t>
  </si>
  <si>
    <t>b. (Advanced approaches institutions that exit parallel run only): Eligible credit reserves includable in tier 2 capital.</t>
  </si>
  <si>
    <t>31. Unrealized gains on available-for-sale preferred stock classified as an equity security under GAAP and available-for-sale equity exposures includable in tier 2 capital</t>
  </si>
  <si>
    <t>32. Tier 2 capital before deductions</t>
  </si>
  <si>
    <t>a. Tier 2 capital before deductions (sum of items 27 through 30.a, plus item 31)</t>
  </si>
  <si>
    <t>b. (Advanced approaches institutions that exit parallel run only): Tier 2 capital before deductions (sum of items 27 through 29, plus items 30.b and 31)</t>
  </si>
  <si>
    <t>33. LESS: Tier 2 capital deductions</t>
  </si>
  <si>
    <t>34. Tier 2 capital</t>
  </si>
  <si>
    <t>a. Tier 2 capital (greater of item 32.a minus item 33, or zero)</t>
  </si>
  <si>
    <t>b. (Advanced approaches institutions that exit parallel run only): Tier 2 capital (greater of item 32.b minus item 33, or zero)</t>
  </si>
  <si>
    <t>35. Total capital</t>
  </si>
  <si>
    <t>a. Total capital (sum of items 26 and 34.a)</t>
  </si>
  <si>
    <t>b. (Advanced approaches institutions that exit parallel run only): Total capital (sum of items 26 and 34.b)</t>
  </si>
  <si>
    <t>36. Average total consolidated assets</t>
  </si>
  <si>
    <t>37. LESS: Deductions from common equity tier 1 capital and additional tier 1 capital (sum of items 6, 7, 8, 10.b, 11, 13 through 17, and certain elements of item 24 - see instructions)</t>
  </si>
  <si>
    <t>38. LESS: Other deductions from (additions to) assets for leverage ratio purposes</t>
  </si>
  <si>
    <t>39. Total assets for the leverage ratio (item 36 minus items 37 and 38)</t>
  </si>
  <si>
    <t>40. Total risk-weighted assets</t>
  </si>
  <si>
    <t>(Column A) Percentage</t>
  </si>
  <si>
    <t>41. Common equity tier 1 capital ratio (Column A: item 19 divided by item 40.a) (Advanced approaches institutions that exit parallel run only: Column B: item 19 divided by item 40.b)</t>
  </si>
  <si>
    <t>42. Tier 1 capital ratio (Column A: item 26 divided by item 40.a) (Advanced approaches institutions that exit parallel run only: Column B: item 26 divided by item 40.b)</t>
  </si>
  <si>
    <t>43. Total capital ratio (Column A: item 35.a divided by item 40.a) (Advanced approaches institutions that exit parallel run only: Column B: item 35.b divided by item 40.b)</t>
  </si>
  <si>
    <t>(Column B) Percentage</t>
  </si>
  <si>
    <t>30.a.</t>
  </si>
  <si>
    <t>30.b.</t>
  </si>
  <si>
    <t>32.a.</t>
  </si>
  <si>
    <t>32.b.</t>
  </si>
  <si>
    <t>34.a.</t>
  </si>
  <si>
    <t>34.b.</t>
  </si>
  <si>
    <t>35.a.</t>
  </si>
  <si>
    <t>35.b.</t>
  </si>
  <si>
    <t>40.a.</t>
  </si>
  <si>
    <t>40.b.</t>
  </si>
  <si>
    <t>(Column A) Securitization</t>
  </si>
  <si>
    <t>(Column B) ABCP</t>
  </si>
  <si>
    <t>(Column C) Other VIEs</t>
  </si>
  <si>
    <t>Vehicles</t>
  </si>
  <si>
    <t>Conduits</t>
  </si>
  <si>
    <t>1. Assets of consolidated variable interest entities (VIEs) that can be used only to settle obligations of the consolidated VIEs:</t>
  </si>
  <si>
    <t>a. Cash and balances due from depository institutions</t>
  </si>
  <si>
    <t>b. Held-to-maturity securities</t>
  </si>
  <si>
    <t>c. Available-for-sale securities</t>
  </si>
  <si>
    <t>d. Securities purchased under agreements to resell</t>
  </si>
  <si>
    <t>e. Loans and leases held for sale</t>
  </si>
  <si>
    <t>f. Loans and leases, net of unearned income</t>
  </si>
  <si>
    <t>g. Less: Allowance for loan and lease losses</t>
  </si>
  <si>
    <t>h. Trading assets (other than derivatives)</t>
  </si>
  <si>
    <t>i. Derivative trading assets</t>
  </si>
  <si>
    <t>1.i.</t>
  </si>
  <si>
    <t>j. Other real estate owned</t>
  </si>
  <si>
    <t>1.j.</t>
  </si>
  <si>
    <t>k. Other assets</t>
  </si>
  <si>
    <t>1.k.</t>
  </si>
  <si>
    <t>2. Liabilities of consolidated VIEs for which creditors do not have recourse to the general credit of the reporting bank:</t>
  </si>
  <si>
    <t>a. Securities sold under agreements to repurchase</t>
  </si>
  <si>
    <t>b. Derivative trading liabilities</t>
  </si>
  <si>
    <t>c. Commercial paper</t>
  </si>
  <si>
    <t>d. Other borrowed money (exclude commercial paper)</t>
  </si>
  <si>
    <t>e. Other liabilities</t>
  </si>
  <si>
    <t>3. All other assets of consolidated VIEs (not included in items 1.a. through 1.k above)</t>
  </si>
  <si>
    <t>4. All other liabilities of consolidated VIEs (not included in items 2.a through 2.e above)</t>
  </si>
  <si>
    <t>a. Leases to individuals for household, family, and other personal expenditures</t>
  </si>
  <si>
    <t>a. Federal funds sold in domestic offices</t>
  </si>
  <si>
    <t>a. Federal funds purchased in domestic offices</t>
  </si>
  <si>
    <t>RCFN2200</t>
  </si>
  <si>
    <t>RCFN6631</t>
  </si>
  <si>
    <t>RCFN6636</t>
  </si>
  <si>
    <t>(Column A) Consolidated Bank</t>
  </si>
  <si>
    <t>(Column B) Domestic Offices</t>
  </si>
  <si>
    <t>Ticker or RSSD ID</t>
  </si>
  <si>
    <t>1. Loans secured by real estate</t>
  </si>
  <si>
    <t>2. Loans to depository institutions and acceptances of other banks:</t>
  </si>
  <si>
    <t>a. To commercial banks in the U.S</t>
  </si>
  <si>
    <t>4. Commercial and industrial loans:</t>
  </si>
  <si>
    <t>d. Other consumer loans (includes single payment and installment loans other than automobile loans, and all student loans)</t>
  </si>
  <si>
    <t>9. Loans to nondepository financial institutions and other loans</t>
  </si>
  <si>
    <t>b. Other loans:</t>
  </si>
  <si>
    <t>a. Construction, land development, and other land loans in domestic offices:</t>
  </si>
  <si>
    <t>b. Loans secured by 1-4 family residential properties in domestic offices</t>
  </si>
  <si>
    <t>c. Secured by multifamily (5 or more) residential properties in domestic offices</t>
  </si>
  <si>
    <t>d. Secured by nonfarm nonresidential properties in domestic offices:</t>
  </si>
  <si>
    <t>e. Commercial and industrial loans:</t>
  </si>
  <si>
    <t>1. Loans secured by farmland in domestic offices</t>
  </si>
  <si>
    <t>7. Loans secured by real estate in foreign offices</t>
  </si>
  <si>
    <t>RCFNK289</t>
  </si>
  <si>
    <t>M.1.f.7.</t>
  </si>
  <si>
    <t>1. Not available</t>
  </si>
  <si>
    <t>a. Interest accrued and unpaid on deposits in domestic offices</t>
  </si>
  <si>
    <t>1. Unused commitments:</t>
  </si>
  <si>
    <t>b. Securities borrowed</t>
  </si>
  <si>
    <t>(Column B) PurchasedProtection</t>
  </si>
  <si>
    <t>c. Notional amounts by regulatory capital treatment:</t>
  </si>
  <si>
    <t>(Column A) Remaining Maturity of One Year or Less</t>
  </si>
  <si>
    <t>(Column B) Remaining Maturity of Over One Year Through Five Years</t>
  </si>
  <si>
    <t>(Column C) Remaining Maturity of Over Five Years</t>
  </si>
  <si>
    <t>b. Secured by farmland in domestic offices</t>
  </si>
  <si>
    <t>c. Secured by 1-4 family residential properties in domestic offices:</t>
  </si>
  <si>
    <t>d. Secured by multifamily (5 or more) residential properties in domestic offices</t>
  </si>
  <si>
    <t>e. Secured by nonfarm nonresidential properties in domestic offices:</t>
  </si>
  <si>
    <t>f. In foreign offices</t>
  </si>
  <si>
    <t>RCFNB572</t>
  </si>
  <si>
    <t>a. To U.S. banks and other U.S. depository institutions</t>
  </si>
  <si>
    <t>b. To foreign banks</t>
  </si>
  <si>
    <t>8. Lease financing receivables:</t>
  </si>
  <si>
    <t>9. Debt securities and other assets (exclude other real estate owned and other repossessed assets)</t>
  </si>
  <si>
    <t>10. Loans and leases reported in items 1 through 8 above that are wholly or partially guaranteed by the U.S. Government, excluding loans and leases covered by loss-sharing agreements with the FDIC:</t>
  </si>
  <si>
    <t>b. Rebooked "GNMA loans" that have been repurchased or are eligible for repurchase included in item 10 above</t>
  </si>
  <si>
    <t>11. Loans and leases reported in items 1 through 8 above that are covered by loss-sharing agreements with the FDIC:</t>
  </si>
  <si>
    <t>a. Loans secured by real estate in domestic offices:</t>
  </si>
  <si>
    <t>b. Loans to finance agricultural production and other loans to farmers</t>
  </si>
  <si>
    <t>5. Loans secured by real estate in foreign offices</t>
  </si>
  <si>
    <t>RCFNK291</t>
  </si>
  <si>
    <t>f. Portion of covered loans and leases included in items 11.a through 11.e above that is protected by FDIC loss-sharing agreements</t>
  </si>
  <si>
    <t>b. Loans secured by 1-4 family residential properties in domestic offices..</t>
  </si>
  <si>
    <t>7. Loans secured by real estate in foreign offices 2. Loans to finance commercial real estate, construction, and land development</t>
  </si>
  <si>
    <t>RCFNK294</t>
  </si>
  <si>
    <t xml:space="preserve">9. Purchased credit-impaired loans accounted for in accordance with FASB ASC 310-30 (former AICPA Stament of Position 03-3): </t>
  </si>
  <si>
    <t>RCFNB573</t>
  </si>
  <si>
    <t>RCFNK292</t>
  </si>
  <si>
    <t>RCFNK295</t>
  </si>
  <si>
    <t>RCFNB574</t>
  </si>
  <si>
    <t>RCFNK293</t>
  </si>
  <si>
    <t>RCFNK296</t>
  </si>
  <si>
    <t xml:space="preserve">1. Retail originations during the quarter of 1-4 family residential mortgage loans for sale: </t>
  </si>
  <si>
    <t xml:space="preserve">c. Total representation and warranty reserves (sum of items 7.a and 7.b) </t>
  </si>
  <si>
    <t>8. LESS: Deferred tax assets (DTAs) that arise from net operating loss and tax credit carryforwards, net of any related valuation allowances and net of DTLs</t>
  </si>
  <si>
    <t>c. LESS: Accumulated net gains (losses) on cash flow hedges (if a gain, report as a positive value; if a loss, report as a negative value)</t>
  </si>
  <si>
    <t>d. LESS: Amounts recorded in AOCI attributed to defined benefit postretirement plans resulting from the initial and subsequent application of the relevant GAAP standards that pertain to such plans (if a gain, report as a positive value; if a loss, report as a negative value)</t>
  </si>
  <si>
    <t>e. LESS: Net unrealized gains (losses) on held-to-maturity securities that are included in AOCI (if a gain, report as a positive value; if a loss, report as a negative value)</t>
  </si>
  <si>
    <t>f. LESS: Accumulated net gain (loss) on cash flow hedges included in AOCI, net of applicable income taxes, that relate to the hedging of items that are not recognized at fair value on the balance sheet (if a gain, report as a positive value; if a loss, report as a negative value) (To be completed only by institutions that entered "0" for No in item 3.a)</t>
  </si>
  <si>
    <t>14. LESS: MSAs, net of associated DTLs, that exceed the 10 percent common equity tier 1 capital deduction threshold</t>
  </si>
  <si>
    <t>15. LESS: DTAs arising from temporary differences that could not be realized through net operating loss carrybacks, net of related valuation allowances and net of DTLs, that exceed the 10 percent common equity tier 1 capital deduction threshold</t>
  </si>
  <si>
    <t>16. LESS: Amount of significant investments in the capital of unconsolidated financial institutions in the form of common stock, net of associated DTLs; MSAs, net of associated DTLs; and DTAs arising from temporary differences that could not be realized through net operating loss carrybacks, net of related valuation allowances and net of DTLs; that exceeds</t>
  </si>
  <si>
    <t>26. Tier 1 capital (sum of items 19 and 25)</t>
  </si>
  <si>
    <t>b. (Advanced approaches institutions that exit parallel run only): Total riskweighted assets using advanced approaches rule (from FFIEC 101 Schedule A, item 60)</t>
  </si>
  <si>
    <t xml:space="preserve"> 44. Tier 1 leverage ratio (item 26 divided by item 39) </t>
  </si>
  <si>
    <t>TTM</t>
  </si>
  <si>
    <t>QTR</t>
  </si>
  <si>
    <t>Y9C</t>
  </si>
  <si>
    <t>BHCK4435</t>
  </si>
  <si>
    <t>BHCK4436</t>
  </si>
  <si>
    <t>BHCK4012</t>
  </si>
  <si>
    <t>BHCK4065</t>
  </si>
  <si>
    <t>BHCK4115</t>
  </si>
  <si>
    <t>BHCKB488</t>
  </si>
  <si>
    <t>BHCKB489</t>
  </si>
  <si>
    <t>BHCK4060</t>
  </si>
  <si>
    <t>BHCK4069</t>
  </si>
  <si>
    <t>BHCK4020</t>
  </si>
  <si>
    <t>BHCK4518</t>
  </si>
  <si>
    <t>BHCK4107</t>
  </si>
  <si>
    <t>BHCK4508</t>
  </si>
  <si>
    <t>BHCK0093</t>
  </si>
  <si>
    <t>BHCKA517</t>
  </si>
  <si>
    <t>BHCKA518</t>
  </si>
  <si>
    <t>BHCK4180</t>
  </si>
  <si>
    <t>BHCK4185</t>
  </si>
  <si>
    <t>BHCK4200</t>
  </si>
  <si>
    <t>BHCK4073</t>
  </si>
  <si>
    <t>BHCK4074</t>
  </si>
  <si>
    <t>BHCK4230</t>
  </si>
  <si>
    <t>BHCK4070</t>
  </si>
  <si>
    <t>BHCK4080</t>
  </si>
  <si>
    <t>BHCKA220</t>
  </si>
  <si>
    <t>BHCKC886</t>
  </si>
  <si>
    <t>BHCKC888</t>
  </si>
  <si>
    <t>BHCKC887</t>
  </si>
  <si>
    <t>BHCKC386</t>
  </si>
  <si>
    <t>BHCKC387</t>
  </si>
  <si>
    <t>BHCKB491</t>
  </si>
  <si>
    <t>BHCKB492</t>
  </si>
  <si>
    <t>BHCKB493</t>
  </si>
  <si>
    <t>BHCKB496</t>
  </si>
  <si>
    <t>BHCKB497</t>
  </si>
  <si>
    <t>BHCK4079</t>
  </si>
  <si>
    <t>BHCK3521</t>
  </si>
  <si>
    <t>BHCK3196</t>
  </si>
  <si>
    <t>BHCK4135</t>
  </si>
  <si>
    <t>BHCK4217</t>
  </si>
  <si>
    <t>BHCKC216</t>
  </si>
  <si>
    <t>BHCKC232</t>
  </si>
  <si>
    <t>BHCK4092</t>
  </si>
  <si>
    <t>BHCK4093</t>
  </si>
  <si>
    <t>BHCK4301</t>
  </si>
  <si>
    <t>BHCK4302</t>
  </si>
  <si>
    <t>BHCK4300</t>
  </si>
  <si>
    <t>BHCK4320</t>
  </si>
  <si>
    <t>BHCKG104</t>
  </si>
  <si>
    <t>BHCKG103</t>
  </si>
  <si>
    <t>BHCK4340</t>
  </si>
  <si>
    <t>BHCK4513</t>
  </si>
  <si>
    <t>BHCK8431</t>
  </si>
  <si>
    <t>BHCK4313</t>
  </si>
  <si>
    <t>BHCK4507</t>
  </si>
  <si>
    <t>BHCK4150</t>
  </si>
  <si>
    <t>BHCK4024</t>
  </si>
  <si>
    <t>BHCK9106</t>
  </si>
  <si>
    <t>BHCK8757</t>
  </si>
  <si>
    <t>BHCK8758</t>
  </si>
  <si>
    <t>BHCK8759</t>
  </si>
  <si>
    <t>BHCK8760</t>
  </si>
  <si>
    <t>BHCKF186</t>
  </si>
  <si>
    <t>BHCKK090</t>
  </si>
  <si>
    <t>BHCKK094</t>
  </si>
  <si>
    <t>BHCKC889</t>
  </si>
  <si>
    <t>BHCKC890</t>
  </si>
  <si>
    <t>BHCKA251</t>
  </si>
  <si>
    <t>BHCKA530</t>
  </si>
  <si>
    <t>BHCKF228</t>
  </si>
  <si>
    <t>BHCKF551</t>
  </si>
  <si>
    <t>BHCKF552</t>
  </si>
  <si>
    <t>BHCKF553</t>
  </si>
  <si>
    <t>BHCKF554</t>
  </si>
  <si>
    <t>BHCKJ319</t>
  </si>
  <si>
    <t>BHCKJ320</t>
  </si>
  <si>
    <t>BHCKJ321</t>
  </si>
  <si>
    <t>BHCKH032</t>
  </si>
  <si>
    <t>BHCKH033</t>
  </si>
  <si>
    <t>BHCKH034</t>
  </si>
  <si>
    <t>BHCKH035</t>
  </si>
  <si>
    <t>BHCK3217</t>
  </si>
  <si>
    <t>BHCKB507</t>
  </si>
  <si>
    <t>BHCKB508</t>
  </si>
  <si>
    <t>BHCKB509</t>
  </si>
  <si>
    <t>BHCKB510</t>
  </si>
  <si>
    <t>BHCK4356</t>
  </si>
  <si>
    <t>BHCK4470</t>
  </si>
  <si>
    <t>BHCK4460</t>
  </si>
  <si>
    <t>BHCKB511</t>
  </si>
  <si>
    <t>BHCK4415</t>
  </si>
  <si>
    <t>BHCK3210</t>
  </si>
  <si>
    <t>BHCKC891</t>
  </si>
  <si>
    <t>BHCKC892</t>
  </si>
  <si>
    <t>BHCKC893</t>
  </si>
  <si>
    <t>BHCKC894</t>
  </si>
  <si>
    <t>BHCK3584</t>
  </si>
  <si>
    <t>BHCK3585</t>
  </si>
  <si>
    <t>BHCK5411</t>
  </si>
  <si>
    <t>BHCK5412</t>
  </si>
  <si>
    <t>BHCKC234</t>
  </si>
  <si>
    <t>BHCKC217</t>
  </si>
  <si>
    <t>BHCKC235</t>
  </si>
  <si>
    <t>BHCKC218</t>
  </si>
  <si>
    <t>BHCK3588</t>
  </si>
  <si>
    <t>BHCK3589</t>
  </si>
  <si>
    <t>BHCKC895</t>
  </si>
  <si>
    <t>BHCKC896</t>
  </si>
  <si>
    <t>BHCKC897</t>
  </si>
  <si>
    <t>BHCKC898</t>
  </si>
  <si>
    <t>BHCK4481</t>
  </si>
  <si>
    <t>BHCK4482</t>
  </si>
  <si>
    <t>BHCK4655</t>
  </si>
  <si>
    <t>BHCK4665</t>
  </si>
  <si>
    <t>BHCK4645</t>
  </si>
  <si>
    <t>BHCK4617</t>
  </si>
  <si>
    <t>BHCK4646</t>
  </si>
  <si>
    <t>BHCK4618</t>
  </si>
  <si>
    <t>BHCKB514</t>
  </si>
  <si>
    <t>BHCKB515</t>
  </si>
  <si>
    <t>BHCKK129</t>
  </si>
  <si>
    <t>BHCKK133</t>
  </si>
  <si>
    <t>BHCKK205</t>
  </si>
  <si>
    <t>BHCKK206</t>
  </si>
  <si>
    <t>BHCK4643</t>
  </si>
  <si>
    <t>BHCK4627</t>
  </si>
  <si>
    <t>BHCK4644</t>
  </si>
  <si>
    <t>BHCK4628</t>
  </si>
  <si>
    <t>BHCK4266</t>
  </si>
  <si>
    <t>BHCK4267</t>
  </si>
  <si>
    <t>BHCKF185</t>
  </si>
  <si>
    <t>BHCKF187</t>
  </si>
  <si>
    <t>BHCKC880</t>
  </si>
  <si>
    <t>BHCKF188</t>
  </si>
  <si>
    <t>BHCK4635</t>
  </si>
  <si>
    <t>BHCK4605</t>
  </si>
  <si>
    <t>BHCK5409</t>
  </si>
  <si>
    <t>BHCK5410</t>
  </si>
  <si>
    <t>BHCK4652</t>
  </si>
  <si>
    <t>BHCK4662</t>
  </si>
  <si>
    <t>BHCK4654</t>
  </si>
  <si>
    <t>BHCK4664</t>
  </si>
  <si>
    <t>BHCKC388</t>
  </si>
  <si>
    <t>BHCKB522</t>
  </si>
  <si>
    <t>BHCKC079</t>
  </si>
  <si>
    <t>BHCK5523</t>
  </si>
  <si>
    <t>BHCKC233</t>
  </si>
  <si>
    <t>BHCK3123</t>
  </si>
  <si>
    <t>BHCKC435</t>
  </si>
  <si>
    <t>BHCKC389</t>
  </si>
  <si>
    <t>BHCKC390</t>
  </si>
  <si>
    <t>BHCKC781</t>
  </si>
  <si>
    <t>BHCKC013</t>
  </si>
  <si>
    <t>BHCKC014</t>
  </si>
  <si>
    <t>BHCKC016</t>
  </si>
  <si>
    <t>BHCK4042</t>
  </si>
  <si>
    <t>BHCKC015</t>
  </si>
  <si>
    <t>BHCKF229</t>
  </si>
  <si>
    <t>BHCKF555</t>
  </si>
  <si>
    <t>BHCKJ447</t>
  </si>
  <si>
    <t>BHCKF184</t>
  </si>
  <si>
    <t>BHCKM708</t>
  </si>
  <si>
    <t>BHCKM709</t>
  </si>
  <si>
    <t>BHCKM710</t>
  </si>
  <si>
    <t>BHCKM711</t>
  </si>
  <si>
    <t>BHCKM712</t>
  </si>
  <si>
    <t>BHCKM713</t>
  </si>
  <si>
    <t>BHCKM714</t>
  </si>
  <si>
    <t>BHCKM715</t>
  </si>
  <si>
    <t>BHCKM716</t>
  </si>
  <si>
    <t>BHCKM717</t>
  </si>
  <si>
    <t>BHCKM719</t>
  </si>
  <si>
    <t>BHCKM720</t>
  </si>
  <si>
    <t>BHCKM721</t>
  </si>
  <si>
    <t>BHCKM722</t>
  </si>
  <si>
    <t>BHCKM723</t>
  </si>
  <si>
    <t>BHCKM724</t>
  </si>
  <si>
    <t>BHCKM725</t>
  </si>
  <si>
    <t>BHCKM726</t>
  </si>
  <si>
    <t>BHCKM727</t>
  </si>
  <si>
    <t>BHCKM728</t>
  </si>
  <si>
    <t>BHCKM729</t>
  </si>
  <si>
    <t>BHCKM730</t>
  </si>
  <si>
    <t>BHCKM731</t>
  </si>
  <si>
    <t>BHCKM732</t>
  </si>
  <si>
    <t>BHCKM733</t>
  </si>
  <si>
    <t>BHCKM734</t>
  </si>
  <si>
    <t>BHCKM735</t>
  </si>
  <si>
    <t>BHCKM736</t>
  </si>
  <si>
    <t>BHCKM737</t>
  </si>
  <si>
    <t>BHCKM738</t>
  </si>
  <si>
    <t>BHCKM739</t>
  </si>
  <si>
    <t>BHCKM740</t>
  </si>
  <si>
    <t>BHCKM741</t>
  </si>
  <si>
    <t>BHCKM742</t>
  </si>
  <si>
    <t>BHCKM743</t>
  </si>
  <si>
    <t>BHCKM744</t>
  </si>
  <si>
    <t>BHCKM745</t>
  </si>
  <si>
    <t>BHCKM746</t>
  </si>
  <si>
    <t>BHCKM747</t>
  </si>
  <si>
    <t>BHCKM748</t>
  </si>
  <si>
    <t>BHCKM749</t>
  </si>
  <si>
    <t>BHCKM750</t>
  </si>
  <si>
    <t>BHCKM751</t>
  </si>
  <si>
    <t>BHCK0081</t>
  </si>
  <si>
    <t>BHCK0071</t>
  </si>
  <si>
    <t>BHCK1754</t>
  </si>
  <si>
    <t>BHCK1773</t>
  </si>
  <si>
    <t>BHCKB989</t>
  </si>
  <si>
    <t>BHCK5369</t>
  </si>
  <si>
    <t>BHCKB528</t>
  </si>
  <si>
    <t>BHCKB529</t>
  </si>
  <si>
    <t>BHCK3545</t>
  </si>
  <si>
    <t>BHCK2145</t>
  </si>
  <si>
    <t>BHCK2150</t>
  </si>
  <si>
    <t>BHCK2130</t>
  </si>
  <si>
    <t>BHCK3656</t>
  </si>
  <si>
    <t>BHCK3163</t>
  </si>
  <si>
    <t>BHCK0426</t>
  </si>
  <si>
    <t>BHCK2160</t>
  </si>
  <si>
    <t>BHCK2170</t>
  </si>
  <si>
    <t>BHCKB995</t>
  </si>
  <si>
    <t>BHCK3548</t>
  </si>
  <si>
    <t>BHCK3190</t>
  </si>
  <si>
    <t>BHCK2948</t>
  </si>
  <si>
    <t>BHCK3230</t>
  </si>
  <si>
    <t>BHCK3839</t>
  </si>
  <si>
    <t>BHCK3632</t>
  </si>
  <si>
    <t>BHCKB530</t>
  </si>
  <si>
    <t>BHCKA130</t>
  </si>
  <si>
    <t>BHCK3000</t>
  </si>
  <si>
    <t>BHCKG105</t>
  </si>
  <si>
    <t>BHCK3300</t>
  </si>
  <si>
    <t>BHDMB993</t>
  </si>
  <si>
    <t>BHCK4062</t>
  </si>
  <si>
    <t>BHCK2750</t>
  </si>
  <si>
    <t>BHCK3283</t>
  </si>
  <si>
    <t>BHDM6631</t>
  </si>
  <si>
    <t>BHDM6636</t>
  </si>
  <si>
    <t>BHDMB987</t>
  </si>
  <si>
    <t>BHDMF158</t>
  </si>
  <si>
    <t>BHDMF159</t>
  </si>
  <si>
    <t>BHDM1420</t>
  </si>
  <si>
    <t>BHDM1797</t>
  </si>
  <si>
    <t>BHDM5367</t>
  </si>
  <si>
    <t>BHDM5368</t>
  </si>
  <si>
    <t>BHDM1460</t>
  </si>
  <si>
    <t>BHDM1590</t>
  </si>
  <si>
    <t>BHDM2081</t>
  </si>
  <si>
    <t>BHDM2107</t>
  </si>
  <si>
    <t>BHDMJ454</t>
  </si>
  <si>
    <t>BHDM1545</t>
  </si>
  <si>
    <t>BHDMJ451</t>
  </si>
  <si>
    <t>BHDM2165</t>
  </si>
  <si>
    <t>BHDM2123</t>
  </si>
  <si>
    <t>BHDM2122</t>
  </si>
  <si>
    <t>BHDMK158</t>
  </si>
  <si>
    <t>BHDMK159</t>
  </si>
  <si>
    <t>BHDMF576</t>
  </si>
  <si>
    <t>BHDMK160</t>
  </si>
  <si>
    <t>BHDMK161</t>
  </si>
  <si>
    <t>BHDMK162</t>
  </si>
  <si>
    <t>BHDMK166</t>
  </si>
  <si>
    <t>BHDMA564</t>
  </si>
  <si>
    <t>BHDMA565</t>
  </si>
  <si>
    <t>BHDMA566</t>
  </si>
  <si>
    <t>BHDMA567</t>
  </si>
  <si>
    <t>BHDMA568</t>
  </si>
  <si>
    <t>BHDMA569</t>
  </si>
  <si>
    <t>BHDM5370</t>
  </si>
  <si>
    <t>BHDM3645</t>
  </si>
  <si>
    <t>BHDMF670</t>
  </si>
  <si>
    <t>BHDMF671</t>
  </si>
  <si>
    <t>BHDMF672</t>
  </si>
  <si>
    <t>BHDMF673</t>
  </si>
  <si>
    <t>BHDMF674</t>
  </si>
  <si>
    <t>BHDMF675</t>
  </si>
  <si>
    <t>BHDMF676</t>
  </si>
  <si>
    <t>BHDMF677</t>
  </si>
  <si>
    <t>BHDMF678</t>
  </si>
  <si>
    <t>BHDMF679</t>
  </si>
  <si>
    <t>BHDMF680</t>
  </si>
  <si>
    <t>BHDMF681</t>
  </si>
  <si>
    <t>BHDMJ983</t>
  </si>
  <si>
    <t>BHDMJ986</t>
  </si>
  <si>
    <t>BHDMJ989</t>
  </si>
  <si>
    <t>BHDMJ992</t>
  </si>
  <si>
    <t>BHDMJ995</t>
  </si>
  <si>
    <t>BHDMJ998</t>
  </si>
  <si>
    <t>BHDMK002</t>
  </si>
  <si>
    <t>BHDMK005</t>
  </si>
  <si>
    <t>BHDMK008</t>
  </si>
  <si>
    <t>BHDMK011</t>
  </si>
  <si>
    <t>BHDMK014</t>
  </si>
  <si>
    <t>BHDMK017</t>
  </si>
  <si>
    <t>BHDMK020</t>
  </si>
  <si>
    <t>BHDMK023</t>
  </si>
  <si>
    <t>BHDMK026</t>
  </si>
  <si>
    <t>BHDMK029</t>
  </si>
  <si>
    <t>BHDMK032</t>
  </si>
  <si>
    <t>BHDMK035</t>
  </si>
  <si>
    <t>BHCK0211</t>
  </si>
  <si>
    <t>BHCK0213</t>
  </si>
  <si>
    <t>BHCK1286</t>
  </si>
  <si>
    <t>BHCK1287</t>
  </si>
  <si>
    <t>BHCK1289</t>
  </si>
  <si>
    <t>BHCK1290</t>
  </si>
  <si>
    <t>BHCK1291</t>
  </si>
  <si>
    <t>BHCK1293</t>
  </si>
  <si>
    <t>BHCK1294</t>
  </si>
  <si>
    <t>BHCK1295</t>
  </si>
  <si>
    <t>BHCK1297</t>
  </si>
  <si>
    <t>BHCK1298</t>
  </si>
  <si>
    <t>BHCK8496</t>
  </si>
  <si>
    <t>BHCK8497</t>
  </si>
  <si>
    <t>BHCK8498</t>
  </si>
  <si>
    <t>BHCK8499</t>
  </si>
  <si>
    <t>BHCKG300</t>
  </si>
  <si>
    <t>BHCKG301</t>
  </si>
  <si>
    <t>BHCKG302</t>
  </si>
  <si>
    <t>BHCKG303</t>
  </si>
  <si>
    <t>BHCKG304</t>
  </si>
  <si>
    <t>BHCKG305</t>
  </si>
  <si>
    <t>BHCKG306</t>
  </si>
  <si>
    <t>BHCKG307</t>
  </si>
  <si>
    <t>BHCKG308</t>
  </si>
  <si>
    <t>BHCKG309</t>
  </si>
  <si>
    <t>BHCKG310</t>
  </si>
  <si>
    <t>BHCKG311</t>
  </si>
  <si>
    <t>BHCKG312</t>
  </si>
  <si>
    <t>BHCKG313</t>
  </si>
  <si>
    <t>BHCKG314</t>
  </si>
  <si>
    <t>BHCKG315</t>
  </si>
  <si>
    <t>BHCKG316</t>
  </si>
  <si>
    <t>BHCKG317</t>
  </si>
  <si>
    <t>BHCKG318</t>
  </si>
  <si>
    <t>BHCKG319</t>
  </si>
  <si>
    <t>BHCKG320</t>
  </si>
  <si>
    <t>BHCKG321</t>
  </si>
  <si>
    <t>BHCKG322</t>
  </si>
  <si>
    <t>BHCKG323</t>
  </si>
  <si>
    <t>BHCKK142</t>
  </si>
  <si>
    <t>BHCKK143</t>
  </si>
  <si>
    <t>BHCKK144</t>
  </si>
  <si>
    <t>BHCKK145</t>
  </si>
  <si>
    <t>BHCKK146</t>
  </si>
  <si>
    <t>BHCKK147</t>
  </si>
  <si>
    <t>BHCKK148</t>
  </si>
  <si>
    <t>BHCKK149</t>
  </si>
  <si>
    <t>BHCKK150</t>
  </si>
  <si>
    <t>BHCKK151</t>
  </si>
  <si>
    <t>BHCKK152</t>
  </si>
  <si>
    <t>BHCKK153</t>
  </si>
  <si>
    <t>BHCKK154</t>
  </si>
  <si>
    <t>BHCKK155</t>
  </si>
  <si>
    <t>BHCKK156</t>
  </si>
  <si>
    <t>BHCKK157</t>
  </si>
  <si>
    <t>BHCKC026</t>
  </si>
  <si>
    <t>BHCKC988</t>
  </si>
  <si>
    <t>BHCKC989</t>
  </si>
  <si>
    <t>BHCKC027</t>
  </si>
  <si>
    <t>BHCKG336</t>
  </si>
  <si>
    <t>BHCKG337</t>
  </si>
  <si>
    <t>BHCKG338</t>
  </si>
  <si>
    <t>BHCKG339</t>
  </si>
  <si>
    <t>BHCKG340</t>
  </si>
  <si>
    <t>BHCKG341</t>
  </si>
  <si>
    <t>BHCKG342</t>
  </si>
  <si>
    <t>BHCKG343</t>
  </si>
  <si>
    <t>BHCKG344</t>
  </si>
  <si>
    <t>BHCKG345</t>
  </si>
  <si>
    <t>BHCKG346</t>
  </si>
  <si>
    <t>BHCKG347</t>
  </si>
  <si>
    <t>BHCK1737</t>
  </si>
  <si>
    <t>BHCK1738</t>
  </si>
  <si>
    <t>BHCK1739</t>
  </si>
  <si>
    <t>BHCK1741</t>
  </si>
  <si>
    <t>BHCK1742</t>
  </si>
  <si>
    <t>BHCK1743</t>
  </si>
  <si>
    <t>BHCK1744</t>
  </si>
  <si>
    <t>BHCK1746</t>
  </si>
  <si>
    <t>BHCKA510</t>
  </si>
  <si>
    <t>BHCKA511</t>
  </si>
  <si>
    <t>BHCK1771</t>
  </si>
  <si>
    <t>BHCK1772</t>
  </si>
  <si>
    <t>BHCK0416</t>
  </si>
  <si>
    <t>BHCKA549</t>
  </si>
  <si>
    <t>BHCKA550</t>
  </si>
  <si>
    <t>BHCKA551</t>
  </si>
  <si>
    <t>BHCKA552</t>
  </si>
  <si>
    <t>BHCKA553</t>
  </si>
  <si>
    <t>BHCKA554</t>
  </si>
  <si>
    <t>BHCKA555</t>
  </si>
  <si>
    <t>BHCKA556</t>
  </si>
  <si>
    <t>BHCKA557</t>
  </si>
  <si>
    <t>BHCKA558</t>
  </si>
  <si>
    <t>BHCKA559</t>
  </si>
  <si>
    <t>BHCKA560</t>
  </si>
  <si>
    <t>BHCKA561</t>
  </si>
  <si>
    <t>BHCKA562</t>
  </si>
  <si>
    <t>BHCKA248</t>
  </si>
  <si>
    <t>BHCK1778</t>
  </si>
  <si>
    <t>BHCK8782</t>
  </si>
  <si>
    <t>BHCK8783</t>
  </si>
  <si>
    <t>BHCKB838</t>
  </si>
  <si>
    <t>BHCKB839</t>
  </si>
  <si>
    <t>BHCKB840</t>
  </si>
  <si>
    <t>BHCKB841</t>
  </si>
  <si>
    <t>BHCKB842</t>
  </si>
  <si>
    <t>BHCKB843</t>
  </si>
  <si>
    <t>BHCKB844</t>
  </si>
  <si>
    <t>BHCKB845</t>
  </si>
  <si>
    <t>BHCKB846</t>
  </si>
  <si>
    <t>BHCKB847</t>
  </si>
  <si>
    <t>BHCKB848</t>
  </si>
  <si>
    <t>BHCKB849</t>
  </si>
  <si>
    <t>BHCKB850</t>
  </si>
  <si>
    <t>BHCKB851</t>
  </si>
  <si>
    <t>BHCKB852</t>
  </si>
  <si>
    <t>BHCKB853</t>
  </si>
  <si>
    <t>BHCKB854</t>
  </si>
  <si>
    <t>BHCKB855</t>
  </si>
  <si>
    <t>BHCKB856</t>
  </si>
  <si>
    <t>BHCKB857</t>
  </si>
  <si>
    <t>BHCKB858</t>
  </si>
  <si>
    <t>BHCKB859</t>
  </si>
  <si>
    <t>BHCKB860</t>
  </si>
  <si>
    <t>BHCKB861</t>
  </si>
  <si>
    <t>BHCKG348</t>
  </si>
  <si>
    <t>BHCKG349</t>
  </si>
  <si>
    <t>BHCKG350</t>
  </si>
  <si>
    <t>BHCKG351</t>
  </si>
  <si>
    <t>BHCKG352</t>
  </si>
  <si>
    <t>BHCKG353</t>
  </si>
  <si>
    <t>BHCKG354</t>
  </si>
  <si>
    <t>BHCKG355</t>
  </si>
  <si>
    <t>BHCKG356</t>
  </si>
  <si>
    <t>BHCKG357</t>
  </si>
  <si>
    <t>BHCKG358</t>
  </si>
  <si>
    <t>BHCKG359</t>
  </si>
  <si>
    <t>BHCKG360</t>
  </si>
  <si>
    <t>BHCKG361</t>
  </si>
  <si>
    <t>BHCKG362</t>
  </si>
  <si>
    <t>BHCKG363</t>
  </si>
  <si>
    <t>BHCKG364</t>
  </si>
  <si>
    <t>BHCKG365</t>
  </si>
  <si>
    <t>BHCKG366</t>
  </si>
  <si>
    <t>BHCKG367</t>
  </si>
  <si>
    <t>BHCKG368</t>
  </si>
  <si>
    <t>BHCKG369</t>
  </si>
  <si>
    <t>BHCKG370</t>
  </si>
  <si>
    <t>BHCKG371</t>
  </si>
  <si>
    <t>BHCKG372</t>
  </si>
  <si>
    <t>BHCKG373</t>
  </si>
  <si>
    <t>BHCKG374</t>
  </si>
  <si>
    <t>BHCKG375</t>
  </si>
  <si>
    <t>BHCK1410</t>
  </si>
  <si>
    <t>BHCKF158</t>
  </si>
  <si>
    <t>BHCKF159</t>
  </si>
  <si>
    <t>BHCKF160</t>
  </si>
  <si>
    <t>BHCKF161</t>
  </si>
  <si>
    <t>BHCK1590</t>
  </si>
  <si>
    <t>BHCK1763</t>
  </si>
  <si>
    <t>BHCK1764</t>
  </si>
  <si>
    <t>BHCKB538</t>
  </si>
  <si>
    <t>BHCKB539</t>
  </si>
  <si>
    <t>BHCKK137</t>
  </si>
  <si>
    <t>BHCKK207</t>
  </si>
  <si>
    <t>BHCK2081</t>
  </si>
  <si>
    <t>BHCK2107</t>
  </si>
  <si>
    <t>BHCK1563</t>
  </si>
  <si>
    <t>BHCKF162</t>
  </si>
  <si>
    <t>BHCKF163</t>
  </si>
  <si>
    <t>BHCK2123</t>
  </si>
  <si>
    <t>BHCK2122</t>
  </si>
  <si>
    <t>BHCKK163</t>
  </si>
  <si>
    <t>BHCKK164</t>
  </si>
  <si>
    <t>BHCKK165</t>
  </si>
  <si>
    <t>BHCKK167</t>
  </si>
  <si>
    <t>BHCKK168</t>
  </si>
  <si>
    <t>BHCKK098</t>
  </si>
  <si>
    <t>BHCKK203</t>
  </si>
  <si>
    <t>BHCKK204</t>
  </si>
  <si>
    <t>BHCKK212</t>
  </si>
  <si>
    <t>BHCKK267</t>
  </si>
  <si>
    <t>BHCKA570</t>
  </si>
  <si>
    <t>BHCKA571</t>
  </si>
  <si>
    <t>BHCKA572</t>
  </si>
  <si>
    <t>BHCKA573</t>
  </si>
  <si>
    <t>BHCKA574</t>
  </si>
  <si>
    <t>BHCKA575</t>
  </si>
  <si>
    <t>BHCKA247</t>
  </si>
  <si>
    <t>BHCK2746</t>
  </si>
  <si>
    <t>BHCKB837</t>
  </si>
  <si>
    <t>BHCKC391</t>
  </si>
  <si>
    <t>BHCKB556</t>
  </si>
  <si>
    <t>BHCK2148</t>
  </si>
  <si>
    <t>BHCKA519</t>
  </si>
  <si>
    <t>BHCKA520</t>
  </si>
  <si>
    <t>BHCK1752</t>
  </si>
  <si>
    <t>BHCKK201</t>
  </si>
  <si>
    <t>BHCKK202</t>
  </si>
  <si>
    <t>BHCKK270</t>
  </si>
  <si>
    <t>BHCK2168</t>
  </si>
  <si>
    <t>BHCK3646</t>
  </si>
  <si>
    <t>BHCK3049</t>
  </si>
  <si>
    <t>BHCKB557</t>
  </si>
  <si>
    <t>BHCT2750</t>
  </si>
  <si>
    <t>4. Other</t>
  </si>
  <si>
    <t>BHCKB984</t>
  </si>
  <si>
    <t>BHCK3814</t>
  </si>
  <si>
    <t>BHCK3815</t>
  </si>
  <si>
    <t>BHCKJ455</t>
  </si>
  <si>
    <t>BHCKJ456</t>
  </si>
  <si>
    <t>BHCKF164</t>
  </si>
  <si>
    <t>BHCKF165</t>
  </si>
  <si>
    <t>BHCK6550</t>
  </si>
  <si>
    <t>BHCK3817</t>
  </si>
  <si>
    <t>BHCKJ457</t>
  </si>
  <si>
    <t>BHCKJ458</t>
  </si>
  <si>
    <t>BHCKJ459</t>
  </si>
  <si>
    <t>BHCK3411</t>
  </si>
  <si>
    <t>BHCK3433</t>
  </si>
  <si>
    <t>BHCK3432</t>
  </si>
  <si>
    <t>BHCKC968</t>
  </si>
  <si>
    <t>BHCKC970</t>
  </si>
  <si>
    <t>BHCKC972</t>
  </si>
  <si>
    <t>BHCKC974</t>
  </si>
  <si>
    <t>BHCKC219</t>
  </si>
  <si>
    <t>BHCKC220</t>
  </si>
  <si>
    <t>BHCKC969</t>
  </si>
  <si>
    <t>BHCKC971</t>
  </si>
  <si>
    <t>BHCKC973</t>
  </si>
  <si>
    <t>BHCKC975</t>
  </si>
  <si>
    <t>BHCKC221</t>
  </si>
  <si>
    <t>BHCKC222</t>
  </si>
  <si>
    <t>BHCKG401</t>
  </si>
  <si>
    <t>BHCKG402</t>
  </si>
  <si>
    <t>BHCKG403</t>
  </si>
  <si>
    <t>BHCKG404</t>
  </si>
  <si>
    <t>BHCKG405</t>
  </si>
  <si>
    <t>BHCKG406</t>
  </si>
  <si>
    <t>BHCKG409</t>
  </si>
  <si>
    <t>BHCKG412</t>
  </si>
  <si>
    <t>BHCKG415</t>
  </si>
  <si>
    <t>BHCKG407</t>
  </si>
  <si>
    <t>BHCKG410</t>
  </si>
  <si>
    <t>BHCKG413</t>
  </si>
  <si>
    <t>BHCKG416</t>
  </si>
  <si>
    <t>BHCKG408</t>
  </si>
  <si>
    <t>BHCKG411</t>
  </si>
  <si>
    <t>BHCKG414</t>
  </si>
  <si>
    <t>BHCKG417</t>
  </si>
  <si>
    <t>BHCK8765</t>
  </si>
  <si>
    <t>BHCK3430</t>
  </si>
  <si>
    <t>BHCK3434</t>
  </si>
  <si>
    <t>BHCKC978</t>
  </si>
  <si>
    <t>BHCK3435</t>
  </si>
  <si>
    <t>BHCK8693</t>
  </si>
  <si>
    <t>BHCK8697</t>
  </si>
  <si>
    <t>BHCK8701</t>
  </si>
  <si>
    <t>BHCK8705</t>
  </si>
  <si>
    <t>BHCK8709</t>
  </si>
  <si>
    <t>BHCK8713</t>
  </si>
  <si>
    <t>BHCK3450</t>
  </si>
  <si>
    <t>BHCKA126</t>
  </si>
  <si>
    <t>BHCK8725</t>
  </si>
  <si>
    <t>BHCKA589</t>
  </si>
  <si>
    <t>BHCK8733</t>
  </si>
  <si>
    <t>BHCK8737</t>
  </si>
  <si>
    <t>BHCK8741</t>
  </si>
  <si>
    <t>BHCK8745</t>
  </si>
  <si>
    <t>BHCK8694</t>
  </si>
  <si>
    <t>BHCK8698</t>
  </si>
  <si>
    <t>BHCK8702</t>
  </si>
  <si>
    <t>BHCK8706</t>
  </si>
  <si>
    <t>BHCK8710</t>
  </si>
  <si>
    <t>BHCK8714</t>
  </si>
  <si>
    <t>BHCK3826</t>
  </si>
  <si>
    <t>BHCKA127</t>
  </si>
  <si>
    <t>BHCK8726</t>
  </si>
  <si>
    <t>BHCK8734</t>
  </si>
  <si>
    <t>BHCK8738</t>
  </si>
  <si>
    <t>BHCK8742</t>
  </si>
  <si>
    <t>BHCK8746</t>
  </si>
  <si>
    <t>BHCK8695</t>
  </si>
  <si>
    <t>BHCK8699</t>
  </si>
  <si>
    <t>BHCK8703</t>
  </si>
  <si>
    <t>BHCK8707</t>
  </si>
  <si>
    <t>BHCK8711</t>
  </si>
  <si>
    <t>BHCK8715</t>
  </si>
  <si>
    <t>BHCK8719</t>
  </si>
  <si>
    <t>BHCK8723</t>
  </si>
  <si>
    <t>BHCK8727</t>
  </si>
  <si>
    <t>BHCK8735</t>
  </si>
  <si>
    <t>BHCK8739</t>
  </si>
  <si>
    <t>BHCK8743</t>
  </si>
  <si>
    <t>BHCK8747</t>
  </si>
  <si>
    <t>BHCK8696</t>
  </si>
  <si>
    <t>BHCK8700</t>
  </si>
  <si>
    <t>BHCK8704</t>
  </si>
  <si>
    <t>BHCK8708</t>
  </si>
  <si>
    <t>BHCK8712</t>
  </si>
  <si>
    <t>BHCK8716</t>
  </si>
  <si>
    <t>BHCK8720</t>
  </si>
  <si>
    <t>BHCK8724</t>
  </si>
  <si>
    <t>BHCK8728</t>
  </si>
  <si>
    <t>BHCK8736</t>
  </si>
  <si>
    <t>BHCK8740</t>
  </si>
  <si>
    <t>BHCK8744</t>
  </si>
  <si>
    <t>BHCK8748</t>
  </si>
  <si>
    <t>BHCKF172</t>
  </si>
  <si>
    <t>BHCKF174</t>
  </si>
  <si>
    <t>BHCKF176</t>
  </si>
  <si>
    <t>BHCKF173</t>
  </si>
  <si>
    <t>BHCKF175</t>
  </si>
  <si>
    <t>BHCKF177</t>
  </si>
  <si>
    <t>BHCK3493</t>
  </si>
  <si>
    <t>BHCK3494</t>
  </si>
  <si>
    <t>BHCK3495</t>
  </si>
  <si>
    <t>BHCK5398</t>
  </si>
  <si>
    <t>BHCK5399</t>
  </si>
  <si>
    <t>BHCK5400</t>
  </si>
  <si>
    <t>BHCKC236</t>
  </si>
  <si>
    <t>BHCKC237</t>
  </si>
  <si>
    <t>BHCKC229</t>
  </si>
  <si>
    <t>BHCKC238</t>
  </si>
  <si>
    <t>BHCKC239</t>
  </si>
  <si>
    <t>BHCKC230</t>
  </si>
  <si>
    <t>BHCK3499</t>
  </si>
  <si>
    <t>BHCK3500</t>
  </si>
  <si>
    <t>BHCK3501</t>
  </si>
  <si>
    <t>BHCKF178</t>
  </si>
  <si>
    <t>BHCKF180</t>
  </si>
  <si>
    <t>BHCKF182</t>
  </si>
  <si>
    <t>BHCKF179</t>
  </si>
  <si>
    <t>BHCKF181</t>
  </si>
  <si>
    <t>BHCKF183</t>
  </si>
  <si>
    <t>BHCKK045</t>
  </si>
  <si>
    <t>BHCKK046</t>
  </si>
  <si>
    <t>BHCKK047</t>
  </si>
  <si>
    <t>BHCKK048</t>
  </si>
  <si>
    <t>BHCKK049</t>
  </si>
  <si>
    <t>BHCKK050</t>
  </si>
  <si>
    <t>BHCKK051</t>
  </si>
  <si>
    <t>BHCKK052</t>
  </si>
  <si>
    <t>BHCKK053</t>
  </si>
  <si>
    <t>BHCKK054</t>
  </si>
  <si>
    <t>BHCKK055</t>
  </si>
  <si>
    <t>BHCKK056</t>
  </si>
  <si>
    <t>BHCKK057</t>
  </si>
  <si>
    <t>BHCKK058</t>
  </si>
  <si>
    <t>BHCKK059</t>
  </si>
  <si>
    <t>BHCKK060</t>
  </si>
  <si>
    <t>BHCKK061</t>
  </si>
  <si>
    <t>BHCKK062</t>
  </si>
  <si>
    <t>BHCKK063</t>
  </si>
  <si>
    <t>BHCKK064</t>
  </si>
  <si>
    <t>BHCKK065</t>
  </si>
  <si>
    <t>BHCKK066</t>
  </si>
  <si>
    <t>BHCKK067</t>
  </si>
  <si>
    <t>BHCKK068</t>
  </si>
  <si>
    <t>BHCKK069</t>
  </si>
  <si>
    <t>BHCKK070</t>
  </si>
  <si>
    <t>BHCKK071</t>
  </si>
  <si>
    <t>BHCKK105</t>
  </si>
  <si>
    <t>BHCKK106</t>
  </si>
  <si>
    <t>BHCKK107</t>
  </si>
  <si>
    <t>BHCKK108</t>
  </si>
  <si>
    <t>BHCKK109</t>
  </si>
  <si>
    <t>BHCKK110</t>
  </si>
  <si>
    <t>BHCKF661</t>
  </si>
  <si>
    <t>BHCKF662</t>
  </si>
  <si>
    <t>BHCKF663</t>
  </si>
  <si>
    <t>BHCKK111</t>
  </si>
  <si>
    <t>BHCKK112</t>
  </si>
  <si>
    <t>BHCKK113</t>
  </si>
  <si>
    <t>BHCKK114</t>
  </si>
  <si>
    <t>BHCKK115</t>
  </si>
  <si>
    <t>BHCKK116</t>
  </si>
  <si>
    <t>BHCKK117</t>
  </si>
  <si>
    <t>BHCKK118</t>
  </si>
  <si>
    <t>BHCKK119</t>
  </si>
  <si>
    <t>BHCKK130</t>
  </si>
  <si>
    <t>BHCKK131</t>
  </si>
  <si>
    <t>BHCKK132</t>
  </si>
  <si>
    <t>BHCK5377</t>
  </si>
  <si>
    <t>BHCK5378</t>
  </si>
  <si>
    <t>BHCK5379</t>
  </si>
  <si>
    <t>BHCK5380</t>
  </si>
  <si>
    <t>BHCK5381</t>
  </si>
  <si>
    <t>BHCK5382</t>
  </si>
  <si>
    <t>BHCK1594</t>
  </si>
  <si>
    <t>BHCK1597</t>
  </si>
  <si>
    <t>BHCK1583</t>
  </si>
  <si>
    <t>BHCK1251</t>
  </si>
  <si>
    <t>BHCK1252</t>
  </si>
  <si>
    <t>BHCK1253</t>
  </si>
  <si>
    <t>BHCK1254</t>
  </si>
  <si>
    <t>BHCK1255</t>
  </si>
  <si>
    <t>BHCK1256</t>
  </si>
  <si>
    <t>BHCKB575</t>
  </si>
  <si>
    <t>BHCKB576</t>
  </si>
  <si>
    <t>BHCKB577</t>
  </si>
  <si>
    <t>BHCKK213</t>
  </si>
  <si>
    <t>BHCKK214</t>
  </si>
  <si>
    <t>BHCKK215</t>
  </si>
  <si>
    <t>BHCKK216</t>
  </si>
  <si>
    <t>BHCKK217</t>
  </si>
  <si>
    <t>BHCKK218</t>
  </si>
  <si>
    <t>BHCK5389</t>
  </si>
  <si>
    <t>BHCK5390</t>
  </si>
  <si>
    <t>BHCK5391</t>
  </si>
  <si>
    <t>BHCK5459</t>
  </si>
  <si>
    <t>BHCK5460</t>
  </si>
  <si>
    <t>BHCK5461</t>
  </si>
  <si>
    <t>BHCKF166</t>
  </si>
  <si>
    <t>BHCKF167</t>
  </si>
  <si>
    <t>BHCKF168</t>
  </si>
  <si>
    <t>BHCKF169</t>
  </si>
  <si>
    <t>BHCKF170</t>
  </si>
  <si>
    <t>BHCKF171</t>
  </si>
  <si>
    <t>BHCK3505</t>
  </si>
  <si>
    <t>BHCK3506</t>
  </si>
  <si>
    <t>BHCK3507</t>
  </si>
  <si>
    <t>BHCKK036</t>
  </si>
  <si>
    <t>BHCKK037</t>
  </si>
  <si>
    <t>BHCKK038</t>
  </si>
  <si>
    <t>BHCKK039</t>
  </si>
  <si>
    <t>BHCKK040</t>
  </si>
  <si>
    <t>BHCKK041</t>
  </si>
  <si>
    <t>BHCKK042</t>
  </si>
  <si>
    <t>BHCKK043</t>
  </si>
  <si>
    <t>BHCKK044</t>
  </si>
  <si>
    <t>BHCKK072</t>
  </si>
  <si>
    <t>BHCKK073</t>
  </si>
  <si>
    <t>BHCKK074</t>
  </si>
  <si>
    <t>BHCKK075</t>
  </si>
  <si>
    <t>BHCKK076</t>
  </si>
  <si>
    <t>BHCKK077</t>
  </si>
  <si>
    <t>BHCKK078</t>
  </si>
  <si>
    <t>BHCKK079</t>
  </si>
  <si>
    <t>BHCKK080</t>
  </si>
  <si>
    <t>BHCKK081</t>
  </si>
  <si>
    <t>BHCKK082</t>
  </si>
  <si>
    <t>BHCKK083</t>
  </si>
  <si>
    <t>BHCKK084</t>
  </si>
  <si>
    <t>BHCKK085</t>
  </si>
  <si>
    <t>BHCKK086</t>
  </si>
  <si>
    <t>BHCKK087</t>
  </si>
  <si>
    <t>BHCKK088</t>
  </si>
  <si>
    <t>BHCKK089</t>
  </si>
  <si>
    <t>BHCKK091</t>
  </si>
  <si>
    <t>BHCKK092</t>
  </si>
  <si>
    <t>BHCKK093</t>
  </si>
  <si>
    <t>BHCKK095</t>
  </si>
  <si>
    <t>BHCKK096</t>
  </si>
  <si>
    <t>BHCKK097</t>
  </si>
  <si>
    <t>BHCKK099</t>
  </si>
  <si>
    <t>BHCKK100</t>
  </si>
  <si>
    <t>BHCKK101</t>
  </si>
  <si>
    <t>BHCKK269</t>
  </si>
  <si>
    <t>BHCKK271</t>
  </si>
  <si>
    <t>BHCKK272</t>
  </si>
  <si>
    <t>BHCKK102</t>
  </si>
  <si>
    <t>BHCKK103</t>
  </si>
  <si>
    <t>BHCKK104</t>
  </si>
  <si>
    <t>BHCKK120</t>
  </si>
  <si>
    <t>BHCKK121</t>
  </si>
  <si>
    <t>BHCKK122</t>
  </si>
  <si>
    <t>BHCKK123</t>
  </si>
  <si>
    <t>BHCKK124</t>
  </si>
  <si>
    <t>BHCKK125</t>
  </si>
  <si>
    <t>BHCKK126</t>
  </si>
  <si>
    <t>BHCKK127</t>
  </si>
  <si>
    <t>BHCKK128</t>
  </si>
  <si>
    <t>BHCKK134</t>
  </si>
  <si>
    <t>BHCKK135</t>
  </si>
  <si>
    <t>BHCKK136</t>
  </si>
  <si>
    <t>BHCKK138</t>
  </si>
  <si>
    <t>BHCKK139</t>
  </si>
  <si>
    <t>BHCKK140</t>
  </si>
  <si>
    <t>BHCKK274</t>
  </si>
  <si>
    <t>BHCKK275</t>
  </si>
  <si>
    <t>BHCKK276</t>
  </si>
  <si>
    <t>BHCKK277</t>
  </si>
  <si>
    <t>BHCKK278</t>
  </si>
  <si>
    <t>BHCKK279</t>
  </si>
  <si>
    <t>BHCKK280</t>
  </si>
  <si>
    <t>BHCKK281</t>
  </si>
  <si>
    <t>BHCKK282</t>
  </si>
  <si>
    <t>BHCKK283</t>
  </si>
  <si>
    <t>BHCKK284</t>
  </si>
  <si>
    <t>BHCKK285</t>
  </si>
  <si>
    <t>BHCKK286</t>
  </si>
  <si>
    <t>BHCKK287</t>
  </si>
  <si>
    <t>BHCKK288</t>
  </si>
  <si>
    <t>BHCK6558</t>
  </si>
  <si>
    <t>BHCK6559</t>
  </si>
  <si>
    <t>BHCK6560</t>
  </si>
  <si>
    <t>BHCK1248</t>
  </si>
  <si>
    <t>BHCK1249</t>
  </si>
  <si>
    <t>BHCK1250</t>
  </si>
  <si>
    <t>BHCKC240</t>
  </si>
  <si>
    <t>BHCKC241</t>
  </si>
  <si>
    <t>BHCKC226</t>
  </si>
  <si>
    <t>BHCKF664</t>
  </si>
  <si>
    <t>BHCKF665</t>
  </si>
  <si>
    <t>BHCKF666</t>
  </si>
  <si>
    <t>BHCKF667</t>
  </si>
  <si>
    <t>BHCKF668</t>
  </si>
  <si>
    <t>BHCKF669</t>
  </si>
  <si>
    <t>BHCK3529</t>
  </si>
  <si>
    <t>BHCK3530</t>
  </si>
  <si>
    <t>BHCKC410</t>
  </si>
  <si>
    <t>BHCKC411</t>
  </si>
  <si>
    <t>BHCKL183</t>
  </si>
  <si>
    <t>BHCKL184</t>
  </si>
  <si>
    <t>BHCKL185</t>
  </si>
  <si>
    <t>BHCKL186</t>
  </si>
  <si>
    <t>BHCKL187</t>
  </si>
  <si>
    <t>BHCKL188</t>
  </si>
  <si>
    <t>BHCKF066</t>
  </si>
  <si>
    <t>BHCKF067</t>
  </si>
  <si>
    <t>BHCKF068</t>
  </si>
  <si>
    <t>BHCKF069</t>
  </si>
  <si>
    <t>BHCKF070</t>
  </si>
  <si>
    <t>BHCKF071</t>
  </si>
  <si>
    <t>BHCKF072</t>
  </si>
  <si>
    <t>BHCKF073</t>
  </si>
  <si>
    <t>BHCKM288</t>
  </si>
  <si>
    <t>BHDMF560</t>
  </si>
  <si>
    <t>BHCAP742</t>
  </si>
  <si>
    <t>BHCAB530</t>
  </si>
  <si>
    <t>BHCAP839</t>
  </si>
  <si>
    <t>BHCAP840</t>
  </si>
  <si>
    <t>BHCAP841</t>
  </si>
  <si>
    <t>BHCAP842</t>
  </si>
  <si>
    <t>BHCAP843</t>
  </si>
  <si>
    <t>BHCAP844</t>
  </si>
  <si>
    <t>BHCAP845</t>
  </si>
  <si>
    <t>BHCAP846</t>
  </si>
  <si>
    <t>BHCAP847</t>
  </si>
  <si>
    <t>BHCAP848</t>
  </si>
  <si>
    <t>BHCAP849</t>
  </si>
  <si>
    <t>BHCAQ258</t>
  </si>
  <si>
    <t>BHCAP850</t>
  </si>
  <si>
    <t>BHCAP851</t>
  </si>
  <si>
    <t>BHCAP852</t>
  </si>
  <si>
    <t>BHCAP853</t>
  </si>
  <si>
    <t>BHCAP854</t>
  </si>
  <si>
    <t>BHCAP855</t>
  </si>
  <si>
    <t>BHCAP856</t>
  </si>
  <si>
    <t>BHCAP857</t>
  </si>
  <si>
    <t>BHCAP858</t>
  </si>
  <si>
    <t>BHCAP859</t>
  </si>
  <si>
    <t>BHCAP860</t>
  </si>
  <si>
    <t>BHCAP861</t>
  </si>
  <si>
    <t>BHCAP862</t>
  </si>
  <si>
    <t>BHCAP863</t>
  </si>
  <si>
    <t>BHCAP864</t>
  </si>
  <si>
    <t>BHCAP865</t>
  </si>
  <si>
    <t>BHCA8274</t>
  </si>
  <si>
    <t>BHCAP866</t>
  </si>
  <si>
    <t>BHCAP867</t>
  </si>
  <si>
    <t>BHCAP868</t>
  </si>
  <si>
    <t>BHCA5310</t>
  </si>
  <si>
    <t>BHCAQ257</t>
  </si>
  <si>
    <t>BHCAP870</t>
  </si>
  <si>
    <t>BHCAP872</t>
  </si>
  <si>
    <t>BHCA5311</t>
  </si>
  <si>
    <t>BHCA3792</t>
  </si>
  <si>
    <t>BHCAP875</t>
  </si>
  <si>
    <t>BHCAB596</t>
  </si>
  <si>
    <t>BHCAA224</t>
  </si>
  <si>
    <t>BHCAA223</t>
  </si>
  <si>
    <t>BHCAP793</t>
  </si>
  <si>
    <t>BHCA7206</t>
  </si>
  <si>
    <t>BHCA7205</t>
  </si>
  <si>
    <t>BHCA7204</t>
  </si>
  <si>
    <t>BHCT3368</t>
  </si>
  <si>
    <t>BHCT3247</t>
  </si>
  <si>
    <t>BHCAP838</t>
  </si>
  <si>
    <t>BHCW5310</t>
  </si>
  <si>
    <t>BHCWP870</t>
  </si>
  <si>
    <t>BHCW5311</t>
  </si>
  <si>
    <t>BHCW3792</t>
  </si>
  <si>
    <t>BHCWA223</t>
  </si>
  <si>
    <t>BHCWP793</t>
  </si>
  <si>
    <t>BHCW7206</t>
  </si>
  <si>
    <t>BHCW7205</t>
  </si>
  <si>
    <t>BHCKJ981</t>
  </si>
  <si>
    <t>BHCKJ982</t>
  </si>
  <si>
    <t>BHCKJ983</t>
  </si>
  <si>
    <t>BHCKJ984</t>
  </si>
  <si>
    <t>BHCKJ985</t>
  </si>
  <si>
    <t>BHCKJ986</t>
  </si>
  <si>
    <t>BHCKJ987</t>
  </si>
  <si>
    <t>BHCKJ988</t>
  </si>
  <si>
    <t>BHCKJ989</t>
  </si>
  <si>
    <t>BHCKJ990</t>
  </si>
  <si>
    <t>BHCKJ991</t>
  </si>
  <si>
    <t>BHCKJ992</t>
  </si>
  <si>
    <t>BHCKJ993</t>
  </si>
  <si>
    <t>BHCKJ994</t>
  </si>
  <si>
    <t>BHCKJ995</t>
  </si>
  <si>
    <t>BHCKJ996</t>
  </si>
  <si>
    <t>BHCKJ997</t>
  </si>
  <si>
    <t>BHCKJ998</t>
  </si>
  <si>
    <t>BHCKJ999</t>
  </si>
  <si>
    <t>BHCKK001</t>
  </si>
  <si>
    <t>BHCKK002</t>
  </si>
  <si>
    <t>BHCKK003</t>
  </si>
  <si>
    <t>BHCKK004</t>
  </si>
  <si>
    <t>BHCKK005</t>
  </si>
  <si>
    <t>BHCKK006</t>
  </si>
  <si>
    <t>BHCKK007</t>
  </si>
  <si>
    <t>BHCKK008</t>
  </si>
  <si>
    <t>BHCKK009</t>
  </si>
  <si>
    <t>BHCKK010</t>
  </si>
  <si>
    <t>BHCKK011</t>
  </si>
  <si>
    <t>BHCKK012</t>
  </si>
  <si>
    <t>BHCKK013</t>
  </si>
  <si>
    <t>BHCKK014</t>
  </si>
  <si>
    <t>BHCKK015</t>
  </si>
  <si>
    <t>BHCKK016</t>
  </si>
  <si>
    <t>BHCKK017</t>
  </si>
  <si>
    <t>BHCKK018</t>
  </si>
  <si>
    <t>BHCKK019</t>
  </si>
  <si>
    <t>BHCKK020</t>
  </si>
  <si>
    <t>BHCKK021</t>
  </si>
  <si>
    <t>BHCKK022</t>
  </si>
  <si>
    <t>BHCKK023</t>
  </si>
  <si>
    <t>BHCKK024</t>
  </si>
  <si>
    <t>BHCKK025</t>
  </si>
  <si>
    <t>BHCKK026</t>
  </si>
  <si>
    <t>BHCKK027</t>
  </si>
  <si>
    <t>BHCKK028</t>
  </si>
  <si>
    <t>BHCKK029</t>
  </si>
  <si>
    <t>BHCKK030</t>
  </si>
  <si>
    <t>BHCKK031</t>
  </si>
  <si>
    <t>BHCKK032</t>
  </si>
  <si>
    <t>BHCKK033</t>
  </si>
  <si>
    <t>BHCKK034</t>
  </si>
  <si>
    <t>BHCKK035</t>
  </si>
  <si>
    <t>Schedule HI - Income Statement</t>
  </si>
  <si>
    <t>Schedule HI-A - Changes in Bank Equity Capital</t>
  </si>
  <si>
    <t>Schedule HI-B Part I - Charge-offs and Recoveries on Loans and Leases</t>
  </si>
  <si>
    <t>Schedule HI-B Part II - Changes in Allowance for Loan and Lease Losses</t>
  </si>
  <si>
    <t>Schedule HI-C - Disaggregated Data on the Allowance for Loan and Lease Losses</t>
  </si>
  <si>
    <t>Schedule HI-E - Explanations</t>
  </si>
  <si>
    <t>Schedule HC - Balance Sheet</t>
  </si>
  <si>
    <t>Schedule HC-A - Cash and Balances Due From Depository Institutions</t>
  </si>
  <si>
    <t>Schedule HC-B - Securities</t>
  </si>
  <si>
    <t>Schedule HC-C Part I - Loans and Leases</t>
  </si>
  <si>
    <t>Schedule HC-C Part II - Loans to Small Businesses and Small Farms</t>
  </si>
  <si>
    <t>Schedule HC-D - Trading Assets and Liabilities</t>
  </si>
  <si>
    <t>Schedule HC-E Part I - Deposits in Domestic Offices</t>
  </si>
  <si>
    <t>Schedule HC-E Part II - Deposits in Foreign Offices including Edge and Agreement subsidiaries and IBFs</t>
  </si>
  <si>
    <t>Schedule HC-F - Other Assets</t>
  </si>
  <si>
    <t>Schedule HC-G - Other Liabilities</t>
  </si>
  <si>
    <t>Schedule HC-K - Quarterly Averages</t>
  </si>
  <si>
    <t>Schedule HC-L - Derivatives and Off-Balance Sheet Items</t>
  </si>
  <si>
    <t>Schedule HC-M - Memoranda</t>
  </si>
  <si>
    <t>Schedule HC-N - Past Due and Nonaccrual Loans Leases and Other Assets</t>
  </si>
  <si>
    <t>Schedule HC-O - Other Data for Deposit Insurance and FICO Assessments</t>
  </si>
  <si>
    <t>Schedule HC-P - 1-4 Family Residential Mortgage Banking  Activities</t>
  </si>
  <si>
    <t>Schedule HC-R Part I - Regulatory Capital Components and Ratios</t>
  </si>
  <si>
    <t>Schedule HC-V - Variable Interest Entities</t>
  </si>
  <si>
    <t>2. Income from the sale and servicing of mutual funds and annuities (included in Schedule HI, item 8)</t>
  </si>
  <si>
    <t>3. Income on tax-exempt loans and leases to states and political subdivisions in the U.S. (included in Schedule HI, items 1.a and 1.b)</t>
  </si>
  <si>
    <t>4. Income on tax-exempt securities issued by states and political subdivisions in the U.S. (included in Schedule HI, item 1.d.(3))</t>
  </si>
  <si>
    <t>6. Interest and fee income on loans to finance agricultural production and other loans to farmers (included in Schedule HI, item 1.a.(5))</t>
  </si>
  <si>
    <t>8. Trading revenue (from cash instruments and derivative instruments) (sum of Memorandum items 8.a through 8.e must equal Schedule HI, item 5.c):</t>
  </si>
  <si>
    <t>12. Noncash income from negative amortization on closed-end loans secured by 1-4 family residential properties (included in Schedule HI, item 1.a.(1)(a))</t>
  </si>
  <si>
    <t>c. Net impairment losses recognized in earnings (included in Schedule HI, items 6.a and 6.b) (Memorandum item 14.a minus Memorandum item 14.b)</t>
  </si>
  <si>
    <t>15. Components of service charges on deposit accounts in domestic offices (sum of Memorandum items 15.a through 15.d must equal Schedule HI, item 5.b):</t>
  </si>
  <si>
    <t>4. Net income (loss) attributable to bank (must equal Schedule HI, item 14)</t>
  </si>
  <si>
    <t xml:space="preserve">12. Total bank equity capital end of current period (sum of items 3 through 11) (must equal Schedule HC, item 27.a).. </t>
  </si>
  <si>
    <t>1. Loans to finance commercial real estate, construction, and land development activities (not secured by real estate) included in Schedule HI-B, part I, items 4 and 7, above</t>
  </si>
  <si>
    <t>a. Loans secured by real estate to non-U.S. addressees (domicile) (included in Schedule HI-B, part I, item 1, above)</t>
  </si>
  <si>
    <t>b. Loans to and acceptances of foreign banks (included in Schedule HI-B, part I, item 2, above)</t>
  </si>
  <si>
    <t>c. Commercial and industrial loans to non-U.S. addressees (domicile) (included in Schedule HI-B, part I, item 4, above)</t>
  </si>
  <si>
    <t>d. Leases to individuals for household, family, and other personal expenditures (included in Schedule HI-B, part I, item 8, above)</t>
  </si>
  <si>
    <t>3. Loans to finance agricultural production and other loans to farmers (included in Schedule HI-B, part I, item 7, above)</t>
  </si>
  <si>
    <t>3. LESS: Charge-offs (must equal part I, item 9, column A, above less Schedule HI-B, part II, item 4)</t>
  </si>
  <si>
    <t>5. Provision for loan and lease losses (must equal Schedule HI, item 4)</t>
  </si>
  <si>
    <t>7. Balance end of current period (sum of items 1, 2, 5, and 6, less items 3 and 4) (must equal Schedule HC, item 4.c)</t>
  </si>
  <si>
    <t>1. Allocated transfer risk reserve included in Schedule HI-B, part II, item 7, above</t>
  </si>
  <si>
    <t>4. Amount of allowance for post-acquisition credit losses on purchased credit-impaired loans accounted for in accordance with FASB ASC 310-30 (former AICPA Statement of Position 03-3) (included in Schedule HI-B, Part II, item 7, above).</t>
  </si>
  <si>
    <t>1. Other noninterest income (from Schedule HI, item 5.l) Itemize and describe amounts greater than $25,000 that exceed 3% of Schedule HI, item 5.l:</t>
  </si>
  <si>
    <t>1. Cash and balances due from depository institutions (from Schedule HC-A):</t>
  </si>
  <si>
    <t>a. Held-to-maturity securities (from Schedule HC-B, column A)</t>
  </si>
  <si>
    <t>b. Available-for-sale securities (from Schedule HC-B, column D)</t>
  </si>
  <si>
    <t>4. Loans and lease financing receivables (from Schedule HC-C):</t>
  </si>
  <si>
    <t>5. Trading assets (from Schedule HC-D)</t>
  </si>
  <si>
    <t>7. Other real estate owned (from Schedule HC-M)</t>
  </si>
  <si>
    <t>b. Other intangible assets (from Schedule HC-M)</t>
  </si>
  <si>
    <t>11. Other assets (from Schedule HC-F)</t>
  </si>
  <si>
    <t>a. In domestic offices (sum of totals of columns A and C from Schedule HC-E, part I)</t>
  </si>
  <si>
    <t>b. In foreign offices, Edge and Agreement subsidiaries, and IBFs (from Schedule HC-E, part II)</t>
  </si>
  <si>
    <t>15. Trading liabilities (from Schedule HC-D)</t>
  </si>
  <si>
    <t>16. Other borrowed money (includes mortgage indebtedness and obligations under capitalized leases) (from Schedule HC-M)</t>
  </si>
  <si>
    <t>20. Other liabilities (from Schedule HC-G)</t>
  </si>
  <si>
    <t>8. Total (sum of items 1 through 7) (total of column A must equal Schedule HC, item 2.a) (total of column D must equal Schedule HC, item 2.b)</t>
  </si>
  <si>
    <t>4. Structured notes (included in the held-to-maturity and available-for-sale accounts in Schedule HC-B, items 2, 3, 5, and 6):</t>
  </si>
  <si>
    <t>5. Asset-backed securities (ABS) (for each column, sum of Memorandum items 5.a through 5.f must equal Schedule HC-B, item 5.a):</t>
  </si>
  <si>
    <t>6. Structured financial products by underlying collateral or reference assets (for each column, sum of Memorandum items 6.a through 6.g must equal Schedule HC-B, sum of items 5.b(1) through(3)):</t>
  </si>
  <si>
    <t>12. Total loans and leases, net of unearned income (item 12, column A must equal Schedule HC, sum of items 4.a and 4.b)</t>
  </si>
  <si>
    <t>1. Loans restructured in troubled debt restructurings that are in compliance with their modified terms (included in Schedule HC-C, part 1, and not reported as past due or nonaccrual in Schedule HC-N, Memorandum item 1):</t>
  </si>
  <si>
    <t>a. Closed-end loans secured by first liens on 1-4 family residential properties in domestic offices (reported in Schedule HC-C, part I, item 1.c.(2)(a), column B) with a remaining maturity or next repricing date of:</t>
  </si>
  <si>
    <t>b. All loans and leases (reported in Schedule HC-C, part I, items 1 through 10, column A) EXCLUDING closed-end loans secured by first liens on 1-4 family residential properties in domestic offices (reported in Schedule HC-C, part I, item 1.c.(2)(a), column B) with a remaining maturity or next repricing date of:</t>
  </si>
  <si>
    <t>c. Loans and leases (reported in Schedule HC-C, part I, items 1 through 10, column A) with a REMAINING MATURITY of one year or less (excluding those in nonaccrual status)</t>
  </si>
  <si>
    <t>3. Loans to finance commercial real estate, construction, and land development activities (not secured by real estate) included in Schedule HC-C, part I, items 4 and 9, column A</t>
  </si>
  <si>
    <t>4. Adjustable rate closed-end loans secured by first liens on 1-4 family residential properties in domestic offices (included in Schedule HC-C, part I, item 1.c.(2)(a), column B)</t>
  </si>
  <si>
    <t>5. Loans secured by real estate to non-U.S. addressees (domicile) (included in Schedule HC-C, Part I, item 1, column A, or Schedule HC-C, Part I, items 1.a.(1) through 1.e.(2), column A, as appropriate)</t>
  </si>
  <si>
    <t>6. Outstanding credit card fees and finance charges included in Schedule HC-C, part I, item 6.a, column A</t>
  </si>
  <si>
    <t xml:space="preserve">7. Total (sum of items 1 through 6) (must equal Schedule HC, item 11) </t>
  </si>
  <si>
    <t>9. All other off-balance sheet liabilities (exclude derivatives) (itemize and describe each component of this item over 25% of Schedule HC, item 27.a, "Total bank equity capital")</t>
  </si>
  <si>
    <t>1. Loans restructured in troubled debt restructurings included in Schedule HC-N, items 1 through 7, above (and not reported in Schedule HC-C, Part 1, Memorandum item 1):</t>
  </si>
  <si>
    <t>2. Loans to finance commercial real estate, construction, and land development activities (not secured by real estate) included in Schedule HC-N, items 4 and 7, above</t>
  </si>
  <si>
    <t>7, above 3. Loans secured by real estate to non-U.S. addressees (domicile) (included in Schedule HC-N, item 1, above)</t>
  </si>
  <si>
    <t xml:space="preserve">5. Loans and leases held for sale and loans measured at fair value (included in Schedule HC-N, items 1 through 8, above): </t>
  </si>
  <si>
    <t xml:space="preserve">b. Amount included in Schedule HC-N, items 1 through 7, above  </t>
  </si>
  <si>
    <t>Schedule HC-P - 1-4 Family Residential Mortgage Banking Activities</t>
  </si>
  <si>
    <t>4. 1-4 family residential mortgages held for sale at quarter-end (included in Schedule HC, item 4.a):</t>
  </si>
  <si>
    <t>5. Noninterest income for the quarter from the sale, securitization, and servicing of 1-4 family residential mortgage loans (included in Schedule HI, items 5.c, 5.f, 5.g, and 5.i):</t>
  </si>
  <si>
    <t>Schedule HC-R Part I - Regulatory Capital Components and Ratios Dollar amounts in thousands</t>
  </si>
  <si>
    <t>a. Total risk-weighted assets (from Schedule HC-R, Part II, item 31)</t>
  </si>
  <si>
    <t>Consolidated Financial Statements for Holding Companies—FR Y-9C</t>
  </si>
  <si>
    <t>BHC RSSD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</si>
</sst>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0.0000%"/>
  </numFmts>
  <fonts count="27" x14ac:knownFonts="1">
    <font>
      <sz val="10"/>
      <color rgb="FF000000"/>
      <name val="Times New Roman"/>
      <charset val="204"/>
    </font>
    <font>
      <u/>
      <sz val="10"/>
      <color theme="10"/>
      <name val="Times New Roman"/>
      <family val="1"/>
    </font>
    <font>
      <sz val="10"/>
      <color rgb="FF000000"/>
      <name val="Times New Roman"/>
      <family val="1"/>
    </font>
    <font>
      <sz val="12"/>
      <name val="Arial Bold"/>
      <family val="2"/>
    </font>
    <font>
      <sz val="10"/>
      <color rgb="FF000000"/>
      <name val="Calibri"/>
      <family val="2"/>
      <scheme val="minor"/>
    </font>
    <font>
      <sz val="11"/>
      <name val="Calibri"/>
      <family val="2"/>
      <scheme val="minor"/>
    </font>
    <font>
      <b/>
      <sz val="11"/>
      <color rgb="FF000000"/>
      <name val="Calibri"/>
      <family val="2"/>
      <scheme val="minor"/>
    </font>
    <font>
      <sz val="14"/>
      <name val="Calibri"/>
      <family val="2"/>
    </font>
    <font>
      <sz val="14"/>
      <color rgb="FF000000"/>
      <name val="Calibri"/>
      <family val="2"/>
    </font>
    <font>
      <b/>
      <sz val="14"/>
      <color rgb="FF000000"/>
      <name val="Calibri"/>
      <family val="2"/>
    </font>
    <font>
      <b/>
      <sz val="14"/>
      <name val="Calibri"/>
      <family val="2"/>
    </font>
    <font>
      <b/>
      <sz val="14"/>
      <name val="Calibri"/>
      <family val="2"/>
      <scheme val="minor"/>
    </font>
    <font>
      <sz val="14"/>
      <color rgb="FF000000"/>
      <name val="Calibri"/>
      <family val="2"/>
      <scheme val="minor"/>
    </font>
    <font>
      <sz val="14"/>
      <name val="Calibri"/>
      <family val="2"/>
      <scheme val="minor"/>
    </font>
    <font>
      <b/>
      <sz val="14"/>
      <color rgb="FF000000"/>
      <name val="Calibri"/>
      <family val="2"/>
      <scheme val="minor"/>
    </font>
    <font>
      <u/>
      <sz val="14"/>
      <color theme="10"/>
      <name val="Calibri"/>
      <family val="2"/>
      <scheme val="minor"/>
    </font>
    <font>
      <sz val="11"/>
      <name val="Calibri"/>
      <family val="2"/>
    </font>
    <font>
      <sz val="9"/>
      <name val="Calibri"/>
      <family val="2"/>
      <scheme val="minor"/>
    </font>
    <font>
      <sz val="11"/>
      <color rgb="FF000000"/>
      <name val="Calibri"/>
      <family val="2"/>
    </font>
    <font>
      <b/>
      <sz val="11"/>
      <color rgb="FF000000"/>
      <name val="Calibri"/>
      <family val="2"/>
    </font>
    <font>
      <sz val="11"/>
      <color rgb="FF000000"/>
      <name val="Calibri"/>
      <family val="2"/>
      <scheme val="minor"/>
    </font>
    <font>
      <sz val="14"/>
      <color theme="0"/>
      <name val="Calibri"/>
      <family val="2"/>
    </font>
    <font>
      <sz val="14"/>
      <color theme="0"/>
      <name val="Calibri"/>
      <family val="2"/>
      <scheme val="minor"/>
    </font>
    <font>
      <sz val="9"/>
      <color rgb="FF000000"/>
      <name val="Calibri"/>
      <family val="2"/>
      <scheme val="minor"/>
    </font>
    <font>
      <sz val="10"/>
      <color rgb="FF000000"/>
      <name val="Times New Roman"/>
      <family val="1"/>
    </font>
    <font>
      <b/>
      <sz val="12"/>
      <name val="Calibri"/>
      <family val="2"/>
      <scheme val="minor"/>
    </font>
    <font>
      <b/>
      <sz val="10"/>
      <color rgb="FF000000"/>
      <name val="Calibri"/>
      <family val="2"/>
    </font>
  </fonts>
  <fills count="4">
    <fill>
      <patternFill patternType="none"/>
    </fill>
    <fill>
      <patternFill patternType="gray125"/>
    </fill>
    <fill>
      <patternFill patternType="solid">
        <fgColor rgb="FFBFBFBF"/>
      </patternFill>
    </fill>
    <fill>
      <patternFill patternType="solid">
        <fgColor theme="6"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top/>
      <bottom style="thin">
        <color rgb="FF000000"/>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000000"/>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4" fillId="0" borderId="0" applyFont="0" applyFill="0" applyBorder="0" applyAlignment="0" applyProtection="0"/>
  </cellStyleXfs>
  <cellXfs count="129">
    <xf numFmtId="0" fontId="0" fillId="0" borderId="0" xfId="0" applyFill="1" applyBorder="1" applyAlignment="1">
      <alignment horizontal="left" vertical="top"/>
    </xf>
    <xf numFmtId="0" fontId="3" fillId="0" borderId="0" xfId="0" applyNumberFormat="1" applyFont="1"/>
    <xf numFmtId="0" fontId="2" fillId="0" borderId="0" xfId="0" applyFont="1" applyFill="1" applyBorder="1" applyAlignment="1">
      <alignment horizontal="left" vertical="top"/>
    </xf>
    <xf numFmtId="0" fontId="4" fillId="0" borderId="0" xfId="0" applyFont="1" applyFill="1" applyBorder="1" applyAlignment="1">
      <alignment horizontal="left" vertical="top"/>
    </xf>
    <xf numFmtId="0" fontId="8" fillId="0" borderId="0" xfId="0" applyFont="1" applyFill="1" applyBorder="1" applyAlignment="1">
      <alignment horizontal="left" vertical="center"/>
    </xf>
    <xf numFmtId="164" fontId="8" fillId="0" borderId="0" xfId="2" applyNumberFormat="1" applyFont="1" applyFill="1" applyBorder="1" applyAlignment="1">
      <alignment horizontal="left" vertical="center"/>
    </xf>
    <xf numFmtId="0" fontId="8" fillId="0" borderId="0" xfId="0" applyFont="1" applyFill="1" applyBorder="1" applyAlignment="1">
      <alignment horizontal="left" vertical="top"/>
    </xf>
    <xf numFmtId="0" fontId="8" fillId="0" borderId="0" xfId="0" applyFont="1" applyAlignment="1">
      <alignment vertical="center"/>
    </xf>
    <xf numFmtId="164" fontId="8" fillId="0" borderId="0" xfId="2" applyNumberFormat="1" applyFont="1" applyAlignment="1">
      <alignment vertical="center"/>
    </xf>
    <xf numFmtId="0" fontId="8" fillId="0" borderId="0" xfId="0" applyFont="1" applyAlignment="1">
      <alignment vertical="center" wrapText="1"/>
    </xf>
    <xf numFmtId="0" fontId="8" fillId="0" borderId="0" xfId="0" applyFont="1" applyFill="1" applyBorder="1" applyAlignment="1">
      <alignment horizontal="left" vertical="center" wrapText="1"/>
    </xf>
    <xf numFmtId="0" fontId="10" fillId="0" borderId="0" xfId="0" applyNumberFormat="1" applyFont="1" applyAlignment="1">
      <alignment vertical="center" wrapText="1"/>
    </xf>
    <xf numFmtId="0" fontId="11" fillId="0" borderId="0" xfId="0" applyFont="1" applyFill="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vertical="top" wrapText="1"/>
    </xf>
    <xf numFmtId="1" fontId="14" fillId="3" borderId="3" xfId="0" applyNumberFormat="1" applyFont="1" applyFill="1" applyBorder="1" applyAlignment="1">
      <alignment horizontal="center" vertical="center" wrapText="1"/>
    </xf>
    <xf numFmtId="1" fontId="14" fillId="0" borderId="0" xfId="0" applyNumberFormat="1" applyFont="1" applyFill="1" applyBorder="1" applyAlignment="1">
      <alignment horizontal="center" vertical="center" wrapText="1"/>
    </xf>
    <xf numFmtId="1" fontId="12" fillId="0" borderId="0" xfId="0" applyNumberFormat="1" applyFont="1" applyFill="1" applyBorder="1" applyAlignment="1">
      <alignment horizontal="right" vertical="top"/>
    </xf>
    <xf numFmtId="0" fontId="15" fillId="0" borderId="0" xfId="1" applyFont="1" applyFill="1" applyBorder="1" applyAlignment="1">
      <alignment horizontal="left" vertical="top"/>
    </xf>
    <xf numFmtId="0" fontId="16" fillId="0" borderId="0" xfId="0" applyNumberFormat="1" applyFont="1" applyAlignment="1">
      <alignment vertical="center" wrapText="1"/>
    </xf>
    <xf numFmtId="0" fontId="4" fillId="0" borderId="0" xfId="0" applyFont="1"/>
    <xf numFmtId="0" fontId="4" fillId="0" borderId="0" xfId="0" applyFont="1" applyAlignment="1">
      <alignment horizontal="left"/>
    </xf>
    <xf numFmtId="0" fontId="17" fillId="0" borderId="0" xfId="0" applyNumberFormat="1" applyFont="1"/>
    <xf numFmtId="0" fontId="13" fillId="0" borderId="0" xfId="0" applyNumberFormat="1" applyFont="1"/>
    <xf numFmtId="0" fontId="12" fillId="0" borderId="0" xfId="0" applyFont="1"/>
    <xf numFmtId="0" fontId="12" fillId="0" borderId="0" xfId="0" applyFont="1" applyAlignment="1">
      <alignment horizontal="left"/>
    </xf>
    <xf numFmtId="0" fontId="9" fillId="0" borderId="0" xfId="2" applyNumberFormat="1" applyFont="1" applyAlignment="1">
      <alignment horizontal="center" vertical="center"/>
    </xf>
    <xf numFmtId="1" fontId="10" fillId="0" borderId="0" xfId="2" applyNumberFormat="1" applyFont="1" applyAlignment="1">
      <alignment horizontal="center" vertical="center"/>
    </xf>
    <xf numFmtId="0" fontId="8" fillId="0" borderId="0" xfId="0" applyFont="1" applyFill="1" applyAlignment="1">
      <alignment vertical="center"/>
    </xf>
    <xf numFmtId="164" fontId="8" fillId="0" borderId="0" xfId="2" applyNumberFormat="1" applyFont="1" applyFill="1" applyAlignment="1">
      <alignment vertical="center"/>
    </xf>
    <xf numFmtId="0" fontId="9" fillId="0" borderId="0" xfId="2" applyNumberFormat="1" applyFont="1" applyFill="1" applyAlignment="1">
      <alignment horizontal="center" vertical="center"/>
    </xf>
    <xf numFmtId="1" fontId="10" fillId="0" borderId="0" xfId="2" applyNumberFormat="1" applyFont="1" applyFill="1" applyAlignment="1">
      <alignment horizontal="center" vertical="center"/>
    </xf>
    <xf numFmtId="0" fontId="7" fillId="0" borderId="0" xfId="0" applyFont="1" applyFill="1" applyBorder="1" applyAlignment="1">
      <alignment horizontal="center" vertical="center" wrapText="1"/>
    </xf>
    <xf numFmtId="164" fontId="8" fillId="0" borderId="0" xfId="2" applyNumberFormat="1" applyFont="1" applyFill="1" applyBorder="1" applyAlignment="1">
      <alignment horizontal="right" vertical="center" wrapText="1"/>
    </xf>
    <xf numFmtId="0" fontId="18" fillId="2" borderId="1" xfId="0" applyFont="1" applyFill="1" applyBorder="1" applyAlignment="1">
      <alignment horizontal="left" vertical="center" wrapText="1"/>
    </xf>
    <xf numFmtId="164" fontId="18" fillId="2" borderId="1" xfId="2" applyNumberFormat="1" applyFont="1" applyFill="1" applyBorder="1" applyAlignment="1">
      <alignment horizontal="left" vertical="center" wrapText="1"/>
    </xf>
    <xf numFmtId="0" fontId="18" fillId="0" borderId="0" xfId="0" applyFont="1" applyFill="1" applyBorder="1" applyAlignment="1">
      <alignment horizontal="left" vertical="top"/>
    </xf>
    <xf numFmtId="0" fontId="16" fillId="0" borderId="1" xfId="0" applyFont="1" applyFill="1" applyBorder="1" applyAlignment="1">
      <alignment horizontal="center" vertical="center" wrapText="1"/>
    </xf>
    <xf numFmtId="164" fontId="19" fillId="0" borderId="1" xfId="2" applyNumberFormat="1" applyFont="1" applyFill="1" applyBorder="1" applyAlignment="1">
      <alignment horizontal="right" vertical="center" wrapText="1"/>
    </xf>
    <xf numFmtId="0" fontId="5" fillId="0" borderId="0" xfId="0" applyNumberFormat="1" applyFont="1" applyAlignment="1">
      <alignment vertical="center" wrapText="1"/>
    </xf>
    <xf numFmtId="0" fontId="20" fillId="0" borderId="0" xfId="0" applyFont="1" applyFill="1" applyBorder="1" applyAlignment="1">
      <alignment horizontal="left" vertical="top"/>
    </xf>
    <xf numFmtId="0" fontId="16" fillId="0" borderId="0" xfId="0" applyNumberFormat="1" applyFont="1" applyAlignment="1">
      <alignment horizontal="left" vertical="center" wrapText="1" indent="1"/>
    </xf>
    <xf numFmtId="0" fontId="16" fillId="0" borderId="0" xfId="0" applyNumberFormat="1" applyFont="1" applyAlignment="1">
      <alignment horizontal="left" vertical="center" wrapText="1" indent="2"/>
    </xf>
    <xf numFmtId="0" fontId="16" fillId="0" borderId="0" xfId="0" applyNumberFormat="1" applyFont="1" applyAlignment="1">
      <alignment horizontal="left" vertical="center" wrapText="1" indent="3"/>
    </xf>
    <xf numFmtId="0" fontId="8" fillId="0" borderId="0" xfId="0" applyFont="1" applyFill="1" applyBorder="1" applyAlignment="1">
      <alignment horizontal="left" vertical="center" indent="1"/>
    </xf>
    <xf numFmtId="0" fontId="8" fillId="0" borderId="0" xfId="0" applyFont="1" applyAlignment="1">
      <alignment horizontal="left" vertical="center" indent="1"/>
    </xf>
    <xf numFmtId="0" fontId="16" fillId="0" borderId="0" xfId="0" applyNumberFormat="1" applyFont="1" applyAlignment="1">
      <alignment horizontal="left" vertical="center" indent="1"/>
    </xf>
    <xf numFmtId="0" fontId="12" fillId="0" borderId="0" xfId="0" applyFont="1" applyFill="1" applyBorder="1" applyAlignment="1">
      <alignment horizontal="left" vertical="top" indent="1"/>
    </xf>
    <xf numFmtId="0" fontId="12" fillId="0" borderId="0" xfId="0" applyFont="1" applyAlignment="1">
      <alignment horizontal="left" indent="1"/>
    </xf>
    <xf numFmtId="0" fontId="5" fillId="0" borderId="0" xfId="0" applyNumberFormat="1" applyFont="1" applyAlignment="1">
      <alignment horizontal="left" vertical="center" indent="1"/>
    </xf>
    <xf numFmtId="1" fontId="21" fillId="0" borderId="0" xfId="2" applyNumberFormat="1" applyFont="1" applyAlignment="1">
      <alignment vertical="center"/>
    </xf>
    <xf numFmtId="164" fontId="19" fillId="0" borderId="0" xfId="2" applyNumberFormat="1" applyFont="1" applyFill="1" applyBorder="1" applyAlignment="1">
      <alignment horizontal="right" vertical="center" wrapText="1"/>
    </xf>
    <xf numFmtId="1" fontId="21" fillId="0" borderId="0" xfId="2" applyNumberFormat="1" applyFont="1" applyFill="1" applyAlignment="1">
      <alignment vertical="center"/>
    </xf>
    <xf numFmtId="0" fontId="10" fillId="0" borderId="0" xfId="0" applyNumberFormat="1" applyFont="1" applyAlignment="1">
      <alignment horizontal="left" vertical="center" wrapText="1"/>
    </xf>
    <xf numFmtId="0" fontId="10" fillId="0" borderId="0" xfId="0" applyNumberFormat="1" applyFont="1" applyAlignment="1">
      <alignment horizontal="left" vertical="center"/>
    </xf>
    <xf numFmtId="0" fontId="10" fillId="0" borderId="0" xfId="0" applyNumberFormat="1" applyFont="1" applyAlignment="1">
      <alignment vertical="top"/>
    </xf>
    <xf numFmtId="0" fontId="4" fillId="0" borderId="0" xfId="0" applyFont="1" applyFill="1" applyBorder="1" applyAlignment="1">
      <alignment horizontal="left"/>
    </xf>
    <xf numFmtId="0" fontId="20" fillId="0" borderId="0" xfId="0" applyFont="1" applyAlignment="1">
      <alignment horizontal="left"/>
    </xf>
    <xf numFmtId="0" fontId="5" fillId="0" borderId="0" xfId="0" applyNumberFormat="1" applyFont="1"/>
    <xf numFmtId="0" fontId="20" fillId="0" borderId="0" xfId="0" applyFont="1"/>
    <xf numFmtId="0" fontId="5" fillId="0" borderId="0" xfId="0" applyNumberFormat="1" applyFont="1" applyAlignment="1">
      <alignment wrapText="1"/>
    </xf>
    <xf numFmtId="0" fontId="5" fillId="0" borderId="0" xfId="0" applyNumberFormat="1" applyFont="1" applyAlignment="1">
      <alignment horizontal="left" wrapText="1"/>
    </xf>
    <xf numFmtId="0" fontId="4" fillId="0" borderId="0" xfId="0" applyFont="1" applyFill="1" applyBorder="1" applyAlignment="1">
      <alignment horizontal="left" vertical="top" wrapText="1"/>
    </xf>
    <xf numFmtId="0" fontId="5" fillId="0" borderId="0" xfId="0" applyNumberFormat="1" applyFont="1" applyAlignment="1"/>
    <xf numFmtId="0" fontId="11" fillId="0" borderId="0" xfId="0" applyNumberFormat="1" applyFont="1" applyAlignment="1">
      <alignment vertical="top"/>
    </xf>
    <xf numFmtId="0" fontId="11" fillId="0" borderId="0" xfId="0" applyNumberFormat="1" applyFont="1" applyAlignment="1">
      <alignment horizontal="left" vertical="center"/>
    </xf>
    <xf numFmtId="0" fontId="14" fillId="0" borderId="0" xfId="2" applyNumberFormat="1" applyFont="1" applyAlignment="1">
      <alignment horizontal="center" vertical="center"/>
    </xf>
    <xf numFmtId="1" fontId="11" fillId="0" borderId="0" xfId="2" applyNumberFormat="1" applyFont="1" applyAlignment="1">
      <alignment horizontal="center" vertical="center"/>
    </xf>
    <xf numFmtId="0" fontId="5" fillId="0" borderId="1" xfId="0" applyFont="1" applyFill="1" applyBorder="1" applyAlignment="1">
      <alignment horizontal="center" vertical="center" wrapText="1"/>
    </xf>
    <xf numFmtId="164" fontId="6" fillId="0" borderId="1" xfId="2" applyNumberFormat="1" applyFont="1" applyFill="1" applyBorder="1" applyAlignment="1">
      <alignment horizontal="right" vertical="center" wrapText="1"/>
    </xf>
    <xf numFmtId="0" fontId="13" fillId="0" borderId="0" xfId="0" applyNumberFormat="1" applyFont="1" applyAlignment="1"/>
    <xf numFmtId="0" fontId="22" fillId="0" borderId="0" xfId="0" applyFont="1" applyFill="1" applyBorder="1" applyAlignment="1">
      <alignment horizontal="left" vertical="top"/>
    </xf>
    <xf numFmtId="164" fontId="18" fillId="0" borderId="2" xfId="2" applyNumberFormat="1" applyFont="1" applyFill="1" applyBorder="1" applyAlignment="1">
      <alignment horizontal="left" vertical="center" wrapText="1"/>
    </xf>
    <xf numFmtId="164" fontId="18" fillId="0" borderId="0" xfId="2" applyNumberFormat="1" applyFont="1" applyFill="1" applyBorder="1" applyAlignment="1">
      <alignment horizontal="left" vertical="center" wrapText="1"/>
    </xf>
    <xf numFmtId="0" fontId="13" fillId="0" borderId="0" xfId="0" applyFont="1" applyFill="1" applyBorder="1" applyAlignment="1">
      <alignment horizontal="right" vertical="top" wrapText="1" indent="1"/>
    </xf>
    <xf numFmtId="0" fontId="20" fillId="2" borderId="1" xfId="0" applyFont="1" applyFill="1" applyBorder="1" applyAlignment="1">
      <alignment horizontal="left" vertical="center" wrapText="1"/>
    </xf>
    <xf numFmtId="0" fontId="17" fillId="0" borderId="0" xfId="0" applyNumberFormat="1" applyFont="1" applyAlignment="1">
      <alignment horizontal="center" vertical="center"/>
    </xf>
    <xf numFmtId="0" fontId="23" fillId="0" borderId="0" xfId="0" applyFont="1" applyAlignment="1">
      <alignment horizontal="center" vertical="center"/>
    </xf>
    <xf numFmtId="0" fontId="17" fillId="0" borderId="4" xfId="0" applyNumberFormat="1" applyFont="1" applyBorder="1" applyAlignment="1">
      <alignment horizontal="center" vertical="center"/>
    </xf>
    <xf numFmtId="0" fontId="23" fillId="0" borderId="4" xfId="0" applyFont="1" applyBorder="1" applyAlignment="1">
      <alignment horizontal="center" vertical="center"/>
    </xf>
    <xf numFmtId="164" fontId="18" fillId="0" borderId="1" xfId="2" applyNumberFormat="1" applyFont="1" applyFill="1" applyBorder="1" applyAlignment="1">
      <alignment horizontal="center" vertical="center" wrapText="1"/>
    </xf>
    <xf numFmtId="164" fontId="18" fillId="2" borderId="1" xfId="2" applyNumberFormat="1" applyFont="1" applyFill="1" applyBorder="1" applyAlignment="1">
      <alignment horizontal="center" vertical="center" wrapText="1"/>
    </xf>
    <xf numFmtId="0" fontId="14" fillId="0" borderId="0" xfId="2" applyNumberFormat="1" applyFont="1" applyFill="1" applyAlignment="1">
      <alignment vertical="center"/>
    </xf>
    <xf numFmtId="1" fontId="11" fillId="0" borderId="4" xfId="2" applyNumberFormat="1" applyFont="1" applyFill="1" applyBorder="1" applyAlignment="1">
      <alignment vertical="center"/>
    </xf>
    <xf numFmtId="0" fontId="11" fillId="0" borderId="0" xfId="0" applyFont="1" applyFill="1" applyBorder="1" applyAlignment="1">
      <alignment horizontal="left" vertical="center"/>
    </xf>
    <xf numFmtId="1" fontId="14" fillId="3" borderId="5" xfId="0" applyNumberFormat="1" applyFont="1" applyFill="1" applyBorder="1" applyAlignment="1">
      <alignment horizontal="center" vertical="center" wrapText="1"/>
    </xf>
    <xf numFmtId="0" fontId="9" fillId="0" borderId="0" xfId="2" applyNumberFormat="1" applyFont="1" applyFill="1" applyAlignment="1">
      <alignment horizontal="center" vertical="center"/>
    </xf>
    <xf numFmtId="0" fontId="0" fillId="0" borderId="0" xfId="0"/>
    <xf numFmtId="0" fontId="16" fillId="0" borderId="0" xfId="0" applyFont="1" applyFill="1" applyBorder="1" applyAlignment="1">
      <alignment horizontal="center" vertical="center" wrapText="1"/>
    </xf>
    <xf numFmtId="164" fontId="18" fillId="2" borderId="6" xfId="2" applyNumberFormat="1" applyFont="1" applyFill="1" applyBorder="1" applyAlignment="1">
      <alignment horizontal="left" vertical="center" wrapText="1"/>
    </xf>
    <xf numFmtId="164" fontId="18" fillId="2" borderId="0" xfId="2" applyNumberFormat="1" applyFont="1" applyFill="1" applyBorder="1" applyAlignment="1">
      <alignment horizontal="left" vertical="center" wrapText="1"/>
    </xf>
    <xf numFmtId="164" fontId="18" fillId="0" borderId="7" xfId="2" applyNumberFormat="1" applyFont="1" applyFill="1" applyBorder="1" applyAlignment="1">
      <alignment horizontal="left" vertical="center" wrapText="1"/>
    </xf>
    <xf numFmtId="0" fontId="16" fillId="0" borderId="10" xfId="0" applyFont="1" applyFill="1" applyBorder="1" applyAlignment="1">
      <alignment horizontal="center" vertical="center" wrapText="1"/>
    </xf>
    <xf numFmtId="164" fontId="19" fillId="0" borderId="11" xfId="2" applyNumberFormat="1" applyFont="1" applyFill="1" applyBorder="1" applyAlignment="1">
      <alignment horizontal="right" vertical="center" wrapText="1"/>
    </xf>
    <xf numFmtId="165" fontId="19" fillId="0" borderId="1" xfId="3" applyNumberFormat="1" applyFont="1" applyFill="1" applyBorder="1" applyAlignment="1">
      <alignment horizontal="right" vertical="center" wrapText="1"/>
    </xf>
    <xf numFmtId="0" fontId="5" fillId="0" borderId="0" xfId="0" applyNumberFormat="1" applyFont="1" applyAlignment="1">
      <alignment horizontal="left" wrapText="1" indent="2"/>
    </xf>
    <xf numFmtId="0" fontId="5" fillId="0" borderId="0" xfId="0" applyNumberFormat="1" applyFont="1" applyAlignment="1">
      <alignment horizontal="left" wrapText="1" indent="3"/>
    </xf>
    <xf numFmtId="0" fontId="5" fillId="0" borderId="0" xfId="0" applyNumberFormat="1" applyFont="1" applyAlignment="1">
      <alignment horizontal="left" wrapText="1" indent="4"/>
    </xf>
    <xf numFmtId="0" fontId="5" fillId="0" borderId="0" xfId="0" applyNumberFormat="1" applyFont="1" applyAlignment="1">
      <alignment horizontal="left" wrapText="1" indent="1"/>
    </xf>
    <xf numFmtId="0" fontId="25" fillId="0" borderId="0" xfId="0" applyFont="1" applyFill="1" applyBorder="1" applyAlignment="1">
      <alignment horizontal="center" vertical="top" wrapText="1"/>
    </xf>
    <xf numFmtId="0" fontId="25" fillId="0" borderId="0" xfId="0" applyFont="1" applyFill="1" applyBorder="1" applyAlignment="1">
      <alignment horizontal="center" vertical="top"/>
    </xf>
    <xf numFmtId="0" fontId="11" fillId="0" borderId="0" xfId="0" applyFont="1" applyFill="1" applyBorder="1" applyAlignment="1">
      <alignment horizontal="center" vertical="top"/>
    </xf>
    <xf numFmtId="0" fontId="9" fillId="0" borderId="0" xfId="2" applyNumberFormat="1" applyFont="1" applyFill="1" applyAlignment="1">
      <alignment horizontal="center" vertical="center"/>
    </xf>
    <xf numFmtId="1" fontId="10" fillId="0" borderId="4" xfId="2" applyNumberFormat="1" applyFont="1" applyFill="1" applyBorder="1" applyAlignment="1">
      <alignment horizontal="center" vertical="center"/>
    </xf>
    <xf numFmtId="0" fontId="17" fillId="0" borderId="0" xfId="0" applyNumberFormat="1" applyFont="1" applyAlignment="1">
      <alignment horizontal="center"/>
    </xf>
    <xf numFmtId="0" fontId="17" fillId="0" borderId="4" xfId="0" applyNumberFormat="1" applyFont="1" applyBorder="1" applyAlignment="1">
      <alignment horizontal="center"/>
    </xf>
    <xf numFmtId="0" fontId="14" fillId="0" borderId="0" xfId="2" applyNumberFormat="1" applyFont="1" applyFill="1" applyAlignment="1">
      <alignment horizontal="center" vertical="center"/>
    </xf>
    <xf numFmtId="1" fontId="11" fillId="0" borderId="4" xfId="2" applyNumberFormat="1" applyFont="1" applyFill="1" applyBorder="1" applyAlignment="1">
      <alignment horizontal="center" vertical="center"/>
    </xf>
    <xf numFmtId="0" fontId="17" fillId="0" borderId="8" xfId="0" applyNumberFormat="1" applyFont="1" applyBorder="1" applyAlignment="1">
      <alignment horizontal="center"/>
    </xf>
    <xf numFmtId="0" fontId="17" fillId="0" borderId="12" xfId="0" applyNumberFormat="1" applyFont="1" applyBorder="1" applyAlignment="1">
      <alignment horizontal="center"/>
    </xf>
    <xf numFmtId="0" fontId="17" fillId="0" borderId="2" xfId="0" applyNumberFormat="1" applyFont="1" applyBorder="1" applyAlignment="1">
      <alignment horizontal="center"/>
    </xf>
    <xf numFmtId="0" fontId="17" fillId="0" borderId="0" xfId="0" applyNumberFormat="1" applyFont="1" applyBorder="1" applyAlignment="1">
      <alignment horizontal="center"/>
    </xf>
    <xf numFmtId="1" fontId="11" fillId="0" borderId="9" xfId="2" applyNumberFormat="1" applyFont="1" applyFill="1" applyBorder="1" applyAlignment="1">
      <alignment horizontal="center" vertical="center"/>
    </xf>
    <xf numFmtId="0" fontId="14" fillId="0" borderId="2" xfId="2" applyNumberFormat="1" applyFont="1" applyFill="1" applyBorder="1" applyAlignment="1">
      <alignment horizontal="center" vertical="center"/>
    </xf>
    <xf numFmtId="0" fontId="14" fillId="0" borderId="0" xfId="2" applyNumberFormat="1" applyFont="1" applyFill="1" applyBorder="1" applyAlignment="1">
      <alignment horizontal="center" vertical="center"/>
    </xf>
    <xf numFmtId="0" fontId="17" fillId="0" borderId="9" xfId="0" applyNumberFormat="1" applyFont="1" applyBorder="1" applyAlignment="1">
      <alignment horizontal="center"/>
    </xf>
    <xf numFmtId="0" fontId="8" fillId="0" borderId="2"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9" xfId="0" applyFont="1" applyFill="1" applyBorder="1" applyAlignment="1">
      <alignment horizontal="center" vertical="center"/>
    </xf>
    <xf numFmtId="0" fontId="8" fillId="0" borderId="4" xfId="0" applyFont="1" applyFill="1" applyBorder="1" applyAlignment="1">
      <alignment horizontal="center" vertical="center"/>
    </xf>
    <xf numFmtId="0" fontId="18" fillId="0" borderId="2"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4</xdr:row>
          <xdr:rowOff>0</xdr:rowOff>
        </xdr:from>
        <xdr:to>
          <xdr:col>2</xdr:col>
          <xdr:colOff>847725</xdr:colOff>
          <xdr:row>5</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ntrinio\Dropbox\Projects\Intrinio%20Excel%20Addin\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BankFinancials"/>
      <definedName name="IntrinioBankFundamentals"/>
      <definedName name="IntrinioDataPoint"/>
    </definedNames>
    <sheetDataSet>
      <sheetData sheetId="0"/>
    </sheetDataSet>
  </externalBook>
</externalLink>
</file>

<file path=xl/theme/theme1.xml><?xml version="1.0" encoding="utf-8"?>
<a:theme xmlns:a="http://schemas.openxmlformats.org/drawingml/2006/main" name="Basis">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C42"/>
  <sheetViews>
    <sheetView tabSelected="1" view="pageBreakPreview" zoomScaleNormal="100" zoomScaleSheetLayoutView="100" workbookViewId="0">
      <selection activeCell="B5" sqref="B5"/>
    </sheetView>
  </sheetViews>
  <sheetFormatPr defaultColWidth="9.140625" defaultRowHeight="18" x14ac:dyDescent="0.4"/>
  <cols>
    <col min="1" max="1" width="48.5" style="13" customWidth="1"/>
    <col min="2" max="2" width="19.35546875" style="13" customWidth="1"/>
    <col min="3" max="3" width="40" style="13" customWidth="1"/>
    <col min="4" max="16384" width="9.140625" style="13"/>
  </cols>
  <sheetData>
    <row r="1" spans="1:3" x14ac:dyDescent="0.4">
      <c r="A1" s="101" t="s">
        <v>0</v>
      </c>
      <c r="B1" s="101"/>
      <c r="C1" s="101"/>
    </row>
    <row r="2" spans="1:3" x14ac:dyDescent="0.4">
      <c r="A2" s="12"/>
    </row>
    <row r="3" spans="1:3" x14ac:dyDescent="0.4">
      <c r="A3" s="99" t="s">
        <v>1911</v>
      </c>
      <c r="B3" s="100"/>
      <c r="C3" s="100"/>
    </row>
    <row r="4" spans="1:3" ht="18.399999999999999" thickBot="1" x14ac:dyDescent="0.45">
      <c r="A4" s="12"/>
    </row>
    <row r="5" spans="1:3" ht="18.399999999999999" thickBot="1" x14ac:dyDescent="0.45">
      <c r="A5" s="74" t="s">
        <v>812</v>
      </c>
      <c r="B5" s="15"/>
    </row>
    <row r="6" spans="1:3" x14ac:dyDescent="0.4">
      <c r="A6" s="74" t="s">
        <v>184</v>
      </c>
      <c r="B6" s="84" t="str">
        <f>[1]!IntrinioDataPoint(rssd_id,"bank_holding_co_name")</f>
        <v/>
      </c>
    </row>
    <row r="7" spans="1:3" x14ac:dyDescent="0.4">
      <c r="A7" s="74" t="s">
        <v>185</v>
      </c>
      <c r="B7" s="84" t="str">
        <f>[1]!IntrinioDataPoint(rssd_id,"bank_holding_co_city")</f>
        <v/>
      </c>
    </row>
    <row r="8" spans="1:3" x14ac:dyDescent="0.4">
      <c r="A8" s="74" t="s">
        <v>186</v>
      </c>
      <c r="B8" s="84" t="str">
        <f>[1]!IntrinioDataPoint(rssd_id,"bank_holding_co_state")</f>
        <v/>
      </c>
    </row>
    <row r="9" spans="1:3" x14ac:dyDescent="0.4">
      <c r="A9" s="74" t="s">
        <v>1912</v>
      </c>
      <c r="B9" s="84" t="str">
        <f>[1]!IntrinioDataPoint(rssd_id,"bank_holding_co_rssd_id")</f>
        <v/>
      </c>
    </row>
    <row r="10" spans="1:3" x14ac:dyDescent="0.4">
      <c r="A10" s="74"/>
      <c r="B10" s="16"/>
    </row>
    <row r="11" spans="1:3" x14ac:dyDescent="0.4">
      <c r="A11" s="74" t="s">
        <v>179</v>
      </c>
      <c r="B11" s="85" t="s">
        <v>180</v>
      </c>
    </row>
    <row r="12" spans="1:3" x14ac:dyDescent="0.4">
      <c r="A12" s="74" t="s">
        <v>183</v>
      </c>
      <c r="B12" s="85">
        <v>0</v>
      </c>
    </row>
    <row r="13" spans="1:3" x14ac:dyDescent="0.4">
      <c r="A13" s="74" t="s">
        <v>177</v>
      </c>
      <c r="B13" s="16" t="str">
        <f>[1]!IntrinioBankFundamentals(rssd_id,"Y9C",fiscal_period_type,fiscal_period_sequence,"fiscal_year")</f>
        <v/>
      </c>
    </row>
    <row r="14" spans="1:3" x14ac:dyDescent="0.4">
      <c r="A14" s="74" t="s">
        <v>178</v>
      </c>
      <c r="B14" s="16" t="str">
        <f>[1]!IntrinioBankFundamentals(rssd_id,"Y9C",fiscal_period_type,fiscal_period_sequence,"fiscal_period")</f>
        <v/>
      </c>
    </row>
    <row r="15" spans="1:3" x14ac:dyDescent="0.4">
      <c r="A15" s="14"/>
      <c r="B15" s="16"/>
    </row>
    <row r="16" spans="1:3" x14ac:dyDescent="0.4">
      <c r="A16" s="17"/>
    </row>
    <row r="17" spans="1:1" x14ac:dyDescent="0.4">
      <c r="A17" s="12" t="s">
        <v>187</v>
      </c>
    </row>
    <row r="18" spans="1:1" x14ac:dyDescent="0.4">
      <c r="A18" s="18" t="s">
        <v>1827</v>
      </c>
    </row>
    <row r="19" spans="1:1" x14ac:dyDescent="0.4">
      <c r="A19" s="18" t="s">
        <v>1828</v>
      </c>
    </row>
    <row r="20" spans="1:1" x14ac:dyDescent="0.4">
      <c r="A20" s="18" t="s">
        <v>1829</v>
      </c>
    </row>
    <row r="21" spans="1:1" x14ac:dyDescent="0.4">
      <c r="A21" s="18" t="s">
        <v>1830</v>
      </c>
    </row>
    <row r="22" spans="1:1" x14ac:dyDescent="0.4">
      <c r="A22" s="18" t="s">
        <v>1831</v>
      </c>
    </row>
    <row r="23" spans="1:1" x14ac:dyDescent="0.4">
      <c r="A23" s="18" t="s">
        <v>1832</v>
      </c>
    </row>
    <row r="24" spans="1:1" x14ac:dyDescent="0.4">
      <c r="A24" s="18" t="s">
        <v>1833</v>
      </c>
    </row>
    <row r="25" spans="1:1" x14ac:dyDescent="0.4">
      <c r="A25" s="18" t="s">
        <v>1834</v>
      </c>
    </row>
    <row r="26" spans="1:1" x14ac:dyDescent="0.4">
      <c r="A26" s="18" t="s">
        <v>1835</v>
      </c>
    </row>
    <row r="27" spans="1:1" x14ac:dyDescent="0.4">
      <c r="A27" s="18" t="s">
        <v>1836</v>
      </c>
    </row>
    <row r="28" spans="1:1" x14ac:dyDescent="0.4">
      <c r="A28" s="18" t="s">
        <v>1837</v>
      </c>
    </row>
    <row r="29" spans="1:1" x14ac:dyDescent="0.4">
      <c r="A29" s="18" t="s">
        <v>1838</v>
      </c>
    </row>
    <row r="30" spans="1:1" x14ac:dyDescent="0.4">
      <c r="A30" s="18" t="s">
        <v>1839</v>
      </c>
    </row>
    <row r="31" spans="1:1" x14ac:dyDescent="0.4">
      <c r="A31" s="18" t="s">
        <v>1840</v>
      </c>
    </row>
    <row r="32" spans="1:1" x14ac:dyDescent="0.4">
      <c r="A32" s="18" t="s">
        <v>1841</v>
      </c>
    </row>
    <row r="33" spans="1:1" x14ac:dyDescent="0.4">
      <c r="A33" s="18" t="s">
        <v>1842</v>
      </c>
    </row>
    <row r="34" spans="1:1" x14ac:dyDescent="0.4">
      <c r="A34" s="18" t="e">
        <f>#REF!</f>
        <v>#REF!</v>
      </c>
    </row>
    <row r="35" spans="1:1" x14ac:dyDescent="0.4">
      <c r="A35" s="18" t="s">
        <v>1843</v>
      </c>
    </row>
    <row r="36" spans="1:1" x14ac:dyDescent="0.4">
      <c r="A36" s="18" t="s">
        <v>1844</v>
      </c>
    </row>
    <row r="37" spans="1:1" x14ac:dyDescent="0.4">
      <c r="A37" s="18" t="s">
        <v>1845</v>
      </c>
    </row>
    <row r="38" spans="1:1" x14ac:dyDescent="0.4">
      <c r="A38" s="18" t="s">
        <v>1846</v>
      </c>
    </row>
    <row r="39" spans="1:1" x14ac:dyDescent="0.4">
      <c r="A39" s="18" t="s">
        <v>1847</v>
      </c>
    </row>
    <row r="40" spans="1:1" x14ac:dyDescent="0.4">
      <c r="A40" s="18" t="s">
        <v>1848</v>
      </c>
    </row>
    <row r="41" spans="1:1" x14ac:dyDescent="0.4">
      <c r="A41" s="18" t="s">
        <v>1849</v>
      </c>
    </row>
    <row r="42" spans="1:1" x14ac:dyDescent="0.4">
      <c r="A42" s="18" t="s">
        <v>1850</v>
      </c>
    </row>
  </sheetData>
  <mergeCells count="2">
    <mergeCell ref="A3:C3"/>
    <mergeCell ref="A1:C1"/>
  </mergeCells>
  <dataValidations count="2">
    <dataValidation type="list" allowBlank="1" showInputMessage="1" showErrorMessage="1" sqref="B12">
      <formula1>sequences</formula1>
    </dataValidation>
    <dataValidation type="list" allowBlank="1" showInputMessage="1" showErrorMessage="1" sqref="B11">
      <formula1>fiscal_period_types</formula1>
    </dataValidation>
  </dataValidations>
  <hyperlinks>
    <hyperlink ref="A18" location="RI!A1" display="Schedule RI - Income Statement"/>
    <hyperlink ref="A19" location="RIA!A1" display="Schedule RI-A - Changes in Bank Equity Capital"/>
    <hyperlink ref="A20" location="RIBI!A1" display="Schedule RI-B Part I - Charge-offs and Recoveries on Loans and Leases"/>
    <hyperlink ref="A21" location="RIBII!A1" display="Schedule RI-B Part II - Changes in Allowance for Loan and Lease Losses"/>
    <hyperlink ref="A22" location="RIC!A1" display="Schedule RI-C - Disaggregated Data on the Allowance for Loan and Lease Losses"/>
    <hyperlink ref="A23" location="RIE!A1" display="Schedule RI-E - Explanations"/>
    <hyperlink ref="A24" location="'RC'!A1" display="Schedule RC - Balance Sheet"/>
    <hyperlink ref="A25" location="RCA!A1" display="Schedule RC-A - Cash and Balances Due From Depository Institutions"/>
    <hyperlink ref="A26" location="RCB!A1" display="Schedule RC-B - Securities"/>
    <hyperlink ref="A29" location="RCD!A1" display="Schedule RC-D - Trading Assets and Liabilities"/>
    <hyperlink ref="A30" location="RCEI!A1" display="Schedule RC-E Part I - Deposits in Domestic Offices"/>
    <hyperlink ref="A32" location="RCF!A1" display="Schedule RC-F - Other Assets"/>
    <hyperlink ref="A33" location="RCG!A1" display="Schedule RC-G - Other Liabilities"/>
    <hyperlink ref="A35" location="RCK!A1" display="Schedule RC-K - Quarterly Averages"/>
    <hyperlink ref="A36" location="RCL!A1" display="Schedule RC-L - Derivatives and Off-Balance Sheet Items"/>
    <hyperlink ref="A27" location="RCCI!A1" display="Schedule RC-C Part I - Loans and Leases"/>
    <hyperlink ref="A28" location="RCCII!A1" display="Schedule RC-C Part II - Loans to Small Businesses and Small Farms"/>
    <hyperlink ref="A37" location="RCM!A1" display="Schedule RC-M - Memoranda"/>
    <hyperlink ref="A38" location="RCN!A1" display="Schedule RC-N - Past Due and Nonaccrual Loans Leases and Other Assets"/>
    <hyperlink ref="A39" location="RCO!A1" display="Schedule RC-O - Other Data for Deposit Insurance and FICO Assessments"/>
    <hyperlink ref="A40" location="RCP!A1" display="Schedule RC-P - 1-4 Family Residential Mortgage Banking  Activities"/>
    <hyperlink ref="A41" location="RCRI!A1" display="Schedule RC-R Part I - Regulatory Capital Components and Ratios"/>
    <hyperlink ref="A42" location="RCV!A1" display="Schedule RC-V - Variable Interest Entities"/>
    <hyperlink ref="A31" location="RCEII!A1" display="Schedule RC-E Part II - Deposits in Foreign Offices including Edge and Agreement subsidiaries and IBFs"/>
  </hyperlinks>
  <printOptions horizontalCentered="1"/>
  <pageMargins left="0.7" right="0.7" top="0.75" bottom="0.75" header="0.3" footer="0.3"/>
  <pageSetup scale="81" orientation="portrait" r:id="rId1"/>
  <headerFooter>
    <oddFooter>&amp;L&amp;G&amp;R&amp;P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Update">
                <anchor moveWithCells="1" sizeWithCells="1">
                  <from>
                    <xdr:col>2</xdr:col>
                    <xdr:colOff>123825</xdr:colOff>
                    <xdr:row>4</xdr:row>
                    <xdr:rowOff>0</xdr:rowOff>
                  </from>
                  <to>
                    <xdr:col>2</xdr:col>
                    <xdr:colOff>847725</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21"/>
  <sheetViews>
    <sheetView workbookViewId="0">
      <selection activeCell="A5" sqref="A5"/>
    </sheetView>
  </sheetViews>
  <sheetFormatPr defaultRowHeight="13.15" x14ac:dyDescent="0.4"/>
  <sheetData>
    <row r="1" spans="1:2" x14ac:dyDescent="0.4">
      <c r="A1" s="2" t="s">
        <v>188</v>
      </c>
      <c r="B1" s="2" t="s">
        <v>182</v>
      </c>
    </row>
    <row r="2" spans="1:2" x14ac:dyDescent="0.4">
      <c r="A2" s="2" t="s">
        <v>180</v>
      </c>
      <c r="B2">
        <v>0</v>
      </c>
    </row>
    <row r="3" spans="1:2" x14ac:dyDescent="0.4">
      <c r="A3" s="2" t="s">
        <v>879</v>
      </c>
      <c r="B3">
        <f>+B2+1</f>
        <v>1</v>
      </c>
    </row>
    <row r="4" spans="1:2" x14ac:dyDescent="0.4">
      <c r="A4" s="2" t="s">
        <v>880</v>
      </c>
      <c r="B4">
        <f>+B3+1</f>
        <v>2</v>
      </c>
    </row>
    <row r="5" spans="1:2" x14ac:dyDescent="0.4">
      <c r="A5" s="2" t="s">
        <v>181</v>
      </c>
      <c r="B5">
        <f t="shared" ref="B5:B21" si="0">+B4+1</f>
        <v>3</v>
      </c>
    </row>
    <row r="6" spans="1:2" x14ac:dyDescent="0.4">
      <c r="B6">
        <f t="shared" si="0"/>
        <v>4</v>
      </c>
    </row>
    <row r="7" spans="1:2" x14ac:dyDescent="0.4">
      <c r="B7">
        <f t="shared" si="0"/>
        <v>5</v>
      </c>
    </row>
    <row r="8" spans="1:2" x14ac:dyDescent="0.4">
      <c r="B8">
        <f t="shared" si="0"/>
        <v>6</v>
      </c>
    </row>
    <row r="9" spans="1:2" x14ac:dyDescent="0.4">
      <c r="B9">
        <f t="shared" si="0"/>
        <v>7</v>
      </c>
    </row>
    <row r="10" spans="1:2" x14ac:dyDescent="0.4">
      <c r="B10">
        <f t="shared" si="0"/>
        <v>8</v>
      </c>
    </row>
    <row r="11" spans="1:2" x14ac:dyDescent="0.4">
      <c r="B11">
        <f t="shared" si="0"/>
        <v>9</v>
      </c>
    </row>
    <row r="12" spans="1:2" x14ac:dyDescent="0.4">
      <c r="B12">
        <f t="shared" si="0"/>
        <v>10</v>
      </c>
    </row>
    <row r="13" spans="1:2" x14ac:dyDescent="0.4">
      <c r="B13">
        <f t="shared" si="0"/>
        <v>11</v>
      </c>
    </row>
    <row r="14" spans="1:2" x14ac:dyDescent="0.4">
      <c r="B14">
        <f t="shared" si="0"/>
        <v>12</v>
      </c>
    </row>
    <row r="15" spans="1:2" x14ac:dyDescent="0.4">
      <c r="B15">
        <f t="shared" si="0"/>
        <v>13</v>
      </c>
    </row>
    <row r="16" spans="1:2" x14ac:dyDescent="0.4">
      <c r="B16">
        <f t="shared" si="0"/>
        <v>14</v>
      </c>
    </row>
    <row r="17" spans="2:2" x14ac:dyDescent="0.4">
      <c r="B17">
        <f t="shared" si="0"/>
        <v>15</v>
      </c>
    </row>
    <row r="18" spans="2:2" x14ac:dyDescent="0.4">
      <c r="B18">
        <f t="shared" si="0"/>
        <v>16</v>
      </c>
    </row>
    <row r="19" spans="2:2" x14ac:dyDescent="0.4">
      <c r="B19">
        <f t="shared" si="0"/>
        <v>17</v>
      </c>
    </row>
    <row r="20" spans="2:2" x14ac:dyDescent="0.4">
      <c r="B20">
        <f t="shared" si="0"/>
        <v>18</v>
      </c>
    </row>
    <row r="21" spans="2:2" x14ac:dyDescent="0.4">
      <c r="B21">
        <f t="shared" si="0"/>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S106"/>
  <sheetViews>
    <sheetView view="pageBreakPreview" zoomScaleNormal="100" zoomScaleSheetLayoutView="100" workbookViewId="0">
      <pane xSplit="1" ySplit="6" topLeftCell="B7" activePane="bottomRight" state="frozen"/>
      <selection pane="topRight"/>
      <selection pane="bottomLeft"/>
      <selection pane="bottomRight"/>
    </sheetView>
  </sheetViews>
  <sheetFormatPr defaultColWidth="12.640625" defaultRowHeight="18" outlineLevelCol="1" x14ac:dyDescent="0.4"/>
  <cols>
    <col min="1" max="1" width="71.35546875" style="10"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1" style="44" bestFit="1" customWidth="1"/>
    <col min="17" max="17" width="12.640625" style="6"/>
    <col min="18" max="18" width="18.5" style="6" bestFit="1" customWidth="1"/>
    <col min="19" max="16384" width="12.640625" style="6"/>
  </cols>
  <sheetData>
    <row r="1" spans="1:19" x14ac:dyDescent="0.4">
      <c r="A1" s="11" t="str">
        <f>name</f>
        <v/>
      </c>
    </row>
    <row r="2" spans="1:19" x14ac:dyDescent="0.4">
      <c r="A2" s="11" t="s">
        <v>1827</v>
      </c>
      <c r="B2" s="7"/>
      <c r="C2" s="8"/>
      <c r="D2" s="8"/>
      <c r="E2" s="8"/>
      <c r="F2" s="8"/>
      <c r="G2" s="8"/>
      <c r="H2" s="8"/>
      <c r="I2" s="8"/>
      <c r="J2" s="8"/>
      <c r="K2" s="8"/>
      <c r="L2" s="8"/>
      <c r="M2" s="8"/>
      <c r="N2" s="8"/>
      <c r="O2" s="8"/>
      <c r="P2" s="45"/>
      <c r="R2" s="6" t="s">
        <v>234</v>
      </c>
      <c r="S2" s="6" t="s">
        <v>881</v>
      </c>
    </row>
    <row r="3" spans="1:19" x14ac:dyDescent="0.4">
      <c r="A3" s="19" t="s">
        <v>1</v>
      </c>
      <c r="B3" s="7"/>
      <c r="C3" s="8"/>
      <c r="D3" s="8"/>
      <c r="E3" s="8"/>
      <c r="F3" s="8"/>
      <c r="G3" s="8"/>
      <c r="H3" s="8"/>
      <c r="I3" s="8"/>
      <c r="J3" s="8"/>
      <c r="K3" s="8"/>
      <c r="L3" s="8"/>
      <c r="M3" s="8"/>
      <c r="N3" s="8"/>
      <c r="O3" s="8"/>
      <c r="P3" s="45"/>
    </row>
    <row r="4" spans="1:19" x14ac:dyDescent="0.4">
      <c r="A4" s="19"/>
      <c r="B4" s="50">
        <f>J4+1</f>
        <v>6</v>
      </c>
      <c r="C4" s="50">
        <f t="shared" ref="C4" si="0">D4+1</f>
        <v>12</v>
      </c>
      <c r="D4" s="50">
        <f t="shared" ref="D4:E4" si="1">E4+1</f>
        <v>11</v>
      </c>
      <c r="E4" s="50">
        <f t="shared" si="1"/>
        <v>10</v>
      </c>
      <c r="F4" s="50">
        <f t="shared" ref="F4:G4" si="2">G4+1</f>
        <v>9</v>
      </c>
      <c r="G4" s="50">
        <f t="shared" si="2"/>
        <v>8</v>
      </c>
      <c r="H4" s="50">
        <f t="shared" ref="H4:I4" si="3">I4+1</f>
        <v>7</v>
      </c>
      <c r="I4" s="50">
        <f t="shared" si="3"/>
        <v>6</v>
      </c>
      <c r="J4" s="50">
        <f t="shared" ref="J4:M4" si="4">K4+1</f>
        <v>5</v>
      </c>
      <c r="K4" s="50">
        <f t="shared" si="4"/>
        <v>4</v>
      </c>
      <c r="L4" s="50">
        <f t="shared" si="4"/>
        <v>3</v>
      </c>
      <c r="M4" s="50">
        <f t="shared" si="4"/>
        <v>2</v>
      </c>
      <c r="N4" s="50">
        <f>O4+1</f>
        <v>1</v>
      </c>
      <c r="O4" s="50">
        <f>fiscal_period_sequence</f>
        <v>0</v>
      </c>
      <c r="P4" s="45"/>
    </row>
    <row r="5" spans="1:19" x14ac:dyDescent="0.4">
      <c r="A5" s="9"/>
      <c r="B5" s="7"/>
      <c r="C5" s="26" t="str">
        <f>[1]!IntrinioBankFundamentals(rssd_id,$S$2,fiscal_period_type,C$4,"fiscal_period")</f>
        <v/>
      </c>
      <c r="D5" s="26" t="str">
        <f>[1]!IntrinioBankFundamentals(rssd_id,$S$2,fiscal_period_type,D$4,"fiscal_period")</f>
        <v/>
      </c>
      <c r="E5" s="26" t="str">
        <f>[1]!IntrinioBankFundamentals(rssd_id,$S$2,fiscal_period_type,E$4,"fiscal_period")</f>
        <v/>
      </c>
      <c r="F5" s="26" t="str">
        <f>[1]!IntrinioBankFundamentals(rssd_id,$S$2,fiscal_period_type,F$4,"fiscal_period")</f>
        <v/>
      </c>
      <c r="G5" s="26" t="str">
        <f>[1]!IntrinioBankFundamentals(rssd_id,$S$2,fiscal_period_type,G$4,"fiscal_period")</f>
        <v/>
      </c>
      <c r="H5" s="26" t="str">
        <f>[1]!IntrinioBankFundamentals(rssd_id,$S$2,fiscal_period_type,H$4,"fiscal_period")</f>
        <v/>
      </c>
      <c r="I5" s="26" t="str">
        <f>[1]!IntrinioBankFundamentals(rssd_id,$S$2,fiscal_period_type,I$4,"fiscal_period")</f>
        <v/>
      </c>
      <c r="J5" s="26" t="str">
        <f>[1]!IntrinioBankFundamentals(rssd_id,$S$2,fiscal_period_type,J$4,"fiscal_period")</f>
        <v/>
      </c>
      <c r="K5" s="26" t="str">
        <f>[1]!IntrinioBankFundamentals(rssd_id,$S$2,fiscal_period_type,K$4,"fiscal_period")</f>
        <v/>
      </c>
      <c r="L5" s="26" t="str">
        <f>[1]!IntrinioBankFundamentals(rssd_id,$S$2,fiscal_period_type,L$4,"fiscal_period")</f>
        <v/>
      </c>
      <c r="M5" s="26" t="str">
        <f>[1]!IntrinioBankFundamentals(rssd_id,$S$2,fiscal_period_type,M$4,"fiscal_period")</f>
        <v/>
      </c>
      <c r="N5" s="26" t="str">
        <f>[1]!IntrinioBankFundamentals(rssd_id,$S$2,fiscal_period_type,N$4,"fiscal_period")</f>
        <v/>
      </c>
      <c r="O5" s="26" t="str">
        <f>[1]!IntrinioBankFundamentals(rssd_id,$S$2,fiscal_period_type,O$4,"fiscal_period")</f>
        <v/>
      </c>
      <c r="P5" s="45"/>
    </row>
    <row r="6" spans="1:19" x14ac:dyDescent="0.4">
      <c r="B6" s="7"/>
      <c r="C6" s="27" t="str">
        <f>[1]!IntrinioBankFundamentals(rssd_id,$S$2,fiscal_period_type,C$4,"fiscal_year")</f>
        <v/>
      </c>
      <c r="D6" s="27" t="str">
        <f>[1]!IntrinioBankFundamentals(rssd_id,$S$2,fiscal_period_type,D$4,"fiscal_year")</f>
        <v/>
      </c>
      <c r="E6" s="27" t="str">
        <f>[1]!IntrinioBankFundamentals(rssd_id,$S$2,fiscal_period_type,E$4,"fiscal_year")</f>
        <v/>
      </c>
      <c r="F6" s="27" t="str">
        <f>[1]!IntrinioBankFundamentals(rssd_id,$S$2,fiscal_period_type,F$4,"fiscal_year")</f>
        <v/>
      </c>
      <c r="G6" s="27" t="str">
        <f>[1]!IntrinioBankFundamentals(rssd_id,$S$2,fiscal_period_type,G$4,"fiscal_year")</f>
        <v/>
      </c>
      <c r="H6" s="27" t="str">
        <f>[1]!IntrinioBankFundamentals(rssd_id,$S$2,fiscal_period_type,H$4,"fiscal_year")</f>
        <v/>
      </c>
      <c r="I6" s="27" t="str">
        <f>[1]!IntrinioBankFundamentals(rssd_id,$S$2,fiscal_period_type,I$4,"fiscal_year")</f>
        <v/>
      </c>
      <c r="J6" s="27" t="str">
        <f>[1]!IntrinioBankFundamentals(rssd_id,$S$2,fiscal_period_type,J$4,"fiscal_year")</f>
        <v/>
      </c>
      <c r="K6" s="27" t="str">
        <f>[1]!IntrinioBankFundamentals(rssd_id,$S$2,fiscal_period_type,K$4,"fiscal_year")</f>
        <v/>
      </c>
      <c r="L6" s="27" t="str">
        <f>[1]!IntrinioBankFundamentals(rssd_id,$S$2,fiscal_period_type,L$4,"fiscal_year")</f>
        <v/>
      </c>
      <c r="M6" s="27" t="str">
        <f>[1]!IntrinioBankFundamentals(rssd_id,$S$2,fiscal_period_type,M$4,"fiscal_year")</f>
        <v/>
      </c>
      <c r="N6" s="27" t="str">
        <f>[1]!IntrinioBankFundamentals(rssd_id,$S$2,fiscal_period_type,N$4,"fiscal_year")</f>
        <v/>
      </c>
      <c r="O6" s="27" t="str">
        <f>[1]!IntrinioBankFundamentals(rssd_id,$S$2,fiscal_period_type,O$4,"fiscal_year")</f>
        <v/>
      </c>
      <c r="P6" s="45"/>
    </row>
    <row r="7" spans="1:19" s="36" customFormat="1" ht="14.25" x14ac:dyDescent="0.4">
      <c r="A7" s="19" t="s">
        <v>2</v>
      </c>
      <c r="B7" s="34"/>
      <c r="C7" s="35"/>
      <c r="D7" s="35"/>
      <c r="E7" s="35"/>
      <c r="F7" s="35"/>
      <c r="G7" s="35"/>
      <c r="H7" s="35"/>
      <c r="I7" s="35"/>
      <c r="J7" s="35"/>
      <c r="K7" s="35"/>
      <c r="L7" s="35"/>
      <c r="M7" s="35"/>
      <c r="N7" s="35"/>
      <c r="O7" s="35"/>
      <c r="P7" s="46">
        <v>1</v>
      </c>
    </row>
    <row r="8" spans="1:19" s="36" customFormat="1" ht="14.25" x14ac:dyDescent="0.4">
      <c r="A8" s="41" t="s">
        <v>3</v>
      </c>
      <c r="B8" s="34"/>
      <c r="C8" s="35"/>
      <c r="D8" s="35"/>
      <c r="E8" s="35"/>
      <c r="F8" s="35"/>
      <c r="G8" s="35"/>
      <c r="H8" s="35"/>
      <c r="I8" s="35"/>
      <c r="J8" s="35"/>
      <c r="K8" s="35"/>
      <c r="L8" s="35"/>
      <c r="M8" s="35"/>
      <c r="N8" s="35"/>
      <c r="O8" s="35"/>
      <c r="P8" s="46" t="s">
        <v>4</v>
      </c>
    </row>
    <row r="9" spans="1:19" s="36" customFormat="1" ht="14.25" x14ac:dyDescent="0.4">
      <c r="A9" s="42" t="s">
        <v>5</v>
      </c>
      <c r="B9" s="34"/>
      <c r="C9" s="35"/>
      <c r="D9" s="35"/>
      <c r="E9" s="35"/>
      <c r="F9" s="35"/>
      <c r="G9" s="35"/>
      <c r="H9" s="35"/>
      <c r="I9" s="35"/>
      <c r="J9" s="35"/>
      <c r="K9" s="35"/>
      <c r="L9" s="35"/>
      <c r="M9" s="35"/>
      <c r="N9" s="35"/>
      <c r="O9" s="35"/>
      <c r="P9" s="46" t="s">
        <v>6</v>
      </c>
    </row>
    <row r="10" spans="1:19" s="36" customFormat="1" ht="14.25" x14ac:dyDescent="0.4">
      <c r="A10" s="43" t="s">
        <v>7</v>
      </c>
      <c r="B10" s="37" t="s">
        <v>882</v>
      </c>
      <c r="C10" s="38" t="str">
        <f>IFERROR([1]!IntrinioBankFinancials(rssd_id,$S$2,C$6,C$5,$B10,"K"),"")</f>
        <v/>
      </c>
      <c r="D10" s="38" t="str">
        <f>IFERROR([1]!IntrinioBankFinancials(rssd_id,$S$2,D$6,D$5,$B10,"K"),"")</f>
        <v/>
      </c>
      <c r="E10" s="38" t="str">
        <f>IFERROR([1]!IntrinioBankFinancials(rssd_id,$S$2,E$6,E$5,$B10,"K"),"")</f>
        <v/>
      </c>
      <c r="F10" s="38" t="str">
        <f>IFERROR([1]!IntrinioBankFinancials(rssd_id,$S$2,F$6,F$5,$B10,"K"),"")</f>
        <v/>
      </c>
      <c r="G10" s="38" t="str">
        <f>IFERROR([1]!IntrinioBankFinancials(rssd_id,$S$2,G$6,G$5,$B10,"K"),"")</f>
        <v/>
      </c>
      <c r="H10" s="38" t="str">
        <f>IFERROR([1]!IntrinioBankFinancials(rssd_id,$S$2,H$6,H$5,$B10,"K"),"")</f>
        <v/>
      </c>
      <c r="I10" s="38" t="str">
        <f>IFERROR([1]!IntrinioBankFinancials(rssd_id,$S$2,I$6,I$5,$B10,"K"),"")</f>
        <v/>
      </c>
      <c r="J10" s="38" t="str">
        <f>IFERROR([1]!IntrinioBankFinancials(rssd_id,$S$2,J$6,J$5,$B10,"K"),"")</f>
        <v/>
      </c>
      <c r="K10" s="38" t="str">
        <f>IFERROR([1]!IntrinioBankFinancials(rssd_id,$S$2,K$6,K$5,$B10,"K"),"")</f>
        <v/>
      </c>
      <c r="L10" s="38" t="str">
        <f>IFERROR([1]!IntrinioBankFinancials(rssd_id,$S$2,L$6,L$5,$B10,"K"),"")</f>
        <v/>
      </c>
      <c r="M10" s="38" t="str">
        <f>IFERROR([1]!IntrinioBankFinancials(rssd_id,$S$2,M$6,M$5,$B10,"K"),"")</f>
        <v/>
      </c>
      <c r="N10" s="38" t="str">
        <f>IFERROR([1]!IntrinioBankFinancials(rssd_id,$S$2,N$6,N$5,$B10,"K"),"")</f>
        <v/>
      </c>
      <c r="O10" s="38" t="str">
        <f>IFERROR([1]!IntrinioBankFinancials(rssd_id,$S$2,O$6,O$5,$B10,"K"),"")</f>
        <v/>
      </c>
      <c r="P10" s="46" t="s">
        <v>8</v>
      </c>
    </row>
    <row r="11" spans="1:19" s="36" customFormat="1" ht="14.25" x14ac:dyDescent="0.4">
      <c r="A11" s="43" t="s">
        <v>9</v>
      </c>
      <c r="B11" s="37" t="s">
        <v>883</v>
      </c>
      <c r="C11" s="38" t="str">
        <f>IFERROR([1]!IntrinioBankFinancials(rssd_id,$S$2,C$6,C$5,$B11,"K"),"")</f>
        <v/>
      </c>
      <c r="D11" s="38" t="str">
        <f>IFERROR([1]!IntrinioBankFinancials(rssd_id,$S$2,D$6,D$5,$B11,"K"),"")</f>
        <v/>
      </c>
      <c r="E11" s="38" t="str">
        <f>IFERROR([1]!IntrinioBankFinancials(rssd_id,$S$2,E$6,E$5,$B11,"K"),"")</f>
        <v/>
      </c>
      <c r="F11" s="38" t="str">
        <f>IFERROR([1]!IntrinioBankFinancials(rssd_id,$S$2,F$6,F$5,$B11,"K"),"")</f>
        <v/>
      </c>
      <c r="G11" s="38" t="str">
        <f>IFERROR([1]!IntrinioBankFinancials(rssd_id,$S$2,G$6,G$5,$B11,"K"),"")</f>
        <v/>
      </c>
      <c r="H11" s="38" t="str">
        <f>IFERROR([1]!IntrinioBankFinancials(rssd_id,$S$2,H$6,H$5,$B11,"K"),"")</f>
        <v/>
      </c>
      <c r="I11" s="38" t="str">
        <f>IFERROR([1]!IntrinioBankFinancials(rssd_id,$S$2,I$6,I$5,$B11,"K"),"")</f>
        <v/>
      </c>
      <c r="J11" s="38" t="str">
        <f>IFERROR([1]!IntrinioBankFinancials(rssd_id,$S$2,J$6,J$5,$B11,"K"),"")</f>
        <v/>
      </c>
      <c r="K11" s="38" t="str">
        <f>IFERROR([1]!IntrinioBankFinancials(rssd_id,$S$2,K$6,K$5,$B11,"K"),"")</f>
        <v/>
      </c>
      <c r="L11" s="38" t="str">
        <f>IFERROR([1]!IntrinioBankFinancials(rssd_id,$S$2,L$6,L$5,$B11,"K"),"")</f>
        <v/>
      </c>
      <c r="M11" s="38" t="str">
        <f>IFERROR([1]!IntrinioBankFinancials(rssd_id,$S$2,M$6,M$5,$B11,"K"),"")</f>
        <v/>
      </c>
      <c r="N11" s="38" t="str">
        <f>IFERROR([1]!IntrinioBankFinancials(rssd_id,$S$2,N$6,N$5,$B11,"K"),"")</f>
        <v/>
      </c>
      <c r="O11" s="38" t="str">
        <f>IFERROR([1]!IntrinioBankFinancials(rssd_id,$S$2,O$6,O$5,$B11,"K"),"")</f>
        <v/>
      </c>
      <c r="P11" s="46" t="s">
        <v>10</v>
      </c>
    </row>
    <row r="12" spans="1:19" s="36" customFormat="1" ht="14.25" x14ac:dyDescent="0.4">
      <c r="A12" s="42" t="s">
        <v>11</v>
      </c>
      <c r="B12" s="37" t="s">
        <v>884</v>
      </c>
      <c r="C12" s="38" t="str">
        <f>IFERROR([1]!IntrinioBankFinancials(rssd_id,$S$2,C$6,C$5,$B12,"K"),"")</f>
        <v/>
      </c>
      <c r="D12" s="38" t="str">
        <f>IFERROR([1]!IntrinioBankFinancials(rssd_id,$S$2,D$6,D$5,$B12,"K"),"")</f>
        <v/>
      </c>
      <c r="E12" s="38" t="str">
        <f>IFERROR([1]!IntrinioBankFinancials(rssd_id,$S$2,E$6,E$5,$B12,"K"),"")</f>
        <v/>
      </c>
      <c r="F12" s="38" t="str">
        <f>IFERROR([1]!IntrinioBankFinancials(rssd_id,$S$2,F$6,F$5,$B12,"K"),"")</f>
        <v/>
      </c>
      <c r="G12" s="38" t="str">
        <f>IFERROR([1]!IntrinioBankFinancials(rssd_id,$S$2,G$6,G$5,$B12,"K"),"")</f>
        <v/>
      </c>
      <c r="H12" s="38" t="str">
        <f>IFERROR([1]!IntrinioBankFinancials(rssd_id,$S$2,H$6,H$5,$B12,"K"),"")</f>
        <v/>
      </c>
      <c r="I12" s="38" t="str">
        <f>IFERROR([1]!IntrinioBankFinancials(rssd_id,$S$2,I$6,I$5,$B12,"K"),"")</f>
        <v/>
      </c>
      <c r="J12" s="38" t="str">
        <f>IFERROR([1]!IntrinioBankFinancials(rssd_id,$S$2,J$6,J$5,$B12,"K"),"")</f>
        <v/>
      </c>
      <c r="K12" s="38" t="str">
        <f>IFERROR([1]!IntrinioBankFinancials(rssd_id,$S$2,K$6,K$5,$B12,"K"),"")</f>
        <v/>
      </c>
      <c r="L12" s="38" t="str">
        <f>IFERROR([1]!IntrinioBankFinancials(rssd_id,$S$2,L$6,L$5,$B12,"K"),"")</f>
        <v/>
      </c>
      <c r="M12" s="38" t="str">
        <f>IFERROR([1]!IntrinioBankFinancials(rssd_id,$S$2,M$6,M$5,$B12,"K"),"")</f>
        <v/>
      </c>
      <c r="N12" s="38" t="str">
        <f>IFERROR([1]!IntrinioBankFinancials(rssd_id,$S$2,N$6,N$5,$B12,"K"),"")</f>
        <v/>
      </c>
      <c r="O12" s="38" t="str">
        <f>IFERROR([1]!IntrinioBankFinancials(rssd_id,$S$2,O$6,O$5,$B12,"K"),"")</f>
        <v/>
      </c>
      <c r="P12" s="46" t="s">
        <v>12</v>
      </c>
    </row>
    <row r="13" spans="1:19" s="36" customFormat="1" ht="14.25" x14ac:dyDescent="0.4">
      <c r="A13" s="41" t="s">
        <v>14</v>
      </c>
      <c r="B13" s="37" t="s">
        <v>885</v>
      </c>
      <c r="C13" s="38" t="str">
        <f>IFERROR([1]!IntrinioBankFinancials(rssd_id,$S$2,C$6,C$5,$B13,"K"),"")</f>
        <v/>
      </c>
      <c r="D13" s="38" t="str">
        <f>IFERROR([1]!IntrinioBankFinancials(rssd_id,$S$2,D$6,D$5,$B13,"K"),"")</f>
        <v/>
      </c>
      <c r="E13" s="38" t="str">
        <f>IFERROR([1]!IntrinioBankFinancials(rssd_id,$S$2,E$6,E$5,$B13,"K"),"")</f>
        <v/>
      </c>
      <c r="F13" s="38" t="str">
        <f>IFERROR([1]!IntrinioBankFinancials(rssd_id,$S$2,F$6,F$5,$B13,"K"),"")</f>
        <v/>
      </c>
      <c r="G13" s="38" t="str">
        <f>IFERROR([1]!IntrinioBankFinancials(rssd_id,$S$2,G$6,G$5,$B13,"K"),"")</f>
        <v/>
      </c>
      <c r="H13" s="38" t="str">
        <f>IFERROR([1]!IntrinioBankFinancials(rssd_id,$S$2,H$6,H$5,$B13,"K"),"")</f>
        <v/>
      </c>
      <c r="I13" s="38" t="str">
        <f>IFERROR([1]!IntrinioBankFinancials(rssd_id,$S$2,I$6,I$5,$B13,"K"),"")</f>
        <v/>
      </c>
      <c r="J13" s="38" t="str">
        <f>IFERROR([1]!IntrinioBankFinancials(rssd_id,$S$2,J$6,J$5,$B13,"K"),"")</f>
        <v/>
      </c>
      <c r="K13" s="38" t="str">
        <f>IFERROR([1]!IntrinioBankFinancials(rssd_id,$S$2,K$6,K$5,$B13,"K"),"")</f>
        <v/>
      </c>
      <c r="L13" s="38" t="str">
        <f>IFERROR([1]!IntrinioBankFinancials(rssd_id,$S$2,L$6,L$5,$B13,"K"),"")</f>
        <v/>
      </c>
      <c r="M13" s="38" t="str">
        <f>IFERROR([1]!IntrinioBankFinancials(rssd_id,$S$2,M$6,M$5,$B13,"K"),"")</f>
        <v/>
      </c>
      <c r="N13" s="38" t="str">
        <f>IFERROR([1]!IntrinioBankFinancials(rssd_id,$S$2,N$6,N$5,$B13,"K"),"")</f>
        <v/>
      </c>
      <c r="O13" s="38" t="str">
        <f>IFERROR([1]!IntrinioBankFinancials(rssd_id,$S$2,O$6,O$5,$B13,"K"),"")</f>
        <v/>
      </c>
      <c r="P13" s="46" t="s">
        <v>15</v>
      </c>
    </row>
    <row r="14" spans="1:19" s="36" customFormat="1" ht="14.25" x14ac:dyDescent="0.4">
      <c r="A14" s="41" t="s">
        <v>16</v>
      </c>
      <c r="B14" s="37" t="s">
        <v>886</v>
      </c>
      <c r="C14" s="38" t="str">
        <f>IFERROR([1]!IntrinioBankFinancials(rssd_id,$S$2,C$6,C$5,$B14,"K"),"")</f>
        <v/>
      </c>
      <c r="D14" s="38" t="str">
        <f>IFERROR([1]!IntrinioBankFinancials(rssd_id,$S$2,D$6,D$5,$B14,"K"),"")</f>
        <v/>
      </c>
      <c r="E14" s="38" t="str">
        <f>IFERROR([1]!IntrinioBankFinancials(rssd_id,$S$2,E$6,E$5,$B14,"K"),"")</f>
        <v/>
      </c>
      <c r="F14" s="38" t="str">
        <f>IFERROR([1]!IntrinioBankFinancials(rssd_id,$S$2,F$6,F$5,$B14,"K"),"")</f>
        <v/>
      </c>
      <c r="G14" s="38" t="str">
        <f>IFERROR([1]!IntrinioBankFinancials(rssd_id,$S$2,G$6,G$5,$B14,"K"),"")</f>
        <v/>
      </c>
      <c r="H14" s="38" t="str">
        <f>IFERROR([1]!IntrinioBankFinancials(rssd_id,$S$2,H$6,H$5,$B14,"K"),"")</f>
        <v/>
      </c>
      <c r="I14" s="38" t="str">
        <f>IFERROR([1]!IntrinioBankFinancials(rssd_id,$S$2,I$6,I$5,$B14,"K"),"")</f>
        <v/>
      </c>
      <c r="J14" s="38" t="str">
        <f>IFERROR([1]!IntrinioBankFinancials(rssd_id,$S$2,J$6,J$5,$B14,"K"),"")</f>
        <v/>
      </c>
      <c r="K14" s="38" t="str">
        <f>IFERROR([1]!IntrinioBankFinancials(rssd_id,$S$2,K$6,K$5,$B14,"K"),"")</f>
        <v/>
      </c>
      <c r="L14" s="38" t="str">
        <f>IFERROR([1]!IntrinioBankFinancials(rssd_id,$S$2,L$6,L$5,$B14,"K"),"")</f>
        <v/>
      </c>
      <c r="M14" s="38" t="str">
        <f>IFERROR([1]!IntrinioBankFinancials(rssd_id,$S$2,M$6,M$5,$B14,"K"),"")</f>
        <v/>
      </c>
      <c r="N14" s="38" t="str">
        <f>IFERROR([1]!IntrinioBankFinancials(rssd_id,$S$2,N$6,N$5,$B14,"K"),"")</f>
        <v/>
      </c>
      <c r="O14" s="38" t="str">
        <f>IFERROR([1]!IntrinioBankFinancials(rssd_id,$S$2,O$6,O$5,$B14,"K"),"")</f>
        <v/>
      </c>
      <c r="P14" s="46" t="s">
        <v>17</v>
      </c>
    </row>
    <row r="15" spans="1:19" s="36" customFormat="1" ht="14.25" x14ac:dyDescent="0.4">
      <c r="A15" s="41" t="s">
        <v>18</v>
      </c>
      <c r="B15" s="34"/>
      <c r="C15" s="35"/>
      <c r="D15" s="35"/>
      <c r="E15" s="35"/>
      <c r="F15" s="35"/>
      <c r="G15" s="35"/>
      <c r="H15" s="35"/>
      <c r="I15" s="35"/>
      <c r="J15" s="35"/>
      <c r="K15" s="35"/>
      <c r="L15" s="35"/>
      <c r="M15" s="35"/>
      <c r="N15" s="35"/>
      <c r="O15" s="35"/>
      <c r="P15" s="46" t="s">
        <v>19</v>
      </c>
    </row>
    <row r="16" spans="1:19" s="36" customFormat="1" ht="28.5" x14ac:dyDescent="0.4">
      <c r="A16" s="42" t="s">
        <v>20</v>
      </c>
      <c r="B16" s="37" t="s">
        <v>887</v>
      </c>
      <c r="C16" s="38" t="str">
        <f>IFERROR([1]!IntrinioBankFinancials(rssd_id,$S$2,C$6,C$5,$B16,"K"),"")</f>
        <v/>
      </c>
      <c r="D16" s="38" t="str">
        <f>IFERROR([1]!IntrinioBankFinancials(rssd_id,$S$2,D$6,D$5,$B16,"K"),"")</f>
        <v/>
      </c>
      <c r="E16" s="38" t="str">
        <f>IFERROR([1]!IntrinioBankFinancials(rssd_id,$S$2,E$6,E$5,$B16,"K"),"")</f>
        <v/>
      </c>
      <c r="F16" s="38" t="str">
        <f>IFERROR([1]!IntrinioBankFinancials(rssd_id,$S$2,F$6,F$5,$B16,"K"),"")</f>
        <v/>
      </c>
      <c r="G16" s="38" t="str">
        <f>IFERROR([1]!IntrinioBankFinancials(rssd_id,$S$2,G$6,G$5,$B16,"K"),"")</f>
        <v/>
      </c>
      <c r="H16" s="38" t="str">
        <f>IFERROR([1]!IntrinioBankFinancials(rssd_id,$S$2,H$6,H$5,$B16,"K"),"")</f>
        <v/>
      </c>
      <c r="I16" s="38" t="str">
        <f>IFERROR([1]!IntrinioBankFinancials(rssd_id,$S$2,I$6,I$5,$B16,"K"),"")</f>
        <v/>
      </c>
      <c r="J16" s="38" t="str">
        <f>IFERROR([1]!IntrinioBankFinancials(rssd_id,$S$2,J$6,J$5,$B16,"K"),"")</f>
        <v/>
      </c>
      <c r="K16" s="38" t="str">
        <f>IFERROR([1]!IntrinioBankFinancials(rssd_id,$S$2,K$6,K$5,$B16,"K"),"")</f>
        <v/>
      </c>
      <c r="L16" s="38" t="str">
        <f>IFERROR([1]!IntrinioBankFinancials(rssd_id,$S$2,L$6,L$5,$B16,"K"),"")</f>
        <v/>
      </c>
      <c r="M16" s="38" t="str">
        <f>IFERROR([1]!IntrinioBankFinancials(rssd_id,$S$2,M$6,M$5,$B16,"K"),"")</f>
        <v/>
      </c>
      <c r="N16" s="38" t="str">
        <f>IFERROR([1]!IntrinioBankFinancials(rssd_id,$S$2,N$6,N$5,$B16,"K"),"")</f>
        <v/>
      </c>
      <c r="O16" s="38" t="str">
        <f>IFERROR([1]!IntrinioBankFinancials(rssd_id,$S$2,O$6,O$5,$B16,"K"),"")</f>
        <v/>
      </c>
      <c r="P16" s="46" t="s">
        <v>21</v>
      </c>
    </row>
    <row r="17" spans="1:16" s="36" customFormat="1" ht="14.25" x14ac:dyDescent="0.4">
      <c r="A17" s="42" t="s">
        <v>22</v>
      </c>
      <c r="B17" s="37" t="s">
        <v>888</v>
      </c>
      <c r="C17" s="38" t="str">
        <f>IFERROR([1]!IntrinioBankFinancials(rssd_id,$S$2,C$6,C$5,$B17,"K"),"")</f>
        <v/>
      </c>
      <c r="D17" s="38" t="str">
        <f>IFERROR([1]!IntrinioBankFinancials(rssd_id,$S$2,D$6,D$5,$B17,"K"),"")</f>
        <v/>
      </c>
      <c r="E17" s="38" t="str">
        <f>IFERROR([1]!IntrinioBankFinancials(rssd_id,$S$2,E$6,E$5,$B17,"K"),"")</f>
        <v/>
      </c>
      <c r="F17" s="38" t="str">
        <f>IFERROR([1]!IntrinioBankFinancials(rssd_id,$S$2,F$6,F$5,$B17,"K"),"")</f>
        <v/>
      </c>
      <c r="G17" s="38" t="str">
        <f>IFERROR([1]!IntrinioBankFinancials(rssd_id,$S$2,G$6,G$5,$B17,"K"),"")</f>
        <v/>
      </c>
      <c r="H17" s="38" t="str">
        <f>IFERROR([1]!IntrinioBankFinancials(rssd_id,$S$2,H$6,H$5,$B17,"K"),"")</f>
        <v/>
      </c>
      <c r="I17" s="38" t="str">
        <f>IFERROR([1]!IntrinioBankFinancials(rssd_id,$S$2,I$6,I$5,$B17,"K"),"")</f>
        <v/>
      </c>
      <c r="J17" s="38" t="str">
        <f>IFERROR([1]!IntrinioBankFinancials(rssd_id,$S$2,J$6,J$5,$B17,"K"),"")</f>
        <v/>
      </c>
      <c r="K17" s="38" t="str">
        <f>IFERROR([1]!IntrinioBankFinancials(rssd_id,$S$2,K$6,K$5,$B17,"K"),"")</f>
        <v/>
      </c>
      <c r="L17" s="38" t="str">
        <f>IFERROR([1]!IntrinioBankFinancials(rssd_id,$S$2,L$6,L$5,$B17,"K"),"")</f>
        <v/>
      </c>
      <c r="M17" s="38" t="str">
        <f>IFERROR([1]!IntrinioBankFinancials(rssd_id,$S$2,M$6,M$5,$B17,"K"),"")</f>
        <v/>
      </c>
      <c r="N17" s="38" t="str">
        <f>IFERROR([1]!IntrinioBankFinancials(rssd_id,$S$2,N$6,N$5,$B17,"K"),"")</f>
        <v/>
      </c>
      <c r="O17" s="38" t="str">
        <f>IFERROR([1]!IntrinioBankFinancials(rssd_id,$S$2,O$6,O$5,$B17,"K"),"")</f>
        <v/>
      </c>
      <c r="P17" s="46" t="s">
        <v>23</v>
      </c>
    </row>
    <row r="18" spans="1:16" s="36" customFormat="1" ht="28.5" x14ac:dyDescent="0.4">
      <c r="A18" s="42" t="s">
        <v>24</v>
      </c>
      <c r="B18" s="37" t="s">
        <v>889</v>
      </c>
      <c r="C18" s="38" t="str">
        <f>IFERROR([1]!IntrinioBankFinancials(rssd_id,$S$2,C$6,C$5,$B18,"K"),"")</f>
        <v/>
      </c>
      <c r="D18" s="38" t="str">
        <f>IFERROR([1]!IntrinioBankFinancials(rssd_id,$S$2,D$6,D$5,$B18,"K"),"")</f>
        <v/>
      </c>
      <c r="E18" s="38" t="str">
        <f>IFERROR([1]!IntrinioBankFinancials(rssd_id,$S$2,E$6,E$5,$B18,"K"),"")</f>
        <v/>
      </c>
      <c r="F18" s="38" t="str">
        <f>IFERROR([1]!IntrinioBankFinancials(rssd_id,$S$2,F$6,F$5,$B18,"K"),"")</f>
        <v/>
      </c>
      <c r="G18" s="38" t="str">
        <f>IFERROR([1]!IntrinioBankFinancials(rssd_id,$S$2,G$6,G$5,$B18,"K"),"")</f>
        <v/>
      </c>
      <c r="H18" s="38" t="str">
        <f>IFERROR([1]!IntrinioBankFinancials(rssd_id,$S$2,H$6,H$5,$B18,"K"),"")</f>
        <v/>
      </c>
      <c r="I18" s="38" t="str">
        <f>IFERROR([1]!IntrinioBankFinancials(rssd_id,$S$2,I$6,I$5,$B18,"K"),"")</f>
        <v/>
      </c>
      <c r="J18" s="38" t="str">
        <f>IFERROR([1]!IntrinioBankFinancials(rssd_id,$S$2,J$6,J$5,$B18,"K"),"")</f>
        <v/>
      </c>
      <c r="K18" s="38" t="str">
        <f>IFERROR([1]!IntrinioBankFinancials(rssd_id,$S$2,K$6,K$5,$B18,"K"),"")</f>
        <v/>
      </c>
      <c r="L18" s="38" t="str">
        <f>IFERROR([1]!IntrinioBankFinancials(rssd_id,$S$2,L$6,L$5,$B18,"K"),"")</f>
        <v/>
      </c>
      <c r="M18" s="38" t="str">
        <f>IFERROR([1]!IntrinioBankFinancials(rssd_id,$S$2,M$6,M$5,$B18,"K"),"")</f>
        <v/>
      </c>
      <c r="N18" s="38" t="str">
        <f>IFERROR([1]!IntrinioBankFinancials(rssd_id,$S$2,N$6,N$5,$B18,"K"),"")</f>
        <v/>
      </c>
      <c r="O18" s="38" t="str">
        <f>IFERROR([1]!IntrinioBankFinancials(rssd_id,$S$2,O$6,O$5,$B18,"K"),"")</f>
        <v/>
      </c>
      <c r="P18" s="46" t="s">
        <v>25</v>
      </c>
    </row>
    <row r="19" spans="1:16" s="36" customFormat="1" ht="14.25" x14ac:dyDescent="0.4">
      <c r="A19" s="41" t="s">
        <v>26</v>
      </c>
      <c r="B19" s="37" t="s">
        <v>890</v>
      </c>
      <c r="C19" s="38" t="str">
        <f>IFERROR([1]!IntrinioBankFinancials(rssd_id,$S$2,C$6,C$5,$B19,"K"),"")</f>
        <v/>
      </c>
      <c r="D19" s="38" t="str">
        <f>IFERROR([1]!IntrinioBankFinancials(rssd_id,$S$2,D$6,D$5,$B19,"K"),"")</f>
        <v/>
      </c>
      <c r="E19" s="38" t="str">
        <f>IFERROR([1]!IntrinioBankFinancials(rssd_id,$S$2,E$6,E$5,$B19,"K"),"")</f>
        <v/>
      </c>
      <c r="F19" s="38" t="str">
        <f>IFERROR([1]!IntrinioBankFinancials(rssd_id,$S$2,F$6,F$5,$B19,"K"),"")</f>
        <v/>
      </c>
      <c r="G19" s="38" t="str">
        <f>IFERROR([1]!IntrinioBankFinancials(rssd_id,$S$2,G$6,G$5,$B19,"K"),"")</f>
        <v/>
      </c>
      <c r="H19" s="38" t="str">
        <f>IFERROR([1]!IntrinioBankFinancials(rssd_id,$S$2,H$6,H$5,$B19,"K"),"")</f>
        <v/>
      </c>
      <c r="I19" s="38" t="str">
        <f>IFERROR([1]!IntrinioBankFinancials(rssd_id,$S$2,I$6,I$5,$B19,"K"),"")</f>
        <v/>
      </c>
      <c r="J19" s="38" t="str">
        <f>IFERROR([1]!IntrinioBankFinancials(rssd_id,$S$2,J$6,J$5,$B19,"K"),"")</f>
        <v/>
      </c>
      <c r="K19" s="38" t="str">
        <f>IFERROR([1]!IntrinioBankFinancials(rssd_id,$S$2,K$6,K$5,$B19,"K"),"")</f>
        <v/>
      </c>
      <c r="L19" s="38" t="str">
        <f>IFERROR([1]!IntrinioBankFinancials(rssd_id,$S$2,L$6,L$5,$B19,"K"),"")</f>
        <v/>
      </c>
      <c r="M19" s="38" t="str">
        <f>IFERROR([1]!IntrinioBankFinancials(rssd_id,$S$2,M$6,M$5,$B19,"K"),"")</f>
        <v/>
      </c>
      <c r="N19" s="38" t="str">
        <f>IFERROR([1]!IntrinioBankFinancials(rssd_id,$S$2,N$6,N$5,$B19,"K"),"")</f>
        <v/>
      </c>
      <c r="O19" s="38" t="str">
        <f>IFERROR([1]!IntrinioBankFinancials(rssd_id,$S$2,O$6,O$5,$B19,"K"),"")</f>
        <v/>
      </c>
      <c r="P19" s="46" t="s">
        <v>27</v>
      </c>
    </row>
    <row r="20" spans="1:16" s="36" customFormat="1" ht="28.5" x14ac:dyDescent="0.4">
      <c r="A20" s="41" t="s">
        <v>28</v>
      </c>
      <c r="B20" s="37" t="s">
        <v>891</v>
      </c>
      <c r="C20" s="38" t="str">
        <f>IFERROR([1]!IntrinioBankFinancials(rssd_id,$S$2,C$6,C$5,$B20,"K"),"")</f>
        <v/>
      </c>
      <c r="D20" s="38" t="str">
        <f>IFERROR([1]!IntrinioBankFinancials(rssd_id,$S$2,D$6,D$5,$B20,"K"),"")</f>
        <v/>
      </c>
      <c r="E20" s="38" t="str">
        <f>IFERROR([1]!IntrinioBankFinancials(rssd_id,$S$2,E$6,E$5,$B20,"K"),"")</f>
        <v/>
      </c>
      <c r="F20" s="38" t="str">
        <f>IFERROR([1]!IntrinioBankFinancials(rssd_id,$S$2,F$6,F$5,$B20,"K"),"")</f>
        <v/>
      </c>
      <c r="G20" s="38" t="str">
        <f>IFERROR([1]!IntrinioBankFinancials(rssd_id,$S$2,G$6,G$5,$B20,"K"),"")</f>
        <v/>
      </c>
      <c r="H20" s="38" t="str">
        <f>IFERROR([1]!IntrinioBankFinancials(rssd_id,$S$2,H$6,H$5,$B20,"K"),"")</f>
        <v/>
      </c>
      <c r="I20" s="38" t="str">
        <f>IFERROR([1]!IntrinioBankFinancials(rssd_id,$S$2,I$6,I$5,$B20,"K"),"")</f>
        <v/>
      </c>
      <c r="J20" s="38" t="str">
        <f>IFERROR([1]!IntrinioBankFinancials(rssd_id,$S$2,J$6,J$5,$B20,"K"),"")</f>
        <v/>
      </c>
      <c r="K20" s="38" t="str">
        <f>IFERROR([1]!IntrinioBankFinancials(rssd_id,$S$2,K$6,K$5,$B20,"K"),"")</f>
        <v/>
      </c>
      <c r="L20" s="38" t="str">
        <f>IFERROR([1]!IntrinioBankFinancials(rssd_id,$S$2,L$6,L$5,$B20,"K"),"")</f>
        <v/>
      </c>
      <c r="M20" s="38" t="str">
        <f>IFERROR([1]!IntrinioBankFinancials(rssd_id,$S$2,M$6,M$5,$B20,"K"),"")</f>
        <v/>
      </c>
      <c r="N20" s="38" t="str">
        <f>IFERROR([1]!IntrinioBankFinancials(rssd_id,$S$2,N$6,N$5,$B20,"K"),"")</f>
        <v/>
      </c>
      <c r="O20" s="38" t="str">
        <f>IFERROR([1]!IntrinioBankFinancials(rssd_id,$S$2,O$6,O$5,$B20,"K"),"")</f>
        <v/>
      </c>
      <c r="P20" s="46" t="s">
        <v>29</v>
      </c>
    </row>
    <row r="21" spans="1:16" s="36" customFormat="1" ht="14.25" x14ac:dyDescent="0.4">
      <c r="A21" s="41" t="s">
        <v>30</v>
      </c>
      <c r="B21" s="37" t="s">
        <v>892</v>
      </c>
      <c r="C21" s="38" t="str">
        <f>IFERROR([1]!IntrinioBankFinancials(rssd_id,$S$2,C$6,C$5,$B21,"K"),"")</f>
        <v/>
      </c>
      <c r="D21" s="38" t="str">
        <f>IFERROR([1]!IntrinioBankFinancials(rssd_id,$S$2,D$6,D$5,$B21,"K"),"")</f>
        <v/>
      </c>
      <c r="E21" s="38" t="str">
        <f>IFERROR([1]!IntrinioBankFinancials(rssd_id,$S$2,E$6,E$5,$B21,"K"),"")</f>
        <v/>
      </c>
      <c r="F21" s="38" t="str">
        <f>IFERROR([1]!IntrinioBankFinancials(rssd_id,$S$2,F$6,F$5,$B21,"K"),"")</f>
        <v/>
      </c>
      <c r="G21" s="38" t="str">
        <f>IFERROR([1]!IntrinioBankFinancials(rssd_id,$S$2,G$6,G$5,$B21,"K"),"")</f>
        <v/>
      </c>
      <c r="H21" s="38" t="str">
        <f>IFERROR([1]!IntrinioBankFinancials(rssd_id,$S$2,H$6,H$5,$B21,"K"),"")</f>
        <v/>
      </c>
      <c r="I21" s="38" t="str">
        <f>IFERROR([1]!IntrinioBankFinancials(rssd_id,$S$2,I$6,I$5,$B21,"K"),"")</f>
        <v/>
      </c>
      <c r="J21" s="38" t="str">
        <f>IFERROR([1]!IntrinioBankFinancials(rssd_id,$S$2,J$6,J$5,$B21,"K"),"")</f>
        <v/>
      </c>
      <c r="K21" s="38" t="str">
        <f>IFERROR([1]!IntrinioBankFinancials(rssd_id,$S$2,K$6,K$5,$B21,"K"),"")</f>
        <v/>
      </c>
      <c r="L21" s="38" t="str">
        <f>IFERROR([1]!IntrinioBankFinancials(rssd_id,$S$2,L$6,L$5,$B21,"K"),"")</f>
        <v/>
      </c>
      <c r="M21" s="38" t="str">
        <f>IFERROR([1]!IntrinioBankFinancials(rssd_id,$S$2,M$6,M$5,$B21,"K"),"")</f>
        <v/>
      </c>
      <c r="N21" s="38" t="str">
        <f>IFERROR([1]!IntrinioBankFinancials(rssd_id,$S$2,N$6,N$5,$B21,"K"),"")</f>
        <v/>
      </c>
      <c r="O21" s="38" t="str">
        <f>IFERROR([1]!IntrinioBankFinancials(rssd_id,$S$2,O$6,O$5,$B21,"K"),"")</f>
        <v/>
      </c>
      <c r="P21" s="46" t="s">
        <v>31</v>
      </c>
    </row>
    <row r="22" spans="1:16" s="36" customFormat="1" ht="14.25" x14ac:dyDescent="0.4">
      <c r="A22" s="41" t="s">
        <v>32</v>
      </c>
      <c r="B22" s="37" t="s">
        <v>893</v>
      </c>
      <c r="C22" s="38" t="str">
        <f>IFERROR([1]!IntrinioBankFinancials(rssd_id,$S$2,C$6,C$5,$B22,"K"),"")</f>
        <v/>
      </c>
      <c r="D22" s="38" t="str">
        <f>IFERROR([1]!IntrinioBankFinancials(rssd_id,$S$2,D$6,D$5,$B22,"K"),"")</f>
        <v/>
      </c>
      <c r="E22" s="38" t="str">
        <f>IFERROR([1]!IntrinioBankFinancials(rssd_id,$S$2,E$6,E$5,$B22,"K"),"")</f>
        <v/>
      </c>
      <c r="F22" s="38" t="str">
        <f>IFERROR([1]!IntrinioBankFinancials(rssd_id,$S$2,F$6,F$5,$B22,"K"),"")</f>
        <v/>
      </c>
      <c r="G22" s="38" t="str">
        <f>IFERROR([1]!IntrinioBankFinancials(rssd_id,$S$2,G$6,G$5,$B22,"K"),"")</f>
        <v/>
      </c>
      <c r="H22" s="38" t="str">
        <f>IFERROR([1]!IntrinioBankFinancials(rssd_id,$S$2,H$6,H$5,$B22,"K"),"")</f>
        <v/>
      </c>
      <c r="I22" s="38" t="str">
        <f>IFERROR([1]!IntrinioBankFinancials(rssd_id,$S$2,I$6,I$5,$B22,"K"),"")</f>
        <v/>
      </c>
      <c r="J22" s="38" t="str">
        <f>IFERROR([1]!IntrinioBankFinancials(rssd_id,$S$2,J$6,J$5,$B22,"K"),"")</f>
        <v/>
      </c>
      <c r="K22" s="38" t="str">
        <f>IFERROR([1]!IntrinioBankFinancials(rssd_id,$S$2,K$6,K$5,$B22,"K"),"")</f>
        <v/>
      </c>
      <c r="L22" s="38" t="str">
        <f>IFERROR([1]!IntrinioBankFinancials(rssd_id,$S$2,L$6,L$5,$B22,"K"),"")</f>
        <v/>
      </c>
      <c r="M22" s="38" t="str">
        <f>IFERROR([1]!IntrinioBankFinancials(rssd_id,$S$2,M$6,M$5,$B22,"K"),"")</f>
        <v/>
      </c>
      <c r="N22" s="38" t="str">
        <f>IFERROR([1]!IntrinioBankFinancials(rssd_id,$S$2,N$6,N$5,$B22,"K"),"")</f>
        <v/>
      </c>
      <c r="O22" s="38" t="str">
        <f>IFERROR([1]!IntrinioBankFinancials(rssd_id,$S$2,O$6,O$5,$B22,"K"),"")</f>
        <v/>
      </c>
      <c r="P22" s="46" t="s">
        <v>33</v>
      </c>
    </row>
    <row r="23" spans="1:16" s="36" customFormat="1" ht="14.25" x14ac:dyDescent="0.4">
      <c r="A23" s="19" t="s">
        <v>34</v>
      </c>
      <c r="B23" s="34"/>
      <c r="C23" s="35"/>
      <c r="D23" s="35"/>
      <c r="E23" s="35"/>
      <c r="F23" s="35"/>
      <c r="G23" s="35"/>
      <c r="H23" s="35"/>
      <c r="I23" s="35"/>
      <c r="J23" s="35"/>
      <c r="K23" s="35"/>
      <c r="L23" s="35"/>
      <c r="M23" s="35"/>
      <c r="N23" s="35"/>
      <c r="O23" s="35"/>
      <c r="P23" s="46">
        <v>2</v>
      </c>
    </row>
    <row r="24" spans="1:16" s="36" customFormat="1" ht="14.25" x14ac:dyDescent="0.4">
      <c r="A24" s="41" t="s">
        <v>35</v>
      </c>
      <c r="B24" s="34"/>
      <c r="C24" s="35"/>
      <c r="D24" s="35"/>
      <c r="E24" s="35"/>
      <c r="F24" s="35"/>
      <c r="G24" s="35"/>
      <c r="H24" s="35"/>
      <c r="I24" s="35"/>
      <c r="J24" s="35"/>
      <c r="K24" s="35"/>
      <c r="L24" s="35"/>
      <c r="M24" s="35"/>
      <c r="N24" s="35"/>
      <c r="O24" s="35"/>
      <c r="P24" s="46" t="s">
        <v>36</v>
      </c>
    </row>
    <row r="25" spans="1:16" s="36" customFormat="1" ht="28.5" x14ac:dyDescent="0.4">
      <c r="A25" s="42" t="s">
        <v>233</v>
      </c>
      <c r="B25" s="37" t="s">
        <v>894</v>
      </c>
      <c r="C25" s="38" t="str">
        <f>IFERROR([1]!IntrinioBankFinancials(rssd_id,$S$2,C$6,C$5,$B25,"K"),"")</f>
        <v/>
      </c>
      <c r="D25" s="38" t="str">
        <f>IFERROR([1]!IntrinioBankFinancials(rssd_id,$S$2,D$6,D$5,$B25,"K"),"")</f>
        <v/>
      </c>
      <c r="E25" s="38" t="str">
        <f>IFERROR([1]!IntrinioBankFinancials(rssd_id,$S$2,E$6,E$5,$B25,"K"),"")</f>
        <v/>
      </c>
      <c r="F25" s="38" t="str">
        <f>IFERROR([1]!IntrinioBankFinancials(rssd_id,$S$2,F$6,F$5,$B25,"K"),"")</f>
        <v/>
      </c>
      <c r="G25" s="38" t="str">
        <f>IFERROR([1]!IntrinioBankFinancials(rssd_id,$S$2,G$6,G$5,$B25,"K"),"")</f>
        <v/>
      </c>
      <c r="H25" s="38" t="str">
        <f>IFERROR([1]!IntrinioBankFinancials(rssd_id,$S$2,H$6,H$5,$B25,"K"),"")</f>
        <v/>
      </c>
      <c r="I25" s="38" t="str">
        <f>IFERROR([1]!IntrinioBankFinancials(rssd_id,$S$2,I$6,I$5,$B25,"K"),"")</f>
        <v/>
      </c>
      <c r="J25" s="38" t="str">
        <f>IFERROR([1]!IntrinioBankFinancials(rssd_id,$S$2,J$6,J$5,$B25,"K"),"")</f>
        <v/>
      </c>
      <c r="K25" s="38" t="str">
        <f>IFERROR([1]!IntrinioBankFinancials(rssd_id,$S$2,K$6,K$5,$B25,"K"),"")</f>
        <v/>
      </c>
      <c r="L25" s="38" t="str">
        <f>IFERROR([1]!IntrinioBankFinancials(rssd_id,$S$2,L$6,L$5,$B25,"K"),"")</f>
        <v/>
      </c>
      <c r="M25" s="38" t="str">
        <f>IFERROR([1]!IntrinioBankFinancials(rssd_id,$S$2,M$6,M$5,$B25,"K"),"")</f>
        <v/>
      </c>
      <c r="N25" s="38" t="str">
        <f>IFERROR([1]!IntrinioBankFinancials(rssd_id,$S$2,N$6,N$5,$B25,"K"),"")</f>
        <v/>
      </c>
      <c r="O25" s="38" t="str">
        <f>IFERROR([1]!IntrinioBankFinancials(rssd_id,$S$2,O$6,O$5,$B25,"K"),"")</f>
        <v/>
      </c>
      <c r="P25" s="46" t="s">
        <v>37</v>
      </c>
    </row>
    <row r="26" spans="1:16" s="36" customFormat="1" ht="14.25" x14ac:dyDescent="0.4">
      <c r="A26" s="42" t="s">
        <v>38</v>
      </c>
      <c r="B26" s="34"/>
      <c r="C26" s="35"/>
      <c r="D26" s="35"/>
      <c r="E26" s="35"/>
      <c r="F26" s="35"/>
      <c r="G26" s="35"/>
      <c r="H26" s="35"/>
      <c r="I26" s="35"/>
      <c r="J26" s="35"/>
      <c r="K26" s="35"/>
      <c r="L26" s="35"/>
      <c r="M26" s="35"/>
      <c r="N26" s="35"/>
      <c r="O26" s="35"/>
      <c r="P26" s="46" t="s">
        <v>39</v>
      </c>
    </row>
    <row r="27" spans="1:16" s="36" customFormat="1" ht="14.25" x14ac:dyDescent="0.4">
      <c r="A27" s="43" t="s">
        <v>40</v>
      </c>
      <c r="B27" s="37" t="s">
        <v>895</v>
      </c>
      <c r="C27" s="38" t="str">
        <f>IFERROR([1]!IntrinioBankFinancials(rssd_id,$S$2,C$6,C$5,$B27,"K"),"")</f>
        <v/>
      </c>
      <c r="D27" s="38" t="str">
        <f>IFERROR([1]!IntrinioBankFinancials(rssd_id,$S$2,D$6,D$5,$B27,"K"),"")</f>
        <v/>
      </c>
      <c r="E27" s="38" t="str">
        <f>IFERROR([1]!IntrinioBankFinancials(rssd_id,$S$2,E$6,E$5,$B27,"K"),"")</f>
        <v/>
      </c>
      <c r="F27" s="38" t="str">
        <f>IFERROR([1]!IntrinioBankFinancials(rssd_id,$S$2,F$6,F$5,$B27,"K"),"")</f>
        <v/>
      </c>
      <c r="G27" s="38" t="str">
        <f>IFERROR([1]!IntrinioBankFinancials(rssd_id,$S$2,G$6,G$5,$B27,"K"),"")</f>
        <v/>
      </c>
      <c r="H27" s="38" t="str">
        <f>IFERROR([1]!IntrinioBankFinancials(rssd_id,$S$2,H$6,H$5,$B27,"K"),"")</f>
        <v/>
      </c>
      <c r="I27" s="38" t="str">
        <f>IFERROR([1]!IntrinioBankFinancials(rssd_id,$S$2,I$6,I$5,$B27,"K"),"")</f>
        <v/>
      </c>
      <c r="J27" s="38" t="str">
        <f>IFERROR([1]!IntrinioBankFinancials(rssd_id,$S$2,J$6,J$5,$B27,"K"),"")</f>
        <v/>
      </c>
      <c r="K27" s="38" t="str">
        <f>IFERROR([1]!IntrinioBankFinancials(rssd_id,$S$2,K$6,K$5,$B27,"K"),"")</f>
        <v/>
      </c>
      <c r="L27" s="38" t="str">
        <f>IFERROR([1]!IntrinioBankFinancials(rssd_id,$S$2,L$6,L$5,$B27,"K"),"")</f>
        <v/>
      </c>
      <c r="M27" s="38" t="str">
        <f>IFERROR([1]!IntrinioBankFinancials(rssd_id,$S$2,M$6,M$5,$B27,"K"),"")</f>
        <v/>
      </c>
      <c r="N27" s="38" t="str">
        <f>IFERROR([1]!IntrinioBankFinancials(rssd_id,$S$2,N$6,N$5,$B27,"K"),"")</f>
        <v/>
      </c>
      <c r="O27" s="38" t="str">
        <f>IFERROR([1]!IntrinioBankFinancials(rssd_id,$S$2,O$6,O$5,$B27,"K"),"")</f>
        <v/>
      </c>
      <c r="P27" s="46" t="s">
        <v>41</v>
      </c>
    </row>
    <row r="28" spans="1:16" s="36" customFormat="1" ht="14.25" x14ac:dyDescent="0.4">
      <c r="A28" s="43" t="s">
        <v>42</v>
      </c>
      <c r="B28" s="37" t="s">
        <v>896</v>
      </c>
      <c r="C28" s="38" t="str">
        <f>IFERROR([1]!IntrinioBankFinancials(rssd_id,$S$2,C$6,C$5,$B28,"K"),"")</f>
        <v/>
      </c>
      <c r="D28" s="38" t="str">
        <f>IFERROR([1]!IntrinioBankFinancials(rssd_id,$S$2,D$6,D$5,$B28,"K"),"")</f>
        <v/>
      </c>
      <c r="E28" s="38" t="str">
        <f>IFERROR([1]!IntrinioBankFinancials(rssd_id,$S$2,E$6,E$5,$B28,"K"),"")</f>
        <v/>
      </c>
      <c r="F28" s="38" t="str">
        <f>IFERROR([1]!IntrinioBankFinancials(rssd_id,$S$2,F$6,F$5,$B28,"K"),"")</f>
        <v/>
      </c>
      <c r="G28" s="38" t="str">
        <f>IFERROR([1]!IntrinioBankFinancials(rssd_id,$S$2,G$6,G$5,$B28,"K"),"")</f>
        <v/>
      </c>
      <c r="H28" s="38" t="str">
        <f>IFERROR([1]!IntrinioBankFinancials(rssd_id,$S$2,H$6,H$5,$B28,"K"),"")</f>
        <v/>
      </c>
      <c r="I28" s="38" t="str">
        <f>IFERROR([1]!IntrinioBankFinancials(rssd_id,$S$2,I$6,I$5,$B28,"K"),"")</f>
        <v/>
      </c>
      <c r="J28" s="38" t="str">
        <f>IFERROR([1]!IntrinioBankFinancials(rssd_id,$S$2,J$6,J$5,$B28,"K"),"")</f>
        <v/>
      </c>
      <c r="K28" s="38" t="str">
        <f>IFERROR([1]!IntrinioBankFinancials(rssd_id,$S$2,K$6,K$5,$B28,"K"),"")</f>
        <v/>
      </c>
      <c r="L28" s="38" t="str">
        <f>IFERROR([1]!IntrinioBankFinancials(rssd_id,$S$2,L$6,L$5,$B28,"K"),"")</f>
        <v/>
      </c>
      <c r="M28" s="38" t="str">
        <f>IFERROR([1]!IntrinioBankFinancials(rssd_id,$S$2,M$6,M$5,$B28,"K"),"")</f>
        <v/>
      </c>
      <c r="N28" s="38" t="str">
        <f>IFERROR([1]!IntrinioBankFinancials(rssd_id,$S$2,N$6,N$5,$B28,"K"),"")</f>
        <v/>
      </c>
      <c r="O28" s="38" t="str">
        <f>IFERROR([1]!IntrinioBankFinancials(rssd_id,$S$2,O$6,O$5,$B28,"K"),"")</f>
        <v/>
      </c>
      <c r="P28" s="46" t="s">
        <v>43</v>
      </c>
    </row>
    <row r="29" spans="1:16" s="36" customFormat="1" ht="14.25" x14ac:dyDescent="0.4">
      <c r="A29" s="43" t="s">
        <v>44</v>
      </c>
      <c r="B29" s="37" t="s">
        <v>897</v>
      </c>
      <c r="C29" s="38" t="str">
        <f>IFERROR([1]!IntrinioBankFinancials(rssd_id,$S$2,C$6,C$5,$B29,"K"),"")</f>
        <v/>
      </c>
      <c r="D29" s="38" t="str">
        <f>IFERROR([1]!IntrinioBankFinancials(rssd_id,$S$2,D$6,D$5,$B29,"K"),"")</f>
        <v/>
      </c>
      <c r="E29" s="38" t="str">
        <f>IFERROR([1]!IntrinioBankFinancials(rssd_id,$S$2,E$6,E$5,$B29,"K"),"")</f>
        <v/>
      </c>
      <c r="F29" s="38" t="str">
        <f>IFERROR([1]!IntrinioBankFinancials(rssd_id,$S$2,F$6,F$5,$B29,"K"),"")</f>
        <v/>
      </c>
      <c r="G29" s="38" t="str">
        <f>IFERROR([1]!IntrinioBankFinancials(rssd_id,$S$2,G$6,G$5,$B29,"K"),"")</f>
        <v/>
      </c>
      <c r="H29" s="38" t="str">
        <f>IFERROR([1]!IntrinioBankFinancials(rssd_id,$S$2,H$6,H$5,$B29,"K"),"")</f>
        <v/>
      </c>
      <c r="I29" s="38" t="str">
        <f>IFERROR([1]!IntrinioBankFinancials(rssd_id,$S$2,I$6,I$5,$B29,"K"),"")</f>
        <v/>
      </c>
      <c r="J29" s="38" t="str">
        <f>IFERROR([1]!IntrinioBankFinancials(rssd_id,$S$2,J$6,J$5,$B29,"K"),"")</f>
        <v/>
      </c>
      <c r="K29" s="38" t="str">
        <f>IFERROR([1]!IntrinioBankFinancials(rssd_id,$S$2,K$6,K$5,$B29,"K"),"")</f>
        <v/>
      </c>
      <c r="L29" s="38" t="str">
        <f>IFERROR([1]!IntrinioBankFinancials(rssd_id,$S$2,L$6,L$5,$B29,"K"),"")</f>
        <v/>
      </c>
      <c r="M29" s="38" t="str">
        <f>IFERROR([1]!IntrinioBankFinancials(rssd_id,$S$2,M$6,M$5,$B29,"K"),"")</f>
        <v/>
      </c>
      <c r="N29" s="38" t="str">
        <f>IFERROR([1]!IntrinioBankFinancials(rssd_id,$S$2,N$6,N$5,$B29,"K"),"")</f>
        <v/>
      </c>
      <c r="O29" s="38" t="str">
        <f>IFERROR([1]!IntrinioBankFinancials(rssd_id,$S$2,O$6,O$5,$B29,"K"),"")</f>
        <v/>
      </c>
      <c r="P29" s="46" t="s">
        <v>45</v>
      </c>
    </row>
    <row r="30" spans="1:16" s="36" customFormat="1" ht="28.5" x14ac:dyDescent="0.4">
      <c r="A30" s="41" t="s">
        <v>46</v>
      </c>
      <c r="B30" s="37" t="s">
        <v>898</v>
      </c>
      <c r="C30" s="38" t="str">
        <f>IFERROR([1]!IntrinioBankFinancials(rssd_id,$S$2,C$6,C$5,$B30,"K"),"")</f>
        <v/>
      </c>
      <c r="D30" s="38" t="str">
        <f>IFERROR([1]!IntrinioBankFinancials(rssd_id,$S$2,D$6,D$5,$B30,"K"),"")</f>
        <v/>
      </c>
      <c r="E30" s="38" t="str">
        <f>IFERROR([1]!IntrinioBankFinancials(rssd_id,$S$2,E$6,E$5,$B30,"K"),"")</f>
        <v/>
      </c>
      <c r="F30" s="38" t="str">
        <f>IFERROR([1]!IntrinioBankFinancials(rssd_id,$S$2,F$6,F$5,$B30,"K"),"")</f>
        <v/>
      </c>
      <c r="G30" s="38" t="str">
        <f>IFERROR([1]!IntrinioBankFinancials(rssd_id,$S$2,G$6,G$5,$B30,"K"),"")</f>
        <v/>
      </c>
      <c r="H30" s="38" t="str">
        <f>IFERROR([1]!IntrinioBankFinancials(rssd_id,$S$2,H$6,H$5,$B30,"K"),"")</f>
        <v/>
      </c>
      <c r="I30" s="38" t="str">
        <f>IFERROR([1]!IntrinioBankFinancials(rssd_id,$S$2,I$6,I$5,$B30,"K"),"")</f>
        <v/>
      </c>
      <c r="J30" s="38" t="str">
        <f>IFERROR([1]!IntrinioBankFinancials(rssd_id,$S$2,J$6,J$5,$B30,"K"),"")</f>
        <v/>
      </c>
      <c r="K30" s="38" t="str">
        <f>IFERROR([1]!IntrinioBankFinancials(rssd_id,$S$2,K$6,K$5,$B30,"K"),"")</f>
        <v/>
      </c>
      <c r="L30" s="38" t="str">
        <f>IFERROR([1]!IntrinioBankFinancials(rssd_id,$S$2,L$6,L$5,$B30,"K"),"")</f>
        <v/>
      </c>
      <c r="M30" s="38" t="str">
        <f>IFERROR([1]!IntrinioBankFinancials(rssd_id,$S$2,M$6,M$5,$B30,"K"),"")</f>
        <v/>
      </c>
      <c r="N30" s="38" t="str">
        <f>IFERROR([1]!IntrinioBankFinancials(rssd_id,$S$2,N$6,N$5,$B30,"K"),"")</f>
        <v/>
      </c>
      <c r="O30" s="38" t="str">
        <f>IFERROR([1]!IntrinioBankFinancials(rssd_id,$S$2,O$6,O$5,$B30,"K"),"")</f>
        <v/>
      </c>
      <c r="P30" s="46" t="s">
        <v>47</v>
      </c>
    </row>
    <row r="31" spans="1:16" s="36" customFormat="1" ht="14.25" x14ac:dyDescent="0.4">
      <c r="A31" s="41" t="s">
        <v>48</v>
      </c>
      <c r="B31" s="37" t="s">
        <v>899</v>
      </c>
      <c r="C31" s="38" t="str">
        <f>IFERROR([1]!IntrinioBankFinancials(rssd_id,$S$2,C$6,C$5,$B31,"K"),"")</f>
        <v/>
      </c>
      <c r="D31" s="38" t="str">
        <f>IFERROR([1]!IntrinioBankFinancials(rssd_id,$S$2,D$6,D$5,$B31,"K"),"")</f>
        <v/>
      </c>
      <c r="E31" s="38" t="str">
        <f>IFERROR([1]!IntrinioBankFinancials(rssd_id,$S$2,E$6,E$5,$B31,"K"),"")</f>
        <v/>
      </c>
      <c r="F31" s="38" t="str">
        <f>IFERROR([1]!IntrinioBankFinancials(rssd_id,$S$2,F$6,F$5,$B31,"K"),"")</f>
        <v/>
      </c>
      <c r="G31" s="38" t="str">
        <f>IFERROR([1]!IntrinioBankFinancials(rssd_id,$S$2,G$6,G$5,$B31,"K"),"")</f>
        <v/>
      </c>
      <c r="H31" s="38" t="str">
        <f>IFERROR([1]!IntrinioBankFinancials(rssd_id,$S$2,H$6,H$5,$B31,"K"),"")</f>
        <v/>
      </c>
      <c r="I31" s="38" t="str">
        <f>IFERROR([1]!IntrinioBankFinancials(rssd_id,$S$2,I$6,I$5,$B31,"K"),"")</f>
        <v/>
      </c>
      <c r="J31" s="38" t="str">
        <f>IFERROR([1]!IntrinioBankFinancials(rssd_id,$S$2,J$6,J$5,$B31,"K"),"")</f>
        <v/>
      </c>
      <c r="K31" s="38" t="str">
        <f>IFERROR([1]!IntrinioBankFinancials(rssd_id,$S$2,K$6,K$5,$B31,"K"),"")</f>
        <v/>
      </c>
      <c r="L31" s="38" t="str">
        <f>IFERROR([1]!IntrinioBankFinancials(rssd_id,$S$2,L$6,L$5,$B31,"K"),"")</f>
        <v/>
      </c>
      <c r="M31" s="38" t="str">
        <f>IFERROR([1]!IntrinioBankFinancials(rssd_id,$S$2,M$6,M$5,$B31,"K"),"")</f>
        <v/>
      </c>
      <c r="N31" s="38" t="str">
        <f>IFERROR([1]!IntrinioBankFinancials(rssd_id,$S$2,N$6,N$5,$B31,"K"),"")</f>
        <v/>
      </c>
      <c r="O31" s="38" t="str">
        <f>IFERROR([1]!IntrinioBankFinancials(rssd_id,$S$2,O$6,O$5,$B31,"K"),"")</f>
        <v/>
      </c>
      <c r="P31" s="46" t="s">
        <v>49</v>
      </c>
    </row>
    <row r="32" spans="1:16" s="36" customFormat="1" ht="14.25" x14ac:dyDescent="0.4">
      <c r="A32" s="41" t="s">
        <v>50</v>
      </c>
      <c r="B32" s="37" t="s">
        <v>900</v>
      </c>
      <c r="C32" s="38" t="str">
        <f>IFERROR([1]!IntrinioBankFinancials(rssd_id,$S$2,C$6,C$5,$B32,"K"),"")</f>
        <v/>
      </c>
      <c r="D32" s="38" t="str">
        <f>IFERROR([1]!IntrinioBankFinancials(rssd_id,$S$2,D$6,D$5,$B32,"K"),"")</f>
        <v/>
      </c>
      <c r="E32" s="38" t="str">
        <f>IFERROR([1]!IntrinioBankFinancials(rssd_id,$S$2,E$6,E$5,$B32,"K"),"")</f>
        <v/>
      </c>
      <c r="F32" s="38" t="str">
        <f>IFERROR([1]!IntrinioBankFinancials(rssd_id,$S$2,F$6,F$5,$B32,"K"),"")</f>
        <v/>
      </c>
      <c r="G32" s="38" t="str">
        <f>IFERROR([1]!IntrinioBankFinancials(rssd_id,$S$2,G$6,G$5,$B32,"K"),"")</f>
        <v/>
      </c>
      <c r="H32" s="38" t="str">
        <f>IFERROR([1]!IntrinioBankFinancials(rssd_id,$S$2,H$6,H$5,$B32,"K"),"")</f>
        <v/>
      </c>
      <c r="I32" s="38" t="str">
        <f>IFERROR([1]!IntrinioBankFinancials(rssd_id,$S$2,I$6,I$5,$B32,"K"),"")</f>
        <v/>
      </c>
      <c r="J32" s="38" t="str">
        <f>IFERROR([1]!IntrinioBankFinancials(rssd_id,$S$2,J$6,J$5,$B32,"K"),"")</f>
        <v/>
      </c>
      <c r="K32" s="38" t="str">
        <f>IFERROR([1]!IntrinioBankFinancials(rssd_id,$S$2,K$6,K$5,$B32,"K"),"")</f>
        <v/>
      </c>
      <c r="L32" s="38" t="str">
        <f>IFERROR([1]!IntrinioBankFinancials(rssd_id,$S$2,L$6,L$5,$B32,"K"),"")</f>
        <v/>
      </c>
      <c r="M32" s="38" t="str">
        <f>IFERROR([1]!IntrinioBankFinancials(rssd_id,$S$2,M$6,M$5,$B32,"K"),"")</f>
        <v/>
      </c>
      <c r="N32" s="38" t="str">
        <f>IFERROR([1]!IntrinioBankFinancials(rssd_id,$S$2,N$6,N$5,$B32,"K"),"")</f>
        <v/>
      </c>
      <c r="O32" s="38" t="str">
        <f>IFERROR([1]!IntrinioBankFinancials(rssd_id,$S$2,O$6,O$5,$B32,"K"),"")</f>
        <v/>
      </c>
      <c r="P32" s="46" t="s">
        <v>51</v>
      </c>
    </row>
    <row r="33" spans="1:16" s="36" customFormat="1" ht="14.25" x14ac:dyDescent="0.4">
      <c r="A33" s="41" t="s">
        <v>52</v>
      </c>
      <c r="B33" s="37" t="s">
        <v>901</v>
      </c>
      <c r="C33" s="38" t="str">
        <f>IFERROR([1]!IntrinioBankFinancials(rssd_id,$S$2,C$6,C$5,$B33,"K"),"")</f>
        <v/>
      </c>
      <c r="D33" s="38" t="str">
        <f>IFERROR([1]!IntrinioBankFinancials(rssd_id,$S$2,D$6,D$5,$B33,"K"),"")</f>
        <v/>
      </c>
      <c r="E33" s="38" t="str">
        <f>IFERROR([1]!IntrinioBankFinancials(rssd_id,$S$2,E$6,E$5,$B33,"K"),"")</f>
        <v/>
      </c>
      <c r="F33" s="38" t="str">
        <f>IFERROR([1]!IntrinioBankFinancials(rssd_id,$S$2,F$6,F$5,$B33,"K"),"")</f>
        <v/>
      </c>
      <c r="G33" s="38" t="str">
        <f>IFERROR([1]!IntrinioBankFinancials(rssd_id,$S$2,G$6,G$5,$B33,"K"),"")</f>
        <v/>
      </c>
      <c r="H33" s="38" t="str">
        <f>IFERROR([1]!IntrinioBankFinancials(rssd_id,$S$2,H$6,H$5,$B33,"K"),"")</f>
        <v/>
      </c>
      <c r="I33" s="38" t="str">
        <f>IFERROR([1]!IntrinioBankFinancials(rssd_id,$S$2,I$6,I$5,$B33,"K"),"")</f>
        <v/>
      </c>
      <c r="J33" s="38" t="str">
        <f>IFERROR([1]!IntrinioBankFinancials(rssd_id,$S$2,J$6,J$5,$B33,"K"),"")</f>
        <v/>
      </c>
      <c r="K33" s="38" t="str">
        <f>IFERROR([1]!IntrinioBankFinancials(rssd_id,$S$2,K$6,K$5,$B33,"K"),"")</f>
        <v/>
      </c>
      <c r="L33" s="38" t="str">
        <f>IFERROR([1]!IntrinioBankFinancials(rssd_id,$S$2,L$6,L$5,$B33,"K"),"")</f>
        <v/>
      </c>
      <c r="M33" s="38" t="str">
        <f>IFERROR([1]!IntrinioBankFinancials(rssd_id,$S$2,M$6,M$5,$B33,"K"),"")</f>
        <v/>
      </c>
      <c r="N33" s="38" t="str">
        <f>IFERROR([1]!IntrinioBankFinancials(rssd_id,$S$2,N$6,N$5,$B33,"K"),"")</f>
        <v/>
      </c>
      <c r="O33" s="38" t="str">
        <f>IFERROR([1]!IntrinioBankFinancials(rssd_id,$S$2,O$6,O$5,$B33,"K"),"")</f>
        <v/>
      </c>
      <c r="P33" s="46" t="s">
        <v>53</v>
      </c>
    </row>
    <row r="34" spans="1:16" s="36" customFormat="1" ht="14.25" x14ac:dyDescent="0.4">
      <c r="A34" s="19" t="s">
        <v>54</v>
      </c>
      <c r="B34" s="37" t="s">
        <v>902</v>
      </c>
      <c r="C34" s="38" t="str">
        <f>IFERROR([1]!IntrinioBankFinancials(rssd_id,$S$2,C$6,C$5,$B34,"K"),"")</f>
        <v/>
      </c>
      <c r="D34" s="38" t="str">
        <f>IFERROR([1]!IntrinioBankFinancials(rssd_id,$S$2,D$6,D$5,$B34,"K"),"")</f>
        <v/>
      </c>
      <c r="E34" s="38" t="str">
        <f>IFERROR([1]!IntrinioBankFinancials(rssd_id,$S$2,E$6,E$5,$B34,"K"),"")</f>
        <v/>
      </c>
      <c r="F34" s="38" t="str">
        <f>IFERROR([1]!IntrinioBankFinancials(rssd_id,$S$2,F$6,F$5,$B34,"K"),"")</f>
        <v/>
      </c>
      <c r="G34" s="38" t="str">
        <f>IFERROR([1]!IntrinioBankFinancials(rssd_id,$S$2,G$6,G$5,$B34,"K"),"")</f>
        <v/>
      </c>
      <c r="H34" s="38" t="str">
        <f>IFERROR([1]!IntrinioBankFinancials(rssd_id,$S$2,H$6,H$5,$B34,"K"),"")</f>
        <v/>
      </c>
      <c r="I34" s="38" t="str">
        <f>IFERROR([1]!IntrinioBankFinancials(rssd_id,$S$2,I$6,I$5,$B34,"K"),"")</f>
        <v/>
      </c>
      <c r="J34" s="38" t="str">
        <f>IFERROR([1]!IntrinioBankFinancials(rssd_id,$S$2,J$6,J$5,$B34,"K"),"")</f>
        <v/>
      </c>
      <c r="K34" s="38" t="str">
        <f>IFERROR([1]!IntrinioBankFinancials(rssd_id,$S$2,K$6,K$5,$B34,"K"),"")</f>
        <v/>
      </c>
      <c r="L34" s="38" t="str">
        <f>IFERROR([1]!IntrinioBankFinancials(rssd_id,$S$2,L$6,L$5,$B34,"K"),"")</f>
        <v/>
      </c>
      <c r="M34" s="38" t="str">
        <f>IFERROR([1]!IntrinioBankFinancials(rssd_id,$S$2,M$6,M$5,$B34,"K"),"")</f>
        <v/>
      </c>
      <c r="N34" s="38" t="str">
        <f>IFERROR([1]!IntrinioBankFinancials(rssd_id,$S$2,N$6,N$5,$B34,"K"),"")</f>
        <v/>
      </c>
      <c r="O34" s="38" t="str">
        <f>IFERROR([1]!IntrinioBankFinancials(rssd_id,$S$2,O$6,O$5,$B34,"K"),"")</f>
        <v/>
      </c>
      <c r="P34" s="46">
        <v>3</v>
      </c>
    </row>
    <row r="35" spans="1:16" s="36" customFormat="1" ht="14.25" x14ac:dyDescent="0.4">
      <c r="A35" s="19" t="s">
        <v>55</v>
      </c>
      <c r="B35" s="37" t="s">
        <v>903</v>
      </c>
      <c r="C35" s="38" t="str">
        <f>IFERROR([1]!IntrinioBankFinancials(rssd_id,$S$2,C$6,C$5,$B35,"K"),"")</f>
        <v/>
      </c>
      <c r="D35" s="38" t="str">
        <f>IFERROR([1]!IntrinioBankFinancials(rssd_id,$S$2,D$6,D$5,$B35,"K"),"")</f>
        <v/>
      </c>
      <c r="E35" s="38" t="str">
        <f>IFERROR([1]!IntrinioBankFinancials(rssd_id,$S$2,E$6,E$5,$B35,"K"),"")</f>
        <v/>
      </c>
      <c r="F35" s="38" t="str">
        <f>IFERROR([1]!IntrinioBankFinancials(rssd_id,$S$2,F$6,F$5,$B35,"K"),"")</f>
        <v/>
      </c>
      <c r="G35" s="38" t="str">
        <f>IFERROR([1]!IntrinioBankFinancials(rssd_id,$S$2,G$6,G$5,$B35,"K"),"")</f>
        <v/>
      </c>
      <c r="H35" s="38" t="str">
        <f>IFERROR([1]!IntrinioBankFinancials(rssd_id,$S$2,H$6,H$5,$B35,"K"),"")</f>
        <v/>
      </c>
      <c r="I35" s="38" t="str">
        <f>IFERROR([1]!IntrinioBankFinancials(rssd_id,$S$2,I$6,I$5,$B35,"K"),"")</f>
        <v/>
      </c>
      <c r="J35" s="38" t="str">
        <f>IFERROR([1]!IntrinioBankFinancials(rssd_id,$S$2,J$6,J$5,$B35,"K"),"")</f>
        <v/>
      </c>
      <c r="K35" s="38" t="str">
        <f>IFERROR([1]!IntrinioBankFinancials(rssd_id,$S$2,K$6,K$5,$B35,"K"),"")</f>
        <v/>
      </c>
      <c r="L35" s="38" t="str">
        <f>IFERROR([1]!IntrinioBankFinancials(rssd_id,$S$2,L$6,L$5,$B35,"K"),"")</f>
        <v/>
      </c>
      <c r="M35" s="38" t="str">
        <f>IFERROR([1]!IntrinioBankFinancials(rssd_id,$S$2,M$6,M$5,$B35,"K"),"")</f>
        <v/>
      </c>
      <c r="N35" s="38" t="str">
        <f>IFERROR([1]!IntrinioBankFinancials(rssd_id,$S$2,N$6,N$5,$B35,"K"),"")</f>
        <v/>
      </c>
      <c r="O35" s="38" t="str">
        <f>IFERROR([1]!IntrinioBankFinancials(rssd_id,$S$2,O$6,O$5,$B35,"K"),"")</f>
        <v/>
      </c>
      <c r="P35" s="46">
        <v>4</v>
      </c>
    </row>
    <row r="36" spans="1:16" s="36" customFormat="1" ht="14.25" x14ac:dyDescent="0.4">
      <c r="A36" s="19" t="s">
        <v>56</v>
      </c>
      <c r="B36" s="34"/>
      <c r="C36" s="35"/>
      <c r="D36" s="35"/>
      <c r="E36" s="35"/>
      <c r="F36" s="35"/>
      <c r="G36" s="35"/>
      <c r="H36" s="35"/>
      <c r="I36" s="35"/>
      <c r="J36" s="35"/>
      <c r="K36" s="35"/>
      <c r="L36" s="35"/>
      <c r="M36" s="35"/>
      <c r="N36" s="35"/>
      <c r="O36" s="35"/>
      <c r="P36" s="46">
        <v>5</v>
      </c>
    </row>
    <row r="37" spans="1:16" s="36" customFormat="1" ht="14.25" x14ac:dyDescent="0.4">
      <c r="A37" s="41" t="s">
        <v>57</v>
      </c>
      <c r="B37" s="37" t="s">
        <v>904</v>
      </c>
      <c r="C37" s="38" t="str">
        <f>IFERROR([1]!IntrinioBankFinancials(rssd_id,$S$2,C$6,C$5,$B37,"K"),"")</f>
        <v/>
      </c>
      <c r="D37" s="38" t="str">
        <f>IFERROR([1]!IntrinioBankFinancials(rssd_id,$S$2,D$6,D$5,$B37,"K"),"")</f>
        <v/>
      </c>
      <c r="E37" s="38" t="str">
        <f>IFERROR([1]!IntrinioBankFinancials(rssd_id,$S$2,E$6,E$5,$B37,"K"),"")</f>
        <v/>
      </c>
      <c r="F37" s="38" t="str">
        <f>IFERROR([1]!IntrinioBankFinancials(rssd_id,$S$2,F$6,F$5,$B37,"K"),"")</f>
        <v/>
      </c>
      <c r="G37" s="38" t="str">
        <f>IFERROR([1]!IntrinioBankFinancials(rssd_id,$S$2,G$6,G$5,$B37,"K"),"")</f>
        <v/>
      </c>
      <c r="H37" s="38" t="str">
        <f>IFERROR([1]!IntrinioBankFinancials(rssd_id,$S$2,H$6,H$5,$B37,"K"),"")</f>
        <v/>
      </c>
      <c r="I37" s="38" t="str">
        <f>IFERROR([1]!IntrinioBankFinancials(rssd_id,$S$2,I$6,I$5,$B37,"K"),"")</f>
        <v/>
      </c>
      <c r="J37" s="38" t="str">
        <f>IFERROR([1]!IntrinioBankFinancials(rssd_id,$S$2,J$6,J$5,$B37,"K"),"")</f>
        <v/>
      </c>
      <c r="K37" s="38" t="str">
        <f>IFERROR([1]!IntrinioBankFinancials(rssd_id,$S$2,K$6,K$5,$B37,"K"),"")</f>
        <v/>
      </c>
      <c r="L37" s="38" t="str">
        <f>IFERROR([1]!IntrinioBankFinancials(rssd_id,$S$2,L$6,L$5,$B37,"K"),"")</f>
        <v/>
      </c>
      <c r="M37" s="38" t="str">
        <f>IFERROR([1]!IntrinioBankFinancials(rssd_id,$S$2,M$6,M$5,$B37,"K"),"")</f>
        <v/>
      </c>
      <c r="N37" s="38" t="str">
        <f>IFERROR([1]!IntrinioBankFinancials(rssd_id,$S$2,N$6,N$5,$B37,"K"),"")</f>
        <v/>
      </c>
      <c r="O37" s="38" t="str">
        <f>IFERROR([1]!IntrinioBankFinancials(rssd_id,$S$2,O$6,O$5,$B37,"K"),"")</f>
        <v/>
      </c>
      <c r="P37" s="46" t="s">
        <v>58</v>
      </c>
    </row>
    <row r="38" spans="1:16" s="36" customFormat="1" ht="14.25" x14ac:dyDescent="0.4">
      <c r="A38" s="41" t="s">
        <v>59</v>
      </c>
      <c r="B38" s="37" t="s">
        <v>905</v>
      </c>
      <c r="C38" s="38" t="str">
        <f>IFERROR([1]!IntrinioBankFinancials(rssd_id,$S$2,C$6,C$5,$B38,"K"),"")</f>
        <v/>
      </c>
      <c r="D38" s="38" t="str">
        <f>IFERROR([1]!IntrinioBankFinancials(rssd_id,$S$2,D$6,D$5,$B38,"K"),"")</f>
        <v/>
      </c>
      <c r="E38" s="38" t="str">
        <f>IFERROR([1]!IntrinioBankFinancials(rssd_id,$S$2,E$6,E$5,$B38,"K"),"")</f>
        <v/>
      </c>
      <c r="F38" s="38" t="str">
        <f>IFERROR([1]!IntrinioBankFinancials(rssd_id,$S$2,F$6,F$5,$B38,"K"),"")</f>
        <v/>
      </c>
      <c r="G38" s="38" t="str">
        <f>IFERROR([1]!IntrinioBankFinancials(rssd_id,$S$2,G$6,G$5,$B38,"K"),"")</f>
        <v/>
      </c>
      <c r="H38" s="38" t="str">
        <f>IFERROR([1]!IntrinioBankFinancials(rssd_id,$S$2,H$6,H$5,$B38,"K"),"")</f>
        <v/>
      </c>
      <c r="I38" s="38" t="str">
        <f>IFERROR([1]!IntrinioBankFinancials(rssd_id,$S$2,I$6,I$5,$B38,"K"),"")</f>
        <v/>
      </c>
      <c r="J38" s="38" t="str">
        <f>IFERROR([1]!IntrinioBankFinancials(rssd_id,$S$2,J$6,J$5,$B38,"K"),"")</f>
        <v/>
      </c>
      <c r="K38" s="38" t="str">
        <f>IFERROR([1]!IntrinioBankFinancials(rssd_id,$S$2,K$6,K$5,$B38,"K"),"")</f>
        <v/>
      </c>
      <c r="L38" s="38" t="str">
        <f>IFERROR([1]!IntrinioBankFinancials(rssd_id,$S$2,L$6,L$5,$B38,"K"),"")</f>
        <v/>
      </c>
      <c r="M38" s="38" t="str">
        <f>IFERROR([1]!IntrinioBankFinancials(rssd_id,$S$2,M$6,M$5,$B38,"K"),"")</f>
        <v/>
      </c>
      <c r="N38" s="38" t="str">
        <f>IFERROR([1]!IntrinioBankFinancials(rssd_id,$S$2,N$6,N$5,$B38,"K"),"")</f>
        <v/>
      </c>
      <c r="O38" s="38" t="str">
        <f>IFERROR([1]!IntrinioBankFinancials(rssd_id,$S$2,O$6,O$5,$B38,"K"),"")</f>
        <v/>
      </c>
      <c r="P38" s="46" t="s">
        <v>60</v>
      </c>
    </row>
    <row r="39" spans="1:16" s="36" customFormat="1" ht="14.25" x14ac:dyDescent="0.4">
      <c r="A39" s="41" t="s">
        <v>61</v>
      </c>
      <c r="B39" s="37" t="s">
        <v>906</v>
      </c>
      <c r="C39" s="38" t="str">
        <f>IFERROR([1]!IntrinioBankFinancials(rssd_id,$S$2,C$6,C$5,$B39,"K"),"")</f>
        <v/>
      </c>
      <c r="D39" s="38" t="str">
        <f>IFERROR([1]!IntrinioBankFinancials(rssd_id,$S$2,D$6,D$5,$B39,"K"),"")</f>
        <v/>
      </c>
      <c r="E39" s="38" t="str">
        <f>IFERROR([1]!IntrinioBankFinancials(rssd_id,$S$2,E$6,E$5,$B39,"K"),"")</f>
        <v/>
      </c>
      <c r="F39" s="38" t="str">
        <f>IFERROR([1]!IntrinioBankFinancials(rssd_id,$S$2,F$6,F$5,$B39,"K"),"")</f>
        <v/>
      </c>
      <c r="G39" s="38" t="str">
        <f>IFERROR([1]!IntrinioBankFinancials(rssd_id,$S$2,G$6,G$5,$B39,"K"),"")</f>
        <v/>
      </c>
      <c r="H39" s="38" t="str">
        <f>IFERROR([1]!IntrinioBankFinancials(rssd_id,$S$2,H$6,H$5,$B39,"K"),"")</f>
        <v/>
      </c>
      <c r="I39" s="38" t="str">
        <f>IFERROR([1]!IntrinioBankFinancials(rssd_id,$S$2,I$6,I$5,$B39,"K"),"")</f>
        <v/>
      </c>
      <c r="J39" s="38" t="str">
        <f>IFERROR([1]!IntrinioBankFinancials(rssd_id,$S$2,J$6,J$5,$B39,"K"),"")</f>
        <v/>
      </c>
      <c r="K39" s="38" t="str">
        <f>IFERROR([1]!IntrinioBankFinancials(rssd_id,$S$2,K$6,K$5,$B39,"K"),"")</f>
        <v/>
      </c>
      <c r="L39" s="38" t="str">
        <f>IFERROR([1]!IntrinioBankFinancials(rssd_id,$S$2,L$6,L$5,$B39,"K"),"")</f>
        <v/>
      </c>
      <c r="M39" s="38" t="str">
        <f>IFERROR([1]!IntrinioBankFinancials(rssd_id,$S$2,M$6,M$5,$B39,"K"),"")</f>
        <v/>
      </c>
      <c r="N39" s="38" t="str">
        <f>IFERROR([1]!IntrinioBankFinancials(rssd_id,$S$2,N$6,N$5,$B39,"K"),"")</f>
        <v/>
      </c>
      <c r="O39" s="38" t="str">
        <f>IFERROR([1]!IntrinioBankFinancials(rssd_id,$S$2,O$6,O$5,$B39,"K"),"")</f>
        <v/>
      </c>
      <c r="P39" s="46" t="s">
        <v>62</v>
      </c>
    </row>
    <row r="40" spans="1:16" s="36" customFormat="1" ht="14.25" x14ac:dyDescent="0.4">
      <c r="A40" s="41" t="s">
        <v>63</v>
      </c>
      <c r="B40" s="34"/>
      <c r="C40" s="35"/>
      <c r="D40" s="35"/>
      <c r="E40" s="35"/>
      <c r="F40" s="35"/>
      <c r="G40" s="35"/>
      <c r="H40" s="35"/>
      <c r="I40" s="35"/>
      <c r="J40" s="35"/>
      <c r="K40" s="35"/>
      <c r="L40" s="35"/>
      <c r="M40" s="35"/>
      <c r="N40" s="35"/>
      <c r="O40" s="35"/>
      <c r="P40" s="46" t="s">
        <v>64</v>
      </c>
    </row>
    <row r="41" spans="1:16" s="36" customFormat="1" ht="14.25" x14ac:dyDescent="0.4">
      <c r="A41" s="42" t="s">
        <v>65</v>
      </c>
      <c r="B41" s="37" t="s">
        <v>907</v>
      </c>
      <c r="C41" s="38" t="str">
        <f>IFERROR([1]!IntrinioBankFinancials(rssd_id,$S$2,C$6,C$5,$B41,"K"),"")</f>
        <v/>
      </c>
      <c r="D41" s="38" t="str">
        <f>IFERROR([1]!IntrinioBankFinancials(rssd_id,$S$2,D$6,D$5,$B41,"K"),"")</f>
        <v/>
      </c>
      <c r="E41" s="38" t="str">
        <f>IFERROR([1]!IntrinioBankFinancials(rssd_id,$S$2,E$6,E$5,$B41,"K"),"")</f>
        <v/>
      </c>
      <c r="F41" s="38" t="str">
        <f>IFERROR([1]!IntrinioBankFinancials(rssd_id,$S$2,F$6,F$5,$B41,"K"),"")</f>
        <v/>
      </c>
      <c r="G41" s="38" t="str">
        <f>IFERROR([1]!IntrinioBankFinancials(rssd_id,$S$2,G$6,G$5,$B41,"K"),"")</f>
        <v/>
      </c>
      <c r="H41" s="38" t="str">
        <f>IFERROR([1]!IntrinioBankFinancials(rssd_id,$S$2,H$6,H$5,$B41,"K"),"")</f>
        <v/>
      </c>
      <c r="I41" s="38" t="str">
        <f>IFERROR([1]!IntrinioBankFinancials(rssd_id,$S$2,I$6,I$5,$B41,"K"),"")</f>
        <v/>
      </c>
      <c r="J41" s="38" t="str">
        <f>IFERROR([1]!IntrinioBankFinancials(rssd_id,$S$2,J$6,J$5,$B41,"K"),"")</f>
        <v/>
      </c>
      <c r="K41" s="38" t="str">
        <f>IFERROR([1]!IntrinioBankFinancials(rssd_id,$S$2,K$6,K$5,$B41,"K"),"")</f>
        <v/>
      </c>
      <c r="L41" s="38" t="str">
        <f>IFERROR([1]!IntrinioBankFinancials(rssd_id,$S$2,L$6,L$5,$B41,"K"),"")</f>
        <v/>
      </c>
      <c r="M41" s="38" t="str">
        <f>IFERROR([1]!IntrinioBankFinancials(rssd_id,$S$2,M$6,M$5,$B41,"K"),"")</f>
        <v/>
      </c>
      <c r="N41" s="38" t="str">
        <f>IFERROR([1]!IntrinioBankFinancials(rssd_id,$S$2,N$6,N$5,$B41,"K"),"")</f>
        <v/>
      </c>
      <c r="O41" s="38" t="str">
        <f>IFERROR([1]!IntrinioBankFinancials(rssd_id,$S$2,O$6,O$5,$B41,"K"),"")</f>
        <v/>
      </c>
      <c r="P41" s="46" t="s">
        <v>66</v>
      </c>
    </row>
    <row r="42" spans="1:16" s="36" customFormat="1" ht="14.25" x14ac:dyDescent="0.4">
      <c r="A42" s="42" t="s">
        <v>67</v>
      </c>
      <c r="B42" s="37" t="s">
        <v>908</v>
      </c>
      <c r="C42" s="38" t="str">
        <f>IFERROR([1]!IntrinioBankFinancials(rssd_id,$S$2,C$6,C$5,$B42,"K"),"")</f>
        <v/>
      </c>
      <c r="D42" s="38" t="str">
        <f>IFERROR([1]!IntrinioBankFinancials(rssd_id,$S$2,D$6,D$5,$B42,"K"),"")</f>
        <v/>
      </c>
      <c r="E42" s="38" t="str">
        <f>IFERROR([1]!IntrinioBankFinancials(rssd_id,$S$2,E$6,E$5,$B42,"K"),"")</f>
        <v/>
      </c>
      <c r="F42" s="38" t="str">
        <f>IFERROR([1]!IntrinioBankFinancials(rssd_id,$S$2,F$6,F$5,$B42,"K"),"")</f>
        <v/>
      </c>
      <c r="G42" s="38" t="str">
        <f>IFERROR([1]!IntrinioBankFinancials(rssd_id,$S$2,G$6,G$5,$B42,"K"),"")</f>
        <v/>
      </c>
      <c r="H42" s="38" t="str">
        <f>IFERROR([1]!IntrinioBankFinancials(rssd_id,$S$2,H$6,H$5,$B42,"K"),"")</f>
        <v/>
      </c>
      <c r="I42" s="38" t="str">
        <f>IFERROR([1]!IntrinioBankFinancials(rssd_id,$S$2,I$6,I$5,$B42,"K"),"")</f>
        <v/>
      </c>
      <c r="J42" s="38" t="str">
        <f>IFERROR([1]!IntrinioBankFinancials(rssd_id,$S$2,J$6,J$5,$B42,"K"),"")</f>
        <v/>
      </c>
      <c r="K42" s="38" t="str">
        <f>IFERROR([1]!IntrinioBankFinancials(rssd_id,$S$2,K$6,K$5,$B42,"K"),"")</f>
        <v/>
      </c>
      <c r="L42" s="38" t="str">
        <f>IFERROR([1]!IntrinioBankFinancials(rssd_id,$S$2,L$6,L$5,$B42,"K"),"")</f>
        <v/>
      </c>
      <c r="M42" s="38" t="str">
        <f>IFERROR([1]!IntrinioBankFinancials(rssd_id,$S$2,M$6,M$5,$B42,"K"),"")</f>
        <v/>
      </c>
      <c r="N42" s="38" t="str">
        <f>IFERROR([1]!IntrinioBankFinancials(rssd_id,$S$2,N$6,N$5,$B42,"K"),"")</f>
        <v/>
      </c>
      <c r="O42" s="38" t="str">
        <f>IFERROR([1]!IntrinioBankFinancials(rssd_id,$S$2,O$6,O$5,$B42,"K"),"")</f>
        <v/>
      </c>
      <c r="P42" s="46" t="s">
        <v>68</v>
      </c>
    </row>
    <row r="43" spans="1:16" s="36" customFormat="1" ht="14.25" x14ac:dyDescent="0.4">
      <c r="A43" s="42" t="s">
        <v>69</v>
      </c>
      <c r="B43" s="37" t="s">
        <v>909</v>
      </c>
      <c r="C43" s="38" t="str">
        <f>IFERROR([1]!IntrinioBankFinancials(rssd_id,$S$2,C$6,C$5,$B43,"K"),"")</f>
        <v/>
      </c>
      <c r="D43" s="38" t="str">
        <f>IFERROR([1]!IntrinioBankFinancials(rssd_id,$S$2,D$6,D$5,$B43,"K"),"")</f>
        <v/>
      </c>
      <c r="E43" s="38" t="str">
        <f>IFERROR([1]!IntrinioBankFinancials(rssd_id,$S$2,E$6,E$5,$B43,"K"),"")</f>
        <v/>
      </c>
      <c r="F43" s="38" t="str">
        <f>IFERROR([1]!IntrinioBankFinancials(rssd_id,$S$2,F$6,F$5,$B43,"K"),"")</f>
        <v/>
      </c>
      <c r="G43" s="38" t="str">
        <f>IFERROR([1]!IntrinioBankFinancials(rssd_id,$S$2,G$6,G$5,$B43,"K"),"")</f>
        <v/>
      </c>
      <c r="H43" s="38" t="str">
        <f>IFERROR([1]!IntrinioBankFinancials(rssd_id,$S$2,H$6,H$5,$B43,"K"),"")</f>
        <v/>
      </c>
      <c r="I43" s="38" t="str">
        <f>IFERROR([1]!IntrinioBankFinancials(rssd_id,$S$2,I$6,I$5,$B43,"K"),"")</f>
        <v/>
      </c>
      <c r="J43" s="38" t="str">
        <f>IFERROR([1]!IntrinioBankFinancials(rssd_id,$S$2,J$6,J$5,$B43,"K"),"")</f>
        <v/>
      </c>
      <c r="K43" s="38" t="str">
        <f>IFERROR([1]!IntrinioBankFinancials(rssd_id,$S$2,K$6,K$5,$B43,"K"),"")</f>
        <v/>
      </c>
      <c r="L43" s="38" t="str">
        <f>IFERROR([1]!IntrinioBankFinancials(rssd_id,$S$2,L$6,L$5,$B43,"K"),"")</f>
        <v/>
      </c>
      <c r="M43" s="38" t="str">
        <f>IFERROR([1]!IntrinioBankFinancials(rssd_id,$S$2,M$6,M$5,$B43,"K"),"")</f>
        <v/>
      </c>
      <c r="N43" s="38" t="str">
        <f>IFERROR([1]!IntrinioBankFinancials(rssd_id,$S$2,N$6,N$5,$B43,"K"),"")</f>
        <v/>
      </c>
      <c r="O43" s="38" t="str">
        <f>IFERROR([1]!IntrinioBankFinancials(rssd_id,$S$2,O$6,O$5,$B43,"K"),"")</f>
        <v/>
      </c>
      <c r="P43" s="46" t="s">
        <v>70</v>
      </c>
    </row>
    <row r="44" spans="1:16" s="36" customFormat="1" ht="14.25" x14ac:dyDescent="0.4">
      <c r="A44" s="42" t="s">
        <v>71</v>
      </c>
      <c r="B44" s="37" t="s">
        <v>910</v>
      </c>
      <c r="C44" s="38" t="str">
        <f>IFERROR([1]!IntrinioBankFinancials(rssd_id,$S$2,C$6,C$5,$B44,"K"),"")</f>
        <v/>
      </c>
      <c r="D44" s="38" t="str">
        <f>IFERROR([1]!IntrinioBankFinancials(rssd_id,$S$2,D$6,D$5,$B44,"K"),"")</f>
        <v/>
      </c>
      <c r="E44" s="38" t="str">
        <f>IFERROR([1]!IntrinioBankFinancials(rssd_id,$S$2,E$6,E$5,$B44,"K"),"")</f>
        <v/>
      </c>
      <c r="F44" s="38" t="str">
        <f>IFERROR([1]!IntrinioBankFinancials(rssd_id,$S$2,F$6,F$5,$B44,"K"),"")</f>
        <v/>
      </c>
      <c r="G44" s="38" t="str">
        <f>IFERROR([1]!IntrinioBankFinancials(rssd_id,$S$2,G$6,G$5,$B44,"K"),"")</f>
        <v/>
      </c>
      <c r="H44" s="38" t="str">
        <f>IFERROR([1]!IntrinioBankFinancials(rssd_id,$S$2,H$6,H$5,$B44,"K"),"")</f>
        <v/>
      </c>
      <c r="I44" s="38" t="str">
        <f>IFERROR([1]!IntrinioBankFinancials(rssd_id,$S$2,I$6,I$5,$B44,"K"),"")</f>
        <v/>
      </c>
      <c r="J44" s="38" t="str">
        <f>IFERROR([1]!IntrinioBankFinancials(rssd_id,$S$2,J$6,J$5,$B44,"K"),"")</f>
        <v/>
      </c>
      <c r="K44" s="38" t="str">
        <f>IFERROR([1]!IntrinioBankFinancials(rssd_id,$S$2,K$6,K$5,$B44,"K"),"")</f>
        <v/>
      </c>
      <c r="L44" s="38" t="str">
        <f>IFERROR([1]!IntrinioBankFinancials(rssd_id,$S$2,L$6,L$5,$B44,"K"),"")</f>
        <v/>
      </c>
      <c r="M44" s="38" t="str">
        <f>IFERROR([1]!IntrinioBankFinancials(rssd_id,$S$2,M$6,M$5,$B44,"K"),"")</f>
        <v/>
      </c>
      <c r="N44" s="38" t="str">
        <f>IFERROR([1]!IntrinioBankFinancials(rssd_id,$S$2,N$6,N$5,$B44,"K"),"")</f>
        <v/>
      </c>
      <c r="O44" s="38" t="str">
        <f>IFERROR([1]!IntrinioBankFinancials(rssd_id,$S$2,O$6,O$5,$B44,"K"),"")</f>
        <v/>
      </c>
      <c r="P44" s="46" t="s">
        <v>72</v>
      </c>
    </row>
    <row r="45" spans="1:16" s="36" customFormat="1" ht="14.25" x14ac:dyDescent="0.4">
      <c r="A45" s="42" t="s">
        <v>73</v>
      </c>
      <c r="B45" s="37" t="s">
        <v>911</v>
      </c>
      <c r="C45" s="38" t="str">
        <f>IFERROR([1]!IntrinioBankFinancials(rssd_id,$S$2,C$6,C$5,$B45,"K"),"")</f>
        <v/>
      </c>
      <c r="D45" s="38" t="str">
        <f>IFERROR([1]!IntrinioBankFinancials(rssd_id,$S$2,D$6,D$5,$B45,"K"),"")</f>
        <v/>
      </c>
      <c r="E45" s="38" t="str">
        <f>IFERROR([1]!IntrinioBankFinancials(rssd_id,$S$2,E$6,E$5,$B45,"K"),"")</f>
        <v/>
      </c>
      <c r="F45" s="38" t="str">
        <f>IFERROR([1]!IntrinioBankFinancials(rssd_id,$S$2,F$6,F$5,$B45,"K"),"")</f>
        <v/>
      </c>
      <c r="G45" s="38" t="str">
        <f>IFERROR([1]!IntrinioBankFinancials(rssd_id,$S$2,G$6,G$5,$B45,"K"),"")</f>
        <v/>
      </c>
      <c r="H45" s="38" t="str">
        <f>IFERROR([1]!IntrinioBankFinancials(rssd_id,$S$2,H$6,H$5,$B45,"K"),"")</f>
        <v/>
      </c>
      <c r="I45" s="38" t="str">
        <f>IFERROR([1]!IntrinioBankFinancials(rssd_id,$S$2,I$6,I$5,$B45,"K"),"")</f>
        <v/>
      </c>
      <c r="J45" s="38" t="str">
        <f>IFERROR([1]!IntrinioBankFinancials(rssd_id,$S$2,J$6,J$5,$B45,"K"),"")</f>
        <v/>
      </c>
      <c r="K45" s="38" t="str">
        <f>IFERROR([1]!IntrinioBankFinancials(rssd_id,$S$2,K$6,K$5,$B45,"K"),"")</f>
        <v/>
      </c>
      <c r="L45" s="38" t="str">
        <f>IFERROR([1]!IntrinioBankFinancials(rssd_id,$S$2,L$6,L$5,$B45,"K"),"")</f>
        <v/>
      </c>
      <c r="M45" s="38" t="str">
        <f>IFERROR([1]!IntrinioBankFinancials(rssd_id,$S$2,M$6,M$5,$B45,"K"),"")</f>
        <v/>
      </c>
      <c r="N45" s="38" t="str">
        <f>IFERROR([1]!IntrinioBankFinancials(rssd_id,$S$2,N$6,N$5,$B45,"K"),"")</f>
        <v/>
      </c>
      <c r="O45" s="38" t="str">
        <f>IFERROR([1]!IntrinioBankFinancials(rssd_id,$S$2,O$6,O$5,$B45,"K"),"")</f>
        <v/>
      </c>
      <c r="P45" s="46" t="s">
        <v>74</v>
      </c>
    </row>
    <row r="46" spans="1:16" s="36" customFormat="1" ht="14.25" x14ac:dyDescent="0.4">
      <c r="A46" s="41" t="s">
        <v>75</v>
      </c>
      <c r="B46" s="37" t="s">
        <v>912</v>
      </c>
      <c r="C46" s="38" t="str">
        <f>IFERROR([1]!IntrinioBankFinancials(rssd_id,$S$2,C$6,C$5,$B46,"K"),"")</f>
        <v/>
      </c>
      <c r="D46" s="38" t="str">
        <f>IFERROR([1]!IntrinioBankFinancials(rssd_id,$S$2,D$6,D$5,$B46,"K"),"")</f>
        <v/>
      </c>
      <c r="E46" s="38" t="str">
        <f>IFERROR([1]!IntrinioBankFinancials(rssd_id,$S$2,E$6,E$5,$B46,"K"),"")</f>
        <v/>
      </c>
      <c r="F46" s="38" t="str">
        <f>IFERROR([1]!IntrinioBankFinancials(rssd_id,$S$2,F$6,F$5,$B46,"K"),"")</f>
        <v/>
      </c>
      <c r="G46" s="38" t="str">
        <f>IFERROR([1]!IntrinioBankFinancials(rssd_id,$S$2,G$6,G$5,$B46,"K"),"")</f>
        <v/>
      </c>
      <c r="H46" s="38" t="str">
        <f>IFERROR([1]!IntrinioBankFinancials(rssd_id,$S$2,H$6,H$5,$B46,"K"),"")</f>
        <v/>
      </c>
      <c r="I46" s="38" t="str">
        <f>IFERROR([1]!IntrinioBankFinancials(rssd_id,$S$2,I$6,I$5,$B46,"K"),"")</f>
        <v/>
      </c>
      <c r="J46" s="38" t="str">
        <f>IFERROR([1]!IntrinioBankFinancials(rssd_id,$S$2,J$6,J$5,$B46,"K"),"")</f>
        <v/>
      </c>
      <c r="K46" s="38" t="str">
        <f>IFERROR([1]!IntrinioBankFinancials(rssd_id,$S$2,K$6,K$5,$B46,"K"),"")</f>
        <v/>
      </c>
      <c r="L46" s="38" t="str">
        <f>IFERROR([1]!IntrinioBankFinancials(rssd_id,$S$2,L$6,L$5,$B46,"K"),"")</f>
        <v/>
      </c>
      <c r="M46" s="38" t="str">
        <f>IFERROR([1]!IntrinioBankFinancials(rssd_id,$S$2,M$6,M$5,$B46,"K"),"")</f>
        <v/>
      </c>
      <c r="N46" s="38" t="str">
        <f>IFERROR([1]!IntrinioBankFinancials(rssd_id,$S$2,N$6,N$5,$B46,"K"),"")</f>
        <v/>
      </c>
      <c r="O46" s="38" t="str">
        <f>IFERROR([1]!IntrinioBankFinancials(rssd_id,$S$2,O$6,O$5,$B46,"K"),"")</f>
        <v/>
      </c>
      <c r="P46" s="46" t="s">
        <v>76</v>
      </c>
    </row>
    <row r="47" spans="1:16" s="36" customFormat="1" ht="14.25" x14ac:dyDescent="0.4">
      <c r="A47" s="41" t="s">
        <v>77</v>
      </c>
      <c r="B47" s="37" t="s">
        <v>913</v>
      </c>
      <c r="C47" s="38" t="str">
        <f>IFERROR([1]!IntrinioBankFinancials(rssd_id,$S$2,C$6,C$5,$B47,"K"),"")</f>
        <v/>
      </c>
      <c r="D47" s="38" t="str">
        <f>IFERROR([1]!IntrinioBankFinancials(rssd_id,$S$2,D$6,D$5,$B47,"K"),"")</f>
        <v/>
      </c>
      <c r="E47" s="38" t="str">
        <f>IFERROR([1]!IntrinioBankFinancials(rssd_id,$S$2,E$6,E$5,$B47,"K"),"")</f>
        <v/>
      </c>
      <c r="F47" s="38" t="str">
        <f>IFERROR([1]!IntrinioBankFinancials(rssd_id,$S$2,F$6,F$5,$B47,"K"),"")</f>
        <v/>
      </c>
      <c r="G47" s="38" t="str">
        <f>IFERROR([1]!IntrinioBankFinancials(rssd_id,$S$2,G$6,G$5,$B47,"K"),"")</f>
        <v/>
      </c>
      <c r="H47" s="38" t="str">
        <f>IFERROR([1]!IntrinioBankFinancials(rssd_id,$S$2,H$6,H$5,$B47,"K"),"")</f>
        <v/>
      </c>
      <c r="I47" s="38" t="str">
        <f>IFERROR([1]!IntrinioBankFinancials(rssd_id,$S$2,I$6,I$5,$B47,"K"),"")</f>
        <v/>
      </c>
      <c r="J47" s="38" t="str">
        <f>IFERROR([1]!IntrinioBankFinancials(rssd_id,$S$2,J$6,J$5,$B47,"K"),"")</f>
        <v/>
      </c>
      <c r="K47" s="38" t="str">
        <f>IFERROR([1]!IntrinioBankFinancials(rssd_id,$S$2,K$6,K$5,$B47,"K"),"")</f>
        <v/>
      </c>
      <c r="L47" s="38" t="str">
        <f>IFERROR([1]!IntrinioBankFinancials(rssd_id,$S$2,L$6,L$5,$B47,"K"),"")</f>
        <v/>
      </c>
      <c r="M47" s="38" t="str">
        <f>IFERROR([1]!IntrinioBankFinancials(rssd_id,$S$2,M$6,M$5,$B47,"K"),"")</f>
        <v/>
      </c>
      <c r="N47" s="38" t="str">
        <f>IFERROR([1]!IntrinioBankFinancials(rssd_id,$S$2,N$6,N$5,$B47,"K"),"")</f>
        <v/>
      </c>
      <c r="O47" s="38" t="str">
        <f>IFERROR([1]!IntrinioBankFinancials(rssd_id,$S$2,O$6,O$5,$B47,"K"),"")</f>
        <v/>
      </c>
      <c r="P47" s="46" t="s">
        <v>78</v>
      </c>
    </row>
    <row r="48" spans="1:16" s="36" customFormat="1" ht="14.25" x14ac:dyDescent="0.4">
      <c r="A48" s="41" t="s">
        <v>79</v>
      </c>
      <c r="B48" s="37" t="s">
        <v>914</v>
      </c>
      <c r="C48" s="38" t="str">
        <f>IFERROR([1]!IntrinioBankFinancials(rssd_id,$S$2,C$6,C$5,$B48,"K"),"")</f>
        <v/>
      </c>
      <c r="D48" s="38" t="str">
        <f>IFERROR([1]!IntrinioBankFinancials(rssd_id,$S$2,D$6,D$5,$B48,"K"),"")</f>
        <v/>
      </c>
      <c r="E48" s="38" t="str">
        <f>IFERROR([1]!IntrinioBankFinancials(rssd_id,$S$2,E$6,E$5,$B48,"K"),"")</f>
        <v/>
      </c>
      <c r="F48" s="38" t="str">
        <f>IFERROR([1]!IntrinioBankFinancials(rssd_id,$S$2,F$6,F$5,$B48,"K"),"")</f>
        <v/>
      </c>
      <c r="G48" s="38" t="str">
        <f>IFERROR([1]!IntrinioBankFinancials(rssd_id,$S$2,G$6,G$5,$B48,"K"),"")</f>
        <v/>
      </c>
      <c r="H48" s="38" t="str">
        <f>IFERROR([1]!IntrinioBankFinancials(rssd_id,$S$2,H$6,H$5,$B48,"K"),"")</f>
        <v/>
      </c>
      <c r="I48" s="38" t="str">
        <f>IFERROR([1]!IntrinioBankFinancials(rssd_id,$S$2,I$6,I$5,$B48,"K"),"")</f>
        <v/>
      </c>
      <c r="J48" s="38" t="str">
        <f>IFERROR([1]!IntrinioBankFinancials(rssd_id,$S$2,J$6,J$5,$B48,"K"),"")</f>
        <v/>
      </c>
      <c r="K48" s="38" t="str">
        <f>IFERROR([1]!IntrinioBankFinancials(rssd_id,$S$2,K$6,K$5,$B48,"K"),"")</f>
        <v/>
      </c>
      <c r="L48" s="38" t="str">
        <f>IFERROR([1]!IntrinioBankFinancials(rssd_id,$S$2,L$6,L$5,$B48,"K"),"")</f>
        <v/>
      </c>
      <c r="M48" s="38" t="str">
        <f>IFERROR([1]!IntrinioBankFinancials(rssd_id,$S$2,M$6,M$5,$B48,"K"),"")</f>
        <v/>
      </c>
      <c r="N48" s="38" t="str">
        <f>IFERROR([1]!IntrinioBankFinancials(rssd_id,$S$2,N$6,N$5,$B48,"K"),"")</f>
        <v/>
      </c>
      <c r="O48" s="38" t="str">
        <f>IFERROR([1]!IntrinioBankFinancials(rssd_id,$S$2,O$6,O$5,$B48,"K"),"")</f>
        <v/>
      </c>
      <c r="P48" s="46" t="s">
        <v>80</v>
      </c>
    </row>
    <row r="49" spans="1:16" s="36" customFormat="1" ht="14.25" x14ac:dyDescent="0.4">
      <c r="A49" s="41" t="s">
        <v>81</v>
      </c>
      <c r="B49" s="37" t="s">
        <v>915</v>
      </c>
      <c r="C49" s="38" t="str">
        <f>IFERROR([1]!IntrinioBankFinancials(rssd_id,$S$2,C$6,C$5,$B49,"K"),"")</f>
        <v/>
      </c>
      <c r="D49" s="38" t="str">
        <f>IFERROR([1]!IntrinioBankFinancials(rssd_id,$S$2,D$6,D$5,$B49,"K"),"")</f>
        <v/>
      </c>
      <c r="E49" s="38" t="str">
        <f>IFERROR([1]!IntrinioBankFinancials(rssd_id,$S$2,E$6,E$5,$B49,"K"),"")</f>
        <v/>
      </c>
      <c r="F49" s="38" t="str">
        <f>IFERROR([1]!IntrinioBankFinancials(rssd_id,$S$2,F$6,F$5,$B49,"K"),"")</f>
        <v/>
      </c>
      <c r="G49" s="38" t="str">
        <f>IFERROR([1]!IntrinioBankFinancials(rssd_id,$S$2,G$6,G$5,$B49,"K"),"")</f>
        <v/>
      </c>
      <c r="H49" s="38" t="str">
        <f>IFERROR([1]!IntrinioBankFinancials(rssd_id,$S$2,H$6,H$5,$B49,"K"),"")</f>
        <v/>
      </c>
      <c r="I49" s="38" t="str">
        <f>IFERROR([1]!IntrinioBankFinancials(rssd_id,$S$2,I$6,I$5,$B49,"K"),"")</f>
        <v/>
      </c>
      <c r="J49" s="38" t="str">
        <f>IFERROR([1]!IntrinioBankFinancials(rssd_id,$S$2,J$6,J$5,$B49,"K"),"")</f>
        <v/>
      </c>
      <c r="K49" s="38" t="str">
        <f>IFERROR([1]!IntrinioBankFinancials(rssd_id,$S$2,K$6,K$5,$B49,"K"),"")</f>
        <v/>
      </c>
      <c r="L49" s="38" t="str">
        <f>IFERROR([1]!IntrinioBankFinancials(rssd_id,$S$2,L$6,L$5,$B49,"K"),"")</f>
        <v/>
      </c>
      <c r="M49" s="38" t="str">
        <f>IFERROR([1]!IntrinioBankFinancials(rssd_id,$S$2,M$6,M$5,$B49,"K"),"")</f>
        <v/>
      </c>
      <c r="N49" s="38" t="str">
        <f>IFERROR([1]!IntrinioBankFinancials(rssd_id,$S$2,N$6,N$5,$B49,"K"),"")</f>
        <v/>
      </c>
      <c r="O49" s="38" t="str">
        <f>IFERROR([1]!IntrinioBankFinancials(rssd_id,$S$2,O$6,O$5,$B49,"K"),"")</f>
        <v/>
      </c>
      <c r="P49" s="46" t="s">
        <v>82</v>
      </c>
    </row>
    <row r="50" spans="1:16" s="36" customFormat="1" ht="14.25" x14ac:dyDescent="0.4">
      <c r="A50" s="41" t="s">
        <v>83</v>
      </c>
      <c r="B50" s="37" t="s">
        <v>916</v>
      </c>
      <c r="C50" s="38" t="str">
        <f>IFERROR([1]!IntrinioBankFinancials(rssd_id,$S$2,C$6,C$5,$B50,"K"),"")</f>
        <v/>
      </c>
      <c r="D50" s="38" t="str">
        <f>IFERROR([1]!IntrinioBankFinancials(rssd_id,$S$2,D$6,D$5,$B50,"K"),"")</f>
        <v/>
      </c>
      <c r="E50" s="38" t="str">
        <f>IFERROR([1]!IntrinioBankFinancials(rssd_id,$S$2,E$6,E$5,$B50,"K"),"")</f>
        <v/>
      </c>
      <c r="F50" s="38" t="str">
        <f>IFERROR([1]!IntrinioBankFinancials(rssd_id,$S$2,F$6,F$5,$B50,"K"),"")</f>
        <v/>
      </c>
      <c r="G50" s="38" t="str">
        <f>IFERROR([1]!IntrinioBankFinancials(rssd_id,$S$2,G$6,G$5,$B50,"K"),"")</f>
        <v/>
      </c>
      <c r="H50" s="38" t="str">
        <f>IFERROR([1]!IntrinioBankFinancials(rssd_id,$S$2,H$6,H$5,$B50,"K"),"")</f>
        <v/>
      </c>
      <c r="I50" s="38" t="str">
        <f>IFERROR([1]!IntrinioBankFinancials(rssd_id,$S$2,I$6,I$5,$B50,"K"),"")</f>
        <v/>
      </c>
      <c r="J50" s="38" t="str">
        <f>IFERROR([1]!IntrinioBankFinancials(rssd_id,$S$2,J$6,J$5,$B50,"K"),"")</f>
        <v/>
      </c>
      <c r="K50" s="38" t="str">
        <f>IFERROR([1]!IntrinioBankFinancials(rssd_id,$S$2,K$6,K$5,$B50,"K"),"")</f>
        <v/>
      </c>
      <c r="L50" s="38" t="str">
        <f>IFERROR([1]!IntrinioBankFinancials(rssd_id,$S$2,L$6,L$5,$B50,"K"),"")</f>
        <v/>
      </c>
      <c r="M50" s="38" t="str">
        <f>IFERROR([1]!IntrinioBankFinancials(rssd_id,$S$2,M$6,M$5,$B50,"K"),"")</f>
        <v/>
      </c>
      <c r="N50" s="38" t="str">
        <f>IFERROR([1]!IntrinioBankFinancials(rssd_id,$S$2,N$6,N$5,$B50,"K"),"")</f>
        <v/>
      </c>
      <c r="O50" s="38" t="str">
        <f>IFERROR([1]!IntrinioBankFinancials(rssd_id,$S$2,O$6,O$5,$B50,"K"),"")</f>
        <v/>
      </c>
      <c r="P50" s="46" t="s">
        <v>84</v>
      </c>
    </row>
    <row r="51" spans="1:16" s="36" customFormat="1" ht="14.25" x14ac:dyDescent="0.4">
      <c r="A51" s="41" t="s">
        <v>85</v>
      </c>
      <c r="B51" s="37" t="s">
        <v>917</v>
      </c>
      <c r="C51" s="38" t="str">
        <f>IFERROR([1]!IntrinioBankFinancials(rssd_id,$S$2,C$6,C$5,$B51,"K"),"")</f>
        <v/>
      </c>
      <c r="D51" s="38" t="str">
        <f>IFERROR([1]!IntrinioBankFinancials(rssd_id,$S$2,D$6,D$5,$B51,"K"),"")</f>
        <v/>
      </c>
      <c r="E51" s="38" t="str">
        <f>IFERROR([1]!IntrinioBankFinancials(rssd_id,$S$2,E$6,E$5,$B51,"K"),"")</f>
        <v/>
      </c>
      <c r="F51" s="38" t="str">
        <f>IFERROR([1]!IntrinioBankFinancials(rssd_id,$S$2,F$6,F$5,$B51,"K"),"")</f>
        <v/>
      </c>
      <c r="G51" s="38" t="str">
        <f>IFERROR([1]!IntrinioBankFinancials(rssd_id,$S$2,G$6,G$5,$B51,"K"),"")</f>
        <v/>
      </c>
      <c r="H51" s="38" t="str">
        <f>IFERROR([1]!IntrinioBankFinancials(rssd_id,$S$2,H$6,H$5,$B51,"K"),"")</f>
        <v/>
      </c>
      <c r="I51" s="38" t="str">
        <f>IFERROR([1]!IntrinioBankFinancials(rssd_id,$S$2,I$6,I$5,$B51,"K"),"")</f>
        <v/>
      </c>
      <c r="J51" s="38" t="str">
        <f>IFERROR([1]!IntrinioBankFinancials(rssd_id,$S$2,J$6,J$5,$B51,"K"),"")</f>
        <v/>
      </c>
      <c r="K51" s="38" t="str">
        <f>IFERROR([1]!IntrinioBankFinancials(rssd_id,$S$2,K$6,K$5,$B51,"K"),"")</f>
        <v/>
      </c>
      <c r="L51" s="38" t="str">
        <f>IFERROR([1]!IntrinioBankFinancials(rssd_id,$S$2,L$6,L$5,$B51,"K"),"")</f>
        <v/>
      </c>
      <c r="M51" s="38" t="str">
        <f>IFERROR([1]!IntrinioBankFinancials(rssd_id,$S$2,M$6,M$5,$B51,"K"),"")</f>
        <v/>
      </c>
      <c r="N51" s="38" t="str">
        <f>IFERROR([1]!IntrinioBankFinancials(rssd_id,$S$2,N$6,N$5,$B51,"K"),"")</f>
        <v/>
      </c>
      <c r="O51" s="38" t="str">
        <f>IFERROR([1]!IntrinioBankFinancials(rssd_id,$S$2,O$6,O$5,$B51,"K"),"")</f>
        <v/>
      </c>
      <c r="P51" s="46" t="s">
        <v>86</v>
      </c>
    </row>
    <row r="52" spans="1:16" s="36" customFormat="1" ht="14.25" x14ac:dyDescent="0.4">
      <c r="A52" s="19" t="s">
        <v>87</v>
      </c>
      <c r="B52" s="34"/>
      <c r="C52" s="35"/>
      <c r="D52" s="35"/>
      <c r="E52" s="35"/>
      <c r="F52" s="35"/>
      <c r="G52" s="35"/>
      <c r="H52" s="35"/>
      <c r="I52" s="35"/>
      <c r="J52" s="35"/>
      <c r="K52" s="35"/>
      <c r="L52" s="35"/>
      <c r="M52" s="35"/>
      <c r="N52" s="35"/>
      <c r="O52" s="35"/>
      <c r="P52" s="46">
        <v>6</v>
      </c>
    </row>
    <row r="53" spans="1:16" s="36" customFormat="1" ht="14.25" x14ac:dyDescent="0.4">
      <c r="A53" s="41" t="s">
        <v>88</v>
      </c>
      <c r="B53" s="37" t="s">
        <v>918</v>
      </c>
      <c r="C53" s="38" t="str">
        <f>IFERROR([1]!IntrinioBankFinancials(rssd_id,$S$2,C$6,C$5,$B53,"K"),"")</f>
        <v/>
      </c>
      <c r="D53" s="38" t="str">
        <f>IFERROR([1]!IntrinioBankFinancials(rssd_id,$S$2,D$6,D$5,$B53,"K"),"")</f>
        <v/>
      </c>
      <c r="E53" s="38" t="str">
        <f>IFERROR([1]!IntrinioBankFinancials(rssd_id,$S$2,E$6,E$5,$B53,"K"),"")</f>
        <v/>
      </c>
      <c r="F53" s="38" t="str">
        <f>IFERROR([1]!IntrinioBankFinancials(rssd_id,$S$2,F$6,F$5,$B53,"K"),"")</f>
        <v/>
      </c>
      <c r="G53" s="38" t="str">
        <f>IFERROR([1]!IntrinioBankFinancials(rssd_id,$S$2,G$6,G$5,$B53,"K"),"")</f>
        <v/>
      </c>
      <c r="H53" s="38" t="str">
        <f>IFERROR([1]!IntrinioBankFinancials(rssd_id,$S$2,H$6,H$5,$B53,"K"),"")</f>
        <v/>
      </c>
      <c r="I53" s="38" t="str">
        <f>IFERROR([1]!IntrinioBankFinancials(rssd_id,$S$2,I$6,I$5,$B53,"K"),"")</f>
        <v/>
      </c>
      <c r="J53" s="38" t="str">
        <f>IFERROR([1]!IntrinioBankFinancials(rssd_id,$S$2,J$6,J$5,$B53,"K"),"")</f>
        <v/>
      </c>
      <c r="K53" s="38" t="str">
        <f>IFERROR([1]!IntrinioBankFinancials(rssd_id,$S$2,K$6,K$5,$B53,"K"),"")</f>
        <v/>
      </c>
      <c r="L53" s="38" t="str">
        <f>IFERROR([1]!IntrinioBankFinancials(rssd_id,$S$2,L$6,L$5,$B53,"K"),"")</f>
        <v/>
      </c>
      <c r="M53" s="38" t="str">
        <f>IFERROR([1]!IntrinioBankFinancials(rssd_id,$S$2,M$6,M$5,$B53,"K"),"")</f>
        <v/>
      </c>
      <c r="N53" s="38" t="str">
        <f>IFERROR([1]!IntrinioBankFinancials(rssd_id,$S$2,N$6,N$5,$B53,"K"),"")</f>
        <v/>
      </c>
      <c r="O53" s="38" t="str">
        <f>IFERROR([1]!IntrinioBankFinancials(rssd_id,$S$2,O$6,O$5,$B53,"K"),"")</f>
        <v/>
      </c>
      <c r="P53" s="46" t="s">
        <v>89</v>
      </c>
    </row>
    <row r="54" spans="1:16" s="36" customFormat="1" ht="14.25" x14ac:dyDescent="0.4">
      <c r="A54" s="41" t="s">
        <v>90</v>
      </c>
      <c r="B54" s="37" t="s">
        <v>919</v>
      </c>
      <c r="C54" s="38" t="str">
        <f>IFERROR([1]!IntrinioBankFinancials(rssd_id,$S$2,C$6,C$5,$B54,"K"),"")</f>
        <v/>
      </c>
      <c r="D54" s="38" t="str">
        <f>IFERROR([1]!IntrinioBankFinancials(rssd_id,$S$2,D$6,D$5,$B54,"K"),"")</f>
        <v/>
      </c>
      <c r="E54" s="38" t="str">
        <f>IFERROR([1]!IntrinioBankFinancials(rssd_id,$S$2,E$6,E$5,$B54,"K"),"")</f>
        <v/>
      </c>
      <c r="F54" s="38" t="str">
        <f>IFERROR([1]!IntrinioBankFinancials(rssd_id,$S$2,F$6,F$5,$B54,"K"),"")</f>
        <v/>
      </c>
      <c r="G54" s="38" t="str">
        <f>IFERROR([1]!IntrinioBankFinancials(rssd_id,$S$2,G$6,G$5,$B54,"K"),"")</f>
        <v/>
      </c>
      <c r="H54" s="38" t="str">
        <f>IFERROR([1]!IntrinioBankFinancials(rssd_id,$S$2,H$6,H$5,$B54,"K"),"")</f>
        <v/>
      </c>
      <c r="I54" s="38" t="str">
        <f>IFERROR([1]!IntrinioBankFinancials(rssd_id,$S$2,I$6,I$5,$B54,"K"),"")</f>
        <v/>
      </c>
      <c r="J54" s="38" t="str">
        <f>IFERROR([1]!IntrinioBankFinancials(rssd_id,$S$2,J$6,J$5,$B54,"K"),"")</f>
        <v/>
      </c>
      <c r="K54" s="38" t="str">
        <f>IFERROR([1]!IntrinioBankFinancials(rssd_id,$S$2,K$6,K$5,$B54,"K"),"")</f>
        <v/>
      </c>
      <c r="L54" s="38" t="str">
        <f>IFERROR([1]!IntrinioBankFinancials(rssd_id,$S$2,L$6,L$5,$B54,"K"),"")</f>
        <v/>
      </c>
      <c r="M54" s="38" t="str">
        <f>IFERROR([1]!IntrinioBankFinancials(rssd_id,$S$2,M$6,M$5,$B54,"K"),"")</f>
        <v/>
      </c>
      <c r="N54" s="38" t="str">
        <f>IFERROR([1]!IntrinioBankFinancials(rssd_id,$S$2,N$6,N$5,$B54,"K"),"")</f>
        <v/>
      </c>
      <c r="O54" s="38" t="str">
        <f>IFERROR([1]!IntrinioBankFinancials(rssd_id,$S$2,O$6,O$5,$B54,"K"),"")</f>
        <v/>
      </c>
      <c r="P54" s="46" t="s">
        <v>91</v>
      </c>
    </row>
    <row r="55" spans="1:16" s="36" customFormat="1" ht="14.25" x14ac:dyDescent="0.4">
      <c r="A55" s="19" t="s">
        <v>92</v>
      </c>
      <c r="B55" s="34"/>
      <c r="C55" s="35"/>
      <c r="D55" s="35"/>
      <c r="E55" s="35"/>
      <c r="F55" s="35"/>
      <c r="G55" s="35"/>
      <c r="H55" s="35"/>
      <c r="I55" s="35"/>
      <c r="J55" s="35"/>
      <c r="K55" s="35"/>
      <c r="L55" s="35"/>
      <c r="M55" s="35"/>
      <c r="N55" s="35"/>
      <c r="O55" s="35"/>
      <c r="P55" s="46">
        <v>7</v>
      </c>
    </row>
    <row r="56" spans="1:16" s="36" customFormat="1" ht="14.25" x14ac:dyDescent="0.4">
      <c r="A56" s="41" t="s">
        <v>93</v>
      </c>
      <c r="B56" s="37" t="s">
        <v>920</v>
      </c>
      <c r="C56" s="38" t="str">
        <f>IFERROR([1]!IntrinioBankFinancials(rssd_id,$S$2,C$6,C$5,$B56,"K"),"")</f>
        <v/>
      </c>
      <c r="D56" s="38" t="str">
        <f>IFERROR([1]!IntrinioBankFinancials(rssd_id,$S$2,D$6,D$5,$B56,"K"),"")</f>
        <v/>
      </c>
      <c r="E56" s="38" t="str">
        <f>IFERROR([1]!IntrinioBankFinancials(rssd_id,$S$2,E$6,E$5,$B56,"K"),"")</f>
        <v/>
      </c>
      <c r="F56" s="38" t="str">
        <f>IFERROR([1]!IntrinioBankFinancials(rssd_id,$S$2,F$6,F$5,$B56,"K"),"")</f>
        <v/>
      </c>
      <c r="G56" s="38" t="str">
        <f>IFERROR([1]!IntrinioBankFinancials(rssd_id,$S$2,G$6,G$5,$B56,"K"),"")</f>
        <v/>
      </c>
      <c r="H56" s="38" t="str">
        <f>IFERROR([1]!IntrinioBankFinancials(rssd_id,$S$2,H$6,H$5,$B56,"K"),"")</f>
        <v/>
      </c>
      <c r="I56" s="38" t="str">
        <f>IFERROR([1]!IntrinioBankFinancials(rssd_id,$S$2,I$6,I$5,$B56,"K"),"")</f>
        <v/>
      </c>
      <c r="J56" s="38" t="str">
        <f>IFERROR([1]!IntrinioBankFinancials(rssd_id,$S$2,J$6,J$5,$B56,"K"),"")</f>
        <v/>
      </c>
      <c r="K56" s="38" t="str">
        <f>IFERROR([1]!IntrinioBankFinancials(rssd_id,$S$2,K$6,K$5,$B56,"K"),"")</f>
        <v/>
      </c>
      <c r="L56" s="38" t="str">
        <f>IFERROR([1]!IntrinioBankFinancials(rssd_id,$S$2,L$6,L$5,$B56,"K"),"")</f>
        <v/>
      </c>
      <c r="M56" s="38" t="str">
        <f>IFERROR([1]!IntrinioBankFinancials(rssd_id,$S$2,M$6,M$5,$B56,"K"),"")</f>
        <v/>
      </c>
      <c r="N56" s="38" t="str">
        <f>IFERROR([1]!IntrinioBankFinancials(rssd_id,$S$2,N$6,N$5,$B56,"K"),"")</f>
        <v/>
      </c>
      <c r="O56" s="38" t="str">
        <f>IFERROR([1]!IntrinioBankFinancials(rssd_id,$S$2,O$6,O$5,$B56,"K"),"")</f>
        <v/>
      </c>
      <c r="P56" s="46" t="s">
        <v>94</v>
      </c>
    </row>
    <row r="57" spans="1:16" s="36" customFormat="1" ht="28.5" x14ac:dyDescent="0.4">
      <c r="A57" s="41" t="s">
        <v>166</v>
      </c>
      <c r="B57" s="37" t="s">
        <v>921</v>
      </c>
      <c r="C57" s="38" t="str">
        <f>IFERROR([1]!IntrinioBankFinancials(rssd_id,$S$2,C$6,C$5,$B57,"K"),"")</f>
        <v/>
      </c>
      <c r="D57" s="38" t="str">
        <f>IFERROR([1]!IntrinioBankFinancials(rssd_id,$S$2,D$6,D$5,$B57,"K"),"")</f>
        <v/>
      </c>
      <c r="E57" s="38" t="str">
        <f>IFERROR([1]!IntrinioBankFinancials(rssd_id,$S$2,E$6,E$5,$B57,"K"),"")</f>
        <v/>
      </c>
      <c r="F57" s="38" t="str">
        <f>IFERROR([1]!IntrinioBankFinancials(rssd_id,$S$2,F$6,F$5,$B57,"K"),"")</f>
        <v/>
      </c>
      <c r="G57" s="38" t="str">
        <f>IFERROR([1]!IntrinioBankFinancials(rssd_id,$S$2,G$6,G$5,$B57,"K"),"")</f>
        <v/>
      </c>
      <c r="H57" s="38" t="str">
        <f>IFERROR([1]!IntrinioBankFinancials(rssd_id,$S$2,H$6,H$5,$B57,"K"),"")</f>
        <v/>
      </c>
      <c r="I57" s="38" t="str">
        <f>IFERROR([1]!IntrinioBankFinancials(rssd_id,$S$2,I$6,I$5,$B57,"K"),"")</f>
        <v/>
      </c>
      <c r="J57" s="38" t="str">
        <f>IFERROR([1]!IntrinioBankFinancials(rssd_id,$S$2,J$6,J$5,$B57,"K"),"")</f>
        <v/>
      </c>
      <c r="K57" s="38" t="str">
        <f>IFERROR([1]!IntrinioBankFinancials(rssd_id,$S$2,K$6,K$5,$B57,"K"),"")</f>
        <v/>
      </c>
      <c r="L57" s="38" t="str">
        <f>IFERROR([1]!IntrinioBankFinancials(rssd_id,$S$2,L$6,L$5,$B57,"K"),"")</f>
        <v/>
      </c>
      <c r="M57" s="38" t="str">
        <f>IFERROR([1]!IntrinioBankFinancials(rssd_id,$S$2,M$6,M$5,$B57,"K"),"")</f>
        <v/>
      </c>
      <c r="N57" s="38" t="str">
        <f>IFERROR([1]!IntrinioBankFinancials(rssd_id,$S$2,N$6,N$5,$B57,"K"),"")</f>
        <v/>
      </c>
      <c r="O57" s="38" t="str">
        <f>IFERROR([1]!IntrinioBankFinancials(rssd_id,$S$2,O$6,O$5,$B57,"K"),"")</f>
        <v/>
      </c>
      <c r="P57" s="46" t="s">
        <v>95</v>
      </c>
    </row>
    <row r="58" spans="1:16" s="36" customFormat="1" ht="14.25" x14ac:dyDescent="0.4">
      <c r="A58" s="41" t="s">
        <v>96</v>
      </c>
      <c r="B58" s="34"/>
      <c r="C58" s="35"/>
      <c r="D58" s="35"/>
      <c r="E58" s="35"/>
      <c r="F58" s="35"/>
      <c r="G58" s="35"/>
      <c r="H58" s="35"/>
      <c r="I58" s="35"/>
      <c r="J58" s="35"/>
      <c r="K58" s="35"/>
      <c r="L58" s="35"/>
      <c r="M58" s="35"/>
      <c r="N58" s="35"/>
      <c r="O58" s="35"/>
      <c r="P58" s="46" t="s">
        <v>97</v>
      </c>
    </row>
    <row r="59" spans="1:16" s="36" customFormat="1" ht="14.25" x14ac:dyDescent="0.4">
      <c r="A59" s="42" t="s">
        <v>98</v>
      </c>
      <c r="B59" s="37" t="s">
        <v>922</v>
      </c>
      <c r="C59" s="38" t="str">
        <f>IFERROR([1]!IntrinioBankFinancials(rssd_id,$S$2,C$6,C$5,$B59,"K"),"")</f>
        <v/>
      </c>
      <c r="D59" s="38" t="str">
        <f>IFERROR([1]!IntrinioBankFinancials(rssd_id,$S$2,D$6,D$5,$B59,"K"),"")</f>
        <v/>
      </c>
      <c r="E59" s="38" t="str">
        <f>IFERROR([1]!IntrinioBankFinancials(rssd_id,$S$2,E$6,E$5,$B59,"K"),"")</f>
        <v/>
      </c>
      <c r="F59" s="38" t="str">
        <f>IFERROR([1]!IntrinioBankFinancials(rssd_id,$S$2,F$6,F$5,$B59,"K"),"")</f>
        <v/>
      </c>
      <c r="G59" s="38" t="str">
        <f>IFERROR([1]!IntrinioBankFinancials(rssd_id,$S$2,G$6,G$5,$B59,"K"),"")</f>
        <v/>
      </c>
      <c r="H59" s="38" t="str">
        <f>IFERROR([1]!IntrinioBankFinancials(rssd_id,$S$2,H$6,H$5,$B59,"K"),"")</f>
        <v/>
      </c>
      <c r="I59" s="38" t="str">
        <f>IFERROR([1]!IntrinioBankFinancials(rssd_id,$S$2,I$6,I$5,$B59,"K"),"")</f>
        <v/>
      </c>
      <c r="J59" s="38" t="str">
        <f>IFERROR([1]!IntrinioBankFinancials(rssd_id,$S$2,J$6,J$5,$B59,"K"),"")</f>
        <v/>
      </c>
      <c r="K59" s="38" t="str">
        <f>IFERROR([1]!IntrinioBankFinancials(rssd_id,$S$2,K$6,K$5,$B59,"K"),"")</f>
        <v/>
      </c>
      <c r="L59" s="38" t="str">
        <f>IFERROR([1]!IntrinioBankFinancials(rssd_id,$S$2,L$6,L$5,$B59,"K"),"")</f>
        <v/>
      </c>
      <c r="M59" s="38" t="str">
        <f>IFERROR([1]!IntrinioBankFinancials(rssd_id,$S$2,M$6,M$5,$B59,"K"),"")</f>
        <v/>
      </c>
      <c r="N59" s="38" t="str">
        <f>IFERROR([1]!IntrinioBankFinancials(rssd_id,$S$2,N$6,N$5,$B59,"K"),"")</f>
        <v/>
      </c>
      <c r="O59" s="38" t="str">
        <f>IFERROR([1]!IntrinioBankFinancials(rssd_id,$S$2,O$6,O$5,$B59,"K"),"")</f>
        <v/>
      </c>
      <c r="P59" s="46" t="s">
        <v>99</v>
      </c>
    </row>
    <row r="60" spans="1:16" s="36" customFormat="1" ht="14.25" x14ac:dyDescent="0.4">
      <c r="A60" s="42" t="s">
        <v>100</v>
      </c>
      <c r="B60" s="37" t="s">
        <v>923</v>
      </c>
      <c r="C60" s="38" t="str">
        <f>IFERROR([1]!IntrinioBankFinancials(rssd_id,$S$2,C$6,C$5,$B60,"K"),"")</f>
        <v/>
      </c>
      <c r="D60" s="38" t="str">
        <f>IFERROR([1]!IntrinioBankFinancials(rssd_id,$S$2,D$6,D$5,$B60,"K"),"")</f>
        <v/>
      </c>
      <c r="E60" s="38" t="str">
        <f>IFERROR([1]!IntrinioBankFinancials(rssd_id,$S$2,E$6,E$5,$B60,"K"),"")</f>
        <v/>
      </c>
      <c r="F60" s="38" t="str">
        <f>IFERROR([1]!IntrinioBankFinancials(rssd_id,$S$2,F$6,F$5,$B60,"K"),"")</f>
        <v/>
      </c>
      <c r="G60" s="38" t="str">
        <f>IFERROR([1]!IntrinioBankFinancials(rssd_id,$S$2,G$6,G$5,$B60,"K"),"")</f>
        <v/>
      </c>
      <c r="H60" s="38" t="str">
        <f>IFERROR([1]!IntrinioBankFinancials(rssd_id,$S$2,H$6,H$5,$B60,"K"),"")</f>
        <v/>
      </c>
      <c r="I60" s="38" t="str">
        <f>IFERROR([1]!IntrinioBankFinancials(rssd_id,$S$2,I$6,I$5,$B60,"K"),"")</f>
        <v/>
      </c>
      <c r="J60" s="38" t="str">
        <f>IFERROR([1]!IntrinioBankFinancials(rssd_id,$S$2,J$6,J$5,$B60,"K"),"")</f>
        <v/>
      </c>
      <c r="K60" s="38" t="str">
        <f>IFERROR([1]!IntrinioBankFinancials(rssd_id,$S$2,K$6,K$5,$B60,"K"),"")</f>
        <v/>
      </c>
      <c r="L60" s="38" t="str">
        <f>IFERROR([1]!IntrinioBankFinancials(rssd_id,$S$2,L$6,L$5,$B60,"K"),"")</f>
        <v/>
      </c>
      <c r="M60" s="38" t="str">
        <f>IFERROR([1]!IntrinioBankFinancials(rssd_id,$S$2,M$6,M$5,$B60,"K"),"")</f>
        <v/>
      </c>
      <c r="N60" s="38" t="str">
        <f>IFERROR([1]!IntrinioBankFinancials(rssd_id,$S$2,N$6,N$5,$B60,"K"),"")</f>
        <v/>
      </c>
      <c r="O60" s="38" t="str">
        <f>IFERROR([1]!IntrinioBankFinancials(rssd_id,$S$2,O$6,O$5,$B60,"K"),"")</f>
        <v/>
      </c>
      <c r="P60" s="46" t="s">
        <v>101</v>
      </c>
    </row>
    <row r="61" spans="1:16" s="36" customFormat="1" ht="14.25" x14ac:dyDescent="0.4">
      <c r="A61" s="41" t="s">
        <v>102</v>
      </c>
      <c r="B61" s="37" t="s">
        <v>924</v>
      </c>
      <c r="C61" s="38" t="str">
        <f>IFERROR([1]!IntrinioBankFinancials(rssd_id,$S$2,C$6,C$5,$B61,"K"),"")</f>
        <v/>
      </c>
      <c r="D61" s="38" t="str">
        <f>IFERROR([1]!IntrinioBankFinancials(rssd_id,$S$2,D$6,D$5,$B61,"K"),"")</f>
        <v/>
      </c>
      <c r="E61" s="38" t="str">
        <f>IFERROR([1]!IntrinioBankFinancials(rssd_id,$S$2,E$6,E$5,$B61,"K"),"")</f>
        <v/>
      </c>
      <c r="F61" s="38" t="str">
        <f>IFERROR([1]!IntrinioBankFinancials(rssd_id,$S$2,F$6,F$5,$B61,"K"),"")</f>
        <v/>
      </c>
      <c r="G61" s="38" t="str">
        <f>IFERROR([1]!IntrinioBankFinancials(rssd_id,$S$2,G$6,G$5,$B61,"K"),"")</f>
        <v/>
      </c>
      <c r="H61" s="38" t="str">
        <f>IFERROR([1]!IntrinioBankFinancials(rssd_id,$S$2,H$6,H$5,$B61,"K"),"")</f>
        <v/>
      </c>
      <c r="I61" s="38" t="str">
        <f>IFERROR([1]!IntrinioBankFinancials(rssd_id,$S$2,I$6,I$5,$B61,"K"),"")</f>
        <v/>
      </c>
      <c r="J61" s="38" t="str">
        <f>IFERROR([1]!IntrinioBankFinancials(rssd_id,$S$2,J$6,J$5,$B61,"K"),"")</f>
        <v/>
      </c>
      <c r="K61" s="38" t="str">
        <f>IFERROR([1]!IntrinioBankFinancials(rssd_id,$S$2,K$6,K$5,$B61,"K"),"")</f>
        <v/>
      </c>
      <c r="L61" s="38" t="str">
        <f>IFERROR([1]!IntrinioBankFinancials(rssd_id,$S$2,L$6,L$5,$B61,"K"),"")</f>
        <v/>
      </c>
      <c r="M61" s="38" t="str">
        <f>IFERROR([1]!IntrinioBankFinancials(rssd_id,$S$2,M$6,M$5,$B61,"K"),"")</f>
        <v/>
      </c>
      <c r="N61" s="38" t="str">
        <f>IFERROR([1]!IntrinioBankFinancials(rssd_id,$S$2,N$6,N$5,$B61,"K"),"")</f>
        <v/>
      </c>
      <c r="O61" s="38" t="str">
        <f>IFERROR([1]!IntrinioBankFinancials(rssd_id,$S$2,O$6,O$5,$B61,"K"),"")</f>
        <v/>
      </c>
      <c r="P61" s="46" t="s">
        <v>103</v>
      </c>
    </row>
    <row r="62" spans="1:16" s="36" customFormat="1" ht="14.25" x14ac:dyDescent="0.4">
      <c r="A62" s="41" t="s">
        <v>104</v>
      </c>
      <c r="B62" s="37" t="s">
        <v>925</v>
      </c>
      <c r="C62" s="38" t="str">
        <f>IFERROR([1]!IntrinioBankFinancials(rssd_id,$S$2,C$6,C$5,$B62,"K"),"")</f>
        <v/>
      </c>
      <c r="D62" s="38" t="str">
        <f>IFERROR([1]!IntrinioBankFinancials(rssd_id,$S$2,D$6,D$5,$B62,"K"),"")</f>
        <v/>
      </c>
      <c r="E62" s="38" t="str">
        <f>IFERROR([1]!IntrinioBankFinancials(rssd_id,$S$2,E$6,E$5,$B62,"K"),"")</f>
        <v/>
      </c>
      <c r="F62" s="38" t="str">
        <f>IFERROR([1]!IntrinioBankFinancials(rssd_id,$S$2,F$6,F$5,$B62,"K"),"")</f>
        <v/>
      </c>
      <c r="G62" s="38" t="str">
        <f>IFERROR([1]!IntrinioBankFinancials(rssd_id,$S$2,G$6,G$5,$B62,"K"),"")</f>
        <v/>
      </c>
      <c r="H62" s="38" t="str">
        <f>IFERROR([1]!IntrinioBankFinancials(rssd_id,$S$2,H$6,H$5,$B62,"K"),"")</f>
        <v/>
      </c>
      <c r="I62" s="38" t="str">
        <f>IFERROR([1]!IntrinioBankFinancials(rssd_id,$S$2,I$6,I$5,$B62,"K"),"")</f>
        <v/>
      </c>
      <c r="J62" s="38" t="str">
        <f>IFERROR([1]!IntrinioBankFinancials(rssd_id,$S$2,J$6,J$5,$B62,"K"),"")</f>
        <v/>
      </c>
      <c r="K62" s="38" t="str">
        <f>IFERROR([1]!IntrinioBankFinancials(rssd_id,$S$2,K$6,K$5,$B62,"K"),"")</f>
        <v/>
      </c>
      <c r="L62" s="38" t="str">
        <f>IFERROR([1]!IntrinioBankFinancials(rssd_id,$S$2,L$6,L$5,$B62,"K"),"")</f>
        <v/>
      </c>
      <c r="M62" s="38" t="str">
        <f>IFERROR([1]!IntrinioBankFinancials(rssd_id,$S$2,M$6,M$5,$B62,"K"),"")</f>
        <v/>
      </c>
      <c r="N62" s="38" t="str">
        <f>IFERROR([1]!IntrinioBankFinancials(rssd_id,$S$2,N$6,N$5,$B62,"K"),"")</f>
        <v/>
      </c>
      <c r="O62" s="38" t="str">
        <f>IFERROR([1]!IntrinioBankFinancials(rssd_id,$S$2,O$6,O$5,$B62,"K"),"")</f>
        <v/>
      </c>
      <c r="P62" s="46" t="s">
        <v>105</v>
      </c>
    </row>
    <row r="63" spans="1:16" s="36" customFormat="1" ht="28.5" x14ac:dyDescent="0.4">
      <c r="A63" s="19" t="s">
        <v>165</v>
      </c>
      <c r="B63" s="37" t="s">
        <v>926</v>
      </c>
      <c r="C63" s="38" t="str">
        <f>IFERROR([1]!IntrinioBankFinancials(rssd_id,$S$2,C$6,C$5,$B63,"K"),"")</f>
        <v/>
      </c>
      <c r="D63" s="38" t="str">
        <f>IFERROR([1]!IntrinioBankFinancials(rssd_id,$S$2,D$6,D$5,$B63,"K"),"")</f>
        <v/>
      </c>
      <c r="E63" s="38" t="str">
        <f>IFERROR([1]!IntrinioBankFinancials(rssd_id,$S$2,E$6,E$5,$B63,"K"),"")</f>
        <v/>
      </c>
      <c r="F63" s="38" t="str">
        <f>IFERROR([1]!IntrinioBankFinancials(rssd_id,$S$2,F$6,F$5,$B63,"K"),"")</f>
        <v/>
      </c>
      <c r="G63" s="38" t="str">
        <f>IFERROR([1]!IntrinioBankFinancials(rssd_id,$S$2,G$6,G$5,$B63,"K"),"")</f>
        <v/>
      </c>
      <c r="H63" s="38" t="str">
        <f>IFERROR([1]!IntrinioBankFinancials(rssd_id,$S$2,H$6,H$5,$B63,"K"),"")</f>
        <v/>
      </c>
      <c r="I63" s="38" t="str">
        <f>IFERROR([1]!IntrinioBankFinancials(rssd_id,$S$2,I$6,I$5,$B63,"K"),"")</f>
        <v/>
      </c>
      <c r="J63" s="38" t="str">
        <f>IFERROR([1]!IntrinioBankFinancials(rssd_id,$S$2,J$6,J$5,$B63,"K"),"")</f>
        <v/>
      </c>
      <c r="K63" s="38" t="str">
        <f>IFERROR([1]!IntrinioBankFinancials(rssd_id,$S$2,K$6,K$5,$B63,"K"),"")</f>
        <v/>
      </c>
      <c r="L63" s="38" t="str">
        <f>IFERROR([1]!IntrinioBankFinancials(rssd_id,$S$2,L$6,L$5,$B63,"K"),"")</f>
        <v/>
      </c>
      <c r="M63" s="38" t="str">
        <f>IFERROR([1]!IntrinioBankFinancials(rssd_id,$S$2,M$6,M$5,$B63,"K"),"")</f>
        <v/>
      </c>
      <c r="N63" s="38" t="str">
        <f>IFERROR([1]!IntrinioBankFinancials(rssd_id,$S$2,N$6,N$5,$B63,"K"),"")</f>
        <v/>
      </c>
      <c r="O63" s="38" t="str">
        <f>IFERROR([1]!IntrinioBankFinancials(rssd_id,$S$2,O$6,O$5,$B63,"K"),"")</f>
        <v/>
      </c>
      <c r="P63" s="46">
        <v>8</v>
      </c>
    </row>
    <row r="64" spans="1:16" s="36" customFormat="1" ht="14.25" x14ac:dyDescent="0.4">
      <c r="A64" s="19" t="s">
        <v>106</v>
      </c>
      <c r="B64" s="37" t="s">
        <v>927</v>
      </c>
      <c r="C64" s="38" t="str">
        <f>IFERROR([1]!IntrinioBankFinancials(rssd_id,$S$2,C$6,C$5,$B64,"K"),"")</f>
        <v/>
      </c>
      <c r="D64" s="38" t="str">
        <f>IFERROR([1]!IntrinioBankFinancials(rssd_id,$S$2,D$6,D$5,$B64,"K"),"")</f>
        <v/>
      </c>
      <c r="E64" s="38" t="str">
        <f>IFERROR([1]!IntrinioBankFinancials(rssd_id,$S$2,E$6,E$5,$B64,"K"),"")</f>
        <v/>
      </c>
      <c r="F64" s="38" t="str">
        <f>IFERROR([1]!IntrinioBankFinancials(rssd_id,$S$2,F$6,F$5,$B64,"K"),"")</f>
        <v/>
      </c>
      <c r="G64" s="38" t="str">
        <f>IFERROR([1]!IntrinioBankFinancials(rssd_id,$S$2,G$6,G$5,$B64,"K"),"")</f>
        <v/>
      </c>
      <c r="H64" s="38" t="str">
        <f>IFERROR([1]!IntrinioBankFinancials(rssd_id,$S$2,H$6,H$5,$B64,"K"),"")</f>
        <v/>
      </c>
      <c r="I64" s="38" t="str">
        <f>IFERROR([1]!IntrinioBankFinancials(rssd_id,$S$2,I$6,I$5,$B64,"K"),"")</f>
        <v/>
      </c>
      <c r="J64" s="38" t="str">
        <f>IFERROR([1]!IntrinioBankFinancials(rssd_id,$S$2,J$6,J$5,$B64,"K"),"")</f>
        <v/>
      </c>
      <c r="K64" s="38" t="str">
        <f>IFERROR([1]!IntrinioBankFinancials(rssd_id,$S$2,K$6,K$5,$B64,"K"),"")</f>
        <v/>
      </c>
      <c r="L64" s="38" t="str">
        <f>IFERROR([1]!IntrinioBankFinancials(rssd_id,$S$2,L$6,L$5,$B64,"K"),"")</f>
        <v/>
      </c>
      <c r="M64" s="38" t="str">
        <f>IFERROR([1]!IntrinioBankFinancials(rssd_id,$S$2,M$6,M$5,$B64,"K"),"")</f>
        <v/>
      </c>
      <c r="N64" s="38" t="str">
        <f>IFERROR([1]!IntrinioBankFinancials(rssd_id,$S$2,N$6,N$5,$B64,"K"),"")</f>
        <v/>
      </c>
      <c r="O64" s="38" t="str">
        <f>IFERROR([1]!IntrinioBankFinancials(rssd_id,$S$2,O$6,O$5,$B64,"K"),"")</f>
        <v/>
      </c>
      <c r="P64" s="46">
        <v>9</v>
      </c>
    </row>
    <row r="65" spans="1:16" s="36" customFormat="1" ht="28.5" x14ac:dyDescent="0.4">
      <c r="A65" s="19" t="s">
        <v>107</v>
      </c>
      <c r="B65" s="37" t="s">
        <v>928</v>
      </c>
      <c r="C65" s="38" t="str">
        <f>IFERROR([1]!IntrinioBankFinancials(rssd_id,$S$2,C$6,C$5,$B65,"K"),"")</f>
        <v/>
      </c>
      <c r="D65" s="38" t="str">
        <f>IFERROR([1]!IntrinioBankFinancials(rssd_id,$S$2,D$6,D$5,$B65,"K"),"")</f>
        <v/>
      </c>
      <c r="E65" s="38" t="str">
        <f>IFERROR([1]!IntrinioBankFinancials(rssd_id,$S$2,E$6,E$5,$B65,"K"),"")</f>
        <v/>
      </c>
      <c r="F65" s="38" t="str">
        <f>IFERROR([1]!IntrinioBankFinancials(rssd_id,$S$2,F$6,F$5,$B65,"K"),"")</f>
        <v/>
      </c>
      <c r="G65" s="38" t="str">
        <f>IFERROR([1]!IntrinioBankFinancials(rssd_id,$S$2,G$6,G$5,$B65,"K"),"")</f>
        <v/>
      </c>
      <c r="H65" s="38" t="str">
        <f>IFERROR([1]!IntrinioBankFinancials(rssd_id,$S$2,H$6,H$5,$B65,"K"),"")</f>
        <v/>
      </c>
      <c r="I65" s="38" t="str">
        <f>IFERROR([1]!IntrinioBankFinancials(rssd_id,$S$2,I$6,I$5,$B65,"K"),"")</f>
        <v/>
      </c>
      <c r="J65" s="38" t="str">
        <f>IFERROR([1]!IntrinioBankFinancials(rssd_id,$S$2,J$6,J$5,$B65,"K"),"")</f>
        <v/>
      </c>
      <c r="K65" s="38" t="str">
        <f>IFERROR([1]!IntrinioBankFinancials(rssd_id,$S$2,K$6,K$5,$B65,"K"),"")</f>
        <v/>
      </c>
      <c r="L65" s="38" t="str">
        <f>IFERROR([1]!IntrinioBankFinancials(rssd_id,$S$2,L$6,L$5,$B65,"K"),"")</f>
        <v/>
      </c>
      <c r="M65" s="38" t="str">
        <f>IFERROR([1]!IntrinioBankFinancials(rssd_id,$S$2,M$6,M$5,$B65,"K"),"")</f>
        <v/>
      </c>
      <c r="N65" s="38" t="str">
        <f>IFERROR([1]!IntrinioBankFinancials(rssd_id,$S$2,N$6,N$5,$B65,"K"),"")</f>
        <v/>
      </c>
      <c r="O65" s="38" t="str">
        <f>IFERROR([1]!IntrinioBankFinancials(rssd_id,$S$2,O$6,O$5,$B65,"K"),"")</f>
        <v/>
      </c>
      <c r="P65" s="46">
        <v>10</v>
      </c>
    </row>
    <row r="66" spans="1:16" s="36" customFormat="1" ht="14.25" x14ac:dyDescent="0.4">
      <c r="A66" s="19" t="s">
        <v>108</v>
      </c>
      <c r="B66" s="37" t="s">
        <v>929</v>
      </c>
      <c r="C66" s="38" t="str">
        <f>IFERROR([1]!IntrinioBankFinancials(rssd_id,$S$2,C$6,C$5,$B66,"K"),"")</f>
        <v/>
      </c>
      <c r="D66" s="38" t="str">
        <f>IFERROR([1]!IntrinioBankFinancials(rssd_id,$S$2,D$6,D$5,$B66,"K"),"")</f>
        <v/>
      </c>
      <c r="E66" s="38" t="str">
        <f>IFERROR([1]!IntrinioBankFinancials(rssd_id,$S$2,E$6,E$5,$B66,"K"),"")</f>
        <v/>
      </c>
      <c r="F66" s="38" t="str">
        <f>IFERROR([1]!IntrinioBankFinancials(rssd_id,$S$2,F$6,F$5,$B66,"K"),"")</f>
        <v/>
      </c>
      <c r="G66" s="38" t="str">
        <f>IFERROR([1]!IntrinioBankFinancials(rssd_id,$S$2,G$6,G$5,$B66,"K"),"")</f>
        <v/>
      </c>
      <c r="H66" s="38" t="str">
        <f>IFERROR([1]!IntrinioBankFinancials(rssd_id,$S$2,H$6,H$5,$B66,"K"),"")</f>
        <v/>
      </c>
      <c r="I66" s="38" t="str">
        <f>IFERROR([1]!IntrinioBankFinancials(rssd_id,$S$2,I$6,I$5,$B66,"K"),"")</f>
        <v/>
      </c>
      <c r="J66" s="38" t="str">
        <f>IFERROR([1]!IntrinioBankFinancials(rssd_id,$S$2,J$6,J$5,$B66,"K"),"")</f>
        <v/>
      </c>
      <c r="K66" s="38" t="str">
        <f>IFERROR([1]!IntrinioBankFinancials(rssd_id,$S$2,K$6,K$5,$B66,"K"),"")</f>
        <v/>
      </c>
      <c r="L66" s="38" t="str">
        <f>IFERROR([1]!IntrinioBankFinancials(rssd_id,$S$2,L$6,L$5,$B66,"K"),"")</f>
        <v/>
      </c>
      <c r="M66" s="38" t="str">
        <f>IFERROR([1]!IntrinioBankFinancials(rssd_id,$S$2,M$6,M$5,$B66,"K"),"")</f>
        <v/>
      </c>
      <c r="N66" s="38" t="str">
        <f>IFERROR([1]!IntrinioBankFinancials(rssd_id,$S$2,N$6,N$5,$B66,"K"),"")</f>
        <v/>
      </c>
      <c r="O66" s="38" t="str">
        <f>IFERROR([1]!IntrinioBankFinancials(rssd_id,$S$2,O$6,O$5,$B66,"K"),"")</f>
        <v/>
      </c>
      <c r="P66" s="46">
        <v>11</v>
      </c>
    </row>
    <row r="67" spans="1:16" s="36" customFormat="1" ht="28.5" x14ac:dyDescent="0.4">
      <c r="A67" s="19" t="s">
        <v>109</v>
      </c>
      <c r="B67" s="37" t="s">
        <v>930</v>
      </c>
      <c r="C67" s="38" t="str">
        <f>IFERROR([1]!IntrinioBankFinancials(rssd_id,$S$2,C$6,C$5,$B67,"K"),"")</f>
        <v/>
      </c>
      <c r="D67" s="38" t="str">
        <f>IFERROR([1]!IntrinioBankFinancials(rssd_id,$S$2,D$6,D$5,$B67,"K"),"")</f>
        <v/>
      </c>
      <c r="E67" s="38" t="str">
        <f>IFERROR([1]!IntrinioBankFinancials(rssd_id,$S$2,E$6,E$5,$B67,"K"),"")</f>
        <v/>
      </c>
      <c r="F67" s="38" t="str">
        <f>IFERROR([1]!IntrinioBankFinancials(rssd_id,$S$2,F$6,F$5,$B67,"K"),"")</f>
        <v/>
      </c>
      <c r="G67" s="38" t="str">
        <f>IFERROR([1]!IntrinioBankFinancials(rssd_id,$S$2,G$6,G$5,$B67,"K"),"")</f>
        <v/>
      </c>
      <c r="H67" s="38" t="str">
        <f>IFERROR([1]!IntrinioBankFinancials(rssd_id,$S$2,H$6,H$5,$B67,"K"),"")</f>
        <v/>
      </c>
      <c r="I67" s="38" t="str">
        <f>IFERROR([1]!IntrinioBankFinancials(rssd_id,$S$2,I$6,I$5,$B67,"K"),"")</f>
        <v/>
      </c>
      <c r="J67" s="38" t="str">
        <f>IFERROR([1]!IntrinioBankFinancials(rssd_id,$S$2,J$6,J$5,$B67,"K"),"")</f>
        <v/>
      </c>
      <c r="K67" s="38" t="str">
        <f>IFERROR([1]!IntrinioBankFinancials(rssd_id,$S$2,K$6,K$5,$B67,"K"),"")</f>
        <v/>
      </c>
      <c r="L67" s="38" t="str">
        <f>IFERROR([1]!IntrinioBankFinancials(rssd_id,$S$2,L$6,L$5,$B67,"K"),"")</f>
        <v/>
      </c>
      <c r="M67" s="38" t="str">
        <f>IFERROR([1]!IntrinioBankFinancials(rssd_id,$S$2,M$6,M$5,$B67,"K"),"")</f>
        <v/>
      </c>
      <c r="N67" s="38" t="str">
        <f>IFERROR([1]!IntrinioBankFinancials(rssd_id,$S$2,N$6,N$5,$B67,"K"),"")</f>
        <v/>
      </c>
      <c r="O67" s="38" t="str">
        <f>IFERROR([1]!IntrinioBankFinancials(rssd_id,$S$2,O$6,O$5,$B67,"K"),"")</f>
        <v/>
      </c>
      <c r="P67" s="46">
        <v>12</v>
      </c>
    </row>
    <row r="68" spans="1:16" s="36" customFormat="1" ht="28.5" x14ac:dyDescent="0.4">
      <c r="A68" s="19" t="s">
        <v>164</v>
      </c>
      <c r="B68" s="37" t="s">
        <v>931</v>
      </c>
      <c r="C68" s="38" t="str">
        <f>IFERROR([1]!IntrinioBankFinancials(rssd_id,$S$2,C$6,C$5,$B68,"K"),"")</f>
        <v/>
      </c>
      <c r="D68" s="38" t="str">
        <f>IFERROR([1]!IntrinioBankFinancials(rssd_id,$S$2,D$6,D$5,$B68,"K"),"")</f>
        <v/>
      </c>
      <c r="E68" s="38" t="str">
        <f>IFERROR([1]!IntrinioBankFinancials(rssd_id,$S$2,E$6,E$5,$B68,"K"),"")</f>
        <v/>
      </c>
      <c r="F68" s="38" t="str">
        <f>IFERROR([1]!IntrinioBankFinancials(rssd_id,$S$2,F$6,F$5,$B68,"K"),"")</f>
        <v/>
      </c>
      <c r="G68" s="38" t="str">
        <f>IFERROR([1]!IntrinioBankFinancials(rssd_id,$S$2,G$6,G$5,$B68,"K"),"")</f>
        <v/>
      </c>
      <c r="H68" s="38" t="str">
        <f>IFERROR([1]!IntrinioBankFinancials(rssd_id,$S$2,H$6,H$5,$B68,"K"),"")</f>
        <v/>
      </c>
      <c r="I68" s="38" t="str">
        <f>IFERROR([1]!IntrinioBankFinancials(rssd_id,$S$2,I$6,I$5,$B68,"K"),"")</f>
        <v/>
      </c>
      <c r="J68" s="38" t="str">
        <f>IFERROR([1]!IntrinioBankFinancials(rssd_id,$S$2,J$6,J$5,$B68,"K"),"")</f>
        <v/>
      </c>
      <c r="K68" s="38" t="str">
        <f>IFERROR([1]!IntrinioBankFinancials(rssd_id,$S$2,K$6,K$5,$B68,"K"),"")</f>
        <v/>
      </c>
      <c r="L68" s="38" t="str">
        <f>IFERROR([1]!IntrinioBankFinancials(rssd_id,$S$2,L$6,L$5,$B68,"K"),"")</f>
        <v/>
      </c>
      <c r="M68" s="38" t="str">
        <f>IFERROR([1]!IntrinioBankFinancials(rssd_id,$S$2,M$6,M$5,$B68,"K"),"")</f>
        <v/>
      </c>
      <c r="N68" s="38" t="str">
        <f>IFERROR([1]!IntrinioBankFinancials(rssd_id,$S$2,N$6,N$5,$B68,"K"),"")</f>
        <v/>
      </c>
      <c r="O68" s="38" t="str">
        <f>IFERROR([1]!IntrinioBankFinancials(rssd_id,$S$2,O$6,O$5,$B68,"K"),"")</f>
        <v/>
      </c>
      <c r="P68" s="46">
        <v>13</v>
      </c>
    </row>
    <row r="69" spans="1:16" s="36" customFormat="1" ht="14.25" x14ac:dyDescent="0.4">
      <c r="A69" s="19" t="s">
        <v>110</v>
      </c>
      <c r="B69" s="37" t="s">
        <v>932</v>
      </c>
      <c r="C69" s="38" t="str">
        <f>IFERROR([1]!IntrinioBankFinancials(rssd_id,$S$2,C$6,C$5,$B69,"K"),"")</f>
        <v/>
      </c>
      <c r="D69" s="38" t="str">
        <f>IFERROR([1]!IntrinioBankFinancials(rssd_id,$S$2,D$6,D$5,$B69,"K"),"")</f>
        <v/>
      </c>
      <c r="E69" s="38" t="str">
        <f>IFERROR([1]!IntrinioBankFinancials(rssd_id,$S$2,E$6,E$5,$B69,"K"),"")</f>
        <v/>
      </c>
      <c r="F69" s="38" t="str">
        <f>IFERROR([1]!IntrinioBankFinancials(rssd_id,$S$2,F$6,F$5,$B69,"K"),"")</f>
        <v/>
      </c>
      <c r="G69" s="38" t="str">
        <f>IFERROR([1]!IntrinioBankFinancials(rssd_id,$S$2,G$6,G$5,$B69,"K"),"")</f>
        <v/>
      </c>
      <c r="H69" s="38" t="str">
        <f>IFERROR([1]!IntrinioBankFinancials(rssd_id,$S$2,H$6,H$5,$B69,"K"),"")</f>
        <v/>
      </c>
      <c r="I69" s="38" t="str">
        <f>IFERROR([1]!IntrinioBankFinancials(rssd_id,$S$2,I$6,I$5,$B69,"K"),"")</f>
        <v/>
      </c>
      <c r="J69" s="38" t="str">
        <f>IFERROR([1]!IntrinioBankFinancials(rssd_id,$S$2,J$6,J$5,$B69,"K"),"")</f>
        <v/>
      </c>
      <c r="K69" s="38" t="str">
        <f>IFERROR([1]!IntrinioBankFinancials(rssd_id,$S$2,K$6,K$5,$B69,"K"),"")</f>
        <v/>
      </c>
      <c r="L69" s="38" t="str">
        <f>IFERROR([1]!IntrinioBankFinancials(rssd_id,$S$2,L$6,L$5,$B69,"K"),"")</f>
        <v/>
      </c>
      <c r="M69" s="38" t="str">
        <f>IFERROR([1]!IntrinioBankFinancials(rssd_id,$S$2,M$6,M$5,$B69,"K"),"")</f>
        <v/>
      </c>
      <c r="N69" s="38" t="str">
        <f>IFERROR([1]!IntrinioBankFinancials(rssd_id,$S$2,N$6,N$5,$B69,"K"),"")</f>
        <v/>
      </c>
      <c r="O69" s="38" t="str">
        <f>IFERROR([1]!IntrinioBankFinancials(rssd_id,$S$2,O$6,O$5,$B69,"K"),"")</f>
        <v/>
      </c>
      <c r="P69" s="46">
        <v>14</v>
      </c>
    </row>
    <row r="70" spans="1:16" s="36" customFormat="1" ht="14.25" x14ac:dyDescent="0.4">
      <c r="A70" s="19"/>
      <c r="B70" s="34"/>
      <c r="C70" s="35"/>
      <c r="D70" s="35"/>
      <c r="E70" s="35"/>
      <c r="F70" s="35"/>
      <c r="G70" s="35"/>
      <c r="H70" s="35"/>
      <c r="I70" s="35"/>
      <c r="J70" s="35"/>
      <c r="K70" s="35"/>
      <c r="L70" s="35"/>
      <c r="M70" s="35"/>
      <c r="N70" s="35"/>
      <c r="O70" s="35"/>
      <c r="P70" s="46"/>
    </row>
    <row r="71" spans="1:16" s="36" customFormat="1" x14ac:dyDescent="0.4">
      <c r="A71" s="11" t="s">
        <v>111</v>
      </c>
      <c r="B71" s="34"/>
      <c r="C71" s="35"/>
      <c r="D71" s="35"/>
      <c r="E71" s="35"/>
      <c r="F71" s="35"/>
      <c r="G71" s="35"/>
      <c r="H71" s="35"/>
      <c r="I71" s="35"/>
      <c r="J71" s="35"/>
      <c r="K71" s="35"/>
      <c r="L71" s="35"/>
      <c r="M71" s="35"/>
      <c r="N71" s="35"/>
      <c r="O71" s="35"/>
      <c r="P71" s="46"/>
    </row>
    <row r="72" spans="1:16" s="36" customFormat="1" ht="42.75" x14ac:dyDescent="0.4">
      <c r="A72" s="41" t="s">
        <v>167</v>
      </c>
      <c r="B72" s="37" t="s">
        <v>933</v>
      </c>
      <c r="C72" s="38" t="str">
        <f>IFERROR([1]!IntrinioBankFinancials(rssd_id,$S$2,C$6,C$5,$B72,"K"),"")</f>
        <v/>
      </c>
      <c r="D72" s="38" t="str">
        <f>IFERROR([1]!IntrinioBankFinancials(rssd_id,$S$2,D$6,D$5,$B72,"K"),"")</f>
        <v/>
      </c>
      <c r="E72" s="38" t="str">
        <f>IFERROR([1]!IntrinioBankFinancials(rssd_id,$S$2,E$6,E$5,$B72,"K"),"")</f>
        <v/>
      </c>
      <c r="F72" s="38" t="str">
        <f>IFERROR([1]!IntrinioBankFinancials(rssd_id,$S$2,F$6,F$5,$B72,"K"),"")</f>
        <v/>
      </c>
      <c r="G72" s="38" t="str">
        <f>IFERROR([1]!IntrinioBankFinancials(rssd_id,$S$2,G$6,G$5,$B72,"K"),"")</f>
        <v/>
      </c>
      <c r="H72" s="38" t="str">
        <f>IFERROR([1]!IntrinioBankFinancials(rssd_id,$S$2,H$6,H$5,$B72,"K"),"")</f>
        <v/>
      </c>
      <c r="I72" s="38" t="str">
        <f>IFERROR([1]!IntrinioBankFinancials(rssd_id,$S$2,I$6,I$5,$B72,"K"),"")</f>
        <v/>
      </c>
      <c r="J72" s="38" t="str">
        <f>IFERROR([1]!IntrinioBankFinancials(rssd_id,$S$2,J$6,J$5,$B72,"K"),"")</f>
        <v/>
      </c>
      <c r="K72" s="38" t="str">
        <f>IFERROR([1]!IntrinioBankFinancials(rssd_id,$S$2,K$6,K$5,$B72,"K"),"")</f>
        <v/>
      </c>
      <c r="L72" s="38" t="str">
        <f>IFERROR([1]!IntrinioBankFinancials(rssd_id,$S$2,L$6,L$5,$B72,"K"),"")</f>
        <v/>
      </c>
      <c r="M72" s="38" t="str">
        <f>IFERROR([1]!IntrinioBankFinancials(rssd_id,$S$2,M$6,M$5,$B72,"K"),"")</f>
        <v/>
      </c>
      <c r="N72" s="38" t="str">
        <f>IFERROR([1]!IntrinioBankFinancials(rssd_id,$S$2,N$6,N$5,$B72,"K"),"")</f>
        <v/>
      </c>
      <c r="O72" s="38" t="str">
        <f>IFERROR([1]!IntrinioBankFinancials(rssd_id,$S$2,O$6,O$5,$B72,"K"),"")</f>
        <v/>
      </c>
      <c r="P72" s="46" t="s">
        <v>112</v>
      </c>
    </row>
    <row r="73" spans="1:16" s="36" customFormat="1" ht="28.5" x14ac:dyDescent="0.4">
      <c r="A73" s="41" t="s">
        <v>1851</v>
      </c>
      <c r="B73" s="37" t="s">
        <v>934</v>
      </c>
      <c r="C73" s="38" t="str">
        <f>IFERROR([1]!IntrinioBankFinancials(rssd_id,$S$2,C$6,C$5,$B73,"K"),"")</f>
        <v/>
      </c>
      <c r="D73" s="38" t="str">
        <f>IFERROR([1]!IntrinioBankFinancials(rssd_id,$S$2,D$6,D$5,$B73,"K"),"")</f>
        <v/>
      </c>
      <c r="E73" s="38" t="str">
        <f>IFERROR([1]!IntrinioBankFinancials(rssd_id,$S$2,E$6,E$5,$B73,"K"),"")</f>
        <v/>
      </c>
      <c r="F73" s="38" t="str">
        <f>IFERROR([1]!IntrinioBankFinancials(rssd_id,$S$2,F$6,F$5,$B73,"K"),"")</f>
        <v/>
      </c>
      <c r="G73" s="38" t="str">
        <f>IFERROR([1]!IntrinioBankFinancials(rssd_id,$S$2,G$6,G$5,$B73,"K"),"")</f>
        <v/>
      </c>
      <c r="H73" s="38" t="str">
        <f>IFERROR([1]!IntrinioBankFinancials(rssd_id,$S$2,H$6,H$5,$B73,"K"),"")</f>
        <v/>
      </c>
      <c r="I73" s="38" t="str">
        <f>IFERROR([1]!IntrinioBankFinancials(rssd_id,$S$2,I$6,I$5,$B73,"K"),"")</f>
        <v/>
      </c>
      <c r="J73" s="38" t="str">
        <f>IFERROR([1]!IntrinioBankFinancials(rssd_id,$S$2,J$6,J$5,$B73,"K"),"")</f>
        <v/>
      </c>
      <c r="K73" s="38" t="str">
        <f>IFERROR([1]!IntrinioBankFinancials(rssd_id,$S$2,K$6,K$5,$B73,"K"),"")</f>
        <v/>
      </c>
      <c r="L73" s="38" t="str">
        <f>IFERROR([1]!IntrinioBankFinancials(rssd_id,$S$2,L$6,L$5,$B73,"K"),"")</f>
        <v/>
      </c>
      <c r="M73" s="38" t="str">
        <f>IFERROR([1]!IntrinioBankFinancials(rssd_id,$S$2,M$6,M$5,$B73,"K"),"")</f>
        <v/>
      </c>
      <c r="N73" s="38" t="str">
        <f>IFERROR([1]!IntrinioBankFinancials(rssd_id,$S$2,N$6,N$5,$B73,"K"),"")</f>
        <v/>
      </c>
      <c r="O73" s="38" t="str">
        <f>IFERROR([1]!IntrinioBankFinancials(rssd_id,$S$2,O$6,O$5,$B73,"K"),"")</f>
        <v/>
      </c>
      <c r="P73" s="46" t="s">
        <v>113</v>
      </c>
    </row>
    <row r="74" spans="1:16" s="36" customFormat="1" ht="28.5" x14ac:dyDescent="0.4">
      <c r="A74" s="41" t="s">
        <v>1852</v>
      </c>
      <c r="B74" s="37" t="s">
        <v>935</v>
      </c>
      <c r="C74" s="38" t="str">
        <f>IFERROR([1]!IntrinioBankFinancials(rssd_id,$S$2,C$6,C$5,$B74,"K"),"")</f>
        <v/>
      </c>
      <c r="D74" s="38" t="str">
        <f>IFERROR([1]!IntrinioBankFinancials(rssd_id,$S$2,D$6,D$5,$B74,"K"),"")</f>
        <v/>
      </c>
      <c r="E74" s="38" t="str">
        <f>IFERROR([1]!IntrinioBankFinancials(rssd_id,$S$2,E$6,E$5,$B74,"K"),"")</f>
        <v/>
      </c>
      <c r="F74" s="38" t="str">
        <f>IFERROR([1]!IntrinioBankFinancials(rssd_id,$S$2,F$6,F$5,$B74,"K"),"")</f>
        <v/>
      </c>
      <c r="G74" s="38" t="str">
        <f>IFERROR([1]!IntrinioBankFinancials(rssd_id,$S$2,G$6,G$5,$B74,"K"),"")</f>
        <v/>
      </c>
      <c r="H74" s="38" t="str">
        <f>IFERROR([1]!IntrinioBankFinancials(rssd_id,$S$2,H$6,H$5,$B74,"K"),"")</f>
        <v/>
      </c>
      <c r="I74" s="38" t="str">
        <f>IFERROR([1]!IntrinioBankFinancials(rssd_id,$S$2,I$6,I$5,$B74,"K"),"")</f>
        <v/>
      </c>
      <c r="J74" s="38" t="str">
        <f>IFERROR([1]!IntrinioBankFinancials(rssd_id,$S$2,J$6,J$5,$B74,"K"),"")</f>
        <v/>
      </c>
      <c r="K74" s="38" t="str">
        <f>IFERROR([1]!IntrinioBankFinancials(rssd_id,$S$2,K$6,K$5,$B74,"K"),"")</f>
        <v/>
      </c>
      <c r="L74" s="38" t="str">
        <f>IFERROR([1]!IntrinioBankFinancials(rssd_id,$S$2,L$6,L$5,$B74,"K"),"")</f>
        <v/>
      </c>
      <c r="M74" s="38" t="str">
        <f>IFERROR([1]!IntrinioBankFinancials(rssd_id,$S$2,M$6,M$5,$B74,"K"),"")</f>
        <v/>
      </c>
      <c r="N74" s="38" t="str">
        <f>IFERROR([1]!IntrinioBankFinancials(rssd_id,$S$2,N$6,N$5,$B74,"K"),"")</f>
        <v/>
      </c>
      <c r="O74" s="38" t="str">
        <f>IFERROR([1]!IntrinioBankFinancials(rssd_id,$S$2,O$6,O$5,$B74,"K"),"")</f>
        <v/>
      </c>
      <c r="P74" s="46" t="s">
        <v>114</v>
      </c>
    </row>
    <row r="75" spans="1:16" s="36" customFormat="1" ht="28.5" x14ac:dyDescent="0.4">
      <c r="A75" s="41" t="s">
        <v>1853</v>
      </c>
      <c r="B75" s="37" t="s">
        <v>936</v>
      </c>
      <c r="C75" s="38" t="str">
        <f>IFERROR([1]!IntrinioBankFinancials(rssd_id,$S$2,C$6,C$5,$B75,"K"),"")</f>
        <v/>
      </c>
      <c r="D75" s="38" t="str">
        <f>IFERROR([1]!IntrinioBankFinancials(rssd_id,$S$2,D$6,D$5,$B75,"K"),"")</f>
        <v/>
      </c>
      <c r="E75" s="38" t="str">
        <f>IFERROR([1]!IntrinioBankFinancials(rssd_id,$S$2,E$6,E$5,$B75,"K"),"")</f>
        <v/>
      </c>
      <c r="F75" s="38" t="str">
        <f>IFERROR([1]!IntrinioBankFinancials(rssd_id,$S$2,F$6,F$5,$B75,"K"),"")</f>
        <v/>
      </c>
      <c r="G75" s="38" t="str">
        <f>IFERROR([1]!IntrinioBankFinancials(rssd_id,$S$2,G$6,G$5,$B75,"K"),"")</f>
        <v/>
      </c>
      <c r="H75" s="38" t="str">
        <f>IFERROR([1]!IntrinioBankFinancials(rssd_id,$S$2,H$6,H$5,$B75,"K"),"")</f>
        <v/>
      </c>
      <c r="I75" s="38" t="str">
        <f>IFERROR([1]!IntrinioBankFinancials(rssd_id,$S$2,I$6,I$5,$B75,"K"),"")</f>
        <v/>
      </c>
      <c r="J75" s="38" t="str">
        <f>IFERROR([1]!IntrinioBankFinancials(rssd_id,$S$2,J$6,J$5,$B75,"K"),"")</f>
        <v/>
      </c>
      <c r="K75" s="38" t="str">
        <f>IFERROR([1]!IntrinioBankFinancials(rssd_id,$S$2,K$6,K$5,$B75,"K"),"")</f>
        <v/>
      </c>
      <c r="L75" s="38" t="str">
        <f>IFERROR([1]!IntrinioBankFinancials(rssd_id,$S$2,L$6,L$5,$B75,"K"),"")</f>
        <v/>
      </c>
      <c r="M75" s="38" t="str">
        <f>IFERROR([1]!IntrinioBankFinancials(rssd_id,$S$2,M$6,M$5,$B75,"K"),"")</f>
        <v/>
      </c>
      <c r="N75" s="38" t="str">
        <f>IFERROR([1]!IntrinioBankFinancials(rssd_id,$S$2,N$6,N$5,$B75,"K"),"")</f>
        <v/>
      </c>
      <c r="O75" s="38" t="str">
        <f>IFERROR([1]!IntrinioBankFinancials(rssd_id,$S$2,O$6,O$5,$B75,"K"),"")</f>
        <v/>
      </c>
      <c r="P75" s="46" t="s">
        <v>115</v>
      </c>
    </row>
    <row r="76" spans="1:16" s="36" customFormat="1" ht="28.5" x14ac:dyDescent="0.4">
      <c r="A76" s="41" t="s">
        <v>116</v>
      </c>
      <c r="B76" s="37" t="s">
        <v>937</v>
      </c>
      <c r="C76" s="38" t="str">
        <f>IFERROR([1]!IntrinioBankFinancials(rssd_id,$S$2,C$6,C$5,$B76,"K"),"")</f>
        <v/>
      </c>
      <c r="D76" s="38" t="str">
        <f>IFERROR([1]!IntrinioBankFinancials(rssd_id,$S$2,D$6,D$5,$B76,"K"),"")</f>
        <v/>
      </c>
      <c r="E76" s="38" t="str">
        <f>IFERROR([1]!IntrinioBankFinancials(rssd_id,$S$2,E$6,E$5,$B76,"K"),"")</f>
        <v/>
      </c>
      <c r="F76" s="38" t="str">
        <f>IFERROR([1]!IntrinioBankFinancials(rssd_id,$S$2,F$6,F$5,$B76,"K"),"")</f>
        <v/>
      </c>
      <c r="G76" s="38" t="str">
        <f>IFERROR([1]!IntrinioBankFinancials(rssd_id,$S$2,G$6,G$5,$B76,"K"),"")</f>
        <v/>
      </c>
      <c r="H76" s="38" t="str">
        <f>IFERROR([1]!IntrinioBankFinancials(rssd_id,$S$2,H$6,H$5,$B76,"K"),"")</f>
        <v/>
      </c>
      <c r="I76" s="38" t="str">
        <f>IFERROR([1]!IntrinioBankFinancials(rssd_id,$S$2,I$6,I$5,$B76,"K"),"")</f>
        <v/>
      </c>
      <c r="J76" s="38" t="str">
        <f>IFERROR([1]!IntrinioBankFinancials(rssd_id,$S$2,J$6,J$5,$B76,"K"),"")</f>
        <v/>
      </c>
      <c r="K76" s="38" t="str">
        <f>IFERROR([1]!IntrinioBankFinancials(rssd_id,$S$2,K$6,K$5,$B76,"K"),"")</f>
        <v/>
      </c>
      <c r="L76" s="38" t="str">
        <f>IFERROR([1]!IntrinioBankFinancials(rssd_id,$S$2,L$6,L$5,$B76,"K"),"")</f>
        <v/>
      </c>
      <c r="M76" s="38" t="str">
        <f>IFERROR([1]!IntrinioBankFinancials(rssd_id,$S$2,M$6,M$5,$B76,"K"),"")</f>
        <v/>
      </c>
      <c r="N76" s="38" t="str">
        <f>IFERROR([1]!IntrinioBankFinancials(rssd_id,$S$2,N$6,N$5,$B76,"K"),"")</f>
        <v/>
      </c>
      <c r="O76" s="38" t="str">
        <f>IFERROR([1]!IntrinioBankFinancials(rssd_id,$S$2,O$6,O$5,$B76,"K"),"")</f>
        <v/>
      </c>
      <c r="P76" s="46" t="s">
        <v>117</v>
      </c>
    </row>
    <row r="77" spans="1:16" s="36" customFormat="1" ht="28.5" x14ac:dyDescent="0.4">
      <c r="A77" s="41" t="s">
        <v>1854</v>
      </c>
      <c r="B77" s="37" t="s">
        <v>938</v>
      </c>
      <c r="C77" s="38" t="str">
        <f>IFERROR([1]!IntrinioBankFinancials(rssd_id,$S$2,C$6,C$5,$B77,"K"),"")</f>
        <v/>
      </c>
      <c r="D77" s="38" t="str">
        <f>IFERROR([1]!IntrinioBankFinancials(rssd_id,$S$2,D$6,D$5,$B77,"K"),"")</f>
        <v/>
      </c>
      <c r="E77" s="38" t="str">
        <f>IFERROR([1]!IntrinioBankFinancials(rssd_id,$S$2,E$6,E$5,$B77,"K"),"")</f>
        <v/>
      </c>
      <c r="F77" s="38" t="str">
        <f>IFERROR([1]!IntrinioBankFinancials(rssd_id,$S$2,F$6,F$5,$B77,"K"),"")</f>
        <v/>
      </c>
      <c r="G77" s="38" t="str">
        <f>IFERROR([1]!IntrinioBankFinancials(rssd_id,$S$2,G$6,G$5,$B77,"K"),"")</f>
        <v/>
      </c>
      <c r="H77" s="38" t="str">
        <f>IFERROR([1]!IntrinioBankFinancials(rssd_id,$S$2,H$6,H$5,$B77,"K"),"")</f>
        <v/>
      </c>
      <c r="I77" s="38" t="str">
        <f>IFERROR([1]!IntrinioBankFinancials(rssd_id,$S$2,I$6,I$5,$B77,"K"),"")</f>
        <v/>
      </c>
      <c r="J77" s="38" t="str">
        <f>IFERROR([1]!IntrinioBankFinancials(rssd_id,$S$2,J$6,J$5,$B77,"K"),"")</f>
        <v/>
      </c>
      <c r="K77" s="38" t="str">
        <f>IFERROR([1]!IntrinioBankFinancials(rssd_id,$S$2,K$6,K$5,$B77,"K"),"")</f>
        <v/>
      </c>
      <c r="L77" s="38" t="str">
        <f>IFERROR([1]!IntrinioBankFinancials(rssd_id,$S$2,L$6,L$5,$B77,"K"),"")</f>
        <v/>
      </c>
      <c r="M77" s="38" t="str">
        <f>IFERROR([1]!IntrinioBankFinancials(rssd_id,$S$2,M$6,M$5,$B77,"K"),"")</f>
        <v/>
      </c>
      <c r="N77" s="38" t="str">
        <f>IFERROR([1]!IntrinioBankFinancials(rssd_id,$S$2,N$6,N$5,$B77,"K"),"")</f>
        <v/>
      </c>
      <c r="O77" s="38" t="str">
        <f>IFERROR([1]!IntrinioBankFinancials(rssd_id,$S$2,O$6,O$5,$B77,"K"),"")</f>
        <v/>
      </c>
      <c r="P77" s="46" t="s">
        <v>118</v>
      </c>
    </row>
    <row r="78" spans="1:16" s="36" customFormat="1" ht="28.5" x14ac:dyDescent="0.4">
      <c r="A78" s="41" t="s">
        <v>168</v>
      </c>
      <c r="B78" s="37" t="s">
        <v>939</v>
      </c>
      <c r="C78" s="38" t="str">
        <f>IFERROR([1]!IntrinioBankFinancials(rssd_id,$S$2,C$6,C$5,$B78,"K"),"")</f>
        <v/>
      </c>
      <c r="D78" s="38" t="str">
        <f>IFERROR([1]!IntrinioBankFinancials(rssd_id,$S$2,D$6,D$5,$B78,"K"),"")</f>
        <v/>
      </c>
      <c r="E78" s="38" t="str">
        <f>IFERROR([1]!IntrinioBankFinancials(rssd_id,$S$2,E$6,E$5,$B78,"K"),"")</f>
        <v/>
      </c>
      <c r="F78" s="38" t="str">
        <f>IFERROR([1]!IntrinioBankFinancials(rssd_id,$S$2,F$6,F$5,$B78,"K"),"")</f>
        <v/>
      </c>
      <c r="G78" s="38" t="str">
        <f>IFERROR([1]!IntrinioBankFinancials(rssd_id,$S$2,G$6,G$5,$B78,"K"),"")</f>
        <v/>
      </c>
      <c r="H78" s="38" t="str">
        <f>IFERROR([1]!IntrinioBankFinancials(rssd_id,$S$2,H$6,H$5,$B78,"K"),"")</f>
        <v/>
      </c>
      <c r="I78" s="38" t="str">
        <f>IFERROR([1]!IntrinioBankFinancials(rssd_id,$S$2,I$6,I$5,$B78,"K"),"")</f>
        <v/>
      </c>
      <c r="J78" s="38" t="str">
        <f>IFERROR([1]!IntrinioBankFinancials(rssd_id,$S$2,J$6,J$5,$B78,"K"),"")</f>
        <v/>
      </c>
      <c r="K78" s="38" t="str">
        <f>IFERROR([1]!IntrinioBankFinancials(rssd_id,$S$2,K$6,K$5,$B78,"K"),"")</f>
        <v/>
      </c>
      <c r="L78" s="38" t="str">
        <f>IFERROR([1]!IntrinioBankFinancials(rssd_id,$S$2,L$6,L$5,$B78,"K"),"")</f>
        <v/>
      </c>
      <c r="M78" s="38" t="str">
        <f>IFERROR([1]!IntrinioBankFinancials(rssd_id,$S$2,M$6,M$5,$B78,"K"),"")</f>
        <v/>
      </c>
      <c r="N78" s="38" t="str">
        <f>IFERROR([1]!IntrinioBankFinancials(rssd_id,$S$2,N$6,N$5,$B78,"K"),"")</f>
        <v/>
      </c>
      <c r="O78" s="38" t="str">
        <f>IFERROR([1]!IntrinioBankFinancials(rssd_id,$S$2,O$6,O$5,$B78,"K"),"")</f>
        <v/>
      </c>
      <c r="P78" s="46" t="s">
        <v>119</v>
      </c>
    </row>
    <row r="79" spans="1:16" s="36" customFormat="1" ht="28.5" x14ac:dyDescent="0.4">
      <c r="A79" s="41" t="s">
        <v>1855</v>
      </c>
      <c r="B79" s="34"/>
      <c r="C79" s="35"/>
      <c r="D79" s="35"/>
      <c r="E79" s="35"/>
      <c r="F79" s="35"/>
      <c r="G79" s="35"/>
      <c r="H79" s="35"/>
      <c r="I79" s="35"/>
      <c r="J79" s="35"/>
      <c r="K79" s="35"/>
      <c r="L79" s="35"/>
      <c r="M79" s="35"/>
      <c r="N79" s="35"/>
      <c r="O79" s="35"/>
      <c r="P79" s="46" t="s">
        <v>120</v>
      </c>
    </row>
    <row r="80" spans="1:16" s="36" customFormat="1" ht="14.25" x14ac:dyDescent="0.4">
      <c r="A80" s="42" t="s">
        <v>121</v>
      </c>
      <c r="B80" s="37" t="s">
        <v>940</v>
      </c>
      <c r="C80" s="38" t="str">
        <f>IFERROR([1]!IntrinioBankFinancials(rssd_id,$S$2,C$6,C$5,$B80,"K"),"")</f>
        <v/>
      </c>
      <c r="D80" s="38" t="str">
        <f>IFERROR([1]!IntrinioBankFinancials(rssd_id,$S$2,D$6,D$5,$B80,"K"),"")</f>
        <v/>
      </c>
      <c r="E80" s="38" t="str">
        <f>IFERROR([1]!IntrinioBankFinancials(rssd_id,$S$2,E$6,E$5,$B80,"K"),"")</f>
        <v/>
      </c>
      <c r="F80" s="38" t="str">
        <f>IFERROR([1]!IntrinioBankFinancials(rssd_id,$S$2,F$6,F$5,$B80,"K"),"")</f>
        <v/>
      </c>
      <c r="G80" s="38" t="str">
        <f>IFERROR([1]!IntrinioBankFinancials(rssd_id,$S$2,G$6,G$5,$B80,"K"),"")</f>
        <v/>
      </c>
      <c r="H80" s="38" t="str">
        <f>IFERROR([1]!IntrinioBankFinancials(rssd_id,$S$2,H$6,H$5,$B80,"K"),"")</f>
        <v/>
      </c>
      <c r="I80" s="38" t="str">
        <f>IFERROR([1]!IntrinioBankFinancials(rssd_id,$S$2,I$6,I$5,$B80,"K"),"")</f>
        <v/>
      </c>
      <c r="J80" s="38" t="str">
        <f>IFERROR([1]!IntrinioBankFinancials(rssd_id,$S$2,J$6,J$5,$B80,"K"),"")</f>
        <v/>
      </c>
      <c r="K80" s="38" t="str">
        <f>IFERROR([1]!IntrinioBankFinancials(rssd_id,$S$2,K$6,K$5,$B80,"K"),"")</f>
        <v/>
      </c>
      <c r="L80" s="38" t="str">
        <f>IFERROR([1]!IntrinioBankFinancials(rssd_id,$S$2,L$6,L$5,$B80,"K"),"")</f>
        <v/>
      </c>
      <c r="M80" s="38" t="str">
        <f>IFERROR([1]!IntrinioBankFinancials(rssd_id,$S$2,M$6,M$5,$B80,"K"),"")</f>
        <v/>
      </c>
      <c r="N80" s="38" t="str">
        <f>IFERROR([1]!IntrinioBankFinancials(rssd_id,$S$2,N$6,N$5,$B80,"K"),"")</f>
        <v/>
      </c>
      <c r="O80" s="38" t="str">
        <f>IFERROR([1]!IntrinioBankFinancials(rssd_id,$S$2,O$6,O$5,$B80,"K"),"")</f>
        <v/>
      </c>
      <c r="P80" s="46" t="s">
        <v>122</v>
      </c>
    </row>
    <row r="81" spans="1:16" s="36" customFormat="1" ht="14.25" x14ac:dyDescent="0.4">
      <c r="A81" s="42" t="s">
        <v>123</v>
      </c>
      <c r="B81" s="37" t="s">
        <v>941</v>
      </c>
      <c r="C81" s="38" t="str">
        <f>IFERROR([1]!IntrinioBankFinancials(rssd_id,$S$2,C$6,C$5,$B81,"K"),"")</f>
        <v/>
      </c>
      <c r="D81" s="38" t="str">
        <f>IFERROR([1]!IntrinioBankFinancials(rssd_id,$S$2,D$6,D$5,$B81,"K"),"")</f>
        <v/>
      </c>
      <c r="E81" s="38" t="str">
        <f>IFERROR([1]!IntrinioBankFinancials(rssd_id,$S$2,E$6,E$5,$B81,"K"),"")</f>
        <v/>
      </c>
      <c r="F81" s="38" t="str">
        <f>IFERROR([1]!IntrinioBankFinancials(rssd_id,$S$2,F$6,F$5,$B81,"K"),"")</f>
        <v/>
      </c>
      <c r="G81" s="38" t="str">
        <f>IFERROR([1]!IntrinioBankFinancials(rssd_id,$S$2,G$6,G$5,$B81,"K"),"")</f>
        <v/>
      </c>
      <c r="H81" s="38" t="str">
        <f>IFERROR([1]!IntrinioBankFinancials(rssd_id,$S$2,H$6,H$5,$B81,"K"),"")</f>
        <v/>
      </c>
      <c r="I81" s="38" t="str">
        <f>IFERROR([1]!IntrinioBankFinancials(rssd_id,$S$2,I$6,I$5,$B81,"K"),"")</f>
        <v/>
      </c>
      <c r="J81" s="38" t="str">
        <f>IFERROR([1]!IntrinioBankFinancials(rssd_id,$S$2,J$6,J$5,$B81,"K"),"")</f>
        <v/>
      </c>
      <c r="K81" s="38" t="str">
        <f>IFERROR([1]!IntrinioBankFinancials(rssd_id,$S$2,K$6,K$5,$B81,"K"),"")</f>
        <v/>
      </c>
      <c r="L81" s="38" t="str">
        <f>IFERROR([1]!IntrinioBankFinancials(rssd_id,$S$2,L$6,L$5,$B81,"K"),"")</f>
        <v/>
      </c>
      <c r="M81" s="38" t="str">
        <f>IFERROR([1]!IntrinioBankFinancials(rssd_id,$S$2,M$6,M$5,$B81,"K"),"")</f>
        <v/>
      </c>
      <c r="N81" s="38" t="str">
        <f>IFERROR([1]!IntrinioBankFinancials(rssd_id,$S$2,N$6,N$5,$B81,"K"),"")</f>
        <v/>
      </c>
      <c r="O81" s="38" t="str">
        <f>IFERROR([1]!IntrinioBankFinancials(rssd_id,$S$2,O$6,O$5,$B81,"K"),"")</f>
        <v/>
      </c>
      <c r="P81" s="46" t="s">
        <v>124</v>
      </c>
    </row>
    <row r="82" spans="1:16" s="36" customFormat="1" ht="14.25" x14ac:dyDescent="0.4">
      <c r="A82" s="42" t="s">
        <v>125</v>
      </c>
      <c r="B82" s="37" t="s">
        <v>942</v>
      </c>
      <c r="C82" s="38" t="str">
        <f>IFERROR([1]!IntrinioBankFinancials(rssd_id,$S$2,C$6,C$5,$B82,"K"),"")</f>
        <v/>
      </c>
      <c r="D82" s="38" t="str">
        <f>IFERROR([1]!IntrinioBankFinancials(rssd_id,$S$2,D$6,D$5,$B82,"K"),"")</f>
        <v/>
      </c>
      <c r="E82" s="38" t="str">
        <f>IFERROR([1]!IntrinioBankFinancials(rssd_id,$S$2,E$6,E$5,$B82,"K"),"")</f>
        <v/>
      </c>
      <c r="F82" s="38" t="str">
        <f>IFERROR([1]!IntrinioBankFinancials(rssd_id,$S$2,F$6,F$5,$B82,"K"),"")</f>
        <v/>
      </c>
      <c r="G82" s="38" t="str">
        <f>IFERROR([1]!IntrinioBankFinancials(rssd_id,$S$2,G$6,G$5,$B82,"K"),"")</f>
        <v/>
      </c>
      <c r="H82" s="38" t="str">
        <f>IFERROR([1]!IntrinioBankFinancials(rssd_id,$S$2,H$6,H$5,$B82,"K"),"")</f>
        <v/>
      </c>
      <c r="I82" s="38" t="str">
        <f>IFERROR([1]!IntrinioBankFinancials(rssd_id,$S$2,I$6,I$5,$B82,"K"),"")</f>
        <v/>
      </c>
      <c r="J82" s="38" t="str">
        <f>IFERROR([1]!IntrinioBankFinancials(rssd_id,$S$2,J$6,J$5,$B82,"K"),"")</f>
        <v/>
      </c>
      <c r="K82" s="38" t="str">
        <f>IFERROR([1]!IntrinioBankFinancials(rssd_id,$S$2,K$6,K$5,$B82,"K"),"")</f>
        <v/>
      </c>
      <c r="L82" s="38" t="str">
        <f>IFERROR([1]!IntrinioBankFinancials(rssd_id,$S$2,L$6,L$5,$B82,"K"),"")</f>
        <v/>
      </c>
      <c r="M82" s="38" t="str">
        <f>IFERROR([1]!IntrinioBankFinancials(rssd_id,$S$2,M$6,M$5,$B82,"K"),"")</f>
        <v/>
      </c>
      <c r="N82" s="38" t="str">
        <f>IFERROR([1]!IntrinioBankFinancials(rssd_id,$S$2,N$6,N$5,$B82,"K"),"")</f>
        <v/>
      </c>
      <c r="O82" s="38" t="str">
        <f>IFERROR([1]!IntrinioBankFinancials(rssd_id,$S$2,O$6,O$5,$B82,"K"),"")</f>
        <v/>
      </c>
      <c r="P82" s="46" t="s">
        <v>126</v>
      </c>
    </row>
    <row r="83" spans="1:16" s="36" customFormat="1" ht="14.25" x14ac:dyDescent="0.4">
      <c r="A83" s="42" t="s">
        <v>127</v>
      </c>
      <c r="B83" s="37" t="s">
        <v>943</v>
      </c>
      <c r="C83" s="38" t="str">
        <f>IFERROR([1]!IntrinioBankFinancials(rssd_id,$S$2,C$6,C$5,$B83,"K"),"")</f>
        <v/>
      </c>
      <c r="D83" s="38" t="str">
        <f>IFERROR([1]!IntrinioBankFinancials(rssd_id,$S$2,D$6,D$5,$B83,"K"),"")</f>
        <v/>
      </c>
      <c r="E83" s="38" t="str">
        <f>IFERROR([1]!IntrinioBankFinancials(rssd_id,$S$2,E$6,E$5,$B83,"K"),"")</f>
        <v/>
      </c>
      <c r="F83" s="38" t="str">
        <f>IFERROR([1]!IntrinioBankFinancials(rssd_id,$S$2,F$6,F$5,$B83,"K"),"")</f>
        <v/>
      </c>
      <c r="G83" s="38" t="str">
        <f>IFERROR([1]!IntrinioBankFinancials(rssd_id,$S$2,G$6,G$5,$B83,"K"),"")</f>
        <v/>
      </c>
      <c r="H83" s="38" t="str">
        <f>IFERROR([1]!IntrinioBankFinancials(rssd_id,$S$2,H$6,H$5,$B83,"K"),"")</f>
        <v/>
      </c>
      <c r="I83" s="38" t="str">
        <f>IFERROR([1]!IntrinioBankFinancials(rssd_id,$S$2,I$6,I$5,$B83,"K"),"")</f>
        <v/>
      </c>
      <c r="J83" s="38" t="str">
        <f>IFERROR([1]!IntrinioBankFinancials(rssd_id,$S$2,J$6,J$5,$B83,"K"),"")</f>
        <v/>
      </c>
      <c r="K83" s="38" t="str">
        <f>IFERROR([1]!IntrinioBankFinancials(rssd_id,$S$2,K$6,K$5,$B83,"K"),"")</f>
        <v/>
      </c>
      <c r="L83" s="38" t="str">
        <f>IFERROR([1]!IntrinioBankFinancials(rssd_id,$S$2,L$6,L$5,$B83,"K"),"")</f>
        <v/>
      </c>
      <c r="M83" s="38" t="str">
        <f>IFERROR([1]!IntrinioBankFinancials(rssd_id,$S$2,M$6,M$5,$B83,"K"),"")</f>
        <v/>
      </c>
      <c r="N83" s="38" t="str">
        <f>IFERROR([1]!IntrinioBankFinancials(rssd_id,$S$2,N$6,N$5,$B83,"K"),"")</f>
        <v/>
      </c>
      <c r="O83" s="38" t="str">
        <f>IFERROR([1]!IntrinioBankFinancials(rssd_id,$S$2,O$6,O$5,$B83,"K"),"")</f>
        <v/>
      </c>
      <c r="P83" s="46" t="s">
        <v>128</v>
      </c>
    </row>
    <row r="84" spans="1:16" s="36" customFormat="1" ht="14.25" x14ac:dyDescent="0.4">
      <c r="A84" s="42" t="s">
        <v>129</v>
      </c>
      <c r="B84" s="37" t="s">
        <v>944</v>
      </c>
      <c r="C84" s="38" t="str">
        <f>IFERROR([1]!IntrinioBankFinancials(rssd_id,$S$2,C$6,C$5,$B84,"K"),"")</f>
        <v/>
      </c>
      <c r="D84" s="38" t="str">
        <f>IFERROR([1]!IntrinioBankFinancials(rssd_id,$S$2,D$6,D$5,$B84,"K"),"")</f>
        <v/>
      </c>
      <c r="E84" s="38" t="str">
        <f>IFERROR([1]!IntrinioBankFinancials(rssd_id,$S$2,E$6,E$5,$B84,"K"),"")</f>
        <v/>
      </c>
      <c r="F84" s="38" t="str">
        <f>IFERROR([1]!IntrinioBankFinancials(rssd_id,$S$2,F$6,F$5,$B84,"K"),"")</f>
        <v/>
      </c>
      <c r="G84" s="38" t="str">
        <f>IFERROR([1]!IntrinioBankFinancials(rssd_id,$S$2,G$6,G$5,$B84,"K"),"")</f>
        <v/>
      </c>
      <c r="H84" s="38" t="str">
        <f>IFERROR([1]!IntrinioBankFinancials(rssd_id,$S$2,H$6,H$5,$B84,"K"),"")</f>
        <v/>
      </c>
      <c r="I84" s="38" t="str">
        <f>IFERROR([1]!IntrinioBankFinancials(rssd_id,$S$2,I$6,I$5,$B84,"K"),"")</f>
        <v/>
      </c>
      <c r="J84" s="38" t="str">
        <f>IFERROR([1]!IntrinioBankFinancials(rssd_id,$S$2,J$6,J$5,$B84,"K"),"")</f>
        <v/>
      </c>
      <c r="K84" s="38" t="str">
        <f>IFERROR([1]!IntrinioBankFinancials(rssd_id,$S$2,K$6,K$5,$B84,"K"),"")</f>
        <v/>
      </c>
      <c r="L84" s="38" t="str">
        <f>IFERROR([1]!IntrinioBankFinancials(rssd_id,$S$2,L$6,L$5,$B84,"K"),"")</f>
        <v/>
      </c>
      <c r="M84" s="38" t="str">
        <f>IFERROR([1]!IntrinioBankFinancials(rssd_id,$S$2,M$6,M$5,$B84,"K"),"")</f>
        <v/>
      </c>
      <c r="N84" s="38" t="str">
        <f>IFERROR([1]!IntrinioBankFinancials(rssd_id,$S$2,N$6,N$5,$B84,"K"),"")</f>
        <v/>
      </c>
      <c r="O84" s="38" t="str">
        <f>IFERROR([1]!IntrinioBankFinancials(rssd_id,$S$2,O$6,O$5,$B84,"K"),"")</f>
        <v/>
      </c>
      <c r="P84" s="46" t="s">
        <v>130</v>
      </c>
    </row>
    <row r="85" spans="1:16" s="36" customFormat="1" ht="42.75" x14ac:dyDescent="0.4">
      <c r="A85" s="42" t="s">
        <v>169</v>
      </c>
      <c r="B85" s="37" t="s">
        <v>945</v>
      </c>
      <c r="C85" s="38" t="str">
        <f>IFERROR([1]!IntrinioBankFinancials(rssd_id,$S$2,C$6,C$5,$B85,"K"),"")</f>
        <v/>
      </c>
      <c r="D85" s="38" t="str">
        <f>IFERROR([1]!IntrinioBankFinancials(rssd_id,$S$2,D$6,D$5,$B85,"K"),"")</f>
        <v/>
      </c>
      <c r="E85" s="38" t="str">
        <f>IFERROR([1]!IntrinioBankFinancials(rssd_id,$S$2,E$6,E$5,$B85,"K"),"")</f>
        <v/>
      </c>
      <c r="F85" s="38" t="str">
        <f>IFERROR([1]!IntrinioBankFinancials(rssd_id,$S$2,F$6,F$5,$B85,"K"),"")</f>
        <v/>
      </c>
      <c r="G85" s="38" t="str">
        <f>IFERROR([1]!IntrinioBankFinancials(rssd_id,$S$2,G$6,G$5,$B85,"K"),"")</f>
        <v/>
      </c>
      <c r="H85" s="38" t="str">
        <f>IFERROR([1]!IntrinioBankFinancials(rssd_id,$S$2,H$6,H$5,$B85,"K"),"")</f>
        <v/>
      </c>
      <c r="I85" s="38" t="str">
        <f>IFERROR([1]!IntrinioBankFinancials(rssd_id,$S$2,I$6,I$5,$B85,"K"),"")</f>
        <v/>
      </c>
      <c r="J85" s="38" t="str">
        <f>IFERROR([1]!IntrinioBankFinancials(rssd_id,$S$2,J$6,J$5,$B85,"K"),"")</f>
        <v/>
      </c>
      <c r="K85" s="38" t="str">
        <f>IFERROR([1]!IntrinioBankFinancials(rssd_id,$S$2,K$6,K$5,$B85,"K"),"")</f>
        <v/>
      </c>
      <c r="L85" s="38" t="str">
        <f>IFERROR([1]!IntrinioBankFinancials(rssd_id,$S$2,L$6,L$5,$B85,"K"),"")</f>
        <v/>
      </c>
      <c r="M85" s="38" t="str">
        <f>IFERROR([1]!IntrinioBankFinancials(rssd_id,$S$2,M$6,M$5,$B85,"K"),"")</f>
        <v/>
      </c>
      <c r="N85" s="38" t="str">
        <f>IFERROR([1]!IntrinioBankFinancials(rssd_id,$S$2,N$6,N$5,$B85,"K"),"")</f>
        <v/>
      </c>
      <c r="O85" s="38" t="str">
        <f>IFERROR([1]!IntrinioBankFinancials(rssd_id,$S$2,O$6,O$5,$B85,"K"),"")</f>
        <v/>
      </c>
      <c r="P85" s="46" t="s">
        <v>131</v>
      </c>
    </row>
    <row r="86" spans="1:16" s="36" customFormat="1" ht="42.75" x14ac:dyDescent="0.4">
      <c r="A86" s="42" t="s">
        <v>170</v>
      </c>
      <c r="B86" s="37" t="s">
        <v>946</v>
      </c>
      <c r="C86" s="38" t="str">
        <f>IFERROR([1]!IntrinioBankFinancials(rssd_id,$S$2,C$6,C$5,$B86,"K"),"")</f>
        <v/>
      </c>
      <c r="D86" s="38" t="str">
        <f>IFERROR([1]!IntrinioBankFinancials(rssd_id,$S$2,D$6,D$5,$B86,"K"),"")</f>
        <v/>
      </c>
      <c r="E86" s="38" t="str">
        <f>IFERROR([1]!IntrinioBankFinancials(rssd_id,$S$2,E$6,E$5,$B86,"K"),"")</f>
        <v/>
      </c>
      <c r="F86" s="38" t="str">
        <f>IFERROR([1]!IntrinioBankFinancials(rssd_id,$S$2,F$6,F$5,$B86,"K"),"")</f>
        <v/>
      </c>
      <c r="G86" s="38" t="str">
        <f>IFERROR([1]!IntrinioBankFinancials(rssd_id,$S$2,G$6,G$5,$B86,"K"),"")</f>
        <v/>
      </c>
      <c r="H86" s="38" t="str">
        <f>IFERROR([1]!IntrinioBankFinancials(rssd_id,$S$2,H$6,H$5,$B86,"K"),"")</f>
        <v/>
      </c>
      <c r="I86" s="38" t="str">
        <f>IFERROR([1]!IntrinioBankFinancials(rssd_id,$S$2,I$6,I$5,$B86,"K"),"")</f>
        <v/>
      </c>
      <c r="J86" s="38" t="str">
        <f>IFERROR([1]!IntrinioBankFinancials(rssd_id,$S$2,J$6,J$5,$B86,"K"),"")</f>
        <v/>
      </c>
      <c r="K86" s="38" t="str">
        <f>IFERROR([1]!IntrinioBankFinancials(rssd_id,$S$2,K$6,K$5,$B86,"K"),"")</f>
        <v/>
      </c>
      <c r="L86" s="38" t="str">
        <f>IFERROR([1]!IntrinioBankFinancials(rssd_id,$S$2,L$6,L$5,$B86,"K"),"")</f>
        <v/>
      </c>
      <c r="M86" s="38" t="str">
        <f>IFERROR([1]!IntrinioBankFinancials(rssd_id,$S$2,M$6,M$5,$B86,"K"),"")</f>
        <v/>
      </c>
      <c r="N86" s="38" t="str">
        <f>IFERROR([1]!IntrinioBankFinancials(rssd_id,$S$2,N$6,N$5,$B86,"K"),"")</f>
        <v/>
      </c>
      <c r="O86" s="38" t="str">
        <f>IFERROR([1]!IntrinioBankFinancials(rssd_id,$S$2,O$6,O$5,$B86,"K"),"")</f>
        <v/>
      </c>
      <c r="P86" s="46" t="s">
        <v>132</v>
      </c>
    </row>
    <row r="87" spans="1:16" s="36" customFormat="1" ht="28.5" x14ac:dyDescent="0.4">
      <c r="A87" s="41" t="s">
        <v>171</v>
      </c>
      <c r="B87" s="34"/>
      <c r="C87" s="35"/>
      <c r="D87" s="35"/>
      <c r="E87" s="35"/>
      <c r="F87" s="35"/>
      <c r="G87" s="35"/>
      <c r="H87" s="35"/>
      <c r="I87" s="35"/>
      <c r="J87" s="35"/>
      <c r="K87" s="35"/>
      <c r="L87" s="35"/>
      <c r="M87" s="35"/>
      <c r="N87" s="35"/>
      <c r="O87" s="35"/>
      <c r="P87" s="46" t="s">
        <v>133</v>
      </c>
    </row>
    <row r="88" spans="1:16" s="36" customFormat="1" ht="14.25" x14ac:dyDescent="0.4">
      <c r="A88" s="42" t="s">
        <v>134</v>
      </c>
      <c r="B88" s="37" t="s">
        <v>947</v>
      </c>
      <c r="C88" s="38" t="str">
        <f>IFERROR([1]!IntrinioBankFinancials(rssd_id,$S$2,C$6,C$5,$B88,"K"),"")</f>
        <v/>
      </c>
      <c r="D88" s="38" t="str">
        <f>IFERROR([1]!IntrinioBankFinancials(rssd_id,$S$2,D$6,D$5,$B88,"K"),"")</f>
        <v/>
      </c>
      <c r="E88" s="38" t="str">
        <f>IFERROR([1]!IntrinioBankFinancials(rssd_id,$S$2,E$6,E$5,$B88,"K"),"")</f>
        <v/>
      </c>
      <c r="F88" s="38" t="str">
        <f>IFERROR([1]!IntrinioBankFinancials(rssd_id,$S$2,F$6,F$5,$B88,"K"),"")</f>
        <v/>
      </c>
      <c r="G88" s="38" t="str">
        <f>IFERROR([1]!IntrinioBankFinancials(rssd_id,$S$2,G$6,G$5,$B88,"K"),"")</f>
        <v/>
      </c>
      <c r="H88" s="38" t="str">
        <f>IFERROR([1]!IntrinioBankFinancials(rssd_id,$S$2,H$6,H$5,$B88,"K"),"")</f>
        <v/>
      </c>
      <c r="I88" s="38" t="str">
        <f>IFERROR([1]!IntrinioBankFinancials(rssd_id,$S$2,I$6,I$5,$B88,"K"),"")</f>
        <v/>
      </c>
      <c r="J88" s="38" t="str">
        <f>IFERROR([1]!IntrinioBankFinancials(rssd_id,$S$2,J$6,J$5,$B88,"K"),"")</f>
        <v/>
      </c>
      <c r="K88" s="38" t="str">
        <f>IFERROR([1]!IntrinioBankFinancials(rssd_id,$S$2,K$6,K$5,$B88,"K"),"")</f>
        <v/>
      </c>
      <c r="L88" s="38" t="str">
        <f>IFERROR([1]!IntrinioBankFinancials(rssd_id,$S$2,L$6,L$5,$B88,"K"),"")</f>
        <v/>
      </c>
      <c r="M88" s="38" t="str">
        <f>IFERROR([1]!IntrinioBankFinancials(rssd_id,$S$2,M$6,M$5,$B88,"K"),"")</f>
        <v/>
      </c>
      <c r="N88" s="38" t="str">
        <f>IFERROR([1]!IntrinioBankFinancials(rssd_id,$S$2,N$6,N$5,$B88,"K"),"")</f>
        <v/>
      </c>
      <c r="O88" s="38" t="str">
        <f>IFERROR([1]!IntrinioBankFinancials(rssd_id,$S$2,O$6,O$5,$B88,"K"),"")</f>
        <v/>
      </c>
      <c r="P88" s="46" t="s">
        <v>135</v>
      </c>
    </row>
    <row r="89" spans="1:16" s="36" customFormat="1" ht="14.25" x14ac:dyDescent="0.4">
      <c r="A89" s="42" t="s">
        <v>136</v>
      </c>
      <c r="B89" s="37" t="s">
        <v>948</v>
      </c>
      <c r="C89" s="38" t="str">
        <f>IFERROR([1]!IntrinioBankFinancials(rssd_id,$S$2,C$6,C$5,$B89,"K"),"")</f>
        <v/>
      </c>
      <c r="D89" s="38" t="str">
        <f>IFERROR([1]!IntrinioBankFinancials(rssd_id,$S$2,D$6,D$5,$B89,"K"),"")</f>
        <v/>
      </c>
      <c r="E89" s="38" t="str">
        <f>IFERROR([1]!IntrinioBankFinancials(rssd_id,$S$2,E$6,E$5,$B89,"K"),"")</f>
        <v/>
      </c>
      <c r="F89" s="38" t="str">
        <f>IFERROR([1]!IntrinioBankFinancials(rssd_id,$S$2,F$6,F$5,$B89,"K"),"")</f>
        <v/>
      </c>
      <c r="G89" s="38" t="str">
        <f>IFERROR([1]!IntrinioBankFinancials(rssd_id,$S$2,G$6,G$5,$B89,"K"),"")</f>
        <v/>
      </c>
      <c r="H89" s="38" t="str">
        <f>IFERROR([1]!IntrinioBankFinancials(rssd_id,$S$2,H$6,H$5,$B89,"K"),"")</f>
        <v/>
      </c>
      <c r="I89" s="38" t="str">
        <f>IFERROR([1]!IntrinioBankFinancials(rssd_id,$S$2,I$6,I$5,$B89,"K"),"")</f>
        <v/>
      </c>
      <c r="J89" s="38" t="str">
        <f>IFERROR([1]!IntrinioBankFinancials(rssd_id,$S$2,J$6,J$5,$B89,"K"),"")</f>
        <v/>
      </c>
      <c r="K89" s="38" t="str">
        <f>IFERROR([1]!IntrinioBankFinancials(rssd_id,$S$2,K$6,K$5,$B89,"K"),"")</f>
        <v/>
      </c>
      <c r="L89" s="38" t="str">
        <f>IFERROR([1]!IntrinioBankFinancials(rssd_id,$S$2,L$6,L$5,$B89,"K"),"")</f>
        <v/>
      </c>
      <c r="M89" s="38" t="str">
        <f>IFERROR([1]!IntrinioBankFinancials(rssd_id,$S$2,M$6,M$5,$B89,"K"),"")</f>
        <v/>
      </c>
      <c r="N89" s="38" t="str">
        <f>IFERROR([1]!IntrinioBankFinancials(rssd_id,$S$2,N$6,N$5,$B89,"K"),"")</f>
        <v/>
      </c>
      <c r="O89" s="38" t="str">
        <f>IFERROR([1]!IntrinioBankFinancials(rssd_id,$S$2,O$6,O$5,$B89,"K"),"")</f>
        <v/>
      </c>
      <c r="P89" s="46" t="s">
        <v>137</v>
      </c>
    </row>
    <row r="90" spans="1:16" s="36" customFormat="1" ht="14.25" x14ac:dyDescent="0.4">
      <c r="A90" s="41" t="s">
        <v>138</v>
      </c>
      <c r="B90" s="37" t="s">
        <v>949</v>
      </c>
      <c r="C90" s="38" t="str">
        <f>IFERROR([1]!IntrinioBankFinancials(rssd_id,$S$2,C$6,C$5,$B90,"K"),"")</f>
        <v/>
      </c>
      <c r="D90" s="38" t="str">
        <f>IFERROR([1]!IntrinioBankFinancials(rssd_id,$S$2,D$6,D$5,$B90,"K"),"")</f>
        <v/>
      </c>
      <c r="E90" s="38" t="str">
        <f>IFERROR([1]!IntrinioBankFinancials(rssd_id,$S$2,E$6,E$5,$B90,"K"),"")</f>
        <v/>
      </c>
      <c r="F90" s="38" t="str">
        <f>IFERROR([1]!IntrinioBankFinancials(rssd_id,$S$2,F$6,F$5,$B90,"K"),"")</f>
        <v/>
      </c>
      <c r="G90" s="38" t="str">
        <f>IFERROR([1]!IntrinioBankFinancials(rssd_id,$S$2,G$6,G$5,$B90,"K"),"")</f>
        <v/>
      </c>
      <c r="H90" s="38" t="str">
        <f>IFERROR([1]!IntrinioBankFinancials(rssd_id,$S$2,H$6,H$5,$B90,"K"),"")</f>
        <v/>
      </c>
      <c r="I90" s="38" t="str">
        <f>IFERROR([1]!IntrinioBankFinancials(rssd_id,$S$2,I$6,I$5,$B90,"K"),"")</f>
        <v/>
      </c>
      <c r="J90" s="38" t="str">
        <f>IFERROR([1]!IntrinioBankFinancials(rssd_id,$S$2,J$6,J$5,$B90,"K"),"")</f>
        <v/>
      </c>
      <c r="K90" s="38" t="str">
        <f>IFERROR([1]!IntrinioBankFinancials(rssd_id,$S$2,K$6,K$5,$B90,"K"),"")</f>
        <v/>
      </c>
      <c r="L90" s="38" t="str">
        <f>IFERROR([1]!IntrinioBankFinancials(rssd_id,$S$2,L$6,L$5,$B90,"K"),"")</f>
        <v/>
      </c>
      <c r="M90" s="38" t="str">
        <f>IFERROR([1]!IntrinioBankFinancials(rssd_id,$S$2,M$6,M$5,$B90,"K"),"")</f>
        <v/>
      </c>
      <c r="N90" s="38" t="str">
        <f>IFERROR([1]!IntrinioBankFinancials(rssd_id,$S$2,N$6,N$5,$B90,"K"),"")</f>
        <v/>
      </c>
      <c r="O90" s="38" t="str">
        <f>IFERROR([1]!IntrinioBankFinancials(rssd_id,$S$2,O$6,O$5,$B90,"K"),"")</f>
        <v/>
      </c>
      <c r="P90" s="46" t="s">
        <v>139</v>
      </c>
    </row>
    <row r="91" spans="1:16" s="36" customFormat="1" ht="28.5" x14ac:dyDescent="0.4">
      <c r="A91" s="41" t="s">
        <v>172</v>
      </c>
      <c r="B91" s="37" t="s">
        <v>950</v>
      </c>
      <c r="C91" s="38" t="str">
        <f>IFERROR([1]!IntrinioBankFinancials(rssd_id,$S$2,C$6,C$5,$B91,"K"),"")</f>
        <v/>
      </c>
      <c r="D91" s="38" t="str">
        <f>IFERROR([1]!IntrinioBankFinancials(rssd_id,$S$2,D$6,D$5,$B91,"K"),"")</f>
        <v/>
      </c>
      <c r="E91" s="38" t="str">
        <f>IFERROR([1]!IntrinioBankFinancials(rssd_id,$S$2,E$6,E$5,$B91,"K"),"")</f>
        <v/>
      </c>
      <c r="F91" s="38" t="str">
        <f>IFERROR([1]!IntrinioBankFinancials(rssd_id,$S$2,F$6,F$5,$B91,"K"),"")</f>
        <v/>
      </c>
      <c r="G91" s="38" t="str">
        <f>IFERROR([1]!IntrinioBankFinancials(rssd_id,$S$2,G$6,G$5,$B91,"K"),"")</f>
        <v/>
      </c>
      <c r="H91" s="38" t="str">
        <f>IFERROR([1]!IntrinioBankFinancials(rssd_id,$S$2,H$6,H$5,$B91,"K"),"")</f>
        <v/>
      </c>
      <c r="I91" s="38" t="str">
        <f>IFERROR([1]!IntrinioBankFinancials(rssd_id,$S$2,I$6,I$5,$B91,"K"),"")</f>
        <v/>
      </c>
      <c r="J91" s="38" t="str">
        <f>IFERROR([1]!IntrinioBankFinancials(rssd_id,$S$2,J$6,J$5,$B91,"K"),"")</f>
        <v/>
      </c>
      <c r="K91" s="38" t="str">
        <f>IFERROR([1]!IntrinioBankFinancials(rssd_id,$S$2,K$6,K$5,$B91,"K"),"")</f>
        <v/>
      </c>
      <c r="L91" s="38" t="str">
        <f>IFERROR([1]!IntrinioBankFinancials(rssd_id,$S$2,L$6,L$5,$B91,"K"),"")</f>
        <v/>
      </c>
      <c r="M91" s="38" t="str">
        <f>IFERROR([1]!IntrinioBankFinancials(rssd_id,$S$2,M$6,M$5,$B91,"K"),"")</f>
        <v/>
      </c>
      <c r="N91" s="38" t="str">
        <f>IFERROR([1]!IntrinioBankFinancials(rssd_id,$S$2,N$6,N$5,$B91,"K"),"")</f>
        <v/>
      </c>
      <c r="O91" s="38" t="str">
        <f>IFERROR([1]!IntrinioBankFinancials(rssd_id,$S$2,O$6,O$5,$B91,"K"),"")</f>
        <v/>
      </c>
      <c r="P91" s="46" t="s">
        <v>140</v>
      </c>
    </row>
    <row r="92" spans="1:16" s="36" customFormat="1" ht="28.5" x14ac:dyDescent="0.4">
      <c r="A92" s="41" t="s">
        <v>1856</v>
      </c>
      <c r="B92" s="37" t="s">
        <v>951</v>
      </c>
      <c r="C92" s="38" t="str">
        <f>IFERROR([1]!IntrinioBankFinancials(rssd_id,$S$2,C$6,C$5,$B92,"K"),"")</f>
        <v/>
      </c>
      <c r="D92" s="38" t="str">
        <f>IFERROR([1]!IntrinioBankFinancials(rssd_id,$S$2,D$6,D$5,$B92,"K"),"")</f>
        <v/>
      </c>
      <c r="E92" s="38" t="str">
        <f>IFERROR([1]!IntrinioBankFinancials(rssd_id,$S$2,E$6,E$5,$B92,"K"),"")</f>
        <v/>
      </c>
      <c r="F92" s="38" t="str">
        <f>IFERROR([1]!IntrinioBankFinancials(rssd_id,$S$2,F$6,F$5,$B92,"K"),"")</f>
        <v/>
      </c>
      <c r="G92" s="38" t="str">
        <f>IFERROR([1]!IntrinioBankFinancials(rssd_id,$S$2,G$6,G$5,$B92,"K"),"")</f>
        <v/>
      </c>
      <c r="H92" s="38" t="str">
        <f>IFERROR([1]!IntrinioBankFinancials(rssd_id,$S$2,H$6,H$5,$B92,"K"),"")</f>
        <v/>
      </c>
      <c r="I92" s="38" t="str">
        <f>IFERROR([1]!IntrinioBankFinancials(rssd_id,$S$2,I$6,I$5,$B92,"K"),"")</f>
        <v/>
      </c>
      <c r="J92" s="38" t="str">
        <f>IFERROR([1]!IntrinioBankFinancials(rssd_id,$S$2,J$6,J$5,$B92,"K"),"")</f>
        <v/>
      </c>
      <c r="K92" s="38" t="str">
        <f>IFERROR([1]!IntrinioBankFinancials(rssd_id,$S$2,K$6,K$5,$B92,"K"),"")</f>
        <v/>
      </c>
      <c r="L92" s="38" t="str">
        <f>IFERROR([1]!IntrinioBankFinancials(rssd_id,$S$2,L$6,L$5,$B92,"K"),"")</f>
        <v/>
      </c>
      <c r="M92" s="38" t="str">
        <f>IFERROR([1]!IntrinioBankFinancials(rssd_id,$S$2,M$6,M$5,$B92,"K"),"")</f>
        <v/>
      </c>
      <c r="N92" s="38" t="str">
        <f>IFERROR([1]!IntrinioBankFinancials(rssd_id,$S$2,N$6,N$5,$B92,"K"),"")</f>
        <v/>
      </c>
      <c r="O92" s="38" t="str">
        <f>IFERROR([1]!IntrinioBankFinancials(rssd_id,$S$2,O$6,O$5,$B92,"K"),"")</f>
        <v/>
      </c>
      <c r="P92" s="46" t="s">
        <v>141</v>
      </c>
    </row>
    <row r="93" spans="1:16" s="36" customFormat="1" ht="28.5" x14ac:dyDescent="0.4">
      <c r="A93" s="41" t="s">
        <v>173</v>
      </c>
      <c r="B93" s="34"/>
      <c r="C93" s="35"/>
      <c r="D93" s="35"/>
      <c r="E93" s="35"/>
      <c r="F93" s="35"/>
      <c r="G93" s="35"/>
      <c r="H93" s="35"/>
      <c r="I93" s="35"/>
      <c r="J93" s="35"/>
      <c r="K93" s="35"/>
      <c r="L93" s="35"/>
      <c r="M93" s="35"/>
      <c r="N93" s="35"/>
      <c r="O93" s="35"/>
      <c r="P93" s="46" t="s">
        <v>142</v>
      </c>
    </row>
    <row r="94" spans="1:16" s="36" customFormat="1" ht="14.25" x14ac:dyDescent="0.4">
      <c r="A94" s="42" t="s">
        <v>143</v>
      </c>
      <c r="B94" s="37" t="s">
        <v>952</v>
      </c>
      <c r="C94" s="38" t="str">
        <f>IFERROR([1]!IntrinioBankFinancials(rssd_id,$S$2,C$6,C$5,$B94,"K"),"")</f>
        <v/>
      </c>
      <c r="D94" s="38" t="str">
        <f>IFERROR([1]!IntrinioBankFinancials(rssd_id,$S$2,D$6,D$5,$B94,"K"),"")</f>
        <v/>
      </c>
      <c r="E94" s="38" t="str">
        <f>IFERROR([1]!IntrinioBankFinancials(rssd_id,$S$2,E$6,E$5,$B94,"K"),"")</f>
        <v/>
      </c>
      <c r="F94" s="38" t="str">
        <f>IFERROR([1]!IntrinioBankFinancials(rssd_id,$S$2,F$6,F$5,$B94,"K"),"")</f>
        <v/>
      </c>
      <c r="G94" s="38" t="str">
        <f>IFERROR([1]!IntrinioBankFinancials(rssd_id,$S$2,G$6,G$5,$B94,"K"),"")</f>
        <v/>
      </c>
      <c r="H94" s="38" t="str">
        <f>IFERROR([1]!IntrinioBankFinancials(rssd_id,$S$2,H$6,H$5,$B94,"K"),"")</f>
        <v/>
      </c>
      <c r="I94" s="38" t="str">
        <f>IFERROR([1]!IntrinioBankFinancials(rssd_id,$S$2,I$6,I$5,$B94,"K"),"")</f>
        <v/>
      </c>
      <c r="J94" s="38" t="str">
        <f>IFERROR([1]!IntrinioBankFinancials(rssd_id,$S$2,J$6,J$5,$B94,"K"),"")</f>
        <v/>
      </c>
      <c r="K94" s="38" t="str">
        <f>IFERROR([1]!IntrinioBankFinancials(rssd_id,$S$2,K$6,K$5,$B94,"K"),"")</f>
        <v/>
      </c>
      <c r="L94" s="38" t="str">
        <f>IFERROR([1]!IntrinioBankFinancials(rssd_id,$S$2,L$6,L$5,$B94,"K"),"")</f>
        <v/>
      </c>
      <c r="M94" s="38" t="str">
        <f>IFERROR([1]!IntrinioBankFinancials(rssd_id,$S$2,M$6,M$5,$B94,"K"),"")</f>
        <v/>
      </c>
      <c r="N94" s="38" t="str">
        <f>IFERROR([1]!IntrinioBankFinancials(rssd_id,$S$2,N$6,N$5,$B94,"K"),"")</f>
        <v/>
      </c>
      <c r="O94" s="38" t="str">
        <f>IFERROR([1]!IntrinioBankFinancials(rssd_id,$S$2,O$6,O$5,$B94,"K"),"")</f>
        <v/>
      </c>
      <c r="P94" s="46" t="s">
        <v>144</v>
      </c>
    </row>
    <row r="95" spans="1:16" s="36" customFormat="1" ht="28.5" x14ac:dyDescent="0.4">
      <c r="A95" s="43" t="s">
        <v>145</v>
      </c>
      <c r="B95" s="37" t="s">
        <v>953</v>
      </c>
      <c r="C95" s="38" t="str">
        <f>IFERROR([1]!IntrinioBankFinancials(rssd_id,$S$2,C$6,C$5,$B95,"K"),"")</f>
        <v/>
      </c>
      <c r="D95" s="38" t="str">
        <f>IFERROR([1]!IntrinioBankFinancials(rssd_id,$S$2,D$6,D$5,$B95,"K"),"")</f>
        <v/>
      </c>
      <c r="E95" s="38" t="str">
        <f>IFERROR([1]!IntrinioBankFinancials(rssd_id,$S$2,E$6,E$5,$B95,"K"),"")</f>
        <v/>
      </c>
      <c r="F95" s="38" t="str">
        <f>IFERROR([1]!IntrinioBankFinancials(rssd_id,$S$2,F$6,F$5,$B95,"K"),"")</f>
        <v/>
      </c>
      <c r="G95" s="38" t="str">
        <f>IFERROR([1]!IntrinioBankFinancials(rssd_id,$S$2,G$6,G$5,$B95,"K"),"")</f>
        <v/>
      </c>
      <c r="H95" s="38" t="str">
        <f>IFERROR([1]!IntrinioBankFinancials(rssd_id,$S$2,H$6,H$5,$B95,"K"),"")</f>
        <v/>
      </c>
      <c r="I95" s="38" t="str">
        <f>IFERROR([1]!IntrinioBankFinancials(rssd_id,$S$2,I$6,I$5,$B95,"K"),"")</f>
        <v/>
      </c>
      <c r="J95" s="38" t="str">
        <f>IFERROR([1]!IntrinioBankFinancials(rssd_id,$S$2,J$6,J$5,$B95,"K"),"")</f>
        <v/>
      </c>
      <c r="K95" s="38" t="str">
        <f>IFERROR([1]!IntrinioBankFinancials(rssd_id,$S$2,K$6,K$5,$B95,"K"),"")</f>
        <v/>
      </c>
      <c r="L95" s="38" t="str">
        <f>IFERROR([1]!IntrinioBankFinancials(rssd_id,$S$2,L$6,L$5,$B95,"K"),"")</f>
        <v/>
      </c>
      <c r="M95" s="38" t="str">
        <f>IFERROR([1]!IntrinioBankFinancials(rssd_id,$S$2,M$6,M$5,$B95,"K"),"")</f>
        <v/>
      </c>
      <c r="N95" s="38" t="str">
        <f>IFERROR([1]!IntrinioBankFinancials(rssd_id,$S$2,N$6,N$5,$B95,"K"),"")</f>
        <v/>
      </c>
      <c r="O95" s="38" t="str">
        <f>IFERROR([1]!IntrinioBankFinancials(rssd_id,$S$2,O$6,O$5,$B95,"K"),"")</f>
        <v/>
      </c>
      <c r="P95" s="46" t="s">
        <v>146</v>
      </c>
    </row>
    <row r="96" spans="1:16" s="36" customFormat="1" ht="14.25" x14ac:dyDescent="0.4">
      <c r="A96" s="42" t="s">
        <v>147</v>
      </c>
      <c r="B96" s="37" t="s">
        <v>954</v>
      </c>
      <c r="C96" s="38" t="str">
        <f>IFERROR([1]!IntrinioBankFinancials(rssd_id,$S$2,C$6,C$5,$B96,"K"),"")</f>
        <v/>
      </c>
      <c r="D96" s="38" t="str">
        <f>IFERROR([1]!IntrinioBankFinancials(rssd_id,$S$2,D$6,D$5,$B96,"K"),"")</f>
        <v/>
      </c>
      <c r="E96" s="38" t="str">
        <f>IFERROR([1]!IntrinioBankFinancials(rssd_id,$S$2,E$6,E$5,$B96,"K"),"")</f>
        <v/>
      </c>
      <c r="F96" s="38" t="str">
        <f>IFERROR([1]!IntrinioBankFinancials(rssd_id,$S$2,F$6,F$5,$B96,"K"),"")</f>
        <v/>
      </c>
      <c r="G96" s="38" t="str">
        <f>IFERROR([1]!IntrinioBankFinancials(rssd_id,$S$2,G$6,G$5,$B96,"K"),"")</f>
        <v/>
      </c>
      <c r="H96" s="38" t="str">
        <f>IFERROR([1]!IntrinioBankFinancials(rssd_id,$S$2,H$6,H$5,$B96,"K"),"")</f>
        <v/>
      </c>
      <c r="I96" s="38" t="str">
        <f>IFERROR([1]!IntrinioBankFinancials(rssd_id,$S$2,I$6,I$5,$B96,"K"),"")</f>
        <v/>
      </c>
      <c r="J96" s="38" t="str">
        <f>IFERROR([1]!IntrinioBankFinancials(rssd_id,$S$2,J$6,J$5,$B96,"K"),"")</f>
        <v/>
      </c>
      <c r="K96" s="38" t="str">
        <f>IFERROR([1]!IntrinioBankFinancials(rssd_id,$S$2,K$6,K$5,$B96,"K"),"")</f>
        <v/>
      </c>
      <c r="L96" s="38" t="str">
        <f>IFERROR([1]!IntrinioBankFinancials(rssd_id,$S$2,L$6,L$5,$B96,"K"),"")</f>
        <v/>
      </c>
      <c r="M96" s="38" t="str">
        <f>IFERROR([1]!IntrinioBankFinancials(rssd_id,$S$2,M$6,M$5,$B96,"K"),"")</f>
        <v/>
      </c>
      <c r="N96" s="38" t="str">
        <f>IFERROR([1]!IntrinioBankFinancials(rssd_id,$S$2,N$6,N$5,$B96,"K"),"")</f>
        <v/>
      </c>
      <c r="O96" s="38" t="str">
        <f>IFERROR([1]!IntrinioBankFinancials(rssd_id,$S$2,O$6,O$5,$B96,"K"),"")</f>
        <v/>
      </c>
      <c r="P96" s="46" t="s">
        <v>148</v>
      </c>
    </row>
    <row r="97" spans="1:16" s="36" customFormat="1" ht="28.5" x14ac:dyDescent="0.4">
      <c r="A97" s="43" t="s">
        <v>149</v>
      </c>
      <c r="B97" s="37" t="s">
        <v>955</v>
      </c>
      <c r="C97" s="38" t="str">
        <f>IFERROR([1]!IntrinioBankFinancials(rssd_id,$S$2,C$6,C$5,$B97,"K"),"")</f>
        <v/>
      </c>
      <c r="D97" s="38" t="str">
        <f>IFERROR([1]!IntrinioBankFinancials(rssd_id,$S$2,D$6,D$5,$B97,"K"),"")</f>
        <v/>
      </c>
      <c r="E97" s="38" t="str">
        <f>IFERROR([1]!IntrinioBankFinancials(rssd_id,$S$2,E$6,E$5,$B97,"K"),"")</f>
        <v/>
      </c>
      <c r="F97" s="38" t="str">
        <f>IFERROR([1]!IntrinioBankFinancials(rssd_id,$S$2,F$6,F$5,$B97,"K"),"")</f>
        <v/>
      </c>
      <c r="G97" s="38" t="str">
        <f>IFERROR([1]!IntrinioBankFinancials(rssd_id,$S$2,G$6,G$5,$B97,"K"),"")</f>
        <v/>
      </c>
      <c r="H97" s="38" t="str">
        <f>IFERROR([1]!IntrinioBankFinancials(rssd_id,$S$2,H$6,H$5,$B97,"K"),"")</f>
        <v/>
      </c>
      <c r="I97" s="38" t="str">
        <f>IFERROR([1]!IntrinioBankFinancials(rssd_id,$S$2,I$6,I$5,$B97,"K"),"")</f>
        <v/>
      </c>
      <c r="J97" s="38" t="str">
        <f>IFERROR([1]!IntrinioBankFinancials(rssd_id,$S$2,J$6,J$5,$B97,"K"),"")</f>
        <v/>
      </c>
      <c r="K97" s="38" t="str">
        <f>IFERROR([1]!IntrinioBankFinancials(rssd_id,$S$2,K$6,K$5,$B97,"K"),"")</f>
        <v/>
      </c>
      <c r="L97" s="38" t="str">
        <f>IFERROR([1]!IntrinioBankFinancials(rssd_id,$S$2,L$6,L$5,$B97,"K"),"")</f>
        <v/>
      </c>
      <c r="M97" s="38" t="str">
        <f>IFERROR([1]!IntrinioBankFinancials(rssd_id,$S$2,M$6,M$5,$B97,"K"),"")</f>
        <v/>
      </c>
      <c r="N97" s="38" t="str">
        <f>IFERROR([1]!IntrinioBankFinancials(rssd_id,$S$2,N$6,N$5,$B97,"K"),"")</f>
        <v/>
      </c>
      <c r="O97" s="38" t="str">
        <f>IFERROR([1]!IntrinioBankFinancials(rssd_id,$S$2,O$6,O$5,$B97,"K"),"")</f>
        <v/>
      </c>
      <c r="P97" s="46" t="s">
        <v>150</v>
      </c>
    </row>
    <row r="98" spans="1:16" s="36" customFormat="1" ht="28.5" x14ac:dyDescent="0.4">
      <c r="A98" s="41" t="s">
        <v>151</v>
      </c>
      <c r="B98" s="34"/>
      <c r="C98" s="35"/>
      <c r="D98" s="35"/>
      <c r="E98" s="35"/>
      <c r="F98" s="35"/>
      <c r="G98" s="35"/>
      <c r="H98" s="35"/>
      <c r="I98" s="35"/>
      <c r="J98" s="35"/>
      <c r="K98" s="35"/>
      <c r="L98" s="35"/>
      <c r="M98" s="35"/>
      <c r="N98" s="35"/>
      <c r="O98" s="35"/>
      <c r="P98" s="46" t="s">
        <v>152</v>
      </c>
    </row>
    <row r="99" spans="1:16" s="36" customFormat="1" ht="14.25" x14ac:dyDescent="0.4">
      <c r="A99" s="42" t="s">
        <v>153</v>
      </c>
      <c r="B99" s="37" t="s">
        <v>956</v>
      </c>
      <c r="C99" s="38" t="str">
        <f>IFERROR([1]!IntrinioBankFinancials(rssd_id,$S$2,C$6,C$5,$B99,"K"),"")</f>
        <v/>
      </c>
      <c r="D99" s="38" t="str">
        <f>IFERROR([1]!IntrinioBankFinancials(rssd_id,$S$2,D$6,D$5,$B99,"K"),"")</f>
        <v/>
      </c>
      <c r="E99" s="38" t="str">
        <f>IFERROR([1]!IntrinioBankFinancials(rssd_id,$S$2,E$6,E$5,$B99,"K"),"")</f>
        <v/>
      </c>
      <c r="F99" s="38" t="str">
        <f>IFERROR([1]!IntrinioBankFinancials(rssd_id,$S$2,F$6,F$5,$B99,"K"),"")</f>
        <v/>
      </c>
      <c r="G99" s="38" t="str">
        <f>IFERROR([1]!IntrinioBankFinancials(rssd_id,$S$2,G$6,G$5,$B99,"K"),"")</f>
        <v/>
      </c>
      <c r="H99" s="38" t="str">
        <f>IFERROR([1]!IntrinioBankFinancials(rssd_id,$S$2,H$6,H$5,$B99,"K"),"")</f>
        <v/>
      </c>
      <c r="I99" s="38" t="str">
        <f>IFERROR([1]!IntrinioBankFinancials(rssd_id,$S$2,I$6,I$5,$B99,"K"),"")</f>
        <v/>
      </c>
      <c r="J99" s="38" t="str">
        <f>IFERROR([1]!IntrinioBankFinancials(rssd_id,$S$2,J$6,J$5,$B99,"K"),"")</f>
        <v/>
      </c>
      <c r="K99" s="38" t="str">
        <f>IFERROR([1]!IntrinioBankFinancials(rssd_id,$S$2,K$6,K$5,$B99,"K"),"")</f>
        <v/>
      </c>
      <c r="L99" s="38" t="str">
        <f>IFERROR([1]!IntrinioBankFinancials(rssd_id,$S$2,L$6,L$5,$B99,"K"),"")</f>
        <v/>
      </c>
      <c r="M99" s="38" t="str">
        <f>IFERROR([1]!IntrinioBankFinancials(rssd_id,$S$2,M$6,M$5,$B99,"K"),"")</f>
        <v/>
      </c>
      <c r="N99" s="38" t="str">
        <f>IFERROR([1]!IntrinioBankFinancials(rssd_id,$S$2,N$6,N$5,$B99,"K"),"")</f>
        <v/>
      </c>
      <c r="O99" s="38" t="str">
        <f>IFERROR([1]!IntrinioBankFinancials(rssd_id,$S$2,O$6,O$5,$B99,"K"),"")</f>
        <v/>
      </c>
      <c r="P99" s="46" t="s">
        <v>154</v>
      </c>
    </row>
    <row r="100" spans="1:16" s="36" customFormat="1" ht="28.5" x14ac:dyDescent="0.4">
      <c r="A100" s="42" t="s">
        <v>155</v>
      </c>
      <c r="B100" s="37" t="s">
        <v>957</v>
      </c>
      <c r="C100" s="38" t="str">
        <f>IFERROR([1]!IntrinioBankFinancials(rssd_id,$S$2,C$6,C$5,$B100,"K"),"")</f>
        <v/>
      </c>
      <c r="D100" s="38" t="str">
        <f>IFERROR([1]!IntrinioBankFinancials(rssd_id,$S$2,D$6,D$5,$B100,"K"),"")</f>
        <v/>
      </c>
      <c r="E100" s="38" t="str">
        <f>IFERROR([1]!IntrinioBankFinancials(rssd_id,$S$2,E$6,E$5,$B100,"K"),"")</f>
        <v/>
      </c>
      <c r="F100" s="38" t="str">
        <f>IFERROR([1]!IntrinioBankFinancials(rssd_id,$S$2,F$6,F$5,$B100,"K"),"")</f>
        <v/>
      </c>
      <c r="G100" s="38" t="str">
        <f>IFERROR([1]!IntrinioBankFinancials(rssd_id,$S$2,G$6,G$5,$B100,"K"),"")</f>
        <v/>
      </c>
      <c r="H100" s="38" t="str">
        <f>IFERROR([1]!IntrinioBankFinancials(rssd_id,$S$2,H$6,H$5,$B100,"K"),"")</f>
        <v/>
      </c>
      <c r="I100" s="38" t="str">
        <f>IFERROR([1]!IntrinioBankFinancials(rssd_id,$S$2,I$6,I$5,$B100,"K"),"")</f>
        <v/>
      </c>
      <c r="J100" s="38" t="str">
        <f>IFERROR([1]!IntrinioBankFinancials(rssd_id,$S$2,J$6,J$5,$B100,"K"),"")</f>
        <v/>
      </c>
      <c r="K100" s="38" t="str">
        <f>IFERROR([1]!IntrinioBankFinancials(rssd_id,$S$2,K$6,K$5,$B100,"K"),"")</f>
        <v/>
      </c>
      <c r="L100" s="38" t="str">
        <f>IFERROR([1]!IntrinioBankFinancials(rssd_id,$S$2,L$6,L$5,$B100,"K"),"")</f>
        <v/>
      </c>
      <c r="M100" s="38" t="str">
        <f>IFERROR([1]!IntrinioBankFinancials(rssd_id,$S$2,M$6,M$5,$B100,"K"),"")</f>
        <v/>
      </c>
      <c r="N100" s="38" t="str">
        <f>IFERROR([1]!IntrinioBankFinancials(rssd_id,$S$2,N$6,N$5,$B100,"K"),"")</f>
        <v/>
      </c>
      <c r="O100" s="38" t="str">
        <f>IFERROR([1]!IntrinioBankFinancials(rssd_id,$S$2,O$6,O$5,$B100,"K"),"")</f>
        <v/>
      </c>
      <c r="P100" s="46" t="s">
        <v>156</v>
      </c>
    </row>
    <row r="101" spans="1:16" s="36" customFormat="1" ht="28.5" x14ac:dyDescent="0.4">
      <c r="A101" s="42" t="s">
        <v>1857</v>
      </c>
      <c r="B101" s="37" t="s">
        <v>958</v>
      </c>
      <c r="C101" s="38" t="str">
        <f>IFERROR([1]!IntrinioBankFinancials(rssd_id,$S$2,C$6,C$5,$B101,"K"),"")</f>
        <v/>
      </c>
      <c r="D101" s="38" t="str">
        <f>IFERROR([1]!IntrinioBankFinancials(rssd_id,$S$2,D$6,D$5,$B101,"K"),"")</f>
        <v/>
      </c>
      <c r="E101" s="38" t="str">
        <f>IFERROR([1]!IntrinioBankFinancials(rssd_id,$S$2,E$6,E$5,$B101,"K"),"")</f>
        <v/>
      </c>
      <c r="F101" s="38" t="str">
        <f>IFERROR([1]!IntrinioBankFinancials(rssd_id,$S$2,F$6,F$5,$B101,"K"),"")</f>
        <v/>
      </c>
      <c r="G101" s="38" t="str">
        <f>IFERROR([1]!IntrinioBankFinancials(rssd_id,$S$2,G$6,G$5,$B101,"K"),"")</f>
        <v/>
      </c>
      <c r="H101" s="38" t="str">
        <f>IFERROR([1]!IntrinioBankFinancials(rssd_id,$S$2,H$6,H$5,$B101,"K"),"")</f>
        <v/>
      </c>
      <c r="I101" s="38" t="str">
        <f>IFERROR([1]!IntrinioBankFinancials(rssd_id,$S$2,I$6,I$5,$B101,"K"),"")</f>
        <v/>
      </c>
      <c r="J101" s="38" t="str">
        <f>IFERROR([1]!IntrinioBankFinancials(rssd_id,$S$2,J$6,J$5,$B101,"K"),"")</f>
        <v/>
      </c>
      <c r="K101" s="38" t="str">
        <f>IFERROR([1]!IntrinioBankFinancials(rssd_id,$S$2,K$6,K$5,$B101,"K"),"")</f>
        <v/>
      </c>
      <c r="L101" s="38" t="str">
        <f>IFERROR([1]!IntrinioBankFinancials(rssd_id,$S$2,L$6,L$5,$B101,"K"),"")</f>
        <v/>
      </c>
      <c r="M101" s="38" t="str">
        <f>IFERROR([1]!IntrinioBankFinancials(rssd_id,$S$2,M$6,M$5,$B101,"K"),"")</f>
        <v/>
      </c>
      <c r="N101" s="38" t="str">
        <f>IFERROR([1]!IntrinioBankFinancials(rssd_id,$S$2,N$6,N$5,$B101,"K"),"")</f>
        <v/>
      </c>
      <c r="O101" s="38" t="str">
        <f>IFERROR([1]!IntrinioBankFinancials(rssd_id,$S$2,O$6,O$5,$B101,"K"),"")</f>
        <v/>
      </c>
      <c r="P101" s="46" t="s">
        <v>157</v>
      </c>
    </row>
    <row r="102" spans="1:16" s="36" customFormat="1" ht="28.5" x14ac:dyDescent="0.4">
      <c r="A102" s="41" t="s">
        <v>1858</v>
      </c>
      <c r="B102" s="34"/>
      <c r="C102" s="35"/>
      <c r="D102" s="35"/>
      <c r="E102" s="35"/>
      <c r="F102" s="35"/>
      <c r="G102" s="35"/>
      <c r="H102" s="35"/>
      <c r="I102" s="35"/>
      <c r="J102" s="35"/>
      <c r="K102" s="35"/>
      <c r="L102" s="35"/>
      <c r="M102" s="35"/>
      <c r="N102" s="35"/>
      <c r="O102" s="35"/>
      <c r="P102" s="46" t="s">
        <v>158</v>
      </c>
    </row>
    <row r="103" spans="1:16" s="36" customFormat="1" ht="42.75" x14ac:dyDescent="0.4">
      <c r="A103" s="42" t="s">
        <v>174</v>
      </c>
      <c r="B103" s="37" t="s">
        <v>959</v>
      </c>
      <c r="C103" s="38" t="str">
        <f>IFERROR([1]!IntrinioBankFinancials(rssd_id,$S$2,C$6,C$5,$B103,"K"),"")</f>
        <v/>
      </c>
      <c r="D103" s="38" t="str">
        <f>IFERROR([1]!IntrinioBankFinancials(rssd_id,$S$2,D$6,D$5,$B103,"K"),"")</f>
        <v/>
      </c>
      <c r="E103" s="38" t="str">
        <f>IFERROR([1]!IntrinioBankFinancials(rssd_id,$S$2,E$6,E$5,$B103,"K"),"")</f>
        <v/>
      </c>
      <c r="F103" s="38" t="str">
        <f>IFERROR([1]!IntrinioBankFinancials(rssd_id,$S$2,F$6,F$5,$B103,"K"),"")</f>
        <v/>
      </c>
      <c r="G103" s="38" t="str">
        <f>IFERROR([1]!IntrinioBankFinancials(rssd_id,$S$2,G$6,G$5,$B103,"K"),"")</f>
        <v/>
      </c>
      <c r="H103" s="38" t="str">
        <f>IFERROR([1]!IntrinioBankFinancials(rssd_id,$S$2,H$6,H$5,$B103,"K"),"")</f>
        <v/>
      </c>
      <c r="I103" s="38" t="str">
        <f>IFERROR([1]!IntrinioBankFinancials(rssd_id,$S$2,I$6,I$5,$B103,"K"),"")</f>
        <v/>
      </c>
      <c r="J103" s="38" t="str">
        <f>IFERROR([1]!IntrinioBankFinancials(rssd_id,$S$2,J$6,J$5,$B103,"K"),"")</f>
        <v/>
      </c>
      <c r="K103" s="38" t="str">
        <f>IFERROR([1]!IntrinioBankFinancials(rssd_id,$S$2,K$6,K$5,$B103,"K"),"")</f>
        <v/>
      </c>
      <c r="L103" s="38" t="str">
        <f>IFERROR([1]!IntrinioBankFinancials(rssd_id,$S$2,L$6,L$5,$B103,"K"),"")</f>
        <v/>
      </c>
      <c r="M103" s="38" t="str">
        <f>IFERROR([1]!IntrinioBankFinancials(rssd_id,$S$2,M$6,M$5,$B103,"K"),"")</f>
        <v/>
      </c>
      <c r="N103" s="38" t="str">
        <f>IFERROR([1]!IntrinioBankFinancials(rssd_id,$S$2,N$6,N$5,$B103,"K"),"")</f>
        <v/>
      </c>
      <c r="O103" s="38" t="str">
        <f>IFERROR([1]!IntrinioBankFinancials(rssd_id,$S$2,O$6,O$5,$B103,"K"),"")</f>
        <v/>
      </c>
      <c r="P103" s="46" t="s">
        <v>159</v>
      </c>
    </row>
    <row r="104" spans="1:16" s="36" customFormat="1" ht="42.75" x14ac:dyDescent="0.4">
      <c r="A104" s="42" t="s">
        <v>175</v>
      </c>
      <c r="B104" s="37" t="s">
        <v>960</v>
      </c>
      <c r="C104" s="38" t="str">
        <f>IFERROR([1]!IntrinioBankFinancials(rssd_id,$S$2,C$6,C$5,$B104,"K"),"")</f>
        <v/>
      </c>
      <c r="D104" s="38" t="str">
        <f>IFERROR([1]!IntrinioBankFinancials(rssd_id,$S$2,D$6,D$5,$B104,"K"),"")</f>
        <v/>
      </c>
      <c r="E104" s="38" t="str">
        <f>IFERROR([1]!IntrinioBankFinancials(rssd_id,$S$2,E$6,E$5,$B104,"K"),"")</f>
        <v/>
      </c>
      <c r="F104" s="38" t="str">
        <f>IFERROR([1]!IntrinioBankFinancials(rssd_id,$S$2,F$6,F$5,$B104,"K"),"")</f>
        <v/>
      </c>
      <c r="G104" s="38" t="str">
        <f>IFERROR([1]!IntrinioBankFinancials(rssd_id,$S$2,G$6,G$5,$B104,"K"),"")</f>
        <v/>
      </c>
      <c r="H104" s="38" t="str">
        <f>IFERROR([1]!IntrinioBankFinancials(rssd_id,$S$2,H$6,H$5,$B104,"K"),"")</f>
        <v/>
      </c>
      <c r="I104" s="38" t="str">
        <f>IFERROR([1]!IntrinioBankFinancials(rssd_id,$S$2,I$6,I$5,$B104,"K"),"")</f>
        <v/>
      </c>
      <c r="J104" s="38" t="str">
        <f>IFERROR([1]!IntrinioBankFinancials(rssd_id,$S$2,J$6,J$5,$B104,"K"),"")</f>
        <v/>
      </c>
      <c r="K104" s="38" t="str">
        <f>IFERROR([1]!IntrinioBankFinancials(rssd_id,$S$2,K$6,K$5,$B104,"K"),"")</f>
        <v/>
      </c>
      <c r="L104" s="38" t="str">
        <f>IFERROR([1]!IntrinioBankFinancials(rssd_id,$S$2,L$6,L$5,$B104,"K"),"")</f>
        <v/>
      </c>
      <c r="M104" s="38" t="str">
        <f>IFERROR([1]!IntrinioBankFinancials(rssd_id,$S$2,M$6,M$5,$B104,"K"),"")</f>
        <v/>
      </c>
      <c r="N104" s="38" t="str">
        <f>IFERROR([1]!IntrinioBankFinancials(rssd_id,$S$2,N$6,N$5,$B104,"K"),"")</f>
        <v/>
      </c>
      <c r="O104" s="38" t="str">
        <f>IFERROR([1]!IntrinioBankFinancials(rssd_id,$S$2,O$6,O$5,$B104,"K"),"")</f>
        <v/>
      </c>
      <c r="P104" s="46" t="s">
        <v>160</v>
      </c>
    </row>
    <row r="105" spans="1:16" s="36" customFormat="1" ht="42.75" x14ac:dyDescent="0.4">
      <c r="A105" s="42" t="s">
        <v>176</v>
      </c>
      <c r="B105" s="37" t="s">
        <v>961</v>
      </c>
      <c r="C105" s="38" t="str">
        <f>IFERROR([1]!IntrinioBankFinancials(rssd_id,$S$2,C$6,C$5,$B105,"K"),"")</f>
        <v/>
      </c>
      <c r="D105" s="38" t="str">
        <f>IFERROR([1]!IntrinioBankFinancials(rssd_id,$S$2,D$6,D$5,$B105,"K"),"")</f>
        <v/>
      </c>
      <c r="E105" s="38" t="str">
        <f>IFERROR([1]!IntrinioBankFinancials(rssd_id,$S$2,E$6,E$5,$B105,"K"),"")</f>
        <v/>
      </c>
      <c r="F105" s="38" t="str">
        <f>IFERROR([1]!IntrinioBankFinancials(rssd_id,$S$2,F$6,F$5,$B105,"K"),"")</f>
        <v/>
      </c>
      <c r="G105" s="38" t="str">
        <f>IFERROR([1]!IntrinioBankFinancials(rssd_id,$S$2,G$6,G$5,$B105,"K"),"")</f>
        <v/>
      </c>
      <c r="H105" s="38" t="str">
        <f>IFERROR([1]!IntrinioBankFinancials(rssd_id,$S$2,H$6,H$5,$B105,"K"),"")</f>
        <v/>
      </c>
      <c r="I105" s="38" t="str">
        <f>IFERROR([1]!IntrinioBankFinancials(rssd_id,$S$2,I$6,I$5,$B105,"K"),"")</f>
        <v/>
      </c>
      <c r="J105" s="38" t="str">
        <f>IFERROR([1]!IntrinioBankFinancials(rssd_id,$S$2,J$6,J$5,$B105,"K"),"")</f>
        <v/>
      </c>
      <c r="K105" s="38" t="str">
        <f>IFERROR([1]!IntrinioBankFinancials(rssd_id,$S$2,K$6,K$5,$B105,"K"),"")</f>
        <v/>
      </c>
      <c r="L105" s="38" t="str">
        <f>IFERROR([1]!IntrinioBankFinancials(rssd_id,$S$2,L$6,L$5,$B105,"K"),"")</f>
        <v/>
      </c>
      <c r="M105" s="38" t="str">
        <f>IFERROR([1]!IntrinioBankFinancials(rssd_id,$S$2,M$6,M$5,$B105,"K"),"")</f>
        <v/>
      </c>
      <c r="N105" s="38" t="str">
        <f>IFERROR([1]!IntrinioBankFinancials(rssd_id,$S$2,N$6,N$5,$B105,"K"),"")</f>
        <v/>
      </c>
      <c r="O105" s="38" t="str">
        <f>IFERROR([1]!IntrinioBankFinancials(rssd_id,$S$2,O$6,O$5,$B105,"K"),"")</f>
        <v/>
      </c>
      <c r="P105" s="46" t="s">
        <v>161</v>
      </c>
    </row>
    <row r="106" spans="1:16" s="36" customFormat="1" ht="14.25" x14ac:dyDescent="0.4">
      <c r="A106" s="42" t="s">
        <v>162</v>
      </c>
      <c r="B106" s="37" t="s">
        <v>962</v>
      </c>
      <c r="C106" s="38" t="str">
        <f>IFERROR([1]!IntrinioBankFinancials(rssd_id,$S$2,C$6,C$5,$B106,"K"),"")</f>
        <v/>
      </c>
      <c r="D106" s="38" t="str">
        <f>IFERROR([1]!IntrinioBankFinancials(rssd_id,$S$2,D$6,D$5,$B106,"K"),"")</f>
        <v/>
      </c>
      <c r="E106" s="38" t="str">
        <f>IFERROR([1]!IntrinioBankFinancials(rssd_id,$S$2,E$6,E$5,$B106,"K"),"")</f>
        <v/>
      </c>
      <c r="F106" s="38" t="str">
        <f>IFERROR([1]!IntrinioBankFinancials(rssd_id,$S$2,F$6,F$5,$B106,"K"),"")</f>
        <v/>
      </c>
      <c r="G106" s="38" t="str">
        <f>IFERROR([1]!IntrinioBankFinancials(rssd_id,$S$2,G$6,G$5,$B106,"K"),"")</f>
        <v/>
      </c>
      <c r="H106" s="38" t="str">
        <f>IFERROR([1]!IntrinioBankFinancials(rssd_id,$S$2,H$6,H$5,$B106,"K"),"")</f>
        <v/>
      </c>
      <c r="I106" s="38" t="str">
        <f>IFERROR([1]!IntrinioBankFinancials(rssd_id,$S$2,I$6,I$5,$B106,"K"),"")</f>
        <v/>
      </c>
      <c r="J106" s="38" t="str">
        <f>IFERROR([1]!IntrinioBankFinancials(rssd_id,$S$2,J$6,J$5,$B106,"K"),"")</f>
        <v/>
      </c>
      <c r="K106" s="38" t="str">
        <f>IFERROR([1]!IntrinioBankFinancials(rssd_id,$S$2,K$6,K$5,$B106,"K"),"")</f>
        <v/>
      </c>
      <c r="L106" s="38" t="str">
        <f>IFERROR([1]!IntrinioBankFinancials(rssd_id,$S$2,L$6,L$5,$B106,"K"),"")</f>
        <v/>
      </c>
      <c r="M106" s="38" t="str">
        <f>IFERROR([1]!IntrinioBankFinancials(rssd_id,$S$2,M$6,M$5,$B106,"K"),"")</f>
        <v/>
      </c>
      <c r="N106" s="38" t="str">
        <f>IFERROR([1]!IntrinioBankFinancials(rssd_id,$S$2,N$6,N$5,$B106,"K"),"")</f>
        <v/>
      </c>
      <c r="O106" s="38" t="str">
        <f>IFERROR([1]!IntrinioBankFinancials(rssd_id,$S$2,O$6,O$5,$B106,"K"),"")</f>
        <v/>
      </c>
      <c r="P106" s="46" t="s">
        <v>163</v>
      </c>
    </row>
  </sheetData>
  <pageMargins left="0.7" right="0.7" top="0.75" bottom="0.75" header="0.3" footer="0.3"/>
  <pageSetup scale="83" fitToHeight="0" orientation="landscape" r:id="rId1"/>
  <headerFooter>
    <oddFooter>&amp;L&amp;G&amp;R&amp;P</oddFooter>
  </headerFooter>
  <rowBreaks count="1" manualBreakCount="1">
    <brk id="69" max="15"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pageSetUpPr fitToPage="1"/>
  </sheetPr>
  <dimension ref="A1:S145"/>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9.140625" defaultRowHeight="18" outlineLevelCol="1" x14ac:dyDescent="0.4"/>
  <cols>
    <col min="1" max="1" width="67.1406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4.64062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1" t="s">
        <v>1828</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N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 t="shared" si="0"/>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231</v>
      </c>
      <c r="B6" s="37" t="s">
        <v>963</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189</v>
      </c>
      <c r="B7" s="37" t="s">
        <v>964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190</v>
      </c>
      <c r="B8" s="37" t="s">
        <v>965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1859</v>
      </c>
      <c r="B9" s="37" t="s">
        <v>932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191</v>
      </c>
      <c r="B10" s="37" t="s">
        <v>966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192</v>
      </c>
      <c r="B11" s="37" t="s">
        <v>967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193</v>
      </c>
      <c r="B12" s="37" t="s">
        <v>968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14.25" x14ac:dyDescent="0.4">
      <c r="A13" s="39" t="s">
        <v>194</v>
      </c>
      <c r="B13" s="37" t="s">
        <v>969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s="40" customFormat="1" ht="14.25" x14ac:dyDescent="0.4">
      <c r="A14" s="39" t="s">
        <v>195</v>
      </c>
      <c r="B14" s="37" t="s">
        <v>970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s="40" customFormat="1" ht="14.25" x14ac:dyDescent="0.4">
      <c r="A15" s="39" t="s">
        <v>196</v>
      </c>
      <c r="B15" s="37" t="s">
        <v>971</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10</v>
      </c>
    </row>
    <row r="16" spans="1:19" s="40" customFormat="1" ht="28.5" x14ac:dyDescent="0.4">
      <c r="A16" s="39" t="s">
        <v>232</v>
      </c>
      <c r="B16" s="37" t="s">
        <v>972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11</v>
      </c>
    </row>
    <row r="17" spans="1:16" s="40" customFormat="1" ht="28.5" x14ac:dyDescent="0.4">
      <c r="A17" s="39" t="s">
        <v>1860</v>
      </c>
      <c r="B17" s="37" t="s">
        <v>973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12</v>
      </c>
    </row>
    <row r="18" spans="1:16" x14ac:dyDescent="0.4">
      <c r="B18" s="32"/>
      <c r="C18" s="33"/>
      <c r="D18" s="33"/>
      <c r="E18" s="33"/>
      <c r="F18" s="33"/>
      <c r="G18" s="33"/>
      <c r="H18" s="33"/>
      <c r="I18" s="33"/>
      <c r="J18" s="33"/>
      <c r="K18" s="33"/>
      <c r="L18" s="33"/>
      <c r="M18" s="33"/>
      <c r="N18" s="33"/>
      <c r="O18" s="33"/>
    </row>
    <row r="19" spans="1:16" x14ac:dyDescent="0.4">
      <c r="B19" s="32"/>
      <c r="C19" s="33"/>
      <c r="D19" s="33"/>
      <c r="E19" s="33"/>
      <c r="F19" s="33"/>
      <c r="G19" s="33"/>
      <c r="H19" s="33"/>
      <c r="I19" s="33"/>
      <c r="J19" s="33"/>
      <c r="K19" s="33"/>
      <c r="L19" s="33"/>
      <c r="M19" s="33"/>
      <c r="N19" s="33"/>
      <c r="O19" s="33"/>
    </row>
    <row r="20" spans="1:16" x14ac:dyDescent="0.4">
      <c r="B20" s="32"/>
      <c r="C20" s="33"/>
      <c r="D20" s="33"/>
      <c r="E20" s="33"/>
      <c r="F20" s="33"/>
      <c r="G20" s="33"/>
      <c r="H20" s="33"/>
      <c r="I20" s="33"/>
      <c r="J20" s="33"/>
      <c r="K20" s="33"/>
      <c r="L20" s="33"/>
      <c r="M20" s="33"/>
      <c r="N20" s="33"/>
      <c r="O20" s="33"/>
    </row>
    <row r="21" spans="1:16" x14ac:dyDescent="0.4">
      <c r="B21" s="32"/>
      <c r="C21" s="33"/>
      <c r="D21" s="33"/>
      <c r="E21" s="33"/>
      <c r="F21" s="33"/>
      <c r="G21" s="33"/>
      <c r="H21" s="33"/>
      <c r="I21" s="33"/>
      <c r="J21" s="33"/>
      <c r="K21" s="33"/>
      <c r="L21" s="33"/>
      <c r="M21" s="33"/>
      <c r="N21" s="33"/>
      <c r="O21" s="33"/>
    </row>
    <row r="22" spans="1:16" x14ac:dyDescent="0.4">
      <c r="B22" s="32"/>
      <c r="C22" s="33"/>
      <c r="D22" s="33"/>
      <c r="E22" s="33"/>
      <c r="F22" s="33"/>
      <c r="G22" s="33"/>
      <c r="H22" s="33"/>
      <c r="I22" s="33"/>
      <c r="J22" s="33"/>
      <c r="K22" s="33"/>
      <c r="L22" s="33"/>
      <c r="M22" s="33"/>
      <c r="N22" s="33"/>
      <c r="O22" s="33"/>
    </row>
    <row r="23" spans="1:16" x14ac:dyDescent="0.4">
      <c r="B23" s="32"/>
      <c r="C23" s="33"/>
      <c r="D23" s="33"/>
      <c r="E23" s="33"/>
      <c r="F23" s="33"/>
      <c r="G23" s="33"/>
      <c r="H23" s="33"/>
      <c r="I23" s="33"/>
      <c r="J23" s="33"/>
      <c r="K23" s="33"/>
      <c r="L23" s="33"/>
      <c r="M23" s="33"/>
      <c r="N23" s="33"/>
      <c r="O23" s="33"/>
    </row>
    <row r="24" spans="1:16" x14ac:dyDescent="0.4">
      <c r="B24" s="32"/>
      <c r="C24" s="33"/>
      <c r="D24" s="33"/>
      <c r="E24" s="33"/>
      <c r="F24" s="33"/>
      <c r="G24" s="33"/>
      <c r="H24" s="33"/>
      <c r="I24" s="33"/>
      <c r="J24" s="33"/>
      <c r="K24" s="33"/>
      <c r="L24" s="33"/>
      <c r="M24" s="33"/>
      <c r="N24" s="33"/>
      <c r="O24" s="33"/>
    </row>
    <row r="25" spans="1:16" x14ac:dyDescent="0.4">
      <c r="B25" s="32"/>
      <c r="C25" s="33"/>
      <c r="D25" s="33"/>
      <c r="E25" s="33"/>
      <c r="F25" s="33"/>
      <c r="G25" s="33"/>
      <c r="H25" s="33"/>
      <c r="I25" s="33"/>
      <c r="J25" s="33"/>
      <c r="K25" s="33"/>
      <c r="L25" s="33"/>
      <c r="M25" s="33"/>
      <c r="N25" s="33"/>
      <c r="O25" s="33"/>
    </row>
    <row r="26" spans="1:16" x14ac:dyDescent="0.4">
      <c r="B26" s="32"/>
      <c r="C26" s="33"/>
      <c r="D26" s="33"/>
      <c r="E26" s="33"/>
      <c r="F26" s="33"/>
      <c r="G26" s="33"/>
      <c r="H26" s="33"/>
      <c r="I26" s="33"/>
      <c r="J26" s="33"/>
      <c r="K26" s="33"/>
      <c r="L26" s="33"/>
      <c r="M26" s="33"/>
      <c r="N26" s="33"/>
      <c r="O26" s="33"/>
    </row>
    <row r="27" spans="1:16" x14ac:dyDescent="0.4">
      <c r="B27" s="32"/>
      <c r="C27" s="33"/>
      <c r="D27" s="33"/>
      <c r="E27" s="33"/>
      <c r="F27" s="33"/>
      <c r="G27" s="33"/>
      <c r="H27" s="33"/>
      <c r="I27" s="33"/>
      <c r="J27" s="33"/>
      <c r="K27" s="33"/>
      <c r="L27" s="33"/>
      <c r="M27" s="33"/>
      <c r="N27" s="33"/>
      <c r="O27" s="33"/>
    </row>
    <row r="28" spans="1:16" x14ac:dyDescent="0.4">
      <c r="B28" s="32"/>
      <c r="C28" s="33"/>
      <c r="D28" s="33"/>
      <c r="E28" s="33"/>
      <c r="F28" s="33"/>
      <c r="G28" s="33"/>
      <c r="H28" s="33"/>
      <c r="I28" s="33"/>
      <c r="J28" s="33"/>
      <c r="K28" s="33"/>
      <c r="L28" s="33"/>
      <c r="M28" s="33"/>
      <c r="N28" s="33"/>
      <c r="O28" s="33"/>
    </row>
    <row r="29" spans="1:16" x14ac:dyDescent="0.4">
      <c r="B29" s="32"/>
      <c r="C29" s="33"/>
      <c r="D29" s="33"/>
      <c r="E29" s="33"/>
      <c r="F29" s="33"/>
      <c r="G29" s="33"/>
      <c r="H29" s="33"/>
      <c r="I29" s="33"/>
      <c r="J29" s="33"/>
      <c r="K29" s="33"/>
      <c r="L29" s="33"/>
      <c r="M29" s="33"/>
      <c r="N29" s="33"/>
      <c r="O29" s="33"/>
    </row>
    <row r="30" spans="1:16" x14ac:dyDescent="0.4">
      <c r="B30" s="32"/>
      <c r="C30" s="33"/>
      <c r="D30" s="33"/>
      <c r="E30" s="33"/>
      <c r="F30" s="33"/>
      <c r="G30" s="33"/>
      <c r="H30" s="33"/>
      <c r="I30" s="33"/>
      <c r="J30" s="33"/>
      <c r="K30" s="33"/>
      <c r="L30" s="33"/>
      <c r="M30" s="33"/>
      <c r="N30" s="33"/>
      <c r="O30" s="33"/>
    </row>
    <row r="31" spans="1:16" x14ac:dyDescent="0.4">
      <c r="B31" s="32"/>
      <c r="C31" s="33"/>
      <c r="D31" s="33"/>
      <c r="E31" s="33"/>
      <c r="F31" s="33"/>
      <c r="G31" s="33"/>
      <c r="H31" s="33"/>
      <c r="I31" s="33"/>
      <c r="J31" s="33"/>
      <c r="K31" s="33"/>
      <c r="L31" s="33"/>
      <c r="M31" s="33"/>
      <c r="N31" s="33"/>
      <c r="O31" s="33"/>
    </row>
    <row r="32" spans="1:16" x14ac:dyDescent="0.4">
      <c r="B32" s="32"/>
      <c r="C32" s="33"/>
      <c r="D32" s="33"/>
      <c r="E32" s="33"/>
      <c r="F32" s="33"/>
      <c r="G32" s="33"/>
      <c r="H32" s="33"/>
      <c r="I32" s="33"/>
      <c r="J32" s="33"/>
      <c r="K32" s="33"/>
      <c r="L32" s="33"/>
      <c r="M32" s="33"/>
      <c r="N32" s="33"/>
      <c r="O32" s="33"/>
    </row>
    <row r="33" spans="2:15" x14ac:dyDescent="0.4">
      <c r="B33" s="32"/>
      <c r="C33" s="33"/>
      <c r="D33" s="33"/>
      <c r="E33" s="33"/>
      <c r="F33" s="33"/>
      <c r="G33" s="33"/>
      <c r="H33" s="33"/>
      <c r="I33" s="33"/>
      <c r="J33" s="33"/>
      <c r="K33" s="33"/>
      <c r="L33" s="33"/>
      <c r="M33" s="33"/>
      <c r="N33" s="33"/>
      <c r="O33" s="33"/>
    </row>
    <row r="34" spans="2:15" x14ac:dyDescent="0.4">
      <c r="B34" s="32"/>
      <c r="C34" s="33"/>
      <c r="D34" s="33"/>
      <c r="E34" s="33"/>
      <c r="F34" s="33"/>
      <c r="G34" s="33"/>
      <c r="H34" s="33"/>
      <c r="I34" s="33"/>
      <c r="J34" s="33"/>
      <c r="K34" s="33"/>
      <c r="L34" s="33"/>
      <c r="M34" s="33"/>
      <c r="N34" s="33"/>
      <c r="O34" s="33"/>
    </row>
    <row r="35" spans="2:15" x14ac:dyDescent="0.4">
      <c r="B35" s="32"/>
      <c r="C35" s="33"/>
      <c r="D35" s="33"/>
      <c r="E35" s="33"/>
      <c r="F35" s="33"/>
      <c r="G35" s="33"/>
      <c r="H35" s="33"/>
      <c r="I35" s="33"/>
      <c r="J35" s="33"/>
      <c r="K35" s="33"/>
      <c r="L35" s="33"/>
      <c r="M35" s="33"/>
      <c r="N35" s="33"/>
      <c r="O35" s="33"/>
    </row>
    <row r="36" spans="2:15" x14ac:dyDescent="0.4">
      <c r="B36" s="32"/>
      <c r="C36" s="33"/>
      <c r="D36" s="33"/>
      <c r="E36" s="33"/>
      <c r="F36" s="33"/>
      <c r="G36" s="33"/>
      <c r="H36" s="33"/>
      <c r="I36" s="33"/>
      <c r="J36" s="33"/>
      <c r="K36" s="33"/>
      <c r="L36" s="33"/>
      <c r="M36" s="33"/>
      <c r="N36" s="33"/>
      <c r="O36" s="33"/>
    </row>
    <row r="37" spans="2:15" x14ac:dyDescent="0.4">
      <c r="B37" s="32"/>
      <c r="C37" s="33"/>
      <c r="D37" s="33"/>
      <c r="E37" s="33"/>
      <c r="F37" s="33"/>
      <c r="G37" s="33"/>
      <c r="H37" s="33"/>
      <c r="I37" s="33"/>
      <c r="J37" s="33"/>
      <c r="K37" s="33"/>
      <c r="L37" s="33"/>
      <c r="M37" s="33"/>
      <c r="N37" s="33"/>
      <c r="O37" s="33"/>
    </row>
    <row r="38" spans="2:15" x14ac:dyDescent="0.4">
      <c r="B38" s="32"/>
      <c r="C38" s="33"/>
      <c r="D38" s="33"/>
      <c r="E38" s="33"/>
      <c r="F38" s="33"/>
      <c r="G38" s="33"/>
      <c r="H38" s="33"/>
      <c r="I38" s="33"/>
      <c r="J38" s="33"/>
      <c r="K38" s="33"/>
      <c r="L38" s="33"/>
      <c r="M38" s="33"/>
      <c r="N38" s="33"/>
      <c r="O38" s="33"/>
    </row>
    <row r="39" spans="2:15" x14ac:dyDescent="0.4">
      <c r="B39" s="32"/>
      <c r="C39" s="33"/>
      <c r="D39" s="33"/>
      <c r="E39" s="33"/>
      <c r="F39" s="33"/>
      <c r="G39" s="33"/>
      <c r="H39" s="33"/>
      <c r="I39" s="33"/>
      <c r="J39" s="33"/>
      <c r="K39" s="33"/>
      <c r="L39" s="33"/>
      <c r="M39" s="33"/>
      <c r="N39" s="33"/>
      <c r="O39" s="33"/>
    </row>
    <row r="40" spans="2:15" x14ac:dyDescent="0.4">
      <c r="B40" s="32"/>
      <c r="C40" s="33"/>
      <c r="D40" s="33"/>
      <c r="E40" s="33"/>
      <c r="F40" s="33"/>
      <c r="G40" s="33"/>
      <c r="H40" s="33"/>
      <c r="I40" s="33"/>
      <c r="J40" s="33"/>
      <c r="K40" s="33"/>
      <c r="L40" s="33"/>
      <c r="M40" s="33"/>
      <c r="N40" s="33"/>
      <c r="O40" s="33"/>
    </row>
    <row r="41" spans="2:15" x14ac:dyDescent="0.4">
      <c r="B41" s="32"/>
      <c r="C41" s="33"/>
      <c r="D41" s="33"/>
      <c r="E41" s="33"/>
      <c r="F41" s="33"/>
      <c r="G41" s="33"/>
      <c r="H41" s="33"/>
      <c r="I41" s="33"/>
      <c r="J41" s="33"/>
      <c r="K41" s="33"/>
      <c r="L41" s="33"/>
      <c r="M41" s="33"/>
      <c r="N41" s="33"/>
      <c r="O41" s="33"/>
    </row>
    <row r="42" spans="2:15" x14ac:dyDescent="0.4">
      <c r="B42" s="32"/>
      <c r="C42" s="33"/>
      <c r="D42" s="33"/>
      <c r="E42" s="33"/>
      <c r="F42" s="33"/>
      <c r="G42" s="33"/>
      <c r="H42" s="33"/>
      <c r="I42" s="33"/>
      <c r="J42" s="33"/>
      <c r="K42" s="33"/>
      <c r="L42" s="33"/>
      <c r="M42" s="33"/>
      <c r="N42" s="33"/>
      <c r="O42" s="33"/>
    </row>
    <row r="43" spans="2:15" x14ac:dyDescent="0.4">
      <c r="B43" s="32"/>
      <c r="C43" s="33"/>
      <c r="D43" s="33"/>
      <c r="E43" s="33"/>
      <c r="F43" s="33"/>
      <c r="G43" s="33"/>
      <c r="H43" s="33"/>
      <c r="I43" s="33"/>
      <c r="J43" s="33"/>
      <c r="K43" s="33"/>
      <c r="L43" s="33"/>
      <c r="M43" s="33"/>
      <c r="N43" s="33"/>
      <c r="O43" s="33"/>
    </row>
    <row r="44" spans="2:15" x14ac:dyDescent="0.4">
      <c r="B44" s="32"/>
      <c r="C44" s="33"/>
      <c r="D44" s="33"/>
      <c r="E44" s="33"/>
      <c r="F44" s="33"/>
      <c r="G44" s="33"/>
      <c r="H44" s="33"/>
      <c r="I44" s="33"/>
      <c r="J44" s="33"/>
      <c r="K44" s="33"/>
      <c r="L44" s="33"/>
      <c r="M44" s="33"/>
      <c r="N44" s="33"/>
      <c r="O44" s="33"/>
    </row>
    <row r="45" spans="2:15" x14ac:dyDescent="0.4">
      <c r="B45" s="32"/>
      <c r="C45" s="33"/>
      <c r="D45" s="33"/>
      <c r="E45" s="33"/>
      <c r="F45" s="33"/>
      <c r="G45" s="33"/>
      <c r="H45" s="33"/>
      <c r="I45" s="33"/>
      <c r="J45" s="33"/>
      <c r="K45" s="33"/>
      <c r="L45" s="33"/>
      <c r="M45" s="33"/>
      <c r="N45" s="33"/>
      <c r="O45" s="33"/>
    </row>
    <row r="46" spans="2:15" x14ac:dyDescent="0.4">
      <c r="B46" s="32"/>
      <c r="C46" s="33"/>
      <c r="D46" s="33"/>
      <c r="E46" s="33"/>
      <c r="F46" s="33"/>
      <c r="G46" s="33"/>
      <c r="H46" s="33"/>
      <c r="I46" s="33"/>
      <c r="J46" s="33"/>
      <c r="K46" s="33"/>
      <c r="L46" s="33"/>
      <c r="M46" s="33"/>
      <c r="N46" s="33"/>
      <c r="O46" s="33"/>
    </row>
    <row r="47" spans="2:15" x14ac:dyDescent="0.4">
      <c r="B47" s="32"/>
      <c r="C47" s="33"/>
      <c r="D47" s="33"/>
      <c r="E47" s="33"/>
      <c r="F47" s="33"/>
      <c r="G47" s="33"/>
      <c r="H47" s="33"/>
      <c r="I47" s="33"/>
      <c r="J47" s="33"/>
      <c r="K47" s="33"/>
      <c r="L47" s="33"/>
      <c r="M47" s="33"/>
      <c r="N47" s="33"/>
      <c r="O47" s="33"/>
    </row>
    <row r="48" spans="2:15" x14ac:dyDescent="0.4">
      <c r="B48" s="32"/>
      <c r="C48" s="33"/>
      <c r="D48" s="33"/>
      <c r="E48" s="33"/>
      <c r="F48" s="33"/>
      <c r="G48" s="33"/>
      <c r="H48" s="33"/>
      <c r="I48" s="33"/>
      <c r="J48" s="33"/>
      <c r="K48" s="33"/>
      <c r="L48" s="33"/>
      <c r="M48" s="33"/>
      <c r="N48" s="33"/>
      <c r="O48" s="33"/>
    </row>
    <row r="49" spans="2:15" x14ac:dyDescent="0.4">
      <c r="B49" s="32"/>
      <c r="C49" s="33"/>
      <c r="D49" s="33"/>
      <c r="E49" s="33"/>
      <c r="F49" s="33"/>
      <c r="G49" s="33"/>
      <c r="H49" s="33"/>
      <c r="I49" s="33"/>
      <c r="J49" s="33"/>
      <c r="K49" s="33"/>
      <c r="L49" s="33"/>
      <c r="M49" s="33"/>
      <c r="N49" s="33"/>
      <c r="O49" s="33"/>
    </row>
    <row r="50" spans="2:15" x14ac:dyDescent="0.4">
      <c r="B50" s="32"/>
      <c r="C50" s="33"/>
      <c r="D50" s="33"/>
      <c r="E50" s="33"/>
      <c r="F50" s="33"/>
      <c r="G50" s="33"/>
      <c r="H50" s="33"/>
      <c r="I50" s="33"/>
      <c r="J50" s="33"/>
      <c r="K50" s="33"/>
      <c r="L50" s="33"/>
      <c r="M50" s="33"/>
      <c r="N50" s="33"/>
      <c r="O50" s="33"/>
    </row>
    <row r="51" spans="2:15" x14ac:dyDescent="0.4">
      <c r="B51" s="32"/>
      <c r="C51" s="33"/>
      <c r="D51" s="33"/>
      <c r="E51" s="33"/>
      <c r="F51" s="33"/>
      <c r="G51" s="33"/>
      <c r="H51" s="33"/>
      <c r="I51" s="33"/>
      <c r="J51" s="33"/>
      <c r="K51" s="33"/>
      <c r="L51" s="33"/>
      <c r="M51" s="33"/>
      <c r="N51" s="33"/>
      <c r="O51" s="33"/>
    </row>
    <row r="52" spans="2:15" x14ac:dyDescent="0.4">
      <c r="B52" s="32"/>
      <c r="C52" s="33"/>
      <c r="D52" s="33"/>
      <c r="E52" s="33"/>
      <c r="F52" s="33"/>
      <c r="G52" s="33"/>
      <c r="H52" s="33"/>
      <c r="I52" s="33"/>
      <c r="J52" s="33"/>
      <c r="K52" s="33"/>
      <c r="L52" s="33"/>
      <c r="M52" s="33"/>
      <c r="N52" s="33"/>
      <c r="O52" s="33"/>
    </row>
    <row r="53" spans="2:15" x14ac:dyDescent="0.4">
      <c r="B53" s="32"/>
      <c r="C53" s="33"/>
      <c r="D53" s="33"/>
      <c r="E53" s="33"/>
      <c r="F53" s="33"/>
      <c r="G53" s="33"/>
      <c r="H53" s="33"/>
      <c r="I53" s="33"/>
      <c r="J53" s="33"/>
      <c r="K53" s="33"/>
      <c r="L53" s="33"/>
      <c r="M53" s="33"/>
      <c r="N53" s="33"/>
      <c r="O53" s="33"/>
    </row>
    <row r="54" spans="2:15" x14ac:dyDescent="0.4">
      <c r="B54" s="32"/>
      <c r="C54" s="33"/>
      <c r="D54" s="33"/>
      <c r="E54" s="33"/>
      <c r="F54" s="33"/>
      <c r="G54" s="33"/>
      <c r="H54" s="33"/>
      <c r="I54" s="33"/>
      <c r="J54" s="33"/>
      <c r="K54" s="33"/>
      <c r="L54" s="33"/>
      <c r="M54" s="33"/>
      <c r="N54" s="33"/>
      <c r="O54" s="33"/>
    </row>
    <row r="55" spans="2:15" x14ac:dyDescent="0.4">
      <c r="B55" s="32"/>
      <c r="C55" s="33"/>
      <c r="D55" s="33"/>
      <c r="E55" s="33"/>
      <c r="F55" s="33"/>
      <c r="G55" s="33"/>
      <c r="H55" s="33"/>
      <c r="I55" s="33"/>
      <c r="J55" s="33"/>
      <c r="K55" s="33"/>
      <c r="L55" s="33"/>
      <c r="M55" s="33"/>
      <c r="N55" s="33"/>
      <c r="O55" s="33"/>
    </row>
    <row r="56" spans="2:15" x14ac:dyDescent="0.4">
      <c r="B56" s="32"/>
      <c r="C56" s="33"/>
      <c r="D56" s="33"/>
      <c r="E56" s="33"/>
      <c r="F56" s="33"/>
      <c r="G56" s="33"/>
      <c r="H56" s="33"/>
      <c r="I56" s="33"/>
      <c r="J56" s="33"/>
      <c r="K56" s="33"/>
      <c r="L56" s="33"/>
      <c r="M56" s="33"/>
      <c r="N56" s="33"/>
      <c r="O56" s="33"/>
    </row>
    <row r="57" spans="2:15" x14ac:dyDescent="0.4">
      <c r="B57" s="32"/>
      <c r="C57" s="33"/>
      <c r="D57" s="33"/>
      <c r="E57" s="33"/>
      <c r="F57" s="33"/>
      <c r="G57" s="33"/>
      <c r="H57" s="33"/>
      <c r="I57" s="33"/>
      <c r="J57" s="33"/>
      <c r="K57" s="33"/>
      <c r="L57" s="33"/>
      <c r="M57" s="33"/>
      <c r="N57" s="33"/>
      <c r="O57" s="33"/>
    </row>
    <row r="58" spans="2:15" x14ac:dyDescent="0.4">
      <c r="B58" s="32"/>
      <c r="C58" s="33"/>
      <c r="D58" s="33"/>
      <c r="E58" s="33"/>
      <c r="F58" s="33"/>
      <c r="G58" s="33"/>
      <c r="H58" s="33"/>
      <c r="I58" s="33"/>
      <c r="J58" s="33"/>
      <c r="K58" s="33"/>
      <c r="L58" s="33"/>
      <c r="M58" s="33"/>
      <c r="N58" s="33"/>
      <c r="O58" s="33"/>
    </row>
    <row r="59" spans="2:15" x14ac:dyDescent="0.4">
      <c r="B59" s="32"/>
      <c r="C59" s="33"/>
      <c r="D59" s="33"/>
      <c r="E59" s="33"/>
      <c r="F59" s="33"/>
      <c r="G59" s="33"/>
      <c r="H59" s="33"/>
      <c r="I59" s="33"/>
      <c r="J59" s="33"/>
      <c r="K59" s="33"/>
      <c r="L59" s="33"/>
      <c r="M59" s="33"/>
      <c r="N59" s="33"/>
      <c r="O59" s="33"/>
    </row>
    <row r="60" spans="2:15" x14ac:dyDescent="0.4">
      <c r="B60" s="32"/>
      <c r="C60" s="33"/>
      <c r="D60" s="33"/>
      <c r="E60" s="33"/>
      <c r="F60" s="33"/>
      <c r="G60" s="33"/>
      <c r="H60" s="33"/>
      <c r="I60" s="33"/>
      <c r="J60" s="33"/>
      <c r="K60" s="33"/>
      <c r="L60" s="33"/>
      <c r="M60" s="33"/>
      <c r="N60" s="33"/>
      <c r="O60" s="33"/>
    </row>
    <row r="61" spans="2:15" x14ac:dyDescent="0.4">
      <c r="B61" s="32"/>
      <c r="C61" s="33"/>
      <c r="D61" s="33"/>
      <c r="E61" s="33"/>
      <c r="F61" s="33"/>
      <c r="G61" s="33"/>
      <c r="H61" s="33"/>
      <c r="I61" s="33"/>
      <c r="J61" s="33"/>
      <c r="K61" s="33"/>
      <c r="L61" s="33"/>
      <c r="M61" s="33"/>
      <c r="N61" s="33"/>
      <c r="O61" s="33"/>
    </row>
    <row r="62" spans="2:15" x14ac:dyDescent="0.4">
      <c r="B62" s="32"/>
      <c r="C62" s="33"/>
      <c r="D62" s="33"/>
      <c r="E62" s="33"/>
      <c r="F62" s="33"/>
      <c r="G62" s="33"/>
      <c r="H62" s="33"/>
      <c r="I62" s="33"/>
      <c r="J62" s="33"/>
      <c r="K62" s="33"/>
      <c r="L62" s="33"/>
      <c r="M62" s="33"/>
      <c r="N62" s="33"/>
      <c r="O62" s="33"/>
    </row>
    <row r="63" spans="2:15" x14ac:dyDescent="0.4">
      <c r="B63" s="32"/>
      <c r="C63" s="33"/>
      <c r="D63" s="33"/>
      <c r="E63" s="33"/>
      <c r="F63" s="33"/>
      <c r="G63" s="33"/>
      <c r="H63" s="33"/>
      <c r="I63" s="33"/>
      <c r="J63" s="33"/>
      <c r="K63" s="33"/>
      <c r="L63" s="33"/>
      <c r="M63" s="33"/>
      <c r="N63" s="33"/>
      <c r="O63" s="33"/>
    </row>
    <row r="64" spans="2:15" x14ac:dyDescent="0.4">
      <c r="B64" s="32"/>
      <c r="C64" s="33"/>
      <c r="D64" s="33"/>
      <c r="E64" s="33"/>
      <c r="F64" s="33"/>
      <c r="G64" s="33"/>
      <c r="H64" s="33"/>
      <c r="I64" s="33"/>
      <c r="J64" s="33"/>
      <c r="K64" s="33"/>
      <c r="L64" s="33"/>
      <c r="M64" s="33"/>
      <c r="N64" s="33"/>
      <c r="O64" s="33"/>
    </row>
    <row r="65" spans="2:15" x14ac:dyDescent="0.4">
      <c r="B65" s="32"/>
      <c r="C65" s="33"/>
      <c r="D65" s="33"/>
      <c r="E65" s="33"/>
      <c r="F65" s="33"/>
      <c r="G65" s="33"/>
      <c r="H65" s="33"/>
      <c r="I65" s="33"/>
      <c r="J65" s="33"/>
      <c r="K65" s="33"/>
      <c r="L65" s="33"/>
      <c r="M65" s="33"/>
      <c r="N65" s="33"/>
      <c r="O65" s="33"/>
    </row>
    <row r="66" spans="2:15" x14ac:dyDescent="0.4">
      <c r="B66" s="32"/>
      <c r="C66" s="33"/>
      <c r="D66" s="33"/>
      <c r="E66" s="33"/>
      <c r="F66" s="33"/>
      <c r="G66" s="33"/>
      <c r="H66" s="33"/>
      <c r="I66" s="33"/>
      <c r="J66" s="33"/>
      <c r="K66" s="33"/>
      <c r="L66" s="33"/>
      <c r="M66" s="33"/>
      <c r="N66" s="33"/>
      <c r="O66" s="33"/>
    </row>
    <row r="67" spans="2:15" x14ac:dyDescent="0.4">
      <c r="B67" s="32"/>
      <c r="C67" s="33"/>
      <c r="D67" s="33"/>
      <c r="E67" s="33"/>
      <c r="F67" s="33"/>
      <c r="G67" s="33"/>
      <c r="H67" s="33"/>
      <c r="I67" s="33"/>
      <c r="J67" s="33"/>
      <c r="K67" s="33"/>
      <c r="L67" s="33"/>
      <c r="M67" s="33"/>
      <c r="N67" s="33"/>
      <c r="O67" s="33"/>
    </row>
    <row r="68" spans="2:15" x14ac:dyDescent="0.4">
      <c r="B68" s="32"/>
      <c r="C68" s="33"/>
      <c r="D68" s="33"/>
      <c r="E68" s="33"/>
      <c r="F68" s="33"/>
      <c r="G68" s="33"/>
      <c r="H68" s="33"/>
      <c r="I68" s="33"/>
      <c r="J68" s="33"/>
      <c r="K68" s="33"/>
      <c r="L68" s="33"/>
      <c r="M68" s="33"/>
      <c r="N68" s="33"/>
      <c r="O68" s="33"/>
    </row>
    <row r="69" spans="2:15" x14ac:dyDescent="0.4">
      <c r="B69" s="32"/>
      <c r="C69" s="33"/>
      <c r="D69" s="33"/>
      <c r="E69" s="33"/>
      <c r="F69" s="33"/>
      <c r="G69" s="33"/>
      <c r="H69" s="33"/>
      <c r="I69" s="33"/>
      <c r="J69" s="33"/>
      <c r="K69" s="33"/>
      <c r="L69" s="33"/>
      <c r="M69" s="33"/>
      <c r="N69" s="33"/>
      <c r="O69" s="33"/>
    </row>
    <row r="70" spans="2:15" x14ac:dyDescent="0.4">
      <c r="B70" s="32"/>
      <c r="C70" s="33"/>
      <c r="D70" s="33"/>
      <c r="E70" s="33"/>
      <c r="F70" s="33"/>
      <c r="G70" s="33"/>
      <c r="H70" s="33"/>
      <c r="I70" s="33"/>
      <c r="J70" s="33"/>
      <c r="K70" s="33"/>
      <c r="L70" s="33"/>
      <c r="M70" s="33"/>
      <c r="N70" s="33"/>
      <c r="O70" s="33"/>
    </row>
    <row r="71" spans="2:15" x14ac:dyDescent="0.4">
      <c r="B71" s="32"/>
      <c r="C71" s="33"/>
      <c r="D71" s="33"/>
      <c r="E71" s="33"/>
      <c r="F71" s="33"/>
      <c r="G71" s="33"/>
      <c r="H71" s="33"/>
      <c r="I71" s="33"/>
      <c r="J71" s="33"/>
      <c r="K71" s="33"/>
      <c r="L71" s="33"/>
      <c r="M71" s="33"/>
      <c r="N71" s="33"/>
      <c r="O71" s="33"/>
    </row>
    <row r="72" spans="2:15" x14ac:dyDescent="0.4">
      <c r="B72" s="32"/>
      <c r="C72" s="33"/>
      <c r="D72" s="33"/>
      <c r="E72" s="33"/>
      <c r="F72" s="33"/>
      <c r="G72" s="33"/>
      <c r="H72" s="33"/>
      <c r="I72" s="33"/>
      <c r="J72" s="33"/>
      <c r="K72" s="33"/>
      <c r="L72" s="33"/>
      <c r="M72" s="33"/>
      <c r="N72" s="33"/>
      <c r="O72" s="33"/>
    </row>
    <row r="73" spans="2:15" x14ac:dyDescent="0.4">
      <c r="B73" s="32"/>
      <c r="C73" s="33"/>
      <c r="D73" s="33"/>
      <c r="E73" s="33"/>
      <c r="F73" s="33"/>
      <c r="G73" s="33"/>
      <c r="H73" s="33"/>
      <c r="I73" s="33"/>
      <c r="J73" s="33"/>
      <c r="K73" s="33"/>
      <c r="L73" s="33"/>
      <c r="M73" s="33"/>
      <c r="N73" s="33"/>
      <c r="O73" s="33"/>
    </row>
    <row r="74" spans="2:15" x14ac:dyDescent="0.4">
      <c r="B74" s="32"/>
      <c r="C74" s="33"/>
      <c r="D74" s="33"/>
      <c r="E74" s="33"/>
      <c r="F74" s="33"/>
      <c r="G74" s="33"/>
      <c r="H74" s="33"/>
      <c r="I74" s="33"/>
      <c r="J74" s="33"/>
      <c r="K74" s="33"/>
      <c r="L74" s="33"/>
      <c r="M74" s="33"/>
      <c r="N74" s="33"/>
      <c r="O74" s="33"/>
    </row>
    <row r="75" spans="2:15" x14ac:dyDescent="0.4">
      <c r="B75" s="32"/>
      <c r="C75" s="33"/>
      <c r="D75" s="33"/>
      <c r="E75" s="33"/>
      <c r="F75" s="33"/>
      <c r="G75" s="33"/>
      <c r="H75" s="33"/>
      <c r="I75" s="33"/>
      <c r="J75" s="33"/>
      <c r="K75" s="33"/>
      <c r="L75" s="33"/>
      <c r="M75" s="33"/>
      <c r="N75" s="33"/>
      <c r="O75" s="33"/>
    </row>
    <row r="76" spans="2:15" x14ac:dyDescent="0.4">
      <c r="B76" s="32"/>
      <c r="C76" s="33"/>
      <c r="D76" s="33"/>
      <c r="E76" s="33"/>
      <c r="F76" s="33"/>
      <c r="G76" s="33"/>
      <c r="H76" s="33"/>
      <c r="I76" s="33"/>
      <c r="J76" s="33"/>
      <c r="K76" s="33"/>
      <c r="L76" s="33"/>
      <c r="M76" s="33"/>
      <c r="N76" s="33"/>
      <c r="O76" s="33"/>
    </row>
    <row r="77" spans="2:15" x14ac:dyDescent="0.4">
      <c r="B77" s="32"/>
      <c r="C77" s="33"/>
      <c r="D77" s="33"/>
      <c r="E77" s="33"/>
      <c r="F77" s="33"/>
      <c r="G77" s="33"/>
      <c r="H77" s="33"/>
      <c r="I77" s="33"/>
      <c r="J77" s="33"/>
      <c r="K77" s="33"/>
      <c r="L77" s="33"/>
      <c r="M77" s="33"/>
      <c r="N77" s="33"/>
      <c r="O77" s="33"/>
    </row>
    <row r="78" spans="2:15" x14ac:dyDescent="0.4">
      <c r="B78" s="32"/>
      <c r="C78" s="33"/>
      <c r="D78" s="33"/>
      <c r="E78" s="33"/>
      <c r="F78" s="33"/>
      <c r="G78" s="33"/>
      <c r="H78" s="33"/>
      <c r="I78" s="33"/>
      <c r="J78" s="33"/>
      <c r="K78" s="33"/>
      <c r="L78" s="33"/>
      <c r="M78" s="33"/>
      <c r="N78" s="33"/>
      <c r="O78" s="33"/>
    </row>
    <row r="79" spans="2:15" x14ac:dyDescent="0.4">
      <c r="B79" s="32"/>
      <c r="C79" s="33"/>
      <c r="D79" s="33"/>
      <c r="E79" s="33"/>
      <c r="F79" s="33"/>
      <c r="G79" s="33"/>
      <c r="H79" s="33"/>
      <c r="I79" s="33"/>
      <c r="J79" s="33"/>
      <c r="K79" s="33"/>
      <c r="L79" s="33"/>
      <c r="M79" s="33"/>
      <c r="N79" s="33"/>
      <c r="O79" s="33"/>
    </row>
    <row r="80" spans="2:15" x14ac:dyDescent="0.4">
      <c r="B80" s="32"/>
      <c r="C80" s="33"/>
      <c r="D80" s="33"/>
      <c r="E80" s="33"/>
      <c r="F80" s="33"/>
      <c r="G80" s="33"/>
      <c r="H80" s="33"/>
      <c r="I80" s="33"/>
      <c r="J80" s="33"/>
      <c r="K80" s="33"/>
      <c r="L80" s="33"/>
      <c r="M80" s="33"/>
      <c r="N80" s="33"/>
      <c r="O80" s="33"/>
    </row>
    <row r="81" spans="2:15" x14ac:dyDescent="0.4">
      <c r="B81" s="32"/>
      <c r="C81" s="33"/>
      <c r="D81" s="33"/>
      <c r="E81" s="33"/>
      <c r="F81" s="33"/>
      <c r="G81" s="33"/>
      <c r="H81" s="33"/>
      <c r="I81" s="33"/>
      <c r="J81" s="33"/>
      <c r="K81" s="33"/>
      <c r="L81" s="33"/>
      <c r="M81" s="33"/>
      <c r="N81" s="33"/>
      <c r="O81" s="33"/>
    </row>
    <row r="82" spans="2:15" x14ac:dyDescent="0.4">
      <c r="B82" s="32"/>
      <c r="C82" s="33"/>
      <c r="D82" s="33"/>
      <c r="E82" s="33"/>
      <c r="F82" s="33"/>
      <c r="G82" s="33"/>
      <c r="H82" s="33"/>
      <c r="I82" s="33"/>
      <c r="J82" s="33"/>
      <c r="K82" s="33"/>
      <c r="L82" s="33"/>
      <c r="M82" s="33"/>
      <c r="N82" s="33"/>
      <c r="O82" s="33"/>
    </row>
    <row r="83" spans="2:15" x14ac:dyDescent="0.4">
      <c r="B83" s="32"/>
      <c r="C83" s="33"/>
      <c r="D83" s="33"/>
      <c r="E83" s="33"/>
      <c r="F83" s="33"/>
      <c r="G83" s="33"/>
      <c r="H83" s="33"/>
      <c r="I83" s="33"/>
      <c r="J83" s="33"/>
      <c r="K83" s="33"/>
      <c r="L83" s="33"/>
      <c r="M83" s="33"/>
      <c r="N83" s="33"/>
      <c r="O83" s="33"/>
    </row>
    <row r="84" spans="2:15" x14ac:dyDescent="0.4">
      <c r="B84" s="32"/>
      <c r="C84" s="33"/>
      <c r="D84" s="33"/>
      <c r="E84" s="33"/>
      <c r="F84" s="33"/>
      <c r="G84" s="33"/>
      <c r="H84" s="33"/>
      <c r="I84" s="33"/>
      <c r="J84" s="33"/>
      <c r="K84" s="33"/>
      <c r="L84" s="33"/>
      <c r="M84" s="33"/>
      <c r="N84" s="33"/>
      <c r="O84" s="33"/>
    </row>
    <row r="85" spans="2:15" x14ac:dyDescent="0.4">
      <c r="B85" s="32"/>
      <c r="C85" s="33"/>
      <c r="D85" s="33"/>
      <c r="E85" s="33"/>
      <c r="F85" s="33"/>
      <c r="G85" s="33"/>
      <c r="H85" s="33"/>
      <c r="I85" s="33"/>
      <c r="J85" s="33"/>
      <c r="K85" s="33"/>
      <c r="L85" s="33"/>
      <c r="M85" s="33"/>
      <c r="N85" s="33"/>
      <c r="O85" s="33"/>
    </row>
    <row r="86" spans="2:15" x14ac:dyDescent="0.4">
      <c r="B86" s="32"/>
      <c r="C86" s="33"/>
      <c r="D86" s="33"/>
      <c r="E86" s="33"/>
      <c r="F86" s="33"/>
      <c r="G86" s="33"/>
      <c r="H86" s="33"/>
      <c r="I86" s="33"/>
      <c r="J86" s="33"/>
      <c r="K86" s="33"/>
      <c r="L86" s="33"/>
      <c r="M86" s="33"/>
      <c r="N86" s="33"/>
      <c r="O86" s="33"/>
    </row>
    <row r="87" spans="2:15" x14ac:dyDescent="0.4">
      <c r="B87" s="32"/>
      <c r="C87" s="33"/>
      <c r="D87" s="33"/>
      <c r="E87" s="33"/>
      <c r="F87" s="33"/>
      <c r="G87" s="33"/>
      <c r="H87" s="33"/>
      <c r="I87" s="33"/>
      <c r="J87" s="33"/>
      <c r="K87" s="33"/>
      <c r="L87" s="33"/>
      <c r="M87" s="33"/>
      <c r="N87" s="33"/>
      <c r="O87" s="33"/>
    </row>
    <row r="88" spans="2:15" x14ac:dyDescent="0.4">
      <c r="B88" s="32"/>
      <c r="C88" s="33"/>
      <c r="D88" s="33"/>
      <c r="E88" s="33"/>
      <c r="F88" s="33"/>
      <c r="G88" s="33"/>
      <c r="H88" s="33"/>
      <c r="I88" s="33"/>
      <c r="J88" s="33"/>
      <c r="K88" s="33"/>
      <c r="L88" s="33"/>
      <c r="M88" s="33"/>
      <c r="N88" s="33"/>
      <c r="O88" s="33"/>
    </row>
    <row r="89" spans="2:15" x14ac:dyDescent="0.4">
      <c r="B89" s="32"/>
      <c r="C89" s="33"/>
      <c r="D89" s="33"/>
      <c r="E89" s="33"/>
      <c r="F89" s="33"/>
      <c r="G89" s="33"/>
      <c r="H89" s="33"/>
      <c r="I89" s="33"/>
      <c r="J89" s="33"/>
      <c r="K89" s="33"/>
      <c r="L89" s="33"/>
      <c r="M89" s="33"/>
      <c r="N89" s="33"/>
      <c r="O89" s="33"/>
    </row>
    <row r="90" spans="2:15" x14ac:dyDescent="0.4">
      <c r="B90" s="32"/>
      <c r="C90" s="33"/>
      <c r="D90" s="33"/>
      <c r="E90" s="33"/>
      <c r="F90" s="33"/>
      <c r="G90" s="33"/>
      <c r="H90" s="33"/>
      <c r="I90" s="33"/>
      <c r="J90" s="33"/>
      <c r="K90" s="33"/>
      <c r="L90" s="33"/>
      <c r="M90" s="33"/>
      <c r="N90" s="33"/>
      <c r="O90" s="33"/>
    </row>
    <row r="91" spans="2:15" x14ac:dyDescent="0.4">
      <c r="B91" s="32"/>
      <c r="C91" s="33"/>
      <c r="D91" s="33"/>
      <c r="E91" s="33"/>
      <c r="F91" s="33"/>
      <c r="G91" s="33"/>
      <c r="H91" s="33"/>
      <c r="I91" s="33"/>
      <c r="J91" s="33"/>
      <c r="K91" s="33"/>
      <c r="L91" s="33"/>
      <c r="M91" s="33"/>
      <c r="N91" s="33"/>
      <c r="O91" s="33"/>
    </row>
    <row r="92" spans="2:15" x14ac:dyDescent="0.4">
      <c r="B92" s="32"/>
      <c r="C92" s="33"/>
      <c r="D92" s="33"/>
      <c r="E92" s="33"/>
      <c r="F92" s="33"/>
      <c r="G92" s="33"/>
      <c r="H92" s="33"/>
      <c r="I92" s="33"/>
      <c r="J92" s="33"/>
      <c r="K92" s="33"/>
      <c r="L92" s="33"/>
      <c r="M92" s="33"/>
      <c r="N92" s="33"/>
      <c r="O92" s="33"/>
    </row>
    <row r="93" spans="2:15" x14ac:dyDescent="0.4">
      <c r="B93" s="32"/>
      <c r="C93" s="33"/>
      <c r="D93" s="33"/>
      <c r="E93" s="33"/>
      <c r="F93" s="33"/>
      <c r="G93" s="33"/>
      <c r="H93" s="33"/>
      <c r="I93" s="33"/>
      <c r="J93" s="33"/>
      <c r="K93" s="33"/>
      <c r="L93" s="33"/>
      <c r="M93" s="33"/>
      <c r="N93" s="33"/>
      <c r="O93" s="33"/>
    </row>
    <row r="94" spans="2:15" x14ac:dyDescent="0.4">
      <c r="B94" s="32"/>
      <c r="C94" s="33"/>
      <c r="D94" s="33"/>
      <c r="E94" s="33"/>
      <c r="F94" s="33"/>
      <c r="G94" s="33"/>
      <c r="H94" s="33"/>
      <c r="I94" s="33"/>
      <c r="J94" s="33"/>
      <c r="K94" s="33"/>
      <c r="L94" s="33"/>
      <c r="M94" s="33"/>
      <c r="N94" s="33"/>
      <c r="O94" s="33"/>
    </row>
    <row r="95" spans="2:15" x14ac:dyDescent="0.4">
      <c r="B95" s="32"/>
      <c r="C95" s="33"/>
      <c r="D95" s="33"/>
      <c r="E95" s="33"/>
      <c r="F95" s="33"/>
      <c r="G95" s="33"/>
      <c r="H95" s="33"/>
      <c r="I95" s="33"/>
      <c r="J95" s="33"/>
      <c r="K95" s="33"/>
      <c r="L95" s="33"/>
      <c r="M95" s="33"/>
      <c r="N95" s="33"/>
      <c r="O95" s="33"/>
    </row>
    <row r="96" spans="2:15" x14ac:dyDescent="0.4">
      <c r="B96" s="32"/>
      <c r="C96" s="33"/>
      <c r="D96" s="33"/>
      <c r="E96" s="33"/>
      <c r="F96" s="33"/>
      <c r="G96" s="33"/>
      <c r="H96" s="33"/>
      <c r="I96" s="33"/>
      <c r="J96" s="33"/>
      <c r="K96" s="33"/>
      <c r="L96" s="33"/>
      <c r="M96" s="33"/>
      <c r="N96" s="33"/>
      <c r="O96" s="33"/>
    </row>
    <row r="97" spans="2:15" x14ac:dyDescent="0.4">
      <c r="B97" s="32"/>
      <c r="C97" s="33"/>
      <c r="D97" s="33"/>
      <c r="E97" s="33"/>
      <c r="F97" s="33"/>
      <c r="G97" s="33"/>
      <c r="H97" s="33"/>
      <c r="I97" s="33"/>
      <c r="J97" s="33"/>
      <c r="K97" s="33"/>
      <c r="L97" s="33"/>
      <c r="M97" s="33"/>
      <c r="N97" s="33"/>
      <c r="O97" s="33"/>
    </row>
    <row r="98" spans="2:15" x14ac:dyDescent="0.4">
      <c r="B98" s="32"/>
      <c r="C98" s="33"/>
      <c r="D98" s="33"/>
      <c r="E98" s="33"/>
      <c r="F98" s="33"/>
      <c r="G98" s="33"/>
      <c r="H98" s="33"/>
      <c r="I98" s="33"/>
      <c r="J98" s="33"/>
      <c r="K98" s="33"/>
      <c r="L98" s="33"/>
      <c r="M98" s="33"/>
      <c r="N98" s="33"/>
      <c r="O98" s="33"/>
    </row>
    <row r="99" spans="2:15" x14ac:dyDescent="0.4">
      <c r="B99" s="32"/>
      <c r="C99" s="33"/>
      <c r="D99" s="33"/>
      <c r="E99" s="33"/>
      <c r="F99" s="33"/>
      <c r="G99" s="33"/>
      <c r="H99" s="33"/>
      <c r="I99" s="33"/>
      <c r="J99" s="33"/>
      <c r="K99" s="33"/>
      <c r="L99" s="33"/>
      <c r="M99" s="33"/>
      <c r="N99" s="33"/>
      <c r="O99" s="33"/>
    </row>
    <row r="100" spans="2:15" x14ac:dyDescent="0.4">
      <c r="B100" s="32"/>
      <c r="C100" s="33"/>
      <c r="D100" s="33"/>
      <c r="E100" s="33"/>
      <c r="F100" s="33"/>
      <c r="G100" s="33"/>
      <c r="H100" s="33"/>
      <c r="I100" s="33"/>
      <c r="J100" s="33"/>
      <c r="K100" s="33"/>
      <c r="L100" s="33"/>
      <c r="M100" s="33"/>
      <c r="N100" s="33"/>
      <c r="O100" s="33"/>
    </row>
    <row r="101" spans="2:15" x14ac:dyDescent="0.4">
      <c r="B101" s="32"/>
      <c r="C101" s="33"/>
      <c r="D101" s="33"/>
      <c r="E101" s="33"/>
      <c r="F101" s="33"/>
      <c r="G101" s="33"/>
      <c r="H101" s="33"/>
      <c r="I101" s="33"/>
      <c r="J101" s="33"/>
      <c r="K101" s="33"/>
      <c r="L101" s="33"/>
      <c r="M101" s="33"/>
      <c r="N101" s="33"/>
      <c r="O101" s="33"/>
    </row>
    <row r="102" spans="2:15" x14ac:dyDescent="0.4">
      <c r="B102" s="32"/>
      <c r="C102" s="33"/>
      <c r="D102" s="33"/>
      <c r="E102" s="33"/>
      <c r="F102" s="33"/>
      <c r="G102" s="33"/>
      <c r="H102" s="33"/>
      <c r="I102" s="33"/>
      <c r="J102" s="33"/>
      <c r="K102" s="33"/>
      <c r="L102" s="33"/>
      <c r="M102" s="33"/>
      <c r="N102" s="33"/>
      <c r="O102" s="33"/>
    </row>
    <row r="103" spans="2:15" x14ac:dyDescent="0.4">
      <c r="B103" s="32"/>
      <c r="C103" s="33"/>
      <c r="D103" s="33"/>
      <c r="E103" s="33"/>
      <c r="F103" s="33"/>
      <c r="G103" s="33"/>
      <c r="H103" s="33"/>
      <c r="I103" s="33"/>
      <c r="J103" s="33"/>
      <c r="K103" s="33"/>
      <c r="L103" s="33"/>
      <c r="M103" s="33"/>
      <c r="N103" s="33"/>
      <c r="O103" s="33"/>
    </row>
    <row r="104" spans="2:15" x14ac:dyDescent="0.4">
      <c r="B104" s="32"/>
      <c r="C104" s="33"/>
      <c r="D104" s="33"/>
      <c r="E104" s="33"/>
      <c r="F104" s="33"/>
      <c r="G104" s="33"/>
      <c r="H104" s="33"/>
      <c r="I104" s="33"/>
      <c r="J104" s="33"/>
      <c r="K104" s="33"/>
      <c r="L104" s="33"/>
      <c r="M104" s="33"/>
      <c r="N104" s="33"/>
      <c r="O104" s="33"/>
    </row>
    <row r="105" spans="2:15" x14ac:dyDescent="0.4">
      <c r="B105" s="32"/>
      <c r="C105" s="33"/>
      <c r="D105" s="33"/>
      <c r="E105" s="33"/>
      <c r="F105" s="33"/>
      <c r="G105" s="33"/>
      <c r="H105" s="33"/>
      <c r="I105" s="33"/>
      <c r="J105" s="33"/>
      <c r="K105" s="33"/>
      <c r="L105" s="33"/>
      <c r="M105" s="33"/>
      <c r="N105" s="33"/>
      <c r="O105" s="33"/>
    </row>
    <row r="106" spans="2:15" x14ac:dyDescent="0.4">
      <c r="B106" s="32"/>
      <c r="C106" s="33"/>
      <c r="D106" s="33"/>
      <c r="E106" s="33"/>
      <c r="F106" s="33"/>
      <c r="G106" s="33"/>
      <c r="H106" s="33"/>
      <c r="I106" s="33"/>
      <c r="J106" s="33"/>
      <c r="K106" s="33"/>
      <c r="L106" s="33"/>
      <c r="M106" s="33"/>
      <c r="N106" s="33"/>
      <c r="O106" s="33"/>
    </row>
    <row r="107" spans="2:15" x14ac:dyDescent="0.4">
      <c r="B107" s="32"/>
      <c r="C107" s="33"/>
      <c r="D107" s="33"/>
      <c r="E107" s="33"/>
      <c r="F107" s="33"/>
      <c r="G107" s="33"/>
      <c r="H107" s="33"/>
      <c r="I107" s="33"/>
      <c r="J107" s="33"/>
      <c r="K107" s="33"/>
      <c r="L107" s="33"/>
      <c r="M107" s="33"/>
      <c r="N107" s="33"/>
      <c r="O107" s="33"/>
    </row>
    <row r="108" spans="2:15" x14ac:dyDescent="0.4">
      <c r="B108" s="32"/>
      <c r="C108" s="33"/>
      <c r="D108" s="33"/>
      <c r="E108" s="33"/>
      <c r="F108" s="33"/>
      <c r="G108" s="33"/>
      <c r="H108" s="33"/>
      <c r="I108" s="33"/>
      <c r="J108" s="33"/>
      <c r="K108" s="33"/>
      <c r="L108" s="33"/>
      <c r="M108" s="33"/>
      <c r="N108" s="33"/>
      <c r="O108" s="33"/>
    </row>
    <row r="109" spans="2:15" x14ac:dyDescent="0.4">
      <c r="B109" s="32"/>
      <c r="C109" s="33"/>
      <c r="D109" s="33"/>
      <c r="E109" s="33"/>
      <c r="F109" s="33"/>
      <c r="G109" s="33"/>
      <c r="H109" s="33"/>
      <c r="I109" s="33"/>
      <c r="J109" s="33"/>
      <c r="K109" s="33"/>
      <c r="L109" s="33"/>
      <c r="M109" s="33"/>
      <c r="N109" s="33"/>
      <c r="O109" s="33"/>
    </row>
    <row r="110" spans="2:15" x14ac:dyDescent="0.4">
      <c r="B110" s="32"/>
      <c r="C110" s="33"/>
      <c r="D110" s="33"/>
      <c r="E110" s="33"/>
      <c r="F110" s="33"/>
      <c r="G110" s="33"/>
      <c r="H110" s="33"/>
      <c r="I110" s="33"/>
      <c r="J110" s="33"/>
      <c r="K110" s="33"/>
      <c r="L110" s="33"/>
      <c r="M110" s="33"/>
      <c r="N110" s="33"/>
      <c r="O110" s="33"/>
    </row>
    <row r="111" spans="2:15" x14ac:dyDescent="0.4">
      <c r="B111" s="32"/>
      <c r="C111" s="33"/>
      <c r="D111" s="33"/>
      <c r="E111" s="33"/>
      <c r="F111" s="33"/>
      <c r="G111" s="33"/>
      <c r="H111" s="33"/>
      <c r="I111" s="33"/>
      <c r="J111" s="33"/>
      <c r="K111" s="33"/>
      <c r="L111" s="33"/>
      <c r="M111" s="33"/>
      <c r="N111" s="33"/>
      <c r="O111" s="33"/>
    </row>
    <row r="112" spans="2:15" x14ac:dyDescent="0.4">
      <c r="B112" s="32"/>
      <c r="C112" s="33"/>
      <c r="D112" s="33"/>
      <c r="E112" s="33"/>
      <c r="F112" s="33"/>
      <c r="G112" s="33"/>
      <c r="H112" s="33"/>
      <c r="I112" s="33"/>
      <c r="J112" s="33"/>
      <c r="K112" s="33"/>
      <c r="L112" s="33"/>
      <c r="M112" s="33"/>
      <c r="N112" s="33"/>
      <c r="O112" s="33"/>
    </row>
    <row r="113" spans="2:15" x14ac:dyDescent="0.4">
      <c r="B113" s="32"/>
      <c r="C113" s="33"/>
      <c r="D113" s="33"/>
      <c r="E113" s="33"/>
      <c r="F113" s="33"/>
      <c r="G113" s="33"/>
      <c r="H113" s="33"/>
      <c r="I113" s="33"/>
      <c r="J113" s="33"/>
      <c r="K113" s="33"/>
      <c r="L113" s="33"/>
      <c r="M113" s="33"/>
      <c r="N113" s="33"/>
      <c r="O113" s="33"/>
    </row>
    <row r="114" spans="2:15" x14ac:dyDescent="0.4">
      <c r="B114" s="32"/>
      <c r="C114" s="33"/>
      <c r="D114" s="33"/>
      <c r="E114" s="33"/>
      <c r="F114" s="33"/>
      <c r="G114" s="33"/>
      <c r="H114" s="33"/>
      <c r="I114" s="33"/>
      <c r="J114" s="33"/>
      <c r="K114" s="33"/>
      <c r="L114" s="33"/>
      <c r="M114" s="33"/>
      <c r="N114" s="33"/>
      <c r="O114" s="33"/>
    </row>
    <row r="115" spans="2:15" x14ac:dyDescent="0.4">
      <c r="B115" s="32"/>
      <c r="C115" s="33"/>
      <c r="D115" s="33"/>
      <c r="E115" s="33"/>
      <c r="F115" s="33"/>
      <c r="G115" s="33"/>
      <c r="H115" s="33"/>
      <c r="I115" s="33"/>
      <c r="J115" s="33"/>
      <c r="K115" s="33"/>
      <c r="L115" s="33"/>
      <c r="M115" s="33"/>
      <c r="N115" s="33"/>
      <c r="O115" s="33"/>
    </row>
    <row r="116" spans="2:15" x14ac:dyDescent="0.4">
      <c r="B116" s="32"/>
      <c r="C116" s="33"/>
      <c r="D116" s="33"/>
      <c r="E116" s="33"/>
      <c r="F116" s="33"/>
      <c r="G116" s="33"/>
      <c r="H116" s="33"/>
      <c r="I116" s="33"/>
      <c r="J116" s="33"/>
      <c r="K116" s="33"/>
      <c r="L116" s="33"/>
      <c r="M116" s="33"/>
      <c r="N116" s="33"/>
      <c r="O116" s="33"/>
    </row>
    <row r="117" spans="2:15" x14ac:dyDescent="0.4">
      <c r="B117" s="32"/>
      <c r="C117" s="33"/>
      <c r="D117" s="33"/>
      <c r="E117" s="33"/>
      <c r="F117" s="33"/>
      <c r="G117" s="33"/>
      <c r="H117" s="33"/>
      <c r="I117" s="33"/>
      <c r="J117" s="33"/>
      <c r="K117" s="33"/>
      <c r="L117" s="33"/>
      <c r="M117" s="33"/>
      <c r="N117" s="33"/>
      <c r="O117" s="33"/>
    </row>
    <row r="118" spans="2:15" x14ac:dyDescent="0.4">
      <c r="B118" s="32"/>
      <c r="C118" s="33"/>
      <c r="D118" s="33"/>
      <c r="E118" s="33"/>
      <c r="F118" s="33"/>
      <c r="G118" s="33"/>
      <c r="H118" s="33"/>
      <c r="I118" s="33"/>
      <c r="J118" s="33"/>
      <c r="K118" s="33"/>
      <c r="L118" s="33"/>
      <c r="M118" s="33"/>
      <c r="N118" s="33"/>
      <c r="O118" s="33"/>
    </row>
    <row r="119" spans="2:15" x14ac:dyDescent="0.4">
      <c r="B119" s="32"/>
      <c r="C119" s="33"/>
      <c r="D119" s="33"/>
      <c r="E119" s="33"/>
      <c r="F119" s="33"/>
      <c r="G119" s="33"/>
      <c r="H119" s="33"/>
      <c r="I119" s="33"/>
      <c r="J119" s="33"/>
      <c r="K119" s="33"/>
      <c r="L119" s="33"/>
      <c r="M119" s="33"/>
      <c r="N119" s="33"/>
      <c r="O119" s="33"/>
    </row>
    <row r="120" spans="2:15" x14ac:dyDescent="0.4">
      <c r="B120" s="32"/>
      <c r="C120" s="33"/>
      <c r="D120" s="33"/>
      <c r="E120" s="33"/>
      <c r="F120" s="33"/>
      <c r="G120" s="33"/>
      <c r="H120" s="33"/>
      <c r="I120" s="33"/>
      <c r="J120" s="33"/>
      <c r="K120" s="33"/>
      <c r="L120" s="33"/>
      <c r="M120" s="33"/>
      <c r="N120" s="33"/>
      <c r="O120" s="33"/>
    </row>
    <row r="121" spans="2:15" x14ac:dyDescent="0.4">
      <c r="B121" s="32"/>
      <c r="C121" s="33"/>
      <c r="D121" s="33"/>
      <c r="E121" s="33"/>
      <c r="F121" s="33"/>
      <c r="G121" s="33"/>
      <c r="H121" s="33"/>
      <c r="I121" s="33"/>
      <c r="J121" s="33"/>
      <c r="K121" s="33"/>
      <c r="L121" s="33"/>
      <c r="M121" s="33"/>
      <c r="N121" s="33"/>
      <c r="O121" s="33"/>
    </row>
    <row r="122" spans="2:15" x14ac:dyDescent="0.4">
      <c r="B122" s="32"/>
      <c r="C122" s="33"/>
      <c r="D122" s="33"/>
      <c r="E122" s="33"/>
      <c r="F122" s="33"/>
      <c r="G122" s="33"/>
      <c r="H122" s="33"/>
      <c r="I122" s="33"/>
      <c r="J122" s="33"/>
      <c r="K122" s="33"/>
      <c r="L122" s="33"/>
      <c r="M122" s="33"/>
      <c r="N122" s="33"/>
      <c r="O122" s="33"/>
    </row>
    <row r="123" spans="2:15" x14ac:dyDescent="0.4">
      <c r="B123" s="32"/>
      <c r="C123" s="33"/>
      <c r="D123" s="33"/>
      <c r="E123" s="33"/>
      <c r="F123" s="33"/>
      <c r="G123" s="33"/>
      <c r="H123" s="33"/>
      <c r="I123" s="33"/>
      <c r="J123" s="33"/>
      <c r="K123" s="33"/>
      <c r="L123" s="33"/>
      <c r="M123" s="33"/>
      <c r="N123" s="33"/>
      <c r="O123" s="33"/>
    </row>
    <row r="124" spans="2:15" x14ac:dyDescent="0.4">
      <c r="B124" s="32"/>
      <c r="C124" s="33"/>
      <c r="D124" s="33"/>
      <c r="E124" s="33"/>
      <c r="F124" s="33"/>
      <c r="G124" s="33"/>
      <c r="H124" s="33"/>
      <c r="I124" s="33"/>
      <c r="J124" s="33"/>
      <c r="K124" s="33"/>
      <c r="L124" s="33"/>
      <c r="M124" s="33"/>
      <c r="N124" s="33"/>
      <c r="O124" s="33"/>
    </row>
    <row r="125" spans="2:15" x14ac:dyDescent="0.4">
      <c r="B125" s="32"/>
      <c r="C125" s="33"/>
      <c r="D125" s="33"/>
      <c r="E125" s="33"/>
      <c r="F125" s="33"/>
      <c r="G125" s="33"/>
      <c r="H125" s="33"/>
      <c r="I125" s="33"/>
      <c r="J125" s="33"/>
      <c r="K125" s="33"/>
      <c r="L125" s="33"/>
      <c r="M125" s="33"/>
      <c r="N125" s="33"/>
      <c r="O125" s="33"/>
    </row>
    <row r="126" spans="2:15" x14ac:dyDescent="0.4">
      <c r="B126" s="32"/>
      <c r="C126" s="33"/>
      <c r="D126" s="33"/>
      <c r="E126" s="33"/>
      <c r="F126" s="33"/>
      <c r="G126" s="33"/>
      <c r="H126" s="33"/>
      <c r="I126" s="33"/>
      <c r="J126" s="33"/>
      <c r="K126" s="33"/>
      <c r="L126" s="33"/>
      <c r="M126" s="33"/>
      <c r="N126" s="33"/>
      <c r="O126" s="33"/>
    </row>
    <row r="127" spans="2:15" x14ac:dyDescent="0.4">
      <c r="B127" s="32"/>
      <c r="C127" s="33"/>
      <c r="D127" s="33"/>
      <c r="E127" s="33"/>
      <c r="F127" s="33"/>
      <c r="G127" s="33"/>
      <c r="H127" s="33"/>
      <c r="I127" s="33"/>
      <c r="J127" s="33"/>
      <c r="K127" s="33"/>
      <c r="L127" s="33"/>
      <c r="M127" s="33"/>
      <c r="N127" s="33"/>
      <c r="O127" s="33"/>
    </row>
    <row r="128" spans="2:15" x14ac:dyDescent="0.4">
      <c r="B128" s="32"/>
      <c r="C128" s="33"/>
      <c r="D128" s="33"/>
      <c r="E128" s="33"/>
      <c r="F128" s="33"/>
      <c r="G128" s="33"/>
      <c r="H128" s="33"/>
      <c r="I128" s="33"/>
      <c r="J128" s="33"/>
      <c r="K128" s="33"/>
      <c r="L128" s="33"/>
      <c r="M128" s="33"/>
      <c r="N128" s="33"/>
      <c r="O128" s="33"/>
    </row>
    <row r="129" spans="2:15" x14ac:dyDescent="0.4">
      <c r="B129" s="32"/>
      <c r="C129" s="33"/>
      <c r="D129" s="33"/>
      <c r="E129" s="33"/>
      <c r="F129" s="33"/>
      <c r="G129" s="33"/>
      <c r="H129" s="33"/>
      <c r="I129" s="33"/>
      <c r="J129" s="33"/>
      <c r="K129" s="33"/>
      <c r="L129" s="33"/>
      <c r="M129" s="33"/>
      <c r="N129" s="33"/>
      <c r="O129" s="33"/>
    </row>
    <row r="130" spans="2:15" x14ac:dyDescent="0.4">
      <c r="B130" s="32"/>
      <c r="C130" s="33"/>
      <c r="D130" s="33"/>
      <c r="E130" s="33"/>
      <c r="F130" s="33"/>
      <c r="G130" s="33"/>
      <c r="H130" s="33"/>
      <c r="I130" s="33"/>
      <c r="J130" s="33"/>
      <c r="K130" s="33"/>
      <c r="L130" s="33"/>
      <c r="M130" s="33"/>
      <c r="N130" s="33"/>
      <c r="O130" s="33"/>
    </row>
    <row r="131" spans="2:15" x14ac:dyDescent="0.4">
      <c r="B131" s="32"/>
      <c r="C131" s="33"/>
      <c r="D131" s="33"/>
      <c r="E131" s="33"/>
      <c r="F131" s="33"/>
      <c r="G131" s="33"/>
      <c r="H131" s="33"/>
      <c r="I131" s="33"/>
      <c r="J131" s="33"/>
      <c r="K131" s="33"/>
      <c r="L131" s="33"/>
      <c r="M131" s="33"/>
      <c r="N131" s="33"/>
      <c r="O131" s="33"/>
    </row>
    <row r="132" spans="2:15" x14ac:dyDescent="0.4">
      <c r="B132" s="32"/>
      <c r="C132" s="33"/>
      <c r="D132" s="33"/>
      <c r="E132" s="33"/>
      <c r="F132" s="33"/>
      <c r="G132" s="33"/>
      <c r="H132" s="33"/>
      <c r="I132" s="33"/>
      <c r="J132" s="33"/>
      <c r="K132" s="33"/>
      <c r="L132" s="33"/>
      <c r="M132" s="33"/>
      <c r="N132" s="33"/>
      <c r="O132" s="33"/>
    </row>
    <row r="133" spans="2:15" x14ac:dyDescent="0.4">
      <c r="B133" s="32"/>
      <c r="C133" s="33"/>
      <c r="D133" s="33"/>
      <c r="E133" s="33"/>
      <c r="F133" s="33"/>
      <c r="G133" s="33"/>
      <c r="H133" s="33"/>
      <c r="I133" s="33"/>
      <c r="J133" s="33"/>
      <c r="K133" s="33"/>
      <c r="L133" s="33"/>
      <c r="M133" s="33"/>
      <c r="N133" s="33"/>
      <c r="O133" s="33"/>
    </row>
    <row r="134" spans="2:15" x14ac:dyDescent="0.4">
      <c r="B134" s="32"/>
      <c r="C134" s="33"/>
      <c r="D134" s="33"/>
      <c r="E134" s="33"/>
      <c r="F134" s="33"/>
      <c r="G134" s="33"/>
      <c r="H134" s="33"/>
      <c r="I134" s="33"/>
      <c r="J134" s="33"/>
      <c r="K134" s="33"/>
      <c r="L134" s="33"/>
      <c r="M134" s="33"/>
      <c r="N134" s="33"/>
      <c r="O134" s="33"/>
    </row>
    <row r="135" spans="2:15" x14ac:dyDescent="0.4">
      <c r="B135" s="32"/>
      <c r="C135" s="33"/>
      <c r="D135" s="33"/>
      <c r="E135" s="33"/>
      <c r="F135" s="33"/>
      <c r="G135" s="33"/>
      <c r="H135" s="33"/>
      <c r="I135" s="33"/>
      <c r="J135" s="33"/>
      <c r="K135" s="33"/>
      <c r="L135" s="33"/>
      <c r="M135" s="33"/>
      <c r="N135" s="33"/>
      <c r="O135" s="33"/>
    </row>
    <row r="136" spans="2:15" x14ac:dyDescent="0.4">
      <c r="B136" s="32"/>
      <c r="C136" s="33"/>
      <c r="D136" s="33"/>
      <c r="E136" s="33"/>
      <c r="F136" s="33"/>
      <c r="G136" s="33"/>
      <c r="H136" s="33"/>
      <c r="I136" s="33"/>
      <c r="J136" s="33"/>
      <c r="K136" s="33"/>
      <c r="L136" s="33"/>
      <c r="M136" s="33"/>
      <c r="N136" s="33"/>
      <c r="O136" s="33"/>
    </row>
    <row r="137" spans="2:15" x14ac:dyDescent="0.4">
      <c r="B137" s="32"/>
      <c r="C137" s="33"/>
      <c r="D137" s="33"/>
      <c r="E137" s="33"/>
      <c r="F137" s="33"/>
      <c r="G137" s="33"/>
      <c r="H137" s="33"/>
      <c r="I137" s="33"/>
      <c r="J137" s="33"/>
      <c r="K137" s="33"/>
      <c r="L137" s="33"/>
      <c r="M137" s="33"/>
      <c r="N137" s="33"/>
      <c r="O137" s="33"/>
    </row>
    <row r="138" spans="2:15" x14ac:dyDescent="0.4">
      <c r="B138" s="32"/>
      <c r="C138" s="33"/>
      <c r="D138" s="33"/>
      <c r="E138" s="33"/>
      <c r="F138" s="33"/>
      <c r="G138" s="33"/>
      <c r="H138" s="33"/>
      <c r="I138" s="33"/>
      <c r="J138" s="33"/>
      <c r="K138" s="33"/>
      <c r="L138" s="33"/>
      <c r="M138" s="33"/>
      <c r="N138" s="33"/>
      <c r="O138" s="33"/>
    </row>
    <row r="139" spans="2:15" x14ac:dyDescent="0.4">
      <c r="B139" s="32"/>
      <c r="C139" s="33"/>
      <c r="D139" s="33"/>
      <c r="E139" s="33"/>
      <c r="F139" s="33"/>
      <c r="G139" s="33"/>
      <c r="H139" s="33"/>
      <c r="I139" s="33"/>
      <c r="J139" s="33"/>
      <c r="K139" s="33"/>
      <c r="L139" s="33"/>
      <c r="M139" s="33"/>
      <c r="N139" s="33"/>
      <c r="O139" s="33"/>
    </row>
    <row r="140" spans="2:15" x14ac:dyDescent="0.4">
      <c r="B140" s="32"/>
      <c r="C140" s="33"/>
      <c r="D140" s="33"/>
      <c r="E140" s="33"/>
      <c r="F140" s="33"/>
      <c r="G140" s="33"/>
      <c r="H140" s="33"/>
      <c r="I140" s="33"/>
      <c r="J140" s="33"/>
      <c r="K140" s="33"/>
      <c r="L140" s="33"/>
      <c r="M140" s="33"/>
      <c r="N140" s="33"/>
      <c r="O140" s="33"/>
    </row>
    <row r="141" spans="2:15" x14ac:dyDescent="0.4">
      <c r="B141" s="32"/>
      <c r="C141" s="33"/>
      <c r="D141" s="33"/>
      <c r="E141" s="33"/>
      <c r="F141" s="33"/>
      <c r="G141" s="33"/>
      <c r="H141" s="33"/>
      <c r="I141" s="33"/>
      <c r="J141" s="33"/>
      <c r="K141" s="33"/>
      <c r="L141" s="33"/>
      <c r="M141" s="33"/>
      <c r="N141" s="33"/>
      <c r="O141" s="33"/>
    </row>
    <row r="142" spans="2:15" x14ac:dyDescent="0.4">
      <c r="B142" s="32"/>
      <c r="C142" s="33"/>
      <c r="D142" s="33"/>
      <c r="E142" s="33"/>
      <c r="F142" s="33"/>
      <c r="G142" s="33"/>
      <c r="H142" s="33"/>
      <c r="I142" s="33"/>
      <c r="J142" s="33"/>
      <c r="K142" s="33"/>
      <c r="L142" s="33"/>
      <c r="M142" s="33"/>
      <c r="N142" s="33"/>
      <c r="O142" s="33"/>
    </row>
    <row r="143" spans="2:15" x14ac:dyDescent="0.4">
      <c r="B143" s="32"/>
      <c r="C143" s="33"/>
      <c r="D143" s="33"/>
      <c r="E143" s="33"/>
      <c r="F143" s="33"/>
      <c r="G143" s="33"/>
      <c r="H143" s="33"/>
      <c r="I143" s="33"/>
      <c r="J143" s="33"/>
      <c r="K143" s="33"/>
      <c r="L143" s="33"/>
      <c r="M143" s="33"/>
      <c r="N143" s="33"/>
      <c r="O143" s="33"/>
    </row>
    <row r="144" spans="2:15" x14ac:dyDescent="0.4">
      <c r="B144" s="32"/>
      <c r="C144" s="33"/>
      <c r="D144" s="33"/>
      <c r="E144" s="33"/>
      <c r="F144" s="33"/>
      <c r="G144" s="33"/>
      <c r="H144" s="33"/>
      <c r="I144" s="33"/>
      <c r="J144" s="33"/>
      <c r="K144" s="33"/>
      <c r="L144" s="33"/>
      <c r="M144" s="33"/>
      <c r="N144" s="33"/>
      <c r="O144" s="33"/>
    </row>
    <row r="145" spans="2:15" x14ac:dyDescent="0.4">
      <c r="B145" s="32"/>
      <c r="C145" s="33"/>
      <c r="D145" s="33"/>
      <c r="E145" s="33"/>
      <c r="F145" s="33"/>
      <c r="G145" s="33"/>
      <c r="H145" s="33"/>
      <c r="I145" s="33"/>
      <c r="J145" s="33"/>
      <c r="K145" s="33"/>
      <c r="L145" s="33"/>
      <c r="M145" s="33"/>
      <c r="N145" s="33"/>
      <c r="O145" s="33"/>
    </row>
  </sheetData>
  <pageMargins left="0.7" right="0.7" top="0.75" bottom="0.75" header="0.3" footer="0.3"/>
  <pageSetup scale="89" fitToHeight="0" orientation="landscape" r:id="rId1"/>
  <headerFooter>
    <oddFooter>&amp;L&amp;G&amp;R&amp;P</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M46"/>
  <sheetViews>
    <sheetView view="pageBreakPreview" zoomScaleNormal="100" zoomScaleSheetLayoutView="100" workbookViewId="0">
      <pane xSplit="1" ySplit="7" topLeftCell="B8" activePane="bottomRight" state="frozen"/>
      <selection pane="topRight"/>
      <selection pane="bottomLeft"/>
      <selection pane="bottomRight"/>
    </sheetView>
  </sheetViews>
  <sheetFormatPr defaultColWidth="9.140625" defaultRowHeight="13.15" x14ac:dyDescent="0.4"/>
  <cols>
    <col min="1" max="1" width="55.5" style="62" customWidth="1"/>
    <col min="2" max="2" width="10.85546875" style="3" customWidth="1"/>
    <col min="3" max="3" width="14.85546875" style="3" customWidth="1"/>
    <col min="4" max="4" width="10.85546875" style="3" customWidth="1"/>
    <col min="5" max="5" width="14.85546875" style="3" customWidth="1"/>
    <col min="6" max="6" width="10.85546875" style="3" customWidth="1"/>
    <col min="7" max="7" width="14.85546875" style="3" customWidth="1"/>
    <col min="8" max="8" width="10.85546875" style="3" customWidth="1"/>
    <col min="9" max="9" width="14.85546875" style="3" customWidth="1"/>
    <col min="10" max="10" width="8.35546875" style="56" bestFit="1" customWidth="1"/>
    <col min="11" max="11" width="9.140625" style="3"/>
    <col min="12" max="12" width="18.5" style="3" bestFit="1" customWidth="1"/>
    <col min="13" max="16384" width="9.140625" style="3"/>
  </cols>
  <sheetData>
    <row r="1" spans="1:13" ht="18" x14ac:dyDescent="0.4">
      <c r="A1" s="55" t="str">
        <f>name</f>
        <v/>
      </c>
    </row>
    <row r="2" spans="1:13" ht="18" x14ac:dyDescent="0.4">
      <c r="A2" s="54" t="s">
        <v>1829</v>
      </c>
    </row>
    <row r="3" spans="1:13" ht="18" x14ac:dyDescent="0.45">
      <c r="A3" s="60" t="s">
        <v>1</v>
      </c>
      <c r="L3" s="6" t="s">
        <v>234</v>
      </c>
      <c r="M3" s="6" t="s">
        <v>881</v>
      </c>
    </row>
    <row r="4" spans="1:13" ht="18" x14ac:dyDescent="0.45">
      <c r="A4" s="60"/>
      <c r="B4" s="102" t="str">
        <f>[1]!IntrinioBankFundamentals(rssd_id,M3,fiscal_period_type,1,"fiscal_period")</f>
        <v/>
      </c>
      <c r="C4" s="102"/>
      <c r="D4" s="102"/>
      <c r="E4" s="102"/>
      <c r="F4" s="102" t="str">
        <f>[1]!IntrinioBankFundamentals(rssd_id,M3,fiscal_period_type,0,"fiscal_period")</f>
        <v/>
      </c>
      <c r="G4" s="102"/>
      <c r="H4" s="102"/>
      <c r="I4" s="102"/>
    </row>
    <row r="5" spans="1:13" ht="18" x14ac:dyDescent="0.4">
      <c r="A5" s="53"/>
      <c r="B5" s="103" t="str">
        <f>[1]!IntrinioBankFundamentals(rssd_id,M3,fiscal_period_type,1,"fiscal_year")</f>
        <v/>
      </c>
      <c r="C5" s="103"/>
      <c r="D5" s="103"/>
      <c r="E5" s="103"/>
      <c r="F5" s="103" t="str">
        <f>[1]!IntrinioBankFundamentals(rssd_id,M3,fiscal_period_type,0,"fiscal_year")</f>
        <v/>
      </c>
      <c r="G5" s="103"/>
      <c r="H5" s="103"/>
      <c r="I5" s="103"/>
    </row>
    <row r="6" spans="1:13" ht="14.25" x14ac:dyDescent="0.4">
      <c r="A6" s="19"/>
      <c r="B6" s="104" t="s">
        <v>197</v>
      </c>
      <c r="C6" s="104"/>
      <c r="D6" s="104" t="s">
        <v>198</v>
      </c>
      <c r="E6" s="104"/>
      <c r="F6" s="104" t="s">
        <v>197</v>
      </c>
      <c r="G6" s="104"/>
      <c r="H6" s="104" t="s">
        <v>198</v>
      </c>
      <c r="I6" s="104"/>
      <c r="J6" s="21"/>
    </row>
    <row r="7" spans="1:13" ht="14.25" x14ac:dyDescent="0.45">
      <c r="A7" s="60"/>
      <c r="B7" s="105" t="s">
        <v>199</v>
      </c>
      <c r="C7" s="105"/>
      <c r="D7" s="105" t="s">
        <v>200</v>
      </c>
      <c r="E7" s="105"/>
      <c r="F7" s="105" t="s">
        <v>199</v>
      </c>
      <c r="G7" s="105"/>
      <c r="H7" s="105" t="s">
        <v>200</v>
      </c>
      <c r="I7" s="105"/>
      <c r="J7" s="57"/>
    </row>
    <row r="8" spans="1:13" ht="14.25" x14ac:dyDescent="0.45">
      <c r="A8" s="60" t="s">
        <v>5</v>
      </c>
      <c r="B8" s="35"/>
      <c r="C8" s="35"/>
      <c r="D8" s="35"/>
      <c r="E8" s="35"/>
      <c r="F8" s="35"/>
      <c r="G8" s="35"/>
      <c r="H8" s="35"/>
      <c r="I8" s="35"/>
      <c r="J8" s="46">
        <v>1</v>
      </c>
    </row>
    <row r="9" spans="1:13" ht="14.25" x14ac:dyDescent="0.45">
      <c r="A9" s="61" t="s">
        <v>201</v>
      </c>
      <c r="B9" s="35"/>
      <c r="C9" s="35"/>
      <c r="D9" s="35"/>
      <c r="E9" s="35"/>
      <c r="F9" s="35"/>
      <c r="G9" s="35"/>
      <c r="H9" s="35"/>
      <c r="I9" s="35"/>
      <c r="J9" s="46" t="s">
        <v>4</v>
      </c>
    </row>
    <row r="10" spans="1:13" ht="14.25" x14ac:dyDescent="0.45">
      <c r="A10" s="61" t="s">
        <v>202</v>
      </c>
      <c r="B10" s="80" t="s">
        <v>974</v>
      </c>
      <c r="C10" s="38" t="str">
        <f>IFERROR([1]!IntrinioBankFinancials(rssd_id,$M$3,$B$5,B$4,$B10,"K"),"")</f>
        <v/>
      </c>
      <c r="D10" s="80" t="s">
        <v>975</v>
      </c>
      <c r="E10" s="38" t="str">
        <f>IFERROR([1]!IntrinioBankFinancials(rssd_id,$M$3,$B$5,B$4,$D10,"K"),"")</f>
        <v/>
      </c>
      <c r="F10" s="80" t="s">
        <v>974</v>
      </c>
      <c r="G10" s="38" t="str">
        <f>IFERROR([1]!IntrinioBankFinancials(rssd_id,$M$3,F$5,F$4,$F10,"K"),"")</f>
        <v/>
      </c>
      <c r="H10" s="80" t="s">
        <v>975</v>
      </c>
      <c r="I10" s="38" t="str">
        <f>IFERROR([1]!IntrinioBankFinancials(rssd_id,$M$3,F$5,F$4,$H10,"K"),"")</f>
        <v/>
      </c>
      <c r="J10" s="46" t="s">
        <v>6</v>
      </c>
    </row>
    <row r="11" spans="1:13" ht="28.5" x14ac:dyDescent="0.45">
      <c r="A11" s="61" t="s">
        <v>203</v>
      </c>
      <c r="B11" s="80" t="s">
        <v>976</v>
      </c>
      <c r="C11" s="38" t="str">
        <f>IFERROR([1]!IntrinioBankFinancials(rssd_id,$M$3,$B$5,B$4,$B11,"K"),"")</f>
        <v/>
      </c>
      <c r="D11" s="80" t="s">
        <v>977</v>
      </c>
      <c r="E11" s="38" t="str">
        <f>IFERROR([1]!IntrinioBankFinancials(rssd_id,$M$3,$B$5,B$4,$D11,"K"),"")</f>
        <v/>
      </c>
      <c r="F11" s="80" t="s">
        <v>976</v>
      </c>
      <c r="G11" s="38" t="str">
        <f>IFERROR([1]!IntrinioBankFinancials(rssd_id,$M$3,F$5,F$4,$F11,"K"),"")</f>
        <v/>
      </c>
      <c r="H11" s="80" t="s">
        <v>977</v>
      </c>
      <c r="I11" s="38" t="str">
        <f>IFERROR([1]!IntrinioBankFinancials(rssd_id,$M$3,F$5,F$4,$H11,"K"),"")</f>
        <v/>
      </c>
      <c r="J11" s="46" t="s">
        <v>12</v>
      </c>
    </row>
    <row r="12" spans="1:13" ht="14.25" x14ac:dyDescent="0.45">
      <c r="A12" s="61" t="s">
        <v>204</v>
      </c>
      <c r="B12" s="80" t="s">
        <v>978</v>
      </c>
      <c r="C12" s="38" t="str">
        <f>IFERROR([1]!IntrinioBankFinancials(rssd_id,$M$3,$B$5,B$4,$B12,"K"),"")</f>
        <v/>
      </c>
      <c r="D12" s="80" t="s">
        <v>979</v>
      </c>
      <c r="E12" s="38" t="str">
        <f>IFERROR([1]!IntrinioBankFinancials(rssd_id,$M$3,$B$5,B$4,$D12,"K"),"")</f>
        <v/>
      </c>
      <c r="F12" s="80" t="s">
        <v>978</v>
      </c>
      <c r="G12" s="38" t="str">
        <f>IFERROR([1]!IntrinioBankFinancials(rssd_id,$M$3,F$5,F$4,$F12,"K"),"")</f>
        <v/>
      </c>
      <c r="H12" s="80" t="s">
        <v>979</v>
      </c>
      <c r="I12" s="38" t="str">
        <f>IFERROR([1]!IntrinioBankFinancials(rssd_id,$M$3,F$5,F$4,$H12,"K"),"")</f>
        <v/>
      </c>
      <c r="J12" s="46" t="s">
        <v>15</v>
      </c>
    </row>
    <row r="13" spans="1:13" ht="14.25" x14ac:dyDescent="0.45">
      <c r="A13" s="61" t="s">
        <v>205</v>
      </c>
      <c r="B13" s="81"/>
      <c r="C13" s="35"/>
      <c r="D13" s="81"/>
      <c r="E13" s="35"/>
      <c r="F13" s="81"/>
      <c r="G13" s="35"/>
      <c r="H13" s="81"/>
      <c r="I13" s="35"/>
      <c r="J13" s="46" t="s">
        <v>17</v>
      </c>
    </row>
    <row r="14" spans="1:13" ht="28.5" x14ac:dyDescent="0.45">
      <c r="A14" s="61" t="s">
        <v>235</v>
      </c>
      <c r="B14" s="80" t="s">
        <v>980</v>
      </c>
      <c r="C14" s="38" t="str">
        <f>IFERROR([1]!IntrinioBankFinancials(rssd_id,$M$3,$B$5,B$4,$B14,"K"),"")</f>
        <v/>
      </c>
      <c r="D14" s="80" t="s">
        <v>981</v>
      </c>
      <c r="E14" s="38" t="str">
        <f>IFERROR([1]!IntrinioBankFinancials(rssd_id,$M$3,$B$5,B$4,$D14,"K"),"")</f>
        <v/>
      </c>
      <c r="F14" s="80" t="s">
        <v>980</v>
      </c>
      <c r="G14" s="38" t="str">
        <f>IFERROR([1]!IntrinioBankFinancials(rssd_id,$M$3,F$5,F$4,$F14,"K"),"")</f>
        <v/>
      </c>
      <c r="H14" s="80" t="s">
        <v>981</v>
      </c>
      <c r="I14" s="38" t="str">
        <f>IFERROR([1]!IntrinioBankFinancials(rssd_id,$M$3,F$5,F$4,$H14,"K"),"")</f>
        <v/>
      </c>
      <c r="J14" s="46" t="s">
        <v>206</v>
      </c>
    </row>
    <row r="15" spans="1:13" ht="14.25" x14ac:dyDescent="0.45">
      <c r="A15" s="61" t="s">
        <v>207</v>
      </c>
      <c r="B15" s="81"/>
      <c r="C15" s="35"/>
      <c r="D15" s="81"/>
      <c r="E15" s="35"/>
      <c r="F15" s="81"/>
      <c r="G15" s="35"/>
      <c r="H15" s="81"/>
      <c r="I15" s="35"/>
      <c r="J15" s="46" t="s">
        <v>208</v>
      </c>
    </row>
    <row r="16" spans="1:13" ht="14.25" x14ac:dyDescent="0.45">
      <c r="A16" s="61" t="s">
        <v>209</v>
      </c>
      <c r="B16" s="80" t="s">
        <v>982</v>
      </c>
      <c r="C16" s="38" t="str">
        <f>IFERROR([1]!IntrinioBankFinancials(rssd_id,$M$3,$B$5,B$4,$B16,"K"),"")</f>
        <v/>
      </c>
      <c r="D16" s="80" t="s">
        <v>983</v>
      </c>
      <c r="E16" s="38" t="str">
        <f>IFERROR([1]!IntrinioBankFinancials(rssd_id,$M$3,$B$5,B$4,$D16,"K"),"")</f>
        <v/>
      </c>
      <c r="F16" s="80" t="s">
        <v>982</v>
      </c>
      <c r="G16" s="38" t="str">
        <f>IFERROR([1]!IntrinioBankFinancials(rssd_id,$M$3,F$5,F$4,$F16,"K"),"")</f>
        <v/>
      </c>
      <c r="H16" s="80" t="s">
        <v>983</v>
      </c>
      <c r="I16" s="38" t="str">
        <f>IFERROR([1]!IntrinioBankFinancials(rssd_id,$M$3,F$5,F$4,$H16,"K"),"")</f>
        <v/>
      </c>
      <c r="J16" s="46" t="s">
        <v>210</v>
      </c>
    </row>
    <row r="17" spans="1:10" ht="14.25" x14ac:dyDescent="0.45">
      <c r="A17" s="61" t="s">
        <v>211</v>
      </c>
      <c r="B17" s="80" t="s">
        <v>984</v>
      </c>
      <c r="C17" s="38" t="str">
        <f>IFERROR([1]!IntrinioBankFinancials(rssd_id,$M$3,$B$5,B$4,$B17,"K"),"")</f>
        <v/>
      </c>
      <c r="D17" s="80" t="s">
        <v>985</v>
      </c>
      <c r="E17" s="38" t="str">
        <f>IFERROR([1]!IntrinioBankFinancials(rssd_id,$M$3,$B$5,B$4,$D17,"K"),"")</f>
        <v/>
      </c>
      <c r="F17" s="80" t="s">
        <v>984</v>
      </c>
      <c r="G17" s="38" t="str">
        <f>IFERROR([1]!IntrinioBankFinancials(rssd_id,$M$3,F$5,F$4,$F17,"K"),"")</f>
        <v/>
      </c>
      <c r="H17" s="80" t="s">
        <v>985</v>
      </c>
      <c r="I17" s="38" t="str">
        <f>IFERROR([1]!IntrinioBankFinancials(rssd_id,$M$3,F$5,F$4,$H17,"K"),"")</f>
        <v/>
      </c>
      <c r="J17" s="46" t="s">
        <v>212</v>
      </c>
    </row>
    <row r="18" spans="1:10" ht="14.25" x14ac:dyDescent="0.45">
      <c r="A18" s="61" t="s">
        <v>213</v>
      </c>
      <c r="B18" s="80" t="s">
        <v>986</v>
      </c>
      <c r="C18" s="38" t="str">
        <f>IFERROR([1]!IntrinioBankFinancials(rssd_id,$M$3,$B$5,B$4,$B18,"K"),"")</f>
        <v/>
      </c>
      <c r="D18" s="80" t="s">
        <v>987</v>
      </c>
      <c r="E18" s="38" t="str">
        <f>IFERROR([1]!IntrinioBankFinancials(rssd_id,$M$3,$B$5,B$4,$D18,"K"),"")</f>
        <v/>
      </c>
      <c r="F18" s="80" t="s">
        <v>986</v>
      </c>
      <c r="G18" s="38" t="str">
        <f>IFERROR([1]!IntrinioBankFinancials(rssd_id,$M$3,F$5,F$4,$F18,"K"),"")</f>
        <v/>
      </c>
      <c r="H18" s="80" t="s">
        <v>987</v>
      </c>
      <c r="I18" s="38" t="str">
        <f>IFERROR([1]!IntrinioBankFinancials(rssd_id,$M$3,F$5,F$4,$H18,"K"),"")</f>
        <v/>
      </c>
      <c r="J18" s="46" t="s">
        <v>19</v>
      </c>
    </row>
    <row r="19" spans="1:10" ht="14.25" x14ac:dyDescent="0.45">
      <c r="A19" s="61" t="s">
        <v>214</v>
      </c>
      <c r="B19" s="81"/>
      <c r="C19" s="35"/>
      <c r="D19" s="81"/>
      <c r="E19" s="35"/>
      <c r="F19" s="81"/>
      <c r="G19" s="35"/>
      <c r="H19" s="81"/>
      <c r="I19" s="35"/>
      <c r="J19" s="46" t="s">
        <v>27</v>
      </c>
    </row>
    <row r="20" spans="1:10" ht="28.5" x14ac:dyDescent="0.45">
      <c r="A20" s="61" t="s">
        <v>215</v>
      </c>
      <c r="B20" s="80" t="s">
        <v>988</v>
      </c>
      <c r="C20" s="38" t="str">
        <f>IFERROR([1]!IntrinioBankFinancials(rssd_id,$M$3,$B$5,B$4,$B20,"K"),"")</f>
        <v/>
      </c>
      <c r="D20" s="80" t="s">
        <v>989</v>
      </c>
      <c r="E20" s="38" t="str">
        <f>IFERROR([1]!IntrinioBankFinancials(rssd_id,$M$3,$B$5,B$4,$D20,"K"),"")</f>
        <v/>
      </c>
      <c r="F20" s="80" t="s">
        <v>988</v>
      </c>
      <c r="G20" s="38" t="str">
        <f>IFERROR([1]!IntrinioBankFinancials(rssd_id,$M$3,F$5,F$4,$F20,"K"),"")</f>
        <v/>
      </c>
      <c r="H20" s="80" t="s">
        <v>989</v>
      </c>
      <c r="I20" s="38" t="str">
        <f>IFERROR([1]!IntrinioBankFinancials(rssd_id,$M$3,F$5,F$4,$H20,"K"),"")</f>
        <v/>
      </c>
      <c r="J20" s="46" t="s">
        <v>216</v>
      </c>
    </row>
    <row r="21" spans="1:10" ht="14.25" x14ac:dyDescent="0.45">
      <c r="A21" s="61" t="s">
        <v>217</v>
      </c>
      <c r="B21" s="80" t="s">
        <v>990</v>
      </c>
      <c r="C21" s="38" t="str">
        <f>IFERROR([1]!IntrinioBankFinancials(rssd_id,$M$3,$B$5,B$4,$B21,"K"),"")</f>
        <v/>
      </c>
      <c r="D21" s="80" t="s">
        <v>991</v>
      </c>
      <c r="E21" s="38" t="str">
        <f>IFERROR([1]!IntrinioBankFinancials(rssd_id,$M$3,$B$5,B$4,$D21,"K"),"")</f>
        <v/>
      </c>
      <c r="F21" s="80" t="s">
        <v>990</v>
      </c>
      <c r="G21" s="38" t="str">
        <f>IFERROR([1]!IntrinioBankFinancials(rssd_id,$M$3,F$5,F$4,$F21,"K"),"")</f>
        <v/>
      </c>
      <c r="H21" s="80" t="s">
        <v>991</v>
      </c>
      <c r="I21" s="38" t="str">
        <f>IFERROR([1]!IntrinioBankFinancials(rssd_id,$M$3,F$5,F$4,$H21,"K"),"")</f>
        <v/>
      </c>
      <c r="J21" s="46" t="s">
        <v>218</v>
      </c>
    </row>
    <row r="22" spans="1:10" ht="28.5" x14ac:dyDescent="0.45">
      <c r="A22" s="60" t="s">
        <v>219</v>
      </c>
      <c r="B22" s="80" t="s">
        <v>992</v>
      </c>
      <c r="C22" s="38" t="str">
        <f>IFERROR([1]!IntrinioBankFinancials(rssd_id,$M$3,$B$5,B$4,$B22,"K"),"")</f>
        <v/>
      </c>
      <c r="D22" s="80" t="s">
        <v>993</v>
      </c>
      <c r="E22" s="38" t="str">
        <f>IFERROR([1]!IntrinioBankFinancials(rssd_id,$M$3,$B$5,B$4,$D22,"K"),"")</f>
        <v/>
      </c>
      <c r="F22" s="80" t="s">
        <v>992</v>
      </c>
      <c r="G22" s="38" t="str">
        <f>IFERROR([1]!IntrinioBankFinancials(rssd_id,$M$3,F$5,F$4,$F22,"K"),"")</f>
        <v/>
      </c>
      <c r="H22" s="80" t="s">
        <v>993</v>
      </c>
      <c r="I22" s="38" t="str">
        <f>IFERROR([1]!IntrinioBankFinancials(rssd_id,$M$3,F$5,F$4,$H22,"K"),"")</f>
        <v/>
      </c>
      <c r="J22" s="46">
        <v>2</v>
      </c>
    </row>
    <row r="23" spans="1:10" ht="28.5" x14ac:dyDescent="0.45">
      <c r="A23" s="60" t="s">
        <v>483</v>
      </c>
      <c r="B23" s="80" t="s">
        <v>994</v>
      </c>
      <c r="C23" s="38" t="str">
        <f>IFERROR([1]!IntrinioBankFinancials(rssd_id,$M$3,$B$5,B$4,$B23,"K"),"")</f>
        <v/>
      </c>
      <c r="D23" s="80" t="s">
        <v>995</v>
      </c>
      <c r="E23" s="38" t="str">
        <f>IFERROR([1]!IntrinioBankFinancials(rssd_id,$M$3,$B$5,B$4,$D23,"K"),"")</f>
        <v/>
      </c>
      <c r="F23" s="80" t="s">
        <v>994</v>
      </c>
      <c r="G23" s="38" t="str">
        <f>IFERROR([1]!IntrinioBankFinancials(rssd_id,$M$3,F$5,F$4,$F23,"K"),"")</f>
        <v/>
      </c>
      <c r="H23" s="80" t="s">
        <v>995</v>
      </c>
      <c r="I23" s="38" t="str">
        <f>IFERROR([1]!IntrinioBankFinancials(rssd_id,$M$3,F$5,F$4,$H23,"K"),"")</f>
        <v/>
      </c>
      <c r="J23" s="46">
        <v>3</v>
      </c>
    </row>
    <row r="24" spans="1:10" ht="14.25" x14ac:dyDescent="0.45">
      <c r="A24" s="60" t="s">
        <v>220</v>
      </c>
      <c r="B24" s="81"/>
      <c r="C24" s="35"/>
      <c r="D24" s="81"/>
      <c r="E24" s="35"/>
      <c r="F24" s="81"/>
      <c r="G24" s="81"/>
      <c r="H24" s="81"/>
      <c r="I24" s="81"/>
      <c r="J24" s="46">
        <v>4</v>
      </c>
    </row>
    <row r="25" spans="1:10" ht="14.25" x14ac:dyDescent="0.45">
      <c r="A25" s="60" t="s">
        <v>476</v>
      </c>
      <c r="B25" s="80" t="s">
        <v>996</v>
      </c>
      <c r="C25" s="38" t="str">
        <f>IFERROR([1]!IntrinioBankFinancials(rssd_id,$M$3,$B$5,B$4,$B25,"K"),"")</f>
        <v/>
      </c>
      <c r="D25" s="80" t="s">
        <v>997</v>
      </c>
      <c r="E25" s="38" t="str">
        <f>IFERROR([1]!IntrinioBankFinancials(rssd_id,$M$3,$B$5,B$4,$D25,"K"),"")</f>
        <v/>
      </c>
      <c r="F25" s="80" t="s">
        <v>996</v>
      </c>
      <c r="G25" s="38" t="str">
        <f>IFERROR([1]!IntrinioBankFinancials(rssd_id,$M$3,F$5,F$4,$F25,"K"),"")</f>
        <v/>
      </c>
      <c r="H25" s="80" t="s">
        <v>997</v>
      </c>
      <c r="I25" s="38" t="str">
        <f>IFERROR([1]!IntrinioBankFinancials(rssd_id,$M$3,F$5,F$4,$H25,"K"),"")</f>
        <v/>
      </c>
      <c r="J25" s="46"/>
    </row>
    <row r="26" spans="1:10" ht="14.25" x14ac:dyDescent="0.45">
      <c r="A26" s="60" t="s">
        <v>477</v>
      </c>
      <c r="B26" s="80" t="s">
        <v>998</v>
      </c>
      <c r="C26" s="38" t="str">
        <f>IFERROR([1]!IntrinioBankFinancials(rssd_id,$M$3,$B$5,B$4,$B26,"K"),"")</f>
        <v/>
      </c>
      <c r="D26" s="80" t="s">
        <v>999</v>
      </c>
      <c r="E26" s="38" t="str">
        <f>IFERROR([1]!IntrinioBankFinancials(rssd_id,$M$3,$B$5,B$4,$D26,"K"),"")</f>
        <v/>
      </c>
      <c r="F26" s="80" t="s">
        <v>998</v>
      </c>
      <c r="G26" s="38" t="str">
        <f>IFERROR([1]!IntrinioBankFinancials(rssd_id,$M$3,F$5,F$4,$F26,"K"),"")</f>
        <v/>
      </c>
      <c r="H26" s="80" t="s">
        <v>999</v>
      </c>
      <c r="I26" s="38" t="str">
        <f>IFERROR([1]!IntrinioBankFinancials(rssd_id,$M$3,F$5,F$4,$H26,"K"),"")</f>
        <v/>
      </c>
      <c r="J26" s="46"/>
    </row>
    <row r="27" spans="1:10" ht="28.5" x14ac:dyDescent="0.45">
      <c r="A27" s="60" t="s">
        <v>221</v>
      </c>
      <c r="B27" s="81"/>
      <c r="C27" s="35"/>
      <c r="D27" s="81"/>
      <c r="E27" s="35"/>
      <c r="F27" s="81"/>
      <c r="G27" s="35"/>
      <c r="H27" s="81"/>
      <c r="I27" s="35"/>
      <c r="J27" s="46">
        <v>5</v>
      </c>
    </row>
    <row r="28" spans="1:10" ht="14.25" x14ac:dyDescent="0.45">
      <c r="A28" s="61" t="s">
        <v>13</v>
      </c>
      <c r="B28" s="80" t="s">
        <v>1000</v>
      </c>
      <c r="C28" s="38" t="str">
        <f>IFERROR([1]!IntrinioBankFinancials(rssd_id,$M$3,$B$5,B$4,$B28,"K"),"")</f>
        <v/>
      </c>
      <c r="D28" s="80" t="s">
        <v>1001</v>
      </c>
      <c r="E28" s="38" t="str">
        <f>IFERROR([1]!IntrinioBankFinancials(rssd_id,$M$3,$B$5,B$4,$D28,"K"),"")</f>
        <v/>
      </c>
      <c r="F28" s="80" t="s">
        <v>1000</v>
      </c>
      <c r="G28" s="38" t="str">
        <f>IFERROR([1]!IntrinioBankFinancials(rssd_id,$M$3,F$5,F$4,$F28,"K"),"")</f>
        <v/>
      </c>
      <c r="H28" s="80" t="s">
        <v>1001</v>
      </c>
      <c r="I28" s="38" t="str">
        <f>IFERROR([1]!IntrinioBankFinancials(rssd_id,$M$3,F$5,F$4,$H28,"K"),"")</f>
        <v/>
      </c>
      <c r="J28" s="46" t="s">
        <v>58</v>
      </c>
    </row>
    <row r="29" spans="1:10" ht="14.25" x14ac:dyDescent="0.45">
      <c r="A29" s="61" t="s">
        <v>222</v>
      </c>
      <c r="B29" s="80" t="s">
        <v>1002</v>
      </c>
      <c r="C29" s="38" t="str">
        <f>IFERROR([1]!IntrinioBankFinancials(rssd_id,$M$3,$B$5,B$4,$B29,"K"),"")</f>
        <v/>
      </c>
      <c r="D29" s="80" t="s">
        <v>1003</v>
      </c>
      <c r="E29" s="38" t="str">
        <f>IFERROR([1]!IntrinioBankFinancials(rssd_id,$M$3,$B$5,B$4,$D29,"K"),"")</f>
        <v/>
      </c>
      <c r="F29" s="80" t="s">
        <v>1002</v>
      </c>
      <c r="G29" s="38" t="str">
        <f>IFERROR([1]!IntrinioBankFinancials(rssd_id,$M$3,F$5,F$4,$F29,"K"),"")</f>
        <v/>
      </c>
      <c r="H29" s="80" t="s">
        <v>1003</v>
      </c>
      <c r="I29" s="38" t="str">
        <f>IFERROR([1]!IntrinioBankFinancials(rssd_id,$M$3,F$5,F$4,$H29,"K"),"")</f>
        <v/>
      </c>
      <c r="J29" s="46" t="s">
        <v>60</v>
      </c>
    </row>
    <row r="30" spans="1:10" ht="28.5" x14ac:dyDescent="0.45">
      <c r="A30" s="61" t="s">
        <v>236</v>
      </c>
      <c r="B30" s="80" t="s">
        <v>1004</v>
      </c>
      <c r="C30" s="38" t="str">
        <f>IFERROR([1]!IntrinioBankFinancials(rssd_id,$M$3,$B$5,B$4,$B30,"K"),"")</f>
        <v/>
      </c>
      <c r="D30" s="80" t="s">
        <v>1005</v>
      </c>
      <c r="E30" s="38" t="str">
        <f>IFERROR([1]!IntrinioBankFinancials(rssd_id,$M$3,$B$5,B$4,$D30,"K"),"")</f>
        <v/>
      </c>
      <c r="F30" s="80" t="s">
        <v>1004</v>
      </c>
      <c r="G30" s="38" t="str">
        <f>IFERROR([1]!IntrinioBankFinancials(rssd_id,$M$3,F$5,F$4,$F30,"K"),"")</f>
        <v/>
      </c>
      <c r="H30" s="80" t="s">
        <v>1005</v>
      </c>
      <c r="I30" s="38" t="str">
        <f>IFERROR([1]!IntrinioBankFinancials(rssd_id,$M$3,F$5,F$4,$H30,"K"),"")</f>
        <v/>
      </c>
      <c r="J30" s="46" t="s">
        <v>62</v>
      </c>
    </row>
    <row r="31" spans="1:10" ht="14.25" x14ac:dyDescent="0.45">
      <c r="A31" s="60" t="s">
        <v>223</v>
      </c>
      <c r="B31" s="80" t="s">
        <v>1006</v>
      </c>
      <c r="C31" s="38" t="str">
        <f>IFERROR([1]!IntrinioBankFinancials(rssd_id,$M$3,$B$5,B$4,$B31,"K"),"")</f>
        <v/>
      </c>
      <c r="D31" s="80" t="s">
        <v>1007</v>
      </c>
      <c r="E31" s="38" t="str">
        <f>IFERROR([1]!IntrinioBankFinancials(rssd_id,$M$3,$B$5,B$4,$D31,"K"),"")</f>
        <v/>
      </c>
      <c r="F31" s="80" t="s">
        <v>1006</v>
      </c>
      <c r="G31" s="38" t="str">
        <f>IFERROR([1]!IntrinioBankFinancials(rssd_id,$M$3,F$5,F$4,$F31,"K"),"")</f>
        <v/>
      </c>
      <c r="H31" s="80" t="s">
        <v>1007</v>
      </c>
      <c r="I31" s="38" t="str">
        <f>IFERROR([1]!IntrinioBankFinancials(rssd_id,$M$3,F$5,F$4,$H31,"K"),"")</f>
        <v/>
      </c>
      <c r="J31" s="46">
        <v>6</v>
      </c>
    </row>
    <row r="32" spans="1:10" ht="14.25" x14ac:dyDescent="0.45">
      <c r="A32" s="60" t="s">
        <v>224</v>
      </c>
      <c r="B32" s="80" t="s">
        <v>1008</v>
      </c>
      <c r="C32" s="38" t="str">
        <f>IFERROR([1]!IntrinioBankFinancials(rssd_id,$M$3,$B$5,B$4,$B32,"K"),"")</f>
        <v/>
      </c>
      <c r="D32" s="80" t="s">
        <v>1009</v>
      </c>
      <c r="E32" s="38" t="str">
        <f>IFERROR([1]!IntrinioBankFinancials(rssd_id,$M$3,$B$5,B$4,$D32,"K"),"")</f>
        <v/>
      </c>
      <c r="F32" s="80" t="s">
        <v>1008</v>
      </c>
      <c r="G32" s="38" t="str">
        <f>IFERROR([1]!IntrinioBankFinancials(rssd_id,$M$3,F$5,F$4,$F32,"K"),"")</f>
        <v/>
      </c>
      <c r="H32" s="80" t="s">
        <v>1009</v>
      </c>
      <c r="I32" s="38" t="str">
        <f>IFERROR([1]!IntrinioBankFinancials(rssd_id,$M$3,F$5,F$4,$H32,"K"),"")</f>
        <v/>
      </c>
      <c r="J32" s="46">
        <v>7</v>
      </c>
    </row>
    <row r="33" spans="1:10" ht="14.25" x14ac:dyDescent="0.45">
      <c r="A33" s="60" t="s">
        <v>225</v>
      </c>
      <c r="B33" s="80" t="s">
        <v>1010</v>
      </c>
      <c r="C33" s="38" t="str">
        <f>IFERROR([1]!IntrinioBankFinancials(rssd_id,$M$3,$B$5,B$4,$B33,"K"),"")</f>
        <v/>
      </c>
      <c r="D33" s="80" t="s">
        <v>1011</v>
      </c>
      <c r="E33" s="38" t="str">
        <f>IFERROR([1]!IntrinioBankFinancials(rssd_id,$M$3,$B$5,B$4,$D33,"K"),"")</f>
        <v/>
      </c>
      <c r="F33" s="80" t="s">
        <v>1010</v>
      </c>
      <c r="G33" s="38" t="str">
        <f>IFERROR([1]!IntrinioBankFinancials(rssd_id,$M$3,F$5,F$4,$F33,"K"),"")</f>
        <v/>
      </c>
      <c r="H33" s="80" t="s">
        <v>1011</v>
      </c>
      <c r="I33" s="38" t="str">
        <f>IFERROR([1]!IntrinioBankFinancials(rssd_id,$M$3,F$5,F$4,$H33,"K"),"")</f>
        <v/>
      </c>
      <c r="J33" s="46">
        <v>8</v>
      </c>
    </row>
    <row r="34" spans="1:10" ht="28.5" x14ac:dyDescent="0.45">
      <c r="A34" s="60" t="s">
        <v>804</v>
      </c>
      <c r="B34" s="80" t="s">
        <v>1012</v>
      </c>
      <c r="C34" s="38" t="str">
        <f>IFERROR([1]!IntrinioBankFinancials(rssd_id,$M$3,$B$5,B$4,$B34,"K"),"")</f>
        <v/>
      </c>
      <c r="D34" s="80" t="s">
        <v>1013</v>
      </c>
      <c r="E34" s="38" t="str">
        <f>IFERROR([1]!IntrinioBankFinancials(rssd_id,$M$3,$B$5,B$4,$D34,"K"),"")</f>
        <v/>
      </c>
      <c r="F34" s="80" t="s">
        <v>1012</v>
      </c>
      <c r="G34" s="38" t="str">
        <f>IFERROR([1]!IntrinioBankFinancials(rssd_id,$M$3,F$5,F$4,$F34,"K"),"")</f>
        <v/>
      </c>
      <c r="H34" s="80" t="s">
        <v>1013</v>
      </c>
      <c r="I34" s="38" t="str">
        <f>IFERROR([1]!IntrinioBankFinancials(rssd_id,$M$3,F$5,F$4,$H34,"K"),"")</f>
        <v/>
      </c>
      <c r="J34" s="46" t="s">
        <v>519</v>
      </c>
    </row>
    <row r="35" spans="1:10" ht="14.25" x14ac:dyDescent="0.45">
      <c r="A35" s="60" t="s">
        <v>481</v>
      </c>
      <c r="B35" s="80" t="s">
        <v>1014</v>
      </c>
      <c r="C35" s="38" t="str">
        <f>IFERROR([1]!IntrinioBankFinancials(rssd_id,$M$3,$B$5,B$4,$B35,"K"),"")</f>
        <v/>
      </c>
      <c r="D35" s="80" t="s">
        <v>1015</v>
      </c>
      <c r="E35" s="38" t="str">
        <f>IFERROR([1]!IntrinioBankFinancials(rssd_id,$M$3,$B$5,B$4,$D35,"K"),"")</f>
        <v/>
      </c>
      <c r="F35" s="80" t="s">
        <v>1014</v>
      </c>
      <c r="G35" s="38" t="str">
        <f>IFERROR([1]!IntrinioBankFinancials(rssd_id,$M$3,F$5,F$4,$F35,"K"),"")</f>
        <v/>
      </c>
      <c r="H35" s="80" t="s">
        <v>1015</v>
      </c>
      <c r="I35" s="38" t="str">
        <f>IFERROR([1]!IntrinioBankFinancials(rssd_id,$M$3,F$5,F$4,$H35,"K"),"")</f>
        <v/>
      </c>
      <c r="J35" s="46" t="s">
        <v>520</v>
      </c>
    </row>
    <row r="36" spans="1:10" ht="14.25" x14ac:dyDescent="0.45">
      <c r="A36" s="60" t="s">
        <v>237</v>
      </c>
      <c r="B36" s="80" t="s">
        <v>1016</v>
      </c>
      <c r="C36" s="38" t="str">
        <f>IFERROR([1]!IntrinioBankFinancials(rssd_id,$M$3,$B$5,B$4,$B36,"K"),"")</f>
        <v/>
      </c>
      <c r="D36" s="80" t="s">
        <v>1017</v>
      </c>
      <c r="E36" s="38" t="str">
        <f>IFERROR([1]!IntrinioBankFinancials(rssd_id,$M$3,$B$5,B$4,$D36,"K"),"")</f>
        <v/>
      </c>
      <c r="F36" s="80" t="s">
        <v>1016</v>
      </c>
      <c r="G36" s="38" t="str">
        <f>IFERROR([1]!IntrinioBankFinancials(rssd_id,$M$3,F$5,F$4,$F36,"K"),"")</f>
        <v/>
      </c>
      <c r="H36" s="80" t="s">
        <v>1017</v>
      </c>
      <c r="I36" s="38" t="str">
        <f>IFERROR([1]!IntrinioBankFinancials(rssd_id,$M$3,F$5,F$4,$H36,"K"),"")</f>
        <v/>
      </c>
      <c r="J36" s="46">
        <v>9</v>
      </c>
    </row>
    <row r="37" spans="1:10" ht="14.25" x14ac:dyDescent="0.4">
      <c r="A37" s="19"/>
      <c r="B37" s="81"/>
      <c r="C37" s="35"/>
      <c r="D37" s="81"/>
      <c r="E37" s="35"/>
      <c r="F37" s="81"/>
      <c r="G37" s="35"/>
      <c r="H37" s="81"/>
      <c r="I37" s="35"/>
      <c r="J37" s="46"/>
    </row>
    <row r="38" spans="1:10" ht="18" x14ac:dyDescent="0.4">
      <c r="A38" s="11" t="s">
        <v>111</v>
      </c>
      <c r="B38" s="81"/>
      <c r="C38" s="35"/>
      <c r="D38" s="81"/>
      <c r="E38" s="35"/>
      <c r="F38" s="81"/>
      <c r="G38" s="35"/>
      <c r="H38" s="81"/>
      <c r="I38" s="35"/>
      <c r="J38" s="46"/>
    </row>
    <row r="39" spans="1:10" ht="42.75" x14ac:dyDescent="0.45">
      <c r="A39" s="60" t="s">
        <v>1861</v>
      </c>
      <c r="B39" s="80" t="s">
        <v>1018</v>
      </c>
      <c r="C39" s="38" t="str">
        <f>IFERROR([1]!IntrinioBankFinancials(rssd_id,$M$3,$B$5,B$4,$B39,"K"),"")</f>
        <v/>
      </c>
      <c r="D39" s="80" t="s">
        <v>1019</v>
      </c>
      <c r="E39" s="38" t="str">
        <f>IFERROR([1]!IntrinioBankFinancials(rssd_id,$M$3,$B$5,B$4,$D39,"K"),"")</f>
        <v/>
      </c>
      <c r="F39" s="80" t="s">
        <v>1018</v>
      </c>
      <c r="G39" s="38" t="str">
        <f>IFERROR([1]!IntrinioBankFinancials(rssd_id,$M$3,F$5,F$4,$F39,"K"),"")</f>
        <v/>
      </c>
      <c r="H39" s="80" t="s">
        <v>1019</v>
      </c>
      <c r="I39" s="38" t="str">
        <f>IFERROR([1]!IntrinioBankFinancials(rssd_id,$M$3,F$5,F$4,$H39,"K"),"")</f>
        <v/>
      </c>
      <c r="J39" s="46" t="s">
        <v>112</v>
      </c>
    </row>
    <row r="40" spans="1:10" ht="14.25" x14ac:dyDescent="0.45">
      <c r="A40" s="60" t="s">
        <v>226</v>
      </c>
      <c r="B40" s="81"/>
      <c r="C40" s="35"/>
      <c r="D40" s="81"/>
      <c r="E40" s="35"/>
      <c r="F40" s="81"/>
      <c r="G40" s="35"/>
      <c r="H40" s="81"/>
      <c r="I40" s="35"/>
      <c r="J40" s="46" t="s">
        <v>113</v>
      </c>
    </row>
    <row r="41" spans="1:10" ht="28.5" x14ac:dyDescent="0.45">
      <c r="A41" s="98" t="s">
        <v>1862</v>
      </c>
      <c r="B41" s="80" t="s">
        <v>1020</v>
      </c>
      <c r="C41" s="38" t="str">
        <f>IFERROR([1]!IntrinioBankFinancials(rssd_id,$M$3,$B$5,B$4,$B41,"K"),"")</f>
        <v/>
      </c>
      <c r="D41" s="80" t="s">
        <v>1021</v>
      </c>
      <c r="E41" s="38" t="str">
        <f>IFERROR([1]!IntrinioBankFinancials(rssd_id,$M$3,$B$5,B$4,$D41,"K"),"")</f>
        <v/>
      </c>
      <c r="F41" s="80" t="s">
        <v>1020</v>
      </c>
      <c r="G41" s="38" t="str">
        <f>IFERROR([1]!IntrinioBankFinancials(rssd_id,$M$3,F$5,F$4,$F41,"K"),"")</f>
        <v/>
      </c>
      <c r="H41" s="80" t="s">
        <v>1021</v>
      </c>
      <c r="I41" s="38" t="str">
        <f>IFERROR([1]!IntrinioBankFinancials(rssd_id,$M$3,F$5,F$4,$H41,"K"),"")</f>
        <v/>
      </c>
      <c r="J41" s="46" t="s">
        <v>227</v>
      </c>
    </row>
    <row r="42" spans="1:10" ht="28.5" x14ac:dyDescent="0.45">
      <c r="A42" s="98" t="s">
        <v>1863</v>
      </c>
      <c r="B42" s="80" t="s">
        <v>1022</v>
      </c>
      <c r="C42" s="38" t="str">
        <f>IFERROR([1]!IntrinioBankFinancials(rssd_id,$M$3,$B$5,B$4,$B42,"K"),"")</f>
        <v/>
      </c>
      <c r="D42" s="80" t="s">
        <v>1023</v>
      </c>
      <c r="E42" s="38" t="str">
        <f>IFERROR([1]!IntrinioBankFinancials(rssd_id,$M$3,$B$5,B$4,$D42,"K"),"")</f>
        <v/>
      </c>
      <c r="F42" s="80" t="s">
        <v>1022</v>
      </c>
      <c r="G42" s="38" t="str">
        <f>IFERROR([1]!IntrinioBankFinancials(rssd_id,$M$3,F$5,F$4,$F42,"K"),"")</f>
        <v/>
      </c>
      <c r="H42" s="80" t="s">
        <v>1023</v>
      </c>
      <c r="I42" s="38" t="str">
        <f>IFERROR([1]!IntrinioBankFinancials(rssd_id,$M$3,F$5,F$4,$H42,"K"),"")</f>
        <v/>
      </c>
      <c r="J42" s="46" t="s">
        <v>228</v>
      </c>
    </row>
    <row r="43" spans="1:10" ht="28.5" x14ac:dyDescent="0.45">
      <c r="A43" s="98" t="s">
        <v>1864</v>
      </c>
      <c r="B43" s="80" t="s">
        <v>998</v>
      </c>
      <c r="C43" s="38" t="str">
        <f>IFERROR([1]!IntrinioBankFinancials(rssd_id,$M$3,$B$5,B$4,$B43,"K"),"")</f>
        <v/>
      </c>
      <c r="D43" s="80" t="s">
        <v>999</v>
      </c>
      <c r="E43" s="38" t="str">
        <f>IFERROR([1]!IntrinioBankFinancials(rssd_id,$M$3,$B$5,B$4,$D43,"K"),"")</f>
        <v/>
      </c>
      <c r="F43" s="80" t="s">
        <v>998</v>
      </c>
      <c r="G43" s="38" t="str">
        <f>IFERROR([1]!IntrinioBankFinancials(rssd_id,$M$3,F$5,F$4,$F43,"K"),"")</f>
        <v/>
      </c>
      <c r="H43" s="80" t="s">
        <v>999</v>
      </c>
      <c r="I43" s="38" t="str">
        <f>IFERROR([1]!IntrinioBankFinancials(rssd_id,$M$3,F$5,F$4,$H43,"K"),"")</f>
        <v/>
      </c>
      <c r="J43" s="46" t="s">
        <v>229</v>
      </c>
    </row>
    <row r="44" spans="1:10" ht="42.75" x14ac:dyDescent="0.45">
      <c r="A44" s="98" t="s">
        <v>1865</v>
      </c>
      <c r="B44" s="80" t="s">
        <v>1012</v>
      </c>
      <c r="C44" s="38" t="str">
        <f>IFERROR([1]!IntrinioBankFinancials(rssd_id,$M$3,$B$5,B$4,$B44,"K"),"")</f>
        <v/>
      </c>
      <c r="D44" s="80" t="s">
        <v>1013</v>
      </c>
      <c r="E44" s="38" t="str">
        <f>IFERROR([1]!IntrinioBankFinancials(rssd_id,$M$3,$B$5,B$4,$D44,"K"),"")</f>
        <v/>
      </c>
      <c r="F44" s="80" t="s">
        <v>1012</v>
      </c>
      <c r="G44" s="38" t="str">
        <f>IFERROR([1]!IntrinioBankFinancials(rssd_id,$M$3,F$5,F$4,$F44,"K"),"")</f>
        <v/>
      </c>
      <c r="H44" s="80" t="s">
        <v>1013</v>
      </c>
      <c r="I44" s="38" t="str">
        <f>IFERROR([1]!IntrinioBankFinancials(rssd_id,$M$3,F$5,F$4,$H44,"K"),"")</f>
        <v/>
      </c>
      <c r="J44" s="46" t="s">
        <v>230</v>
      </c>
    </row>
    <row r="45" spans="1:10" ht="28.5" x14ac:dyDescent="0.45">
      <c r="A45" s="60" t="s">
        <v>1866</v>
      </c>
      <c r="B45" s="80" t="s">
        <v>994</v>
      </c>
      <c r="C45" s="38" t="str">
        <f>IFERROR([1]!IntrinioBankFinancials(rssd_id,$M$3,$B$5,B$4,$B45,"K"),"")</f>
        <v/>
      </c>
      <c r="D45" s="80" t="s">
        <v>995</v>
      </c>
      <c r="E45" s="38" t="str">
        <f>IFERROR([1]!IntrinioBankFinancials(rssd_id,$M$3,$B$5,B$4,$D45,"K"),"")</f>
        <v/>
      </c>
      <c r="F45" s="80" t="s">
        <v>994</v>
      </c>
      <c r="G45" s="38" t="str">
        <f>IFERROR([1]!IntrinioBankFinancials(rssd_id,$M$3,F$5,F$4,$F45,"K"),"")</f>
        <v/>
      </c>
      <c r="H45" s="80" t="s">
        <v>995</v>
      </c>
      <c r="I45" s="38" t="str">
        <f>IFERROR([1]!IntrinioBankFinancials(rssd_id,$M$3,F$5,F$4,$H45,"K"),"")</f>
        <v/>
      </c>
      <c r="J45" s="46" t="s">
        <v>114</v>
      </c>
    </row>
    <row r="46" spans="1:10" ht="39.4" x14ac:dyDescent="0.4">
      <c r="A46" s="62" t="s">
        <v>238</v>
      </c>
      <c r="B46" s="80" t="s">
        <v>1024</v>
      </c>
      <c r="C46" s="38" t="str">
        <f>IFERROR([1]!IntrinioBankFinancials(rssd_id,$M$3,$B$5,B$4,$B46,"K"),"")</f>
        <v/>
      </c>
      <c r="D46" s="81"/>
      <c r="E46" s="35"/>
      <c r="F46" s="80" t="str">
        <f>B46</f>
        <v>BHCKC388</v>
      </c>
      <c r="G46" s="38" t="str">
        <f>IFERROR([1]!IntrinioBankFinancials(rssd_id,$M$3,F$5,F$4,$F46,"K"),"")</f>
        <v/>
      </c>
      <c r="H46" s="81"/>
      <c r="I46" s="35"/>
      <c r="J46" s="46" t="s">
        <v>115</v>
      </c>
    </row>
  </sheetData>
  <mergeCells count="12">
    <mergeCell ref="F7:G7"/>
    <mergeCell ref="F6:G6"/>
    <mergeCell ref="H6:I6"/>
    <mergeCell ref="H7:I7"/>
    <mergeCell ref="F4:I4"/>
    <mergeCell ref="F5:I5"/>
    <mergeCell ref="B4:E4"/>
    <mergeCell ref="B5:E5"/>
    <mergeCell ref="B6:C6"/>
    <mergeCell ref="D6:E6"/>
    <mergeCell ref="B7:C7"/>
    <mergeCell ref="D7:E7"/>
  </mergeCells>
  <pageMargins left="0.7" right="0.7" top="0.75" bottom="0.75" header="0.3" footer="0.3"/>
  <pageSetup scale="68" fitToHeight="2" orientation="landscape" r:id="rId1"/>
  <headerFooter>
    <oddFooter>&amp;L&amp;G&amp;R&amp;P</oddFooter>
  </headerFooter>
  <rowBreaks count="1" manualBreakCount="1">
    <brk id="36" max="9"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fitToPage="1"/>
  </sheetPr>
  <dimension ref="A1:S18"/>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12" defaultRowHeight="18" outlineLevelCol="1" x14ac:dyDescent="0.4"/>
  <cols>
    <col min="1" max="1" width="61.640625" style="13" customWidth="1"/>
    <col min="2" max="9" width="12" style="13" hidden="1" customWidth="1" outlineLevel="1"/>
    <col min="10" max="10" width="12" style="13" collapsed="1"/>
    <col min="11" max="15" width="12" style="13"/>
    <col min="16" max="16" width="6.640625" style="13" bestFit="1" customWidth="1"/>
    <col min="17" max="17" width="7.5" style="13" customWidth="1"/>
    <col min="18" max="18" width="18.5" style="13" bestFit="1" customWidth="1"/>
    <col min="19" max="16384" width="12" style="13"/>
  </cols>
  <sheetData>
    <row r="1" spans="1:19" x14ac:dyDescent="0.4">
      <c r="A1" s="55" t="str">
        <f>name</f>
        <v/>
      </c>
    </row>
    <row r="2" spans="1:19" x14ac:dyDescent="0.55000000000000004">
      <c r="A2" s="54" t="s">
        <v>1830</v>
      </c>
      <c r="B2" s="24"/>
      <c r="C2" s="24"/>
      <c r="D2" s="24"/>
      <c r="E2" s="24"/>
      <c r="F2" s="24"/>
      <c r="G2" s="24"/>
      <c r="H2" s="24"/>
      <c r="I2" s="24"/>
      <c r="J2" s="24"/>
      <c r="K2" s="24"/>
      <c r="L2" s="24"/>
      <c r="M2" s="24"/>
      <c r="N2" s="24"/>
      <c r="O2" s="24"/>
      <c r="P2" s="25"/>
      <c r="Q2" s="25"/>
      <c r="R2" s="13" t="s">
        <v>234</v>
      </c>
      <c r="S2" s="13" t="s">
        <v>881</v>
      </c>
    </row>
    <row r="3" spans="1:19" x14ac:dyDescent="0.55000000000000004">
      <c r="A3" s="60" t="s">
        <v>1</v>
      </c>
      <c r="B3" s="24"/>
      <c r="C3" s="71">
        <f t="shared" ref="C3" si="0">D3+1</f>
        <v>12</v>
      </c>
      <c r="D3" s="71">
        <f t="shared" ref="D3:E3" si="1">E3+1</f>
        <v>11</v>
      </c>
      <c r="E3" s="71">
        <f t="shared" si="1"/>
        <v>10</v>
      </c>
      <c r="F3" s="71">
        <f t="shared" ref="F3:G3" si="2">G3+1</f>
        <v>9</v>
      </c>
      <c r="G3" s="71">
        <f t="shared" si="2"/>
        <v>8</v>
      </c>
      <c r="H3" s="71">
        <f t="shared" ref="H3:I3" si="3">I3+1</f>
        <v>7</v>
      </c>
      <c r="I3" s="71">
        <f t="shared" si="3"/>
        <v>6</v>
      </c>
      <c r="J3" s="71">
        <f t="shared" ref="J3:M3" si="4">K3+1</f>
        <v>5</v>
      </c>
      <c r="K3" s="71">
        <f t="shared" si="4"/>
        <v>4</v>
      </c>
      <c r="L3" s="71">
        <f t="shared" si="4"/>
        <v>3</v>
      </c>
      <c r="M3" s="71">
        <f t="shared" si="4"/>
        <v>2</v>
      </c>
      <c r="N3" s="71">
        <f>O3+1</f>
        <v>1</v>
      </c>
      <c r="O3" s="71">
        <f>fiscal_period_sequence</f>
        <v>0</v>
      </c>
      <c r="P3" s="25"/>
      <c r="Q3" s="25"/>
    </row>
    <row r="4" spans="1:19" x14ac:dyDescent="0.55000000000000004">
      <c r="A4" s="70"/>
      <c r="B4" s="24"/>
      <c r="C4" s="66" t="str">
        <f>[1]!IntrinioBankFundamentals(rssd_id,$S$2,fiscal_period_type,C$3,"fiscal_period")</f>
        <v/>
      </c>
      <c r="D4" s="66" t="str">
        <f>[1]!IntrinioBankFundamentals(rssd_id,$S$2,fiscal_period_type,D$3,"fiscal_period")</f>
        <v/>
      </c>
      <c r="E4" s="66" t="str">
        <f>[1]!IntrinioBankFundamentals(rssd_id,$S$2,fiscal_period_type,E$3,"fiscal_period")</f>
        <v/>
      </c>
      <c r="F4" s="66" t="str">
        <f>[1]!IntrinioBankFundamentals(rssd_id,$S$2,fiscal_period_type,F$3,"fiscal_period")</f>
        <v/>
      </c>
      <c r="G4" s="66" t="str">
        <f>[1]!IntrinioBankFundamentals(rssd_id,$S$2,fiscal_period_type,G$3,"fiscal_period")</f>
        <v/>
      </c>
      <c r="H4" s="66" t="str">
        <f>[1]!IntrinioBankFundamentals(rssd_id,$S$2,fiscal_period_type,H$3,"fiscal_period")</f>
        <v/>
      </c>
      <c r="I4" s="66" t="str">
        <f>[1]!IntrinioBankFundamentals(rssd_id,$S$2,fiscal_period_type,I$3,"fiscal_period")</f>
        <v/>
      </c>
      <c r="J4" s="66" t="str">
        <f>[1]!IntrinioBankFundamentals(rssd_id,$S$2,fiscal_period_type,J$3,"fiscal_period")</f>
        <v/>
      </c>
      <c r="K4" s="66" t="str">
        <f>[1]!IntrinioBankFundamentals(rssd_id,$S$2,fiscal_period_type,K$3,"fiscal_period")</f>
        <v/>
      </c>
      <c r="L4" s="66" t="str">
        <f>[1]!IntrinioBankFundamentals(rssd_id,$S$2,fiscal_period_type,L$3,"fiscal_period")</f>
        <v/>
      </c>
      <c r="M4" s="66" t="str">
        <f>[1]!IntrinioBankFundamentals(rssd_id,$S$2,fiscal_period_type,M$3,"fiscal_period")</f>
        <v/>
      </c>
      <c r="N4" s="66" t="str">
        <f>[1]!IntrinioBankFundamentals(rssd_id,$S$2,fiscal_period_type,N$3,"fiscal_period")</f>
        <v/>
      </c>
      <c r="O4" s="66" t="str">
        <f>[1]!IntrinioBankFundamentals(rssd_id,$S$2,fiscal_period_type,O$3,"fiscal_period")</f>
        <v/>
      </c>
      <c r="P4" s="25"/>
      <c r="Q4" s="25"/>
    </row>
    <row r="5" spans="1:19" x14ac:dyDescent="0.55000000000000004">
      <c r="A5" s="70"/>
      <c r="B5" s="24"/>
      <c r="C5" s="67" t="str">
        <f>[1]!IntrinioBankFundamentals(rssd_id,$S$2,fiscal_period_type,C$3,"fiscal_year")</f>
        <v/>
      </c>
      <c r="D5" s="67" t="str">
        <f>[1]!IntrinioBankFundamentals(rssd_id,$S$2,fiscal_period_type,D$3,"fiscal_year")</f>
        <v/>
      </c>
      <c r="E5" s="67" t="str">
        <f>[1]!IntrinioBankFundamentals(rssd_id,$S$2,fiscal_period_type,E$3,"fiscal_year")</f>
        <v/>
      </c>
      <c r="F5" s="67" t="str">
        <f>[1]!IntrinioBankFundamentals(rssd_id,$S$2,fiscal_period_type,F$3,"fiscal_year")</f>
        <v/>
      </c>
      <c r="G5" s="67" t="str">
        <f>[1]!IntrinioBankFundamentals(rssd_id,$S$2,fiscal_period_type,G$3,"fiscal_year")</f>
        <v/>
      </c>
      <c r="H5" s="67" t="str">
        <f>[1]!IntrinioBankFundamentals(rssd_id,$S$2,fiscal_period_type,H$3,"fiscal_year")</f>
        <v/>
      </c>
      <c r="I5" s="67" t="str">
        <f>[1]!IntrinioBankFundamentals(rssd_id,$S$2,fiscal_period_type,I$3,"fiscal_year")</f>
        <v/>
      </c>
      <c r="J5" s="67" t="str">
        <f>[1]!IntrinioBankFundamentals(rssd_id,$S$2,fiscal_period_type,J$3,"fiscal_year")</f>
        <v/>
      </c>
      <c r="K5" s="67" t="str">
        <f>[1]!IntrinioBankFundamentals(rssd_id,$S$2,fiscal_period_type,K$3,"fiscal_year")</f>
        <v/>
      </c>
      <c r="L5" s="67" t="str">
        <f>[1]!IntrinioBankFundamentals(rssd_id,$S$2,fiscal_period_type,L$3,"fiscal_year")</f>
        <v/>
      </c>
      <c r="M5" s="67" t="str">
        <f>[1]!IntrinioBankFundamentals(rssd_id,$S$2,fiscal_period_type,M$3,"fiscal_year")</f>
        <v/>
      </c>
      <c r="N5" s="67" t="str">
        <f>[1]!IntrinioBankFundamentals(rssd_id,$S$2,fiscal_period_type,N$3,"fiscal_year")</f>
        <v/>
      </c>
      <c r="O5" s="67" t="str">
        <f>[1]!IntrinioBankFundamentals(rssd_id,$S$2,fiscal_period_type,O$3,"fiscal_year")</f>
        <v/>
      </c>
      <c r="P5" s="25"/>
      <c r="Q5" s="25"/>
    </row>
    <row r="6" spans="1:19" ht="42.75" x14ac:dyDescent="0.45">
      <c r="A6" s="60" t="s">
        <v>244</v>
      </c>
      <c r="B6" s="68" t="s">
        <v>1025</v>
      </c>
      <c r="C6" s="69" t="str">
        <f>IFERROR([1]!IntrinioBankFinancials(rssd_id,$S$2,C$5,C$4,$B6,"K"),"")</f>
        <v/>
      </c>
      <c r="D6" s="69" t="str">
        <f>IFERROR([1]!IntrinioBankFinancials(rssd_id,$S$2,D$5,D$4,$B6,"K"),"")</f>
        <v/>
      </c>
      <c r="E6" s="69" t="str">
        <f>IFERROR([1]!IntrinioBankFinancials(rssd_id,$S$2,E$5,E$4,$B6,"K"),"")</f>
        <v/>
      </c>
      <c r="F6" s="69" t="str">
        <f>IFERROR([1]!IntrinioBankFinancials(rssd_id,$S$2,F$5,F$4,$B6,"K"),"")</f>
        <v/>
      </c>
      <c r="G6" s="69" t="str">
        <f>IFERROR([1]!IntrinioBankFinancials(rssd_id,$S$2,G$5,G$4,$B6,"K"),"")</f>
        <v/>
      </c>
      <c r="H6" s="69" t="str">
        <f>IFERROR([1]!IntrinioBankFinancials(rssd_id,$S$2,H$5,H$4,$B6,"K"),"")</f>
        <v/>
      </c>
      <c r="I6" s="69" t="str">
        <f>IFERROR([1]!IntrinioBankFinancials(rssd_id,$S$2,I$5,I$4,$B6,"K"),"")</f>
        <v/>
      </c>
      <c r="J6" s="69" t="str">
        <f>IFERROR([1]!IntrinioBankFinancials(rssd_id,$S$2,J$5,J$4,$B6,"K"),"")</f>
        <v/>
      </c>
      <c r="K6" s="69" t="str">
        <f>IFERROR([1]!IntrinioBankFinancials(rssd_id,$S$2,K$5,K$4,$B6,"K"),"")</f>
        <v/>
      </c>
      <c r="L6" s="69" t="str">
        <f>IFERROR([1]!IntrinioBankFinancials(rssd_id,$S$2,L$5,L$4,$B6,"K"),"")</f>
        <v/>
      </c>
      <c r="M6" s="69" t="str">
        <f>IFERROR([1]!IntrinioBankFinancials(rssd_id,$S$2,M$5,M$4,$B6,"K"),"")</f>
        <v/>
      </c>
      <c r="N6" s="69" t="str">
        <f>IFERROR([1]!IntrinioBankFinancials(rssd_id,$S$2,N$5,N$4,$B6,"K"),"")</f>
        <v/>
      </c>
      <c r="O6" s="69" t="str">
        <f>IFERROR([1]!IntrinioBankFinancials(rssd_id,$S$2,O$5,O$4,$B6,"K"),"")</f>
        <v/>
      </c>
      <c r="P6" s="49">
        <v>1</v>
      </c>
      <c r="Q6" s="49"/>
    </row>
    <row r="7" spans="1:19" x14ac:dyDescent="0.45">
      <c r="A7" s="60" t="s">
        <v>239</v>
      </c>
      <c r="B7" s="68" t="s">
        <v>1017</v>
      </c>
      <c r="C7" s="69" t="str">
        <f>IFERROR([1]!IntrinioBankFinancials(rssd_id,$S$2,C$5,C$4,$B7,"K"),"")</f>
        <v/>
      </c>
      <c r="D7" s="69" t="str">
        <f>IFERROR([1]!IntrinioBankFinancials(rssd_id,$S$2,D$5,D$4,$B7,"K"),"")</f>
        <v/>
      </c>
      <c r="E7" s="69" t="str">
        <f>IFERROR([1]!IntrinioBankFinancials(rssd_id,$S$2,E$5,E$4,$B7,"K"),"")</f>
        <v/>
      </c>
      <c r="F7" s="69" t="str">
        <f>IFERROR([1]!IntrinioBankFinancials(rssd_id,$S$2,F$5,F$4,$B7,"K"),"")</f>
        <v/>
      </c>
      <c r="G7" s="69" t="str">
        <f>IFERROR([1]!IntrinioBankFinancials(rssd_id,$S$2,G$5,G$4,$B7,"K"),"")</f>
        <v/>
      </c>
      <c r="H7" s="69" t="str">
        <f>IFERROR([1]!IntrinioBankFinancials(rssd_id,$S$2,H$5,H$4,$B7,"K"),"")</f>
        <v/>
      </c>
      <c r="I7" s="69" t="str">
        <f>IFERROR([1]!IntrinioBankFinancials(rssd_id,$S$2,I$5,I$4,$B7,"K"),"")</f>
        <v/>
      </c>
      <c r="J7" s="69" t="str">
        <f>IFERROR([1]!IntrinioBankFinancials(rssd_id,$S$2,J$5,J$4,$B7,"K"),"")</f>
        <v/>
      </c>
      <c r="K7" s="69" t="str">
        <f>IFERROR([1]!IntrinioBankFinancials(rssd_id,$S$2,K$5,K$4,$B7,"K"),"")</f>
        <v/>
      </c>
      <c r="L7" s="69" t="str">
        <f>IFERROR([1]!IntrinioBankFinancials(rssd_id,$S$2,L$5,L$4,$B7,"K"),"")</f>
        <v/>
      </c>
      <c r="M7" s="69" t="str">
        <f>IFERROR([1]!IntrinioBankFinancials(rssd_id,$S$2,M$5,M$4,$B7,"K"),"")</f>
        <v/>
      </c>
      <c r="N7" s="69" t="str">
        <f>IFERROR([1]!IntrinioBankFinancials(rssd_id,$S$2,N$5,N$4,$B7,"K"),"")</f>
        <v/>
      </c>
      <c r="O7" s="69" t="str">
        <f>IFERROR([1]!IntrinioBankFinancials(rssd_id,$S$2,O$5,O$4,$B7,"K"),"")</f>
        <v/>
      </c>
      <c r="P7" s="49">
        <v>2</v>
      </c>
      <c r="Q7" s="49"/>
    </row>
    <row r="8" spans="1:19" ht="28.5" x14ac:dyDescent="0.45">
      <c r="A8" s="60" t="s">
        <v>1867</v>
      </c>
      <c r="B8" s="68" t="s">
        <v>1026</v>
      </c>
      <c r="C8" s="69" t="str">
        <f>IFERROR([1]!IntrinioBankFinancials(rssd_id,$S$2,C$5,C$4,$B8,"K"),"")</f>
        <v/>
      </c>
      <c r="D8" s="69" t="str">
        <f>IFERROR([1]!IntrinioBankFinancials(rssd_id,$S$2,D$5,D$4,$B8,"K"),"")</f>
        <v/>
      </c>
      <c r="E8" s="69" t="str">
        <f>IFERROR([1]!IntrinioBankFinancials(rssd_id,$S$2,E$5,E$4,$B8,"K"),"")</f>
        <v/>
      </c>
      <c r="F8" s="69" t="str">
        <f>IFERROR([1]!IntrinioBankFinancials(rssd_id,$S$2,F$5,F$4,$B8,"K"),"")</f>
        <v/>
      </c>
      <c r="G8" s="69" t="str">
        <f>IFERROR([1]!IntrinioBankFinancials(rssd_id,$S$2,G$5,G$4,$B8,"K"),"")</f>
        <v/>
      </c>
      <c r="H8" s="69" t="str">
        <f>IFERROR([1]!IntrinioBankFinancials(rssd_id,$S$2,H$5,H$4,$B8,"K"),"")</f>
        <v/>
      </c>
      <c r="I8" s="69" t="str">
        <f>IFERROR([1]!IntrinioBankFinancials(rssd_id,$S$2,I$5,I$4,$B8,"K"),"")</f>
        <v/>
      </c>
      <c r="J8" s="69" t="str">
        <f>IFERROR([1]!IntrinioBankFinancials(rssd_id,$S$2,J$5,J$4,$B8,"K"),"")</f>
        <v/>
      </c>
      <c r="K8" s="69" t="str">
        <f>IFERROR([1]!IntrinioBankFinancials(rssd_id,$S$2,K$5,K$4,$B8,"K"),"")</f>
        <v/>
      </c>
      <c r="L8" s="69" t="str">
        <f>IFERROR([1]!IntrinioBankFinancials(rssd_id,$S$2,L$5,L$4,$B8,"K"),"")</f>
        <v/>
      </c>
      <c r="M8" s="69" t="str">
        <f>IFERROR([1]!IntrinioBankFinancials(rssd_id,$S$2,M$5,M$4,$B8,"K"),"")</f>
        <v/>
      </c>
      <c r="N8" s="69" t="str">
        <f>IFERROR([1]!IntrinioBankFinancials(rssd_id,$S$2,N$5,N$4,$B8,"K"),"")</f>
        <v/>
      </c>
      <c r="O8" s="69" t="str">
        <f>IFERROR([1]!IntrinioBankFinancials(rssd_id,$S$2,O$5,O$4,$B8,"K"),"")</f>
        <v/>
      </c>
      <c r="P8" s="49">
        <v>3</v>
      </c>
      <c r="Q8" s="49"/>
    </row>
    <row r="9" spans="1:19" ht="28.5" x14ac:dyDescent="0.45">
      <c r="A9" s="60" t="s">
        <v>240</v>
      </c>
      <c r="B9" s="68" t="s">
        <v>1027</v>
      </c>
      <c r="C9" s="69" t="str">
        <f>IFERROR([1]!IntrinioBankFinancials(rssd_id,$S$2,C$5,C$4,$B9,"K"),"")</f>
        <v/>
      </c>
      <c r="D9" s="69" t="str">
        <f>IFERROR([1]!IntrinioBankFinancials(rssd_id,$S$2,D$5,D$4,$B9,"K"),"")</f>
        <v/>
      </c>
      <c r="E9" s="69" t="str">
        <f>IFERROR([1]!IntrinioBankFinancials(rssd_id,$S$2,E$5,E$4,$B9,"K"),"")</f>
        <v/>
      </c>
      <c r="F9" s="69" t="str">
        <f>IFERROR([1]!IntrinioBankFinancials(rssd_id,$S$2,F$5,F$4,$B9,"K"),"")</f>
        <v/>
      </c>
      <c r="G9" s="69" t="str">
        <f>IFERROR([1]!IntrinioBankFinancials(rssd_id,$S$2,G$5,G$4,$B9,"K"),"")</f>
        <v/>
      </c>
      <c r="H9" s="69" t="str">
        <f>IFERROR([1]!IntrinioBankFinancials(rssd_id,$S$2,H$5,H$4,$B9,"K"),"")</f>
        <v/>
      </c>
      <c r="I9" s="69" t="str">
        <f>IFERROR([1]!IntrinioBankFinancials(rssd_id,$S$2,I$5,I$4,$B9,"K"),"")</f>
        <v/>
      </c>
      <c r="J9" s="69" t="str">
        <f>IFERROR([1]!IntrinioBankFinancials(rssd_id,$S$2,J$5,J$4,$B9,"K"),"")</f>
        <v/>
      </c>
      <c r="K9" s="69" t="str">
        <f>IFERROR([1]!IntrinioBankFinancials(rssd_id,$S$2,K$5,K$4,$B9,"K"),"")</f>
        <v/>
      </c>
      <c r="L9" s="69" t="str">
        <f>IFERROR([1]!IntrinioBankFinancials(rssd_id,$S$2,L$5,L$4,$B9,"K"),"")</f>
        <v/>
      </c>
      <c r="M9" s="69" t="str">
        <f>IFERROR([1]!IntrinioBankFinancials(rssd_id,$S$2,M$5,M$4,$B9,"K"),"")</f>
        <v/>
      </c>
      <c r="N9" s="69" t="str">
        <f>IFERROR([1]!IntrinioBankFinancials(rssd_id,$S$2,N$5,N$4,$B9,"K"),"")</f>
        <v/>
      </c>
      <c r="O9" s="69" t="str">
        <f>IFERROR([1]!IntrinioBankFinancials(rssd_id,$S$2,O$5,O$4,$B9,"K"),"")</f>
        <v/>
      </c>
      <c r="P9" s="49">
        <v>4</v>
      </c>
      <c r="Q9" s="49"/>
    </row>
    <row r="10" spans="1:19" x14ac:dyDescent="0.45">
      <c r="A10" s="60" t="s">
        <v>1868</v>
      </c>
      <c r="B10" s="68" t="s">
        <v>903</v>
      </c>
      <c r="C10" s="69" t="str">
        <f>IFERROR([1]!IntrinioBankFinancials(rssd_id,$S$2,C$5,C$4,$B10,"K"),"")</f>
        <v/>
      </c>
      <c r="D10" s="69" t="str">
        <f>IFERROR([1]!IntrinioBankFinancials(rssd_id,$S$2,D$5,D$4,$B10,"K"),"")</f>
        <v/>
      </c>
      <c r="E10" s="69" t="str">
        <f>IFERROR([1]!IntrinioBankFinancials(rssd_id,$S$2,E$5,E$4,$B10,"K"),"")</f>
        <v/>
      </c>
      <c r="F10" s="69" t="str">
        <f>IFERROR([1]!IntrinioBankFinancials(rssd_id,$S$2,F$5,F$4,$B10,"K"),"")</f>
        <v/>
      </c>
      <c r="G10" s="69" t="str">
        <f>IFERROR([1]!IntrinioBankFinancials(rssd_id,$S$2,G$5,G$4,$B10,"K"),"")</f>
        <v/>
      </c>
      <c r="H10" s="69" t="str">
        <f>IFERROR([1]!IntrinioBankFinancials(rssd_id,$S$2,H$5,H$4,$B10,"K"),"")</f>
        <v/>
      </c>
      <c r="I10" s="69" t="str">
        <f>IFERROR([1]!IntrinioBankFinancials(rssd_id,$S$2,I$5,I$4,$B10,"K"),"")</f>
        <v/>
      </c>
      <c r="J10" s="69" t="str">
        <f>IFERROR([1]!IntrinioBankFinancials(rssd_id,$S$2,J$5,J$4,$B10,"K"),"")</f>
        <v/>
      </c>
      <c r="K10" s="69" t="str">
        <f>IFERROR([1]!IntrinioBankFinancials(rssd_id,$S$2,K$5,K$4,$B10,"K"),"")</f>
        <v/>
      </c>
      <c r="L10" s="69" t="str">
        <f>IFERROR([1]!IntrinioBankFinancials(rssd_id,$S$2,L$5,L$4,$B10,"K"),"")</f>
        <v/>
      </c>
      <c r="M10" s="69" t="str">
        <f>IFERROR([1]!IntrinioBankFinancials(rssd_id,$S$2,M$5,M$4,$B10,"K"),"")</f>
        <v/>
      </c>
      <c r="N10" s="69" t="str">
        <f>IFERROR([1]!IntrinioBankFinancials(rssd_id,$S$2,N$5,N$4,$B10,"K"),"")</f>
        <v/>
      </c>
      <c r="O10" s="69" t="str">
        <f>IFERROR([1]!IntrinioBankFinancials(rssd_id,$S$2,O$5,O$4,$B10,"K"),"")</f>
        <v/>
      </c>
      <c r="P10" s="49">
        <v>5</v>
      </c>
      <c r="Q10" s="49"/>
    </row>
    <row r="11" spans="1:19" x14ac:dyDescent="0.45">
      <c r="A11" s="60" t="s">
        <v>241</v>
      </c>
      <c r="B11" s="68" t="s">
        <v>1028</v>
      </c>
      <c r="C11" s="69" t="str">
        <f>IFERROR([1]!IntrinioBankFinancials(rssd_id,$S$2,C$5,C$4,$B11,"K"),"")</f>
        <v/>
      </c>
      <c r="D11" s="69" t="str">
        <f>IFERROR([1]!IntrinioBankFinancials(rssd_id,$S$2,D$5,D$4,$B11,"K"),"")</f>
        <v/>
      </c>
      <c r="E11" s="69" t="str">
        <f>IFERROR([1]!IntrinioBankFinancials(rssd_id,$S$2,E$5,E$4,$B11,"K"),"")</f>
        <v/>
      </c>
      <c r="F11" s="69" t="str">
        <f>IFERROR([1]!IntrinioBankFinancials(rssd_id,$S$2,F$5,F$4,$B11,"K"),"")</f>
        <v/>
      </c>
      <c r="G11" s="69" t="str">
        <f>IFERROR([1]!IntrinioBankFinancials(rssd_id,$S$2,G$5,G$4,$B11,"K"),"")</f>
        <v/>
      </c>
      <c r="H11" s="69" t="str">
        <f>IFERROR([1]!IntrinioBankFinancials(rssd_id,$S$2,H$5,H$4,$B11,"K"),"")</f>
        <v/>
      </c>
      <c r="I11" s="69" t="str">
        <f>IFERROR([1]!IntrinioBankFinancials(rssd_id,$S$2,I$5,I$4,$B11,"K"),"")</f>
        <v/>
      </c>
      <c r="J11" s="69" t="str">
        <f>IFERROR([1]!IntrinioBankFinancials(rssd_id,$S$2,J$5,J$4,$B11,"K"),"")</f>
        <v/>
      </c>
      <c r="K11" s="69" t="str">
        <f>IFERROR([1]!IntrinioBankFinancials(rssd_id,$S$2,K$5,K$4,$B11,"K"),"")</f>
        <v/>
      </c>
      <c r="L11" s="69" t="str">
        <f>IFERROR([1]!IntrinioBankFinancials(rssd_id,$S$2,L$5,L$4,$B11,"K"),"")</f>
        <v/>
      </c>
      <c r="M11" s="69" t="str">
        <f>IFERROR([1]!IntrinioBankFinancials(rssd_id,$S$2,M$5,M$4,$B11,"K"),"")</f>
        <v/>
      </c>
      <c r="N11" s="69" t="str">
        <f>IFERROR([1]!IntrinioBankFinancials(rssd_id,$S$2,N$5,N$4,$B11,"K"),"")</f>
        <v/>
      </c>
      <c r="O11" s="69" t="str">
        <f>IFERROR([1]!IntrinioBankFinancials(rssd_id,$S$2,O$5,O$4,$B11,"K"),"")</f>
        <v/>
      </c>
      <c r="P11" s="49">
        <v>6</v>
      </c>
      <c r="Q11" s="49"/>
    </row>
    <row r="12" spans="1:19" ht="28.5" x14ac:dyDescent="0.45">
      <c r="A12" s="60" t="s">
        <v>1869</v>
      </c>
      <c r="B12" s="68" t="s">
        <v>1029</v>
      </c>
      <c r="C12" s="69" t="str">
        <f>IFERROR([1]!IntrinioBankFinancials(rssd_id,$S$2,C$5,C$4,$B12,"K"),"")</f>
        <v/>
      </c>
      <c r="D12" s="69" t="str">
        <f>IFERROR([1]!IntrinioBankFinancials(rssd_id,$S$2,D$5,D$4,$B12,"K"),"")</f>
        <v/>
      </c>
      <c r="E12" s="69" t="str">
        <f>IFERROR([1]!IntrinioBankFinancials(rssd_id,$S$2,E$5,E$4,$B12,"K"),"")</f>
        <v/>
      </c>
      <c r="F12" s="69" t="str">
        <f>IFERROR([1]!IntrinioBankFinancials(rssd_id,$S$2,F$5,F$4,$B12,"K"),"")</f>
        <v/>
      </c>
      <c r="G12" s="69" t="str">
        <f>IFERROR([1]!IntrinioBankFinancials(rssd_id,$S$2,G$5,G$4,$B12,"K"),"")</f>
        <v/>
      </c>
      <c r="H12" s="69" t="str">
        <f>IFERROR([1]!IntrinioBankFinancials(rssd_id,$S$2,H$5,H$4,$B12,"K"),"")</f>
        <v/>
      </c>
      <c r="I12" s="69" t="str">
        <f>IFERROR([1]!IntrinioBankFinancials(rssd_id,$S$2,I$5,I$4,$B12,"K"),"")</f>
        <v/>
      </c>
      <c r="J12" s="69" t="str">
        <f>IFERROR([1]!IntrinioBankFinancials(rssd_id,$S$2,J$5,J$4,$B12,"K"),"")</f>
        <v/>
      </c>
      <c r="K12" s="69" t="str">
        <f>IFERROR([1]!IntrinioBankFinancials(rssd_id,$S$2,K$5,K$4,$B12,"K"),"")</f>
        <v/>
      </c>
      <c r="L12" s="69" t="str">
        <f>IFERROR([1]!IntrinioBankFinancials(rssd_id,$S$2,L$5,L$4,$B12,"K"),"")</f>
        <v/>
      </c>
      <c r="M12" s="69" t="str">
        <f>IFERROR([1]!IntrinioBankFinancials(rssd_id,$S$2,M$5,M$4,$B12,"K"),"")</f>
        <v/>
      </c>
      <c r="N12" s="69" t="str">
        <f>IFERROR([1]!IntrinioBankFinancials(rssd_id,$S$2,N$5,N$4,$B12,"K"),"")</f>
        <v/>
      </c>
      <c r="O12" s="69" t="str">
        <f>IFERROR([1]!IntrinioBankFinancials(rssd_id,$S$2,O$5,O$4,$B12,"K"),"")</f>
        <v/>
      </c>
      <c r="P12" s="49">
        <v>7</v>
      </c>
      <c r="Q12" s="49"/>
    </row>
    <row r="13" spans="1:19" x14ac:dyDescent="0.45">
      <c r="A13" s="60"/>
      <c r="B13" s="35"/>
      <c r="C13" s="35"/>
      <c r="D13" s="35"/>
      <c r="E13" s="35"/>
      <c r="F13" s="35"/>
      <c r="G13" s="35"/>
      <c r="H13" s="35"/>
      <c r="I13" s="35"/>
      <c r="J13" s="35"/>
      <c r="K13" s="35"/>
      <c r="L13" s="35"/>
      <c r="M13" s="35"/>
      <c r="N13" s="35"/>
      <c r="O13" s="35"/>
      <c r="P13" s="72"/>
      <c r="Q13" s="73"/>
    </row>
    <row r="14" spans="1:19" x14ac:dyDescent="0.4">
      <c r="A14" s="11" t="s">
        <v>111</v>
      </c>
      <c r="B14" s="35"/>
      <c r="C14" s="35"/>
      <c r="D14" s="35"/>
      <c r="E14" s="35"/>
      <c r="F14" s="35"/>
      <c r="G14" s="35"/>
      <c r="H14" s="35"/>
      <c r="I14" s="35"/>
      <c r="J14" s="35"/>
      <c r="K14" s="35"/>
      <c r="L14" s="35"/>
      <c r="M14" s="35"/>
      <c r="N14" s="35"/>
      <c r="O14" s="35"/>
      <c r="P14" s="72"/>
      <c r="Q14" s="73"/>
    </row>
    <row r="15" spans="1:19" ht="28.5" x14ac:dyDescent="0.45">
      <c r="A15" s="60" t="s">
        <v>1870</v>
      </c>
      <c r="B15" s="68" t="s">
        <v>1030</v>
      </c>
      <c r="C15" s="69" t="str">
        <f>IFERROR([1]!IntrinioBankFinancials(rssd_id,$S$2,C$5,C$4,$B15,"K"),"")</f>
        <v/>
      </c>
      <c r="D15" s="69" t="str">
        <f>IFERROR([1]!IntrinioBankFinancials(rssd_id,$S$2,D$5,D$4,$B15,"K"),"")</f>
        <v/>
      </c>
      <c r="E15" s="69" t="str">
        <f>IFERROR([1]!IntrinioBankFinancials(rssd_id,$S$2,E$5,E$4,$B15,"K"),"")</f>
        <v/>
      </c>
      <c r="F15" s="69" t="str">
        <f>IFERROR([1]!IntrinioBankFinancials(rssd_id,$S$2,F$5,F$4,$B15,"K"),"")</f>
        <v/>
      </c>
      <c r="G15" s="69" t="str">
        <f>IFERROR([1]!IntrinioBankFinancials(rssd_id,$S$2,G$5,G$4,$B15,"K"),"")</f>
        <v/>
      </c>
      <c r="H15" s="69" t="str">
        <f>IFERROR([1]!IntrinioBankFinancials(rssd_id,$S$2,H$5,H$4,$B15,"K"),"")</f>
        <v/>
      </c>
      <c r="I15" s="69" t="str">
        <f>IFERROR([1]!IntrinioBankFinancials(rssd_id,$S$2,I$5,I$4,$B15,"K"),"")</f>
        <v/>
      </c>
      <c r="J15" s="69" t="str">
        <f>IFERROR([1]!IntrinioBankFinancials(rssd_id,$S$2,J$5,J$4,$B15,"K"),"")</f>
        <v/>
      </c>
      <c r="K15" s="69" t="str">
        <f>IFERROR([1]!IntrinioBankFinancials(rssd_id,$S$2,K$5,K$4,$B15,"K"),"")</f>
        <v/>
      </c>
      <c r="L15" s="69" t="str">
        <f>IFERROR([1]!IntrinioBankFinancials(rssd_id,$S$2,L$5,L$4,$B15,"K"),"")</f>
        <v/>
      </c>
      <c r="M15" s="69" t="str">
        <f>IFERROR([1]!IntrinioBankFinancials(rssd_id,$S$2,M$5,M$4,$B15,"K"),"")</f>
        <v/>
      </c>
      <c r="N15" s="69" t="str">
        <f>IFERROR([1]!IntrinioBankFinancials(rssd_id,$S$2,N$5,N$4,$B15,"K"),"")</f>
        <v/>
      </c>
      <c r="O15" s="69" t="str">
        <f>IFERROR([1]!IntrinioBankFinancials(rssd_id,$S$2,O$5,O$4,$B15,"K"),"")</f>
        <v/>
      </c>
      <c r="P15" s="49" t="s">
        <v>112</v>
      </c>
      <c r="Q15" s="49"/>
    </row>
    <row r="16" spans="1:19" ht="28.5" x14ac:dyDescent="0.45">
      <c r="A16" s="60" t="s">
        <v>242</v>
      </c>
      <c r="B16" s="68" t="s">
        <v>1031</v>
      </c>
      <c r="C16" s="69" t="str">
        <f>IFERROR([1]!IntrinioBankFinancials(rssd_id,$S$2,C$5,C$4,$B16,"K"),"")</f>
        <v/>
      </c>
      <c r="D16" s="69" t="str">
        <f>IFERROR([1]!IntrinioBankFinancials(rssd_id,$S$2,D$5,D$4,$B16,"K"),"")</f>
        <v/>
      </c>
      <c r="E16" s="69" t="str">
        <f>IFERROR([1]!IntrinioBankFinancials(rssd_id,$S$2,E$5,E$4,$B16,"K"),"")</f>
        <v/>
      </c>
      <c r="F16" s="69" t="str">
        <f>IFERROR([1]!IntrinioBankFinancials(rssd_id,$S$2,F$5,F$4,$B16,"K"),"")</f>
        <v/>
      </c>
      <c r="G16" s="69" t="str">
        <f>IFERROR([1]!IntrinioBankFinancials(rssd_id,$S$2,G$5,G$4,$B16,"K"),"")</f>
        <v/>
      </c>
      <c r="H16" s="69" t="str">
        <f>IFERROR([1]!IntrinioBankFinancials(rssd_id,$S$2,H$5,H$4,$B16,"K"),"")</f>
        <v/>
      </c>
      <c r="I16" s="69" t="str">
        <f>IFERROR([1]!IntrinioBankFinancials(rssd_id,$S$2,I$5,I$4,$B16,"K"),"")</f>
        <v/>
      </c>
      <c r="J16" s="69" t="str">
        <f>IFERROR([1]!IntrinioBankFinancials(rssd_id,$S$2,J$5,J$4,$B16,"K"),"")</f>
        <v/>
      </c>
      <c r="K16" s="69" t="str">
        <f>IFERROR([1]!IntrinioBankFinancials(rssd_id,$S$2,K$5,K$4,$B16,"K"),"")</f>
        <v/>
      </c>
      <c r="L16" s="69" t="str">
        <f>IFERROR([1]!IntrinioBankFinancials(rssd_id,$S$2,L$5,L$4,$B16,"K"),"")</f>
        <v/>
      </c>
      <c r="M16" s="69" t="str">
        <f>IFERROR([1]!IntrinioBankFinancials(rssd_id,$S$2,M$5,M$4,$B16,"K"),"")</f>
        <v/>
      </c>
      <c r="N16" s="69" t="str">
        <f>IFERROR([1]!IntrinioBankFinancials(rssd_id,$S$2,N$5,N$4,$B16,"K"),"")</f>
        <v/>
      </c>
      <c r="O16" s="69" t="str">
        <f>IFERROR([1]!IntrinioBankFinancials(rssd_id,$S$2,O$5,O$4,$B16,"K"),"")</f>
        <v/>
      </c>
      <c r="P16" s="49" t="s">
        <v>113</v>
      </c>
      <c r="Q16" s="49"/>
    </row>
    <row r="17" spans="1:17" ht="28.5" x14ac:dyDescent="0.45">
      <c r="A17" s="60" t="s">
        <v>243</v>
      </c>
      <c r="B17" s="68" t="s">
        <v>1032</v>
      </c>
      <c r="C17" s="69" t="str">
        <f>IFERROR([1]!IntrinioBankFinancials(rssd_id,$S$2,C$5,C$4,$B17,"K"),"")</f>
        <v/>
      </c>
      <c r="D17" s="69" t="str">
        <f>IFERROR([1]!IntrinioBankFinancials(rssd_id,$S$2,D$5,D$4,$B17,"K"),"")</f>
        <v/>
      </c>
      <c r="E17" s="69" t="str">
        <f>IFERROR([1]!IntrinioBankFinancials(rssd_id,$S$2,E$5,E$4,$B17,"K"),"")</f>
        <v/>
      </c>
      <c r="F17" s="69" t="str">
        <f>IFERROR([1]!IntrinioBankFinancials(rssd_id,$S$2,F$5,F$4,$B17,"K"),"")</f>
        <v/>
      </c>
      <c r="G17" s="69" t="str">
        <f>IFERROR([1]!IntrinioBankFinancials(rssd_id,$S$2,G$5,G$4,$B17,"K"),"")</f>
        <v/>
      </c>
      <c r="H17" s="69" t="str">
        <f>IFERROR([1]!IntrinioBankFinancials(rssd_id,$S$2,H$5,H$4,$B17,"K"),"")</f>
        <v/>
      </c>
      <c r="I17" s="69" t="str">
        <f>IFERROR([1]!IntrinioBankFinancials(rssd_id,$S$2,I$5,I$4,$B17,"K"),"")</f>
        <v/>
      </c>
      <c r="J17" s="69" t="str">
        <f>IFERROR([1]!IntrinioBankFinancials(rssd_id,$S$2,J$5,J$4,$B17,"K"),"")</f>
        <v/>
      </c>
      <c r="K17" s="69" t="str">
        <f>IFERROR([1]!IntrinioBankFinancials(rssd_id,$S$2,K$5,K$4,$B17,"K"),"")</f>
        <v/>
      </c>
      <c r="L17" s="69" t="str">
        <f>IFERROR([1]!IntrinioBankFinancials(rssd_id,$S$2,L$5,L$4,$B17,"K"),"")</f>
        <v/>
      </c>
      <c r="M17" s="69" t="str">
        <f>IFERROR([1]!IntrinioBankFinancials(rssd_id,$S$2,M$5,M$4,$B17,"K"),"")</f>
        <v/>
      </c>
      <c r="N17" s="69" t="str">
        <f>IFERROR([1]!IntrinioBankFinancials(rssd_id,$S$2,N$5,N$4,$B17,"K"),"")</f>
        <v/>
      </c>
      <c r="O17" s="69" t="str">
        <f>IFERROR([1]!IntrinioBankFinancials(rssd_id,$S$2,O$5,O$4,$B17,"K"),"")</f>
        <v/>
      </c>
      <c r="P17" s="49" t="s">
        <v>114</v>
      </c>
      <c r="Q17" s="49"/>
    </row>
    <row r="18" spans="1:17" ht="57" x14ac:dyDescent="0.45">
      <c r="A18" s="60" t="s">
        <v>1871</v>
      </c>
      <c r="B18" s="68" t="s">
        <v>1033</v>
      </c>
      <c r="C18" s="69" t="str">
        <f>IFERROR([1]!IntrinioBankFinancials(rssd_id,$S$2,C$5,C$4,$B18,"K"),"")</f>
        <v/>
      </c>
      <c r="D18" s="69" t="str">
        <f>IFERROR([1]!IntrinioBankFinancials(rssd_id,$S$2,D$5,D$4,$B18,"K"),"")</f>
        <v/>
      </c>
      <c r="E18" s="69" t="str">
        <f>IFERROR([1]!IntrinioBankFinancials(rssd_id,$S$2,E$5,E$4,$B18,"K"),"")</f>
        <v/>
      </c>
      <c r="F18" s="69" t="str">
        <f>IFERROR([1]!IntrinioBankFinancials(rssd_id,$S$2,F$5,F$4,$B18,"K"),"")</f>
        <v/>
      </c>
      <c r="G18" s="69" t="str">
        <f>IFERROR([1]!IntrinioBankFinancials(rssd_id,$S$2,G$5,G$4,$B18,"K"),"")</f>
        <v/>
      </c>
      <c r="H18" s="69" t="str">
        <f>IFERROR([1]!IntrinioBankFinancials(rssd_id,$S$2,H$5,H$4,$B18,"K"),"")</f>
        <v/>
      </c>
      <c r="I18" s="69" t="str">
        <f>IFERROR([1]!IntrinioBankFinancials(rssd_id,$S$2,I$5,I$4,$B18,"K"),"")</f>
        <v/>
      </c>
      <c r="J18" s="69" t="str">
        <f>IFERROR([1]!IntrinioBankFinancials(rssd_id,$S$2,J$5,J$4,$B18,"K"),"")</f>
        <v/>
      </c>
      <c r="K18" s="69" t="str">
        <f>IFERROR([1]!IntrinioBankFinancials(rssd_id,$S$2,K$5,K$4,$B18,"K"),"")</f>
        <v/>
      </c>
      <c r="L18" s="69" t="str">
        <f>IFERROR([1]!IntrinioBankFinancials(rssd_id,$S$2,L$5,L$4,$B18,"K"),"")</f>
        <v/>
      </c>
      <c r="M18" s="69" t="str">
        <f>IFERROR([1]!IntrinioBankFinancials(rssd_id,$S$2,M$5,M$4,$B18,"K"),"")</f>
        <v/>
      </c>
      <c r="N18" s="69" t="str">
        <f>IFERROR([1]!IntrinioBankFinancials(rssd_id,$S$2,N$5,N$4,$B18,"K"),"")</f>
        <v/>
      </c>
      <c r="O18" s="69" t="str">
        <f>IFERROR([1]!IntrinioBankFinancials(rssd_id,$S$2,O$5,O$4,$B18,"K"),"")</f>
        <v/>
      </c>
      <c r="P18" s="49" t="s">
        <v>115</v>
      </c>
      <c r="Q18" s="49"/>
    </row>
  </sheetData>
  <pageMargins left="0.7" right="0.7" top="0.75" bottom="0.75" header="0.3" footer="0.3"/>
  <pageSetup scale="97" fitToHeight="0" orientation="landscape" r:id="rId1"/>
  <headerFooter>
    <oddFooter>&amp;L&amp;G&amp;R&amp;P</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K62"/>
  <sheetViews>
    <sheetView view="pageBreakPreview" zoomScaleNormal="100" zoomScaleSheetLayoutView="100" workbookViewId="0">
      <pane xSplit="1" ySplit="3" topLeftCell="B4" activePane="bottomRight" state="frozen"/>
      <selection pane="topRight"/>
      <selection pane="bottomLeft"/>
      <selection pane="bottomRight"/>
    </sheetView>
  </sheetViews>
  <sheetFormatPr defaultColWidth="9.140625" defaultRowHeight="13.15" x14ac:dyDescent="0.4"/>
  <cols>
    <col min="1" max="1" width="38.85546875" style="3" customWidth="1"/>
    <col min="2" max="2" width="13" style="3" bestFit="1" customWidth="1"/>
    <col min="3" max="3" width="14.640625" style="3" bestFit="1" customWidth="1"/>
    <col min="4" max="4" width="12.85546875" style="3" bestFit="1" customWidth="1"/>
    <col min="5" max="5" width="14.640625" style="3" bestFit="1" customWidth="1"/>
    <col min="6" max="7" width="15" style="3" bestFit="1" customWidth="1"/>
    <col min="8" max="9" width="9.140625" style="3"/>
    <col min="10" max="10" width="18.5" style="3" bestFit="1" customWidth="1"/>
    <col min="11" max="16384" width="9.140625" style="3"/>
  </cols>
  <sheetData>
    <row r="1" spans="1:11" ht="18" x14ac:dyDescent="0.4">
      <c r="A1" s="64" t="str">
        <f>name</f>
        <v/>
      </c>
    </row>
    <row r="2" spans="1:11" ht="18" x14ac:dyDescent="0.4">
      <c r="A2" s="65" t="s">
        <v>1831</v>
      </c>
      <c r="B2" s="20"/>
      <c r="C2" s="20"/>
      <c r="D2" s="21"/>
      <c r="E2" s="20"/>
      <c r="F2" s="20"/>
      <c r="G2" s="20"/>
      <c r="H2" s="20"/>
      <c r="J2" s="13" t="s">
        <v>234</v>
      </c>
      <c r="K2" s="13" t="s">
        <v>881</v>
      </c>
    </row>
    <row r="3" spans="1:11" ht="14.25" x14ac:dyDescent="0.45">
      <c r="A3" s="63" t="s">
        <v>1</v>
      </c>
      <c r="B3" s="20"/>
      <c r="C3" s="20"/>
      <c r="D3" s="21"/>
      <c r="E3" s="20"/>
      <c r="F3" s="20"/>
      <c r="G3" s="20"/>
      <c r="H3" s="20"/>
    </row>
    <row r="4" spans="1:11" ht="18" x14ac:dyDescent="0.45">
      <c r="A4" s="63"/>
      <c r="B4" s="106" t="str">
        <f>[1]!IntrinioBankFundamentals(rssd_id,K2,fiscal_period_type,0,"fiscal_period")</f>
        <v/>
      </c>
      <c r="C4" s="106"/>
      <c r="D4" s="106"/>
      <c r="E4" s="106"/>
      <c r="F4" s="106"/>
      <c r="G4" s="106"/>
      <c r="H4" s="20"/>
    </row>
    <row r="5" spans="1:11" ht="18" x14ac:dyDescent="0.45">
      <c r="A5" s="63"/>
      <c r="B5" s="107" t="str">
        <f>[1]!IntrinioBankFundamentals(rssd_id,K2,fiscal_period_type,0,"fiscal_year")</f>
        <v/>
      </c>
      <c r="C5" s="107"/>
      <c r="D5" s="107"/>
      <c r="E5" s="107"/>
      <c r="F5" s="107"/>
      <c r="G5" s="107"/>
      <c r="H5" s="20"/>
    </row>
    <row r="6" spans="1:11" x14ac:dyDescent="0.4">
      <c r="A6" s="20"/>
      <c r="B6" s="76" t="s">
        <v>245</v>
      </c>
      <c r="C6" s="76" t="s">
        <v>246</v>
      </c>
      <c r="D6" s="76" t="s">
        <v>247</v>
      </c>
      <c r="E6" s="76" t="s">
        <v>248</v>
      </c>
      <c r="F6" s="76" t="s">
        <v>249</v>
      </c>
      <c r="G6" s="76" t="s">
        <v>250</v>
      </c>
      <c r="H6" s="20"/>
    </row>
    <row r="7" spans="1:11" x14ac:dyDescent="0.4">
      <c r="A7" s="20"/>
      <c r="B7" s="76" t="s">
        <v>251</v>
      </c>
      <c r="C7" s="76" t="s">
        <v>252</v>
      </c>
      <c r="D7" s="76" t="s">
        <v>251</v>
      </c>
      <c r="E7" s="76" t="s">
        <v>252</v>
      </c>
      <c r="F7" s="76" t="s">
        <v>251</v>
      </c>
      <c r="G7" s="76" t="s">
        <v>252</v>
      </c>
      <c r="H7" s="20"/>
    </row>
    <row r="8" spans="1:11" x14ac:dyDescent="0.4">
      <c r="A8" s="20"/>
      <c r="B8" s="76" t="s">
        <v>253</v>
      </c>
      <c r="C8" s="76" t="s">
        <v>254</v>
      </c>
      <c r="D8" s="76" t="s">
        <v>253</v>
      </c>
      <c r="E8" s="76" t="s">
        <v>255</v>
      </c>
      <c r="F8" s="76" t="s">
        <v>253</v>
      </c>
      <c r="G8" s="76" t="s">
        <v>256</v>
      </c>
      <c r="H8" s="20"/>
    </row>
    <row r="9" spans="1:11" x14ac:dyDescent="0.4">
      <c r="A9" s="20"/>
      <c r="B9" s="76" t="s">
        <v>254</v>
      </c>
      <c r="C9" s="76" t="s">
        <v>257</v>
      </c>
      <c r="D9" s="76" t="s">
        <v>255</v>
      </c>
      <c r="E9" s="76" t="s">
        <v>257</v>
      </c>
      <c r="F9" s="76" t="s">
        <v>256</v>
      </c>
      <c r="G9" s="76" t="s">
        <v>258</v>
      </c>
      <c r="H9" s="20"/>
    </row>
    <row r="10" spans="1:11" x14ac:dyDescent="0.4">
      <c r="A10" s="20"/>
      <c r="B10" s="76" t="s">
        <v>257</v>
      </c>
      <c r="C10" s="76" t="s">
        <v>259</v>
      </c>
      <c r="D10" s="76" t="s">
        <v>257</v>
      </c>
      <c r="E10" s="76" t="s">
        <v>260</v>
      </c>
      <c r="F10" s="76" t="s">
        <v>258</v>
      </c>
      <c r="G10" s="76" t="s">
        <v>261</v>
      </c>
      <c r="H10" s="20"/>
    </row>
    <row r="11" spans="1:11" x14ac:dyDescent="0.4">
      <c r="A11" s="20"/>
      <c r="B11" s="76" t="s">
        <v>259</v>
      </c>
      <c r="C11" s="76" t="s">
        <v>262</v>
      </c>
      <c r="D11" s="76" t="s">
        <v>260</v>
      </c>
      <c r="E11" s="76" t="s">
        <v>263</v>
      </c>
      <c r="F11" s="76" t="s">
        <v>261</v>
      </c>
      <c r="G11" s="77"/>
      <c r="H11" s="20"/>
    </row>
    <row r="12" spans="1:11" x14ac:dyDescent="0.4">
      <c r="A12" s="20"/>
      <c r="B12" s="76" t="s">
        <v>262</v>
      </c>
      <c r="C12" s="76" t="s">
        <v>264</v>
      </c>
      <c r="D12" s="76" t="s">
        <v>263</v>
      </c>
      <c r="E12" s="77"/>
      <c r="F12" s="77"/>
      <c r="G12" s="77"/>
      <c r="H12" s="20"/>
    </row>
    <row r="13" spans="1:11" x14ac:dyDescent="0.4">
      <c r="A13" s="20"/>
      <c r="B13" s="76" t="s">
        <v>264</v>
      </c>
      <c r="C13" s="76" t="s">
        <v>265</v>
      </c>
      <c r="D13" s="77"/>
      <c r="E13" s="77"/>
      <c r="F13" s="77"/>
      <c r="G13" s="77"/>
      <c r="H13" s="20"/>
    </row>
    <row r="14" spans="1:11" x14ac:dyDescent="0.4">
      <c r="B14" s="78" t="s">
        <v>265</v>
      </c>
      <c r="C14" s="79"/>
      <c r="D14" s="79"/>
      <c r="E14" s="79"/>
      <c r="F14" s="79"/>
      <c r="G14" s="79"/>
      <c r="H14" s="20"/>
    </row>
    <row r="15" spans="1:11" ht="14.25" x14ac:dyDescent="0.4">
      <c r="B15" s="75"/>
      <c r="C15" s="75"/>
      <c r="D15" s="75"/>
      <c r="E15" s="75"/>
      <c r="F15" s="75"/>
      <c r="G15" s="75"/>
      <c r="H15" s="20"/>
    </row>
    <row r="16" spans="1:11" ht="14.25" x14ac:dyDescent="0.45">
      <c r="A16" s="58" t="s">
        <v>266</v>
      </c>
      <c r="B16" s="75"/>
      <c r="C16" s="75"/>
      <c r="D16" s="75"/>
      <c r="E16" s="75"/>
      <c r="F16" s="75"/>
      <c r="G16" s="75"/>
      <c r="H16" s="49">
        <v>1</v>
      </c>
    </row>
    <row r="17" spans="1:8" ht="14.25" x14ac:dyDescent="0.45">
      <c r="A17" s="59"/>
      <c r="B17" s="68" t="s">
        <v>1043</v>
      </c>
      <c r="C17" s="68" t="s">
        <v>1044</v>
      </c>
      <c r="D17" s="68" t="s">
        <v>1045</v>
      </c>
      <c r="E17" s="68" t="s">
        <v>1046</v>
      </c>
      <c r="F17" s="68" t="s">
        <v>1047</v>
      </c>
      <c r="G17" s="68" t="s">
        <v>1048</v>
      </c>
      <c r="H17" s="49"/>
    </row>
    <row r="18" spans="1:8" ht="14.25" x14ac:dyDescent="0.45">
      <c r="A18" s="58" t="s">
        <v>267</v>
      </c>
      <c r="B18" s="69" t="str">
        <f>IFERROR([1]!IntrinioBankFinancials(rssd_id,$K$2,$B$5,$B$4,B17,"K"),"")</f>
        <v/>
      </c>
      <c r="C18" s="69" t="str">
        <f>IFERROR([1]!IntrinioBankFinancials(rssd_id,$K$2,$B$5,$B$4,C17,"K"),"")</f>
        <v/>
      </c>
      <c r="D18" s="69" t="str">
        <f>IFERROR([1]!IntrinioBankFinancials(rssd_id,$K$2,$B$5,$B$4,D17,"K"),"")</f>
        <v/>
      </c>
      <c r="E18" s="69" t="str">
        <f>IFERROR([1]!IntrinioBankFinancials(rssd_id,$K$2,$B$5,$B$4,E17,"K"),"")</f>
        <v/>
      </c>
      <c r="F18" s="69" t="str">
        <f>IFERROR([1]!IntrinioBankFinancials(rssd_id,$K$2,$B$5,$B$4,F17,"K"),"")</f>
        <v/>
      </c>
      <c r="G18" s="69" t="str">
        <f>IFERROR([1]!IntrinioBankFinancials(rssd_id,$K$2,$B$5,$B$4,G17,"K"),"")</f>
        <v/>
      </c>
      <c r="H18" s="49" t="s">
        <v>4</v>
      </c>
    </row>
    <row r="19" spans="1:8" ht="14.25" x14ac:dyDescent="0.45">
      <c r="A19" s="59"/>
      <c r="B19" s="68" t="s">
        <v>1049</v>
      </c>
      <c r="C19" s="68" t="s">
        <v>1050</v>
      </c>
      <c r="D19" s="68" t="s">
        <v>1051</v>
      </c>
      <c r="E19" s="68" t="s">
        <v>1052</v>
      </c>
      <c r="F19" s="68" t="s">
        <v>1053</v>
      </c>
      <c r="G19" s="68" t="s">
        <v>1054</v>
      </c>
      <c r="H19" s="49"/>
    </row>
    <row r="20" spans="1:8" ht="14.25" x14ac:dyDescent="0.45">
      <c r="A20" s="58" t="s">
        <v>268</v>
      </c>
      <c r="B20" s="69" t="str">
        <f>IFERROR([1]!IntrinioBankFinancials(rssd_id,$K$2,$B$5,$B$4,B19,"K"),"")</f>
        <v/>
      </c>
      <c r="C20" s="69" t="str">
        <f>IFERROR([1]!IntrinioBankFinancials(rssd_id,$K$2,$B$5,$B$4,C19,"K"),"")</f>
        <v/>
      </c>
      <c r="D20" s="69" t="str">
        <f>IFERROR([1]!IntrinioBankFinancials(rssd_id,$K$2,$B$5,$B$4,D19,"K"),"")</f>
        <v/>
      </c>
      <c r="E20" s="69" t="str">
        <f>IFERROR([1]!IntrinioBankFinancials(rssd_id,$K$2,$B$5,$B$4,E19,"K"),"")</f>
        <v/>
      </c>
      <c r="F20" s="69" t="str">
        <f>IFERROR([1]!IntrinioBankFinancials(rssd_id,$K$2,$B$5,$B$4,F19,"K"),"")</f>
        <v/>
      </c>
      <c r="G20" s="69" t="str">
        <f>IFERROR([1]!IntrinioBankFinancials(rssd_id,$K$2,$B$5,$B$4,G19,"K"),"")</f>
        <v/>
      </c>
      <c r="H20" s="49" t="s">
        <v>15</v>
      </c>
    </row>
    <row r="21" spans="1:8" ht="14.25" x14ac:dyDescent="0.45">
      <c r="A21" s="59"/>
      <c r="B21" s="68" t="s">
        <v>1055</v>
      </c>
      <c r="C21" s="68" t="s">
        <v>1056</v>
      </c>
      <c r="D21" s="68" t="s">
        <v>1057</v>
      </c>
      <c r="E21" s="68" t="s">
        <v>1058</v>
      </c>
      <c r="F21" s="68" t="s">
        <v>1059</v>
      </c>
      <c r="G21" s="68" t="s">
        <v>1060</v>
      </c>
      <c r="H21" s="49"/>
    </row>
    <row r="22" spans="1:8" ht="14.25" x14ac:dyDescent="0.45">
      <c r="A22" s="58" t="s">
        <v>269</v>
      </c>
      <c r="B22" s="69" t="str">
        <f>IFERROR([1]!IntrinioBankFinancials(rssd_id,$K$2,$B$5,$B$4,B21,"K"),"")</f>
        <v/>
      </c>
      <c r="C22" s="69" t="str">
        <f>IFERROR([1]!IntrinioBankFinancials(rssd_id,$K$2,$B$5,$B$4,C21,"K"),"")</f>
        <v/>
      </c>
      <c r="D22" s="69" t="str">
        <f>IFERROR([1]!IntrinioBankFinancials(rssd_id,$K$2,$B$5,$B$4,D21,"K"),"")</f>
        <v/>
      </c>
      <c r="E22" s="69" t="str">
        <f>IFERROR([1]!IntrinioBankFinancials(rssd_id,$K$2,$B$5,$B$4,E21,"K"),"")</f>
        <v/>
      </c>
      <c r="F22" s="69" t="str">
        <f>IFERROR([1]!IntrinioBankFinancials(rssd_id,$K$2,$B$5,$B$4,F21,"K"),"")</f>
        <v/>
      </c>
      <c r="G22" s="69" t="str">
        <f>IFERROR([1]!IntrinioBankFinancials(rssd_id,$K$2,$B$5,$B$4,G21,"K"),"")</f>
        <v/>
      </c>
      <c r="H22" s="49" t="s">
        <v>17</v>
      </c>
    </row>
    <row r="23" spans="1:8" ht="14.25" x14ac:dyDescent="0.45">
      <c r="A23" s="59"/>
      <c r="B23" s="68" t="s">
        <v>1061</v>
      </c>
      <c r="C23" s="68" t="s">
        <v>1062</v>
      </c>
      <c r="D23" s="68" t="s">
        <v>1063</v>
      </c>
      <c r="E23" s="68" t="s">
        <v>1064</v>
      </c>
      <c r="F23" s="68" t="s">
        <v>1065</v>
      </c>
      <c r="G23" s="68" t="s">
        <v>1066</v>
      </c>
      <c r="H23" s="49"/>
    </row>
    <row r="24" spans="1:8" ht="14.25" x14ac:dyDescent="0.45">
      <c r="A24" s="58" t="s">
        <v>270</v>
      </c>
      <c r="B24" s="69" t="str">
        <f>IFERROR([1]!IntrinioBankFinancials(rssd_id,$K$2,$B$5,$B$4,B23,"K"),"")</f>
        <v/>
      </c>
      <c r="C24" s="69" t="str">
        <f>IFERROR([1]!IntrinioBankFinancials(rssd_id,$K$2,$B$5,$B$4,C23,"K"),"")</f>
        <v/>
      </c>
      <c r="D24" s="69" t="str">
        <f>IFERROR([1]!IntrinioBankFinancials(rssd_id,$K$2,$B$5,$B$4,D23,"K"),"")</f>
        <v/>
      </c>
      <c r="E24" s="69" t="str">
        <f>IFERROR([1]!IntrinioBankFinancials(rssd_id,$K$2,$B$5,$B$4,E23,"K"),"")</f>
        <v/>
      </c>
      <c r="F24" s="69" t="str">
        <f>IFERROR([1]!IntrinioBankFinancials(rssd_id,$K$2,$B$5,$B$4,F23,"K"),"")</f>
        <v/>
      </c>
      <c r="G24" s="69" t="str">
        <f>IFERROR([1]!IntrinioBankFinancials(rssd_id,$K$2,$B$5,$B$4,G23,"K"),"")</f>
        <v/>
      </c>
      <c r="H24" s="49">
        <v>2</v>
      </c>
    </row>
    <row r="25" spans="1:8" ht="14.25" x14ac:dyDescent="0.45">
      <c r="A25" s="59"/>
      <c r="B25" s="68" t="s">
        <v>1067</v>
      </c>
      <c r="C25" s="68" t="s">
        <v>1068</v>
      </c>
      <c r="D25" s="68" t="s">
        <v>1069</v>
      </c>
      <c r="E25" s="68" t="s">
        <v>1070</v>
      </c>
      <c r="F25" s="68" t="s">
        <v>1071</v>
      </c>
      <c r="G25" s="68" t="s">
        <v>1072</v>
      </c>
      <c r="H25" s="49"/>
    </row>
    <row r="26" spans="1:8" ht="14.25" x14ac:dyDescent="0.45">
      <c r="A26" s="58" t="s">
        <v>271</v>
      </c>
      <c r="B26" s="69" t="str">
        <f>IFERROR([1]!IntrinioBankFinancials(rssd_id,$K$2,$B$5,$B$4,B25,"K"),"")</f>
        <v/>
      </c>
      <c r="C26" s="69" t="str">
        <f>IFERROR([1]!IntrinioBankFinancials(rssd_id,$K$2,$B$5,$B$4,C25,"K"),"")</f>
        <v/>
      </c>
      <c r="D26" s="69" t="str">
        <f>IFERROR([1]!IntrinioBankFinancials(rssd_id,$K$2,$B$5,$B$4,D25,"K"),"")</f>
        <v/>
      </c>
      <c r="E26" s="69" t="str">
        <f>IFERROR([1]!IntrinioBankFinancials(rssd_id,$K$2,$B$5,$B$4,E25,"K"),"")</f>
        <v/>
      </c>
      <c r="F26" s="69" t="str">
        <f>IFERROR([1]!IntrinioBankFinancials(rssd_id,$K$2,$B$5,$B$4,F25,"K"),"")</f>
        <v/>
      </c>
      <c r="G26" s="69" t="str">
        <f>IFERROR([1]!IntrinioBankFinancials(rssd_id,$K$2,$B$5,$B$4,G25,"K"),"")</f>
        <v/>
      </c>
      <c r="H26" s="49">
        <v>3</v>
      </c>
    </row>
    <row r="27" spans="1:8" ht="14.25" x14ac:dyDescent="0.45">
      <c r="A27" s="59"/>
      <c r="B27" s="68" t="s">
        <v>1073</v>
      </c>
      <c r="C27" s="68" t="s">
        <v>1074</v>
      </c>
      <c r="D27" s="68" t="s">
        <v>1075</v>
      </c>
      <c r="E27" s="68" t="s">
        <v>1076</v>
      </c>
      <c r="F27" s="68" t="s">
        <v>1077</v>
      </c>
      <c r="G27" s="68" t="s">
        <v>1078</v>
      </c>
      <c r="H27" s="49"/>
    </row>
    <row r="28" spans="1:8" ht="14.25" x14ac:dyDescent="0.45">
      <c r="A28" s="58" t="s">
        <v>272</v>
      </c>
      <c r="B28" s="69" t="str">
        <f>IFERROR([1]!IntrinioBankFinancials(rssd_id,$K$2,$B$5,$B$4,B27,"K"),"")</f>
        <v/>
      </c>
      <c r="C28" s="69" t="str">
        <f>IFERROR([1]!IntrinioBankFinancials(rssd_id,$K$2,$B$5,$B$4,C27,"K"),"")</f>
        <v/>
      </c>
      <c r="D28" s="69" t="str">
        <f>IFERROR([1]!IntrinioBankFinancials(rssd_id,$K$2,$B$5,$B$4,D27,"K"),"")</f>
        <v/>
      </c>
      <c r="E28" s="69" t="str">
        <f>IFERROR([1]!IntrinioBankFinancials(rssd_id,$K$2,$B$5,$B$4,E27,"K"),"")</f>
        <v/>
      </c>
      <c r="F28" s="69" t="str">
        <f>IFERROR([1]!IntrinioBankFinancials(rssd_id,$K$2,$B$5,$B$4,F27,"K"),"")</f>
        <v/>
      </c>
      <c r="G28" s="69" t="str">
        <f>IFERROR([1]!IntrinioBankFinancials(rssd_id,$K$2,$B$5,$B$4,G27,"K"),"")</f>
        <v/>
      </c>
      <c r="H28" s="49">
        <v>4</v>
      </c>
    </row>
    <row r="29" spans="1:8" ht="14.25" x14ac:dyDescent="0.45">
      <c r="A29" s="59"/>
      <c r="B29" s="75"/>
      <c r="C29" s="75"/>
      <c r="D29" s="75"/>
      <c r="E29" s="68" t="s">
        <v>1079</v>
      </c>
      <c r="F29" s="75"/>
      <c r="G29" s="75"/>
      <c r="H29" s="49"/>
    </row>
    <row r="30" spans="1:8" ht="14.25" x14ac:dyDescent="0.45">
      <c r="A30" s="58" t="s">
        <v>273</v>
      </c>
      <c r="B30" s="75"/>
      <c r="C30" s="75"/>
      <c r="D30" s="75"/>
      <c r="E30" s="69" t="str">
        <f>IFERROR([1]!IntrinioBankFinancials(rssd_id,$K$2,$B$5,$B$4,E29,"K"),"")</f>
        <v/>
      </c>
      <c r="F30" s="75"/>
      <c r="G30" s="75"/>
      <c r="H30" s="49">
        <v>5</v>
      </c>
    </row>
    <row r="31" spans="1:8" ht="14.25" x14ac:dyDescent="0.45">
      <c r="A31" s="59"/>
      <c r="B31" s="68" t="s">
        <v>1080</v>
      </c>
      <c r="C31" s="68" t="s">
        <v>1081</v>
      </c>
      <c r="D31" s="68" t="s">
        <v>1082</v>
      </c>
      <c r="E31" s="68" t="s">
        <v>1083</v>
      </c>
      <c r="F31" s="68" t="s">
        <v>1084</v>
      </c>
      <c r="G31" s="68" t="s">
        <v>1085</v>
      </c>
      <c r="H31" s="49"/>
    </row>
    <row r="32" spans="1:8" ht="14.25" x14ac:dyDescent="0.45">
      <c r="A32" s="58" t="s">
        <v>274</v>
      </c>
      <c r="B32" s="69" t="str">
        <f>IFERROR([1]!IntrinioBankFinancials(rssd_id,$K$2,$B$5,$B$4,B31,"K"),"")</f>
        <v/>
      </c>
      <c r="C32" s="69" t="str">
        <f>IFERROR([1]!IntrinioBankFinancials(rssd_id,$K$2,$B$5,$B$4,C31,"K"),"")</f>
        <v/>
      </c>
      <c r="D32" s="69" t="str">
        <f>IFERROR([1]!IntrinioBankFinancials(rssd_id,$K$2,$B$5,$B$4,D31,"K"),"")</f>
        <v/>
      </c>
      <c r="E32" s="69" t="str">
        <f>IFERROR([1]!IntrinioBankFinancials(rssd_id,$K$2,$B$5,$B$4,E31,"K"),"")</f>
        <v/>
      </c>
      <c r="F32" s="69" t="str">
        <f>IFERROR([1]!IntrinioBankFinancials(rssd_id,$K$2,$B$5,$B$4,F31,"K"),"")</f>
        <v/>
      </c>
      <c r="G32" s="69" t="str">
        <f>IFERROR([1]!IntrinioBankFinancials(rssd_id,$K$2,$B$5,$B$4,G31,"K"),"")</f>
        <v/>
      </c>
      <c r="H32" s="49">
        <v>6</v>
      </c>
    </row>
    <row r="33" spans="1:8" ht="14.25" x14ac:dyDescent="0.4">
      <c r="A33" s="40"/>
    </row>
    <row r="34" spans="1:8" ht="18" x14ac:dyDescent="0.45">
      <c r="A34" s="63"/>
      <c r="B34" s="106" t="str">
        <f>[1]!IntrinioBankFundamentals(rssd_id,K2,fiscal_period_type,1,"fiscal_period")</f>
        <v/>
      </c>
      <c r="C34" s="106"/>
      <c r="D34" s="106"/>
      <c r="E34" s="106"/>
      <c r="F34" s="106"/>
      <c r="G34" s="106"/>
      <c r="H34" s="20"/>
    </row>
    <row r="35" spans="1:8" ht="18" x14ac:dyDescent="0.45">
      <c r="A35" s="63"/>
      <c r="B35" s="107" t="str">
        <f>[1]!IntrinioBankFundamentals(rssd_id,K2,fiscal_period_type,1,"fiscal_year")</f>
        <v/>
      </c>
      <c r="C35" s="107"/>
      <c r="D35" s="107"/>
      <c r="E35" s="107"/>
      <c r="F35" s="107"/>
      <c r="G35" s="107"/>
      <c r="H35" s="20"/>
    </row>
    <row r="36" spans="1:8" x14ac:dyDescent="0.4">
      <c r="A36" s="20"/>
      <c r="B36" s="76" t="s">
        <v>245</v>
      </c>
      <c r="C36" s="76" t="s">
        <v>246</v>
      </c>
      <c r="D36" s="76" t="s">
        <v>247</v>
      </c>
      <c r="E36" s="76" t="s">
        <v>248</v>
      </c>
      <c r="F36" s="76" t="s">
        <v>249</v>
      </c>
      <c r="G36" s="76" t="s">
        <v>250</v>
      </c>
      <c r="H36" s="20"/>
    </row>
    <row r="37" spans="1:8" x14ac:dyDescent="0.4">
      <c r="A37" s="20"/>
      <c r="B37" s="76" t="s">
        <v>251</v>
      </c>
      <c r="C37" s="76" t="s">
        <v>252</v>
      </c>
      <c r="D37" s="76" t="s">
        <v>251</v>
      </c>
      <c r="E37" s="76" t="s">
        <v>252</v>
      </c>
      <c r="F37" s="76" t="s">
        <v>251</v>
      </c>
      <c r="G37" s="76" t="s">
        <v>252</v>
      </c>
      <c r="H37" s="20"/>
    </row>
    <row r="38" spans="1:8" x14ac:dyDescent="0.4">
      <c r="A38" s="20"/>
      <c r="B38" s="76" t="s">
        <v>253</v>
      </c>
      <c r="C38" s="76" t="s">
        <v>254</v>
      </c>
      <c r="D38" s="76" t="s">
        <v>253</v>
      </c>
      <c r="E38" s="76" t="s">
        <v>255</v>
      </c>
      <c r="F38" s="76" t="s">
        <v>253</v>
      </c>
      <c r="G38" s="76" t="s">
        <v>256</v>
      </c>
      <c r="H38" s="20"/>
    </row>
    <row r="39" spans="1:8" x14ac:dyDescent="0.4">
      <c r="A39" s="20"/>
      <c r="B39" s="76" t="s">
        <v>254</v>
      </c>
      <c r="C39" s="76" t="s">
        <v>257</v>
      </c>
      <c r="D39" s="76" t="s">
        <v>255</v>
      </c>
      <c r="E39" s="76" t="s">
        <v>257</v>
      </c>
      <c r="F39" s="76" t="s">
        <v>256</v>
      </c>
      <c r="G39" s="76" t="s">
        <v>258</v>
      </c>
      <c r="H39" s="20"/>
    </row>
    <row r="40" spans="1:8" x14ac:dyDescent="0.4">
      <c r="A40" s="20"/>
      <c r="B40" s="76" t="s">
        <v>257</v>
      </c>
      <c r="C40" s="76" t="s">
        <v>259</v>
      </c>
      <c r="D40" s="76" t="s">
        <v>257</v>
      </c>
      <c r="E40" s="76" t="s">
        <v>260</v>
      </c>
      <c r="F40" s="76" t="s">
        <v>258</v>
      </c>
      <c r="G40" s="76" t="s">
        <v>261</v>
      </c>
      <c r="H40" s="20"/>
    </row>
    <row r="41" spans="1:8" x14ac:dyDescent="0.4">
      <c r="A41" s="20"/>
      <c r="B41" s="76" t="s">
        <v>259</v>
      </c>
      <c r="C41" s="76" t="s">
        <v>262</v>
      </c>
      <c r="D41" s="76" t="s">
        <v>260</v>
      </c>
      <c r="E41" s="76" t="s">
        <v>263</v>
      </c>
      <c r="F41" s="76" t="s">
        <v>261</v>
      </c>
      <c r="G41" s="77"/>
      <c r="H41" s="20"/>
    </row>
    <row r="42" spans="1:8" x14ac:dyDescent="0.4">
      <c r="A42" s="20"/>
      <c r="B42" s="76" t="s">
        <v>262</v>
      </c>
      <c r="C42" s="76" t="s">
        <v>264</v>
      </c>
      <c r="D42" s="76" t="s">
        <v>263</v>
      </c>
      <c r="E42" s="77"/>
      <c r="F42" s="77"/>
      <c r="G42" s="77"/>
      <c r="H42" s="20"/>
    </row>
    <row r="43" spans="1:8" x14ac:dyDescent="0.4">
      <c r="A43" s="20"/>
      <c r="B43" s="76" t="s">
        <v>264</v>
      </c>
      <c r="C43" s="76" t="s">
        <v>265</v>
      </c>
      <c r="D43" s="77"/>
      <c r="E43" s="77"/>
      <c r="F43" s="77"/>
      <c r="G43" s="77"/>
      <c r="H43" s="20"/>
    </row>
    <row r="44" spans="1:8" x14ac:dyDescent="0.4">
      <c r="B44" s="78" t="s">
        <v>265</v>
      </c>
      <c r="C44" s="79"/>
      <c r="D44" s="79"/>
      <c r="E44" s="79"/>
      <c r="F44" s="79"/>
      <c r="G44" s="79"/>
      <c r="H44" s="20"/>
    </row>
    <row r="45" spans="1:8" ht="14.25" x14ac:dyDescent="0.4">
      <c r="B45" s="75"/>
      <c r="C45" s="75"/>
      <c r="D45" s="75"/>
      <c r="E45" s="75"/>
      <c r="F45" s="75"/>
      <c r="G45" s="75"/>
      <c r="H45" s="20"/>
    </row>
    <row r="46" spans="1:8" ht="14.25" x14ac:dyDescent="0.45">
      <c r="A46" s="58" t="s">
        <v>266</v>
      </c>
      <c r="B46" s="75"/>
      <c r="C46" s="75"/>
      <c r="D46" s="75"/>
      <c r="E46" s="75"/>
      <c r="F46" s="75"/>
      <c r="G46" s="75"/>
      <c r="H46" s="49">
        <v>1</v>
      </c>
    </row>
    <row r="47" spans="1:8" ht="14.25" x14ac:dyDescent="0.45">
      <c r="A47" s="59"/>
      <c r="B47" s="68" t="s">
        <v>1043</v>
      </c>
      <c r="C47" s="68" t="s">
        <v>1044</v>
      </c>
      <c r="D47" s="68" t="s">
        <v>1045</v>
      </c>
      <c r="E47" s="68" t="s">
        <v>1046</v>
      </c>
      <c r="F47" s="68" t="s">
        <v>1047</v>
      </c>
      <c r="G47" s="68" t="s">
        <v>1048</v>
      </c>
      <c r="H47" s="49"/>
    </row>
    <row r="48" spans="1:8" ht="14.25" x14ac:dyDescent="0.45">
      <c r="A48" s="58" t="s">
        <v>267</v>
      </c>
      <c r="B48" s="69" t="str">
        <f>IFERROR([1]!IntrinioBankFinancials(rssd_id,$K$2,$B$35,$B$34,B47,"K"),"")</f>
        <v/>
      </c>
      <c r="C48" s="69" t="str">
        <f>IFERROR([1]!IntrinioBankFinancials(rssd_id,$K$2,$B$35,$B$34,C47,"K"),"")</f>
        <v/>
      </c>
      <c r="D48" s="69" t="str">
        <f>IFERROR([1]!IntrinioBankFinancials(rssd_id,$K$2,$B$35,$B$34,D47,"K"),"")</f>
        <v/>
      </c>
      <c r="E48" s="69" t="str">
        <f>IFERROR([1]!IntrinioBankFinancials(rssd_id,$K$2,$B$35,$B$34,E47,"K"),"")</f>
        <v/>
      </c>
      <c r="F48" s="69" t="str">
        <f>IFERROR([1]!IntrinioBankFinancials(rssd_id,$K$2,$B$35,$B$34,F47,"K"),"")</f>
        <v/>
      </c>
      <c r="G48" s="69" t="str">
        <f>IFERROR([1]!IntrinioBankFinancials(rssd_id,$K$2,$B$35,$B$34,G47,"K"),"")</f>
        <v/>
      </c>
      <c r="H48" s="49" t="s">
        <v>4</v>
      </c>
    </row>
    <row r="49" spans="1:8" ht="14.25" x14ac:dyDescent="0.45">
      <c r="A49" s="59"/>
      <c r="B49" s="68" t="s">
        <v>1049</v>
      </c>
      <c r="C49" s="68" t="s">
        <v>1050</v>
      </c>
      <c r="D49" s="68" t="s">
        <v>1051</v>
      </c>
      <c r="E49" s="68" t="s">
        <v>1052</v>
      </c>
      <c r="F49" s="68" t="s">
        <v>1053</v>
      </c>
      <c r="G49" s="68" t="s">
        <v>1054</v>
      </c>
      <c r="H49" s="49"/>
    </row>
    <row r="50" spans="1:8" ht="14.25" x14ac:dyDescent="0.45">
      <c r="A50" s="58" t="s">
        <v>268</v>
      </c>
      <c r="B50" s="69" t="str">
        <f>IFERROR([1]!IntrinioBankFinancials(rssd_id,$K$2,$B$35,$B$34,B49,"K"),"")</f>
        <v/>
      </c>
      <c r="C50" s="69" t="str">
        <f>IFERROR([1]!IntrinioBankFinancials(rssd_id,$K$2,$B$35,$B$34,C49,"K"),"")</f>
        <v/>
      </c>
      <c r="D50" s="69" t="str">
        <f>IFERROR([1]!IntrinioBankFinancials(rssd_id,$K$2,$B$35,$B$34,D49,"K"),"")</f>
        <v/>
      </c>
      <c r="E50" s="69" t="str">
        <f>IFERROR([1]!IntrinioBankFinancials(rssd_id,$K$2,$B$35,$B$34,E49,"K"),"")</f>
        <v/>
      </c>
      <c r="F50" s="69" t="str">
        <f>IFERROR([1]!IntrinioBankFinancials(rssd_id,$K$2,$B$35,$B$34,F49,"K"),"")</f>
        <v/>
      </c>
      <c r="G50" s="69" t="str">
        <f>IFERROR([1]!IntrinioBankFinancials(rssd_id,$K$2,$B$35,$B$34,G49,"K"),"")</f>
        <v/>
      </c>
      <c r="H50" s="49" t="s">
        <v>15</v>
      </c>
    </row>
    <row r="51" spans="1:8" ht="14.25" x14ac:dyDescent="0.45">
      <c r="A51" s="59"/>
      <c r="B51" s="68" t="s">
        <v>1055</v>
      </c>
      <c r="C51" s="68" t="s">
        <v>1056</v>
      </c>
      <c r="D51" s="68" t="s">
        <v>1057</v>
      </c>
      <c r="E51" s="68" t="s">
        <v>1058</v>
      </c>
      <c r="F51" s="68" t="s">
        <v>1059</v>
      </c>
      <c r="G51" s="68" t="s">
        <v>1060</v>
      </c>
      <c r="H51" s="49"/>
    </row>
    <row r="52" spans="1:8" ht="14.25" x14ac:dyDescent="0.45">
      <c r="A52" s="58" t="s">
        <v>269</v>
      </c>
      <c r="B52" s="69" t="str">
        <f>IFERROR([1]!IntrinioBankFinancials(rssd_id,$K$2,$B$35,$B$34,B51,"K"),"")</f>
        <v/>
      </c>
      <c r="C52" s="69" t="str">
        <f>IFERROR([1]!IntrinioBankFinancials(rssd_id,$K$2,$B$35,$B$34,C51,"K"),"")</f>
        <v/>
      </c>
      <c r="D52" s="69" t="str">
        <f>IFERROR([1]!IntrinioBankFinancials(rssd_id,$K$2,$B$35,$B$34,D51,"K"),"")</f>
        <v/>
      </c>
      <c r="E52" s="69" t="str">
        <f>IFERROR([1]!IntrinioBankFinancials(rssd_id,$K$2,$B$35,$B$34,E51,"K"),"")</f>
        <v/>
      </c>
      <c r="F52" s="69" t="str">
        <f>IFERROR([1]!IntrinioBankFinancials(rssd_id,$K$2,$B$35,$B$34,F51,"K"),"")</f>
        <v/>
      </c>
      <c r="G52" s="69" t="str">
        <f>IFERROR([1]!IntrinioBankFinancials(rssd_id,$K$2,$B$35,$B$34,G51,"K"),"")</f>
        <v/>
      </c>
      <c r="H52" s="49" t="s">
        <v>17</v>
      </c>
    </row>
    <row r="53" spans="1:8" ht="14.25" x14ac:dyDescent="0.45">
      <c r="A53" s="59"/>
      <c r="B53" s="68" t="s">
        <v>1061</v>
      </c>
      <c r="C53" s="68" t="s">
        <v>1062</v>
      </c>
      <c r="D53" s="68" t="s">
        <v>1063</v>
      </c>
      <c r="E53" s="68" t="s">
        <v>1064</v>
      </c>
      <c r="F53" s="68" t="s">
        <v>1065</v>
      </c>
      <c r="G53" s="68" t="s">
        <v>1066</v>
      </c>
      <c r="H53" s="49"/>
    </row>
    <row r="54" spans="1:8" ht="14.25" x14ac:dyDescent="0.45">
      <c r="A54" s="58" t="s">
        <v>270</v>
      </c>
      <c r="B54" s="69" t="str">
        <f>IFERROR([1]!IntrinioBankFinancials(rssd_id,$K$2,$B$35,$B$34,B53,"K"),"")</f>
        <v/>
      </c>
      <c r="C54" s="69" t="str">
        <f>IFERROR([1]!IntrinioBankFinancials(rssd_id,$K$2,$B$35,$B$34,C53,"K"),"")</f>
        <v/>
      </c>
      <c r="D54" s="69" t="str">
        <f>IFERROR([1]!IntrinioBankFinancials(rssd_id,$K$2,$B$35,$B$34,D53,"K"),"")</f>
        <v/>
      </c>
      <c r="E54" s="69" t="str">
        <f>IFERROR([1]!IntrinioBankFinancials(rssd_id,$K$2,$B$35,$B$34,E53,"K"),"")</f>
        <v/>
      </c>
      <c r="F54" s="69" t="str">
        <f>IFERROR([1]!IntrinioBankFinancials(rssd_id,$K$2,$B$35,$B$34,F53,"K"),"")</f>
        <v/>
      </c>
      <c r="G54" s="69" t="str">
        <f>IFERROR([1]!IntrinioBankFinancials(rssd_id,$K$2,$B$35,$B$34,G53,"K"),"")</f>
        <v/>
      </c>
      <c r="H54" s="49">
        <v>2</v>
      </c>
    </row>
    <row r="55" spans="1:8" ht="14.25" x14ac:dyDescent="0.45">
      <c r="A55" s="59"/>
      <c r="B55" s="68" t="s">
        <v>1067</v>
      </c>
      <c r="C55" s="68" t="s">
        <v>1068</v>
      </c>
      <c r="D55" s="68" t="s">
        <v>1069</v>
      </c>
      <c r="E55" s="68" t="s">
        <v>1070</v>
      </c>
      <c r="F55" s="68" t="s">
        <v>1071</v>
      </c>
      <c r="G55" s="68" t="s">
        <v>1072</v>
      </c>
      <c r="H55" s="49"/>
    </row>
    <row r="56" spans="1:8" ht="14.25" x14ac:dyDescent="0.45">
      <c r="A56" s="58" t="s">
        <v>271</v>
      </c>
      <c r="B56" s="69" t="str">
        <f>IFERROR([1]!IntrinioBankFinancials(rssd_id,$K$2,$B$35,$B$34,B55,"K"),"")</f>
        <v/>
      </c>
      <c r="C56" s="69" t="str">
        <f>IFERROR([1]!IntrinioBankFinancials(rssd_id,$K$2,$B$35,$B$34,C55,"K"),"")</f>
        <v/>
      </c>
      <c r="D56" s="69" t="str">
        <f>IFERROR([1]!IntrinioBankFinancials(rssd_id,$K$2,$B$35,$B$34,D55,"K"),"")</f>
        <v/>
      </c>
      <c r="E56" s="69" t="str">
        <f>IFERROR([1]!IntrinioBankFinancials(rssd_id,$K$2,$B$35,$B$34,E55,"K"),"")</f>
        <v/>
      </c>
      <c r="F56" s="69" t="str">
        <f>IFERROR([1]!IntrinioBankFinancials(rssd_id,$K$2,$B$35,$B$34,F55,"K"),"")</f>
        <v/>
      </c>
      <c r="G56" s="69" t="str">
        <f>IFERROR([1]!IntrinioBankFinancials(rssd_id,$K$2,$B$35,$B$34,G55,"K"),"")</f>
        <v/>
      </c>
      <c r="H56" s="49">
        <v>3</v>
      </c>
    </row>
    <row r="57" spans="1:8" ht="14.25" x14ac:dyDescent="0.45">
      <c r="A57" s="59"/>
      <c r="B57" s="68" t="s">
        <v>1073</v>
      </c>
      <c r="C57" s="68" t="s">
        <v>1074</v>
      </c>
      <c r="D57" s="68" t="s">
        <v>1075</v>
      </c>
      <c r="E57" s="68" t="s">
        <v>1076</v>
      </c>
      <c r="F57" s="68" t="s">
        <v>1077</v>
      </c>
      <c r="G57" s="68" t="s">
        <v>1078</v>
      </c>
      <c r="H57" s="49"/>
    </row>
    <row r="58" spans="1:8" ht="14.25" x14ac:dyDescent="0.45">
      <c r="A58" s="58" t="s">
        <v>272</v>
      </c>
      <c r="B58" s="69" t="str">
        <f>IFERROR([1]!IntrinioBankFinancials(rssd_id,$K$2,$B$35,$B$34,B57,"K"),"")</f>
        <v/>
      </c>
      <c r="C58" s="69" t="str">
        <f>IFERROR([1]!IntrinioBankFinancials(rssd_id,$K$2,$B$35,$B$34,C57,"K"),"")</f>
        <v/>
      </c>
      <c r="D58" s="69" t="str">
        <f>IFERROR([1]!IntrinioBankFinancials(rssd_id,$K$2,$B$35,$B$34,D57,"K"),"")</f>
        <v/>
      </c>
      <c r="E58" s="69" t="str">
        <f>IFERROR([1]!IntrinioBankFinancials(rssd_id,$K$2,$B$35,$B$34,E57,"K"),"")</f>
        <v/>
      </c>
      <c r="F58" s="69" t="str">
        <f>IFERROR([1]!IntrinioBankFinancials(rssd_id,$K$2,$B$35,$B$34,F57,"K"),"")</f>
        <v/>
      </c>
      <c r="G58" s="69" t="str">
        <f>IFERROR([1]!IntrinioBankFinancials(rssd_id,$K$2,$B$35,$B$34,G57,"K"),"")</f>
        <v/>
      </c>
      <c r="H58" s="49">
        <v>4</v>
      </c>
    </row>
    <row r="59" spans="1:8" ht="14.25" x14ac:dyDescent="0.45">
      <c r="A59" s="59"/>
      <c r="B59" s="75"/>
      <c r="C59" s="75"/>
      <c r="D59" s="75"/>
      <c r="E59" s="68" t="s">
        <v>1079</v>
      </c>
      <c r="F59" s="75"/>
      <c r="G59" s="75"/>
      <c r="H59" s="49"/>
    </row>
    <row r="60" spans="1:8" ht="14.25" x14ac:dyDescent="0.45">
      <c r="A60" s="58" t="s">
        <v>273</v>
      </c>
      <c r="B60" s="75"/>
      <c r="C60" s="75"/>
      <c r="D60" s="75"/>
      <c r="E60" s="69" t="str">
        <f>IFERROR([1]!IntrinioBankFinancials(rssd_id,$K$2,$B$35,$B$34,E59,"K"),"")</f>
        <v/>
      </c>
      <c r="F60" s="75"/>
      <c r="G60" s="75"/>
      <c r="H60" s="49">
        <v>5</v>
      </c>
    </row>
    <row r="61" spans="1:8" ht="14.25" x14ac:dyDescent="0.45">
      <c r="A61" s="59"/>
      <c r="B61" s="68" t="s">
        <v>1080</v>
      </c>
      <c r="C61" s="68" t="s">
        <v>1081</v>
      </c>
      <c r="D61" s="68" t="s">
        <v>1082</v>
      </c>
      <c r="E61" s="68" t="s">
        <v>1083</v>
      </c>
      <c r="F61" s="68" t="s">
        <v>1084</v>
      </c>
      <c r="G61" s="68" t="s">
        <v>1085</v>
      </c>
      <c r="H61" s="49"/>
    </row>
    <row r="62" spans="1:8" ht="14.25" x14ac:dyDescent="0.45">
      <c r="A62" s="58" t="s">
        <v>274</v>
      </c>
      <c r="B62" s="69" t="str">
        <f>IFERROR([1]!IntrinioBankFinancials(rssd_id,$K$2,$B$35,$B$34,B61,"K"),"")</f>
        <v/>
      </c>
      <c r="C62" s="69" t="str">
        <f>IFERROR([1]!IntrinioBankFinancials(rssd_id,$K$2,$B$35,$B$34,C61,"K"),"")</f>
        <v/>
      </c>
      <c r="D62" s="69" t="str">
        <f>IFERROR([1]!IntrinioBankFinancials(rssd_id,$K$2,$B$35,$B$34,D61,"K"),"")</f>
        <v/>
      </c>
      <c r="E62" s="69" t="str">
        <f>IFERROR([1]!IntrinioBankFinancials(rssd_id,$K$2,$B$35,$B$34,E61,"K"),"")</f>
        <v/>
      </c>
      <c r="F62" s="69" t="str">
        <f>IFERROR([1]!IntrinioBankFinancials(rssd_id,$K$2,$B$35,$B$34,F61,"K"),"")</f>
        <v/>
      </c>
      <c r="G62" s="69" t="str">
        <f>IFERROR([1]!IntrinioBankFinancials(rssd_id,$K$2,$B$35,$B$34,G61,"K"),"")</f>
        <v/>
      </c>
      <c r="H62" s="49">
        <v>6</v>
      </c>
    </row>
  </sheetData>
  <mergeCells count="4">
    <mergeCell ref="B4:G4"/>
    <mergeCell ref="B5:G5"/>
    <mergeCell ref="B34:G34"/>
    <mergeCell ref="B35:G35"/>
  </mergeCells>
  <pageMargins left="0.7" right="0.7" top="0.75" bottom="0.75" header="0.3" footer="0.3"/>
  <pageSetup fitToHeight="2" orientation="landscape" r:id="rId1"/>
  <headerFooter>
    <oddFooter>&amp;L&amp;G&amp;R&amp;P</oddFooter>
  </headerFooter>
  <rowBreaks count="1" manualBreakCount="1">
    <brk id="33" max="7"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pageSetUpPr fitToPage="1"/>
  </sheetPr>
  <dimension ref="A1:S142"/>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9.140625" defaultRowHeight="18" outlineLevelCol="1" x14ac:dyDescent="0.4"/>
  <cols>
    <col min="1" max="1" width="58.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6" style="47"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1832</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1872</v>
      </c>
      <c r="B6" s="35"/>
      <c r="C6" s="35"/>
      <c r="D6" s="35"/>
      <c r="E6" s="35"/>
      <c r="F6" s="35"/>
      <c r="G6" s="35"/>
      <c r="H6" s="35"/>
      <c r="I6" s="35"/>
      <c r="J6" s="35"/>
      <c r="K6" s="35"/>
      <c r="L6" s="35"/>
      <c r="M6" s="35"/>
      <c r="N6" s="35"/>
      <c r="O6" s="35"/>
      <c r="P6" s="49">
        <v>1</v>
      </c>
    </row>
    <row r="7" spans="1:19" s="40" customFormat="1" ht="14.25" x14ac:dyDescent="0.4">
      <c r="A7" s="41" t="s">
        <v>275</v>
      </c>
      <c r="B7" s="37" t="s">
        <v>1034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4</v>
      </c>
    </row>
    <row r="8" spans="1:19" s="40" customFormat="1" ht="28.5" x14ac:dyDescent="0.4">
      <c r="A8" s="41" t="s">
        <v>276</v>
      </c>
      <c r="B8" s="37" t="s">
        <v>1035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15</v>
      </c>
    </row>
    <row r="9" spans="1:19" s="40" customFormat="1" ht="14.25" x14ac:dyDescent="0.4">
      <c r="A9" s="41" t="s">
        <v>277</v>
      </c>
      <c r="B9" s="37" t="s">
        <v>1036</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17</v>
      </c>
    </row>
    <row r="10" spans="1:19" s="40" customFormat="1" ht="14.25" x14ac:dyDescent="0.4">
      <c r="A10" s="41" t="s">
        <v>278</v>
      </c>
      <c r="B10" s="37" t="s">
        <v>1037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19</v>
      </c>
    </row>
    <row r="11" spans="1:19" s="40" customFormat="1" ht="14.25" x14ac:dyDescent="0.4">
      <c r="A11" s="41" t="s">
        <v>279</v>
      </c>
      <c r="B11" s="37" t="s">
        <v>1038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27</v>
      </c>
    </row>
    <row r="12" spans="1:19" s="40" customFormat="1" ht="28.5" x14ac:dyDescent="0.4">
      <c r="A12" s="41" t="s">
        <v>280</v>
      </c>
      <c r="B12" s="37" t="s">
        <v>1039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29</v>
      </c>
    </row>
    <row r="13" spans="1:19" s="40" customFormat="1" ht="14.25" x14ac:dyDescent="0.4">
      <c r="A13" s="41" t="s">
        <v>281</v>
      </c>
      <c r="B13" s="37" t="s">
        <v>1040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31</v>
      </c>
    </row>
    <row r="14" spans="1:19" s="40" customFormat="1" ht="14.25" x14ac:dyDescent="0.4">
      <c r="A14" s="41" t="s">
        <v>282</v>
      </c>
      <c r="B14" s="37" t="s">
        <v>1041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33</v>
      </c>
    </row>
    <row r="15" spans="1:19" x14ac:dyDescent="0.4">
      <c r="B15" s="32"/>
      <c r="C15" s="33"/>
      <c r="D15" s="33"/>
      <c r="E15" s="33"/>
      <c r="F15" s="33"/>
      <c r="G15" s="33"/>
      <c r="H15" s="33"/>
      <c r="I15" s="33"/>
      <c r="J15" s="33"/>
      <c r="K15" s="33"/>
      <c r="L15" s="33"/>
      <c r="M15" s="33"/>
      <c r="N15" s="33"/>
      <c r="O15" s="33"/>
    </row>
    <row r="16" spans="1:19" x14ac:dyDescent="0.4">
      <c r="B16" s="32"/>
      <c r="C16" s="33"/>
      <c r="D16" s="33"/>
      <c r="E16" s="33"/>
      <c r="F16" s="33"/>
      <c r="G16" s="33"/>
      <c r="H16" s="33"/>
      <c r="I16" s="33"/>
      <c r="J16" s="33"/>
      <c r="K16" s="33"/>
      <c r="L16" s="33"/>
      <c r="M16" s="33"/>
      <c r="N16" s="33"/>
      <c r="O16" s="33"/>
    </row>
    <row r="17" spans="1:19" x14ac:dyDescent="0.4">
      <c r="B17" s="32"/>
      <c r="C17" s="33"/>
      <c r="D17" s="33"/>
      <c r="E17" s="33"/>
      <c r="F17" s="33"/>
      <c r="G17" s="33"/>
      <c r="H17" s="33"/>
      <c r="I17" s="33"/>
      <c r="J17" s="33"/>
      <c r="K17" s="33"/>
      <c r="L17" s="33"/>
      <c r="M17" s="33"/>
      <c r="N17" s="33"/>
      <c r="O17" s="33"/>
    </row>
    <row r="18" spans="1:19" x14ac:dyDescent="0.4">
      <c r="B18" s="32"/>
      <c r="C18" s="33"/>
      <c r="D18" s="33"/>
      <c r="E18" s="33"/>
      <c r="F18" s="33"/>
      <c r="G18" s="33"/>
      <c r="H18" s="33"/>
      <c r="I18" s="33"/>
      <c r="J18" s="33"/>
      <c r="K18" s="33"/>
      <c r="L18" s="33"/>
      <c r="M18" s="33"/>
      <c r="N18" s="33"/>
      <c r="O18" s="33"/>
    </row>
    <row r="19" spans="1:19" x14ac:dyDescent="0.4">
      <c r="B19" s="32"/>
      <c r="C19" s="33"/>
      <c r="D19" s="33"/>
      <c r="E19" s="33"/>
      <c r="F19" s="33"/>
      <c r="G19" s="33"/>
      <c r="H19" s="33"/>
      <c r="I19" s="33"/>
      <c r="J19" s="33"/>
      <c r="K19" s="33"/>
      <c r="L19" s="33"/>
      <c r="M19" s="33"/>
      <c r="N19" s="33"/>
      <c r="O19" s="33"/>
    </row>
    <row r="20" spans="1:19" x14ac:dyDescent="0.4">
      <c r="B20" s="32"/>
      <c r="C20" s="33"/>
      <c r="D20" s="33"/>
      <c r="E20" s="33"/>
      <c r="F20" s="33"/>
      <c r="G20" s="33"/>
      <c r="H20" s="33"/>
      <c r="I20" s="33"/>
      <c r="J20" s="33"/>
      <c r="K20" s="33"/>
      <c r="L20" s="33"/>
      <c r="M20" s="33"/>
      <c r="N20" s="33"/>
      <c r="O20" s="33"/>
    </row>
    <row r="21" spans="1:19" x14ac:dyDescent="0.4">
      <c r="B21" s="32"/>
      <c r="C21" s="33"/>
      <c r="D21" s="33"/>
      <c r="E21" s="33"/>
      <c r="F21" s="33"/>
      <c r="G21" s="33"/>
      <c r="H21" s="33"/>
      <c r="I21" s="33"/>
      <c r="J21" s="33"/>
      <c r="K21" s="33"/>
      <c r="L21" s="33"/>
      <c r="M21" s="33"/>
      <c r="N21" s="33"/>
      <c r="O21" s="33"/>
    </row>
    <row r="22" spans="1:19" x14ac:dyDescent="0.4">
      <c r="B22" s="32"/>
      <c r="C22" s="33"/>
      <c r="D22" s="33"/>
      <c r="E22" s="33"/>
      <c r="F22" s="33"/>
      <c r="G22" s="33"/>
      <c r="H22" s="33"/>
      <c r="I22" s="33"/>
      <c r="J22" s="33"/>
      <c r="K22" s="33"/>
      <c r="L22" s="33"/>
      <c r="M22" s="33"/>
      <c r="N22" s="33"/>
      <c r="O22" s="33"/>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x14ac:dyDescent="0.4">
      <c r="B29" s="32"/>
      <c r="C29" s="33"/>
      <c r="D29" s="33"/>
      <c r="E29" s="33"/>
      <c r="F29" s="33"/>
      <c r="G29" s="33"/>
      <c r="H29" s="33"/>
      <c r="I29" s="33"/>
      <c r="J29" s="33"/>
      <c r="K29" s="33"/>
      <c r="L29" s="33"/>
      <c r="M29" s="33"/>
      <c r="N29" s="33"/>
      <c r="O29" s="3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sheetData>
  <pageMargins left="0.7" right="0.7" top="0.75" bottom="0.75" header="0.3" footer="0.3"/>
  <pageSetup scale="93" fitToHeight="0" orientation="landscape" r:id="rId1"/>
  <headerFooter>
    <oddFooter>&amp;L&amp;G&amp;R&amp;P</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pageSetUpPr fitToPage="1"/>
  </sheetPr>
  <dimension ref="A1:S141"/>
  <sheetViews>
    <sheetView view="pageBreakPreview" zoomScaleNormal="100" zoomScaleSheetLayoutView="100" workbookViewId="0">
      <pane xSplit="1" ySplit="5" topLeftCell="B6" activePane="bottomRight" state="frozen"/>
      <selection pane="topRight"/>
      <selection pane="bottomLeft"/>
      <selection pane="bottomRight" activeCell="A25" sqref="A25"/>
    </sheetView>
  </sheetViews>
  <sheetFormatPr defaultColWidth="9.140625" defaultRowHeight="18" outlineLevelCol="1" x14ac:dyDescent="0.4"/>
  <cols>
    <col min="1" max="1" width="70.5" style="13" customWidth="1"/>
    <col min="2" max="2" width="13.640625" style="4" hidden="1" customWidth="1" outlineLevel="1"/>
    <col min="3" max="9" width="15" style="5" hidden="1" customWidth="1" outlineLevel="1"/>
    <col min="10" max="10" width="15" style="5" customWidth="1" collapsed="1"/>
    <col min="11" max="15" width="1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1833</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1873</v>
      </c>
      <c r="B6" s="35"/>
      <c r="C6" s="35"/>
      <c r="D6" s="35"/>
      <c r="E6" s="35"/>
      <c r="F6" s="35"/>
      <c r="G6" s="35"/>
      <c r="H6" s="35"/>
      <c r="I6" s="35"/>
      <c r="J6" s="35"/>
      <c r="K6" s="35"/>
      <c r="L6" s="35"/>
      <c r="M6" s="35"/>
      <c r="N6" s="35"/>
      <c r="O6" s="35"/>
      <c r="P6" s="49">
        <v>1</v>
      </c>
    </row>
    <row r="7" spans="1:19" s="40" customFormat="1" ht="14.25" x14ac:dyDescent="0.4">
      <c r="A7" s="41" t="s">
        <v>283</v>
      </c>
      <c r="B7" s="37" t="s">
        <v>1086</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4</v>
      </c>
    </row>
    <row r="8" spans="1:19" s="40" customFormat="1" ht="14.25" x14ac:dyDescent="0.4">
      <c r="A8" s="41" t="s">
        <v>284</v>
      </c>
      <c r="B8" s="37" t="s">
        <v>1087</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15</v>
      </c>
    </row>
    <row r="9" spans="1:19" s="40" customFormat="1" ht="14.25" x14ac:dyDescent="0.4">
      <c r="A9" s="39" t="s">
        <v>285</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41" t="s">
        <v>1874</v>
      </c>
      <c r="B10" s="37" t="s">
        <v>1088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36</v>
      </c>
    </row>
    <row r="11" spans="1:19" s="40" customFormat="1" ht="14.25" x14ac:dyDescent="0.4">
      <c r="A11" s="41" t="s">
        <v>1875</v>
      </c>
      <c r="B11" s="37" t="s">
        <v>1089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47</v>
      </c>
    </row>
    <row r="12" spans="1:19" s="40" customFormat="1" ht="14.25" x14ac:dyDescent="0.4">
      <c r="A12" s="39" t="s">
        <v>286</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3</v>
      </c>
    </row>
    <row r="13" spans="1:19" s="40" customFormat="1" ht="14.25" x14ac:dyDescent="0.4">
      <c r="A13" s="41" t="s">
        <v>805</v>
      </c>
      <c r="B13" s="37" t="s">
        <v>1121</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320</v>
      </c>
    </row>
    <row r="14" spans="1:19" s="40" customFormat="1" ht="14.25" x14ac:dyDescent="0.4">
      <c r="A14" s="41" t="s">
        <v>287</v>
      </c>
      <c r="B14" s="37" t="s">
        <v>1090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321</v>
      </c>
    </row>
    <row r="15" spans="1:19" x14ac:dyDescent="0.4">
      <c r="A15" s="39" t="s">
        <v>1876</v>
      </c>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x14ac:dyDescent="0.4">
      <c r="A16" s="41" t="s">
        <v>288</v>
      </c>
      <c r="B16" s="37" t="s">
        <v>1091</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322</v>
      </c>
    </row>
    <row r="17" spans="1:19" x14ac:dyDescent="0.4">
      <c r="A17" s="41" t="s">
        <v>289</v>
      </c>
      <c r="B17" s="37" t="s">
        <v>1092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323</v>
      </c>
    </row>
    <row r="18" spans="1:19" x14ac:dyDescent="0.4">
      <c r="A18" s="41" t="s">
        <v>290</v>
      </c>
      <c r="B18" s="37" t="s">
        <v>1029</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324</v>
      </c>
    </row>
    <row r="19" spans="1:19" x14ac:dyDescent="0.4">
      <c r="A19" s="41" t="s">
        <v>291</v>
      </c>
      <c r="B19" s="37" t="s">
        <v>1093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325</v>
      </c>
    </row>
    <row r="20" spans="1:19" x14ac:dyDescent="0.4">
      <c r="A20" s="39" t="s">
        <v>1877</v>
      </c>
      <c r="B20" s="37" t="s">
        <v>1094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5</v>
      </c>
    </row>
    <row r="21" spans="1:19" x14ac:dyDescent="0.4">
      <c r="A21" s="39" t="s">
        <v>292</v>
      </c>
      <c r="B21" s="37" t="s">
        <v>1095</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6</v>
      </c>
    </row>
    <row r="22" spans="1:19" x14ac:dyDescent="0.4">
      <c r="A22" s="39" t="s">
        <v>1878</v>
      </c>
      <c r="B22" s="37" t="s">
        <v>1096</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7</v>
      </c>
    </row>
    <row r="23" spans="1:19" x14ac:dyDescent="0.4">
      <c r="A23" s="39" t="s">
        <v>293</v>
      </c>
      <c r="B23" s="37" t="s">
        <v>1097</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8</v>
      </c>
    </row>
    <row r="24" spans="1:19" x14ac:dyDescent="0.4">
      <c r="A24" s="39" t="s">
        <v>294</v>
      </c>
      <c r="B24" s="37" t="s">
        <v>1098</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9</v>
      </c>
    </row>
    <row r="25" spans="1:19" x14ac:dyDescent="0.4">
      <c r="A25" s="39" t="s">
        <v>295</v>
      </c>
      <c r="B25" s="37"/>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row>
    <row r="26" spans="1:19" x14ac:dyDescent="0.4">
      <c r="A26" s="41" t="s">
        <v>296</v>
      </c>
      <c r="B26" s="37" t="s">
        <v>1099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326</v>
      </c>
    </row>
    <row r="27" spans="1:19" x14ac:dyDescent="0.4">
      <c r="A27" s="41" t="s">
        <v>1879</v>
      </c>
      <c r="B27" s="37" t="s">
        <v>1100</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327</v>
      </c>
    </row>
    <row r="28" spans="1:19" x14ac:dyDescent="0.4">
      <c r="A28" s="39" t="s">
        <v>1880</v>
      </c>
      <c r="B28" s="37" t="s">
        <v>1101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row>
    <row r="29" spans="1:19" x14ac:dyDescent="0.4">
      <c r="A29" s="39" t="s">
        <v>297</v>
      </c>
      <c r="B29" s="37" t="s">
        <v>1102</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12</v>
      </c>
    </row>
    <row r="30" spans="1:19" s="47" customFormat="1" x14ac:dyDescent="0.4">
      <c r="A30" s="39" t="s">
        <v>298</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13</v>
      </c>
      <c r="Q30" s="13"/>
      <c r="R30" s="13"/>
      <c r="S30" s="13"/>
    </row>
    <row r="31" spans="1:19" s="47" customFormat="1" ht="28.5" x14ac:dyDescent="0.4">
      <c r="A31" s="41" t="s">
        <v>1881</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328</v>
      </c>
      <c r="Q31" s="13"/>
      <c r="R31" s="13"/>
      <c r="S31" s="13"/>
    </row>
    <row r="32" spans="1:19" s="47" customFormat="1" x14ac:dyDescent="0.4">
      <c r="A32" s="42" t="s">
        <v>299</v>
      </c>
      <c r="B32" s="37" t="s">
        <v>1119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329</v>
      </c>
      <c r="Q32" s="13"/>
      <c r="R32" s="13"/>
      <c r="S32" s="13"/>
    </row>
    <row r="33" spans="1:19" s="47" customFormat="1" x14ac:dyDescent="0.4">
      <c r="A33" s="42" t="s">
        <v>300</v>
      </c>
      <c r="B33" s="37" t="s">
        <v>1120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330</v>
      </c>
      <c r="Q33" s="13"/>
      <c r="R33" s="13"/>
      <c r="S33" s="13"/>
    </row>
    <row r="34" spans="1:19" s="47" customFormat="1" ht="28.5" x14ac:dyDescent="0.4">
      <c r="A34" s="41" t="s">
        <v>1882</v>
      </c>
      <c r="B34" s="37" t="s">
        <v>807</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331</v>
      </c>
      <c r="Q34" s="13"/>
      <c r="R34" s="13"/>
      <c r="S34" s="13"/>
    </row>
    <row r="35" spans="1:19" s="47" customFormat="1" x14ac:dyDescent="0.4">
      <c r="A35" s="39" t="s">
        <v>299</v>
      </c>
      <c r="B35" s="37" t="s">
        <v>808</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14</v>
      </c>
      <c r="Q35" s="13"/>
      <c r="R35" s="13"/>
      <c r="S35" s="13"/>
    </row>
    <row r="36" spans="1:19" s="47" customFormat="1" x14ac:dyDescent="0.4">
      <c r="A36" s="41" t="s">
        <v>300</v>
      </c>
      <c r="B36" s="37" t="s">
        <v>809</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332</v>
      </c>
      <c r="Q36" s="13"/>
      <c r="R36" s="13"/>
      <c r="S36" s="13"/>
    </row>
    <row r="37" spans="1:19" s="47" customFormat="1" ht="28.5" x14ac:dyDescent="0.4">
      <c r="A37" s="41" t="s">
        <v>301</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333</v>
      </c>
      <c r="Q37" s="13"/>
      <c r="R37" s="13"/>
      <c r="S37" s="13"/>
    </row>
    <row r="38" spans="1:19" s="47" customFormat="1" x14ac:dyDescent="0.4">
      <c r="A38" s="39" t="s">
        <v>806</v>
      </c>
      <c r="B38" s="37" t="s">
        <v>1115</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15</v>
      </c>
      <c r="Q38" s="13"/>
      <c r="R38" s="13"/>
      <c r="S38" s="13"/>
    </row>
    <row r="39" spans="1:19" s="47" customFormat="1" x14ac:dyDescent="0.4">
      <c r="A39" s="39" t="s">
        <v>302</v>
      </c>
      <c r="B39" s="37" t="s">
        <v>1103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16</v>
      </c>
      <c r="Q39" s="13"/>
      <c r="R39" s="13"/>
      <c r="S39" s="13"/>
    </row>
    <row r="40" spans="1:19" s="47" customFormat="1" x14ac:dyDescent="0.4">
      <c r="A40" s="39" t="s">
        <v>1883</v>
      </c>
      <c r="B40" s="37" t="s">
        <v>1104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17</v>
      </c>
      <c r="Q40" s="13"/>
      <c r="R40" s="13"/>
      <c r="S40" s="13"/>
    </row>
    <row r="41" spans="1:19" s="47" customFormat="1" ht="28.5" x14ac:dyDescent="0.4">
      <c r="A41" s="39" t="s">
        <v>1884</v>
      </c>
      <c r="B41" s="37" t="s">
        <v>1105</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18</v>
      </c>
      <c r="Q41" s="13"/>
      <c r="R41" s="13"/>
      <c r="S41" s="13"/>
    </row>
    <row r="42" spans="1:19" s="47" customFormat="1" x14ac:dyDescent="0.4">
      <c r="A42" s="39" t="s">
        <v>303</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19</v>
      </c>
      <c r="Q42" s="13"/>
      <c r="R42" s="13"/>
      <c r="S42" s="13"/>
    </row>
    <row r="43" spans="1:19" s="47" customFormat="1" x14ac:dyDescent="0.4">
      <c r="A43" s="39" t="s">
        <v>304</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20</v>
      </c>
      <c r="Q43" s="13"/>
      <c r="R43" s="13"/>
      <c r="S43" s="13"/>
    </row>
    <row r="44" spans="1:19" s="47" customFormat="1" x14ac:dyDescent="0.4">
      <c r="A44" s="39" t="s">
        <v>305</v>
      </c>
      <c r="B44" s="37" t="s">
        <v>1116</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21</v>
      </c>
      <c r="Q44" s="13"/>
      <c r="R44" s="13"/>
      <c r="S44" s="13"/>
    </row>
    <row r="45" spans="1:19" s="47" customFormat="1" x14ac:dyDescent="0.4">
      <c r="A45" s="39" t="s">
        <v>1885</v>
      </c>
      <c r="B45" s="37" t="s">
        <v>1117</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22</v>
      </c>
      <c r="Q45" s="13"/>
      <c r="R45" s="13"/>
      <c r="S45" s="13"/>
    </row>
    <row r="46" spans="1:19" s="47" customFormat="1" x14ac:dyDescent="0.4">
      <c r="A46" s="39" t="s">
        <v>306</v>
      </c>
      <c r="B46" s="37" t="s">
        <v>1106</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23</v>
      </c>
      <c r="Q46" s="13"/>
      <c r="R46" s="13"/>
      <c r="S46" s="13"/>
    </row>
    <row r="47" spans="1:19" s="47" customFormat="1" x14ac:dyDescent="0.4">
      <c r="A47" s="39" t="s">
        <v>307</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24</v>
      </c>
      <c r="Q47" s="13"/>
      <c r="R47" s="13"/>
      <c r="S47" s="13"/>
    </row>
    <row r="48" spans="1:19" s="47" customFormat="1" x14ac:dyDescent="0.4">
      <c r="A48" s="39" t="s">
        <v>308</v>
      </c>
      <c r="B48" s="37" t="s">
        <v>1118</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25</v>
      </c>
      <c r="Q48" s="13"/>
      <c r="R48" s="13"/>
      <c r="S48" s="13"/>
    </row>
    <row r="49" spans="1:19" s="47" customFormat="1" x14ac:dyDescent="0.4">
      <c r="A49" s="39" t="s">
        <v>309</v>
      </c>
      <c r="B49" s="37" t="s">
        <v>1107</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26</v>
      </c>
      <c r="Q49" s="13"/>
      <c r="R49" s="13"/>
      <c r="S49" s="13"/>
    </row>
    <row r="50" spans="1:19" s="47" customFormat="1" x14ac:dyDescent="0.4">
      <c r="A50" s="41" t="s">
        <v>310</v>
      </c>
      <c r="B50" s="37" t="s">
        <v>1108</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334</v>
      </c>
      <c r="Q50" s="13"/>
      <c r="R50" s="13"/>
      <c r="S50" s="13"/>
    </row>
    <row r="51" spans="1:19" s="47" customFormat="1" x14ac:dyDescent="0.4">
      <c r="A51" s="41" t="s">
        <v>311</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335</v>
      </c>
      <c r="Q51" s="13"/>
      <c r="R51" s="13"/>
      <c r="S51" s="13"/>
    </row>
    <row r="52" spans="1:19" s="47" customFormat="1" x14ac:dyDescent="0.4">
      <c r="A52" s="41" t="s">
        <v>312</v>
      </c>
      <c r="B52" s="37" t="s">
        <v>1109</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336</v>
      </c>
      <c r="Q52" s="13"/>
      <c r="R52" s="13"/>
      <c r="S52" s="13"/>
    </row>
    <row r="53" spans="1:19" s="47" customFormat="1" x14ac:dyDescent="0.4">
      <c r="A53" s="39" t="s">
        <v>313</v>
      </c>
      <c r="B53" s="37" t="s">
        <v>1110</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v>27</v>
      </c>
      <c r="Q53" s="13"/>
      <c r="R53" s="13"/>
      <c r="S53" s="13"/>
    </row>
    <row r="54" spans="1:19" s="47" customFormat="1" x14ac:dyDescent="0.4">
      <c r="A54" s="41" t="s">
        <v>314</v>
      </c>
      <c r="B54" s="37" t="s">
        <v>1111</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337</v>
      </c>
      <c r="Q54" s="13"/>
      <c r="R54" s="13"/>
      <c r="S54" s="13"/>
    </row>
    <row r="55" spans="1:19" s="47" customFormat="1" x14ac:dyDescent="0.4">
      <c r="A55" s="41" t="s">
        <v>315</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338</v>
      </c>
      <c r="Q55" s="13"/>
      <c r="R55" s="13"/>
      <c r="S55" s="13"/>
    </row>
    <row r="56" spans="1:19" s="47" customFormat="1" x14ac:dyDescent="0.4">
      <c r="A56" s="39" t="s">
        <v>316</v>
      </c>
      <c r="B56" s="37" t="s">
        <v>973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v>28</v>
      </c>
      <c r="Q56" s="13"/>
      <c r="R56" s="13"/>
      <c r="S56" s="13"/>
    </row>
    <row r="57" spans="1:19" s="47" customFormat="1" x14ac:dyDescent="0.4">
      <c r="A57" s="39" t="s">
        <v>317</v>
      </c>
      <c r="B57" s="37" t="s">
        <v>1112</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v>29</v>
      </c>
      <c r="Q57" s="13"/>
      <c r="R57" s="13"/>
      <c r="S57" s="13"/>
    </row>
    <row r="58" spans="1:19" s="47" customFormat="1" x14ac:dyDescent="0.4">
      <c r="A58" s="39" t="s">
        <v>318</v>
      </c>
      <c r="B58" s="37" t="s">
        <v>1113</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c r="Q58" s="13"/>
      <c r="R58" s="13"/>
      <c r="S58" s="13"/>
    </row>
    <row r="59" spans="1:19" s="47" customFormat="1" x14ac:dyDescent="0.4">
      <c r="A59" s="39" t="s">
        <v>319</v>
      </c>
      <c r="B59" s="37" t="s">
        <v>1114</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sheetData>
  <pageMargins left="0.7" right="0.7" top="0.75" bottom="0.75" header="0.3" footer="0.3"/>
  <pageSetup scale="81" fitToHeight="0" orientation="landscape" r:id="rId1"/>
  <headerFooter>
    <oddFooter>&amp;L&amp;G&amp;R&amp;P</oddFooter>
  </headerFooter>
  <rowBreaks count="1" manualBreakCount="1">
    <brk id="29" max="8"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79998168889431442"/>
    <pageSetUpPr fitToPage="1"/>
  </sheetPr>
  <dimension ref="A1:AA86"/>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9.140625" defaultRowHeight="13.15" outlineLevelCol="1" x14ac:dyDescent="0.4"/>
  <cols>
    <col min="1" max="1" width="38.35546875" style="3" bestFit="1" customWidth="1"/>
    <col min="2" max="9" width="12.85546875" style="3" hidden="1" customWidth="1" outlineLevel="1"/>
    <col min="10" max="10" width="12.85546875" style="3" customWidth="1" collapsed="1"/>
    <col min="11" max="17" width="12.85546875" style="3" customWidth="1"/>
    <col min="18" max="18" width="8.35546875" style="3" bestFit="1" customWidth="1"/>
    <col min="19" max="16384" width="9.140625" style="3"/>
  </cols>
  <sheetData>
    <row r="1" spans="1:23" ht="18" x14ac:dyDescent="0.4">
      <c r="A1" s="64" t="str">
        <f>name</f>
        <v/>
      </c>
    </row>
    <row r="2" spans="1:23" ht="18" x14ac:dyDescent="0.4">
      <c r="A2" s="65" t="s">
        <v>1835</v>
      </c>
      <c r="B2" s="20"/>
      <c r="C2" s="20"/>
      <c r="D2" s="21"/>
      <c r="E2" s="20"/>
      <c r="F2" s="20"/>
      <c r="G2" s="20"/>
      <c r="H2" s="20"/>
      <c r="J2" s="20"/>
      <c r="K2" s="20"/>
      <c r="L2" s="21"/>
      <c r="M2" s="20"/>
      <c r="N2" s="20"/>
      <c r="O2" s="20"/>
      <c r="P2" s="20"/>
      <c r="U2" s="13" t="s">
        <v>234</v>
      </c>
      <c r="W2" s="13" t="s">
        <v>881</v>
      </c>
    </row>
    <row r="3" spans="1:23" ht="14.25" x14ac:dyDescent="0.45">
      <c r="A3" s="63" t="s">
        <v>1</v>
      </c>
      <c r="B3" s="20"/>
      <c r="C3" s="20"/>
      <c r="D3" s="21"/>
      <c r="E3" s="20"/>
      <c r="F3" s="20"/>
      <c r="G3" s="20"/>
      <c r="H3" s="20"/>
      <c r="J3" s="20"/>
      <c r="K3" s="20"/>
      <c r="L3" s="21"/>
      <c r="M3" s="20"/>
      <c r="N3" s="20"/>
      <c r="O3" s="20"/>
      <c r="P3" s="20"/>
    </row>
    <row r="4" spans="1:23" ht="18" x14ac:dyDescent="0.45">
      <c r="A4" s="63"/>
      <c r="B4" s="106" t="str">
        <f>[1]!IntrinioBankFundamentals(rssd_id,W2,fiscal_period_type,1,"fiscal_period")</f>
        <v/>
      </c>
      <c r="C4" s="106"/>
      <c r="D4" s="106"/>
      <c r="E4" s="106"/>
      <c r="F4" s="106"/>
      <c r="G4" s="106"/>
      <c r="H4" s="106"/>
      <c r="I4" s="106"/>
      <c r="J4" s="113" t="str">
        <f>[1]!IntrinioBankFundamentals(rssd_id,W2,fiscal_period_type,0,"fiscal_period")</f>
        <v/>
      </c>
      <c r="K4" s="114"/>
      <c r="L4" s="114"/>
      <c r="M4" s="114"/>
      <c r="N4" s="114"/>
      <c r="O4" s="114"/>
      <c r="P4" s="114"/>
      <c r="Q4" s="114"/>
      <c r="R4" s="82"/>
    </row>
    <row r="5" spans="1:23" ht="18" x14ac:dyDescent="0.45">
      <c r="A5" s="63"/>
      <c r="B5" s="107" t="str">
        <f>[1]!IntrinioBankFundamentals(rssd_id,W2,fiscal_period_type,1,"fiscal_year")</f>
        <v/>
      </c>
      <c r="C5" s="107"/>
      <c r="D5" s="107"/>
      <c r="E5" s="107"/>
      <c r="F5" s="107"/>
      <c r="G5" s="107"/>
      <c r="H5" s="107"/>
      <c r="I5" s="107"/>
      <c r="J5" s="112" t="str">
        <f>[1]!IntrinioBankFundamentals(rssd_id,W2,fiscal_period_type,0,"fiscal_year")</f>
        <v/>
      </c>
      <c r="K5" s="107"/>
      <c r="L5" s="107"/>
      <c r="M5" s="107"/>
      <c r="N5" s="107"/>
      <c r="O5" s="107"/>
      <c r="P5" s="107"/>
      <c r="Q5" s="107"/>
      <c r="R5" s="83"/>
    </row>
    <row r="6" spans="1:23" x14ac:dyDescent="0.4">
      <c r="A6" s="20"/>
      <c r="B6" s="104" t="s">
        <v>245</v>
      </c>
      <c r="C6" s="104"/>
      <c r="D6" s="104" t="s">
        <v>246</v>
      </c>
      <c r="E6" s="104"/>
      <c r="F6" s="104" t="s">
        <v>247</v>
      </c>
      <c r="G6" s="104"/>
      <c r="H6" s="104" t="s">
        <v>248</v>
      </c>
      <c r="I6" s="104"/>
      <c r="J6" s="110" t="s">
        <v>245</v>
      </c>
      <c r="K6" s="111"/>
      <c r="L6" s="111" t="s">
        <v>246</v>
      </c>
      <c r="M6" s="111"/>
      <c r="N6" s="111" t="s">
        <v>247</v>
      </c>
      <c r="O6" s="111"/>
      <c r="P6" s="111" t="s">
        <v>248</v>
      </c>
      <c r="Q6" s="111"/>
      <c r="R6" s="20"/>
    </row>
    <row r="7" spans="1:23" x14ac:dyDescent="0.4">
      <c r="A7" s="20"/>
      <c r="B7" s="104" t="s">
        <v>339</v>
      </c>
      <c r="C7" s="104"/>
      <c r="D7" s="104" t="s">
        <v>340</v>
      </c>
      <c r="E7" s="104"/>
      <c r="F7" s="104" t="s">
        <v>341</v>
      </c>
      <c r="G7" s="104"/>
      <c r="H7" s="104" t="s">
        <v>342</v>
      </c>
      <c r="I7" s="104"/>
      <c r="J7" s="110" t="s">
        <v>339</v>
      </c>
      <c r="K7" s="111"/>
      <c r="L7" s="111" t="s">
        <v>340</v>
      </c>
      <c r="M7" s="111"/>
      <c r="N7" s="111" t="s">
        <v>341</v>
      </c>
      <c r="O7" s="111"/>
      <c r="P7" s="111" t="s">
        <v>342</v>
      </c>
      <c r="Q7" s="111"/>
      <c r="R7" s="20"/>
    </row>
    <row r="8" spans="1:23" x14ac:dyDescent="0.4">
      <c r="A8" s="22"/>
      <c r="B8" s="105" t="s">
        <v>343</v>
      </c>
      <c r="C8" s="105"/>
      <c r="D8" s="105" t="s">
        <v>344</v>
      </c>
      <c r="E8" s="105"/>
      <c r="F8" s="105" t="s">
        <v>343</v>
      </c>
      <c r="G8" s="105"/>
      <c r="H8" s="105" t="s">
        <v>344</v>
      </c>
      <c r="I8" s="105"/>
      <c r="J8" s="115" t="s">
        <v>343</v>
      </c>
      <c r="K8" s="105"/>
      <c r="L8" s="105" t="s">
        <v>344</v>
      </c>
      <c r="M8" s="105"/>
      <c r="N8" s="105" t="s">
        <v>343</v>
      </c>
      <c r="O8" s="105"/>
      <c r="P8" s="105" t="s">
        <v>344</v>
      </c>
      <c r="Q8" s="105"/>
      <c r="R8" s="20"/>
    </row>
    <row r="9" spans="1:23" ht="14.25" x14ac:dyDescent="0.4">
      <c r="A9" s="20"/>
      <c r="B9" s="35"/>
      <c r="C9" s="35"/>
      <c r="D9" s="35"/>
      <c r="E9" s="35"/>
      <c r="F9" s="35"/>
      <c r="G9" s="35"/>
      <c r="H9" s="35"/>
      <c r="I9" s="89"/>
      <c r="J9" s="35"/>
      <c r="K9" s="35"/>
      <c r="L9" s="35"/>
      <c r="M9" s="35"/>
      <c r="N9" s="35"/>
      <c r="O9" s="35"/>
      <c r="P9" s="35"/>
      <c r="Q9" s="35"/>
      <c r="R9" s="20"/>
    </row>
    <row r="10" spans="1:23" ht="14.25" x14ac:dyDescent="0.45">
      <c r="A10" s="60" t="s">
        <v>345</v>
      </c>
      <c r="B10" s="37" t="s">
        <v>1183</v>
      </c>
      <c r="C10" s="38" t="str">
        <f>IFERROR([1]!IntrinioBankFinancials(rssd_id,$W$2,$B$5,$B$4,B10,"K"),"")</f>
        <v/>
      </c>
      <c r="D10" s="37" t="s">
        <v>1184</v>
      </c>
      <c r="E10" s="38" t="str">
        <f>IFERROR([1]!IntrinioBankFinancials(rssd_id,$W$2,$B$5,$B$4,D10,"K"),"")</f>
        <v/>
      </c>
      <c r="F10" s="37" t="s">
        <v>1185</v>
      </c>
      <c r="G10" s="38" t="str">
        <f>IFERROR([1]!IntrinioBankFinancials(rssd_id,$W$2,$B$5,$B$4,F10,"K"),"")</f>
        <v/>
      </c>
      <c r="H10" s="37" t="s">
        <v>1186</v>
      </c>
      <c r="I10" s="38" t="str">
        <f>IFERROR([1]!IntrinioBankFinancials(rssd_id,$W$2,$B$5,$B$4,H10,"K"),"")</f>
        <v/>
      </c>
      <c r="J10" s="37" t="s">
        <v>1183</v>
      </c>
      <c r="K10" s="38" t="str">
        <f>IFERROR([1]!IntrinioBankFinancials(rssd_id,$W$2,$J$5,$J$4,J10,"K"),"")</f>
        <v/>
      </c>
      <c r="L10" s="37" t="s">
        <v>1184</v>
      </c>
      <c r="M10" s="38" t="str">
        <f>IFERROR([1]!IntrinioBankFinancials(rssd_id,$W$2,$J$5,$J$4,L10,"K"),"")</f>
        <v/>
      </c>
      <c r="N10" s="37" t="s">
        <v>1185</v>
      </c>
      <c r="O10" s="38" t="str">
        <f>IFERROR([1]!IntrinioBankFinancials(rssd_id,$W$2,$J$5,$J$4,N10,"K"),"")</f>
        <v/>
      </c>
      <c r="P10" s="37" t="s">
        <v>1186</v>
      </c>
      <c r="Q10" s="38" t="str">
        <f>IFERROR([1]!IntrinioBankFinancials(rssd_id,$W$2,$J$5,$J$4,P10,"K"),"")</f>
        <v/>
      </c>
      <c r="R10" s="49">
        <v>1</v>
      </c>
    </row>
    <row r="11" spans="1:23" ht="28.5" x14ac:dyDescent="0.45">
      <c r="A11" s="60" t="s">
        <v>346</v>
      </c>
      <c r="B11" s="35"/>
      <c r="C11" s="35"/>
      <c r="D11" s="35"/>
      <c r="E11" s="35"/>
      <c r="F11" s="35"/>
      <c r="G11" s="35"/>
      <c r="H11" s="35"/>
      <c r="I11" s="35"/>
      <c r="J11" s="35"/>
      <c r="K11" s="35"/>
      <c r="L11" s="35"/>
      <c r="M11" s="35"/>
      <c r="N11" s="35"/>
      <c r="O11" s="35"/>
      <c r="P11" s="35"/>
      <c r="Q11" s="35"/>
      <c r="R11" s="49">
        <v>2</v>
      </c>
    </row>
    <row r="12" spans="1:23" ht="14.25" x14ac:dyDescent="0.4">
      <c r="A12" s="41" t="s">
        <v>347</v>
      </c>
      <c r="B12" s="37" t="s">
        <v>1187</v>
      </c>
      <c r="C12" s="38" t="str">
        <f>IFERROR([1]!IntrinioBankFinancials(rssd_id,$W$2,$B$5,$B$4,B12,"K"),"")</f>
        <v/>
      </c>
      <c r="D12" s="37" t="s">
        <v>1188</v>
      </c>
      <c r="E12" s="38" t="str">
        <f>IFERROR([1]!IntrinioBankFinancials(rssd_id,$W$2,$B$5,$B$4,D12,"K"),"")</f>
        <v/>
      </c>
      <c r="F12" s="37" t="s">
        <v>1189</v>
      </c>
      <c r="G12" s="38" t="str">
        <f>IFERROR([1]!IntrinioBankFinancials(rssd_id,$W$2,$B$5,$B$4,F12,"K"),"")</f>
        <v/>
      </c>
      <c r="H12" s="37" t="s">
        <v>1190</v>
      </c>
      <c r="I12" s="38" t="str">
        <f>IFERROR([1]!IntrinioBankFinancials(rssd_id,$W$2,$B$5,$B$4,H12,"K"),"")</f>
        <v/>
      </c>
      <c r="J12" s="37" t="s">
        <v>1187</v>
      </c>
      <c r="K12" s="38" t="str">
        <f>IFERROR([1]!IntrinioBankFinancials(rssd_id,$W$2,$J$5,$J$4,J12,"K"),"")</f>
        <v/>
      </c>
      <c r="L12" s="37" t="s">
        <v>1188</v>
      </c>
      <c r="M12" s="38" t="str">
        <f>IFERROR([1]!IntrinioBankFinancials(rssd_id,$W$2,$J$5,$J$4,L12,"K"),"")</f>
        <v/>
      </c>
      <c r="N12" s="37" t="s">
        <v>1189</v>
      </c>
      <c r="O12" s="38" t="str">
        <f>IFERROR([1]!IntrinioBankFinancials(rssd_id,$W$2,$J$5,$J$4,N12,"K"),"")</f>
        <v/>
      </c>
      <c r="P12" s="37" t="s">
        <v>1190</v>
      </c>
      <c r="Q12" s="38" t="str">
        <f>IFERROR([1]!IntrinioBankFinancials(rssd_id,$W$2,$J$5,$J$4,P12,"K"),"")</f>
        <v/>
      </c>
      <c r="R12" s="49" t="s">
        <v>36</v>
      </c>
    </row>
    <row r="13" spans="1:23" ht="28.5" x14ac:dyDescent="0.4">
      <c r="A13" s="41" t="s">
        <v>348</v>
      </c>
      <c r="B13" s="37" t="s">
        <v>1191</v>
      </c>
      <c r="C13" s="38" t="str">
        <f>IFERROR([1]!IntrinioBankFinancials(rssd_id,$W$2,$B$5,$B$4,B13,"K"),"")</f>
        <v/>
      </c>
      <c r="D13" s="37" t="s">
        <v>1192</v>
      </c>
      <c r="E13" s="38" t="str">
        <f>IFERROR([1]!IntrinioBankFinancials(rssd_id,$W$2,$B$5,$B$4,D13,"K"),"")</f>
        <v/>
      </c>
      <c r="F13" s="37" t="s">
        <v>1193</v>
      </c>
      <c r="G13" s="38" t="str">
        <f>IFERROR([1]!IntrinioBankFinancials(rssd_id,$W$2,$B$5,$B$4,F13,"K"),"")</f>
        <v/>
      </c>
      <c r="H13" s="37" t="s">
        <v>1194</v>
      </c>
      <c r="I13" s="38" t="str">
        <f>IFERROR([1]!IntrinioBankFinancials(rssd_id,$W$2,$B$5,$B$4,H13,"K"),"")</f>
        <v/>
      </c>
      <c r="J13" s="37" t="s">
        <v>1191</v>
      </c>
      <c r="K13" s="38" t="str">
        <f>IFERROR([1]!IntrinioBankFinancials(rssd_id,$W$2,$J$5,$J$4,J13,"K"),"")</f>
        <v/>
      </c>
      <c r="L13" s="37" t="s">
        <v>1192</v>
      </c>
      <c r="M13" s="38" t="str">
        <f>IFERROR([1]!IntrinioBankFinancials(rssd_id,$W$2,$J$5,$J$4,L13,"K"),"")</f>
        <v/>
      </c>
      <c r="N13" s="37" t="s">
        <v>1193</v>
      </c>
      <c r="O13" s="38" t="str">
        <f>IFERROR([1]!IntrinioBankFinancials(rssd_id,$W$2,$J$5,$J$4,N13,"K"),"")</f>
        <v/>
      </c>
      <c r="P13" s="37" t="s">
        <v>1194</v>
      </c>
      <c r="Q13" s="38" t="str">
        <f>IFERROR([1]!IntrinioBankFinancials(rssd_id,$W$2,$J$5,$J$4,P13,"K"),"")</f>
        <v/>
      </c>
      <c r="R13" s="49" t="s">
        <v>47</v>
      </c>
    </row>
    <row r="14" spans="1:23" ht="28.5" x14ac:dyDescent="0.45">
      <c r="A14" s="60" t="s">
        <v>349</v>
      </c>
      <c r="B14" s="37" t="s">
        <v>1195</v>
      </c>
      <c r="C14" s="38" t="str">
        <f>IFERROR([1]!IntrinioBankFinancials(rssd_id,$W$2,$B$5,$B$4,B14,"K"),"")</f>
        <v/>
      </c>
      <c r="D14" s="37" t="s">
        <v>1196</v>
      </c>
      <c r="E14" s="38" t="str">
        <f>IFERROR([1]!IntrinioBankFinancials(rssd_id,$W$2,$B$5,$B$4,D14,"K"),"")</f>
        <v/>
      </c>
      <c r="F14" s="37" t="s">
        <v>1197</v>
      </c>
      <c r="G14" s="38" t="str">
        <f>IFERROR([1]!IntrinioBankFinancials(rssd_id,$W$2,$B$5,$B$4,F14,"K"),"")</f>
        <v/>
      </c>
      <c r="H14" s="37" t="s">
        <v>1198</v>
      </c>
      <c r="I14" s="38" t="str">
        <f>IFERROR([1]!IntrinioBankFinancials(rssd_id,$W$2,$B$5,$B$4,H14,"K"),"")</f>
        <v/>
      </c>
      <c r="J14" s="37" t="s">
        <v>1195</v>
      </c>
      <c r="K14" s="38" t="str">
        <f>IFERROR([1]!IntrinioBankFinancials(rssd_id,$W$2,$J$5,$J$4,J14,"K"),"")</f>
        <v/>
      </c>
      <c r="L14" s="37" t="s">
        <v>1196</v>
      </c>
      <c r="M14" s="38" t="str">
        <f>IFERROR([1]!IntrinioBankFinancials(rssd_id,$W$2,$J$5,$J$4,L14,"K"),"")</f>
        <v/>
      </c>
      <c r="N14" s="37" t="s">
        <v>1197</v>
      </c>
      <c r="O14" s="38" t="str">
        <f>IFERROR([1]!IntrinioBankFinancials(rssd_id,$W$2,$J$5,$J$4,N14,"K"),"")</f>
        <v/>
      </c>
      <c r="P14" s="37" t="s">
        <v>1198</v>
      </c>
      <c r="Q14" s="38" t="str">
        <f>IFERROR([1]!IntrinioBankFinancials(rssd_id,$W$2,$J$5,$J$4,P14,"K"),"")</f>
        <v/>
      </c>
      <c r="R14" s="49">
        <v>3</v>
      </c>
    </row>
    <row r="15" spans="1:23" ht="14.25" x14ac:dyDescent="0.45">
      <c r="A15" s="60" t="s">
        <v>350</v>
      </c>
      <c r="B15" s="35"/>
      <c r="C15" s="35"/>
      <c r="D15" s="35"/>
      <c r="E15" s="35"/>
      <c r="F15" s="35"/>
      <c r="G15" s="35"/>
      <c r="H15" s="35"/>
      <c r="I15" s="35"/>
      <c r="J15" s="35"/>
      <c r="K15" s="35"/>
      <c r="L15" s="35"/>
      <c r="M15" s="35"/>
      <c r="N15" s="35"/>
      <c r="O15" s="35"/>
      <c r="P15" s="35"/>
      <c r="Q15" s="35"/>
      <c r="R15" s="49">
        <v>4</v>
      </c>
    </row>
    <row r="16" spans="1:23" ht="28.5" x14ac:dyDescent="0.4">
      <c r="A16" s="41" t="s">
        <v>351</v>
      </c>
      <c r="B16" s="35"/>
      <c r="C16" s="35"/>
      <c r="D16" s="35"/>
      <c r="E16" s="35"/>
      <c r="F16" s="35"/>
      <c r="G16" s="35"/>
      <c r="H16" s="35"/>
      <c r="I16" s="35"/>
      <c r="J16" s="35"/>
      <c r="K16" s="35"/>
      <c r="L16" s="35"/>
      <c r="M16" s="35"/>
      <c r="N16" s="35"/>
      <c r="O16" s="35"/>
      <c r="P16" s="35"/>
      <c r="Q16" s="35"/>
      <c r="R16" s="49" t="s">
        <v>322</v>
      </c>
    </row>
    <row r="17" spans="1:18" ht="14.25" x14ac:dyDescent="0.45">
      <c r="A17" s="95" t="s">
        <v>352</v>
      </c>
      <c r="B17" s="37" t="s">
        <v>1199</v>
      </c>
      <c r="C17" s="38" t="str">
        <f>IFERROR([1]!IntrinioBankFinancials(rssd_id,$W$2,$B$5,$B$4,B17,"K"),"")</f>
        <v/>
      </c>
      <c r="D17" s="37" t="s">
        <v>1200</v>
      </c>
      <c r="E17" s="38" t="str">
        <f>IFERROR([1]!IntrinioBankFinancials(rssd_id,$W$2,$B$5,$B$4,D17,"K"),"")</f>
        <v/>
      </c>
      <c r="F17" s="37" t="s">
        <v>1201</v>
      </c>
      <c r="G17" s="38" t="str">
        <f>IFERROR([1]!IntrinioBankFinancials(rssd_id,$W$2,$B$5,$B$4,F17,"K"),"")</f>
        <v/>
      </c>
      <c r="H17" s="37" t="s">
        <v>1202</v>
      </c>
      <c r="I17" s="38" t="str">
        <f>IFERROR([1]!IntrinioBankFinancials(rssd_id,$W$2,$B$5,$B$4,H17,"K"),"")</f>
        <v/>
      </c>
      <c r="J17" s="37" t="s">
        <v>1199</v>
      </c>
      <c r="K17" s="38" t="str">
        <f>IFERROR([1]!IntrinioBankFinancials(rssd_id,$W$2,$J$5,$J$4,J17,"K"),"")</f>
        <v/>
      </c>
      <c r="L17" s="37" t="s">
        <v>1200</v>
      </c>
      <c r="M17" s="38" t="str">
        <f>IFERROR([1]!IntrinioBankFinancials(rssd_id,$W$2,$J$5,$J$4,L17,"K"),"")</f>
        <v/>
      </c>
      <c r="N17" s="37" t="s">
        <v>1201</v>
      </c>
      <c r="O17" s="38" t="str">
        <f>IFERROR([1]!IntrinioBankFinancials(rssd_id,$W$2,$J$5,$J$4,N17,"K"),"")</f>
        <v/>
      </c>
      <c r="P17" s="37" t="s">
        <v>1202</v>
      </c>
      <c r="Q17" s="38" t="str">
        <f>IFERROR([1]!IntrinioBankFinancials(rssd_id,$W$2,$J$5,$J$4,P17,"K"),"")</f>
        <v/>
      </c>
      <c r="R17" s="49" t="s">
        <v>353</v>
      </c>
    </row>
    <row r="18" spans="1:18" ht="14.25" x14ac:dyDescent="0.45">
      <c r="A18" s="95" t="s">
        <v>354</v>
      </c>
      <c r="B18" s="37" t="s">
        <v>1203</v>
      </c>
      <c r="C18" s="38" t="str">
        <f>IFERROR([1]!IntrinioBankFinancials(rssd_id,$W$2,$B$5,$B$4,B18,"K"),"")</f>
        <v/>
      </c>
      <c r="D18" s="37" t="s">
        <v>1204</v>
      </c>
      <c r="E18" s="38" t="str">
        <f>IFERROR([1]!IntrinioBankFinancials(rssd_id,$W$2,$B$5,$B$4,D18,"K"),"")</f>
        <v/>
      </c>
      <c r="F18" s="37" t="s">
        <v>1205</v>
      </c>
      <c r="G18" s="38" t="str">
        <f>IFERROR([1]!IntrinioBankFinancials(rssd_id,$W$2,$B$5,$B$4,F18,"K"),"")</f>
        <v/>
      </c>
      <c r="H18" s="37" t="s">
        <v>1206</v>
      </c>
      <c r="I18" s="38" t="str">
        <f>IFERROR([1]!IntrinioBankFinancials(rssd_id,$W$2,$B$5,$B$4,H18,"K"),"")</f>
        <v/>
      </c>
      <c r="J18" s="37" t="s">
        <v>1203</v>
      </c>
      <c r="K18" s="38" t="str">
        <f>IFERROR([1]!IntrinioBankFinancials(rssd_id,$W$2,$J$5,$J$4,J18,"K"),"")</f>
        <v/>
      </c>
      <c r="L18" s="37" t="s">
        <v>1204</v>
      </c>
      <c r="M18" s="38" t="str">
        <f>IFERROR([1]!IntrinioBankFinancials(rssd_id,$W$2,$J$5,$J$4,L18,"K"),"")</f>
        <v/>
      </c>
      <c r="N18" s="37" t="s">
        <v>1205</v>
      </c>
      <c r="O18" s="38" t="str">
        <f>IFERROR([1]!IntrinioBankFinancials(rssd_id,$W$2,$J$5,$J$4,N18,"K"),"")</f>
        <v/>
      </c>
      <c r="P18" s="37" t="s">
        <v>1206</v>
      </c>
      <c r="Q18" s="38" t="str">
        <f>IFERROR([1]!IntrinioBankFinancials(rssd_id,$W$2,$J$5,$J$4,P18,"K"),"")</f>
        <v/>
      </c>
      <c r="R18" s="49" t="s">
        <v>355</v>
      </c>
    </row>
    <row r="19" spans="1:18" ht="14.25" x14ac:dyDescent="0.45">
      <c r="A19" s="95" t="s">
        <v>356</v>
      </c>
      <c r="B19" s="37" t="s">
        <v>1207</v>
      </c>
      <c r="C19" s="38" t="str">
        <f>IFERROR([1]!IntrinioBankFinancials(rssd_id,$W$2,$B$5,$B$4,B19,"K"),"")</f>
        <v/>
      </c>
      <c r="D19" s="37" t="s">
        <v>1208</v>
      </c>
      <c r="E19" s="38" t="str">
        <f>IFERROR([1]!IntrinioBankFinancials(rssd_id,$W$2,$B$5,$B$4,D19,"K"),"")</f>
        <v/>
      </c>
      <c r="F19" s="37" t="s">
        <v>1209</v>
      </c>
      <c r="G19" s="38" t="str">
        <f>IFERROR([1]!IntrinioBankFinancials(rssd_id,$W$2,$B$5,$B$4,F19,"K"),"")</f>
        <v/>
      </c>
      <c r="H19" s="37" t="s">
        <v>1210</v>
      </c>
      <c r="I19" s="38" t="str">
        <f>IFERROR([1]!IntrinioBankFinancials(rssd_id,$W$2,$B$5,$B$4,H19,"K"),"")</f>
        <v/>
      </c>
      <c r="J19" s="37" t="s">
        <v>1207</v>
      </c>
      <c r="K19" s="38" t="str">
        <f>IFERROR([1]!IntrinioBankFinancials(rssd_id,$W$2,$J$5,$J$4,J19,"K"),"")</f>
        <v/>
      </c>
      <c r="L19" s="37" t="s">
        <v>1208</v>
      </c>
      <c r="M19" s="38" t="str">
        <f>IFERROR([1]!IntrinioBankFinancials(rssd_id,$W$2,$J$5,$J$4,L19,"K"),"")</f>
        <v/>
      </c>
      <c r="N19" s="37" t="s">
        <v>1209</v>
      </c>
      <c r="O19" s="38" t="str">
        <f>IFERROR([1]!IntrinioBankFinancials(rssd_id,$W$2,$J$5,$J$4,N19,"K"),"")</f>
        <v/>
      </c>
      <c r="P19" s="37" t="s">
        <v>1210</v>
      </c>
      <c r="Q19" s="38" t="str">
        <f>IFERROR([1]!IntrinioBankFinancials(rssd_id,$W$2,$J$5,$J$4,P19,"K"),"")</f>
        <v/>
      </c>
      <c r="R19" s="49" t="s">
        <v>357</v>
      </c>
    </row>
    <row r="20" spans="1:18" ht="42.75" x14ac:dyDescent="0.4">
      <c r="A20" s="41" t="s">
        <v>358</v>
      </c>
      <c r="B20" s="35"/>
      <c r="C20" s="35"/>
      <c r="D20" s="35"/>
      <c r="E20" s="35"/>
      <c r="F20" s="35"/>
      <c r="G20" s="35"/>
      <c r="H20" s="35"/>
      <c r="I20" s="35"/>
      <c r="J20" s="35"/>
      <c r="K20" s="35"/>
      <c r="L20" s="35"/>
      <c r="M20" s="35"/>
      <c r="N20" s="35"/>
      <c r="O20" s="35"/>
      <c r="P20" s="35"/>
      <c r="Q20" s="35"/>
      <c r="R20" s="49" t="s">
        <v>323</v>
      </c>
    </row>
    <row r="21" spans="1:18" ht="42.75" x14ac:dyDescent="0.45">
      <c r="A21" s="96" t="s">
        <v>359</v>
      </c>
      <c r="B21" s="37" t="s">
        <v>1211</v>
      </c>
      <c r="C21" s="38" t="str">
        <f>IFERROR([1]!IntrinioBankFinancials(rssd_id,$W$2,$B$5,$B$4,B21,"K"),"")</f>
        <v/>
      </c>
      <c r="D21" s="37" t="s">
        <v>1212</v>
      </c>
      <c r="E21" s="38" t="str">
        <f>IFERROR([1]!IntrinioBankFinancials(rssd_id,$W$2,$B$5,$B$4,D21,"K"),"")</f>
        <v/>
      </c>
      <c r="F21" s="37" t="s">
        <v>1213</v>
      </c>
      <c r="G21" s="38" t="str">
        <f>IFERROR([1]!IntrinioBankFinancials(rssd_id,$W$2,$B$5,$B$4,F21,"K"),"")</f>
        <v/>
      </c>
      <c r="H21" s="37" t="s">
        <v>1214</v>
      </c>
      <c r="I21" s="38" t="str">
        <f>IFERROR([1]!IntrinioBankFinancials(rssd_id,$W$2,$B$5,$B$4,H21,"K"),"")</f>
        <v/>
      </c>
      <c r="J21" s="37" t="s">
        <v>1211</v>
      </c>
      <c r="K21" s="38" t="str">
        <f>IFERROR([1]!IntrinioBankFinancials(rssd_id,$W$2,$J$5,$J$4,J21,"K"),"")</f>
        <v/>
      </c>
      <c r="L21" s="37" t="s">
        <v>1212</v>
      </c>
      <c r="M21" s="38" t="str">
        <f>IFERROR([1]!IntrinioBankFinancials(rssd_id,$W$2,$J$5,$J$4,L21,"K"),"")</f>
        <v/>
      </c>
      <c r="N21" s="37" t="s">
        <v>1213</v>
      </c>
      <c r="O21" s="38" t="str">
        <f>IFERROR([1]!IntrinioBankFinancials(rssd_id,$W$2,$J$5,$J$4,N21,"K"),"")</f>
        <v/>
      </c>
      <c r="P21" s="37" t="s">
        <v>1214</v>
      </c>
      <c r="Q21" s="38" t="str">
        <f>IFERROR([1]!IntrinioBankFinancials(rssd_id,$W$2,$J$5,$J$4,P21,"K"),"")</f>
        <v/>
      </c>
      <c r="R21" s="49" t="s">
        <v>360</v>
      </c>
    </row>
    <row r="22" spans="1:18" ht="42.75" x14ac:dyDescent="0.45">
      <c r="A22" s="96" t="s">
        <v>361</v>
      </c>
      <c r="B22" s="37" t="s">
        <v>1215</v>
      </c>
      <c r="C22" s="38" t="str">
        <f>IFERROR([1]!IntrinioBankFinancials(rssd_id,$W$2,$B$5,$B$4,B22,"K"),"")</f>
        <v/>
      </c>
      <c r="D22" s="37" t="s">
        <v>1216</v>
      </c>
      <c r="E22" s="38" t="str">
        <f>IFERROR([1]!IntrinioBankFinancials(rssd_id,$W$2,$B$5,$B$4,D22,"K"),"")</f>
        <v/>
      </c>
      <c r="F22" s="37" t="s">
        <v>1217</v>
      </c>
      <c r="G22" s="38" t="str">
        <f>IFERROR([1]!IntrinioBankFinancials(rssd_id,$W$2,$B$5,$B$4,F22,"K"),"")</f>
        <v/>
      </c>
      <c r="H22" s="37" t="s">
        <v>1218</v>
      </c>
      <c r="I22" s="38" t="str">
        <f>IFERROR([1]!IntrinioBankFinancials(rssd_id,$W$2,$B$5,$B$4,H22,"K"),"")</f>
        <v/>
      </c>
      <c r="J22" s="37" t="s">
        <v>1215</v>
      </c>
      <c r="K22" s="38" t="str">
        <f>IFERROR([1]!IntrinioBankFinancials(rssd_id,$W$2,$J$5,$J$4,J22,"K"),"")</f>
        <v/>
      </c>
      <c r="L22" s="37" t="s">
        <v>1216</v>
      </c>
      <c r="M22" s="38" t="str">
        <f>IFERROR([1]!IntrinioBankFinancials(rssd_id,$W$2,$J$5,$J$4,L22,"K"),"")</f>
        <v/>
      </c>
      <c r="N22" s="37" t="s">
        <v>1217</v>
      </c>
      <c r="O22" s="38" t="str">
        <f>IFERROR([1]!IntrinioBankFinancials(rssd_id,$W$2,$J$5,$J$4,N22,"K"),"")</f>
        <v/>
      </c>
      <c r="P22" s="37" t="s">
        <v>1218</v>
      </c>
      <c r="Q22" s="38" t="str">
        <f>IFERROR([1]!IntrinioBankFinancials(rssd_id,$W$2,$J$5,$J$4,P22,"K"),"")</f>
        <v/>
      </c>
      <c r="R22" s="49" t="s">
        <v>362</v>
      </c>
    </row>
    <row r="23" spans="1:18" ht="14.25" x14ac:dyDescent="0.45">
      <c r="A23" s="96" t="s">
        <v>363</v>
      </c>
      <c r="B23" s="37" t="s">
        <v>1219</v>
      </c>
      <c r="C23" s="38" t="str">
        <f>IFERROR([1]!IntrinioBankFinancials(rssd_id,$W$2,$B$5,$B$4,B23,"K"),"")</f>
        <v/>
      </c>
      <c r="D23" s="37" t="s">
        <v>1220</v>
      </c>
      <c r="E23" s="38" t="str">
        <f>IFERROR([1]!IntrinioBankFinancials(rssd_id,$W$2,$B$5,$B$4,D23,"K"),"")</f>
        <v/>
      </c>
      <c r="F23" s="37" t="s">
        <v>1221</v>
      </c>
      <c r="G23" s="38" t="str">
        <f>IFERROR([1]!IntrinioBankFinancials(rssd_id,$W$2,$B$5,$B$4,F23,"K"),"")</f>
        <v/>
      </c>
      <c r="H23" s="37" t="s">
        <v>1222</v>
      </c>
      <c r="I23" s="38" t="str">
        <f>IFERROR([1]!IntrinioBankFinancials(rssd_id,$W$2,$B$5,$B$4,H23,"K"),"")</f>
        <v/>
      </c>
      <c r="J23" s="37" t="s">
        <v>1219</v>
      </c>
      <c r="K23" s="38" t="str">
        <f>IFERROR([1]!IntrinioBankFinancials(rssd_id,$W$2,$J$5,$J$4,J23,"K"),"")</f>
        <v/>
      </c>
      <c r="L23" s="37" t="s">
        <v>1220</v>
      </c>
      <c r="M23" s="38" t="str">
        <f>IFERROR([1]!IntrinioBankFinancials(rssd_id,$W$2,$J$5,$J$4,L23,"K"),"")</f>
        <v/>
      </c>
      <c r="N23" s="37" t="s">
        <v>1221</v>
      </c>
      <c r="O23" s="38" t="str">
        <f>IFERROR([1]!IntrinioBankFinancials(rssd_id,$W$2,$J$5,$J$4,N23,"K"),"")</f>
        <v/>
      </c>
      <c r="P23" s="37" t="s">
        <v>1222</v>
      </c>
      <c r="Q23" s="38" t="str">
        <f>IFERROR([1]!IntrinioBankFinancials(rssd_id,$W$2,$J$5,$J$4,P23,"K"),"")</f>
        <v/>
      </c>
      <c r="R23" s="49" t="s">
        <v>364</v>
      </c>
    </row>
    <row r="24" spans="1:18" ht="14.25" x14ac:dyDescent="0.4">
      <c r="A24" s="41" t="s">
        <v>365</v>
      </c>
      <c r="B24" s="35"/>
      <c r="C24" s="35"/>
      <c r="D24" s="35"/>
      <c r="E24" s="35"/>
      <c r="F24" s="35"/>
      <c r="G24" s="35"/>
      <c r="H24" s="35"/>
      <c r="I24" s="35"/>
      <c r="J24" s="35"/>
      <c r="K24" s="35"/>
      <c r="L24" s="35"/>
      <c r="M24" s="35"/>
      <c r="N24" s="35"/>
      <c r="O24" s="35"/>
      <c r="P24" s="35"/>
      <c r="Q24" s="35"/>
      <c r="R24" s="49" t="s">
        <v>324</v>
      </c>
    </row>
    <row r="25" spans="1:18" ht="28.5" x14ac:dyDescent="0.45">
      <c r="A25" s="96" t="s">
        <v>366</v>
      </c>
      <c r="B25" s="35"/>
      <c r="C25" s="35"/>
      <c r="D25" s="35"/>
      <c r="E25" s="35"/>
      <c r="F25" s="35"/>
      <c r="G25" s="35"/>
      <c r="H25" s="35"/>
      <c r="I25" s="35"/>
      <c r="J25" s="35"/>
      <c r="K25" s="35"/>
      <c r="L25" s="35"/>
      <c r="M25" s="35"/>
      <c r="N25" s="35"/>
      <c r="O25" s="35"/>
      <c r="P25" s="35"/>
      <c r="Q25" s="35"/>
      <c r="R25" s="49" t="s">
        <v>367</v>
      </c>
    </row>
    <row r="26" spans="1:18" ht="28.5" x14ac:dyDescent="0.45">
      <c r="A26" s="97" t="s">
        <v>368</v>
      </c>
      <c r="B26" s="37" t="s">
        <v>1223</v>
      </c>
      <c r="C26" s="38" t="str">
        <f>IFERROR([1]!IntrinioBankFinancials(rssd_id,$W$2,$B$5,$B$4,B26,"K"),"")</f>
        <v/>
      </c>
      <c r="D26" s="37" t="s">
        <v>1224</v>
      </c>
      <c r="E26" s="38" t="str">
        <f>IFERROR([1]!IntrinioBankFinancials(rssd_id,$W$2,$B$5,$B$4,D26,"K"),"")</f>
        <v/>
      </c>
      <c r="F26" s="37" t="s">
        <v>1225</v>
      </c>
      <c r="G26" s="38" t="str">
        <f>IFERROR([1]!IntrinioBankFinancials(rssd_id,$W$2,$B$5,$B$4,F26,"K"),"")</f>
        <v/>
      </c>
      <c r="H26" s="37" t="s">
        <v>1226</v>
      </c>
      <c r="I26" s="38" t="str">
        <f>IFERROR([1]!IntrinioBankFinancials(rssd_id,$W$2,$B$5,$B$4,H26,"K"),"")</f>
        <v/>
      </c>
      <c r="J26" s="37" t="s">
        <v>1223</v>
      </c>
      <c r="K26" s="38" t="str">
        <f>IFERROR([1]!IntrinioBankFinancials(rssd_id,$W$2,$J$5,$J$4,J26,"K"),"")</f>
        <v/>
      </c>
      <c r="L26" s="37" t="s">
        <v>1224</v>
      </c>
      <c r="M26" s="38" t="str">
        <f>IFERROR([1]!IntrinioBankFinancials(rssd_id,$W$2,$J$5,$J$4,L26,"K"),"")</f>
        <v/>
      </c>
      <c r="N26" s="37" t="s">
        <v>1225</v>
      </c>
      <c r="O26" s="38" t="str">
        <f>IFERROR([1]!IntrinioBankFinancials(rssd_id,$W$2,$J$5,$J$4,N26,"K"),"")</f>
        <v/>
      </c>
      <c r="P26" s="37" t="s">
        <v>1226</v>
      </c>
      <c r="Q26" s="38" t="str">
        <f>IFERROR([1]!IntrinioBankFinancials(rssd_id,$W$2,$J$5,$J$4,P26,"K"),"")</f>
        <v/>
      </c>
      <c r="R26" s="49" t="s">
        <v>369</v>
      </c>
    </row>
    <row r="27" spans="1:18" ht="14.25" x14ac:dyDescent="0.45">
      <c r="A27" s="97" t="s">
        <v>370</v>
      </c>
      <c r="B27" s="37" t="s">
        <v>1227</v>
      </c>
      <c r="C27" s="38" t="str">
        <f>IFERROR([1]!IntrinioBankFinancials(rssd_id,$W$2,$B$5,$B$4,B27,"K"),"")</f>
        <v/>
      </c>
      <c r="D27" s="37" t="s">
        <v>1228</v>
      </c>
      <c r="E27" s="38" t="str">
        <f>IFERROR([1]!IntrinioBankFinancials(rssd_id,$W$2,$B$5,$B$4,D27,"K"),"")</f>
        <v/>
      </c>
      <c r="F27" s="37" t="s">
        <v>1229</v>
      </c>
      <c r="G27" s="38" t="str">
        <f>IFERROR([1]!IntrinioBankFinancials(rssd_id,$W$2,$B$5,$B$4,F27,"K"),"")</f>
        <v/>
      </c>
      <c r="H27" s="37" t="s">
        <v>1230</v>
      </c>
      <c r="I27" s="38" t="str">
        <f>IFERROR([1]!IntrinioBankFinancials(rssd_id,$W$2,$B$5,$B$4,H27,"K"),"")</f>
        <v/>
      </c>
      <c r="J27" s="37" t="s">
        <v>1227</v>
      </c>
      <c r="K27" s="38" t="str">
        <f>IFERROR([1]!IntrinioBankFinancials(rssd_id,$W$2,$J$5,$J$4,J27,"K"),"")</f>
        <v/>
      </c>
      <c r="L27" s="37" t="s">
        <v>1228</v>
      </c>
      <c r="M27" s="38" t="str">
        <f>IFERROR([1]!IntrinioBankFinancials(rssd_id,$W$2,$J$5,$J$4,L27,"K"),"")</f>
        <v/>
      </c>
      <c r="N27" s="37" t="s">
        <v>1229</v>
      </c>
      <c r="O27" s="38" t="str">
        <f>IFERROR([1]!IntrinioBankFinancials(rssd_id,$W$2,$J$5,$J$4,N27,"K"),"")</f>
        <v/>
      </c>
      <c r="P27" s="37" t="s">
        <v>1230</v>
      </c>
      <c r="Q27" s="38" t="str">
        <f>IFERROR([1]!IntrinioBankFinancials(rssd_id,$W$2,$J$5,$J$4,P27,"K"),"")</f>
        <v/>
      </c>
      <c r="R27" s="49" t="s">
        <v>371</v>
      </c>
    </row>
    <row r="28" spans="1:18" ht="14.25" x14ac:dyDescent="0.45">
      <c r="A28" s="96" t="s">
        <v>372</v>
      </c>
      <c r="B28" s="35"/>
      <c r="C28" s="35"/>
      <c r="D28" s="35"/>
      <c r="E28" s="35"/>
      <c r="F28" s="35"/>
      <c r="G28" s="35"/>
      <c r="H28" s="35"/>
      <c r="I28" s="35"/>
      <c r="J28" s="35"/>
      <c r="K28" s="35"/>
      <c r="L28" s="35"/>
      <c r="M28" s="35"/>
      <c r="N28" s="35"/>
      <c r="O28" s="35"/>
      <c r="P28" s="35"/>
      <c r="Q28" s="35"/>
      <c r="R28" s="49" t="s">
        <v>373</v>
      </c>
    </row>
    <row r="29" spans="1:18" ht="42.75" x14ac:dyDescent="0.45">
      <c r="A29" s="97" t="s">
        <v>374</v>
      </c>
      <c r="B29" s="37" t="s">
        <v>1231</v>
      </c>
      <c r="C29" s="38" t="str">
        <f>IFERROR([1]!IntrinioBankFinancials(rssd_id,$W$2,$B$5,$B$4,B29,"K"),"")</f>
        <v/>
      </c>
      <c r="D29" s="37" t="s">
        <v>1232</v>
      </c>
      <c r="E29" s="38" t="str">
        <f>IFERROR([1]!IntrinioBankFinancials(rssd_id,$W$2,$B$5,$B$4,D29,"K"),"")</f>
        <v/>
      </c>
      <c r="F29" s="37" t="s">
        <v>1233</v>
      </c>
      <c r="G29" s="38" t="str">
        <f>IFERROR([1]!IntrinioBankFinancials(rssd_id,$W$2,$B$5,$B$4,F29,"K"),"")</f>
        <v/>
      </c>
      <c r="H29" s="37" t="s">
        <v>1234</v>
      </c>
      <c r="I29" s="38" t="str">
        <f>IFERROR([1]!IntrinioBankFinancials(rssd_id,$W$2,$B$5,$B$4,H29,"K"),"")</f>
        <v/>
      </c>
      <c r="J29" s="37" t="s">
        <v>1231</v>
      </c>
      <c r="K29" s="38" t="str">
        <f>IFERROR([1]!IntrinioBankFinancials(rssd_id,$W$2,$J$5,$J$4,J29,"K"),"")</f>
        <v/>
      </c>
      <c r="L29" s="37" t="s">
        <v>1232</v>
      </c>
      <c r="M29" s="38" t="str">
        <f>IFERROR([1]!IntrinioBankFinancials(rssd_id,$W$2,$J$5,$J$4,L29,"K"),"")</f>
        <v/>
      </c>
      <c r="N29" s="37" t="s">
        <v>1233</v>
      </c>
      <c r="O29" s="38" t="str">
        <f>IFERROR([1]!IntrinioBankFinancials(rssd_id,$W$2,$J$5,$J$4,N29,"K"),"")</f>
        <v/>
      </c>
      <c r="P29" s="37" t="s">
        <v>1234</v>
      </c>
      <c r="Q29" s="38" t="str">
        <f>IFERROR([1]!IntrinioBankFinancials(rssd_id,$W$2,$J$5,$J$4,P29,"K"),"")</f>
        <v/>
      </c>
      <c r="R29" s="49" t="s">
        <v>375</v>
      </c>
    </row>
    <row r="30" spans="1:18" ht="14.25" x14ac:dyDescent="0.45">
      <c r="A30" s="97" t="s">
        <v>376</v>
      </c>
      <c r="B30" s="37" t="s">
        <v>1235</v>
      </c>
      <c r="C30" s="38" t="str">
        <f>IFERROR([1]!IntrinioBankFinancials(rssd_id,$W$2,$B$5,$B$4,B30,"K"),"")</f>
        <v/>
      </c>
      <c r="D30" s="37" t="s">
        <v>1236</v>
      </c>
      <c r="E30" s="38" t="str">
        <f>IFERROR([1]!IntrinioBankFinancials(rssd_id,$W$2,$B$5,$B$4,D30,"K"),"")</f>
        <v/>
      </c>
      <c r="F30" s="37" t="s">
        <v>1237</v>
      </c>
      <c r="G30" s="38" t="str">
        <f>IFERROR([1]!IntrinioBankFinancials(rssd_id,$W$2,$B$5,$B$4,F30,"K"),"")</f>
        <v/>
      </c>
      <c r="H30" s="37" t="s">
        <v>1238</v>
      </c>
      <c r="I30" s="38" t="str">
        <f>IFERROR([1]!IntrinioBankFinancials(rssd_id,$W$2,$B$5,$B$4,H30,"K"),"")</f>
        <v/>
      </c>
      <c r="J30" s="37" t="s">
        <v>1235</v>
      </c>
      <c r="K30" s="38" t="str">
        <f>IFERROR([1]!IntrinioBankFinancials(rssd_id,$W$2,$J$5,$J$4,J30,"K"),"")</f>
        <v/>
      </c>
      <c r="L30" s="37" t="s">
        <v>1236</v>
      </c>
      <c r="M30" s="38" t="str">
        <f>IFERROR([1]!IntrinioBankFinancials(rssd_id,$W$2,$J$5,$J$4,L30,"K"),"")</f>
        <v/>
      </c>
      <c r="N30" s="37" t="s">
        <v>1237</v>
      </c>
      <c r="O30" s="38" t="str">
        <f>IFERROR([1]!IntrinioBankFinancials(rssd_id,$W$2,$J$5,$J$4,N30,"K"),"")</f>
        <v/>
      </c>
      <c r="P30" s="37" t="s">
        <v>1238</v>
      </c>
      <c r="Q30" s="38" t="str">
        <f>IFERROR([1]!IntrinioBankFinancials(rssd_id,$W$2,$J$5,$J$4,P30,"K"),"")</f>
        <v/>
      </c>
      <c r="R30" s="49" t="s">
        <v>377</v>
      </c>
    </row>
    <row r="31" spans="1:18" ht="28.5" x14ac:dyDescent="0.45">
      <c r="A31" s="60" t="s">
        <v>378</v>
      </c>
      <c r="B31" s="35"/>
      <c r="C31" s="35"/>
      <c r="D31" s="35"/>
      <c r="E31" s="35"/>
      <c r="F31" s="35"/>
      <c r="G31" s="35"/>
      <c r="H31" s="35"/>
      <c r="I31" s="35"/>
      <c r="J31" s="35"/>
      <c r="K31" s="35"/>
      <c r="L31" s="35"/>
      <c r="M31" s="35"/>
      <c r="N31" s="35"/>
      <c r="O31" s="35"/>
      <c r="P31" s="35"/>
      <c r="Q31" s="35"/>
      <c r="R31" s="49">
        <v>5</v>
      </c>
    </row>
    <row r="32" spans="1:18" ht="14.25" x14ac:dyDescent="0.4">
      <c r="A32" s="41" t="s">
        <v>379</v>
      </c>
      <c r="B32" s="37" t="s">
        <v>1239</v>
      </c>
      <c r="C32" s="38" t="str">
        <f>IFERROR([1]!IntrinioBankFinancials(rssd_id,$W$2,$B$5,$B$4,B32,"K"),"")</f>
        <v/>
      </c>
      <c r="D32" s="37" t="s">
        <v>1240</v>
      </c>
      <c r="E32" s="38" t="str">
        <f>IFERROR([1]!IntrinioBankFinancials(rssd_id,$W$2,$B$5,$B$4,D32,"K"),"")</f>
        <v/>
      </c>
      <c r="F32" s="37" t="s">
        <v>1241</v>
      </c>
      <c r="G32" s="38" t="str">
        <f>IFERROR([1]!IntrinioBankFinancials(rssd_id,$W$2,$B$5,$B$4,F32,"K"),"")</f>
        <v/>
      </c>
      <c r="H32" s="37" t="s">
        <v>1242</v>
      </c>
      <c r="I32" s="38" t="str">
        <f>IFERROR([1]!IntrinioBankFinancials(rssd_id,$W$2,$B$5,$B$4,H32,"K"),"")</f>
        <v/>
      </c>
      <c r="J32" s="37" t="s">
        <v>1239</v>
      </c>
      <c r="K32" s="38" t="str">
        <f>IFERROR([1]!IntrinioBankFinancials(rssd_id,$W$2,$J$5,$J$4,J32,"K"),"")</f>
        <v/>
      </c>
      <c r="L32" s="37" t="s">
        <v>1240</v>
      </c>
      <c r="M32" s="38" t="str">
        <f>IFERROR([1]!IntrinioBankFinancials(rssd_id,$W$2,$J$5,$J$4,L32,"K"),"")</f>
        <v/>
      </c>
      <c r="N32" s="37" t="s">
        <v>1241</v>
      </c>
      <c r="O32" s="38" t="str">
        <f>IFERROR([1]!IntrinioBankFinancials(rssd_id,$W$2,$J$5,$J$4,N32,"K"),"")</f>
        <v/>
      </c>
      <c r="P32" s="37" t="s">
        <v>1242</v>
      </c>
      <c r="Q32" s="38" t="str">
        <f>IFERROR([1]!IntrinioBankFinancials(rssd_id,$W$2,$J$5,$J$4,P32,"K"),"")</f>
        <v/>
      </c>
      <c r="R32" s="49" t="s">
        <v>58</v>
      </c>
    </row>
    <row r="33" spans="1:27" ht="14.25" x14ac:dyDescent="0.4">
      <c r="A33" s="41" t="s">
        <v>380</v>
      </c>
      <c r="B33" s="35"/>
      <c r="C33" s="35"/>
      <c r="D33" s="35"/>
      <c r="E33" s="35"/>
      <c r="F33" s="35"/>
      <c r="G33" s="35"/>
      <c r="H33" s="35"/>
      <c r="I33" s="35"/>
      <c r="J33" s="35"/>
      <c r="K33" s="35"/>
      <c r="L33" s="35"/>
      <c r="M33" s="35"/>
      <c r="N33" s="35"/>
      <c r="O33" s="35"/>
      <c r="P33" s="35"/>
      <c r="Q33" s="35"/>
      <c r="R33" s="49" t="s">
        <v>60</v>
      </c>
    </row>
    <row r="34" spans="1:27" ht="14.25" x14ac:dyDescent="0.45">
      <c r="A34" s="95" t="s">
        <v>381</v>
      </c>
      <c r="B34" s="37" t="s">
        <v>1243</v>
      </c>
      <c r="C34" s="38" t="str">
        <f>IFERROR([1]!IntrinioBankFinancials(rssd_id,$W$2,$B$5,$B$4,B34,"K"),"")</f>
        <v/>
      </c>
      <c r="D34" s="37" t="s">
        <v>1244</v>
      </c>
      <c r="E34" s="38" t="str">
        <f>IFERROR([1]!IntrinioBankFinancials(rssd_id,$W$2,$B$5,$B$4,D34,"K"),"")</f>
        <v/>
      </c>
      <c r="F34" s="37" t="s">
        <v>1245</v>
      </c>
      <c r="G34" s="38" t="str">
        <f>IFERROR([1]!IntrinioBankFinancials(rssd_id,$W$2,$B$5,$B$4,F34,"K"),"")</f>
        <v/>
      </c>
      <c r="H34" s="37" t="s">
        <v>1246</v>
      </c>
      <c r="I34" s="38" t="str">
        <f>IFERROR([1]!IntrinioBankFinancials(rssd_id,$W$2,$B$5,$B$4,H34,"K"),"")</f>
        <v/>
      </c>
      <c r="J34" s="37" t="s">
        <v>1243</v>
      </c>
      <c r="K34" s="38" t="str">
        <f>IFERROR([1]!IntrinioBankFinancials(rssd_id,$W$2,$J$5,$J$4,J34,"K"),"")</f>
        <v/>
      </c>
      <c r="L34" s="37" t="s">
        <v>1244</v>
      </c>
      <c r="M34" s="38" t="str">
        <f>IFERROR([1]!IntrinioBankFinancials(rssd_id,$W$2,$J$5,$J$4,L34,"K"),"")</f>
        <v/>
      </c>
      <c r="N34" s="37" t="s">
        <v>1245</v>
      </c>
      <c r="O34" s="38" t="str">
        <f>IFERROR([1]!IntrinioBankFinancials(rssd_id,$W$2,$J$5,$J$4,N34,"K"),"")</f>
        <v/>
      </c>
      <c r="P34" s="37" t="s">
        <v>1246</v>
      </c>
      <c r="Q34" s="38" t="str">
        <f>IFERROR([1]!IntrinioBankFinancials(rssd_id,$W$2,$J$5,$J$4,P34,"K"),"")</f>
        <v/>
      </c>
      <c r="R34" s="49" t="s">
        <v>382</v>
      </c>
    </row>
    <row r="35" spans="1:27" ht="14.25" x14ac:dyDescent="0.45">
      <c r="A35" s="95" t="s">
        <v>383</v>
      </c>
      <c r="B35" s="37" t="s">
        <v>1247</v>
      </c>
      <c r="C35" s="38" t="str">
        <f>IFERROR([1]!IntrinioBankFinancials(rssd_id,$W$2,$B$5,$B$4,B35,"K"),"")</f>
        <v/>
      </c>
      <c r="D35" s="37" t="s">
        <v>1248</v>
      </c>
      <c r="E35" s="38" t="str">
        <f>IFERROR([1]!IntrinioBankFinancials(rssd_id,$W$2,$B$5,$B$4,D35,"K"),"")</f>
        <v/>
      </c>
      <c r="F35" s="37" t="s">
        <v>1249</v>
      </c>
      <c r="G35" s="38" t="str">
        <f>IFERROR([1]!IntrinioBankFinancials(rssd_id,$W$2,$B$5,$B$4,F35,"K"),"")</f>
        <v/>
      </c>
      <c r="H35" s="37" t="s">
        <v>1250</v>
      </c>
      <c r="I35" s="38" t="str">
        <f>IFERROR([1]!IntrinioBankFinancials(rssd_id,$W$2,$B$5,$B$4,H35,"K"),"")</f>
        <v/>
      </c>
      <c r="J35" s="37" t="s">
        <v>1247</v>
      </c>
      <c r="K35" s="38" t="str">
        <f>IFERROR([1]!IntrinioBankFinancials(rssd_id,$W$2,$J$5,$J$4,J35,"K"),"")</f>
        <v/>
      </c>
      <c r="L35" s="37" t="s">
        <v>1248</v>
      </c>
      <c r="M35" s="38" t="str">
        <f>IFERROR([1]!IntrinioBankFinancials(rssd_id,$W$2,$J$5,$J$4,L35,"K"),"")</f>
        <v/>
      </c>
      <c r="N35" s="37" t="s">
        <v>1249</v>
      </c>
      <c r="O35" s="38" t="str">
        <f>IFERROR([1]!IntrinioBankFinancials(rssd_id,$W$2,$J$5,$J$4,N35,"K"),"")</f>
        <v/>
      </c>
      <c r="P35" s="37" t="s">
        <v>1250</v>
      </c>
      <c r="Q35" s="38" t="str">
        <f>IFERROR([1]!IntrinioBankFinancials(rssd_id,$W$2,$J$5,$J$4,P35,"K"),"")</f>
        <v/>
      </c>
      <c r="R35" s="49" t="s">
        <v>384</v>
      </c>
    </row>
    <row r="36" spans="1:27" ht="14.25" x14ac:dyDescent="0.45">
      <c r="A36" s="95" t="s">
        <v>385</v>
      </c>
      <c r="B36" s="37" t="s">
        <v>1251</v>
      </c>
      <c r="C36" s="38" t="str">
        <f>IFERROR([1]!IntrinioBankFinancials(rssd_id,$W$2,$B$5,$B$4,B36,"K"),"")</f>
        <v/>
      </c>
      <c r="D36" s="37" t="s">
        <v>1252</v>
      </c>
      <c r="E36" s="38" t="str">
        <f>IFERROR([1]!IntrinioBankFinancials(rssd_id,$W$2,$B$5,$B$4,D36,"K"),"")</f>
        <v/>
      </c>
      <c r="F36" s="37" t="s">
        <v>1253</v>
      </c>
      <c r="G36" s="38" t="str">
        <f>IFERROR([1]!IntrinioBankFinancials(rssd_id,$W$2,$B$5,$B$4,F36,"K"),"")</f>
        <v/>
      </c>
      <c r="H36" s="37" t="s">
        <v>1254</v>
      </c>
      <c r="I36" s="38" t="str">
        <f>IFERROR([1]!IntrinioBankFinancials(rssd_id,$W$2,$B$5,$B$4,H36,"K"),"")</f>
        <v/>
      </c>
      <c r="J36" s="37" t="s">
        <v>1251</v>
      </c>
      <c r="K36" s="38" t="str">
        <f>IFERROR([1]!IntrinioBankFinancials(rssd_id,$W$2,$J$5,$J$4,J36,"K"),"")</f>
        <v/>
      </c>
      <c r="L36" s="37" t="s">
        <v>1252</v>
      </c>
      <c r="M36" s="38" t="str">
        <f>IFERROR([1]!IntrinioBankFinancials(rssd_id,$W$2,$J$5,$J$4,L36,"K"),"")</f>
        <v/>
      </c>
      <c r="N36" s="37" t="s">
        <v>1253</v>
      </c>
      <c r="O36" s="38" t="str">
        <f>IFERROR([1]!IntrinioBankFinancials(rssd_id,$W$2,$J$5,$J$4,N36,"K"),"")</f>
        <v/>
      </c>
      <c r="P36" s="37" t="s">
        <v>1254</v>
      </c>
      <c r="Q36" s="38" t="str">
        <f>IFERROR([1]!IntrinioBankFinancials(rssd_id,$W$2,$J$5,$J$4,P36,"K"),"")</f>
        <v/>
      </c>
      <c r="R36" s="49" t="s">
        <v>386</v>
      </c>
    </row>
    <row r="37" spans="1:27" ht="14.25" x14ac:dyDescent="0.45">
      <c r="A37" s="60" t="s">
        <v>387</v>
      </c>
      <c r="B37" s="35"/>
      <c r="C37" s="35"/>
      <c r="D37" s="35"/>
      <c r="E37" s="35"/>
      <c r="F37" s="35"/>
      <c r="G37" s="35"/>
      <c r="H37" s="35"/>
      <c r="I37" s="35"/>
      <c r="J37" s="35"/>
      <c r="K37" s="35"/>
      <c r="L37" s="35"/>
      <c r="M37" s="35"/>
      <c r="N37" s="35"/>
      <c r="O37" s="35"/>
      <c r="P37" s="35"/>
      <c r="Q37" s="35"/>
      <c r="R37" s="49">
        <v>6</v>
      </c>
    </row>
    <row r="38" spans="1:27" ht="14.25" x14ac:dyDescent="0.4">
      <c r="A38" s="41" t="s">
        <v>388</v>
      </c>
      <c r="B38" s="37" t="s">
        <v>1255</v>
      </c>
      <c r="C38" s="38" t="str">
        <f>IFERROR([1]!IntrinioBankFinancials(rssd_id,$W$2,$B$5,$B$4,B38,"K"),"")</f>
        <v/>
      </c>
      <c r="D38" s="37" t="s">
        <v>1256</v>
      </c>
      <c r="E38" s="38" t="str">
        <f>IFERROR([1]!IntrinioBankFinancials(rssd_id,$W$2,$B$5,$B$4,D38,"K"),"")</f>
        <v/>
      </c>
      <c r="F38" s="37" t="s">
        <v>1257</v>
      </c>
      <c r="G38" s="38" t="str">
        <f>IFERROR([1]!IntrinioBankFinancials(rssd_id,$W$2,$B$5,$B$4,F38,"K"),"")</f>
        <v/>
      </c>
      <c r="H38" s="37" t="s">
        <v>1258</v>
      </c>
      <c r="I38" s="38" t="str">
        <f>IFERROR([1]!IntrinioBankFinancials(rssd_id,$W$2,$B$5,$B$4,H38,"K"),"")</f>
        <v/>
      </c>
      <c r="J38" s="37" t="s">
        <v>1255</v>
      </c>
      <c r="K38" s="38" t="str">
        <f>IFERROR([1]!IntrinioBankFinancials(rssd_id,$W$2,$J$5,$J$4,J38,"K"),"")</f>
        <v/>
      </c>
      <c r="L38" s="37" t="s">
        <v>1256</v>
      </c>
      <c r="M38" s="38" t="str">
        <f>IFERROR([1]!IntrinioBankFinancials(rssd_id,$W$2,$J$5,$J$4,L38,"K"),"")</f>
        <v/>
      </c>
      <c r="N38" s="37" t="s">
        <v>1257</v>
      </c>
      <c r="O38" s="38" t="str">
        <f>IFERROR([1]!IntrinioBankFinancials(rssd_id,$W$2,$J$5,$J$4,N38,"K"),"")</f>
        <v/>
      </c>
      <c r="P38" s="37" t="s">
        <v>1258</v>
      </c>
      <c r="Q38" s="38" t="str">
        <f>IFERROR([1]!IntrinioBankFinancials(rssd_id,$W$2,$J$5,$J$4,P38,"K"),"")</f>
        <v/>
      </c>
      <c r="R38" s="49" t="s">
        <v>89</v>
      </c>
    </row>
    <row r="39" spans="1:27" ht="14.25" x14ac:dyDescent="0.4">
      <c r="A39" s="41" t="s">
        <v>389</v>
      </c>
      <c r="B39" s="37" t="s">
        <v>1259</v>
      </c>
      <c r="C39" s="38" t="str">
        <f>IFERROR([1]!IntrinioBankFinancials(rssd_id,$W$2,$B$5,$B$4,B39,"K"),"")</f>
        <v/>
      </c>
      <c r="D39" s="37" t="s">
        <v>1260</v>
      </c>
      <c r="E39" s="38" t="str">
        <f>IFERROR([1]!IntrinioBankFinancials(rssd_id,$W$2,$B$5,$B$4,D39,"K"),"")</f>
        <v/>
      </c>
      <c r="F39" s="37" t="s">
        <v>1261</v>
      </c>
      <c r="G39" s="38" t="str">
        <f>IFERROR([1]!IntrinioBankFinancials(rssd_id,$W$2,$B$5,$B$4,F39,"K"),"")</f>
        <v/>
      </c>
      <c r="H39" s="37" t="s">
        <v>1262</v>
      </c>
      <c r="I39" s="38" t="str">
        <f>IFERROR([1]!IntrinioBankFinancials(rssd_id,$W$2,$B$5,$B$4,H39,"K"),"")</f>
        <v/>
      </c>
      <c r="J39" s="37" t="s">
        <v>1259</v>
      </c>
      <c r="K39" s="38" t="str">
        <f>IFERROR([1]!IntrinioBankFinancials(rssd_id,$W$2,$J$5,$J$4,J39,"K"),"")</f>
        <v/>
      </c>
      <c r="L39" s="37" t="s">
        <v>1260</v>
      </c>
      <c r="M39" s="38" t="str">
        <f>IFERROR([1]!IntrinioBankFinancials(rssd_id,$W$2,$J$5,$J$4,L39,"K"),"")</f>
        <v/>
      </c>
      <c r="N39" s="37" t="s">
        <v>1261</v>
      </c>
      <c r="O39" s="38" t="str">
        <f>IFERROR([1]!IntrinioBankFinancials(rssd_id,$W$2,$J$5,$J$4,N39,"K"),"")</f>
        <v/>
      </c>
      <c r="P39" s="37" t="s">
        <v>1262</v>
      </c>
      <c r="Q39" s="38" t="str">
        <f>IFERROR([1]!IntrinioBankFinancials(rssd_id,$W$2,$J$5,$J$4,P39,"K"),"")</f>
        <v/>
      </c>
      <c r="R39" s="49" t="s">
        <v>91</v>
      </c>
    </row>
    <row r="40" spans="1:27" ht="42.75" x14ac:dyDescent="0.45">
      <c r="A40" s="60" t="s">
        <v>390</v>
      </c>
      <c r="B40" s="35"/>
      <c r="C40" s="38" t="str">
        <f>IFERROR([1]!IntrinioBankFinancials(rssd_id,$W$2,$B$5,$B$4,B40,"K"),"")</f>
        <v/>
      </c>
      <c r="D40" s="35"/>
      <c r="E40" s="38" t="str">
        <f>IFERROR([1]!IntrinioBankFinancials(rssd_id,$W$2,$B$5,$B$4,D40,"K"),"")</f>
        <v/>
      </c>
      <c r="F40" s="37" t="s">
        <v>1263</v>
      </c>
      <c r="G40" s="38" t="str">
        <f>IFERROR([1]!IntrinioBankFinancials(rssd_id,$W$2,$B$5,$B$4,F40,"K"),"")</f>
        <v/>
      </c>
      <c r="H40" s="37" t="s">
        <v>1264</v>
      </c>
      <c r="I40" s="38" t="str">
        <f>IFERROR([1]!IntrinioBankFinancials(rssd_id,$W$2,$B$5,$B$4,H40,"K"),"")</f>
        <v/>
      </c>
      <c r="J40" s="35"/>
      <c r="K40" s="38" t="str">
        <f>IFERROR([1]!IntrinioBankFinancials(rssd_id,$W$2,$J$5,$J$4,J40,"K"),"")</f>
        <v/>
      </c>
      <c r="L40" s="35"/>
      <c r="M40" s="38" t="str">
        <f>IFERROR([1]!IntrinioBankFinancials(rssd_id,$W$2,$J$5,$J$4,L40,"K"),"")</f>
        <v/>
      </c>
      <c r="N40" s="37" t="s">
        <v>1263</v>
      </c>
      <c r="O40" s="38" t="str">
        <f>IFERROR([1]!IntrinioBankFinancials(rssd_id,$W$2,$J$5,$J$4,N40,"K"),"")</f>
        <v/>
      </c>
      <c r="P40" s="37" t="s">
        <v>1264</v>
      </c>
      <c r="Q40" s="38" t="str">
        <f>IFERROR([1]!IntrinioBankFinancials(rssd_id,$W$2,$J$5,$J$4,P40,"K"),"")</f>
        <v/>
      </c>
      <c r="R40" s="49">
        <v>7</v>
      </c>
    </row>
    <row r="41" spans="1:27" ht="57" x14ac:dyDescent="0.45">
      <c r="A41" s="60" t="s">
        <v>1886</v>
      </c>
      <c r="B41" s="37" t="s">
        <v>1088</v>
      </c>
      <c r="C41" s="38" t="str">
        <f>IFERROR([1]!IntrinioBankFinancials(rssd_id,$W$2,$B$5,$B$4,B41,"K"),"")</f>
        <v/>
      </c>
      <c r="D41" s="37" t="s">
        <v>1265</v>
      </c>
      <c r="E41" s="38" t="str">
        <f>IFERROR([1]!IntrinioBankFinancials(rssd_id,$W$2,$B$5,$B$4,D41,"K"),"")</f>
        <v/>
      </c>
      <c r="F41" s="37" t="s">
        <v>1266</v>
      </c>
      <c r="G41" s="38" t="str">
        <f>IFERROR([1]!IntrinioBankFinancials(rssd_id,$W$2,$B$5,$B$4,F41,"K"),"")</f>
        <v/>
      </c>
      <c r="H41" s="37" t="s">
        <v>1089</v>
      </c>
      <c r="I41" s="38" t="str">
        <f>IFERROR([1]!IntrinioBankFinancials(rssd_id,$W$2,$B$5,$B$4,H41,"K"),"")</f>
        <v/>
      </c>
      <c r="J41" s="37" t="s">
        <v>1088</v>
      </c>
      <c r="K41" s="38" t="str">
        <f>IFERROR([1]!IntrinioBankFinancials(rssd_id,$W$2,$J$5,$J$4,J41,"K"),"")</f>
        <v/>
      </c>
      <c r="L41" s="37" t="s">
        <v>1265</v>
      </c>
      <c r="M41" s="38" t="str">
        <f>IFERROR([1]!IntrinioBankFinancials(rssd_id,$W$2,$J$5,$J$4,L41,"K"),"")</f>
        <v/>
      </c>
      <c r="N41" s="37" t="s">
        <v>1266</v>
      </c>
      <c r="O41" s="38" t="str">
        <f>IFERROR([1]!IntrinioBankFinancials(rssd_id,$W$2,$J$5,$J$4,N41,"K"),"")</f>
        <v/>
      </c>
      <c r="P41" s="37" t="s">
        <v>1089</v>
      </c>
      <c r="Q41" s="38" t="str">
        <f>IFERROR([1]!IntrinioBankFinancials(rssd_id,$W$2,$J$5,$J$4,P41,"K"),"")</f>
        <v/>
      </c>
      <c r="R41" s="49">
        <v>8</v>
      </c>
    </row>
    <row r="42" spans="1:27" s="47" customFormat="1" ht="18" x14ac:dyDescent="0.4">
      <c r="A42" s="39"/>
      <c r="B42" s="35"/>
      <c r="C42" s="89"/>
      <c r="D42" s="91"/>
      <c r="E42" s="73"/>
      <c r="F42" s="73"/>
      <c r="G42" s="73"/>
      <c r="H42" s="73"/>
      <c r="I42" s="73"/>
      <c r="J42" s="35"/>
      <c r="K42" s="89"/>
      <c r="L42" s="91"/>
      <c r="M42" s="73"/>
      <c r="N42" s="73"/>
      <c r="O42" s="73"/>
      <c r="P42" s="73"/>
      <c r="Q42" s="73"/>
      <c r="R42" s="73"/>
      <c r="S42" s="90"/>
      <c r="T42" s="90"/>
      <c r="U42" s="90"/>
      <c r="V42" s="90"/>
      <c r="W42" s="90"/>
      <c r="X42" s="49"/>
      <c r="Y42" s="13"/>
      <c r="Z42" s="13"/>
      <c r="AA42" s="13"/>
    </row>
    <row r="43" spans="1:27" s="47" customFormat="1" ht="18" x14ac:dyDescent="0.4">
      <c r="A43" s="11" t="s">
        <v>111</v>
      </c>
      <c r="B43" s="35"/>
      <c r="C43" s="89"/>
      <c r="D43" s="91"/>
      <c r="E43" s="73"/>
      <c r="F43" s="73"/>
      <c r="G43" s="73"/>
      <c r="H43" s="73"/>
      <c r="I43" s="73"/>
      <c r="J43" s="35"/>
      <c r="K43" s="89"/>
      <c r="L43" s="91"/>
      <c r="M43" s="73"/>
      <c r="N43" s="73"/>
      <c r="O43" s="73"/>
      <c r="P43" s="73"/>
      <c r="Q43" s="73"/>
      <c r="R43" s="73"/>
      <c r="S43" s="90"/>
      <c r="T43" s="90"/>
      <c r="U43" s="90"/>
      <c r="V43" s="90"/>
      <c r="W43" s="90"/>
      <c r="X43" s="49"/>
      <c r="Y43" s="13"/>
      <c r="Z43" s="13"/>
      <c r="AA43" s="13"/>
    </row>
    <row r="44" spans="1:27" ht="14.25" x14ac:dyDescent="0.45">
      <c r="A44" s="60" t="s">
        <v>391</v>
      </c>
      <c r="B44" s="37" t="s">
        <v>1267</v>
      </c>
      <c r="C44" s="38" t="str">
        <f>IFERROR([1]!IntrinioBankFinancials(rssd_id,$W$2,$B$5,$B$4,B44,"K"),"")</f>
        <v/>
      </c>
      <c r="D44" s="49" t="s">
        <v>112</v>
      </c>
      <c r="E44" s="87"/>
      <c r="F44" s="87"/>
      <c r="G44" s="87"/>
      <c r="H44" s="87"/>
      <c r="I44" s="87"/>
      <c r="J44" s="37" t="s">
        <v>1267</v>
      </c>
      <c r="K44" s="38" t="str">
        <f>IFERROR([1]!IntrinioBankFinancials(rssd_id,$W$2,$J$5,$J$4,J44,"K"),"")</f>
        <v/>
      </c>
      <c r="L44" s="49" t="s">
        <v>112</v>
      </c>
      <c r="M44" s="87"/>
      <c r="N44" s="87"/>
      <c r="O44" s="87"/>
      <c r="P44" s="87"/>
      <c r="Q44" s="87"/>
      <c r="R44" s="87"/>
    </row>
    <row r="45" spans="1:27" ht="42.75" x14ac:dyDescent="0.45">
      <c r="A45" s="60" t="s">
        <v>392</v>
      </c>
      <c r="B45" s="35"/>
      <c r="C45" s="35"/>
      <c r="D45" s="49" t="s">
        <v>113</v>
      </c>
      <c r="E45" s="87"/>
      <c r="F45" s="87"/>
      <c r="G45" s="87"/>
      <c r="H45" s="87"/>
      <c r="I45" s="87"/>
      <c r="J45" s="35"/>
      <c r="K45" s="35"/>
      <c r="L45" s="49" t="s">
        <v>113</v>
      </c>
      <c r="M45" s="87"/>
      <c r="N45" s="87"/>
      <c r="O45" s="87"/>
      <c r="P45" s="87"/>
      <c r="Q45" s="87"/>
      <c r="R45" s="87"/>
    </row>
    <row r="46" spans="1:27" ht="128.25" x14ac:dyDescent="0.4">
      <c r="A46" s="41" t="s">
        <v>442</v>
      </c>
      <c r="B46" s="35"/>
      <c r="C46" s="35"/>
      <c r="D46" s="49" t="s">
        <v>227</v>
      </c>
      <c r="E46" s="87"/>
      <c r="F46" s="87"/>
      <c r="G46" s="87"/>
      <c r="H46" s="87"/>
      <c r="I46" s="87"/>
      <c r="J46" s="35"/>
      <c r="K46" s="35"/>
      <c r="L46" s="49" t="s">
        <v>227</v>
      </c>
      <c r="M46" s="87"/>
      <c r="N46" s="87"/>
      <c r="O46" s="87"/>
      <c r="P46" s="87"/>
      <c r="Q46" s="87"/>
      <c r="R46" s="87"/>
    </row>
    <row r="47" spans="1:27" ht="14.25" x14ac:dyDescent="0.45">
      <c r="A47" s="95" t="s">
        <v>393</v>
      </c>
      <c r="B47" s="37" t="s">
        <v>1268</v>
      </c>
      <c r="C47" s="38" t="str">
        <f>IFERROR([1]!IntrinioBankFinancials(rssd_id,$W$2,$B$5,$B$4,B47,"K"),"")</f>
        <v/>
      </c>
      <c r="D47" s="49" t="s">
        <v>394</v>
      </c>
      <c r="E47" s="87"/>
      <c r="F47" s="87"/>
      <c r="G47" s="87"/>
      <c r="H47" s="87"/>
      <c r="I47" s="87"/>
      <c r="J47" s="37" t="s">
        <v>1268</v>
      </c>
      <c r="K47" s="38" t="str">
        <f>IFERROR([1]!IntrinioBankFinancials(rssd_id,$W$2,$J$5,$J$4,J47,"K"),"")</f>
        <v/>
      </c>
      <c r="L47" s="49" t="s">
        <v>394</v>
      </c>
      <c r="M47" s="87"/>
      <c r="N47" s="87"/>
      <c r="O47" s="87"/>
      <c r="P47" s="87"/>
      <c r="Q47" s="87"/>
      <c r="R47" s="87"/>
    </row>
    <row r="48" spans="1:27" ht="28.5" x14ac:dyDescent="0.45">
      <c r="A48" s="95" t="s">
        <v>395</v>
      </c>
      <c r="B48" s="37" t="s">
        <v>1269</v>
      </c>
      <c r="C48" s="38" t="str">
        <f>IFERROR([1]!IntrinioBankFinancials(rssd_id,$W$2,$B$5,$B$4,B48,"K"),"")</f>
        <v/>
      </c>
      <c r="D48" s="49" t="s">
        <v>396</v>
      </c>
      <c r="E48" s="87"/>
      <c r="F48" s="87"/>
      <c r="G48" s="87"/>
      <c r="H48" s="87"/>
      <c r="I48" s="87"/>
      <c r="J48" s="37" t="s">
        <v>1269</v>
      </c>
      <c r="K48" s="38" t="str">
        <f>IFERROR([1]!IntrinioBankFinancials(rssd_id,$W$2,$J$5,$J$4,J48,"K"),"")</f>
        <v/>
      </c>
      <c r="L48" s="49" t="s">
        <v>396</v>
      </c>
      <c r="M48" s="87"/>
      <c r="N48" s="87"/>
      <c r="O48" s="87"/>
      <c r="P48" s="87"/>
      <c r="Q48" s="87"/>
      <c r="R48" s="87"/>
    </row>
    <row r="49" spans="1:18" ht="14.25" x14ac:dyDescent="0.45">
      <c r="A49" s="95" t="s">
        <v>397</v>
      </c>
      <c r="B49" s="37" t="s">
        <v>1270</v>
      </c>
      <c r="C49" s="38" t="str">
        <f>IFERROR([1]!IntrinioBankFinancials(rssd_id,$W$2,$B$5,$B$4,B49,"K"),"")</f>
        <v/>
      </c>
      <c r="D49" s="49" t="s">
        <v>398</v>
      </c>
      <c r="E49" s="87"/>
      <c r="F49" s="87"/>
      <c r="G49" s="87"/>
      <c r="H49" s="87"/>
      <c r="I49" s="87"/>
      <c r="J49" s="37" t="s">
        <v>1270</v>
      </c>
      <c r="K49" s="38" t="str">
        <f>IFERROR([1]!IntrinioBankFinancials(rssd_id,$W$2,$J$5,$J$4,J49,"K"),"")</f>
        <v/>
      </c>
      <c r="L49" s="49" t="s">
        <v>398</v>
      </c>
      <c r="M49" s="87"/>
      <c r="N49" s="87"/>
      <c r="O49" s="87"/>
      <c r="P49" s="87"/>
      <c r="Q49" s="87"/>
      <c r="R49" s="87"/>
    </row>
    <row r="50" spans="1:18" ht="14.25" x14ac:dyDescent="0.45">
      <c r="A50" s="95" t="s">
        <v>399</v>
      </c>
      <c r="B50" s="37" t="s">
        <v>1271</v>
      </c>
      <c r="C50" s="38" t="str">
        <f>IFERROR([1]!IntrinioBankFinancials(rssd_id,$W$2,$B$5,$B$4,B50,"K"),"")</f>
        <v/>
      </c>
      <c r="D50" s="49" t="s">
        <v>400</v>
      </c>
      <c r="E50" s="87"/>
      <c r="F50" s="87"/>
      <c r="G50" s="87"/>
      <c r="H50" s="87"/>
      <c r="I50" s="87"/>
      <c r="J50" s="37" t="s">
        <v>1271</v>
      </c>
      <c r="K50" s="38" t="str">
        <f>IFERROR([1]!IntrinioBankFinancials(rssd_id,$W$2,$J$5,$J$4,J50,"K"),"")</f>
        <v/>
      </c>
      <c r="L50" s="49" t="s">
        <v>400</v>
      </c>
      <c r="M50" s="87"/>
      <c r="N50" s="87"/>
      <c r="O50" s="87"/>
      <c r="P50" s="87"/>
      <c r="Q50" s="87"/>
      <c r="R50" s="87"/>
    </row>
    <row r="51" spans="1:18" ht="14.25" x14ac:dyDescent="0.45">
      <c r="A51" s="95" t="s">
        <v>401</v>
      </c>
      <c r="B51" s="37" t="s">
        <v>1272</v>
      </c>
      <c r="C51" s="38" t="str">
        <f>IFERROR([1]!IntrinioBankFinancials(rssd_id,$W$2,$B$5,$B$4,B51,"K"),"")</f>
        <v/>
      </c>
      <c r="D51" s="49" t="s">
        <v>402</v>
      </c>
      <c r="E51" s="87"/>
      <c r="F51" s="87"/>
      <c r="G51" s="87"/>
      <c r="H51" s="87"/>
      <c r="I51" s="87"/>
      <c r="J51" s="37" t="s">
        <v>1272</v>
      </c>
      <c r="K51" s="38" t="str">
        <f>IFERROR([1]!IntrinioBankFinancials(rssd_id,$W$2,$J$5,$J$4,J51,"K"),"")</f>
        <v/>
      </c>
      <c r="L51" s="49" t="s">
        <v>402</v>
      </c>
      <c r="M51" s="87"/>
      <c r="N51" s="87"/>
      <c r="O51" s="87"/>
      <c r="P51" s="87"/>
      <c r="Q51" s="87"/>
      <c r="R51" s="87"/>
    </row>
    <row r="52" spans="1:18" ht="14.25" x14ac:dyDescent="0.45">
      <c r="A52" s="95" t="s">
        <v>403</v>
      </c>
      <c r="B52" s="37" t="s">
        <v>1273</v>
      </c>
      <c r="C52" s="38" t="str">
        <f>IFERROR([1]!IntrinioBankFinancials(rssd_id,$W$2,$B$5,$B$4,B52,"K"),"")</f>
        <v/>
      </c>
      <c r="D52" s="49" t="s">
        <v>404</v>
      </c>
      <c r="E52" s="87"/>
      <c r="F52" s="87"/>
      <c r="G52" s="87"/>
      <c r="H52" s="87"/>
      <c r="I52" s="87"/>
      <c r="J52" s="37" t="s">
        <v>1273</v>
      </c>
      <c r="K52" s="38" t="str">
        <f>IFERROR([1]!IntrinioBankFinancials(rssd_id,$W$2,$J$5,$J$4,J52,"K"),"")</f>
        <v/>
      </c>
      <c r="L52" s="49" t="s">
        <v>404</v>
      </c>
      <c r="M52" s="87"/>
      <c r="N52" s="87"/>
      <c r="O52" s="87"/>
      <c r="P52" s="87"/>
      <c r="Q52" s="87"/>
      <c r="R52" s="87"/>
    </row>
    <row r="53" spans="1:18" ht="57" x14ac:dyDescent="0.4">
      <c r="A53" s="41" t="s">
        <v>443</v>
      </c>
      <c r="B53" s="35"/>
      <c r="C53" s="35"/>
      <c r="D53" s="49" t="s">
        <v>228</v>
      </c>
      <c r="E53" s="87"/>
      <c r="F53" s="87"/>
      <c r="G53" s="87"/>
      <c r="H53" s="87"/>
      <c r="I53" s="87"/>
      <c r="J53" s="35"/>
      <c r="K53" s="35"/>
      <c r="L53" s="49" t="s">
        <v>228</v>
      </c>
      <c r="M53" s="87"/>
      <c r="N53" s="87"/>
      <c r="O53" s="87"/>
      <c r="P53" s="87"/>
      <c r="Q53" s="87"/>
      <c r="R53" s="87"/>
    </row>
    <row r="54" spans="1:18" ht="14.25" x14ac:dyDescent="0.45">
      <c r="A54" s="95" t="s">
        <v>393</v>
      </c>
      <c r="B54" s="37" t="s">
        <v>1274</v>
      </c>
      <c r="C54" s="38" t="str">
        <f>IFERROR([1]!IntrinioBankFinancials(rssd_id,$W$2,$B$5,$B$4,B54,"K"),"")</f>
        <v/>
      </c>
      <c r="D54" s="49" t="s">
        <v>405</v>
      </c>
      <c r="E54" s="87"/>
      <c r="F54" s="87"/>
      <c r="G54" s="87"/>
      <c r="H54" s="87"/>
      <c r="I54" s="87"/>
      <c r="J54" s="37" t="s">
        <v>1274</v>
      </c>
      <c r="K54" s="38" t="str">
        <f>IFERROR([1]!IntrinioBankFinancials(rssd_id,$W$2,$J$5,$J$4,J54,"K"),"")</f>
        <v/>
      </c>
      <c r="L54" s="49" t="s">
        <v>405</v>
      </c>
      <c r="M54" s="87"/>
      <c r="N54" s="87"/>
      <c r="O54" s="87"/>
      <c r="P54" s="87"/>
      <c r="Q54" s="87"/>
      <c r="R54" s="87"/>
    </row>
    <row r="55" spans="1:18" ht="28.5" x14ac:dyDescent="0.45">
      <c r="A55" s="95" t="s">
        <v>395</v>
      </c>
      <c r="B55" s="37" t="s">
        <v>1275</v>
      </c>
      <c r="C55" s="38" t="str">
        <f>IFERROR([1]!IntrinioBankFinancials(rssd_id,$W$2,$B$5,$B$4,B55,"K"),"")</f>
        <v/>
      </c>
      <c r="D55" s="49" t="s">
        <v>406</v>
      </c>
      <c r="E55" s="87"/>
      <c r="F55" s="87"/>
      <c r="G55" s="87"/>
      <c r="H55" s="87"/>
      <c r="I55" s="87"/>
      <c r="J55" s="37" t="s">
        <v>1275</v>
      </c>
      <c r="K55" s="38" t="str">
        <f>IFERROR([1]!IntrinioBankFinancials(rssd_id,$W$2,$J$5,$J$4,J55,"K"),"")</f>
        <v/>
      </c>
      <c r="L55" s="49" t="s">
        <v>406</v>
      </c>
      <c r="M55" s="87"/>
      <c r="N55" s="87"/>
      <c r="O55" s="87"/>
      <c r="P55" s="87"/>
      <c r="Q55" s="87"/>
      <c r="R55" s="87"/>
    </row>
    <row r="56" spans="1:18" ht="14.25" x14ac:dyDescent="0.45">
      <c r="A56" s="95" t="s">
        <v>397</v>
      </c>
      <c r="B56" s="37" t="s">
        <v>1276</v>
      </c>
      <c r="C56" s="38" t="str">
        <f>IFERROR([1]!IntrinioBankFinancials(rssd_id,$W$2,$B$5,$B$4,B56,"K"),"")</f>
        <v/>
      </c>
      <c r="D56" s="49" t="s">
        <v>407</v>
      </c>
      <c r="E56" s="87"/>
      <c r="F56" s="87"/>
      <c r="G56" s="87"/>
      <c r="H56" s="87"/>
      <c r="I56" s="87"/>
      <c r="J56" s="37" t="s">
        <v>1276</v>
      </c>
      <c r="K56" s="38" t="str">
        <f>IFERROR([1]!IntrinioBankFinancials(rssd_id,$W$2,$J$5,$J$4,J56,"K"),"")</f>
        <v/>
      </c>
      <c r="L56" s="49" t="s">
        <v>407</v>
      </c>
      <c r="M56" s="87"/>
      <c r="N56" s="87"/>
      <c r="O56" s="87"/>
      <c r="P56" s="87"/>
      <c r="Q56" s="87"/>
      <c r="R56" s="87"/>
    </row>
    <row r="57" spans="1:18" ht="14.25" x14ac:dyDescent="0.45">
      <c r="A57" s="95" t="s">
        <v>399</v>
      </c>
      <c r="B57" s="37" t="s">
        <v>1277</v>
      </c>
      <c r="C57" s="38" t="str">
        <f>IFERROR([1]!IntrinioBankFinancials(rssd_id,$W$2,$B$5,$B$4,B57,"K"),"")</f>
        <v/>
      </c>
      <c r="D57" s="49" t="s">
        <v>408</v>
      </c>
      <c r="E57" s="87"/>
      <c r="F57" s="87"/>
      <c r="G57" s="87"/>
      <c r="H57" s="87"/>
      <c r="I57" s="87"/>
      <c r="J57" s="37" t="s">
        <v>1277</v>
      </c>
      <c r="K57" s="38" t="str">
        <f>IFERROR([1]!IntrinioBankFinancials(rssd_id,$W$2,$J$5,$J$4,J57,"K"),"")</f>
        <v/>
      </c>
      <c r="L57" s="49" t="s">
        <v>408</v>
      </c>
      <c r="M57" s="87"/>
      <c r="N57" s="87"/>
      <c r="O57" s="87"/>
      <c r="P57" s="87"/>
      <c r="Q57" s="87"/>
      <c r="R57" s="87"/>
    </row>
    <row r="58" spans="1:18" ht="14.25" x14ac:dyDescent="0.45">
      <c r="A58" s="95" t="s">
        <v>401</v>
      </c>
      <c r="B58" s="37" t="s">
        <v>1278</v>
      </c>
      <c r="C58" s="38" t="str">
        <f>IFERROR([1]!IntrinioBankFinancials(rssd_id,$W$2,$B$5,$B$4,B58,"K"),"")</f>
        <v/>
      </c>
      <c r="D58" s="49" t="s">
        <v>409</v>
      </c>
      <c r="E58" s="87"/>
      <c r="F58" s="87"/>
      <c r="G58" s="87"/>
      <c r="H58" s="87"/>
      <c r="I58" s="87"/>
      <c r="J58" s="37" t="s">
        <v>1278</v>
      </c>
      <c r="K58" s="38" t="str">
        <f>IFERROR([1]!IntrinioBankFinancials(rssd_id,$W$2,$J$5,$J$4,J58,"K"),"")</f>
        <v/>
      </c>
      <c r="L58" s="49" t="s">
        <v>409</v>
      </c>
      <c r="M58" s="87"/>
      <c r="N58" s="87"/>
      <c r="O58" s="87"/>
      <c r="P58" s="87"/>
      <c r="Q58" s="87"/>
      <c r="R58" s="87"/>
    </row>
    <row r="59" spans="1:18" ht="14.25" x14ac:dyDescent="0.45">
      <c r="A59" s="95" t="s">
        <v>403</v>
      </c>
      <c r="B59" s="37" t="s">
        <v>1279</v>
      </c>
      <c r="C59" s="38" t="str">
        <f>IFERROR([1]!IntrinioBankFinancials(rssd_id,$W$2,$B$5,$B$4,B59,"K"),"")</f>
        <v/>
      </c>
      <c r="D59" s="49" t="s">
        <v>410</v>
      </c>
      <c r="E59" s="87"/>
      <c r="F59" s="87"/>
      <c r="G59" s="87"/>
      <c r="H59" s="87"/>
      <c r="I59" s="87"/>
      <c r="J59" s="37" t="s">
        <v>1279</v>
      </c>
      <c r="K59" s="38" t="str">
        <f>IFERROR([1]!IntrinioBankFinancials(rssd_id,$W$2,$J$5,$J$4,J59,"K"),"")</f>
        <v/>
      </c>
      <c r="L59" s="49" t="s">
        <v>410</v>
      </c>
      <c r="M59" s="87"/>
      <c r="N59" s="87"/>
      <c r="O59" s="87"/>
      <c r="P59" s="87"/>
      <c r="Q59" s="87"/>
      <c r="R59" s="87"/>
    </row>
    <row r="60" spans="1:18" ht="71.25" x14ac:dyDescent="0.4">
      <c r="A60" s="41" t="s">
        <v>444</v>
      </c>
      <c r="B60" s="35"/>
      <c r="C60" s="35"/>
      <c r="D60" s="49" t="s">
        <v>229</v>
      </c>
      <c r="E60" s="87"/>
      <c r="F60" s="87"/>
      <c r="G60" s="87"/>
      <c r="H60" s="87"/>
      <c r="I60" s="87"/>
      <c r="J60" s="35"/>
      <c r="K60" s="35"/>
      <c r="L60" s="49" t="s">
        <v>229</v>
      </c>
      <c r="M60" s="87"/>
      <c r="N60" s="87"/>
      <c r="O60" s="87"/>
      <c r="P60" s="87"/>
      <c r="Q60" s="87"/>
      <c r="R60" s="87"/>
    </row>
    <row r="61" spans="1:18" ht="14.25" x14ac:dyDescent="0.45">
      <c r="A61" s="95" t="s">
        <v>411</v>
      </c>
      <c r="B61" s="37" t="s">
        <v>1280</v>
      </c>
      <c r="C61" s="38" t="str">
        <f>IFERROR([1]!IntrinioBankFinancials(rssd_id,$W$2,$B$5,$B$4,B61,"K"),"")</f>
        <v/>
      </c>
      <c r="D61" s="49" t="s">
        <v>412</v>
      </c>
      <c r="E61" s="87"/>
      <c r="F61" s="87"/>
      <c r="G61" s="87"/>
      <c r="H61" s="87"/>
      <c r="I61" s="87"/>
      <c r="J61" s="37" t="s">
        <v>1280</v>
      </c>
      <c r="K61" s="38" t="str">
        <f>IFERROR([1]!IntrinioBankFinancials(rssd_id,$W$2,$J$5,$J$4,J61,"K"),"")</f>
        <v/>
      </c>
      <c r="L61" s="49" t="s">
        <v>412</v>
      </c>
      <c r="M61" s="87"/>
      <c r="N61" s="87"/>
      <c r="O61" s="87"/>
      <c r="P61" s="87"/>
      <c r="Q61" s="87"/>
      <c r="R61" s="87"/>
    </row>
    <row r="62" spans="1:18" ht="14.25" x14ac:dyDescent="0.45">
      <c r="A62" s="95" t="s">
        <v>413</v>
      </c>
      <c r="B62" s="37" t="s">
        <v>1281</v>
      </c>
      <c r="C62" s="38" t="str">
        <f>IFERROR([1]!IntrinioBankFinancials(rssd_id,$W$2,$B$5,$B$4,B62,"K"),"")</f>
        <v/>
      </c>
      <c r="D62" s="49" t="s">
        <v>414</v>
      </c>
      <c r="E62" s="87"/>
      <c r="F62" s="87"/>
      <c r="G62" s="87"/>
      <c r="H62" s="87"/>
      <c r="I62" s="87"/>
      <c r="J62" s="37" t="s">
        <v>1281</v>
      </c>
      <c r="K62" s="38" t="str">
        <f>IFERROR([1]!IntrinioBankFinancials(rssd_id,$W$2,$J$5,$J$4,J62,"K"),"")</f>
        <v/>
      </c>
      <c r="L62" s="49" t="s">
        <v>414</v>
      </c>
      <c r="M62" s="87"/>
      <c r="N62" s="87"/>
      <c r="O62" s="87"/>
      <c r="P62" s="87"/>
      <c r="Q62" s="87"/>
      <c r="R62" s="87"/>
    </row>
    <row r="63" spans="1:18" ht="57" x14ac:dyDescent="0.4">
      <c r="A63" s="41" t="s">
        <v>445</v>
      </c>
      <c r="B63" s="37" t="s">
        <v>1282</v>
      </c>
      <c r="C63" s="38" t="str">
        <f>IFERROR([1]!IntrinioBankFinancials(rssd_id,$W$2,$B$5,$B$4,B63,"K"),"")</f>
        <v/>
      </c>
      <c r="D63" s="49" t="s">
        <v>230</v>
      </c>
      <c r="E63" s="87"/>
      <c r="F63" s="87"/>
      <c r="G63" s="87"/>
      <c r="H63" s="87"/>
      <c r="I63" s="87"/>
      <c r="J63" s="37" t="s">
        <v>1282</v>
      </c>
      <c r="K63" s="38" t="str">
        <f>IFERROR([1]!IntrinioBankFinancials(rssd_id,$W$2,$J$5,$J$4,J63,"K"),"")</f>
        <v/>
      </c>
      <c r="L63" s="49" t="s">
        <v>230</v>
      </c>
      <c r="M63" s="87"/>
      <c r="N63" s="87"/>
      <c r="O63" s="87"/>
      <c r="P63" s="87"/>
      <c r="Q63" s="87"/>
      <c r="R63" s="87"/>
    </row>
    <row r="64" spans="1:18" ht="71.25" x14ac:dyDescent="0.45">
      <c r="A64" s="60" t="s">
        <v>446</v>
      </c>
      <c r="B64" s="37" t="s">
        <v>1283</v>
      </c>
      <c r="C64" s="38" t="str">
        <f>IFERROR([1]!IntrinioBankFinancials(rssd_id,$W$2,$B$5,$B$4,B64,"K"),"")</f>
        <v/>
      </c>
      <c r="D64" s="49" t="s">
        <v>114</v>
      </c>
      <c r="E64" s="87"/>
      <c r="F64" s="87"/>
      <c r="G64" s="87"/>
      <c r="H64" s="87"/>
      <c r="I64" s="87"/>
      <c r="J64" s="37" t="s">
        <v>1283</v>
      </c>
      <c r="K64" s="38" t="str">
        <f>IFERROR([1]!IntrinioBankFinancials(rssd_id,$W$2,$J$5,$J$4,J64,"K"),"")</f>
        <v/>
      </c>
      <c r="L64" s="49" t="s">
        <v>114</v>
      </c>
      <c r="M64" s="87"/>
      <c r="N64" s="87"/>
      <c r="O64" s="87"/>
      <c r="P64" s="87"/>
      <c r="Q64" s="87"/>
      <c r="R64" s="87"/>
    </row>
    <row r="65" spans="1:18" ht="42.75" x14ac:dyDescent="0.45">
      <c r="A65" s="60" t="s">
        <v>1887</v>
      </c>
      <c r="B65" s="35"/>
      <c r="C65" s="35"/>
      <c r="D65" s="49" t="s">
        <v>115</v>
      </c>
      <c r="E65" s="87"/>
      <c r="F65" s="87"/>
      <c r="G65" s="87"/>
      <c r="H65" s="87"/>
      <c r="I65" s="87"/>
      <c r="J65" s="35"/>
      <c r="K65" s="35"/>
      <c r="L65" s="49" t="s">
        <v>115</v>
      </c>
      <c r="M65" s="87"/>
      <c r="N65" s="87"/>
      <c r="O65" s="87"/>
      <c r="P65" s="87"/>
      <c r="Q65" s="87"/>
      <c r="R65" s="87"/>
    </row>
    <row r="66" spans="1:18" ht="14.25" x14ac:dyDescent="0.4">
      <c r="A66" s="41" t="s">
        <v>415</v>
      </c>
      <c r="B66" s="37" t="s">
        <v>1284</v>
      </c>
      <c r="C66" s="38" t="str">
        <f>IFERROR([1]!IntrinioBankFinancials(rssd_id,$W$2,$B$5,$B$4,B66,"K"),"")</f>
        <v/>
      </c>
      <c r="D66" s="49" t="s">
        <v>416</v>
      </c>
      <c r="E66" s="87"/>
      <c r="F66" s="87"/>
      <c r="G66" s="87"/>
      <c r="H66" s="87"/>
      <c r="I66" s="87"/>
      <c r="J66" s="37" t="s">
        <v>1284</v>
      </c>
      <c r="K66" s="38" t="str">
        <f>IFERROR([1]!IntrinioBankFinancials(rssd_id,$W$2,$J$5,$J$4,J66,"K"),"")</f>
        <v/>
      </c>
      <c r="L66" s="49" t="s">
        <v>416</v>
      </c>
      <c r="M66" s="87"/>
      <c r="N66" s="87"/>
      <c r="O66" s="87"/>
      <c r="P66" s="87"/>
      <c r="Q66" s="87"/>
      <c r="R66" s="87"/>
    </row>
    <row r="67" spans="1:18" ht="14.25" x14ac:dyDescent="0.4">
      <c r="A67" s="41" t="s">
        <v>417</v>
      </c>
      <c r="B67" s="37" t="s">
        <v>1285</v>
      </c>
      <c r="C67" s="38" t="str">
        <f>IFERROR([1]!IntrinioBankFinancials(rssd_id,$W$2,$B$5,$B$4,B67,"K"),"")</f>
        <v/>
      </c>
      <c r="D67" s="49" t="s">
        <v>418</v>
      </c>
      <c r="E67" s="87"/>
      <c r="F67" s="87"/>
      <c r="G67" s="87"/>
      <c r="H67" s="87"/>
      <c r="I67" s="87"/>
      <c r="J67" s="37" t="s">
        <v>1285</v>
      </c>
      <c r="K67" s="38" t="str">
        <f>IFERROR([1]!IntrinioBankFinancials(rssd_id,$W$2,$J$5,$J$4,J67,"K"),"")</f>
        <v/>
      </c>
      <c r="L67" s="49" t="s">
        <v>418</v>
      </c>
      <c r="M67" s="87"/>
      <c r="N67" s="87"/>
      <c r="O67" s="87"/>
      <c r="P67" s="87"/>
      <c r="Q67" s="87"/>
      <c r="R67" s="87"/>
    </row>
    <row r="68" spans="1:18" ht="14.25" x14ac:dyDescent="0.45">
      <c r="A68" s="60"/>
      <c r="B68" s="88"/>
      <c r="C68" s="51"/>
      <c r="D68" s="49"/>
      <c r="E68" s="87"/>
      <c r="F68" s="87"/>
      <c r="G68" s="87"/>
      <c r="H68" s="87"/>
      <c r="I68" s="87"/>
      <c r="J68" s="92"/>
      <c r="K68" s="93"/>
      <c r="L68" s="49"/>
      <c r="M68" s="87"/>
      <c r="N68" s="87"/>
      <c r="O68" s="87"/>
      <c r="P68" s="87"/>
      <c r="Q68" s="87"/>
      <c r="R68" s="87"/>
    </row>
    <row r="69" spans="1:18" ht="14.25" x14ac:dyDescent="0.45">
      <c r="A69" s="60"/>
      <c r="B69" s="104" t="s">
        <v>245</v>
      </c>
      <c r="C69" s="104"/>
      <c r="D69" s="104" t="s">
        <v>246</v>
      </c>
      <c r="E69" s="104"/>
      <c r="F69" s="104" t="s">
        <v>247</v>
      </c>
      <c r="G69" s="104"/>
      <c r="H69" s="104" t="s">
        <v>248</v>
      </c>
      <c r="I69" s="104"/>
      <c r="J69" s="110" t="s">
        <v>245</v>
      </c>
      <c r="K69" s="111"/>
      <c r="L69" s="104" t="s">
        <v>246</v>
      </c>
      <c r="M69" s="104"/>
      <c r="N69" s="104" t="s">
        <v>247</v>
      </c>
      <c r="O69" s="104"/>
      <c r="P69" s="104" t="s">
        <v>248</v>
      </c>
      <c r="Q69" s="104"/>
      <c r="R69" s="87"/>
    </row>
    <row r="70" spans="1:18" ht="14.25" x14ac:dyDescent="0.45">
      <c r="A70" s="60"/>
      <c r="B70" s="104" t="s">
        <v>339</v>
      </c>
      <c r="C70" s="104"/>
      <c r="D70" s="104" t="s">
        <v>340</v>
      </c>
      <c r="E70" s="104"/>
      <c r="F70" s="104" t="s">
        <v>341</v>
      </c>
      <c r="G70" s="104"/>
      <c r="H70" s="104" t="s">
        <v>342</v>
      </c>
      <c r="I70" s="104"/>
      <c r="J70" s="110" t="s">
        <v>339</v>
      </c>
      <c r="K70" s="111"/>
      <c r="L70" s="104" t="s">
        <v>340</v>
      </c>
      <c r="M70" s="104"/>
      <c r="N70" s="104" t="s">
        <v>341</v>
      </c>
      <c r="O70" s="104"/>
      <c r="P70" s="104" t="s">
        <v>342</v>
      </c>
      <c r="Q70" s="104"/>
      <c r="R70" s="87"/>
    </row>
    <row r="71" spans="1:18" ht="14.25" x14ac:dyDescent="0.45">
      <c r="A71" s="60"/>
      <c r="B71" s="105" t="s">
        <v>343</v>
      </c>
      <c r="C71" s="105"/>
      <c r="D71" s="105" t="s">
        <v>344</v>
      </c>
      <c r="E71" s="105"/>
      <c r="F71" s="105" t="s">
        <v>343</v>
      </c>
      <c r="G71" s="105"/>
      <c r="H71" s="105" t="s">
        <v>344</v>
      </c>
      <c r="I71" s="105"/>
      <c r="J71" s="108" t="s">
        <v>343</v>
      </c>
      <c r="K71" s="109"/>
      <c r="L71" s="105" t="s">
        <v>344</v>
      </c>
      <c r="M71" s="105"/>
      <c r="N71" s="105" t="s">
        <v>343</v>
      </c>
      <c r="O71" s="105"/>
      <c r="P71" s="105" t="s">
        <v>344</v>
      </c>
      <c r="Q71" s="105"/>
      <c r="R71" s="87"/>
    </row>
    <row r="72" spans="1:18" ht="57" x14ac:dyDescent="0.45">
      <c r="A72" s="60" t="s">
        <v>1888</v>
      </c>
      <c r="B72" s="35"/>
      <c r="C72" s="35"/>
      <c r="D72" s="35"/>
      <c r="E72" s="35"/>
      <c r="F72" s="35"/>
      <c r="G72" s="35"/>
      <c r="H72" s="35"/>
      <c r="I72" s="35"/>
      <c r="J72" s="35"/>
      <c r="K72" s="35"/>
      <c r="L72" s="35"/>
      <c r="M72" s="35"/>
      <c r="N72" s="35"/>
      <c r="O72" s="35"/>
      <c r="P72" s="35"/>
      <c r="Q72" s="35"/>
      <c r="R72" s="49" t="s">
        <v>117</v>
      </c>
    </row>
    <row r="73" spans="1:18" ht="14.25" x14ac:dyDescent="0.45">
      <c r="A73" s="98" t="s">
        <v>419</v>
      </c>
      <c r="B73" s="37" t="s">
        <v>1286</v>
      </c>
      <c r="C73" s="38" t="str">
        <f>IFERROR([1]!IntrinioBankFinancials(rssd_id,$W$2,$B$5,$B$4,B73,"K"),"")</f>
        <v/>
      </c>
      <c r="D73" s="37" t="s">
        <v>1287</v>
      </c>
      <c r="E73" s="38" t="str">
        <f>IFERROR([1]!IntrinioBankFinancials(rssd_id,$W$2,$B$5,$B$4,D73,"K"),"")</f>
        <v/>
      </c>
      <c r="F73" s="37" t="s">
        <v>1288</v>
      </c>
      <c r="G73" s="38" t="str">
        <f>IFERROR([1]!IntrinioBankFinancials(rssd_id,$W$2,$B$5,$B$4,F73,"K"),"")</f>
        <v/>
      </c>
      <c r="H73" s="37" t="s">
        <v>1289</v>
      </c>
      <c r="I73" s="38" t="str">
        <f>IFERROR([1]!IntrinioBankFinancials(rssd_id,$W$2,$B$5,$B$4,H73,"K"),"")</f>
        <v/>
      </c>
      <c r="J73" s="37" t="s">
        <v>1286</v>
      </c>
      <c r="K73" s="38" t="str">
        <f>IFERROR([1]!IntrinioBankFinancials(rssd_id,$W$2,$J$5,$J$4,J73,"K"),"")</f>
        <v/>
      </c>
      <c r="L73" s="37" t="s">
        <v>1287</v>
      </c>
      <c r="M73" s="38" t="str">
        <f>IFERROR([1]!IntrinioBankFinancials(rssd_id,$W$2,$J$5,$J$4,L73,"K"),"")</f>
        <v/>
      </c>
      <c r="N73" s="37" t="s">
        <v>1288</v>
      </c>
      <c r="O73" s="38" t="str">
        <f>IFERROR([1]!IntrinioBankFinancials(rssd_id,$W$2,$J$5,$J$4,N73,"K"),"")</f>
        <v/>
      </c>
      <c r="P73" s="37" t="s">
        <v>1289</v>
      </c>
      <c r="Q73" s="38" t="str">
        <f>IFERROR([1]!IntrinioBankFinancials(rssd_id,$W$2,$J$5,$J$4,P73,"K"),"")</f>
        <v/>
      </c>
      <c r="R73" s="49" t="s">
        <v>420</v>
      </c>
    </row>
    <row r="74" spans="1:18" ht="14.25" x14ac:dyDescent="0.45">
      <c r="A74" s="98" t="s">
        <v>421</v>
      </c>
      <c r="B74" s="37" t="s">
        <v>1290</v>
      </c>
      <c r="C74" s="38" t="str">
        <f>IFERROR([1]!IntrinioBankFinancials(rssd_id,$W$2,$B$5,$B$4,B74,"K"),"")</f>
        <v/>
      </c>
      <c r="D74" s="37" t="s">
        <v>1291</v>
      </c>
      <c r="E74" s="38" t="str">
        <f>IFERROR([1]!IntrinioBankFinancials(rssd_id,$W$2,$B$5,$B$4,D74,"K"),"")</f>
        <v/>
      </c>
      <c r="F74" s="37" t="s">
        <v>1292</v>
      </c>
      <c r="G74" s="38" t="str">
        <f>IFERROR([1]!IntrinioBankFinancials(rssd_id,$W$2,$B$5,$B$4,F74,"K"),"")</f>
        <v/>
      </c>
      <c r="H74" s="37" t="s">
        <v>1293</v>
      </c>
      <c r="I74" s="38" t="str">
        <f>IFERROR([1]!IntrinioBankFinancials(rssd_id,$W$2,$B$5,$B$4,H74,"K"),"")</f>
        <v/>
      </c>
      <c r="J74" s="37" t="s">
        <v>1290</v>
      </c>
      <c r="K74" s="38" t="str">
        <f>IFERROR([1]!IntrinioBankFinancials(rssd_id,$W$2,$J$5,$J$4,J74,"K"),"")</f>
        <v/>
      </c>
      <c r="L74" s="37" t="s">
        <v>1291</v>
      </c>
      <c r="M74" s="38" t="str">
        <f>IFERROR([1]!IntrinioBankFinancials(rssd_id,$W$2,$J$5,$J$4,L74,"K"),"")</f>
        <v/>
      </c>
      <c r="N74" s="37" t="s">
        <v>1292</v>
      </c>
      <c r="O74" s="38" t="str">
        <f>IFERROR([1]!IntrinioBankFinancials(rssd_id,$W$2,$J$5,$J$4,N74,"K"),"")</f>
        <v/>
      </c>
      <c r="P74" s="37" t="s">
        <v>1293</v>
      </c>
      <c r="Q74" s="38" t="str">
        <f>IFERROR([1]!IntrinioBankFinancials(rssd_id,$W$2,$J$5,$J$4,P74,"K"),"")</f>
        <v/>
      </c>
      <c r="R74" s="49" t="s">
        <v>422</v>
      </c>
    </row>
    <row r="75" spans="1:18" ht="14.25" x14ac:dyDescent="0.45">
      <c r="A75" s="98" t="s">
        <v>423</v>
      </c>
      <c r="B75" s="37" t="s">
        <v>1294</v>
      </c>
      <c r="C75" s="38" t="str">
        <f>IFERROR([1]!IntrinioBankFinancials(rssd_id,$W$2,$B$5,$B$4,B75,"K"),"")</f>
        <v/>
      </c>
      <c r="D75" s="37" t="s">
        <v>1295</v>
      </c>
      <c r="E75" s="38" t="str">
        <f>IFERROR([1]!IntrinioBankFinancials(rssd_id,$W$2,$B$5,$B$4,D75,"K"),"")</f>
        <v/>
      </c>
      <c r="F75" s="37" t="s">
        <v>1296</v>
      </c>
      <c r="G75" s="38" t="str">
        <f>IFERROR([1]!IntrinioBankFinancials(rssd_id,$W$2,$B$5,$B$4,F75,"K"),"")</f>
        <v/>
      </c>
      <c r="H75" s="37" t="s">
        <v>1297</v>
      </c>
      <c r="I75" s="38" t="str">
        <f>IFERROR([1]!IntrinioBankFinancials(rssd_id,$W$2,$B$5,$B$4,H75,"K"),"")</f>
        <v/>
      </c>
      <c r="J75" s="37" t="s">
        <v>1294</v>
      </c>
      <c r="K75" s="38" t="str">
        <f>IFERROR([1]!IntrinioBankFinancials(rssd_id,$W$2,$J$5,$J$4,J75,"K"),"")</f>
        <v/>
      </c>
      <c r="L75" s="37" t="s">
        <v>1295</v>
      </c>
      <c r="M75" s="38" t="str">
        <f>IFERROR([1]!IntrinioBankFinancials(rssd_id,$W$2,$J$5,$J$4,L75,"K"),"")</f>
        <v/>
      </c>
      <c r="N75" s="37" t="s">
        <v>1296</v>
      </c>
      <c r="O75" s="38" t="str">
        <f>IFERROR([1]!IntrinioBankFinancials(rssd_id,$W$2,$J$5,$J$4,N75,"K"),"")</f>
        <v/>
      </c>
      <c r="P75" s="37" t="s">
        <v>1297</v>
      </c>
      <c r="Q75" s="38" t="str">
        <f>IFERROR([1]!IntrinioBankFinancials(rssd_id,$W$2,$J$5,$J$4,P75,"K"),"")</f>
        <v/>
      </c>
      <c r="R75" s="49" t="s">
        <v>424</v>
      </c>
    </row>
    <row r="76" spans="1:18" ht="14.25" x14ac:dyDescent="0.45">
      <c r="A76" s="98" t="s">
        <v>425</v>
      </c>
      <c r="B76" s="37" t="s">
        <v>1298</v>
      </c>
      <c r="C76" s="38" t="str">
        <f>IFERROR([1]!IntrinioBankFinancials(rssd_id,$W$2,$B$5,$B$4,B76,"K"),"")</f>
        <v/>
      </c>
      <c r="D76" s="37" t="s">
        <v>1299</v>
      </c>
      <c r="E76" s="38" t="str">
        <f>IFERROR([1]!IntrinioBankFinancials(rssd_id,$W$2,$B$5,$B$4,D76,"K"),"")</f>
        <v/>
      </c>
      <c r="F76" s="37" t="s">
        <v>1300</v>
      </c>
      <c r="G76" s="38" t="str">
        <f>IFERROR([1]!IntrinioBankFinancials(rssd_id,$W$2,$B$5,$B$4,F76,"K"),"")</f>
        <v/>
      </c>
      <c r="H76" s="37" t="s">
        <v>1301</v>
      </c>
      <c r="I76" s="38" t="str">
        <f>IFERROR([1]!IntrinioBankFinancials(rssd_id,$W$2,$B$5,$B$4,H76,"K"),"")</f>
        <v/>
      </c>
      <c r="J76" s="37" t="s">
        <v>1298</v>
      </c>
      <c r="K76" s="38" t="str">
        <f>IFERROR([1]!IntrinioBankFinancials(rssd_id,$W$2,$J$5,$J$4,J76,"K"),"")</f>
        <v/>
      </c>
      <c r="L76" s="37" t="s">
        <v>1299</v>
      </c>
      <c r="M76" s="38" t="str">
        <f>IFERROR([1]!IntrinioBankFinancials(rssd_id,$W$2,$J$5,$J$4,L76,"K"),"")</f>
        <v/>
      </c>
      <c r="N76" s="37" t="s">
        <v>1300</v>
      </c>
      <c r="O76" s="38" t="str">
        <f>IFERROR([1]!IntrinioBankFinancials(rssd_id,$W$2,$J$5,$J$4,N76,"K"),"")</f>
        <v/>
      </c>
      <c r="P76" s="37" t="s">
        <v>1301</v>
      </c>
      <c r="Q76" s="38" t="str">
        <f>IFERROR([1]!IntrinioBankFinancials(rssd_id,$W$2,$J$5,$J$4,P76,"K"),"")</f>
        <v/>
      </c>
      <c r="R76" s="49" t="s">
        <v>426</v>
      </c>
    </row>
    <row r="77" spans="1:18" ht="14.25" x14ac:dyDescent="0.45">
      <c r="A77" s="98" t="s">
        <v>427</v>
      </c>
      <c r="B77" s="37" t="s">
        <v>1302</v>
      </c>
      <c r="C77" s="38" t="str">
        <f>IFERROR([1]!IntrinioBankFinancials(rssd_id,$W$2,$B$5,$B$4,B77,"K"),"")</f>
        <v/>
      </c>
      <c r="D77" s="37" t="s">
        <v>1303</v>
      </c>
      <c r="E77" s="38" t="str">
        <f>IFERROR([1]!IntrinioBankFinancials(rssd_id,$W$2,$B$5,$B$4,D77,"K"),"")</f>
        <v/>
      </c>
      <c r="F77" s="37" t="s">
        <v>1304</v>
      </c>
      <c r="G77" s="38" t="str">
        <f>IFERROR([1]!IntrinioBankFinancials(rssd_id,$W$2,$B$5,$B$4,F77,"K"),"")</f>
        <v/>
      </c>
      <c r="H77" s="37" t="s">
        <v>1305</v>
      </c>
      <c r="I77" s="38" t="str">
        <f>IFERROR([1]!IntrinioBankFinancials(rssd_id,$W$2,$B$5,$B$4,H77,"K"),"")</f>
        <v/>
      </c>
      <c r="J77" s="37" t="s">
        <v>1302</v>
      </c>
      <c r="K77" s="38" t="str">
        <f>IFERROR([1]!IntrinioBankFinancials(rssd_id,$W$2,$J$5,$J$4,J77,"K"),"")</f>
        <v/>
      </c>
      <c r="L77" s="37" t="s">
        <v>1303</v>
      </c>
      <c r="M77" s="38" t="str">
        <f>IFERROR([1]!IntrinioBankFinancials(rssd_id,$W$2,$J$5,$J$4,L77,"K"),"")</f>
        <v/>
      </c>
      <c r="N77" s="37" t="s">
        <v>1304</v>
      </c>
      <c r="O77" s="38" t="str">
        <f>IFERROR([1]!IntrinioBankFinancials(rssd_id,$W$2,$J$5,$J$4,N77,"K"),"")</f>
        <v/>
      </c>
      <c r="P77" s="37" t="s">
        <v>1305</v>
      </c>
      <c r="Q77" s="38" t="str">
        <f>IFERROR([1]!IntrinioBankFinancials(rssd_id,$W$2,$J$5,$J$4,P77,"K"),"")</f>
        <v/>
      </c>
      <c r="R77" s="49" t="s">
        <v>428</v>
      </c>
    </row>
    <row r="78" spans="1:18" ht="14.25" x14ac:dyDescent="0.45">
      <c r="A78" s="98" t="s">
        <v>429</v>
      </c>
      <c r="B78" s="37" t="s">
        <v>1306</v>
      </c>
      <c r="C78" s="38" t="str">
        <f>IFERROR([1]!IntrinioBankFinancials(rssd_id,$W$2,$B$5,$B$4,B78,"K"),"")</f>
        <v/>
      </c>
      <c r="D78" s="37" t="s">
        <v>1307</v>
      </c>
      <c r="E78" s="38" t="str">
        <f>IFERROR([1]!IntrinioBankFinancials(rssd_id,$W$2,$B$5,$B$4,D78,"K"),"")</f>
        <v/>
      </c>
      <c r="F78" s="37" t="s">
        <v>1308</v>
      </c>
      <c r="G78" s="38" t="str">
        <f>IFERROR([1]!IntrinioBankFinancials(rssd_id,$W$2,$B$5,$B$4,F78,"K"),"")</f>
        <v/>
      </c>
      <c r="H78" s="37" t="s">
        <v>1309</v>
      </c>
      <c r="I78" s="38" t="str">
        <f>IFERROR([1]!IntrinioBankFinancials(rssd_id,$W$2,$B$5,$B$4,H78,"K"),"")</f>
        <v/>
      </c>
      <c r="J78" s="37" t="s">
        <v>1306</v>
      </c>
      <c r="K78" s="38" t="str">
        <f>IFERROR([1]!IntrinioBankFinancials(rssd_id,$W$2,$J$5,$J$4,J78,"K"),"")</f>
        <v/>
      </c>
      <c r="L78" s="37" t="s">
        <v>1307</v>
      </c>
      <c r="M78" s="38" t="str">
        <f>IFERROR([1]!IntrinioBankFinancials(rssd_id,$W$2,$J$5,$J$4,L78,"K"),"")</f>
        <v/>
      </c>
      <c r="N78" s="37" t="s">
        <v>1308</v>
      </c>
      <c r="O78" s="38" t="str">
        <f>IFERROR([1]!IntrinioBankFinancials(rssd_id,$W$2,$J$5,$J$4,N78,"K"),"")</f>
        <v/>
      </c>
      <c r="P78" s="37" t="s">
        <v>1309</v>
      </c>
      <c r="Q78" s="38" t="str">
        <f>IFERROR([1]!IntrinioBankFinancials(rssd_id,$W$2,$J$5,$J$4,P78,"K"),"")</f>
        <v/>
      </c>
      <c r="R78" s="49" t="s">
        <v>430</v>
      </c>
    </row>
    <row r="79" spans="1:18" ht="71.25" x14ac:dyDescent="0.45">
      <c r="A79" s="60" t="s">
        <v>1889</v>
      </c>
      <c r="B79" s="35"/>
      <c r="C79" s="35"/>
      <c r="D79" s="35"/>
      <c r="E79" s="35"/>
      <c r="F79" s="35"/>
      <c r="G79" s="35"/>
      <c r="H79" s="35"/>
      <c r="I79" s="35"/>
      <c r="J79" s="35"/>
      <c r="K79" s="35"/>
      <c r="L79" s="35"/>
      <c r="M79" s="35"/>
      <c r="N79" s="35"/>
      <c r="O79" s="35"/>
      <c r="P79" s="35"/>
      <c r="Q79" s="35"/>
      <c r="R79" s="49" t="s">
        <v>118</v>
      </c>
    </row>
    <row r="80" spans="1:18" ht="28.5" x14ac:dyDescent="0.45">
      <c r="A80" s="98" t="s">
        <v>431</v>
      </c>
      <c r="B80" s="37" t="s">
        <v>1310</v>
      </c>
      <c r="C80" s="38" t="str">
        <f>IFERROR([1]!IntrinioBankFinancials(rssd_id,$W$2,$B$5,$B$4,B80,"K"),"")</f>
        <v/>
      </c>
      <c r="D80" s="37" t="s">
        <v>1311</v>
      </c>
      <c r="E80" s="38" t="str">
        <f>IFERROR([1]!IntrinioBankFinancials(rssd_id,$W$2,$B$5,$B$4,D80,"K"),"")</f>
        <v/>
      </c>
      <c r="F80" s="37" t="s">
        <v>1312</v>
      </c>
      <c r="G80" s="38" t="str">
        <f>IFERROR([1]!IntrinioBankFinancials(rssd_id,$W$2,$B$5,$B$4,F80,"K"),"")</f>
        <v/>
      </c>
      <c r="H80" s="37" t="s">
        <v>1313</v>
      </c>
      <c r="I80" s="38" t="str">
        <f>IFERROR([1]!IntrinioBankFinancials(rssd_id,$W$2,$B$5,$B$4,H80,"K"),"")</f>
        <v/>
      </c>
      <c r="J80" s="37" t="s">
        <v>1310</v>
      </c>
      <c r="K80" s="38" t="str">
        <f>IFERROR([1]!IntrinioBankFinancials(rssd_id,$W$2,$J$5,$J$4,J80,"K"),"")</f>
        <v/>
      </c>
      <c r="L80" s="37" t="s">
        <v>1311</v>
      </c>
      <c r="M80" s="38" t="str">
        <f>IFERROR([1]!IntrinioBankFinancials(rssd_id,$W$2,$J$5,$J$4,L80,"K"),"")</f>
        <v/>
      </c>
      <c r="N80" s="37" t="s">
        <v>1312</v>
      </c>
      <c r="O80" s="38" t="str">
        <f>IFERROR([1]!IntrinioBankFinancials(rssd_id,$W$2,$J$5,$J$4,N80,"K"),"")</f>
        <v/>
      </c>
      <c r="P80" s="37" t="s">
        <v>1313</v>
      </c>
      <c r="Q80" s="38" t="str">
        <f>IFERROR([1]!IntrinioBankFinancials(rssd_id,$W$2,$J$5,$J$4,P80,"K"),"")</f>
        <v/>
      </c>
      <c r="R80" s="49" t="s">
        <v>432</v>
      </c>
    </row>
    <row r="81" spans="1:18" ht="28.5" x14ac:dyDescent="0.45">
      <c r="A81" s="98" t="s">
        <v>447</v>
      </c>
      <c r="B81" s="37" t="s">
        <v>1314</v>
      </c>
      <c r="C81" s="38" t="str">
        <f>IFERROR([1]!IntrinioBankFinancials(rssd_id,$W$2,$B$5,$B$4,B81,"K"),"")</f>
        <v/>
      </c>
      <c r="D81" s="37" t="s">
        <v>1315</v>
      </c>
      <c r="E81" s="38" t="str">
        <f>IFERROR([1]!IntrinioBankFinancials(rssd_id,$W$2,$B$5,$B$4,D81,"K"),"")</f>
        <v/>
      </c>
      <c r="F81" s="37" t="s">
        <v>1316</v>
      </c>
      <c r="G81" s="38" t="str">
        <f>IFERROR([1]!IntrinioBankFinancials(rssd_id,$W$2,$B$5,$B$4,F81,"K"),"")</f>
        <v/>
      </c>
      <c r="H81" s="37" t="s">
        <v>1317</v>
      </c>
      <c r="I81" s="38" t="str">
        <f>IFERROR([1]!IntrinioBankFinancials(rssd_id,$W$2,$B$5,$B$4,H81,"K"),"")</f>
        <v/>
      </c>
      <c r="J81" s="37" t="s">
        <v>1314</v>
      </c>
      <c r="K81" s="38" t="str">
        <f>IFERROR([1]!IntrinioBankFinancials(rssd_id,$W$2,$J$5,$J$4,J81,"K"),"")</f>
        <v/>
      </c>
      <c r="L81" s="37" t="s">
        <v>1315</v>
      </c>
      <c r="M81" s="38" t="str">
        <f>IFERROR([1]!IntrinioBankFinancials(rssd_id,$W$2,$J$5,$J$4,L81,"K"),"")</f>
        <v/>
      </c>
      <c r="N81" s="37" t="s">
        <v>1316</v>
      </c>
      <c r="O81" s="38" t="str">
        <f>IFERROR([1]!IntrinioBankFinancials(rssd_id,$W$2,$J$5,$J$4,N81,"K"),"")</f>
        <v/>
      </c>
      <c r="P81" s="37" t="s">
        <v>1317</v>
      </c>
      <c r="Q81" s="38" t="str">
        <f>IFERROR([1]!IntrinioBankFinancials(rssd_id,$W$2,$J$5,$J$4,P81,"K"),"")</f>
        <v/>
      </c>
      <c r="R81" s="49" t="s">
        <v>433</v>
      </c>
    </row>
    <row r="82" spans="1:18" ht="14.25" x14ac:dyDescent="0.45">
      <c r="A82" s="98" t="s">
        <v>434</v>
      </c>
      <c r="B82" s="37" t="s">
        <v>1318</v>
      </c>
      <c r="C82" s="38" t="str">
        <f>IFERROR([1]!IntrinioBankFinancials(rssd_id,$W$2,$B$5,$B$4,B82,"K"),"")</f>
        <v/>
      </c>
      <c r="D82" s="37" t="s">
        <v>1319</v>
      </c>
      <c r="E82" s="38" t="str">
        <f>IFERROR([1]!IntrinioBankFinancials(rssd_id,$W$2,$B$5,$B$4,D82,"K"),"")</f>
        <v/>
      </c>
      <c r="F82" s="37" t="s">
        <v>1320</v>
      </c>
      <c r="G82" s="38" t="str">
        <f>IFERROR([1]!IntrinioBankFinancials(rssd_id,$W$2,$B$5,$B$4,F82,"K"),"")</f>
        <v/>
      </c>
      <c r="H82" s="37" t="s">
        <v>1321</v>
      </c>
      <c r="I82" s="38" t="str">
        <f>IFERROR([1]!IntrinioBankFinancials(rssd_id,$W$2,$B$5,$B$4,H82,"K"),"")</f>
        <v/>
      </c>
      <c r="J82" s="37" t="s">
        <v>1318</v>
      </c>
      <c r="K82" s="38" t="str">
        <f>IFERROR([1]!IntrinioBankFinancials(rssd_id,$W$2,$J$5,$J$4,J82,"K"),"")</f>
        <v/>
      </c>
      <c r="L82" s="37" t="s">
        <v>1319</v>
      </c>
      <c r="M82" s="38" t="str">
        <f>IFERROR([1]!IntrinioBankFinancials(rssd_id,$W$2,$J$5,$J$4,L82,"K"),"")</f>
        <v/>
      </c>
      <c r="N82" s="37" t="s">
        <v>1320</v>
      </c>
      <c r="O82" s="38" t="str">
        <f>IFERROR([1]!IntrinioBankFinancials(rssd_id,$W$2,$J$5,$J$4,N82,"K"),"")</f>
        <v/>
      </c>
      <c r="P82" s="37" t="s">
        <v>1321</v>
      </c>
      <c r="Q82" s="38" t="str">
        <f>IFERROR([1]!IntrinioBankFinancials(rssd_id,$W$2,$J$5,$J$4,P82,"K"),"")</f>
        <v/>
      </c>
      <c r="R82" s="49" t="s">
        <v>435</v>
      </c>
    </row>
    <row r="83" spans="1:18" ht="42.75" x14ac:dyDescent="0.45">
      <c r="A83" s="98" t="s">
        <v>448</v>
      </c>
      <c r="B83" s="37" t="s">
        <v>1322</v>
      </c>
      <c r="C83" s="38" t="str">
        <f>IFERROR([1]!IntrinioBankFinancials(rssd_id,$W$2,$B$5,$B$4,B83,"K"),"")</f>
        <v/>
      </c>
      <c r="D83" s="37" t="s">
        <v>1323</v>
      </c>
      <c r="E83" s="38" t="str">
        <f>IFERROR([1]!IntrinioBankFinancials(rssd_id,$W$2,$B$5,$B$4,D83,"K"),"")</f>
        <v/>
      </c>
      <c r="F83" s="37" t="s">
        <v>1324</v>
      </c>
      <c r="G83" s="38" t="str">
        <f>IFERROR([1]!IntrinioBankFinancials(rssd_id,$W$2,$B$5,$B$4,F83,"K"),"")</f>
        <v/>
      </c>
      <c r="H83" s="37" t="s">
        <v>1325</v>
      </c>
      <c r="I83" s="38" t="str">
        <f>IFERROR([1]!IntrinioBankFinancials(rssd_id,$W$2,$B$5,$B$4,H83,"K"),"")</f>
        <v/>
      </c>
      <c r="J83" s="37" t="s">
        <v>1322</v>
      </c>
      <c r="K83" s="38" t="str">
        <f>IFERROR([1]!IntrinioBankFinancials(rssd_id,$W$2,$J$5,$J$4,J83,"K"),"")</f>
        <v/>
      </c>
      <c r="L83" s="37" t="s">
        <v>1323</v>
      </c>
      <c r="M83" s="38" t="str">
        <f>IFERROR([1]!IntrinioBankFinancials(rssd_id,$W$2,$J$5,$J$4,L83,"K"),"")</f>
        <v/>
      </c>
      <c r="N83" s="37" t="s">
        <v>1324</v>
      </c>
      <c r="O83" s="38" t="str">
        <f>IFERROR([1]!IntrinioBankFinancials(rssd_id,$W$2,$J$5,$J$4,N83,"K"),"")</f>
        <v/>
      </c>
      <c r="P83" s="37" t="s">
        <v>1325</v>
      </c>
      <c r="Q83" s="38" t="str">
        <f>IFERROR([1]!IntrinioBankFinancials(rssd_id,$W$2,$J$5,$J$4,P83,"K"),"")</f>
        <v/>
      </c>
      <c r="R83" s="49" t="s">
        <v>436</v>
      </c>
    </row>
    <row r="84" spans="1:18" ht="28.5" x14ac:dyDescent="0.45">
      <c r="A84" s="98" t="s">
        <v>449</v>
      </c>
      <c r="B84" s="37" t="s">
        <v>1326</v>
      </c>
      <c r="C84" s="38" t="str">
        <f>IFERROR([1]!IntrinioBankFinancials(rssd_id,$W$2,$B$5,$B$4,B84,"K"),"")</f>
        <v/>
      </c>
      <c r="D84" s="37" t="s">
        <v>1327</v>
      </c>
      <c r="E84" s="38" t="str">
        <f>IFERROR([1]!IntrinioBankFinancials(rssd_id,$W$2,$B$5,$B$4,D84,"K"),"")</f>
        <v/>
      </c>
      <c r="F84" s="37" t="s">
        <v>1328</v>
      </c>
      <c r="G84" s="38" t="str">
        <f>IFERROR([1]!IntrinioBankFinancials(rssd_id,$W$2,$B$5,$B$4,F84,"K"),"")</f>
        <v/>
      </c>
      <c r="H84" s="37" t="s">
        <v>1329</v>
      </c>
      <c r="I84" s="38" t="str">
        <f>IFERROR([1]!IntrinioBankFinancials(rssd_id,$W$2,$B$5,$B$4,H84,"K"),"")</f>
        <v/>
      </c>
      <c r="J84" s="37" t="s">
        <v>1326</v>
      </c>
      <c r="K84" s="38" t="str">
        <f>IFERROR([1]!IntrinioBankFinancials(rssd_id,$W$2,$J$5,$J$4,J84,"K"),"")</f>
        <v/>
      </c>
      <c r="L84" s="37" t="s">
        <v>1327</v>
      </c>
      <c r="M84" s="38" t="str">
        <f>IFERROR([1]!IntrinioBankFinancials(rssd_id,$W$2,$J$5,$J$4,L84,"K"),"")</f>
        <v/>
      </c>
      <c r="N84" s="37" t="s">
        <v>1328</v>
      </c>
      <c r="O84" s="38" t="str">
        <f>IFERROR([1]!IntrinioBankFinancials(rssd_id,$W$2,$J$5,$J$4,N84,"K"),"")</f>
        <v/>
      </c>
      <c r="P84" s="37" t="s">
        <v>1329</v>
      </c>
      <c r="Q84" s="38" t="str">
        <f>IFERROR([1]!IntrinioBankFinancials(rssd_id,$W$2,$J$5,$J$4,P84,"K"),"")</f>
        <v/>
      </c>
      <c r="R84" s="49" t="s">
        <v>437</v>
      </c>
    </row>
    <row r="85" spans="1:18" ht="28.5" x14ac:dyDescent="0.45">
      <c r="A85" s="98" t="s">
        <v>438</v>
      </c>
      <c r="B85" s="37" t="s">
        <v>1330</v>
      </c>
      <c r="C85" s="38" t="str">
        <f>IFERROR([1]!IntrinioBankFinancials(rssd_id,$W$2,$B$5,$B$4,B85,"K"),"")</f>
        <v/>
      </c>
      <c r="D85" s="37" t="s">
        <v>1331</v>
      </c>
      <c r="E85" s="38" t="str">
        <f>IFERROR([1]!IntrinioBankFinancials(rssd_id,$W$2,$B$5,$B$4,D85,"K"),"")</f>
        <v/>
      </c>
      <c r="F85" s="37" t="s">
        <v>1332</v>
      </c>
      <c r="G85" s="38" t="str">
        <f>IFERROR([1]!IntrinioBankFinancials(rssd_id,$W$2,$B$5,$B$4,F85,"K"),"")</f>
        <v/>
      </c>
      <c r="H85" s="37" t="s">
        <v>1333</v>
      </c>
      <c r="I85" s="38" t="str">
        <f>IFERROR([1]!IntrinioBankFinancials(rssd_id,$W$2,$B$5,$B$4,H85,"K"),"")</f>
        <v/>
      </c>
      <c r="J85" s="37" t="s">
        <v>1330</v>
      </c>
      <c r="K85" s="38" t="str">
        <f>IFERROR([1]!IntrinioBankFinancials(rssd_id,$W$2,$J$5,$J$4,J85,"K"),"")</f>
        <v/>
      </c>
      <c r="L85" s="37" t="s">
        <v>1331</v>
      </c>
      <c r="M85" s="38" t="str">
        <f>IFERROR([1]!IntrinioBankFinancials(rssd_id,$W$2,$J$5,$J$4,L85,"K"),"")</f>
        <v/>
      </c>
      <c r="N85" s="37" t="s">
        <v>1332</v>
      </c>
      <c r="O85" s="38" t="str">
        <f>IFERROR([1]!IntrinioBankFinancials(rssd_id,$W$2,$J$5,$J$4,N85,"K"),"")</f>
        <v/>
      </c>
      <c r="P85" s="37" t="s">
        <v>1333</v>
      </c>
      <c r="Q85" s="38" t="str">
        <f>IFERROR([1]!IntrinioBankFinancials(rssd_id,$W$2,$J$5,$J$4,P85,"K"),"")</f>
        <v/>
      </c>
      <c r="R85" s="49" t="s">
        <v>439</v>
      </c>
    </row>
    <row r="86" spans="1:18" ht="14.25" x14ac:dyDescent="0.45">
      <c r="A86" s="98" t="s">
        <v>440</v>
      </c>
      <c r="B86" s="37" t="s">
        <v>1334</v>
      </c>
      <c r="C86" s="38" t="str">
        <f>IFERROR([1]!IntrinioBankFinancials(rssd_id,$W$2,$B$5,$B$4,B86,"K"),"")</f>
        <v/>
      </c>
      <c r="D86" s="37" t="s">
        <v>1335</v>
      </c>
      <c r="E86" s="38" t="str">
        <f>IFERROR([1]!IntrinioBankFinancials(rssd_id,$W$2,$B$5,$B$4,D86,"K"),"")</f>
        <v/>
      </c>
      <c r="F86" s="37" t="s">
        <v>1336</v>
      </c>
      <c r="G86" s="38" t="str">
        <f>IFERROR([1]!IntrinioBankFinancials(rssd_id,$W$2,$B$5,$B$4,F86,"K"),"")</f>
        <v/>
      </c>
      <c r="H86" s="37" t="s">
        <v>1337</v>
      </c>
      <c r="I86" s="38" t="str">
        <f>IFERROR([1]!IntrinioBankFinancials(rssd_id,$W$2,$B$5,$B$4,H86,"K"),"")</f>
        <v/>
      </c>
      <c r="J86" s="37" t="s">
        <v>1334</v>
      </c>
      <c r="K86" s="38" t="str">
        <f>IFERROR([1]!IntrinioBankFinancials(rssd_id,$W$2,$J$5,$J$4,J86,"K"),"")</f>
        <v/>
      </c>
      <c r="L86" s="37" t="s">
        <v>1335</v>
      </c>
      <c r="M86" s="38" t="str">
        <f>IFERROR([1]!IntrinioBankFinancials(rssd_id,$W$2,$J$5,$J$4,L86,"K"),"")</f>
        <v/>
      </c>
      <c r="N86" s="37" t="s">
        <v>1336</v>
      </c>
      <c r="O86" s="38" t="str">
        <f>IFERROR([1]!IntrinioBankFinancials(rssd_id,$W$2,$J$5,$J$4,N86,"K"),"")</f>
        <v/>
      </c>
      <c r="P86" s="37" t="s">
        <v>1337</v>
      </c>
      <c r="Q86" s="38" t="str">
        <f>IFERROR([1]!IntrinioBankFinancials(rssd_id,$W$2,$J$5,$J$4,P86,"K"),"")</f>
        <v/>
      </c>
      <c r="R86" s="49" t="s">
        <v>441</v>
      </c>
    </row>
  </sheetData>
  <mergeCells count="52">
    <mergeCell ref="J5:Q5"/>
    <mergeCell ref="J4:Q4"/>
    <mergeCell ref="J6:K6"/>
    <mergeCell ref="J7:K7"/>
    <mergeCell ref="J8:K8"/>
    <mergeCell ref="L6:M6"/>
    <mergeCell ref="L7:M7"/>
    <mergeCell ref="L8:M8"/>
    <mergeCell ref="N6:O6"/>
    <mergeCell ref="N7:O7"/>
    <mergeCell ref="N8:O8"/>
    <mergeCell ref="P6:Q6"/>
    <mergeCell ref="P7:Q7"/>
    <mergeCell ref="P8:Q8"/>
    <mergeCell ref="J69:K69"/>
    <mergeCell ref="L69:M69"/>
    <mergeCell ref="N69:O69"/>
    <mergeCell ref="P69:Q69"/>
    <mergeCell ref="J70:K70"/>
    <mergeCell ref="L70:M70"/>
    <mergeCell ref="N70:O70"/>
    <mergeCell ref="P70:Q70"/>
    <mergeCell ref="J71:K71"/>
    <mergeCell ref="L71:M71"/>
    <mergeCell ref="N71:O71"/>
    <mergeCell ref="P71:Q71"/>
    <mergeCell ref="B4:I4"/>
    <mergeCell ref="B5:I5"/>
    <mergeCell ref="B6:C6"/>
    <mergeCell ref="D6:E6"/>
    <mergeCell ref="F6:G6"/>
    <mergeCell ref="H6:I6"/>
    <mergeCell ref="B7:C7"/>
    <mergeCell ref="D7:E7"/>
    <mergeCell ref="F7:G7"/>
    <mergeCell ref="H7:I7"/>
    <mergeCell ref="B8:C8"/>
    <mergeCell ref="D8:E8"/>
    <mergeCell ref="F8:G8"/>
    <mergeCell ref="H8:I8"/>
    <mergeCell ref="B69:C69"/>
    <mergeCell ref="D69:E69"/>
    <mergeCell ref="F69:G69"/>
    <mergeCell ref="H69:I69"/>
    <mergeCell ref="B70:C70"/>
    <mergeCell ref="D70:E70"/>
    <mergeCell ref="F70:G70"/>
    <mergeCell ref="H70:I70"/>
    <mergeCell ref="B71:C71"/>
    <mergeCell ref="D71:E71"/>
    <mergeCell ref="F71:G71"/>
    <mergeCell ref="H71:I71"/>
  </mergeCells>
  <pageMargins left="0.7" right="0.7" top="0.75" bottom="0.75" header="0.3" footer="0.3"/>
  <pageSetup scale="91" fitToHeight="5" orientation="landscape" r:id="rId1"/>
  <headerFooter>
    <oddFooter>&amp;L&amp;G&amp;R&amp;P</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79998168889431442"/>
    <pageSetUpPr fitToPage="1"/>
  </sheetPr>
  <dimension ref="A1:S115"/>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3.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1836</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6" t="str">
        <f>[1]!IntrinioBankFundamentals(rssd_id,$S$2,fiscal_period_type,C$3,"fiscal_period")</f>
        <v/>
      </c>
      <c r="D4" s="86" t="str">
        <f>[1]!IntrinioBankFundamentals(rssd_id,$S$2,fiscal_period_type,D$3,"fiscal_period")</f>
        <v/>
      </c>
      <c r="E4" s="86" t="str">
        <f>[1]!IntrinioBankFundamentals(rssd_id,$S$2,fiscal_period_type,E$3,"fiscal_period")</f>
        <v/>
      </c>
      <c r="F4" s="86" t="str">
        <f>[1]!IntrinioBankFundamentals(rssd_id,$S$2,fiscal_period_type,F$3,"fiscal_period")</f>
        <v/>
      </c>
      <c r="G4" s="86" t="str">
        <f>[1]!IntrinioBankFundamentals(rssd_id,$S$2,fiscal_period_type,G$3,"fiscal_period")</f>
        <v/>
      </c>
      <c r="H4" s="86" t="str">
        <f>[1]!IntrinioBankFundamentals(rssd_id,$S$2,fiscal_period_type,H$3,"fiscal_period")</f>
        <v/>
      </c>
      <c r="I4" s="86" t="str">
        <f>[1]!IntrinioBankFundamentals(rssd_id,$S$2,fiscal_period_type,I$3,"fiscal_period")</f>
        <v/>
      </c>
      <c r="J4" s="86" t="str">
        <f>[1]!IntrinioBankFundamentals(rssd_id,$S$2,fiscal_period_type,J$3,"fiscal_period")</f>
        <v/>
      </c>
      <c r="K4" s="86" t="str">
        <f>[1]!IntrinioBankFundamentals(rssd_id,$S$2,fiscal_period_type,K$3,"fiscal_period")</f>
        <v/>
      </c>
      <c r="L4" s="86" t="str">
        <f>[1]!IntrinioBankFundamentals(rssd_id,$S$2,fiscal_period_type,L$3,"fiscal_period")</f>
        <v/>
      </c>
      <c r="M4" s="86" t="str">
        <f>[1]!IntrinioBankFundamentals(rssd_id,$S$2,fiscal_period_type,M$3,"fiscal_period")</f>
        <v/>
      </c>
      <c r="N4" s="86" t="str">
        <f>[1]!IntrinioBankFundamentals(rssd_id,$S$2,fiscal_period_type,N$3,"fiscal_period")</f>
        <v/>
      </c>
      <c r="O4" s="86"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810</v>
      </c>
      <c r="B6" s="35"/>
      <c r="C6" s="35"/>
      <c r="D6" s="35"/>
      <c r="E6" s="35"/>
      <c r="F6" s="35"/>
      <c r="G6" s="35"/>
      <c r="H6" s="35"/>
      <c r="I6" s="35"/>
      <c r="J6" s="35"/>
      <c r="K6" s="35"/>
      <c r="L6" s="35"/>
      <c r="M6" s="35"/>
      <c r="N6" s="35"/>
      <c r="O6" s="35"/>
    </row>
    <row r="7" spans="1:19" s="40" customFormat="1" ht="14.25" x14ac:dyDescent="0.4">
      <c r="A7" s="39" t="s">
        <v>813</v>
      </c>
      <c r="B7" s="37" t="s">
        <v>1338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39" t="s">
        <v>201</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4</v>
      </c>
    </row>
    <row r="9" spans="1:19" s="40" customFormat="1" ht="14.25" x14ac:dyDescent="0.4">
      <c r="A9" s="39" t="s">
        <v>202</v>
      </c>
      <c r="B9" s="37" t="s">
        <v>1339</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v>
      </c>
    </row>
    <row r="10" spans="1:19" s="40" customFormat="1" ht="14.25" x14ac:dyDescent="0.4">
      <c r="A10" s="39" t="s">
        <v>203</v>
      </c>
      <c r="B10" s="37" t="s">
        <v>1340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12</v>
      </c>
    </row>
    <row r="11" spans="1:19" s="40" customFormat="1" ht="14.25" x14ac:dyDescent="0.4">
      <c r="A11" s="39" t="s">
        <v>482</v>
      </c>
      <c r="B11" s="37" t="s">
        <v>1124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15</v>
      </c>
    </row>
    <row r="12" spans="1:19" s="40" customFormat="1" ht="14.25" x14ac:dyDescent="0.4">
      <c r="A12" s="39" t="s">
        <v>205</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17</v>
      </c>
    </row>
    <row r="13" spans="1:19" s="40" customFormat="1" ht="28.5" x14ac:dyDescent="0.4">
      <c r="A13" s="39" t="s">
        <v>235</v>
      </c>
      <c r="B13" s="37" t="s">
        <v>1125</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206</v>
      </c>
    </row>
    <row r="14" spans="1:19" x14ac:dyDescent="0.4">
      <c r="A14" s="39" t="s">
        <v>207</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208</v>
      </c>
    </row>
    <row r="15" spans="1:19" x14ac:dyDescent="0.4">
      <c r="A15" s="39" t="s">
        <v>209</v>
      </c>
      <c r="B15" s="37" t="s">
        <v>1126</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210</v>
      </c>
    </row>
    <row r="16" spans="1:19" s="47" customFormat="1" x14ac:dyDescent="0.4">
      <c r="A16" s="39" t="s">
        <v>211</v>
      </c>
      <c r="B16" s="37" t="s">
        <v>1127</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212</v>
      </c>
      <c r="Q16" s="13"/>
      <c r="R16" s="13"/>
      <c r="S16" s="13"/>
    </row>
    <row r="17" spans="1:19" s="47" customFormat="1" x14ac:dyDescent="0.4">
      <c r="A17" s="39" t="s">
        <v>213</v>
      </c>
      <c r="B17" s="37" t="s">
        <v>1128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19</v>
      </c>
      <c r="Q17" s="13"/>
      <c r="R17" s="13"/>
      <c r="S17" s="13"/>
    </row>
    <row r="18" spans="1:19" s="47" customFormat="1" x14ac:dyDescent="0.4">
      <c r="A18" s="39" t="s">
        <v>214</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27</v>
      </c>
      <c r="Q18" s="13"/>
      <c r="R18" s="13"/>
      <c r="S18" s="13"/>
    </row>
    <row r="19" spans="1:19" s="47" customFormat="1" x14ac:dyDescent="0.4">
      <c r="A19" s="39" t="s">
        <v>215</v>
      </c>
      <c r="B19" s="37" t="s">
        <v>1341</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216</v>
      </c>
      <c r="Q19" s="13"/>
      <c r="R19" s="13"/>
      <c r="S19" s="13"/>
    </row>
    <row r="20" spans="1:19" s="47" customFormat="1" x14ac:dyDescent="0.4">
      <c r="A20" s="39" t="s">
        <v>217</v>
      </c>
      <c r="B20" s="37" t="s">
        <v>1342</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218</v>
      </c>
      <c r="Q20" s="13"/>
      <c r="R20" s="13"/>
      <c r="S20" s="13"/>
    </row>
    <row r="21" spans="1:19" s="47" customFormat="1" x14ac:dyDescent="0.4">
      <c r="A21" s="39" t="s">
        <v>814</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2</v>
      </c>
      <c r="Q21" s="13"/>
      <c r="R21" s="13"/>
      <c r="S21" s="13"/>
    </row>
    <row r="22" spans="1:19" s="47" customFormat="1" x14ac:dyDescent="0.4">
      <c r="A22" s="39" t="s">
        <v>815</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36</v>
      </c>
      <c r="Q22" s="13"/>
      <c r="R22" s="13"/>
      <c r="S22" s="13"/>
    </row>
    <row r="23" spans="1:19" s="47" customFormat="1" x14ac:dyDescent="0.4">
      <c r="A23" s="39" t="s">
        <v>483</v>
      </c>
      <c r="B23" s="37" t="s">
        <v>1343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3</v>
      </c>
      <c r="Q23" s="13"/>
      <c r="R23" s="13"/>
      <c r="S23" s="13"/>
    </row>
    <row r="24" spans="1:19" s="47" customFormat="1" x14ac:dyDescent="0.4">
      <c r="A24" s="39" t="s">
        <v>816</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476</v>
      </c>
      <c r="B25" s="37" t="s">
        <v>1344</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322</v>
      </c>
      <c r="Q25" s="13"/>
      <c r="R25" s="13"/>
      <c r="S25" s="13"/>
    </row>
    <row r="26" spans="1:19" s="47" customFormat="1" x14ac:dyDescent="0.4">
      <c r="A26" s="39" t="s">
        <v>477</v>
      </c>
      <c r="B26" s="37" t="s">
        <v>1345</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323</v>
      </c>
      <c r="Q26" s="13"/>
      <c r="R26" s="13"/>
      <c r="S26" s="13"/>
    </row>
    <row r="27" spans="1:19" s="47" customFormat="1" x14ac:dyDescent="0.4">
      <c r="A27" s="39" t="s">
        <v>484</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5</v>
      </c>
      <c r="Q27" s="13"/>
      <c r="R27" s="13"/>
      <c r="S27" s="13"/>
    </row>
    <row r="28" spans="1:19" s="47" customFormat="1" ht="28.5" x14ac:dyDescent="0.4">
      <c r="A28" s="39" t="s">
        <v>485</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6</v>
      </c>
      <c r="Q28" s="13"/>
      <c r="R28" s="13"/>
      <c r="S28" s="13"/>
    </row>
    <row r="29" spans="1:19" s="47" customFormat="1" x14ac:dyDescent="0.4">
      <c r="A29" s="39" t="s">
        <v>13</v>
      </c>
      <c r="B29" s="37" t="s">
        <v>1346</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89</v>
      </c>
      <c r="Q29" s="13"/>
      <c r="R29" s="13"/>
      <c r="S29" s="13"/>
    </row>
    <row r="30" spans="1:19" s="47" customFormat="1" x14ac:dyDescent="0.4">
      <c r="A30" s="39" t="s">
        <v>486</v>
      </c>
      <c r="B30" s="37" t="s">
        <v>1347</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91</v>
      </c>
      <c r="Q30" s="13"/>
      <c r="R30" s="13"/>
      <c r="S30" s="13"/>
    </row>
    <row r="31" spans="1:19" s="47" customFormat="1" x14ac:dyDescent="0.4">
      <c r="A31" s="39" t="s">
        <v>423</v>
      </c>
      <c r="B31" s="37" t="s">
        <v>1348</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457</v>
      </c>
      <c r="Q31" s="13"/>
      <c r="R31" s="13"/>
      <c r="S31" s="13"/>
    </row>
    <row r="32" spans="1:19" s="47" customFormat="1" ht="28.5" x14ac:dyDescent="0.4">
      <c r="A32" s="39" t="s">
        <v>817</v>
      </c>
      <c r="B32" s="37" t="s">
        <v>1349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461</v>
      </c>
      <c r="Q32" s="13"/>
      <c r="R32" s="13"/>
      <c r="S32" s="13"/>
    </row>
    <row r="33" spans="1:19" s="47" customFormat="1" ht="28.5" x14ac:dyDescent="0.4">
      <c r="A33" s="39" t="s">
        <v>487</v>
      </c>
      <c r="B33" s="37" t="s">
        <v>1350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7</v>
      </c>
      <c r="Q33" s="13"/>
      <c r="R33" s="13"/>
      <c r="S33" s="13"/>
    </row>
    <row r="34" spans="1:19" s="47" customFormat="1" ht="28.5" x14ac:dyDescent="0.4">
      <c r="A34" s="39" t="s">
        <v>488</v>
      </c>
      <c r="B34" s="37" t="s">
        <v>1351</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8</v>
      </c>
      <c r="Q34" s="13"/>
      <c r="R34" s="13"/>
      <c r="S34" s="13"/>
    </row>
    <row r="35" spans="1:19" s="47" customFormat="1" x14ac:dyDescent="0.4">
      <c r="A35" s="39" t="s">
        <v>818</v>
      </c>
      <c r="B35" s="37" t="s">
        <v>1352</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9</v>
      </c>
      <c r="Q35" s="13"/>
      <c r="R35" s="13"/>
      <c r="S35" s="13"/>
    </row>
    <row r="36" spans="1:19" s="47" customFormat="1" x14ac:dyDescent="0.4">
      <c r="A36" s="39" t="s">
        <v>489</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504</v>
      </c>
      <c r="Q36" s="13"/>
      <c r="R36" s="13"/>
      <c r="S36" s="13"/>
    </row>
    <row r="37" spans="1:19" s="47" customFormat="1" x14ac:dyDescent="0.4">
      <c r="A37" s="39" t="s">
        <v>819</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505</v>
      </c>
      <c r="Q37" s="13"/>
      <c r="R37" s="13"/>
      <c r="S37" s="13"/>
    </row>
    <row r="38" spans="1:19" s="47" customFormat="1" x14ac:dyDescent="0.4">
      <c r="A38" s="39" t="s">
        <v>478</v>
      </c>
      <c r="B38" s="37"/>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502</v>
      </c>
      <c r="Q38" s="13"/>
      <c r="R38" s="13"/>
      <c r="S38" s="13"/>
    </row>
    <row r="39" spans="1:19" s="47" customFormat="1" x14ac:dyDescent="0.4">
      <c r="A39" s="39" t="s">
        <v>479</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503</v>
      </c>
      <c r="Q39" s="13"/>
      <c r="R39" s="13"/>
      <c r="S39" s="13"/>
    </row>
    <row r="40" spans="1:19" s="47" customFormat="1" x14ac:dyDescent="0.4">
      <c r="A40" s="39" t="s">
        <v>490</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10</v>
      </c>
      <c r="Q40" s="13"/>
      <c r="R40" s="13"/>
      <c r="S40" s="13"/>
    </row>
    <row r="41" spans="1:19" s="47" customFormat="1" ht="28.5" x14ac:dyDescent="0.4">
      <c r="A41" s="39" t="s">
        <v>480</v>
      </c>
      <c r="B41" s="37" t="s">
        <v>1353</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326</v>
      </c>
      <c r="Q41" s="13"/>
      <c r="R41" s="13"/>
      <c r="S41" s="13"/>
    </row>
    <row r="42" spans="1:19" s="47" customFormat="1" x14ac:dyDescent="0.4">
      <c r="A42" s="39" t="s">
        <v>481</v>
      </c>
      <c r="B42" s="37" t="s">
        <v>1354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327</v>
      </c>
      <c r="Q42" s="13"/>
      <c r="R42" s="13"/>
      <c r="S42" s="13"/>
    </row>
    <row r="43" spans="1:19" s="47" customFormat="1" x14ac:dyDescent="0.4">
      <c r="A43" s="39" t="s">
        <v>491</v>
      </c>
      <c r="B43" s="37" t="s">
        <v>1355</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11</v>
      </c>
      <c r="Q43" s="13"/>
      <c r="R43" s="13"/>
      <c r="S43" s="13"/>
    </row>
    <row r="44" spans="1:19" s="47" customFormat="1" ht="28.5" x14ac:dyDescent="0.4">
      <c r="A44" s="39" t="s">
        <v>1890</v>
      </c>
      <c r="B44" s="37" t="s">
        <v>1356</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12</v>
      </c>
      <c r="Q44" s="13"/>
      <c r="R44" s="13"/>
      <c r="S44" s="13"/>
    </row>
    <row r="45" spans="1:19" s="47" customFormat="1" x14ac:dyDescent="0.4">
      <c r="A45" s="39" t="s">
        <v>811</v>
      </c>
      <c r="B45" s="37"/>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c r="Q45" s="13"/>
      <c r="R45" s="13"/>
      <c r="S45" s="13"/>
    </row>
    <row r="46" spans="1:19" s="47" customFormat="1" x14ac:dyDescent="0.4">
      <c r="A46" s="39" t="s">
        <v>813</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v>
      </c>
      <c r="Q46" s="13"/>
      <c r="R46" s="13"/>
      <c r="S46" s="13"/>
    </row>
    <row r="47" spans="1:19" s="47" customFormat="1" x14ac:dyDescent="0.4">
      <c r="A47" s="39" t="s">
        <v>201</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4</v>
      </c>
      <c r="Q47" s="13"/>
      <c r="R47" s="13"/>
      <c r="S47" s="13"/>
    </row>
    <row r="48" spans="1:19" s="47" customFormat="1" x14ac:dyDescent="0.4">
      <c r="A48" s="39" t="s">
        <v>202</v>
      </c>
      <c r="B48" s="37" t="s">
        <v>1122</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v>
      </c>
      <c r="Q48" s="13"/>
      <c r="R48" s="13"/>
      <c r="S48" s="13"/>
    </row>
    <row r="49" spans="1:19" s="47" customFormat="1" x14ac:dyDescent="0.4">
      <c r="A49" s="39" t="s">
        <v>203</v>
      </c>
      <c r="B49" s="37" t="s">
        <v>1123</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12</v>
      </c>
      <c r="Q49" s="13"/>
      <c r="R49" s="13"/>
      <c r="S49" s="13"/>
    </row>
    <row r="50" spans="1:19" s="47" customFormat="1" x14ac:dyDescent="0.4">
      <c r="A50" s="39" t="s">
        <v>482</v>
      </c>
      <c r="B50" s="37" t="s">
        <v>1124</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15</v>
      </c>
      <c r="Q50" s="13"/>
      <c r="R50" s="13"/>
      <c r="S50" s="13"/>
    </row>
    <row r="51" spans="1:19" s="47" customFormat="1" x14ac:dyDescent="0.4">
      <c r="A51" s="39" t="s">
        <v>205</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17</v>
      </c>
      <c r="Q51" s="13"/>
      <c r="R51" s="13"/>
      <c r="S51" s="13"/>
    </row>
    <row r="52" spans="1:19" s="47" customFormat="1" ht="28.5" x14ac:dyDescent="0.4">
      <c r="A52" s="39" t="s">
        <v>235</v>
      </c>
      <c r="B52" s="37" t="s">
        <v>1125</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206</v>
      </c>
      <c r="Q52" s="13"/>
      <c r="R52" s="13"/>
      <c r="S52" s="13"/>
    </row>
    <row r="53" spans="1:19" s="47" customFormat="1" x14ac:dyDescent="0.4">
      <c r="A53" s="39" t="s">
        <v>207</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208</v>
      </c>
      <c r="Q53" s="13"/>
      <c r="R53" s="13"/>
      <c r="S53" s="13"/>
    </row>
    <row r="54" spans="1:19" s="47" customFormat="1" x14ac:dyDescent="0.4">
      <c r="A54" s="39" t="s">
        <v>209</v>
      </c>
      <c r="B54" s="37" t="s">
        <v>1126</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210</v>
      </c>
      <c r="Q54" s="13"/>
      <c r="R54" s="13"/>
      <c r="S54" s="13"/>
    </row>
    <row r="55" spans="1:19" s="47" customFormat="1" x14ac:dyDescent="0.4">
      <c r="A55" s="39" t="s">
        <v>211</v>
      </c>
      <c r="B55" s="37" t="s">
        <v>1127</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212</v>
      </c>
      <c r="Q55" s="13"/>
      <c r="R55" s="13"/>
      <c r="S55" s="13"/>
    </row>
    <row r="56" spans="1:19" s="47" customFormat="1" x14ac:dyDescent="0.4">
      <c r="A56" s="39" t="s">
        <v>213</v>
      </c>
      <c r="B56" s="37" t="s">
        <v>1128</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19</v>
      </c>
      <c r="Q56" s="13"/>
      <c r="R56" s="13"/>
      <c r="S56" s="13"/>
    </row>
    <row r="57" spans="1:19" s="47" customFormat="1" x14ac:dyDescent="0.4">
      <c r="A57" s="39" t="s">
        <v>214</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27</v>
      </c>
      <c r="Q57" s="13"/>
      <c r="R57" s="13"/>
      <c r="S57" s="13"/>
    </row>
    <row r="58" spans="1:19" s="47" customFormat="1" x14ac:dyDescent="0.4">
      <c r="A58" s="39" t="s">
        <v>483</v>
      </c>
      <c r="B58" s="37" t="s">
        <v>1129</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v>
      </c>
      <c r="Q58" s="13"/>
      <c r="R58" s="13"/>
      <c r="S58" s="13"/>
    </row>
    <row r="59" spans="1:19" s="47" customFormat="1" ht="28.5" x14ac:dyDescent="0.4">
      <c r="A59" s="39" t="s">
        <v>487</v>
      </c>
      <c r="B59" s="37" t="s">
        <v>1130</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7</v>
      </c>
      <c r="Q59" s="13"/>
      <c r="R59" s="13"/>
      <c r="S59" s="13"/>
    </row>
    <row r="60" spans="1:19" s="47" customFormat="1" ht="28.5" x14ac:dyDescent="0.4">
      <c r="A60" s="39" t="s">
        <v>488</v>
      </c>
      <c r="B60" s="37" t="s">
        <v>1131</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8</v>
      </c>
      <c r="Q60" s="13"/>
      <c r="R60" s="13"/>
      <c r="S60" s="13"/>
    </row>
    <row r="61" spans="1:19" s="47" customFormat="1" x14ac:dyDescent="0.4">
      <c r="A61" s="39" t="s">
        <v>818</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9</v>
      </c>
      <c r="Q61" s="13"/>
      <c r="R61" s="13"/>
      <c r="S61" s="13"/>
    </row>
    <row r="62" spans="1:19" s="47" customFormat="1" x14ac:dyDescent="0.4">
      <c r="A62" s="39" t="s">
        <v>489</v>
      </c>
      <c r="B62" s="37" t="s">
        <v>1132</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504</v>
      </c>
      <c r="Q62" s="13"/>
      <c r="R62" s="13"/>
      <c r="S62" s="13"/>
    </row>
    <row r="63" spans="1:19" s="47" customFormat="1" x14ac:dyDescent="0.4">
      <c r="A63" s="39" t="s">
        <v>819</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505</v>
      </c>
      <c r="Q63" s="13"/>
      <c r="R63" s="13"/>
      <c r="S63" s="13"/>
    </row>
    <row r="64" spans="1:19" s="47" customFormat="1" x14ac:dyDescent="0.4">
      <c r="A64" s="39" t="s">
        <v>478</v>
      </c>
      <c r="B64" s="37" t="s">
        <v>1133</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502</v>
      </c>
      <c r="Q64" s="13"/>
      <c r="R64" s="13"/>
      <c r="S64" s="13"/>
    </row>
    <row r="65" spans="1:19" s="47" customFormat="1" x14ac:dyDescent="0.4">
      <c r="A65" s="39" t="s">
        <v>479</v>
      </c>
      <c r="B65" s="37" t="s">
        <v>1134</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503</v>
      </c>
      <c r="Q65" s="13"/>
      <c r="R65" s="13"/>
      <c r="S65" s="13"/>
    </row>
    <row r="66" spans="1:19" s="47" customFormat="1" x14ac:dyDescent="0.4">
      <c r="A66" s="39" t="s">
        <v>490</v>
      </c>
      <c r="B66" s="37" t="s">
        <v>1135</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v>10</v>
      </c>
      <c r="Q66" s="13"/>
      <c r="R66" s="13"/>
      <c r="S66" s="13"/>
    </row>
    <row r="67" spans="1:19" s="47" customFormat="1" ht="28.5" x14ac:dyDescent="0.4">
      <c r="A67" s="39" t="s">
        <v>480</v>
      </c>
      <c r="B67" s="37"/>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326</v>
      </c>
      <c r="Q67" s="13"/>
      <c r="R67" s="13"/>
      <c r="S67" s="13"/>
    </row>
    <row r="68" spans="1:19" s="47" customFormat="1" x14ac:dyDescent="0.4">
      <c r="A68" s="39" t="s">
        <v>481</v>
      </c>
      <c r="B68" s="37"/>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327</v>
      </c>
      <c r="Q68" s="13"/>
      <c r="R68" s="13"/>
      <c r="S68" s="13"/>
    </row>
    <row r="69" spans="1:19" s="47" customFormat="1" x14ac:dyDescent="0.4">
      <c r="A69" s="39" t="s">
        <v>491</v>
      </c>
      <c r="B69" s="37" t="s">
        <v>1136</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v>11</v>
      </c>
      <c r="Q69" s="13"/>
      <c r="R69" s="13"/>
      <c r="S69" s="13"/>
    </row>
    <row r="70" spans="1:19" s="47" customFormat="1" ht="28.5" x14ac:dyDescent="0.4">
      <c r="A70" s="39" t="s">
        <v>1890</v>
      </c>
      <c r="B70" s="37" t="s">
        <v>1137</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v>12</v>
      </c>
      <c r="Q70" s="13"/>
      <c r="R70" s="13"/>
      <c r="S70" s="13"/>
    </row>
    <row r="71" spans="1:19" x14ac:dyDescent="0.4">
      <c r="A71" s="39"/>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row>
    <row r="72" spans="1:19" x14ac:dyDescent="0.4">
      <c r="A72" s="39" t="s">
        <v>111</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row>
    <row r="73" spans="1:19" ht="42.75" x14ac:dyDescent="0.4">
      <c r="A73" s="39" t="s">
        <v>1891</v>
      </c>
      <c r="B73" s="37"/>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112</v>
      </c>
    </row>
    <row r="74" spans="1:19" x14ac:dyDescent="0.4">
      <c r="A74" s="39" t="s">
        <v>820</v>
      </c>
      <c r="B74" s="37"/>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462</v>
      </c>
    </row>
    <row r="75" spans="1:19" x14ac:dyDescent="0.4">
      <c r="A75" s="39" t="s">
        <v>202</v>
      </c>
      <c r="B75" s="37" t="s">
        <v>1138</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463</v>
      </c>
    </row>
    <row r="76" spans="1:19" x14ac:dyDescent="0.4">
      <c r="A76" s="39" t="s">
        <v>203</v>
      </c>
      <c r="B76" s="37" t="s">
        <v>1139</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464</v>
      </c>
    </row>
    <row r="77" spans="1:19" x14ac:dyDescent="0.4">
      <c r="A77" s="39" t="s">
        <v>821</v>
      </c>
      <c r="B77" s="37" t="s">
        <v>1140</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465</v>
      </c>
    </row>
    <row r="78" spans="1:19" x14ac:dyDescent="0.4">
      <c r="A78" s="39" t="s">
        <v>822</v>
      </c>
      <c r="B78" s="37" t="s">
        <v>1141</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466</v>
      </c>
    </row>
    <row r="79" spans="1:19" x14ac:dyDescent="0.4">
      <c r="A79" s="39" t="s">
        <v>823</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467</v>
      </c>
    </row>
    <row r="80" spans="1:19" x14ac:dyDescent="0.4">
      <c r="A80" s="39" t="s">
        <v>215</v>
      </c>
      <c r="B80" s="37" t="s">
        <v>1142</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472</v>
      </c>
    </row>
    <row r="81" spans="1:16" x14ac:dyDescent="0.4">
      <c r="A81" s="39" t="s">
        <v>217</v>
      </c>
      <c r="B81" s="37" t="s">
        <v>1143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473</v>
      </c>
    </row>
    <row r="82" spans="1:16" x14ac:dyDescent="0.4">
      <c r="A82" s="39" t="s">
        <v>824</v>
      </c>
      <c r="B82" s="37"/>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474</v>
      </c>
    </row>
    <row r="83" spans="1:16" x14ac:dyDescent="0.4">
      <c r="A83" s="39" t="s">
        <v>492</v>
      </c>
      <c r="B83" s="37" t="s">
        <v>1357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506</v>
      </c>
    </row>
    <row r="84" spans="1:16" x14ac:dyDescent="0.4">
      <c r="A84" s="39" t="s">
        <v>493</v>
      </c>
      <c r="B84" s="37" t="s">
        <v>1358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507</v>
      </c>
    </row>
    <row r="85" spans="1:16" ht="28.5" x14ac:dyDescent="0.4">
      <c r="A85" s="39" t="s">
        <v>494</v>
      </c>
      <c r="B85" s="37" t="s">
        <v>1359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475</v>
      </c>
    </row>
    <row r="86" spans="1:16" x14ac:dyDescent="0.4">
      <c r="A86" s="39" t="s">
        <v>825</v>
      </c>
      <c r="B86" s="37" t="s">
        <v>1144</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508</v>
      </c>
    </row>
    <row r="87" spans="1:16" x14ac:dyDescent="0.4">
      <c r="A87" s="39" t="s">
        <v>219</v>
      </c>
      <c r="B87" s="37" t="s">
        <v>1360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509</v>
      </c>
    </row>
    <row r="88" spans="1:16" x14ac:dyDescent="0.4">
      <c r="A88" s="39" t="s">
        <v>483</v>
      </c>
      <c r="B88" s="37" t="s">
        <v>1361</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510</v>
      </c>
    </row>
    <row r="89" spans="1:16" x14ac:dyDescent="0.4">
      <c r="A89" s="39" t="s">
        <v>495</v>
      </c>
      <c r="B89" s="37"/>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511</v>
      </c>
    </row>
    <row r="90" spans="1:16" x14ac:dyDescent="0.4">
      <c r="A90" s="39" t="s">
        <v>13</v>
      </c>
      <c r="B90" s="37" t="s">
        <v>1362</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512</v>
      </c>
    </row>
    <row r="91" spans="1:16" x14ac:dyDescent="0.4">
      <c r="A91" s="39" t="s">
        <v>222</v>
      </c>
      <c r="B91" s="37" t="s">
        <v>1363</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513</v>
      </c>
    </row>
    <row r="92" spans="1:16" ht="28.5" x14ac:dyDescent="0.4">
      <c r="A92" s="39" t="s">
        <v>236</v>
      </c>
      <c r="B92" s="37" t="s">
        <v>1364</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514</v>
      </c>
    </row>
    <row r="93" spans="1:16" x14ac:dyDescent="0.4">
      <c r="A93" s="39" t="s">
        <v>496</v>
      </c>
      <c r="B93" s="37" t="s">
        <v>1365</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515</v>
      </c>
    </row>
    <row r="94" spans="1:16" x14ac:dyDescent="0.4">
      <c r="A94" s="39" t="s">
        <v>497</v>
      </c>
      <c r="B94" s="37" t="s">
        <v>1366</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516</v>
      </c>
    </row>
    <row r="95" spans="1:16" x14ac:dyDescent="0.4">
      <c r="A95" s="39" t="s">
        <v>826</v>
      </c>
      <c r="B95" s="37" t="s">
        <v>827</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828</v>
      </c>
    </row>
    <row r="96" spans="1:16" ht="28.5" x14ac:dyDescent="0.4">
      <c r="A96" s="39" t="s">
        <v>498</v>
      </c>
      <c r="B96" s="37"/>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113</v>
      </c>
    </row>
    <row r="97" spans="1:16" ht="42.75" x14ac:dyDescent="0.4">
      <c r="A97" s="39" t="s">
        <v>1892</v>
      </c>
      <c r="B97" s="37"/>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227</v>
      </c>
    </row>
    <row r="98" spans="1:16" x14ac:dyDescent="0.4">
      <c r="A98" s="39" t="s">
        <v>393</v>
      </c>
      <c r="B98" s="37" t="s">
        <v>1145</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394</v>
      </c>
    </row>
    <row r="99" spans="1:16" x14ac:dyDescent="0.4">
      <c r="A99" s="39" t="s">
        <v>395</v>
      </c>
      <c r="B99" s="37" t="s">
        <v>1146</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396</v>
      </c>
    </row>
    <row r="100" spans="1:16" x14ac:dyDescent="0.4">
      <c r="A100" s="39" t="s">
        <v>397</v>
      </c>
      <c r="B100" s="37" t="s">
        <v>1147</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398</v>
      </c>
    </row>
    <row r="101" spans="1:16" x14ac:dyDescent="0.4">
      <c r="A101" s="39" t="s">
        <v>399</v>
      </c>
      <c r="B101" s="37" t="s">
        <v>1148</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400</v>
      </c>
    </row>
    <row r="102" spans="1:16" x14ac:dyDescent="0.4">
      <c r="A102" s="39" t="s">
        <v>401</v>
      </c>
      <c r="B102" s="37" t="s">
        <v>1149</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402</v>
      </c>
    </row>
    <row r="103" spans="1:16" x14ac:dyDescent="0.4">
      <c r="A103" s="39" t="s">
        <v>403</v>
      </c>
      <c r="B103" s="37" t="s">
        <v>1150</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404</v>
      </c>
    </row>
    <row r="104" spans="1:16" ht="57" x14ac:dyDescent="0.4">
      <c r="A104" s="39" t="s">
        <v>1893</v>
      </c>
      <c r="B104" s="37"/>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228</v>
      </c>
    </row>
    <row r="105" spans="1:16" x14ac:dyDescent="0.4">
      <c r="A105" s="39" t="s">
        <v>393</v>
      </c>
      <c r="B105" s="37" t="s">
        <v>1367</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405</v>
      </c>
    </row>
    <row r="106" spans="1:16" x14ac:dyDescent="0.4">
      <c r="A106" s="39" t="s">
        <v>395</v>
      </c>
      <c r="B106" s="37" t="s">
        <v>1368</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406</v>
      </c>
    </row>
    <row r="107" spans="1:16" x14ac:dyDescent="0.4">
      <c r="A107" s="39" t="s">
        <v>397</v>
      </c>
      <c r="B107" s="37" t="s">
        <v>1369</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407</v>
      </c>
    </row>
    <row r="108" spans="1:16" x14ac:dyDescent="0.4">
      <c r="A108" s="39" t="s">
        <v>399</v>
      </c>
      <c r="B108" s="37" t="s">
        <v>1370</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408</v>
      </c>
    </row>
    <row r="109" spans="1:16" x14ac:dyDescent="0.4">
      <c r="A109" s="39" t="s">
        <v>401</v>
      </c>
      <c r="B109" s="37" t="s">
        <v>1371</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409</v>
      </c>
    </row>
    <row r="110" spans="1:16" x14ac:dyDescent="0.4">
      <c r="A110" s="39" t="s">
        <v>403</v>
      </c>
      <c r="B110" s="37" t="s">
        <v>1372</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410</v>
      </c>
    </row>
    <row r="111" spans="1:16" ht="42.75" x14ac:dyDescent="0.4">
      <c r="A111" s="39" t="s">
        <v>1894</v>
      </c>
      <c r="B111" s="37" t="s">
        <v>1373</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229</v>
      </c>
    </row>
    <row r="112" spans="1:16" ht="42.75" x14ac:dyDescent="0.4">
      <c r="A112" s="39" t="s">
        <v>1895</v>
      </c>
      <c r="B112" s="37" t="s">
        <v>1374</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114</v>
      </c>
    </row>
    <row r="113" spans="1:16" ht="42.75" x14ac:dyDescent="0.4">
      <c r="A113" s="39" t="s">
        <v>1896</v>
      </c>
      <c r="B113" s="37" t="s">
        <v>1151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115</v>
      </c>
    </row>
    <row r="114" spans="1:16" ht="42.75" x14ac:dyDescent="0.4">
      <c r="A114" s="39" t="s">
        <v>1897</v>
      </c>
      <c r="B114" s="37" t="s">
        <v>1375</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117</v>
      </c>
    </row>
    <row r="115" spans="1:16" ht="28.5" x14ac:dyDescent="0.4">
      <c r="A115" s="39" t="s">
        <v>1898</v>
      </c>
      <c r="B115" s="37" t="s">
        <v>1376</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118</v>
      </c>
    </row>
  </sheetData>
  <pageMargins left="0.7" right="0.7" top="0.75" bottom="0.75" header="0.3" footer="0.3"/>
  <pageSetup scale="82" fitToHeight="7" orientation="landscape" r:id="rId1"/>
  <headerFooter>
    <oddFooter>&amp;L&amp;G&amp;R&amp;P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pageSetUpPr fitToPage="1"/>
  </sheetPr>
  <dimension ref="A1:S81"/>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1841</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6" t="str">
        <f>[1]!IntrinioBankFundamentals(rssd_id,$S$2,fiscal_period_type,C$3,"fiscal_period")</f>
        <v/>
      </c>
      <c r="D4" s="86" t="str">
        <f>[1]!IntrinioBankFundamentals(rssd_id,$S$2,fiscal_period_type,D$3,"fiscal_period")</f>
        <v/>
      </c>
      <c r="E4" s="86" t="str">
        <f>[1]!IntrinioBankFundamentals(rssd_id,$S$2,fiscal_period_type,E$3,"fiscal_period")</f>
        <v/>
      </c>
      <c r="F4" s="86" t="str">
        <f>[1]!IntrinioBankFundamentals(rssd_id,$S$2,fiscal_period_type,F$3,"fiscal_period")</f>
        <v/>
      </c>
      <c r="G4" s="86" t="str">
        <f>[1]!IntrinioBankFundamentals(rssd_id,$S$2,fiscal_period_type,G$3,"fiscal_period")</f>
        <v/>
      </c>
      <c r="H4" s="86" t="str">
        <f>[1]!IntrinioBankFundamentals(rssd_id,$S$2,fiscal_period_type,H$3,"fiscal_period")</f>
        <v/>
      </c>
      <c r="I4" s="86" t="str">
        <f>[1]!IntrinioBankFundamentals(rssd_id,$S$2,fiscal_period_type,I$3,"fiscal_period")</f>
        <v/>
      </c>
      <c r="J4" s="86" t="str">
        <f>[1]!IntrinioBankFundamentals(rssd_id,$S$2,fiscal_period_type,J$3,"fiscal_period")</f>
        <v/>
      </c>
      <c r="K4" s="86" t="str">
        <f>[1]!IntrinioBankFundamentals(rssd_id,$S$2,fiscal_period_type,K$3,"fiscal_period")</f>
        <v/>
      </c>
      <c r="L4" s="86" t="str">
        <f>[1]!IntrinioBankFundamentals(rssd_id,$S$2,fiscal_period_type,L$3,"fiscal_period")</f>
        <v/>
      </c>
      <c r="M4" s="86" t="str">
        <f>[1]!IntrinioBankFundamentals(rssd_id,$S$2,fiscal_period_type,M$3,"fiscal_period")</f>
        <v/>
      </c>
      <c r="N4" s="86" t="str">
        <f>[1]!IntrinioBankFundamentals(rssd_id,$S$2,fiscal_period_type,N$3,"fiscal_period")</f>
        <v/>
      </c>
      <c r="O4" s="86"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521</v>
      </c>
      <c r="B6" s="37" t="s">
        <v>1377</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522</v>
      </c>
      <c r="B7" s="37" t="s">
        <v>1378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523</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524</v>
      </c>
      <c r="B9" s="37" t="s">
        <v>1379</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320</v>
      </c>
    </row>
    <row r="10" spans="1:19" s="40" customFormat="1" ht="14.25" x14ac:dyDescent="0.4">
      <c r="A10" s="39" t="s">
        <v>525</v>
      </c>
      <c r="B10" s="37" t="s">
        <v>1380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321</v>
      </c>
    </row>
    <row r="11" spans="1:19" s="40" customFormat="1" ht="14.25" x14ac:dyDescent="0.4">
      <c r="A11" s="39" t="s">
        <v>526</v>
      </c>
      <c r="B11" s="37" t="s">
        <v>1381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527</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528</v>
      </c>
      <c r="B13" s="37" t="s">
        <v>1382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58</v>
      </c>
    </row>
    <row r="14" spans="1:19" x14ac:dyDescent="0.4">
      <c r="A14" s="39" t="s">
        <v>529</v>
      </c>
      <c r="B14" s="37" t="s">
        <v>1383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60</v>
      </c>
    </row>
    <row r="15" spans="1:19" x14ac:dyDescent="0.4">
      <c r="A15" s="39" t="s">
        <v>530</v>
      </c>
      <c r="B15" s="37" t="s">
        <v>1384</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62</v>
      </c>
    </row>
    <row r="16" spans="1:19" s="47" customFormat="1" ht="28.5" x14ac:dyDescent="0.4">
      <c r="A16" s="39" t="s">
        <v>531</v>
      </c>
      <c r="B16" s="37" t="s">
        <v>1385</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6</v>
      </c>
      <c r="Q16" s="13"/>
      <c r="R16" s="13"/>
      <c r="S16" s="13"/>
    </row>
    <row r="17" spans="1:19" s="47" customFormat="1" x14ac:dyDescent="0.4">
      <c r="A17" s="39" t="s">
        <v>1899</v>
      </c>
      <c r="B17" s="37" t="s">
        <v>1101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7</v>
      </c>
      <c r="Q17" s="13"/>
      <c r="R17" s="13"/>
      <c r="S17" s="13"/>
    </row>
    <row r="18" spans="1:19" s="47" customFormat="1" x14ac:dyDescent="0.4">
      <c r="A18" s="13"/>
      <c r="B18" s="32"/>
      <c r="C18" s="33"/>
      <c r="D18" s="33"/>
      <c r="E18" s="33"/>
      <c r="F18" s="33"/>
      <c r="G18" s="33"/>
      <c r="H18" s="33"/>
      <c r="I18" s="33"/>
      <c r="J18" s="33"/>
      <c r="K18" s="33"/>
      <c r="L18" s="33"/>
      <c r="M18" s="33"/>
      <c r="N18" s="33"/>
      <c r="O18" s="33"/>
      <c r="Q18" s="13"/>
      <c r="R18" s="13"/>
      <c r="S18" s="13"/>
    </row>
    <row r="19" spans="1:19" s="47" customFormat="1" x14ac:dyDescent="0.4">
      <c r="A19" s="13"/>
      <c r="B19" s="4"/>
      <c r="C19" s="5"/>
      <c r="D19" s="5"/>
      <c r="E19" s="5"/>
      <c r="F19" s="5"/>
      <c r="G19" s="5"/>
      <c r="H19" s="5"/>
      <c r="I19" s="5"/>
      <c r="J19" s="5"/>
      <c r="K19" s="5"/>
      <c r="L19" s="5"/>
      <c r="M19" s="5"/>
      <c r="N19" s="5"/>
      <c r="O19" s="5"/>
      <c r="Q19" s="13"/>
      <c r="R19" s="13"/>
      <c r="S19" s="13"/>
    </row>
    <row r="20" spans="1:19" s="47" customFormat="1" x14ac:dyDescent="0.4">
      <c r="A20" s="13"/>
      <c r="B20" s="4"/>
      <c r="C20" s="5"/>
      <c r="D20" s="5"/>
      <c r="E20" s="5"/>
      <c r="F20" s="5"/>
      <c r="G20" s="5"/>
      <c r="H20" s="5"/>
      <c r="I20" s="5"/>
      <c r="J20" s="5"/>
      <c r="K20" s="5"/>
      <c r="L20" s="5"/>
      <c r="M20" s="5"/>
      <c r="N20" s="5"/>
      <c r="O20" s="5"/>
      <c r="Q20" s="13"/>
      <c r="R20" s="13"/>
      <c r="S20" s="13"/>
    </row>
    <row r="21" spans="1:19" s="47" customFormat="1" x14ac:dyDescent="0.4">
      <c r="A21" s="13"/>
      <c r="B21" s="4"/>
      <c r="C21" s="5"/>
      <c r="D21" s="5"/>
      <c r="E21" s="5"/>
      <c r="F21" s="5"/>
      <c r="G21" s="5"/>
      <c r="H21" s="5"/>
      <c r="I21" s="5"/>
      <c r="J21" s="5"/>
      <c r="K21" s="5"/>
      <c r="L21" s="5"/>
      <c r="M21" s="5"/>
      <c r="N21" s="5"/>
      <c r="O21" s="5"/>
      <c r="Q21" s="13"/>
      <c r="R21" s="13"/>
      <c r="S21" s="13"/>
    </row>
    <row r="22" spans="1:19" s="47" customFormat="1" x14ac:dyDescent="0.4">
      <c r="A22" s="13"/>
      <c r="B22" s="4"/>
      <c r="C22" s="5"/>
      <c r="D22" s="5"/>
      <c r="E22" s="5"/>
      <c r="F22" s="5"/>
      <c r="G22" s="5"/>
      <c r="H22" s="5"/>
      <c r="I22" s="5"/>
      <c r="J22" s="5"/>
      <c r="K22" s="5"/>
      <c r="L22" s="5"/>
      <c r="M22" s="5"/>
      <c r="N22" s="5"/>
      <c r="O22" s="5"/>
      <c r="Q22" s="13"/>
      <c r="R22" s="13"/>
      <c r="S22" s="13"/>
    </row>
    <row r="23" spans="1:19" s="47" customFormat="1" x14ac:dyDescent="0.4">
      <c r="A23" s="13"/>
      <c r="B23" s="4"/>
      <c r="C23" s="5"/>
      <c r="D23" s="5"/>
      <c r="E23" s="5"/>
      <c r="F23" s="5"/>
      <c r="G23" s="5"/>
      <c r="H23" s="5"/>
      <c r="I23" s="5"/>
      <c r="J23" s="5"/>
      <c r="K23" s="5"/>
      <c r="L23" s="5"/>
      <c r="M23" s="5"/>
      <c r="N23" s="5"/>
      <c r="O23" s="5"/>
      <c r="Q23" s="13"/>
      <c r="R23" s="13"/>
      <c r="S23" s="13"/>
    </row>
    <row r="24" spans="1:19" s="47" customFormat="1" x14ac:dyDescent="0.4">
      <c r="A24" s="13"/>
      <c r="B24" s="4"/>
      <c r="C24" s="5"/>
      <c r="D24" s="5"/>
      <c r="E24" s="5"/>
      <c r="F24" s="5"/>
      <c r="G24" s="5"/>
      <c r="H24" s="5"/>
      <c r="I24" s="5"/>
      <c r="J24" s="5"/>
      <c r="K24" s="5"/>
      <c r="L24" s="5"/>
      <c r="M24" s="5"/>
      <c r="N24" s="5"/>
      <c r="O24" s="5"/>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sheetData>
  <pageMargins left="0.7" right="0.7" top="0.75" bottom="0.75" header="0.3" footer="0.3"/>
  <pageSetup scale="85" fitToHeight="0" orientation="landscape" r:id="rId1"/>
  <headerFooter>
    <oddFooter>&amp;L&amp;G&amp;R&amp;P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pageSetUpPr fitToPage="1"/>
  </sheetPr>
  <dimension ref="A1:S74"/>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1842</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6" t="str">
        <f>[1]!IntrinioBankFundamentals(rssd_id,$S$2,fiscal_period_type,C$3,"fiscal_period")</f>
        <v/>
      </c>
      <c r="D4" s="86" t="str">
        <f>[1]!IntrinioBankFundamentals(rssd_id,$S$2,fiscal_period_type,D$3,"fiscal_period")</f>
        <v/>
      </c>
      <c r="E4" s="86" t="str">
        <f>[1]!IntrinioBankFundamentals(rssd_id,$S$2,fiscal_period_type,E$3,"fiscal_period")</f>
        <v/>
      </c>
      <c r="F4" s="86" t="str">
        <f>[1]!IntrinioBankFundamentals(rssd_id,$S$2,fiscal_period_type,F$3,"fiscal_period")</f>
        <v/>
      </c>
      <c r="G4" s="86" t="str">
        <f>[1]!IntrinioBankFundamentals(rssd_id,$S$2,fiscal_period_type,G$3,"fiscal_period")</f>
        <v/>
      </c>
      <c r="H4" s="86" t="str">
        <f>[1]!IntrinioBankFundamentals(rssd_id,$S$2,fiscal_period_type,H$3,"fiscal_period")</f>
        <v/>
      </c>
      <c r="I4" s="86" t="str">
        <f>[1]!IntrinioBankFundamentals(rssd_id,$S$2,fiscal_period_type,I$3,"fiscal_period")</f>
        <v/>
      </c>
      <c r="J4" s="86" t="str">
        <f>[1]!IntrinioBankFundamentals(rssd_id,$S$2,fiscal_period_type,J$3,"fiscal_period")</f>
        <v/>
      </c>
      <c r="K4" s="86" t="str">
        <f>[1]!IntrinioBankFundamentals(rssd_id,$S$2,fiscal_period_type,K$3,"fiscal_period")</f>
        <v/>
      </c>
      <c r="L4" s="86" t="str">
        <f>[1]!IntrinioBankFundamentals(rssd_id,$S$2,fiscal_period_type,L$3,"fiscal_period")</f>
        <v/>
      </c>
      <c r="M4" s="86" t="str">
        <f>[1]!IntrinioBankFundamentals(rssd_id,$S$2,fiscal_period_type,M$3,"fiscal_period")</f>
        <v/>
      </c>
      <c r="N4" s="86" t="str">
        <f>[1]!IntrinioBankFundamentals(rssd_id,$S$2,fiscal_period_type,N$3,"fiscal_period")</f>
        <v/>
      </c>
      <c r="O4" s="86"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829</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830</v>
      </c>
      <c r="B7" s="37" t="s">
        <v>1152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4</v>
      </c>
    </row>
    <row r="8" spans="1:19" s="40" customFormat="1" ht="14.25" x14ac:dyDescent="0.4">
      <c r="A8" s="39" t="s">
        <v>532</v>
      </c>
      <c r="B8" s="37" t="s">
        <v>1386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15</v>
      </c>
    </row>
    <row r="9" spans="1:19" s="40" customFormat="1" ht="14.25" x14ac:dyDescent="0.4">
      <c r="A9" s="39" t="s">
        <v>533</v>
      </c>
      <c r="B9" s="37" t="s">
        <v>1387</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534</v>
      </c>
      <c r="B10" s="37" t="s">
        <v>1388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14.25" x14ac:dyDescent="0.4">
      <c r="A11" s="39" t="s">
        <v>1390</v>
      </c>
      <c r="B11" s="37" t="s">
        <v>1391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3</v>
      </c>
    </row>
    <row r="12" spans="1:19" s="47" customFormat="1" x14ac:dyDescent="0.4">
      <c r="A12" s="39" t="s">
        <v>535</v>
      </c>
      <c r="B12" s="37" t="s">
        <v>1389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c r="Q12" s="13"/>
      <c r="R12" s="13"/>
      <c r="S12" s="13"/>
    </row>
    <row r="13" spans="1:19" s="47" customFormat="1" x14ac:dyDescent="0.4">
      <c r="A13" s="13"/>
      <c r="B13" s="4"/>
      <c r="C13" s="5"/>
      <c r="D13" s="5"/>
      <c r="E13" s="5"/>
      <c r="F13" s="5"/>
      <c r="G13" s="5"/>
      <c r="H13" s="5"/>
      <c r="I13" s="5"/>
      <c r="J13" s="5"/>
      <c r="K13" s="5"/>
      <c r="L13" s="5"/>
      <c r="M13" s="5"/>
      <c r="N13" s="5"/>
      <c r="O13" s="5"/>
      <c r="Q13" s="13"/>
      <c r="R13" s="13"/>
      <c r="S13" s="13"/>
    </row>
    <row r="14" spans="1:19" s="47" customFormat="1" x14ac:dyDescent="0.4">
      <c r="A14" s="13"/>
      <c r="B14" s="4"/>
      <c r="C14" s="5"/>
      <c r="D14" s="5"/>
      <c r="E14" s="5"/>
      <c r="F14" s="5"/>
      <c r="G14" s="5"/>
      <c r="H14" s="5"/>
      <c r="I14" s="5"/>
      <c r="J14" s="5"/>
      <c r="K14" s="5"/>
      <c r="L14" s="5"/>
      <c r="M14" s="5"/>
      <c r="N14" s="5"/>
      <c r="O14" s="5"/>
      <c r="Q14" s="13"/>
      <c r="R14" s="13"/>
      <c r="S14" s="13"/>
    </row>
    <row r="15" spans="1:19" s="47" customFormat="1" x14ac:dyDescent="0.4">
      <c r="A15" s="13"/>
      <c r="B15" s="4"/>
      <c r="C15" s="5"/>
      <c r="D15" s="5"/>
      <c r="E15" s="5"/>
      <c r="F15" s="5"/>
      <c r="G15" s="5"/>
      <c r="H15" s="5"/>
      <c r="I15" s="5"/>
      <c r="J15" s="5"/>
      <c r="K15" s="5"/>
      <c r="L15" s="5"/>
      <c r="M15" s="5"/>
      <c r="N15" s="5"/>
      <c r="O15" s="5"/>
      <c r="Q15" s="13"/>
      <c r="R15" s="13"/>
      <c r="S15" s="13"/>
    </row>
    <row r="16" spans="1:19" s="47" customFormat="1" x14ac:dyDescent="0.4">
      <c r="A16" s="13"/>
      <c r="B16" s="4"/>
      <c r="C16" s="5"/>
      <c r="D16" s="5"/>
      <c r="E16" s="5"/>
      <c r="F16" s="5"/>
      <c r="G16" s="5"/>
      <c r="H16" s="5"/>
      <c r="I16" s="5"/>
      <c r="J16" s="5"/>
      <c r="K16" s="5"/>
      <c r="L16" s="5"/>
      <c r="M16" s="5"/>
      <c r="N16" s="5"/>
      <c r="O16" s="5"/>
      <c r="Q16" s="13"/>
      <c r="R16" s="13"/>
      <c r="S16" s="13"/>
    </row>
    <row r="17" spans="1:19" s="47" customFormat="1" x14ac:dyDescent="0.4">
      <c r="A17" s="13"/>
      <c r="B17" s="4"/>
      <c r="C17" s="5"/>
      <c r="D17" s="5"/>
      <c r="E17" s="5"/>
      <c r="F17" s="5"/>
      <c r="G17" s="5"/>
      <c r="H17" s="5"/>
      <c r="I17" s="5"/>
      <c r="J17" s="5"/>
      <c r="K17" s="5"/>
      <c r="L17" s="5"/>
      <c r="M17" s="5"/>
      <c r="N17" s="5"/>
      <c r="O17" s="5"/>
      <c r="Q17" s="13"/>
      <c r="R17" s="13"/>
      <c r="S17" s="13"/>
    </row>
    <row r="18" spans="1:19" s="47" customFormat="1" x14ac:dyDescent="0.4">
      <c r="A18" s="13"/>
      <c r="B18" s="4"/>
      <c r="C18" s="5"/>
      <c r="D18" s="5"/>
      <c r="E18" s="5"/>
      <c r="F18" s="5"/>
      <c r="G18" s="5"/>
      <c r="H18" s="5"/>
      <c r="I18" s="5"/>
      <c r="J18" s="5"/>
      <c r="K18" s="5"/>
      <c r="L18" s="5"/>
      <c r="M18" s="5"/>
      <c r="N18" s="5"/>
      <c r="O18" s="5"/>
      <c r="Q18" s="13"/>
      <c r="R18" s="13"/>
      <c r="S18" s="13"/>
    </row>
    <row r="19" spans="1:19" s="47" customFormat="1" x14ac:dyDescent="0.4">
      <c r="A19" s="13"/>
      <c r="B19" s="4"/>
      <c r="C19" s="5"/>
      <c r="D19" s="5"/>
      <c r="E19" s="5"/>
      <c r="F19" s="5"/>
      <c r="G19" s="5"/>
      <c r="H19" s="5"/>
      <c r="I19" s="5"/>
      <c r="J19" s="5"/>
      <c r="K19" s="5"/>
      <c r="L19" s="5"/>
      <c r="M19" s="5"/>
      <c r="N19" s="5"/>
      <c r="O19" s="5"/>
      <c r="Q19" s="13"/>
      <c r="R19" s="13"/>
      <c r="S19" s="13"/>
    </row>
    <row r="20" spans="1:19" s="47" customFormat="1" x14ac:dyDescent="0.4">
      <c r="A20" s="13"/>
      <c r="B20" s="4"/>
      <c r="C20" s="5"/>
      <c r="D20" s="5"/>
      <c r="E20" s="5"/>
      <c r="F20" s="5"/>
      <c r="G20" s="5"/>
      <c r="H20" s="5"/>
      <c r="I20" s="5"/>
      <c r="J20" s="5"/>
      <c r="K20" s="5"/>
      <c r="L20" s="5"/>
      <c r="M20" s="5"/>
      <c r="N20" s="5"/>
      <c r="O20" s="5"/>
      <c r="Q20" s="13"/>
      <c r="R20" s="13"/>
      <c r="S20" s="13"/>
    </row>
    <row r="21" spans="1:19" s="47" customFormat="1" x14ac:dyDescent="0.4">
      <c r="A21" s="13"/>
      <c r="B21" s="4"/>
      <c r="C21" s="5"/>
      <c r="D21" s="5"/>
      <c r="E21" s="5"/>
      <c r="F21" s="5"/>
      <c r="G21" s="5"/>
      <c r="H21" s="5"/>
      <c r="I21" s="5"/>
      <c r="J21" s="5"/>
      <c r="K21" s="5"/>
      <c r="L21" s="5"/>
      <c r="M21" s="5"/>
      <c r="N21" s="5"/>
      <c r="O21" s="5"/>
      <c r="Q21" s="13"/>
      <c r="R21" s="13"/>
      <c r="S21" s="13"/>
    </row>
    <row r="22" spans="1:19" s="47" customFormat="1" x14ac:dyDescent="0.4">
      <c r="A22" s="13"/>
      <c r="B22" s="4"/>
      <c r="C22" s="5"/>
      <c r="D22" s="5"/>
      <c r="E22" s="5"/>
      <c r="F22" s="5"/>
      <c r="G22" s="5"/>
      <c r="H22" s="5"/>
      <c r="I22" s="5"/>
      <c r="J22" s="5"/>
      <c r="K22" s="5"/>
      <c r="L22" s="5"/>
      <c r="M22" s="5"/>
      <c r="N22" s="5"/>
      <c r="O22" s="5"/>
      <c r="Q22" s="13"/>
      <c r="R22" s="13"/>
      <c r="S22" s="13"/>
    </row>
    <row r="23" spans="1:19" s="47" customFormat="1" x14ac:dyDescent="0.4">
      <c r="A23" s="13"/>
      <c r="B23" s="4"/>
      <c r="C23" s="5"/>
      <c r="D23" s="5"/>
      <c r="E23" s="5"/>
      <c r="F23" s="5"/>
      <c r="G23" s="5"/>
      <c r="H23" s="5"/>
      <c r="I23" s="5"/>
      <c r="J23" s="5"/>
      <c r="K23" s="5"/>
      <c r="L23" s="5"/>
      <c r="M23" s="5"/>
      <c r="N23" s="5"/>
      <c r="O23" s="5"/>
      <c r="Q23" s="13"/>
      <c r="R23" s="13"/>
      <c r="S23" s="13"/>
    </row>
    <row r="24" spans="1:19" s="47" customFormat="1" x14ac:dyDescent="0.4">
      <c r="A24" s="13"/>
      <c r="B24" s="4"/>
      <c r="C24" s="5"/>
      <c r="D24" s="5"/>
      <c r="E24" s="5"/>
      <c r="F24" s="5"/>
      <c r="G24" s="5"/>
      <c r="H24" s="5"/>
      <c r="I24" s="5"/>
      <c r="J24" s="5"/>
      <c r="K24" s="5"/>
      <c r="L24" s="5"/>
      <c r="M24" s="5"/>
      <c r="N24" s="5"/>
      <c r="O24" s="5"/>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sheetData>
  <pageMargins left="0.7" right="0.7" top="0.75" bottom="0.75" header="0.3" footer="0.3"/>
  <pageSetup scale="85" fitToHeight="0" orientation="landscape" r:id="rId1"/>
  <headerFooter>
    <oddFooter>&amp;L&amp;G&amp;R&amp;P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79998168889431442"/>
    <pageSetUpPr fitToPage="1"/>
  </sheetPr>
  <dimension ref="A1:S170"/>
  <sheetViews>
    <sheetView view="pageBreakPreview" zoomScaleNormal="100" zoomScaleSheetLayoutView="100" workbookViewId="0">
      <pane xSplit="1" ySplit="5" topLeftCell="J6" activePane="bottomRight" state="frozen"/>
      <selection pane="topRight"/>
      <selection pane="bottomLeft"/>
      <selection pane="bottomRight"/>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4" width="13.640625" style="5" customWidth="1"/>
    <col min="15" max="15" width="15.140625" style="5" bestFit="1"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1844</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6" t="str">
        <f>[1]!IntrinioBankFundamentals(rssd_id,$S$2,fiscal_period_type,C$3,"fiscal_period")</f>
        <v/>
      </c>
      <c r="D4" s="86" t="str">
        <f>[1]!IntrinioBankFundamentals(rssd_id,$S$2,fiscal_period_type,D$3,"fiscal_period")</f>
        <v/>
      </c>
      <c r="E4" s="86" t="str">
        <f>[1]!IntrinioBankFundamentals(rssd_id,$S$2,fiscal_period_type,E$3,"fiscal_period")</f>
        <v/>
      </c>
      <c r="F4" s="86" t="str">
        <f>[1]!IntrinioBankFundamentals(rssd_id,$S$2,fiscal_period_type,F$3,"fiscal_period")</f>
        <v/>
      </c>
      <c r="G4" s="86" t="str">
        <f>[1]!IntrinioBankFundamentals(rssd_id,$S$2,fiscal_period_type,G$3,"fiscal_period")</f>
        <v/>
      </c>
      <c r="H4" s="86" t="str">
        <f>[1]!IntrinioBankFundamentals(rssd_id,$S$2,fiscal_period_type,H$3,"fiscal_period")</f>
        <v/>
      </c>
      <c r="I4" s="86" t="str">
        <f>[1]!IntrinioBankFundamentals(rssd_id,$S$2,fiscal_period_type,I$3,"fiscal_period")</f>
        <v/>
      </c>
      <c r="J4" s="86" t="str">
        <f>[1]!IntrinioBankFundamentals(rssd_id,$S$2,fiscal_period_type,J$3,"fiscal_period")</f>
        <v/>
      </c>
      <c r="K4" s="86" t="str">
        <f>[1]!IntrinioBankFundamentals(rssd_id,$S$2,fiscal_period_type,K$3,"fiscal_period")</f>
        <v/>
      </c>
      <c r="L4" s="86" t="str">
        <f>[1]!IntrinioBankFundamentals(rssd_id,$S$2,fiscal_period_type,L$3,"fiscal_period")</f>
        <v/>
      </c>
      <c r="M4" s="86" t="str">
        <f>[1]!IntrinioBankFundamentals(rssd_id,$S$2,fiscal_period_type,M$3,"fiscal_period")</f>
        <v/>
      </c>
      <c r="N4" s="86" t="str">
        <f>[1]!IntrinioBankFundamentals(rssd_id,$S$2,fiscal_period_type,N$3,"fiscal_period")</f>
        <v/>
      </c>
      <c r="O4" s="86"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831</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541</v>
      </c>
      <c r="B7" s="37" t="s">
        <v>1392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4</v>
      </c>
    </row>
    <row r="8" spans="1:19" s="40" customFormat="1" ht="14.25" x14ac:dyDescent="0.4">
      <c r="A8" s="39" t="s">
        <v>542</v>
      </c>
      <c r="B8" s="37" t="s">
        <v>1393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15</v>
      </c>
    </row>
    <row r="9" spans="1:19" s="40" customFormat="1" ht="14.25" x14ac:dyDescent="0.4">
      <c r="A9" s="39" t="s">
        <v>543</v>
      </c>
      <c r="B9" s="37" t="s">
        <v>1394</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603</v>
      </c>
    </row>
    <row r="10" spans="1:19" s="40" customFormat="1" ht="14.25" x14ac:dyDescent="0.4">
      <c r="A10" s="39" t="s">
        <v>544</v>
      </c>
      <c r="B10" s="37" t="s">
        <v>1395</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604</v>
      </c>
    </row>
    <row r="11" spans="1:19" s="40" customFormat="1" ht="28.5" x14ac:dyDescent="0.4">
      <c r="A11" s="39" t="s">
        <v>545</v>
      </c>
      <c r="B11" s="37"/>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17</v>
      </c>
    </row>
    <row r="12" spans="1:19" x14ac:dyDescent="0.4">
      <c r="A12" s="39" t="s">
        <v>546</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206</v>
      </c>
    </row>
    <row r="13" spans="1:19" x14ac:dyDescent="0.4">
      <c r="A13" s="39" t="s">
        <v>547</v>
      </c>
      <c r="B13" s="37" t="s">
        <v>1396</v>
      </c>
      <c r="C13" s="38"/>
      <c r="D13" s="38"/>
      <c r="E13" s="38"/>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605</v>
      </c>
    </row>
    <row r="14" spans="1:19" s="47" customFormat="1" ht="28.5" x14ac:dyDescent="0.4">
      <c r="A14" s="39" t="s">
        <v>548</v>
      </c>
      <c r="B14" s="37" t="s">
        <v>1397</v>
      </c>
      <c r="C14" s="38"/>
      <c r="D14" s="38"/>
      <c r="E14" s="38"/>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606</v>
      </c>
      <c r="Q14" s="13"/>
      <c r="R14" s="13"/>
      <c r="S14" s="13"/>
    </row>
    <row r="15" spans="1:19" s="47" customFormat="1" x14ac:dyDescent="0.4">
      <c r="A15" s="39" t="s">
        <v>549</v>
      </c>
      <c r="B15" s="37" t="s">
        <v>1398</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208</v>
      </c>
      <c r="Q15" s="13"/>
      <c r="R15" s="13"/>
      <c r="S15" s="13"/>
    </row>
    <row r="16" spans="1:19" s="47" customFormat="1" x14ac:dyDescent="0.4">
      <c r="A16" s="39" t="s">
        <v>550</v>
      </c>
      <c r="B16" s="37" t="s">
        <v>1399</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19</v>
      </c>
      <c r="Q16" s="13"/>
      <c r="R16" s="13"/>
      <c r="S16" s="13"/>
    </row>
    <row r="17" spans="1:19" s="47" customFormat="1" x14ac:dyDescent="0.4">
      <c r="A17" s="39" t="s">
        <v>551</v>
      </c>
      <c r="B17" s="37"/>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27</v>
      </c>
      <c r="Q17" s="13"/>
      <c r="R17" s="13"/>
      <c r="S17" s="13"/>
    </row>
    <row r="18" spans="1:19" s="47" customFormat="1" x14ac:dyDescent="0.4">
      <c r="A18" s="39" t="s">
        <v>552</v>
      </c>
      <c r="B18" s="37" t="s">
        <v>1400</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216</v>
      </c>
      <c r="Q18" s="13"/>
      <c r="R18" s="13"/>
      <c r="S18" s="13"/>
    </row>
    <row r="19" spans="1:19" s="47" customFormat="1" x14ac:dyDescent="0.4">
      <c r="A19" s="39" t="s">
        <v>553</v>
      </c>
      <c r="B19" s="37" t="s">
        <v>1401</v>
      </c>
      <c r="C19" s="38"/>
      <c r="D19" s="38"/>
      <c r="E19" s="38"/>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218</v>
      </c>
      <c r="Q19" s="13"/>
      <c r="R19" s="13"/>
      <c r="S19" s="13"/>
    </row>
    <row r="20" spans="1:19" s="47" customFormat="1" x14ac:dyDescent="0.4">
      <c r="A20" s="39" t="s">
        <v>554</v>
      </c>
      <c r="B20" s="37" t="s">
        <v>1402</v>
      </c>
      <c r="C20" s="38"/>
      <c r="D20" s="38"/>
      <c r="E20" s="38"/>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607</v>
      </c>
      <c r="Q20" s="13"/>
      <c r="R20" s="13"/>
      <c r="S20" s="13"/>
    </row>
    <row r="21" spans="1:19" s="47" customFormat="1" x14ac:dyDescent="0.4">
      <c r="A21" s="39" t="s">
        <v>555</v>
      </c>
      <c r="B21" s="37" t="s">
        <v>1403</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4</v>
      </c>
      <c r="Q21" s="13"/>
      <c r="R21" s="13"/>
      <c r="S21" s="13"/>
    </row>
    <row r="22" spans="1:19" s="47" customFormat="1" x14ac:dyDescent="0.4">
      <c r="A22" s="39" t="s">
        <v>484</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5</v>
      </c>
      <c r="Q22" s="13"/>
      <c r="R22" s="13"/>
      <c r="S22" s="13"/>
    </row>
    <row r="23" spans="1:19" s="47" customFormat="1" x14ac:dyDescent="0.4">
      <c r="A23" s="39" t="s">
        <v>556</v>
      </c>
      <c r="B23" s="37"/>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6</v>
      </c>
      <c r="Q23" s="13"/>
      <c r="R23" s="13"/>
      <c r="S23" s="13"/>
    </row>
    <row r="24" spans="1:19" s="47" customFormat="1" ht="28.5" x14ac:dyDescent="0.4">
      <c r="A24" s="39" t="s">
        <v>557</v>
      </c>
      <c r="B24" s="37" t="s">
        <v>1404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89</v>
      </c>
      <c r="Q24" s="13"/>
      <c r="R24" s="13"/>
      <c r="S24" s="13"/>
    </row>
    <row r="25" spans="1:19" s="47" customFormat="1" x14ac:dyDescent="0.4">
      <c r="A25" s="39" t="s">
        <v>832</v>
      </c>
      <c r="B25" s="37" t="s">
        <v>1405</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91</v>
      </c>
      <c r="Q25" s="13"/>
      <c r="R25" s="13"/>
      <c r="S25" s="13"/>
    </row>
    <row r="26" spans="1:19" s="47" customFormat="1" x14ac:dyDescent="0.4">
      <c r="A26" s="39" t="s">
        <v>558</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7</v>
      </c>
      <c r="Q26" s="13"/>
      <c r="R26" s="13"/>
      <c r="S26" s="13"/>
    </row>
    <row r="27" spans="1:19" s="47" customFormat="1" x14ac:dyDescent="0.4">
      <c r="A27" s="39" t="s">
        <v>559</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94</v>
      </c>
      <c r="Q27" s="13"/>
      <c r="R27" s="13"/>
      <c r="S27" s="13"/>
    </row>
    <row r="28" spans="1:19" s="47" customFormat="1" x14ac:dyDescent="0.4">
      <c r="A28" s="39" t="s">
        <v>560</v>
      </c>
      <c r="B28" s="37" t="s">
        <v>1406</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608</v>
      </c>
      <c r="Q28" s="13"/>
      <c r="R28" s="13"/>
      <c r="S28" s="13"/>
    </row>
    <row r="29" spans="1:19" s="47" customFormat="1" x14ac:dyDescent="0.4">
      <c r="A29" s="39" t="s">
        <v>561</v>
      </c>
      <c r="B29" s="37" t="s">
        <v>1407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609</v>
      </c>
      <c r="Q29" s="13"/>
      <c r="R29" s="13"/>
      <c r="S29" s="13"/>
    </row>
    <row r="30" spans="1:19" s="47" customFormat="1" x14ac:dyDescent="0.4">
      <c r="A30" s="39" t="s">
        <v>562</v>
      </c>
      <c r="B30" s="37" t="s">
        <v>1408</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610</v>
      </c>
      <c r="Q30" s="13"/>
      <c r="R30" s="13"/>
      <c r="S30" s="13"/>
    </row>
    <row r="31" spans="1:19" s="47" customFormat="1" x14ac:dyDescent="0.4">
      <c r="A31" s="39" t="s">
        <v>563</v>
      </c>
      <c r="B31" s="37" t="s">
        <v>1409</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611</v>
      </c>
      <c r="Q31" s="13"/>
      <c r="R31" s="13"/>
      <c r="S31" s="13"/>
    </row>
    <row r="32" spans="1:19" s="47" customFormat="1" x14ac:dyDescent="0.4">
      <c r="A32" s="39" t="s">
        <v>564</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95</v>
      </c>
      <c r="Q32" s="13"/>
      <c r="R32" s="13"/>
      <c r="S32" s="13"/>
    </row>
    <row r="33" spans="1:19" s="47" customFormat="1" x14ac:dyDescent="0.4">
      <c r="A33" s="39" t="s">
        <v>565</v>
      </c>
      <c r="B33" s="37" t="s">
        <v>1410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612</v>
      </c>
      <c r="Q33" s="13"/>
      <c r="R33" s="13"/>
      <c r="S33" s="13"/>
    </row>
    <row r="34" spans="1:19" s="47" customFormat="1" x14ac:dyDescent="0.4">
      <c r="A34" s="39" t="s">
        <v>566</v>
      </c>
      <c r="B34" s="37" t="s">
        <v>1411</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613</v>
      </c>
      <c r="Q34" s="13"/>
      <c r="R34" s="13"/>
      <c r="S34" s="13"/>
    </row>
    <row r="35" spans="1:19" s="47" customFormat="1" x14ac:dyDescent="0.4">
      <c r="A35" s="39" t="s">
        <v>833</v>
      </c>
      <c r="B35" s="37"/>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c r="Q35" s="13"/>
      <c r="R35" s="13"/>
      <c r="S35" s="13"/>
    </row>
    <row r="36" spans="1:19" s="47" customFormat="1" x14ac:dyDescent="0.4">
      <c r="A36" s="39" t="s">
        <v>558</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7</v>
      </c>
      <c r="Q36" s="13"/>
      <c r="R36" s="13"/>
      <c r="S36" s="13"/>
    </row>
    <row r="37" spans="1:19" s="47" customFormat="1" x14ac:dyDescent="0.4">
      <c r="A37" s="39" t="s">
        <v>559</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94</v>
      </c>
      <c r="Q37" s="13"/>
      <c r="R37" s="13"/>
      <c r="S37" s="13"/>
    </row>
    <row r="38" spans="1:19" s="47" customFormat="1" x14ac:dyDescent="0.4">
      <c r="A38" s="39" t="s">
        <v>560</v>
      </c>
      <c r="B38" s="37" t="s">
        <v>1412</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608</v>
      </c>
      <c r="Q38" s="13"/>
      <c r="R38" s="13"/>
      <c r="S38" s="13"/>
    </row>
    <row r="39" spans="1:19" s="47" customFormat="1" x14ac:dyDescent="0.4">
      <c r="A39" s="39" t="s">
        <v>561</v>
      </c>
      <c r="B39" s="37" t="s">
        <v>1413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609</v>
      </c>
      <c r="Q39" s="13"/>
      <c r="R39" s="13"/>
      <c r="S39" s="13"/>
    </row>
    <row r="40" spans="1:19" s="47" customFormat="1" x14ac:dyDescent="0.4">
      <c r="A40" s="39" t="s">
        <v>562</v>
      </c>
      <c r="B40" s="37" t="s">
        <v>1414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610</v>
      </c>
      <c r="Q40" s="13"/>
      <c r="R40" s="13"/>
      <c r="S40" s="13"/>
    </row>
    <row r="41" spans="1:19" s="47" customFormat="1" x14ac:dyDescent="0.4">
      <c r="A41" s="39" t="s">
        <v>563</v>
      </c>
      <c r="B41" s="37" t="s">
        <v>1415</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611</v>
      </c>
      <c r="Q41" s="13"/>
      <c r="R41" s="13"/>
      <c r="S41" s="13"/>
    </row>
    <row r="42" spans="1:19" s="47" customFormat="1" x14ac:dyDescent="0.4">
      <c r="A42" s="39" t="s">
        <v>564</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95</v>
      </c>
      <c r="Q42" s="13"/>
      <c r="R42" s="13"/>
      <c r="S42" s="13"/>
    </row>
    <row r="43" spans="1:19" s="47" customFormat="1" x14ac:dyDescent="0.4">
      <c r="A43" s="39" t="s">
        <v>565</v>
      </c>
      <c r="B43" s="37" t="s">
        <v>1416</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612</v>
      </c>
      <c r="Q43" s="13"/>
      <c r="R43" s="13"/>
      <c r="S43" s="13"/>
    </row>
    <row r="44" spans="1:19" s="47" customFormat="1" x14ac:dyDescent="0.4">
      <c r="A44" s="39" t="s">
        <v>566</v>
      </c>
      <c r="B44" s="37" t="s">
        <v>1417</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613</v>
      </c>
      <c r="Q44" s="13"/>
      <c r="R44" s="13"/>
      <c r="S44" s="13"/>
    </row>
    <row r="45" spans="1:19" s="47" customFormat="1" x14ac:dyDescent="0.4">
      <c r="A45" s="39" t="s">
        <v>834</v>
      </c>
      <c r="B45" s="37"/>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97</v>
      </c>
      <c r="Q45" s="13"/>
      <c r="R45" s="13"/>
      <c r="S45" s="13"/>
    </row>
    <row r="46" spans="1:19" s="47" customFormat="1" x14ac:dyDescent="0.4">
      <c r="A46" s="39" t="s">
        <v>567</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99</v>
      </c>
      <c r="Q46" s="13"/>
      <c r="R46" s="13"/>
      <c r="S46" s="13"/>
    </row>
    <row r="47" spans="1:19" s="47" customFormat="1" x14ac:dyDescent="0.4">
      <c r="A47" s="39" t="s">
        <v>568</v>
      </c>
      <c r="B47" s="37" t="s">
        <v>1418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614</v>
      </c>
      <c r="Q47" s="13"/>
      <c r="R47" s="13"/>
      <c r="S47" s="13"/>
    </row>
    <row r="48" spans="1:19" s="47" customFormat="1" x14ac:dyDescent="0.4">
      <c r="A48" s="39" t="s">
        <v>569</v>
      </c>
      <c r="B48" s="37" t="s">
        <v>1419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615</v>
      </c>
      <c r="Q48" s="13"/>
      <c r="R48" s="13"/>
      <c r="S48" s="13"/>
    </row>
    <row r="49" spans="1:19" s="47" customFormat="1" x14ac:dyDescent="0.4">
      <c r="A49" s="39" t="s">
        <v>570</v>
      </c>
      <c r="B49" s="37"/>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101</v>
      </c>
      <c r="Q49" s="13"/>
      <c r="R49" s="13"/>
      <c r="S49" s="13"/>
    </row>
    <row r="50" spans="1:19" s="47" customFormat="1" x14ac:dyDescent="0.4">
      <c r="A50" s="39" t="s">
        <v>568</v>
      </c>
      <c r="B50" s="37" t="s">
        <v>1420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616</v>
      </c>
      <c r="Q50" s="13"/>
      <c r="R50" s="13"/>
      <c r="S50" s="13"/>
    </row>
    <row r="51" spans="1:19" s="47" customFormat="1" ht="28.5" x14ac:dyDescent="0.4">
      <c r="A51" s="39" t="s">
        <v>571</v>
      </c>
      <c r="B51" s="37" t="s">
        <v>1421</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617</v>
      </c>
      <c r="Q51" s="13"/>
      <c r="R51" s="13"/>
      <c r="S51" s="13"/>
    </row>
    <row r="52" spans="1:19" s="47" customFormat="1" ht="28.5" x14ac:dyDescent="0.4">
      <c r="A52" s="39" t="s">
        <v>572</v>
      </c>
      <c r="B52" s="37" t="s">
        <v>1422</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618</v>
      </c>
      <c r="Q52" s="13"/>
      <c r="R52" s="13"/>
      <c r="S52" s="13"/>
    </row>
    <row r="53" spans="1:19" s="47" customFormat="1" x14ac:dyDescent="0.4">
      <c r="A53" s="39" t="s">
        <v>835</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c r="Q53" s="13"/>
      <c r="R53" s="13"/>
      <c r="S53" s="13"/>
    </row>
    <row r="54" spans="1:19" s="47" customFormat="1" x14ac:dyDescent="0.4">
      <c r="A54" s="39" t="s">
        <v>573</v>
      </c>
      <c r="B54" s="37"/>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103</v>
      </c>
      <c r="Q54" s="13"/>
      <c r="R54" s="13"/>
      <c r="S54" s="13"/>
    </row>
    <row r="55" spans="1:19" s="47" customFormat="1" x14ac:dyDescent="0.4">
      <c r="A55" s="39" t="s">
        <v>574</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619</v>
      </c>
      <c r="Q55" s="13"/>
      <c r="R55" s="13"/>
      <c r="S55" s="13"/>
    </row>
    <row r="56" spans="1:19" s="47" customFormat="1" x14ac:dyDescent="0.4">
      <c r="A56" s="39" t="s">
        <v>575</v>
      </c>
      <c r="B56" s="37" t="s">
        <v>1423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620</v>
      </c>
      <c r="Q56" s="13"/>
      <c r="R56" s="13"/>
      <c r="S56" s="13"/>
    </row>
    <row r="57" spans="1:19" s="47" customFormat="1" x14ac:dyDescent="0.4">
      <c r="A57" s="39" t="s">
        <v>576</v>
      </c>
      <c r="B57" s="37" t="s">
        <v>1424</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621</v>
      </c>
      <c r="Q57" s="13"/>
      <c r="R57" s="13"/>
      <c r="S57" s="13"/>
    </row>
    <row r="58" spans="1:19" s="47" customFormat="1" x14ac:dyDescent="0.4">
      <c r="A58" s="39" t="s">
        <v>577</v>
      </c>
      <c r="B58" s="37"/>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622</v>
      </c>
      <c r="Q58" s="13"/>
      <c r="R58" s="13"/>
      <c r="S58" s="13"/>
    </row>
    <row r="59" spans="1:19" s="47" customFormat="1" x14ac:dyDescent="0.4">
      <c r="A59" s="39" t="s">
        <v>575</v>
      </c>
      <c r="B59" s="37" t="s">
        <v>1425</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623</v>
      </c>
      <c r="Q59" s="13"/>
      <c r="R59" s="13"/>
      <c r="S59" s="13"/>
    </row>
    <row r="60" spans="1:19" s="47" customFormat="1" x14ac:dyDescent="0.4">
      <c r="A60" s="39" t="s">
        <v>576</v>
      </c>
      <c r="B60" s="37" t="s">
        <v>1426</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624</v>
      </c>
      <c r="Q60" s="13"/>
      <c r="R60" s="13"/>
      <c r="S60" s="13"/>
    </row>
    <row r="61" spans="1:19" s="47" customFormat="1" x14ac:dyDescent="0.4">
      <c r="A61" s="39" t="s">
        <v>836</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c r="Q61" s="13"/>
      <c r="R61" s="13"/>
      <c r="S61" s="13"/>
    </row>
    <row r="62" spans="1:19" s="47" customFormat="1" x14ac:dyDescent="0.4">
      <c r="A62" s="39" t="s">
        <v>573</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103</v>
      </c>
      <c r="Q62" s="13"/>
      <c r="R62" s="13"/>
      <c r="S62" s="13"/>
    </row>
    <row r="63" spans="1:19" s="47" customFormat="1" x14ac:dyDescent="0.4">
      <c r="A63" s="39" t="s">
        <v>574</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619</v>
      </c>
      <c r="Q63" s="13"/>
      <c r="R63" s="13"/>
      <c r="S63" s="13"/>
    </row>
    <row r="64" spans="1:19" s="47" customFormat="1" x14ac:dyDescent="0.4">
      <c r="A64" s="39" t="s">
        <v>575</v>
      </c>
      <c r="B64" s="37" t="s">
        <v>1427</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620</v>
      </c>
      <c r="Q64" s="13"/>
      <c r="R64" s="13"/>
      <c r="S64" s="13"/>
    </row>
    <row r="65" spans="1:19" s="47" customFormat="1" x14ac:dyDescent="0.4">
      <c r="A65" s="39" t="s">
        <v>576</v>
      </c>
      <c r="B65" s="37" t="s">
        <v>1428</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621</v>
      </c>
      <c r="Q65" s="13"/>
      <c r="R65" s="13"/>
      <c r="S65" s="13"/>
    </row>
    <row r="66" spans="1:19" s="47" customFormat="1" x14ac:dyDescent="0.4">
      <c r="A66" s="39" t="s">
        <v>577</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622</v>
      </c>
      <c r="Q66" s="13"/>
      <c r="R66" s="13"/>
      <c r="S66" s="13"/>
    </row>
    <row r="67" spans="1:19" s="47" customFormat="1" x14ac:dyDescent="0.4">
      <c r="A67" s="39" t="s">
        <v>575</v>
      </c>
      <c r="B67" s="37" t="s">
        <v>1429</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623</v>
      </c>
      <c r="Q67" s="13"/>
      <c r="R67" s="13"/>
      <c r="S67" s="13"/>
    </row>
    <row r="68" spans="1:19" s="47" customFormat="1" x14ac:dyDescent="0.4">
      <c r="A68" s="39" t="s">
        <v>578</v>
      </c>
      <c r="B68" s="37" t="s">
        <v>1430</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624</v>
      </c>
      <c r="Q68" s="13"/>
      <c r="R68" s="13"/>
      <c r="S68" s="13"/>
    </row>
    <row r="69" spans="1:19" s="47" customFormat="1" x14ac:dyDescent="0.4">
      <c r="A69" s="39" t="s">
        <v>837</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c r="Q69" s="13"/>
      <c r="R69" s="13"/>
      <c r="S69" s="13"/>
    </row>
    <row r="70" spans="1:19" s="47" customFormat="1" x14ac:dyDescent="0.4">
      <c r="A70" s="39" t="s">
        <v>573</v>
      </c>
      <c r="B70" s="37"/>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103</v>
      </c>
      <c r="Q70" s="13"/>
      <c r="R70" s="13"/>
      <c r="S70" s="13"/>
    </row>
    <row r="71" spans="1:19" s="47" customFormat="1" x14ac:dyDescent="0.4">
      <c r="A71" s="39" t="s">
        <v>574</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619</v>
      </c>
      <c r="Q71" s="13"/>
      <c r="R71" s="13"/>
      <c r="S71" s="13"/>
    </row>
    <row r="72" spans="1:19" s="47" customFormat="1" x14ac:dyDescent="0.4">
      <c r="A72" s="39" t="s">
        <v>575</v>
      </c>
      <c r="B72" s="37" t="s">
        <v>1431</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620</v>
      </c>
      <c r="Q72" s="13"/>
      <c r="R72" s="13"/>
      <c r="S72" s="13"/>
    </row>
    <row r="73" spans="1:19" s="47" customFormat="1" x14ac:dyDescent="0.4">
      <c r="A73" s="39" t="s">
        <v>576</v>
      </c>
      <c r="B73" s="37" t="s">
        <v>1432</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621</v>
      </c>
      <c r="Q73" s="13"/>
      <c r="R73" s="13"/>
      <c r="S73" s="13"/>
    </row>
    <row r="74" spans="1:19" s="47" customFormat="1" x14ac:dyDescent="0.4">
      <c r="A74" s="39" t="s">
        <v>577</v>
      </c>
      <c r="B74" s="37"/>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622</v>
      </c>
      <c r="Q74" s="13"/>
      <c r="R74" s="13"/>
      <c r="S74" s="13"/>
    </row>
    <row r="75" spans="1:19" s="47" customFormat="1" x14ac:dyDescent="0.4">
      <c r="A75" s="39" t="s">
        <v>575</v>
      </c>
      <c r="B75" s="37" t="s">
        <v>1433</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623</v>
      </c>
      <c r="Q75" s="13"/>
      <c r="R75" s="13"/>
      <c r="S75" s="13"/>
    </row>
    <row r="76" spans="1:19" s="47" customFormat="1" x14ac:dyDescent="0.4">
      <c r="A76" s="39" t="s">
        <v>576</v>
      </c>
      <c r="B76" s="37" t="s">
        <v>1434</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624</v>
      </c>
      <c r="Q76" s="13"/>
      <c r="R76" s="13"/>
      <c r="S76" s="13"/>
    </row>
    <row r="77" spans="1:19" s="47" customFormat="1" x14ac:dyDescent="0.4">
      <c r="A77" s="39" t="s">
        <v>579</v>
      </c>
      <c r="B77" s="37" t="s">
        <v>1435</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v>8</v>
      </c>
      <c r="Q77" s="13"/>
      <c r="R77" s="13"/>
      <c r="S77" s="13"/>
    </row>
    <row r="78" spans="1:19" s="47" customFormat="1" ht="42.75" x14ac:dyDescent="0.4">
      <c r="A78" s="39" t="s">
        <v>1900</v>
      </c>
      <c r="B78" s="37" t="s">
        <v>1436</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v>9</v>
      </c>
      <c r="Q78" s="13"/>
      <c r="R78" s="13"/>
      <c r="S78" s="13"/>
    </row>
    <row r="79" spans="1:19" s="47" customFormat="1" x14ac:dyDescent="0.4">
      <c r="A79" s="39" t="s">
        <v>580</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504</v>
      </c>
      <c r="Q79" s="13"/>
      <c r="R79" s="13"/>
      <c r="S79" s="13"/>
    </row>
    <row r="80" spans="1:19" s="47" customFormat="1" x14ac:dyDescent="0.4">
      <c r="A80" s="39" t="s">
        <v>581</v>
      </c>
      <c r="B80" s="37" t="s">
        <v>1437</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505</v>
      </c>
      <c r="Q80" s="13"/>
      <c r="R80" s="13"/>
      <c r="S80" s="13"/>
    </row>
    <row r="81" spans="1:19" s="47" customFormat="1" ht="28.5" x14ac:dyDescent="0.4">
      <c r="A81" s="39" t="s">
        <v>582</v>
      </c>
      <c r="B81" s="37" t="s">
        <v>1438</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625</v>
      </c>
      <c r="Q81" s="13"/>
      <c r="R81" s="13"/>
      <c r="S81" s="13"/>
    </row>
    <row r="82" spans="1:19" x14ac:dyDescent="0.4">
      <c r="A82" s="39" t="s">
        <v>583</v>
      </c>
      <c r="B82" s="37" t="s">
        <v>1439</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326</v>
      </c>
    </row>
    <row r="83" spans="1:19" x14ac:dyDescent="0.4">
      <c r="A83" s="39"/>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row>
    <row r="84" spans="1:19" x14ac:dyDescent="0.4">
      <c r="A84" s="39" t="s">
        <v>584</v>
      </c>
      <c r="B84" s="37"/>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row>
    <row r="85" spans="1:19" x14ac:dyDescent="0.4">
      <c r="A85" s="39" t="s">
        <v>585</v>
      </c>
      <c r="B85" s="37"/>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v>12</v>
      </c>
    </row>
    <row r="86" spans="1:19" x14ac:dyDescent="0.4">
      <c r="A86" s="39" t="s">
        <v>586</v>
      </c>
      <c r="B86" s="37" t="s">
        <v>1440</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629</v>
      </c>
    </row>
    <row r="87" spans="1:19" x14ac:dyDescent="0.4">
      <c r="A87" s="39" t="s">
        <v>587</v>
      </c>
      <c r="B87" s="37" t="s">
        <v>1441</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630</v>
      </c>
    </row>
    <row r="88" spans="1:19" x14ac:dyDescent="0.4">
      <c r="A88" s="39" t="s">
        <v>588</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631</v>
      </c>
    </row>
    <row r="89" spans="1:19" x14ac:dyDescent="0.4">
      <c r="A89" s="39" t="s">
        <v>589</v>
      </c>
      <c r="B89" s="37" t="s">
        <v>1442</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632</v>
      </c>
    </row>
    <row r="90" spans="1:19" x14ac:dyDescent="0.4">
      <c r="A90" s="39" t="s">
        <v>590</v>
      </c>
      <c r="B90" s="37" t="s">
        <v>1443</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633</v>
      </c>
    </row>
    <row r="91" spans="1:19" x14ac:dyDescent="0.4">
      <c r="A91" s="39" t="s">
        <v>591</v>
      </c>
      <c r="B91" s="37"/>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634</v>
      </c>
    </row>
    <row r="92" spans="1:19" x14ac:dyDescent="0.4">
      <c r="A92" s="39" t="s">
        <v>589</v>
      </c>
      <c r="B92" s="37" t="s">
        <v>1444</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635</v>
      </c>
    </row>
    <row r="93" spans="1:19" x14ac:dyDescent="0.4">
      <c r="A93" s="39" t="s">
        <v>590</v>
      </c>
      <c r="B93" s="37" t="s">
        <v>1445</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636</v>
      </c>
    </row>
    <row r="94" spans="1:19" x14ac:dyDescent="0.4">
      <c r="A94" s="39" t="s">
        <v>592</v>
      </c>
      <c r="B94" s="37" t="s">
        <v>1446</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637</v>
      </c>
    </row>
    <row r="95" spans="1:19" x14ac:dyDescent="0.4">
      <c r="A95" s="39" t="s">
        <v>593</v>
      </c>
      <c r="B95" s="37" t="s">
        <v>1447</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v>13</v>
      </c>
    </row>
    <row r="96" spans="1:19" ht="28.5" x14ac:dyDescent="0.4">
      <c r="A96" s="39" t="s">
        <v>594</v>
      </c>
      <c r="B96" s="37" t="s">
        <v>1448</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v>14</v>
      </c>
    </row>
    <row r="97" spans="1:16" x14ac:dyDescent="0.4">
      <c r="A97" s="39" t="s">
        <v>595</v>
      </c>
      <c r="B97" s="37" t="s">
        <v>1449</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332</v>
      </c>
    </row>
    <row r="98" spans="1:16" x14ac:dyDescent="0.4">
      <c r="A98" s="39" t="s">
        <v>596</v>
      </c>
      <c r="B98" s="37"/>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v>15</v>
      </c>
    </row>
    <row r="99" spans="1:16" x14ac:dyDescent="0.4">
      <c r="A99" s="39" t="s">
        <v>597</v>
      </c>
      <c r="B99" s="37"/>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638</v>
      </c>
    </row>
    <row r="100" spans="1:16" x14ac:dyDescent="0.4">
      <c r="A100" s="39" t="s">
        <v>565</v>
      </c>
      <c r="B100" s="37" t="s">
        <v>1450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639</v>
      </c>
    </row>
    <row r="101" spans="1:16" x14ac:dyDescent="0.4">
      <c r="A101" s="39" t="s">
        <v>566</v>
      </c>
      <c r="B101" s="37" t="s">
        <v>1451</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640</v>
      </c>
    </row>
    <row r="102" spans="1:16" x14ac:dyDescent="0.4">
      <c r="A102" s="39" t="s">
        <v>598</v>
      </c>
      <c r="B102" s="37"/>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641</v>
      </c>
    </row>
    <row r="103" spans="1:16" x14ac:dyDescent="0.4">
      <c r="A103" s="39" t="s">
        <v>565</v>
      </c>
      <c r="B103" s="37" t="s">
        <v>1452</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642</v>
      </c>
    </row>
    <row r="104" spans="1:16" x14ac:dyDescent="0.4">
      <c r="A104" s="39" t="s">
        <v>602</v>
      </c>
      <c r="B104" s="37" t="s">
        <v>1453</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643</v>
      </c>
    </row>
    <row r="105" spans="1:16" x14ac:dyDescent="0.4">
      <c r="A105" s="39"/>
      <c r="B105" s="37"/>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row>
    <row r="106" spans="1:16" x14ac:dyDescent="0.4">
      <c r="A106" s="39" t="s">
        <v>599</v>
      </c>
      <c r="B106" s="37"/>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row>
    <row r="107" spans="1:16" x14ac:dyDescent="0.4">
      <c r="A107" s="39" t="s">
        <v>585</v>
      </c>
      <c r="B107" s="37"/>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v>12</v>
      </c>
    </row>
    <row r="108" spans="1:16" x14ac:dyDescent="0.4">
      <c r="A108" s="39" t="s">
        <v>586</v>
      </c>
      <c r="B108" s="37" t="s">
        <v>1454</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629</v>
      </c>
    </row>
    <row r="109" spans="1:16" x14ac:dyDescent="0.4">
      <c r="A109" s="39" t="s">
        <v>587</v>
      </c>
      <c r="B109" s="37" t="s">
        <v>1455</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630</v>
      </c>
    </row>
    <row r="110" spans="1:16" x14ac:dyDescent="0.4">
      <c r="A110" s="39" t="s">
        <v>588</v>
      </c>
      <c r="B110" s="37"/>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631</v>
      </c>
    </row>
    <row r="111" spans="1:16" x14ac:dyDescent="0.4">
      <c r="A111" s="39" t="s">
        <v>589</v>
      </c>
      <c r="B111" s="37" t="s">
        <v>1456</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632</v>
      </c>
    </row>
    <row r="112" spans="1:16" x14ac:dyDescent="0.4">
      <c r="A112" s="39" t="s">
        <v>590</v>
      </c>
      <c r="B112" s="37" t="s">
        <v>1457</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633</v>
      </c>
    </row>
    <row r="113" spans="1:16" x14ac:dyDescent="0.4">
      <c r="A113" s="39" t="s">
        <v>591</v>
      </c>
      <c r="B113" s="37"/>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634</v>
      </c>
    </row>
    <row r="114" spans="1:16" x14ac:dyDescent="0.4">
      <c r="A114" s="39" t="s">
        <v>589</v>
      </c>
      <c r="B114" s="37" t="s">
        <v>1458</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635</v>
      </c>
    </row>
    <row r="115" spans="1:16" x14ac:dyDescent="0.4">
      <c r="A115" s="39" t="s">
        <v>590</v>
      </c>
      <c r="B115" s="37" t="s">
        <v>1459</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636</v>
      </c>
    </row>
    <row r="116" spans="1:16" x14ac:dyDescent="0.4">
      <c r="A116" s="39" t="s">
        <v>592</v>
      </c>
      <c r="B116" s="37" t="s">
        <v>1460</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637</v>
      </c>
    </row>
    <row r="117" spans="1:16" x14ac:dyDescent="0.4">
      <c r="A117" s="39" t="s">
        <v>593</v>
      </c>
      <c r="B117" s="37" t="s">
        <v>1461</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v>13</v>
      </c>
    </row>
    <row r="118" spans="1:16" ht="28.5" x14ac:dyDescent="0.4">
      <c r="A118" s="39" t="s">
        <v>594</v>
      </c>
      <c r="B118" s="37" t="s">
        <v>1462</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v>14</v>
      </c>
    </row>
    <row r="119" spans="1:16" x14ac:dyDescent="0.4">
      <c r="A119" s="39" t="s">
        <v>595</v>
      </c>
      <c r="B119" s="37"/>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332</v>
      </c>
    </row>
    <row r="120" spans="1:16" x14ac:dyDescent="0.4">
      <c r="A120" s="39" t="s">
        <v>596</v>
      </c>
      <c r="B120" s="37"/>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v>15</v>
      </c>
    </row>
    <row r="121" spans="1:16" x14ac:dyDescent="0.4">
      <c r="A121" s="39" t="s">
        <v>597</v>
      </c>
      <c r="B121" s="37"/>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638</v>
      </c>
    </row>
    <row r="122" spans="1:16" x14ac:dyDescent="0.4">
      <c r="A122" s="39" t="s">
        <v>565</v>
      </c>
      <c r="B122" s="37" t="s">
        <v>1463</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639</v>
      </c>
    </row>
    <row r="123" spans="1:16" x14ac:dyDescent="0.4">
      <c r="A123" s="39" t="s">
        <v>566</v>
      </c>
      <c r="B123" s="37" t="s">
        <v>1464</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640</v>
      </c>
    </row>
    <row r="124" spans="1:16" x14ac:dyDescent="0.4">
      <c r="A124" s="39" t="s">
        <v>598</v>
      </c>
      <c r="B124" s="37"/>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641</v>
      </c>
    </row>
    <row r="125" spans="1:16" x14ac:dyDescent="0.4">
      <c r="A125" s="39" t="s">
        <v>565</v>
      </c>
      <c r="B125" s="37" t="s">
        <v>1465</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642</v>
      </c>
    </row>
    <row r="126" spans="1:16" x14ac:dyDescent="0.4">
      <c r="A126" s="39" t="s">
        <v>602</v>
      </c>
      <c r="B126" s="37" t="s">
        <v>1466</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643</v>
      </c>
    </row>
    <row r="127" spans="1:16" x14ac:dyDescent="0.4">
      <c r="A127" s="39"/>
      <c r="B127" s="37"/>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row>
    <row r="128" spans="1:16" x14ac:dyDescent="0.4">
      <c r="A128" s="39" t="s">
        <v>600</v>
      </c>
      <c r="B128" s="37"/>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row>
    <row r="129" spans="1:16" x14ac:dyDescent="0.4">
      <c r="A129" s="39" t="s">
        <v>585</v>
      </c>
      <c r="B129" s="37"/>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v>12</v>
      </c>
    </row>
    <row r="130" spans="1:16" x14ac:dyDescent="0.4">
      <c r="A130" s="39" t="s">
        <v>586</v>
      </c>
      <c r="B130" s="37" t="s">
        <v>1467</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629</v>
      </c>
    </row>
    <row r="131" spans="1:16" x14ac:dyDescent="0.4">
      <c r="A131" s="39" t="s">
        <v>587</v>
      </c>
      <c r="B131" s="37" t="s">
        <v>1468</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630</v>
      </c>
    </row>
    <row r="132" spans="1:16" x14ac:dyDescent="0.4">
      <c r="A132" s="39" t="s">
        <v>588</v>
      </c>
      <c r="B132" s="37"/>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631</v>
      </c>
    </row>
    <row r="133" spans="1:16" x14ac:dyDescent="0.4">
      <c r="A133" s="39" t="s">
        <v>589</v>
      </c>
      <c r="B133" s="37" t="s">
        <v>1469</v>
      </c>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632</v>
      </c>
    </row>
    <row r="134" spans="1:16" x14ac:dyDescent="0.4">
      <c r="A134" s="39" t="s">
        <v>590</v>
      </c>
      <c r="B134" s="37" t="s">
        <v>1470</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633</v>
      </c>
    </row>
    <row r="135" spans="1:16" x14ac:dyDescent="0.4">
      <c r="A135" s="39" t="s">
        <v>591</v>
      </c>
      <c r="B135" s="37"/>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634</v>
      </c>
    </row>
    <row r="136" spans="1:16" x14ac:dyDescent="0.4">
      <c r="A136" s="39" t="s">
        <v>589</v>
      </c>
      <c r="B136" s="37" t="s">
        <v>1471</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635</v>
      </c>
    </row>
    <row r="137" spans="1:16" x14ac:dyDescent="0.4">
      <c r="A137" s="39" t="s">
        <v>590</v>
      </c>
      <c r="B137" s="37" t="s">
        <v>1472</v>
      </c>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636</v>
      </c>
    </row>
    <row r="138" spans="1:16" x14ac:dyDescent="0.4">
      <c r="A138" s="39" t="s">
        <v>592</v>
      </c>
      <c r="B138" s="37" t="s">
        <v>1473</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637</v>
      </c>
    </row>
    <row r="139" spans="1:16" x14ac:dyDescent="0.4">
      <c r="A139" s="39" t="s">
        <v>593</v>
      </c>
      <c r="B139" s="37" t="s">
        <v>1474</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v>13</v>
      </c>
    </row>
    <row r="140" spans="1:16" ht="28.5" x14ac:dyDescent="0.4">
      <c r="A140" s="39" t="s">
        <v>594</v>
      </c>
      <c r="B140" s="37" t="s">
        <v>1475</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v>14</v>
      </c>
    </row>
    <row r="141" spans="1:16" x14ac:dyDescent="0.4">
      <c r="A141" s="39" t="s">
        <v>595</v>
      </c>
      <c r="B141" s="37"/>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332</v>
      </c>
    </row>
    <row r="142" spans="1:16" x14ac:dyDescent="0.4">
      <c r="A142" s="39" t="s">
        <v>596</v>
      </c>
      <c r="B142" s="37"/>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v>15</v>
      </c>
    </row>
    <row r="143" spans="1:16" x14ac:dyDescent="0.4">
      <c r="A143" s="39" t="s">
        <v>597</v>
      </c>
      <c r="B143" s="37"/>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638</v>
      </c>
    </row>
    <row r="144" spans="1:16" x14ac:dyDescent="0.4">
      <c r="A144" s="39" t="s">
        <v>565</v>
      </c>
      <c r="B144" s="37" t="s">
        <v>1476</v>
      </c>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639</v>
      </c>
    </row>
    <row r="145" spans="1:16" x14ac:dyDescent="0.4">
      <c r="A145" s="39" t="s">
        <v>566</v>
      </c>
      <c r="B145" s="37" t="s">
        <v>1477</v>
      </c>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640</v>
      </c>
    </row>
    <row r="146" spans="1:16" x14ac:dyDescent="0.4">
      <c r="A146" s="39" t="s">
        <v>598</v>
      </c>
      <c r="B146" s="37"/>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641</v>
      </c>
    </row>
    <row r="147" spans="1:16" x14ac:dyDescent="0.4">
      <c r="A147" s="39" t="s">
        <v>565</v>
      </c>
      <c r="B147" s="37" t="s">
        <v>1478</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642</v>
      </c>
    </row>
    <row r="148" spans="1:16" x14ac:dyDescent="0.4">
      <c r="A148" s="39" t="s">
        <v>602</v>
      </c>
      <c r="B148" s="37" t="s">
        <v>1479</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t="s">
        <v>643</v>
      </c>
    </row>
    <row r="149" spans="1:16" x14ac:dyDescent="0.4">
      <c r="A149" s="39"/>
      <c r="B149" s="37"/>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row>
    <row r="150" spans="1:16" x14ac:dyDescent="0.4">
      <c r="A150" s="39" t="s">
        <v>601</v>
      </c>
      <c r="B150" s="37"/>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row>
    <row r="151" spans="1:16" x14ac:dyDescent="0.4">
      <c r="A151" s="39" t="s">
        <v>585</v>
      </c>
      <c r="B151" s="37"/>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v>12</v>
      </c>
    </row>
    <row r="152" spans="1:16" x14ac:dyDescent="0.4">
      <c r="A152" s="39" t="s">
        <v>586</v>
      </c>
      <c r="B152" s="37" t="s">
        <v>1480</v>
      </c>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629</v>
      </c>
    </row>
    <row r="153" spans="1:16" x14ac:dyDescent="0.4">
      <c r="A153" s="39" t="s">
        <v>587</v>
      </c>
      <c r="B153" s="37" t="s">
        <v>1481</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t="s">
        <v>630</v>
      </c>
    </row>
    <row r="154" spans="1:16" x14ac:dyDescent="0.4">
      <c r="A154" s="39" t="s">
        <v>588</v>
      </c>
      <c r="B154" s="37"/>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631</v>
      </c>
    </row>
    <row r="155" spans="1:16" x14ac:dyDescent="0.4">
      <c r="A155" s="39" t="s">
        <v>589</v>
      </c>
      <c r="B155" s="37" t="s">
        <v>1482</v>
      </c>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632</v>
      </c>
    </row>
    <row r="156" spans="1:16" x14ac:dyDescent="0.4">
      <c r="A156" s="39" t="s">
        <v>590</v>
      </c>
      <c r="B156" s="37" t="s">
        <v>1483</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633</v>
      </c>
    </row>
    <row r="157" spans="1:16" x14ac:dyDescent="0.4">
      <c r="A157" s="39" t="s">
        <v>591</v>
      </c>
      <c r="B157" s="37"/>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634</v>
      </c>
    </row>
    <row r="158" spans="1:16" x14ac:dyDescent="0.4">
      <c r="A158" s="39" t="s">
        <v>589</v>
      </c>
      <c r="B158" s="37" t="s">
        <v>1484</v>
      </c>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635</v>
      </c>
    </row>
    <row r="159" spans="1:16" x14ac:dyDescent="0.4">
      <c r="A159" s="39" t="s">
        <v>590</v>
      </c>
      <c r="B159" s="37" t="s">
        <v>1485</v>
      </c>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t="s">
        <v>636</v>
      </c>
    </row>
    <row r="160" spans="1:16" x14ac:dyDescent="0.4">
      <c r="A160" s="39" t="s">
        <v>592</v>
      </c>
      <c r="B160" s="37" t="s">
        <v>1486</v>
      </c>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637</v>
      </c>
    </row>
    <row r="161" spans="1:16" x14ac:dyDescent="0.4">
      <c r="A161" s="39" t="s">
        <v>593</v>
      </c>
      <c r="B161" s="37" t="s">
        <v>1487</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v>13</v>
      </c>
    </row>
    <row r="162" spans="1:16" ht="28.5" x14ac:dyDescent="0.4">
      <c r="A162" s="39" t="s">
        <v>594</v>
      </c>
      <c r="B162" s="37" t="s">
        <v>1488</v>
      </c>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v>14</v>
      </c>
    </row>
    <row r="163" spans="1:16" x14ac:dyDescent="0.4">
      <c r="A163" s="39" t="s">
        <v>595</v>
      </c>
      <c r="B163" s="37"/>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t="s">
        <v>332</v>
      </c>
    </row>
    <row r="164" spans="1:16" x14ac:dyDescent="0.4">
      <c r="A164" s="39" t="s">
        <v>596</v>
      </c>
      <c r="B164" s="37"/>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v>15</v>
      </c>
    </row>
    <row r="165" spans="1:16" x14ac:dyDescent="0.4">
      <c r="A165" s="39" t="s">
        <v>597</v>
      </c>
      <c r="B165" s="37"/>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638</v>
      </c>
    </row>
    <row r="166" spans="1:16" x14ac:dyDescent="0.4">
      <c r="A166" s="39" t="s">
        <v>565</v>
      </c>
      <c r="B166" s="37" t="s">
        <v>1489</v>
      </c>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639</v>
      </c>
    </row>
    <row r="167" spans="1:16" x14ac:dyDescent="0.4">
      <c r="A167" s="39" t="s">
        <v>566</v>
      </c>
      <c r="B167" s="37" t="s">
        <v>1490</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640</v>
      </c>
    </row>
    <row r="168" spans="1:16" x14ac:dyDescent="0.4">
      <c r="A168" s="39" t="s">
        <v>598</v>
      </c>
      <c r="B168" s="37"/>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641</v>
      </c>
    </row>
    <row r="169" spans="1:16" x14ac:dyDescent="0.4">
      <c r="A169" s="39" t="s">
        <v>565</v>
      </c>
      <c r="B169" s="37" t="s">
        <v>1491</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642</v>
      </c>
    </row>
    <row r="170" spans="1:16" x14ac:dyDescent="0.4">
      <c r="A170" s="39" t="s">
        <v>602</v>
      </c>
      <c r="B170" s="37" t="s">
        <v>1492</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t="s">
        <v>643</v>
      </c>
    </row>
  </sheetData>
  <pageMargins left="0.7" right="0.7" top="0.75" bottom="0.75" header="0.3" footer="0.3"/>
  <pageSetup scale="84" fitToHeight="0" orientation="landscape" r:id="rId1"/>
  <headerFooter>
    <oddFooter>&amp;L&amp;G&amp;R&amp;P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79998168889431442"/>
    <pageSetUpPr fitToPage="1"/>
  </sheetPr>
  <dimension ref="A1:Q111"/>
  <sheetViews>
    <sheetView view="pageBreakPreview" zoomScaleNormal="100" zoomScaleSheetLayoutView="100" workbookViewId="0">
      <pane xSplit="1" ySplit="8" topLeftCell="H9" activePane="bottomRight" state="frozen"/>
      <selection pane="topRight"/>
      <selection pane="bottomLeft"/>
      <selection pane="bottomRight"/>
    </sheetView>
  </sheetViews>
  <sheetFormatPr defaultColWidth="9.140625" defaultRowHeight="18" outlineLevelCol="1" x14ac:dyDescent="0.4"/>
  <cols>
    <col min="1" max="1" width="70.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11.140625" style="5" bestFit="1" customWidth="1"/>
    <col min="15" max="15" width="9.140625" style="13"/>
    <col min="16" max="16" width="18.5" style="13" bestFit="1" customWidth="1"/>
    <col min="17" max="16384" width="9.140625" style="13"/>
  </cols>
  <sheetData>
    <row r="1" spans="1:17" x14ac:dyDescent="0.4">
      <c r="A1" s="11" t="str">
        <f>name</f>
        <v/>
      </c>
    </row>
    <row r="2" spans="1:17" x14ac:dyDescent="0.4">
      <c r="A2" s="1" t="s">
        <v>1846</v>
      </c>
      <c r="B2" s="28"/>
      <c r="C2" s="29"/>
      <c r="D2" s="29"/>
      <c r="E2" s="29"/>
      <c r="F2" s="29"/>
      <c r="G2" s="29"/>
      <c r="H2" s="28"/>
      <c r="I2" s="29"/>
      <c r="J2" s="29"/>
      <c r="K2" s="29"/>
      <c r="L2" s="29"/>
      <c r="M2" s="29"/>
      <c r="N2" s="29"/>
      <c r="P2" s="6" t="s">
        <v>234</v>
      </c>
      <c r="Q2" s="6" t="s">
        <v>881</v>
      </c>
    </row>
    <row r="3" spans="1:17" x14ac:dyDescent="0.4">
      <c r="A3" s="19" t="s">
        <v>1</v>
      </c>
      <c r="B3" s="28"/>
      <c r="C3" s="29"/>
      <c r="D3" s="29"/>
      <c r="E3" s="29"/>
      <c r="F3" s="29"/>
      <c r="G3" s="29"/>
      <c r="H3" s="28"/>
      <c r="I3" s="29"/>
      <c r="J3" s="29"/>
      <c r="K3" s="29"/>
      <c r="L3" s="29"/>
      <c r="M3" s="29"/>
      <c r="N3" s="29"/>
      <c r="P3" s="6"/>
      <c r="Q3" s="6"/>
    </row>
    <row r="4" spans="1:17" x14ac:dyDescent="0.4">
      <c r="A4" s="19"/>
      <c r="B4" s="123" t="str">
        <f>[1]!IntrinioBankFundamentals(rssd_id,Q2,fiscal_period_type,1,"fiscal_period")</f>
        <v/>
      </c>
      <c r="C4" s="123"/>
      <c r="D4" s="123"/>
      <c r="E4" s="123"/>
      <c r="F4" s="123"/>
      <c r="G4" s="123"/>
      <c r="H4" s="116" t="str">
        <f>[1]!IntrinioBankFundamentals(rssd_id,Q2,fiscal_period_type,0,"fiscal_period")</f>
        <v/>
      </c>
      <c r="I4" s="117"/>
      <c r="J4" s="117"/>
      <c r="K4" s="117"/>
      <c r="L4" s="117"/>
      <c r="M4" s="117"/>
      <c r="N4" s="29"/>
      <c r="P4" s="6"/>
      <c r="Q4" s="6"/>
    </row>
    <row r="5" spans="1:17" x14ac:dyDescent="0.4">
      <c r="A5" s="1"/>
      <c r="B5" s="119" t="str">
        <f>[1]!IntrinioBankFundamentals(rssd_id,Q2,fiscal_period_type,1,"fiscal_year")</f>
        <v/>
      </c>
      <c r="C5" s="119"/>
      <c r="D5" s="119"/>
      <c r="E5" s="119"/>
      <c r="F5" s="119"/>
      <c r="G5" s="119"/>
      <c r="H5" s="118" t="str">
        <f>[1]!IntrinioBankFundamentals(rssd_id,Q2,fiscal_period_type,0,"fiscal_year")</f>
        <v/>
      </c>
      <c r="I5" s="119"/>
      <c r="J5" s="119"/>
      <c r="K5" s="119"/>
      <c r="L5" s="119"/>
      <c r="M5" s="119"/>
      <c r="N5" s="29"/>
      <c r="P5" s="6"/>
      <c r="Q5" s="6"/>
    </row>
    <row r="6" spans="1:17" x14ac:dyDescent="0.4">
      <c r="B6" s="122" t="s">
        <v>645</v>
      </c>
      <c r="C6" s="122"/>
      <c r="D6" s="122" t="s">
        <v>646</v>
      </c>
      <c r="E6" s="122"/>
      <c r="F6" s="122" t="s">
        <v>647</v>
      </c>
      <c r="G6" s="122"/>
      <c r="H6" s="120" t="s">
        <v>645</v>
      </c>
      <c r="I6" s="121"/>
      <c r="J6" s="121" t="s">
        <v>646</v>
      </c>
      <c r="K6" s="121"/>
      <c r="L6" s="121" t="s">
        <v>647</v>
      </c>
      <c r="M6" s="121"/>
      <c r="N6" s="52"/>
    </row>
    <row r="7" spans="1:17" x14ac:dyDescent="0.55000000000000004">
      <c r="A7" s="23"/>
      <c r="B7" s="122" t="s">
        <v>648</v>
      </c>
      <c r="C7" s="122"/>
      <c r="D7" s="122" t="s">
        <v>649</v>
      </c>
      <c r="E7" s="122"/>
      <c r="F7" s="122"/>
      <c r="G7" s="122"/>
      <c r="H7" s="120" t="s">
        <v>648</v>
      </c>
      <c r="I7" s="121"/>
      <c r="J7" s="121" t="s">
        <v>649</v>
      </c>
      <c r="K7" s="121"/>
      <c r="L7" s="121"/>
      <c r="M7" s="121"/>
      <c r="N7" s="86"/>
    </row>
    <row r="8" spans="1:17" x14ac:dyDescent="0.55000000000000004">
      <c r="A8" s="23"/>
      <c r="B8" s="122" t="s">
        <v>650</v>
      </c>
      <c r="C8" s="122"/>
      <c r="D8" s="122" t="s">
        <v>650</v>
      </c>
      <c r="E8" s="122"/>
      <c r="F8" s="122"/>
      <c r="G8" s="122"/>
      <c r="H8" s="124" t="s">
        <v>650</v>
      </c>
      <c r="I8" s="125"/>
      <c r="J8" s="125" t="s">
        <v>650</v>
      </c>
      <c r="K8" s="125"/>
      <c r="L8" s="125"/>
      <c r="M8" s="125"/>
      <c r="N8" s="31"/>
    </row>
    <row r="9" spans="1:17" s="40" customFormat="1" ht="14.25" x14ac:dyDescent="0.4">
      <c r="A9" s="39" t="s">
        <v>5</v>
      </c>
      <c r="B9" s="37"/>
      <c r="C9" s="38" t="str">
        <f>IFERROR([1]!IntrinioBankFinancials(rssd_id,$Q$2,$B$5,$B$4,B9,"K"),"")</f>
        <v/>
      </c>
      <c r="D9" s="37"/>
      <c r="E9" s="38" t="str">
        <f>IFERROR([1]!IntrinioBankFinancials(rssd_id,$Q$2,$B$5,$B$4,D9,"K"),"")</f>
        <v/>
      </c>
      <c r="F9" s="37"/>
      <c r="G9" s="38" t="str">
        <f>IFERROR([1]!IntrinioBankFinancials(rssd_id,$Q$2,$B$5,$B$4,F9,"K"),"")</f>
        <v/>
      </c>
      <c r="H9" s="37"/>
      <c r="I9" s="38" t="str">
        <f>IFERROR([1]!IntrinioBankFinancials(rssd_id,$Q$2,$H$5,$H$4,H9,"K"),"")</f>
        <v/>
      </c>
      <c r="J9" s="37"/>
      <c r="K9" s="38" t="str">
        <f>IFERROR([1]!IntrinioBankFinancials(rssd_id,$Q$2,$H$5,$H$4,J9,"K"),"")</f>
        <v/>
      </c>
      <c r="L9" s="37"/>
      <c r="M9" s="38" t="str">
        <f>IFERROR([1]!IntrinioBankFinancials(rssd_id,$Q$2,$H$5,$H$4,L9,"K"),"")</f>
        <v/>
      </c>
      <c r="N9" s="49">
        <v>1</v>
      </c>
    </row>
    <row r="10" spans="1:17" s="40" customFormat="1" ht="14.25" x14ac:dyDescent="0.4">
      <c r="A10" s="39" t="s">
        <v>820</v>
      </c>
      <c r="B10" s="37"/>
      <c r="C10" s="38" t="str">
        <f>IFERROR([1]!IntrinioBankFinancials(rssd_id,$Q$2,$B$5,$B$4,B10,"K"),"")</f>
        <v/>
      </c>
      <c r="D10" s="37"/>
      <c r="E10" s="38" t="str">
        <f>IFERROR([1]!IntrinioBankFinancials(rssd_id,$Q$2,$B$5,$B$4,D10,"K"),"")</f>
        <v/>
      </c>
      <c r="F10" s="37"/>
      <c r="G10" s="38" t="str">
        <f>IFERROR([1]!IntrinioBankFinancials(rssd_id,$Q$2,$B$5,$B$4,F10,"K"),"")</f>
        <v/>
      </c>
      <c r="H10" s="37"/>
      <c r="I10" s="38" t="str">
        <f>IFERROR([1]!IntrinioBankFinancials(rssd_id,$Q$2,$H$5,$H$4,H10,"K"),"")</f>
        <v/>
      </c>
      <c r="J10" s="37"/>
      <c r="K10" s="38" t="str">
        <f>IFERROR([1]!IntrinioBankFinancials(rssd_id,$Q$2,$H$5,$H$4,J10,"K"),"")</f>
        <v/>
      </c>
      <c r="L10" s="37"/>
      <c r="M10" s="38" t="str">
        <f>IFERROR([1]!IntrinioBankFinancials(rssd_id,$Q$2,$H$5,$H$4,L10,"K"),"")</f>
        <v/>
      </c>
      <c r="N10" s="49" t="s">
        <v>4</v>
      </c>
    </row>
    <row r="11" spans="1:17" s="40" customFormat="1" ht="14.25" x14ac:dyDescent="0.4">
      <c r="A11" s="39" t="s">
        <v>202</v>
      </c>
      <c r="B11" s="37" t="s">
        <v>1493</v>
      </c>
      <c r="C11" s="38" t="str">
        <f>IFERROR([1]!IntrinioBankFinancials(rssd_id,$Q$2,$B$5,$B$4,B11,"K"),"")</f>
        <v/>
      </c>
      <c r="D11" s="37" t="s">
        <v>1494</v>
      </c>
      <c r="E11" s="38" t="str">
        <f>IFERROR([1]!IntrinioBankFinancials(rssd_id,$Q$2,$B$5,$B$4,D11,"K"),"")</f>
        <v/>
      </c>
      <c r="F11" s="37" t="s">
        <v>1495</v>
      </c>
      <c r="G11" s="38" t="str">
        <f>IFERROR([1]!IntrinioBankFinancials(rssd_id,$Q$2,$B$5,$B$4,F11,"K"),"")</f>
        <v/>
      </c>
      <c r="H11" s="37" t="s">
        <v>1493</v>
      </c>
      <c r="I11" s="38" t="str">
        <f>IFERROR([1]!IntrinioBankFinancials(rssd_id,$Q$2,$H$5,$H$4,H11,"K"),"")</f>
        <v/>
      </c>
      <c r="J11" s="37" t="s">
        <v>1494</v>
      </c>
      <c r="K11" s="38" t="str">
        <f>IFERROR([1]!IntrinioBankFinancials(rssd_id,$Q$2,$H$5,$H$4,J11,"K"),"")</f>
        <v/>
      </c>
      <c r="L11" s="37" t="s">
        <v>1495</v>
      </c>
      <c r="M11" s="38" t="str">
        <f>IFERROR([1]!IntrinioBankFinancials(rssd_id,$Q$2,$H$5,$H$4,L11,"K"),"")</f>
        <v/>
      </c>
      <c r="N11" s="49" t="s">
        <v>6</v>
      </c>
    </row>
    <row r="12" spans="1:17" s="40" customFormat="1" ht="14.25" x14ac:dyDescent="0.4">
      <c r="A12" s="39" t="s">
        <v>203</v>
      </c>
      <c r="B12" s="37" t="s">
        <v>1496</v>
      </c>
      <c r="C12" s="38" t="str">
        <f>IFERROR([1]!IntrinioBankFinancials(rssd_id,$Q$2,$B$5,$B$4,B12,"K"),"")</f>
        <v/>
      </c>
      <c r="D12" s="37" t="s">
        <v>1497</v>
      </c>
      <c r="E12" s="38" t="str">
        <f>IFERROR([1]!IntrinioBankFinancials(rssd_id,$Q$2,$B$5,$B$4,D12,"K"),"")</f>
        <v/>
      </c>
      <c r="F12" s="37" t="s">
        <v>1498</v>
      </c>
      <c r="G12" s="38" t="str">
        <f>IFERROR([1]!IntrinioBankFinancials(rssd_id,$Q$2,$B$5,$B$4,F12,"K"),"")</f>
        <v/>
      </c>
      <c r="H12" s="37" t="s">
        <v>1496</v>
      </c>
      <c r="I12" s="38" t="str">
        <f>IFERROR([1]!IntrinioBankFinancials(rssd_id,$Q$2,$H$5,$H$4,H12,"K"),"")</f>
        <v/>
      </c>
      <c r="J12" s="37" t="s">
        <v>1497</v>
      </c>
      <c r="K12" s="38" t="str">
        <f>IFERROR([1]!IntrinioBankFinancials(rssd_id,$Q$2,$H$5,$H$4,J12,"K"),"")</f>
        <v/>
      </c>
      <c r="L12" s="37" t="s">
        <v>1498</v>
      </c>
      <c r="M12" s="38" t="str">
        <f>IFERROR([1]!IntrinioBankFinancials(rssd_id,$Q$2,$H$5,$H$4,L12,"K"),"")</f>
        <v/>
      </c>
      <c r="N12" s="49" t="s">
        <v>12</v>
      </c>
    </row>
    <row r="13" spans="1:17" s="40" customFormat="1" ht="14.25" x14ac:dyDescent="0.4">
      <c r="A13" s="39" t="s">
        <v>838</v>
      </c>
      <c r="B13" s="37" t="s">
        <v>1499</v>
      </c>
      <c r="C13" s="38" t="str">
        <f>IFERROR([1]!IntrinioBankFinancials(rssd_id,$Q$2,$B$5,$B$4,B13,"K"),"")</f>
        <v/>
      </c>
      <c r="D13" s="37" t="s">
        <v>1500</v>
      </c>
      <c r="E13" s="38" t="str">
        <f>IFERROR([1]!IntrinioBankFinancials(rssd_id,$Q$2,$B$5,$B$4,D13,"K"),"")</f>
        <v/>
      </c>
      <c r="F13" s="37" t="s">
        <v>1501</v>
      </c>
      <c r="G13" s="38" t="str">
        <f>IFERROR([1]!IntrinioBankFinancials(rssd_id,$Q$2,$B$5,$B$4,F13,"K"),"")</f>
        <v/>
      </c>
      <c r="H13" s="37" t="s">
        <v>1499</v>
      </c>
      <c r="I13" s="38" t="str">
        <f>IFERROR([1]!IntrinioBankFinancials(rssd_id,$Q$2,$H$5,$H$4,H13,"K"),"")</f>
        <v/>
      </c>
      <c r="J13" s="37" t="s">
        <v>1500</v>
      </c>
      <c r="K13" s="38" t="str">
        <f>IFERROR([1]!IntrinioBankFinancials(rssd_id,$Q$2,$H$5,$H$4,J13,"K"),"")</f>
        <v/>
      </c>
      <c r="L13" s="37" t="s">
        <v>1501</v>
      </c>
      <c r="M13" s="38" t="str">
        <f>IFERROR([1]!IntrinioBankFinancials(rssd_id,$Q$2,$H$5,$H$4,L13,"K"),"")</f>
        <v/>
      </c>
      <c r="N13" s="49" t="s">
        <v>15</v>
      </c>
    </row>
    <row r="14" spans="1:17" s="40" customFormat="1" ht="14.25" x14ac:dyDescent="0.4">
      <c r="A14" s="39" t="s">
        <v>839</v>
      </c>
      <c r="B14" s="37"/>
      <c r="C14" s="38" t="str">
        <f>IFERROR([1]!IntrinioBankFinancials(rssd_id,$Q$2,$B$5,$B$4,B14,"K"),"")</f>
        <v/>
      </c>
      <c r="D14" s="37"/>
      <c r="E14" s="38" t="str">
        <f>IFERROR([1]!IntrinioBankFinancials(rssd_id,$Q$2,$B$5,$B$4,D14,"K"),"")</f>
        <v/>
      </c>
      <c r="F14" s="37"/>
      <c r="G14" s="38" t="str">
        <f>IFERROR([1]!IntrinioBankFinancials(rssd_id,$Q$2,$B$5,$B$4,F14,"K"),"")</f>
        <v/>
      </c>
      <c r="H14" s="37"/>
      <c r="I14" s="38" t="str">
        <f>IFERROR([1]!IntrinioBankFinancials(rssd_id,$Q$2,$H$5,$H$4,H14,"K"),"")</f>
        <v/>
      </c>
      <c r="J14" s="37"/>
      <c r="K14" s="38" t="str">
        <f>IFERROR([1]!IntrinioBankFinancials(rssd_id,$Q$2,$H$5,$H$4,J14,"K"),"")</f>
        <v/>
      </c>
      <c r="L14" s="37"/>
      <c r="M14" s="38" t="str">
        <f>IFERROR([1]!IntrinioBankFinancials(rssd_id,$Q$2,$H$5,$H$4,L14,"K"),"")</f>
        <v/>
      </c>
      <c r="N14" s="49" t="s">
        <v>17</v>
      </c>
    </row>
    <row r="15" spans="1:17" s="40" customFormat="1" ht="28.5" x14ac:dyDescent="0.4">
      <c r="A15" s="39" t="s">
        <v>235</v>
      </c>
      <c r="B15" s="37" t="s">
        <v>1502</v>
      </c>
      <c r="C15" s="38" t="str">
        <f>IFERROR([1]!IntrinioBankFinancials(rssd_id,$Q$2,$B$5,$B$4,B15,"K"),"")</f>
        <v/>
      </c>
      <c r="D15" s="37" t="s">
        <v>1503</v>
      </c>
      <c r="E15" s="38" t="str">
        <f>IFERROR([1]!IntrinioBankFinancials(rssd_id,$Q$2,$B$5,$B$4,D15,"K"),"")</f>
        <v/>
      </c>
      <c r="F15" s="37" t="s">
        <v>1504</v>
      </c>
      <c r="G15" s="38" t="str">
        <f>IFERROR([1]!IntrinioBankFinancials(rssd_id,$Q$2,$B$5,$B$4,F15,"K"),"")</f>
        <v/>
      </c>
      <c r="H15" s="37" t="s">
        <v>1502</v>
      </c>
      <c r="I15" s="38" t="str">
        <f>IFERROR([1]!IntrinioBankFinancials(rssd_id,$Q$2,$H$5,$H$4,H15,"K"),"")</f>
        <v/>
      </c>
      <c r="J15" s="37" t="s">
        <v>1503</v>
      </c>
      <c r="K15" s="38" t="str">
        <f>IFERROR([1]!IntrinioBankFinancials(rssd_id,$Q$2,$H$5,$H$4,J15,"K"),"")</f>
        <v/>
      </c>
      <c r="L15" s="37" t="s">
        <v>1504</v>
      </c>
      <c r="M15" s="38" t="str">
        <f>IFERROR([1]!IntrinioBankFinancials(rssd_id,$Q$2,$H$5,$H$4,L15,"K"),"")</f>
        <v/>
      </c>
      <c r="N15" s="49" t="s">
        <v>206</v>
      </c>
    </row>
    <row r="16" spans="1:17" s="40" customFormat="1" ht="14.25" x14ac:dyDescent="0.4">
      <c r="A16" s="39" t="s">
        <v>207</v>
      </c>
      <c r="B16" s="37"/>
      <c r="C16" s="38" t="str">
        <f>IFERROR([1]!IntrinioBankFinancials(rssd_id,$Q$2,$B$5,$B$4,B16,"K"),"")</f>
        <v/>
      </c>
      <c r="D16" s="37"/>
      <c r="E16" s="38" t="str">
        <f>IFERROR([1]!IntrinioBankFinancials(rssd_id,$Q$2,$B$5,$B$4,D16,"K"),"")</f>
        <v/>
      </c>
      <c r="F16" s="37"/>
      <c r="G16" s="38" t="str">
        <f>IFERROR([1]!IntrinioBankFinancials(rssd_id,$Q$2,$B$5,$B$4,F16,"K"),"")</f>
        <v/>
      </c>
      <c r="H16" s="37"/>
      <c r="I16" s="38" t="str">
        <f>IFERROR([1]!IntrinioBankFinancials(rssd_id,$Q$2,$H$5,$H$4,H16,"K"),"")</f>
        <v/>
      </c>
      <c r="J16" s="37"/>
      <c r="K16" s="38" t="str">
        <f>IFERROR([1]!IntrinioBankFinancials(rssd_id,$Q$2,$H$5,$H$4,J16,"K"),"")</f>
        <v/>
      </c>
      <c r="L16" s="37"/>
      <c r="M16" s="38" t="str">
        <f>IFERROR([1]!IntrinioBankFinancials(rssd_id,$Q$2,$H$5,$H$4,L16,"K"),"")</f>
        <v/>
      </c>
      <c r="N16" s="49" t="s">
        <v>208</v>
      </c>
    </row>
    <row r="17" spans="1:17" x14ac:dyDescent="0.4">
      <c r="A17" s="39" t="s">
        <v>209</v>
      </c>
      <c r="B17" s="37" t="s">
        <v>1505</v>
      </c>
      <c r="C17" s="38" t="str">
        <f>IFERROR([1]!IntrinioBankFinancials(rssd_id,$Q$2,$B$5,$B$4,B17,"K"),"")</f>
        <v/>
      </c>
      <c r="D17" s="37" t="s">
        <v>1506</v>
      </c>
      <c r="E17" s="38" t="str">
        <f>IFERROR([1]!IntrinioBankFinancials(rssd_id,$Q$2,$B$5,$B$4,D17,"K"),"")</f>
        <v/>
      </c>
      <c r="F17" s="37" t="s">
        <v>1507</v>
      </c>
      <c r="G17" s="38" t="str">
        <f>IFERROR([1]!IntrinioBankFinancials(rssd_id,$Q$2,$B$5,$B$4,F17,"K"),"")</f>
        <v/>
      </c>
      <c r="H17" s="37" t="s">
        <v>1505</v>
      </c>
      <c r="I17" s="38" t="str">
        <f>IFERROR([1]!IntrinioBankFinancials(rssd_id,$Q$2,$H$5,$H$4,H17,"K"),"")</f>
        <v/>
      </c>
      <c r="J17" s="37" t="s">
        <v>1506</v>
      </c>
      <c r="K17" s="38" t="str">
        <f>IFERROR([1]!IntrinioBankFinancials(rssd_id,$Q$2,$H$5,$H$4,J17,"K"),"")</f>
        <v/>
      </c>
      <c r="L17" s="37" t="s">
        <v>1507</v>
      </c>
      <c r="M17" s="38" t="str">
        <f>IFERROR([1]!IntrinioBankFinancials(rssd_id,$Q$2,$H$5,$H$4,L17,"K"),"")</f>
        <v/>
      </c>
      <c r="N17" s="49" t="s">
        <v>210</v>
      </c>
    </row>
    <row r="18" spans="1:17" x14ac:dyDescent="0.4">
      <c r="A18" s="39" t="s">
        <v>211</v>
      </c>
      <c r="B18" s="37" t="s">
        <v>1508</v>
      </c>
      <c r="C18" s="38" t="str">
        <f>IFERROR([1]!IntrinioBankFinancials(rssd_id,$Q$2,$B$5,$B$4,B18,"K"),"")</f>
        <v/>
      </c>
      <c r="D18" s="37" t="s">
        <v>1509</v>
      </c>
      <c r="E18" s="38" t="str">
        <f>IFERROR([1]!IntrinioBankFinancials(rssd_id,$Q$2,$B$5,$B$4,D18,"K"),"")</f>
        <v/>
      </c>
      <c r="F18" s="37" t="s">
        <v>1510</v>
      </c>
      <c r="G18" s="38" t="str">
        <f>IFERROR([1]!IntrinioBankFinancials(rssd_id,$Q$2,$B$5,$B$4,F18,"K"),"")</f>
        <v/>
      </c>
      <c r="H18" s="37" t="s">
        <v>1508</v>
      </c>
      <c r="I18" s="38" t="str">
        <f>IFERROR([1]!IntrinioBankFinancials(rssd_id,$Q$2,$H$5,$H$4,H18,"K"),"")</f>
        <v/>
      </c>
      <c r="J18" s="37" t="s">
        <v>1509</v>
      </c>
      <c r="K18" s="38" t="str">
        <f>IFERROR([1]!IntrinioBankFinancials(rssd_id,$Q$2,$H$5,$H$4,J18,"K"),"")</f>
        <v/>
      </c>
      <c r="L18" s="37" t="s">
        <v>1510</v>
      </c>
      <c r="M18" s="38" t="str">
        <f>IFERROR([1]!IntrinioBankFinancials(rssd_id,$Q$2,$H$5,$H$4,L18,"K"),"")</f>
        <v/>
      </c>
      <c r="N18" s="49" t="s">
        <v>212</v>
      </c>
    </row>
    <row r="19" spans="1:17" s="47" customFormat="1" x14ac:dyDescent="0.4">
      <c r="A19" s="39" t="s">
        <v>840</v>
      </c>
      <c r="B19" s="37" t="s">
        <v>1511</v>
      </c>
      <c r="C19" s="38" t="str">
        <f>IFERROR([1]!IntrinioBankFinancials(rssd_id,$Q$2,$B$5,$B$4,B19,"K"),"")</f>
        <v/>
      </c>
      <c r="D19" s="37" t="s">
        <v>1512</v>
      </c>
      <c r="E19" s="38" t="str">
        <f>IFERROR([1]!IntrinioBankFinancials(rssd_id,$Q$2,$B$5,$B$4,D19,"K"),"")</f>
        <v/>
      </c>
      <c r="F19" s="37" t="s">
        <v>1513</v>
      </c>
      <c r="G19" s="38" t="str">
        <f>IFERROR([1]!IntrinioBankFinancials(rssd_id,$Q$2,$B$5,$B$4,F19,"K"),"")</f>
        <v/>
      </c>
      <c r="H19" s="37" t="s">
        <v>1511</v>
      </c>
      <c r="I19" s="38" t="str">
        <f>IFERROR([1]!IntrinioBankFinancials(rssd_id,$Q$2,$H$5,$H$4,H19,"K"),"")</f>
        <v/>
      </c>
      <c r="J19" s="37" t="s">
        <v>1512</v>
      </c>
      <c r="K19" s="38" t="str">
        <f>IFERROR([1]!IntrinioBankFinancials(rssd_id,$Q$2,$H$5,$H$4,J19,"K"),"")</f>
        <v/>
      </c>
      <c r="L19" s="37" t="s">
        <v>1513</v>
      </c>
      <c r="M19" s="38" t="str">
        <f>IFERROR([1]!IntrinioBankFinancials(rssd_id,$Q$2,$H$5,$H$4,L19,"K"),"")</f>
        <v/>
      </c>
      <c r="N19" s="49" t="s">
        <v>19</v>
      </c>
      <c r="O19" s="13"/>
      <c r="P19" s="13"/>
      <c r="Q19" s="13"/>
    </row>
    <row r="20" spans="1:17" s="47" customFormat="1" x14ac:dyDescent="0.4">
      <c r="A20" s="39" t="s">
        <v>841</v>
      </c>
      <c r="B20" s="37"/>
      <c r="C20" s="38" t="str">
        <f>IFERROR([1]!IntrinioBankFinancials(rssd_id,$Q$2,$B$5,$B$4,B20,"K"),"")</f>
        <v/>
      </c>
      <c r="D20" s="37"/>
      <c r="E20" s="38" t="str">
        <f>IFERROR([1]!IntrinioBankFinancials(rssd_id,$Q$2,$B$5,$B$4,D20,"K"),"")</f>
        <v/>
      </c>
      <c r="F20" s="37"/>
      <c r="G20" s="38" t="str">
        <f>IFERROR([1]!IntrinioBankFinancials(rssd_id,$Q$2,$B$5,$B$4,F20,"K"),"")</f>
        <v/>
      </c>
      <c r="H20" s="37"/>
      <c r="I20" s="38" t="str">
        <f>IFERROR([1]!IntrinioBankFinancials(rssd_id,$Q$2,$H$5,$H$4,H20,"K"),"")</f>
        <v/>
      </c>
      <c r="J20" s="37"/>
      <c r="K20" s="38" t="str">
        <f>IFERROR([1]!IntrinioBankFinancials(rssd_id,$Q$2,$H$5,$H$4,J20,"K"),"")</f>
        <v/>
      </c>
      <c r="L20" s="37"/>
      <c r="M20" s="38" t="str">
        <f>IFERROR([1]!IntrinioBankFinancials(rssd_id,$Q$2,$H$5,$H$4,L20,"K"),"")</f>
        <v/>
      </c>
      <c r="N20" s="49" t="s">
        <v>27</v>
      </c>
      <c r="O20" s="13"/>
      <c r="P20" s="13"/>
      <c r="Q20" s="13"/>
    </row>
    <row r="21" spans="1:17" s="47" customFormat="1" x14ac:dyDescent="0.4">
      <c r="A21" s="39" t="s">
        <v>215</v>
      </c>
      <c r="B21" s="37" t="s">
        <v>1514</v>
      </c>
      <c r="C21" s="38" t="str">
        <f>IFERROR([1]!IntrinioBankFinancials(rssd_id,$Q$2,$B$5,$B$4,B21,"K"),"")</f>
        <v/>
      </c>
      <c r="D21" s="37" t="s">
        <v>1515</v>
      </c>
      <c r="E21" s="38" t="str">
        <f>IFERROR([1]!IntrinioBankFinancials(rssd_id,$Q$2,$B$5,$B$4,D21,"K"),"")</f>
        <v/>
      </c>
      <c r="F21" s="37" t="s">
        <v>1516</v>
      </c>
      <c r="G21" s="38" t="str">
        <f>IFERROR([1]!IntrinioBankFinancials(rssd_id,$Q$2,$B$5,$B$4,F21,"K"),"")</f>
        <v/>
      </c>
      <c r="H21" s="37" t="s">
        <v>1514</v>
      </c>
      <c r="I21" s="38" t="str">
        <f>IFERROR([1]!IntrinioBankFinancials(rssd_id,$Q$2,$H$5,$H$4,H21,"K"),"")</f>
        <v/>
      </c>
      <c r="J21" s="37" t="s">
        <v>1515</v>
      </c>
      <c r="K21" s="38" t="str">
        <f>IFERROR([1]!IntrinioBankFinancials(rssd_id,$Q$2,$H$5,$H$4,J21,"K"),"")</f>
        <v/>
      </c>
      <c r="L21" s="37" t="s">
        <v>1516</v>
      </c>
      <c r="M21" s="38" t="str">
        <f>IFERROR([1]!IntrinioBankFinancials(rssd_id,$Q$2,$H$5,$H$4,L21,"K"),"")</f>
        <v/>
      </c>
      <c r="N21" s="49" t="s">
        <v>216</v>
      </c>
      <c r="O21" s="13"/>
      <c r="P21" s="13"/>
      <c r="Q21" s="13"/>
    </row>
    <row r="22" spans="1:17" s="47" customFormat="1" x14ac:dyDescent="0.4">
      <c r="A22" s="39" t="s">
        <v>217</v>
      </c>
      <c r="B22" s="37" t="s">
        <v>1517</v>
      </c>
      <c r="C22" s="38" t="str">
        <f>IFERROR([1]!IntrinioBankFinancials(rssd_id,$Q$2,$B$5,$B$4,B22,"K"),"")</f>
        <v/>
      </c>
      <c r="D22" s="37" t="s">
        <v>1518</v>
      </c>
      <c r="E22" s="38" t="str">
        <f>IFERROR([1]!IntrinioBankFinancials(rssd_id,$Q$2,$B$5,$B$4,D22,"K"),"")</f>
        <v/>
      </c>
      <c r="F22" s="37" t="s">
        <v>1519</v>
      </c>
      <c r="G22" s="38" t="str">
        <f>IFERROR([1]!IntrinioBankFinancials(rssd_id,$Q$2,$B$5,$B$4,F22,"K"),"")</f>
        <v/>
      </c>
      <c r="H22" s="37" t="s">
        <v>1517</v>
      </c>
      <c r="I22" s="38" t="str">
        <f>IFERROR([1]!IntrinioBankFinancials(rssd_id,$Q$2,$H$5,$H$4,H22,"K"),"")</f>
        <v/>
      </c>
      <c r="J22" s="37" t="s">
        <v>1518</v>
      </c>
      <c r="K22" s="38" t="str">
        <f>IFERROR([1]!IntrinioBankFinancials(rssd_id,$Q$2,$H$5,$H$4,J22,"K"),"")</f>
        <v/>
      </c>
      <c r="L22" s="37" t="s">
        <v>1519</v>
      </c>
      <c r="M22" s="38" t="str">
        <f>IFERROR([1]!IntrinioBankFinancials(rssd_id,$Q$2,$H$5,$H$4,L22,"K"),"")</f>
        <v/>
      </c>
      <c r="N22" s="49" t="s">
        <v>218</v>
      </c>
      <c r="O22" s="13"/>
      <c r="P22" s="13"/>
      <c r="Q22" s="13"/>
    </row>
    <row r="23" spans="1:17" s="47" customFormat="1" x14ac:dyDescent="0.4">
      <c r="A23" s="39" t="s">
        <v>842</v>
      </c>
      <c r="B23" s="37" t="s">
        <v>843</v>
      </c>
      <c r="C23" s="38" t="str">
        <f>IFERROR([1]!IntrinioBankFinancials(rssd_id,$Q$2,$B$5,$B$4,B23,"K"),"")</f>
        <v/>
      </c>
      <c r="D23" s="37" t="s">
        <v>860</v>
      </c>
      <c r="E23" s="38" t="str">
        <f>IFERROR([1]!IntrinioBankFinancials(rssd_id,$Q$2,$B$5,$B$4,D23,"K"),"")</f>
        <v/>
      </c>
      <c r="F23" s="37" t="s">
        <v>863</v>
      </c>
      <c r="G23" s="38" t="str">
        <f>IFERROR([1]!IntrinioBankFinancials(rssd_id,$Q$2,$B$5,$B$4,F23,"K"),"")</f>
        <v/>
      </c>
      <c r="H23" s="37" t="s">
        <v>843</v>
      </c>
      <c r="I23" s="38" t="str">
        <f>IFERROR([1]!IntrinioBankFinancials(rssd_id,$Q$2,$H$5,$H$4,H23,"K"),"")</f>
        <v/>
      </c>
      <c r="J23" s="37" t="s">
        <v>860</v>
      </c>
      <c r="K23" s="38" t="str">
        <f>IFERROR([1]!IntrinioBankFinancials(rssd_id,$Q$2,$H$5,$H$4,J23,"K"),"")</f>
        <v/>
      </c>
      <c r="L23" s="37" t="s">
        <v>863</v>
      </c>
      <c r="M23" s="38" t="str">
        <f>IFERROR([1]!IntrinioBankFinancials(rssd_id,$Q$2,$H$5,$H$4,L23,"K"),"")</f>
        <v/>
      </c>
      <c r="N23" s="49">
        <v>2</v>
      </c>
      <c r="O23" s="13"/>
      <c r="P23" s="13"/>
      <c r="Q23" s="13"/>
    </row>
    <row r="24" spans="1:17" s="47" customFormat="1" x14ac:dyDescent="0.4">
      <c r="A24" s="39" t="s">
        <v>814</v>
      </c>
      <c r="B24" s="37"/>
      <c r="C24" s="38" t="str">
        <f>IFERROR([1]!IntrinioBankFinancials(rssd_id,$Q$2,$B$5,$B$4,B24,"K"),"")</f>
        <v/>
      </c>
      <c r="D24" s="37"/>
      <c r="E24" s="38" t="str">
        <f>IFERROR([1]!IntrinioBankFinancials(rssd_id,$Q$2,$B$5,$B$4,D24,"K"),"")</f>
        <v/>
      </c>
      <c r="F24" s="37"/>
      <c r="G24" s="38" t="str">
        <f>IFERROR([1]!IntrinioBankFinancials(rssd_id,$Q$2,$B$5,$B$4,F24,"K"),"")</f>
        <v/>
      </c>
      <c r="H24" s="37"/>
      <c r="I24" s="38" t="str">
        <f>IFERROR([1]!IntrinioBankFinancials(rssd_id,$Q$2,$H$5,$H$4,H24,"K"),"")</f>
        <v/>
      </c>
      <c r="J24" s="37"/>
      <c r="K24" s="38" t="str">
        <f>IFERROR([1]!IntrinioBankFinancials(rssd_id,$Q$2,$H$5,$H$4,J24,"K"),"")</f>
        <v/>
      </c>
      <c r="L24" s="37"/>
      <c r="M24" s="38" t="str">
        <f>IFERROR([1]!IntrinioBankFinancials(rssd_id,$Q$2,$H$5,$H$4,L24,"K"),"")</f>
        <v/>
      </c>
      <c r="N24" s="49">
        <v>3</v>
      </c>
      <c r="O24" s="13"/>
      <c r="P24" s="13"/>
      <c r="Q24" s="13"/>
    </row>
    <row r="25" spans="1:17" s="47" customFormat="1" x14ac:dyDescent="0.4">
      <c r="A25" s="39" t="s">
        <v>844</v>
      </c>
      <c r="B25" s="37" t="s">
        <v>1568</v>
      </c>
      <c r="C25" s="38" t="str">
        <f>IFERROR([1]!IntrinioBankFinancials(rssd_id,$Q$2,$B$5,$B$4,B25,"K"),"")</f>
        <v/>
      </c>
      <c r="D25" s="37" t="s">
        <v>1569</v>
      </c>
      <c r="E25" s="38" t="str">
        <f>IFERROR([1]!IntrinioBankFinancials(rssd_id,$Q$2,$B$5,$B$4,D25,"K"),"")</f>
        <v/>
      </c>
      <c r="F25" s="37" t="s">
        <v>1570</v>
      </c>
      <c r="G25" s="38" t="str">
        <f>IFERROR([1]!IntrinioBankFinancials(rssd_id,$Q$2,$B$5,$B$4,F25,"K"),"")</f>
        <v/>
      </c>
      <c r="H25" s="37" t="s">
        <v>1568</v>
      </c>
      <c r="I25" s="38" t="str">
        <f>IFERROR([1]!IntrinioBankFinancials(rssd_id,$Q$2,$H$5,$H$4,H25,"K"),"")</f>
        <v/>
      </c>
      <c r="J25" s="37" t="s">
        <v>1569</v>
      </c>
      <c r="K25" s="38" t="str">
        <f>IFERROR([1]!IntrinioBankFinancials(rssd_id,$Q$2,$H$5,$H$4,J25,"K"),"")</f>
        <v/>
      </c>
      <c r="L25" s="37" t="s">
        <v>1570</v>
      </c>
      <c r="M25" s="38" t="str">
        <f>IFERROR([1]!IntrinioBankFinancials(rssd_id,$Q$2,$H$5,$H$4,L25,"K"),"")</f>
        <v/>
      </c>
      <c r="N25" s="49">
        <v>4</v>
      </c>
      <c r="O25" s="13"/>
      <c r="P25" s="13"/>
      <c r="Q25" s="13"/>
    </row>
    <row r="26" spans="1:17" s="47" customFormat="1" x14ac:dyDescent="0.4">
      <c r="A26" s="39" t="s">
        <v>845</v>
      </c>
      <c r="B26" s="37" t="s">
        <v>1571</v>
      </c>
      <c r="C26" s="38" t="str">
        <f>IFERROR([1]!IntrinioBankFinancials(rssd_id,$Q$2,$B$5,$B$4,B26,"K"),"")</f>
        <v/>
      </c>
      <c r="D26" s="37" t="s">
        <v>1572</v>
      </c>
      <c r="E26" s="38" t="str">
        <f>IFERROR([1]!IntrinioBankFinancials(rssd_id,$Q$2,$B$5,$B$4,D26,"K"),"")</f>
        <v/>
      </c>
      <c r="F26" s="37" t="s">
        <v>1573</v>
      </c>
      <c r="G26" s="38" t="str">
        <f>IFERROR([1]!IntrinioBankFinancials(rssd_id,$Q$2,$B$5,$B$4,F26,"K"),"")</f>
        <v/>
      </c>
      <c r="H26" s="37" t="s">
        <v>1571</v>
      </c>
      <c r="I26" s="38" t="str">
        <f>IFERROR([1]!IntrinioBankFinancials(rssd_id,$Q$2,$H$5,$H$4,H26,"K"),"")</f>
        <v/>
      </c>
      <c r="J26" s="37" t="s">
        <v>1572</v>
      </c>
      <c r="K26" s="38" t="str">
        <f>IFERROR([1]!IntrinioBankFinancials(rssd_id,$Q$2,$H$5,$H$4,J26,"K"),"")</f>
        <v/>
      </c>
      <c r="L26" s="37" t="s">
        <v>1573</v>
      </c>
      <c r="M26" s="38" t="str">
        <f>IFERROR([1]!IntrinioBankFinancials(rssd_id,$Q$2,$H$5,$H$4,L26,"K"),"")</f>
        <v/>
      </c>
      <c r="N26" s="49">
        <v>5</v>
      </c>
      <c r="O26" s="13"/>
      <c r="P26" s="13"/>
      <c r="Q26" s="13"/>
    </row>
    <row r="27" spans="1:17" s="47" customFormat="1" x14ac:dyDescent="0.4">
      <c r="A27" s="39" t="s">
        <v>483</v>
      </c>
      <c r="B27" s="37" t="s">
        <v>1574</v>
      </c>
      <c r="C27" s="38" t="str">
        <f>IFERROR([1]!IntrinioBankFinancials(rssd_id,$Q$2,$B$5,$B$4,B27,"K"),"")</f>
        <v/>
      </c>
      <c r="D27" s="37" t="s">
        <v>1575</v>
      </c>
      <c r="E27" s="38" t="str">
        <f>IFERROR([1]!IntrinioBankFinancials(rssd_id,$Q$2,$B$5,$B$4,D27,"K"),"")</f>
        <v/>
      </c>
      <c r="F27" s="37" t="s">
        <v>1576</v>
      </c>
      <c r="G27" s="38" t="str">
        <f>IFERROR([1]!IntrinioBankFinancials(rssd_id,$Q$2,$B$5,$B$4,F27,"K"),"")</f>
        <v/>
      </c>
      <c r="H27" s="37" t="s">
        <v>1574</v>
      </c>
      <c r="I27" s="38" t="str">
        <f>IFERROR([1]!IntrinioBankFinancials(rssd_id,$Q$2,$H$5,$H$4,H27,"K"),"")</f>
        <v/>
      </c>
      <c r="J27" s="37" t="s">
        <v>1575</v>
      </c>
      <c r="K27" s="38" t="str">
        <f>IFERROR([1]!IntrinioBankFinancials(rssd_id,$Q$2,$H$5,$H$4,J27,"K"),"")</f>
        <v/>
      </c>
      <c r="L27" s="37" t="s">
        <v>1576</v>
      </c>
      <c r="M27" s="38" t="str">
        <f>IFERROR([1]!IntrinioBankFinancials(rssd_id,$Q$2,$H$5,$H$4,L27,"K"),"")</f>
        <v/>
      </c>
      <c r="N27" s="49" t="s">
        <v>58</v>
      </c>
      <c r="O27" s="13"/>
      <c r="P27" s="13"/>
      <c r="Q27" s="13"/>
    </row>
    <row r="28" spans="1:17" s="47" customFormat="1" x14ac:dyDescent="0.4">
      <c r="A28" s="39" t="s">
        <v>816</v>
      </c>
      <c r="B28" s="37"/>
      <c r="C28" s="38" t="str">
        <f>IFERROR([1]!IntrinioBankFinancials(rssd_id,$Q$2,$B$5,$B$4,B28,"K"),"")</f>
        <v/>
      </c>
      <c r="D28" s="37"/>
      <c r="E28" s="38" t="str">
        <f>IFERROR([1]!IntrinioBankFinancials(rssd_id,$Q$2,$B$5,$B$4,D28,"K"),"")</f>
        <v/>
      </c>
      <c r="F28" s="37"/>
      <c r="G28" s="38" t="str">
        <f>IFERROR([1]!IntrinioBankFinancials(rssd_id,$Q$2,$B$5,$B$4,F28,"K"),"")</f>
        <v/>
      </c>
      <c r="H28" s="37"/>
      <c r="I28" s="38" t="str">
        <f>IFERROR([1]!IntrinioBankFinancials(rssd_id,$Q$2,$H$5,$H$4,H28,"K"),"")</f>
        <v/>
      </c>
      <c r="J28" s="37"/>
      <c r="K28" s="38" t="str">
        <f>IFERROR([1]!IntrinioBankFinancials(rssd_id,$Q$2,$H$5,$H$4,J28,"K"),"")</f>
        <v/>
      </c>
      <c r="L28" s="37"/>
      <c r="M28" s="38" t="str">
        <f>IFERROR([1]!IntrinioBankFinancials(rssd_id,$Q$2,$H$5,$H$4,L28,"K"),"")</f>
        <v/>
      </c>
      <c r="N28" s="49" t="s">
        <v>60</v>
      </c>
      <c r="O28" s="13"/>
      <c r="P28" s="13"/>
      <c r="Q28" s="13"/>
    </row>
    <row r="29" spans="1:17" s="47" customFormat="1" x14ac:dyDescent="0.4">
      <c r="A29" s="39" t="s">
        <v>476</v>
      </c>
      <c r="B29" s="37" t="s">
        <v>1577</v>
      </c>
      <c r="C29" s="38" t="str">
        <f>IFERROR([1]!IntrinioBankFinancials(rssd_id,$Q$2,$B$5,$B$4,B29,"K"),"")</f>
        <v/>
      </c>
      <c r="D29" s="37" t="s">
        <v>1578</v>
      </c>
      <c r="E29" s="38" t="str">
        <f>IFERROR([1]!IntrinioBankFinancials(rssd_id,$Q$2,$B$5,$B$4,D29,"K"),"")</f>
        <v/>
      </c>
      <c r="F29" s="37" t="s">
        <v>1579</v>
      </c>
      <c r="G29" s="38" t="str">
        <f>IFERROR([1]!IntrinioBankFinancials(rssd_id,$Q$2,$B$5,$B$4,F29,"K"),"")</f>
        <v/>
      </c>
      <c r="H29" s="37" t="s">
        <v>1577</v>
      </c>
      <c r="I29" s="38" t="str">
        <f>IFERROR([1]!IntrinioBankFinancials(rssd_id,$Q$2,$H$5,$H$4,H29,"K"),"")</f>
        <v/>
      </c>
      <c r="J29" s="37" t="s">
        <v>1578</v>
      </c>
      <c r="K29" s="38" t="str">
        <f>IFERROR([1]!IntrinioBankFinancials(rssd_id,$Q$2,$H$5,$H$4,J29,"K"),"")</f>
        <v/>
      </c>
      <c r="L29" s="37" t="s">
        <v>1579</v>
      </c>
      <c r="M29" s="38" t="str">
        <f>IFERROR([1]!IntrinioBankFinancials(rssd_id,$Q$2,$H$5,$H$4,L29,"K"),"")</f>
        <v/>
      </c>
      <c r="N29" s="49" t="s">
        <v>62</v>
      </c>
      <c r="O29" s="13"/>
      <c r="P29" s="13"/>
      <c r="Q29" s="13"/>
    </row>
    <row r="30" spans="1:17" s="47" customFormat="1" x14ac:dyDescent="0.4">
      <c r="A30" s="39" t="s">
        <v>477</v>
      </c>
      <c r="B30" s="37" t="s">
        <v>1580</v>
      </c>
      <c r="C30" s="38" t="str">
        <f>IFERROR([1]!IntrinioBankFinancials(rssd_id,$Q$2,$B$5,$B$4,B30,"K"),"")</f>
        <v/>
      </c>
      <c r="D30" s="37" t="s">
        <v>1581</v>
      </c>
      <c r="E30" s="38" t="str">
        <f>IFERROR([1]!IntrinioBankFinancials(rssd_id,$Q$2,$B$5,$B$4,D30,"K"),"")</f>
        <v/>
      </c>
      <c r="F30" s="37" t="s">
        <v>1582</v>
      </c>
      <c r="G30" s="38" t="str">
        <f>IFERROR([1]!IntrinioBankFinancials(rssd_id,$Q$2,$B$5,$B$4,F30,"K"),"")</f>
        <v/>
      </c>
      <c r="H30" s="37" t="s">
        <v>1580</v>
      </c>
      <c r="I30" s="38" t="str">
        <f>IFERROR([1]!IntrinioBankFinancials(rssd_id,$Q$2,$H$5,$H$4,H30,"K"),"")</f>
        <v/>
      </c>
      <c r="J30" s="37" t="s">
        <v>1581</v>
      </c>
      <c r="K30" s="38" t="str">
        <f>IFERROR([1]!IntrinioBankFinancials(rssd_id,$Q$2,$H$5,$H$4,J30,"K"),"")</f>
        <v/>
      </c>
      <c r="L30" s="37" t="s">
        <v>1582</v>
      </c>
      <c r="M30" s="38" t="str">
        <f>IFERROR([1]!IntrinioBankFinancials(rssd_id,$Q$2,$H$5,$H$4,L30,"K"),"")</f>
        <v/>
      </c>
      <c r="N30" s="49">
        <v>6</v>
      </c>
      <c r="O30" s="13"/>
      <c r="P30" s="13"/>
      <c r="Q30" s="13"/>
    </row>
    <row r="31" spans="1:17" s="47" customFormat="1" x14ac:dyDescent="0.4">
      <c r="A31" s="39" t="s">
        <v>221</v>
      </c>
      <c r="B31" s="37"/>
      <c r="C31" s="38" t="str">
        <f>IFERROR([1]!IntrinioBankFinancials(rssd_id,$Q$2,$B$5,$B$4,B31,"K"),"")</f>
        <v/>
      </c>
      <c r="D31" s="37"/>
      <c r="E31" s="38" t="str">
        <f>IFERROR([1]!IntrinioBankFinancials(rssd_id,$Q$2,$B$5,$B$4,D31,"K"),"")</f>
        <v/>
      </c>
      <c r="F31" s="37"/>
      <c r="G31" s="38" t="str">
        <f>IFERROR([1]!IntrinioBankFinancials(rssd_id,$Q$2,$B$5,$B$4,F31,"K"),"")</f>
        <v/>
      </c>
      <c r="H31" s="37"/>
      <c r="I31" s="38" t="str">
        <f>IFERROR([1]!IntrinioBankFinancials(rssd_id,$Q$2,$H$5,$H$4,H31,"K"),"")</f>
        <v/>
      </c>
      <c r="J31" s="37"/>
      <c r="K31" s="38" t="str">
        <f>IFERROR([1]!IntrinioBankFinancials(rssd_id,$Q$2,$H$5,$H$4,J31,"K"),"")</f>
        <v/>
      </c>
      <c r="L31" s="37"/>
      <c r="M31" s="38" t="str">
        <f>IFERROR([1]!IntrinioBankFinancials(rssd_id,$Q$2,$H$5,$H$4,L31,"K"),"")</f>
        <v/>
      </c>
      <c r="N31" s="49">
        <v>7</v>
      </c>
      <c r="O31" s="13"/>
      <c r="P31" s="13"/>
      <c r="Q31" s="13"/>
    </row>
    <row r="32" spans="1:17" s="47" customFormat="1" x14ac:dyDescent="0.4">
      <c r="A32" s="39" t="s">
        <v>13</v>
      </c>
      <c r="B32" s="37" t="s">
        <v>1583</v>
      </c>
      <c r="C32" s="38" t="str">
        <f>IFERROR([1]!IntrinioBankFinancials(rssd_id,$Q$2,$B$5,$B$4,B32,"K"),"")</f>
        <v/>
      </c>
      <c r="D32" s="37" t="s">
        <v>1584</v>
      </c>
      <c r="E32" s="38" t="str">
        <f>IFERROR([1]!IntrinioBankFinancials(rssd_id,$Q$2,$B$5,$B$4,D32,"K"),"")</f>
        <v/>
      </c>
      <c r="F32" s="37" t="s">
        <v>1585</v>
      </c>
      <c r="G32" s="38" t="str">
        <f>IFERROR([1]!IntrinioBankFinancials(rssd_id,$Q$2,$B$5,$B$4,F32,"K"),"")</f>
        <v/>
      </c>
      <c r="H32" s="37" t="s">
        <v>1583</v>
      </c>
      <c r="I32" s="38" t="str">
        <f>IFERROR([1]!IntrinioBankFinancials(rssd_id,$Q$2,$H$5,$H$4,H32,"K"),"")</f>
        <v/>
      </c>
      <c r="J32" s="37" t="s">
        <v>1584</v>
      </c>
      <c r="K32" s="38" t="str">
        <f>IFERROR([1]!IntrinioBankFinancials(rssd_id,$Q$2,$H$5,$H$4,J32,"K"),"")</f>
        <v/>
      </c>
      <c r="L32" s="37" t="s">
        <v>1585</v>
      </c>
      <c r="M32" s="38" t="str">
        <f>IFERROR([1]!IntrinioBankFinancials(rssd_id,$Q$2,$H$5,$H$4,L32,"K"),"")</f>
        <v/>
      </c>
      <c r="N32" s="49">
        <v>8</v>
      </c>
      <c r="O32" s="13"/>
      <c r="P32" s="13"/>
      <c r="Q32" s="13"/>
    </row>
    <row r="33" spans="1:17" s="47" customFormat="1" x14ac:dyDescent="0.4">
      <c r="A33" s="39" t="s">
        <v>222</v>
      </c>
      <c r="B33" s="37" t="s">
        <v>1586</v>
      </c>
      <c r="C33" s="38" t="str">
        <f>IFERROR([1]!IntrinioBankFinancials(rssd_id,$Q$2,$B$5,$B$4,B33,"K"),"")</f>
        <v/>
      </c>
      <c r="D33" s="37" t="s">
        <v>1587</v>
      </c>
      <c r="E33" s="38" t="str">
        <f>IFERROR([1]!IntrinioBankFinancials(rssd_id,$Q$2,$B$5,$B$4,D33,"K"),"")</f>
        <v/>
      </c>
      <c r="F33" s="37" t="s">
        <v>1588</v>
      </c>
      <c r="G33" s="38" t="str">
        <f>IFERROR([1]!IntrinioBankFinancials(rssd_id,$Q$2,$B$5,$B$4,F33,"K"),"")</f>
        <v/>
      </c>
      <c r="H33" s="37" t="s">
        <v>1586</v>
      </c>
      <c r="I33" s="38" t="str">
        <f>IFERROR([1]!IntrinioBankFinancials(rssd_id,$Q$2,$H$5,$H$4,H33,"K"),"")</f>
        <v/>
      </c>
      <c r="J33" s="37" t="s">
        <v>1587</v>
      </c>
      <c r="K33" s="38" t="str">
        <f>IFERROR([1]!IntrinioBankFinancials(rssd_id,$Q$2,$H$5,$H$4,J33,"K"),"")</f>
        <v/>
      </c>
      <c r="L33" s="37" t="s">
        <v>1588</v>
      </c>
      <c r="M33" s="38" t="str">
        <f>IFERROR([1]!IntrinioBankFinancials(rssd_id,$Q$2,$H$5,$H$4,L33,"K"),"")</f>
        <v/>
      </c>
      <c r="N33" s="49">
        <v>9</v>
      </c>
      <c r="O33" s="13"/>
      <c r="P33" s="13"/>
      <c r="Q33" s="13"/>
    </row>
    <row r="34" spans="1:17" s="47" customFormat="1" ht="28.5" x14ac:dyDescent="0.4">
      <c r="A34" s="39" t="s">
        <v>236</v>
      </c>
      <c r="B34" s="37" t="s">
        <v>1589</v>
      </c>
      <c r="C34" s="38" t="str">
        <f>IFERROR([1]!IntrinioBankFinancials(rssd_id,$Q$2,$B$5,$B$4,B34,"K"),"")</f>
        <v/>
      </c>
      <c r="D34" s="37" t="s">
        <v>1590</v>
      </c>
      <c r="E34" s="38" t="str">
        <f>IFERROR([1]!IntrinioBankFinancials(rssd_id,$Q$2,$B$5,$B$4,D34,"K"),"")</f>
        <v/>
      </c>
      <c r="F34" s="37" t="s">
        <v>1591</v>
      </c>
      <c r="G34" s="38" t="str">
        <f>IFERROR([1]!IntrinioBankFinancials(rssd_id,$Q$2,$B$5,$B$4,F34,"K"),"")</f>
        <v/>
      </c>
      <c r="H34" s="37" t="s">
        <v>1589</v>
      </c>
      <c r="I34" s="38" t="str">
        <f>IFERROR([1]!IntrinioBankFinancials(rssd_id,$Q$2,$H$5,$H$4,H34,"K"),"")</f>
        <v/>
      </c>
      <c r="J34" s="37" t="s">
        <v>1590</v>
      </c>
      <c r="K34" s="38" t="str">
        <f>IFERROR([1]!IntrinioBankFinancials(rssd_id,$Q$2,$H$5,$H$4,J34,"K"),"")</f>
        <v/>
      </c>
      <c r="L34" s="37" t="s">
        <v>1591</v>
      </c>
      <c r="M34" s="38" t="str">
        <f>IFERROR([1]!IntrinioBankFinancials(rssd_id,$Q$2,$H$5,$H$4,L34,"K"),"")</f>
        <v/>
      </c>
      <c r="N34" s="49">
        <v>10</v>
      </c>
      <c r="O34" s="13"/>
      <c r="P34" s="13"/>
      <c r="Q34" s="13"/>
    </row>
    <row r="35" spans="1:17" s="47" customFormat="1" x14ac:dyDescent="0.4">
      <c r="A35" s="39" t="s">
        <v>223</v>
      </c>
      <c r="B35" s="37" t="s">
        <v>1592</v>
      </c>
      <c r="C35" s="38" t="str">
        <f>IFERROR([1]!IntrinioBankFinancials(rssd_id,$Q$2,$B$5,$B$4,B35,"K"),"")</f>
        <v/>
      </c>
      <c r="D35" s="37" t="s">
        <v>1593</v>
      </c>
      <c r="E35" s="38" t="str">
        <f>IFERROR([1]!IntrinioBankFinancials(rssd_id,$Q$2,$B$5,$B$4,D35,"K"),"")</f>
        <v/>
      </c>
      <c r="F35" s="37" t="s">
        <v>1594</v>
      </c>
      <c r="G35" s="38" t="str">
        <f>IFERROR([1]!IntrinioBankFinancials(rssd_id,$Q$2,$B$5,$B$4,F35,"K"),"")</f>
        <v/>
      </c>
      <c r="H35" s="37" t="s">
        <v>1592</v>
      </c>
      <c r="I35" s="38" t="str">
        <f>IFERROR([1]!IntrinioBankFinancials(rssd_id,$Q$2,$H$5,$H$4,H35,"K"),"")</f>
        <v/>
      </c>
      <c r="J35" s="37" t="s">
        <v>1593</v>
      </c>
      <c r="K35" s="38" t="str">
        <f>IFERROR([1]!IntrinioBankFinancials(rssd_id,$Q$2,$H$5,$H$4,J35,"K"),"")</f>
        <v/>
      </c>
      <c r="L35" s="37" t="s">
        <v>1594</v>
      </c>
      <c r="M35" s="38" t="str">
        <f>IFERROR([1]!IntrinioBankFinancials(rssd_id,$Q$2,$H$5,$H$4,L35,"K"),"")</f>
        <v/>
      </c>
      <c r="N35" s="49" t="s">
        <v>326</v>
      </c>
      <c r="O35" s="13"/>
      <c r="P35" s="13"/>
      <c r="Q35" s="13"/>
    </row>
    <row r="36" spans="1:17" s="47" customFormat="1" x14ac:dyDescent="0.4">
      <c r="A36" s="39" t="s">
        <v>224</v>
      </c>
      <c r="B36" s="37" t="s">
        <v>1595</v>
      </c>
      <c r="C36" s="38" t="str">
        <f>IFERROR([1]!IntrinioBankFinancials(rssd_id,$Q$2,$B$5,$B$4,B36,"K"),"")</f>
        <v/>
      </c>
      <c r="D36" s="37" t="s">
        <v>1596</v>
      </c>
      <c r="E36" s="38" t="str">
        <f>IFERROR([1]!IntrinioBankFinancials(rssd_id,$Q$2,$B$5,$B$4,D36,"K"),"")</f>
        <v/>
      </c>
      <c r="F36" s="37" t="s">
        <v>1597</v>
      </c>
      <c r="G36" s="38" t="str">
        <f>IFERROR([1]!IntrinioBankFinancials(rssd_id,$Q$2,$B$5,$B$4,F36,"K"),"")</f>
        <v/>
      </c>
      <c r="H36" s="37" t="s">
        <v>1595</v>
      </c>
      <c r="I36" s="38" t="str">
        <f>IFERROR([1]!IntrinioBankFinancials(rssd_id,$Q$2,$H$5,$H$4,H36,"K"),"")</f>
        <v/>
      </c>
      <c r="J36" s="37" t="s">
        <v>1596</v>
      </c>
      <c r="K36" s="38" t="str">
        <f>IFERROR([1]!IntrinioBankFinancials(rssd_id,$Q$2,$H$5,$H$4,J36,"K"),"")</f>
        <v/>
      </c>
      <c r="L36" s="37" t="s">
        <v>1597</v>
      </c>
      <c r="M36" s="38" t="str">
        <f>IFERROR([1]!IntrinioBankFinancials(rssd_id,$Q$2,$H$5,$H$4,L36,"K"),"")</f>
        <v/>
      </c>
      <c r="N36" s="49" t="s">
        <v>327</v>
      </c>
      <c r="O36" s="13"/>
      <c r="P36" s="13"/>
      <c r="Q36" s="13"/>
    </row>
    <row r="37" spans="1:17" s="47" customFormat="1" x14ac:dyDescent="0.4">
      <c r="A37" s="39" t="s">
        <v>846</v>
      </c>
      <c r="B37" s="37"/>
      <c r="C37" s="38" t="str">
        <f>IFERROR([1]!IntrinioBankFinancials(rssd_id,$Q$2,$B$5,$B$4,B37,"K"),"")</f>
        <v/>
      </c>
      <c r="D37" s="37"/>
      <c r="E37" s="38" t="str">
        <f>IFERROR([1]!IntrinioBankFinancials(rssd_id,$Q$2,$B$5,$B$4,D37,"K"),"")</f>
        <v/>
      </c>
      <c r="F37" s="37"/>
      <c r="G37" s="38" t="str">
        <f>IFERROR([1]!IntrinioBankFinancials(rssd_id,$Q$2,$B$5,$B$4,F37,"K"),"")</f>
        <v/>
      </c>
      <c r="H37" s="37"/>
      <c r="I37" s="38" t="str">
        <f>IFERROR([1]!IntrinioBankFinancials(rssd_id,$Q$2,$H$5,$H$4,H37,"K"),"")</f>
        <v/>
      </c>
      <c r="J37" s="37"/>
      <c r="K37" s="38" t="str">
        <f>IFERROR([1]!IntrinioBankFinancials(rssd_id,$Q$2,$H$5,$H$4,J37,"K"),"")</f>
        <v/>
      </c>
      <c r="L37" s="37"/>
      <c r="M37" s="38" t="str">
        <f>IFERROR([1]!IntrinioBankFinancials(rssd_id,$Q$2,$H$5,$H$4,L37,"K"),"")</f>
        <v/>
      </c>
      <c r="N37" s="49">
        <v>11</v>
      </c>
      <c r="O37" s="13"/>
      <c r="P37" s="13"/>
      <c r="Q37" s="13"/>
    </row>
    <row r="38" spans="1:17" s="47" customFormat="1" x14ac:dyDescent="0.4">
      <c r="A38" s="39" t="s">
        <v>804</v>
      </c>
      <c r="B38" s="37" t="s">
        <v>1598</v>
      </c>
      <c r="C38" s="38" t="str">
        <f>IFERROR([1]!IntrinioBankFinancials(rssd_id,$Q$2,$B$5,$B$4,B38,"K"),"")</f>
        <v/>
      </c>
      <c r="D38" s="37" t="s">
        <v>1599</v>
      </c>
      <c r="E38" s="38" t="str">
        <f>IFERROR([1]!IntrinioBankFinancials(rssd_id,$Q$2,$B$5,$B$4,D38,"K"),"")</f>
        <v/>
      </c>
      <c r="F38" s="37" t="s">
        <v>1600</v>
      </c>
      <c r="G38" s="38" t="str">
        <f>IFERROR([1]!IntrinioBankFinancials(rssd_id,$Q$2,$B$5,$B$4,F38,"K"),"")</f>
        <v/>
      </c>
      <c r="H38" s="37" t="s">
        <v>1598</v>
      </c>
      <c r="I38" s="38" t="str">
        <f>IFERROR([1]!IntrinioBankFinancials(rssd_id,$Q$2,$H$5,$H$4,H38,"K"),"")</f>
        <v/>
      </c>
      <c r="J38" s="37" t="s">
        <v>1599</v>
      </c>
      <c r="K38" s="38" t="str">
        <f>IFERROR([1]!IntrinioBankFinancials(rssd_id,$Q$2,$H$5,$H$4,J38,"K"),"")</f>
        <v/>
      </c>
      <c r="L38" s="37" t="s">
        <v>1600</v>
      </c>
      <c r="M38" s="38" t="str">
        <f>IFERROR([1]!IntrinioBankFinancials(rssd_id,$Q$2,$H$5,$H$4,L38,"K"),"")</f>
        <v/>
      </c>
      <c r="N38" s="49" t="s">
        <v>538</v>
      </c>
      <c r="O38" s="13"/>
      <c r="P38" s="13"/>
      <c r="Q38" s="13"/>
    </row>
    <row r="39" spans="1:17" s="47" customFormat="1" x14ac:dyDescent="0.4">
      <c r="A39" s="39" t="s">
        <v>481</v>
      </c>
      <c r="B39" s="37" t="s">
        <v>1601</v>
      </c>
      <c r="C39" s="38" t="str">
        <f>IFERROR([1]!IntrinioBankFinancials(rssd_id,$Q$2,$B$5,$B$4,B39,"K"),"")</f>
        <v/>
      </c>
      <c r="D39" s="37" t="s">
        <v>1602</v>
      </c>
      <c r="E39" s="38" t="str">
        <f>IFERROR([1]!IntrinioBankFinancials(rssd_id,$Q$2,$B$5,$B$4,D39,"K"),"")</f>
        <v/>
      </c>
      <c r="F39" s="37" t="s">
        <v>1603</v>
      </c>
      <c r="G39" s="38" t="str">
        <f>IFERROR([1]!IntrinioBankFinancials(rssd_id,$Q$2,$B$5,$B$4,F39,"K"),"")</f>
        <v/>
      </c>
      <c r="H39" s="37" t="s">
        <v>1601</v>
      </c>
      <c r="I39" s="38" t="str">
        <f>IFERROR([1]!IntrinioBankFinancials(rssd_id,$Q$2,$H$5,$H$4,H39,"K"),"")</f>
        <v/>
      </c>
      <c r="J39" s="37" t="s">
        <v>1602</v>
      </c>
      <c r="K39" s="38" t="str">
        <f>IFERROR([1]!IntrinioBankFinancials(rssd_id,$Q$2,$H$5,$H$4,J39,"K"),"")</f>
        <v/>
      </c>
      <c r="L39" s="37" t="s">
        <v>1603</v>
      </c>
      <c r="M39" s="38" t="str">
        <f>IFERROR([1]!IntrinioBankFinancials(rssd_id,$Q$2,$H$5,$H$4,L39,"K"),"")</f>
        <v/>
      </c>
      <c r="N39" s="49" t="s">
        <v>653</v>
      </c>
      <c r="O39" s="13"/>
      <c r="P39" s="13"/>
      <c r="Q39" s="13"/>
    </row>
    <row r="40" spans="1:17" s="47" customFormat="1" ht="28.5" x14ac:dyDescent="0.4">
      <c r="A40" s="39" t="s">
        <v>847</v>
      </c>
      <c r="B40" s="37" t="s">
        <v>1604</v>
      </c>
      <c r="C40" s="38" t="str">
        <f>IFERROR([1]!IntrinioBankFinancials(rssd_id,$Q$2,$B$5,$B$4,B40,"K"),"")</f>
        <v/>
      </c>
      <c r="D40" s="37" t="s">
        <v>1605</v>
      </c>
      <c r="E40" s="38" t="str">
        <f>IFERROR([1]!IntrinioBankFinancials(rssd_id,$Q$2,$B$5,$B$4,D40,"K"),"")</f>
        <v/>
      </c>
      <c r="F40" s="37" t="s">
        <v>1606</v>
      </c>
      <c r="G40" s="38" t="str">
        <f>IFERROR([1]!IntrinioBankFinancials(rssd_id,$Q$2,$B$5,$B$4,F40,"K"),"")</f>
        <v/>
      </c>
      <c r="H40" s="37" t="s">
        <v>1604</v>
      </c>
      <c r="I40" s="38" t="str">
        <f>IFERROR([1]!IntrinioBankFinancials(rssd_id,$Q$2,$H$5,$H$4,H40,"K"),"")</f>
        <v/>
      </c>
      <c r="J40" s="37" t="s">
        <v>1605</v>
      </c>
      <c r="K40" s="38" t="str">
        <f>IFERROR([1]!IntrinioBankFinancials(rssd_id,$Q$2,$H$5,$H$4,J40,"K"),"")</f>
        <v/>
      </c>
      <c r="L40" s="37" t="s">
        <v>1606</v>
      </c>
      <c r="M40" s="38" t="str">
        <f>IFERROR([1]!IntrinioBankFinancials(rssd_id,$Q$2,$H$5,$H$4,L40,"K"),"")</f>
        <v/>
      </c>
      <c r="N40" s="49" t="s">
        <v>655</v>
      </c>
      <c r="O40" s="13"/>
      <c r="P40" s="13"/>
      <c r="Q40" s="13"/>
    </row>
    <row r="41" spans="1:17" s="47" customFormat="1" ht="42.75" x14ac:dyDescent="0.4">
      <c r="A41" s="39" t="s">
        <v>848</v>
      </c>
      <c r="B41" s="37" t="s">
        <v>1607</v>
      </c>
      <c r="C41" s="38" t="str">
        <f>IFERROR([1]!IntrinioBankFinancials(rssd_id,$Q$2,$B$5,$B$4,B41,"K"),"")</f>
        <v/>
      </c>
      <c r="D41" s="37" t="s">
        <v>1608</v>
      </c>
      <c r="E41" s="38" t="str">
        <f>IFERROR([1]!IntrinioBankFinancials(rssd_id,$Q$2,$B$5,$B$4,D41,"K"),"")</f>
        <v/>
      </c>
      <c r="F41" s="37" t="s">
        <v>1609</v>
      </c>
      <c r="G41" s="38" t="str">
        <f>IFERROR([1]!IntrinioBankFinancials(rssd_id,$Q$2,$B$5,$B$4,F41,"K"),"")</f>
        <v/>
      </c>
      <c r="H41" s="37" t="s">
        <v>1607</v>
      </c>
      <c r="I41" s="38" t="str">
        <f>IFERROR([1]!IntrinioBankFinancials(rssd_id,$Q$2,$H$5,$H$4,H41,"K"),"")</f>
        <v/>
      </c>
      <c r="J41" s="37" t="s">
        <v>1608</v>
      </c>
      <c r="K41" s="38" t="str">
        <f>IFERROR([1]!IntrinioBankFinancials(rssd_id,$Q$2,$H$5,$H$4,J41,"K"),"")</f>
        <v/>
      </c>
      <c r="L41" s="37" t="s">
        <v>1609</v>
      </c>
      <c r="M41" s="38" t="str">
        <f>IFERROR([1]!IntrinioBankFinancials(rssd_id,$Q$2,$H$5,$H$4,L41,"K"),"")</f>
        <v/>
      </c>
      <c r="N41" s="49" t="s">
        <v>657</v>
      </c>
      <c r="O41" s="13"/>
      <c r="P41" s="13"/>
      <c r="Q41" s="13"/>
    </row>
    <row r="42" spans="1:17" s="47" customFormat="1" ht="28.5" x14ac:dyDescent="0.4">
      <c r="A42" s="39" t="s">
        <v>651</v>
      </c>
      <c r="B42" s="37" t="s">
        <v>1610</v>
      </c>
      <c r="C42" s="38" t="str">
        <f>IFERROR([1]!IntrinioBankFinancials(rssd_id,$Q$2,$B$5,$B$4,B42,"K"),"")</f>
        <v/>
      </c>
      <c r="D42" s="37" t="s">
        <v>1611</v>
      </c>
      <c r="E42" s="38" t="str">
        <f>IFERROR([1]!IntrinioBankFinancials(rssd_id,$Q$2,$B$5,$B$4,D42,"K"),"")</f>
        <v/>
      </c>
      <c r="F42" s="37" t="s">
        <v>1612</v>
      </c>
      <c r="G42" s="38" t="str">
        <f>IFERROR([1]!IntrinioBankFinancials(rssd_id,$Q$2,$B$5,$B$4,F42,"K"),"")</f>
        <v/>
      </c>
      <c r="H42" s="37" t="s">
        <v>1610</v>
      </c>
      <c r="I42" s="38" t="str">
        <f>IFERROR([1]!IntrinioBankFinancials(rssd_id,$Q$2,$H$5,$H$4,H42,"K"),"")</f>
        <v/>
      </c>
      <c r="J42" s="37" t="s">
        <v>1611</v>
      </c>
      <c r="K42" s="38" t="str">
        <f>IFERROR([1]!IntrinioBankFinancials(rssd_id,$Q$2,$H$5,$H$4,J42,"K"),"")</f>
        <v/>
      </c>
      <c r="L42" s="37" t="s">
        <v>1612</v>
      </c>
      <c r="M42" s="38" t="str">
        <f>IFERROR([1]!IntrinioBankFinancials(rssd_id,$Q$2,$H$5,$H$4,L42,"K"),"")</f>
        <v/>
      </c>
      <c r="N42" s="49" t="s">
        <v>659</v>
      </c>
      <c r="O42" s="13"/>
      <c r="P42" s="13"/>
      <c r="Q42" s="13"/>
    </row>
    <row r="43" spans="1:17" s="47" customFormat="1" ht="28.5" x14ac:dyDescent="0.4">
      <c r="A43" s="39" t="s">
        <v>849</v>
      </c>
      <c r="B43" s="37" t="s">
        <v>1613</v>
      </c>
      <c r="C43" s="38" t="str">
        <f>IFERROR([1]!IntrinioBankFinancials(rssd_id,$Q$2,$B$5,$B$4,B43,"K"),"")</f>
        <v/>
      </c>
      <c r="D43" s="37" t="s">
        <v>1614</v>
      </c>
      <c r="E43" s="38" t="str">
        <f>IFERROR([1]!IntrinioBankFinancials(rssd_id,$Q$2,$B$5,$B$4,D43,"K"),"")</f>
        <v/>
      </c>
      <c r="F43" s="37" t="s">
        <v>1615</v>
      </c>
      <c r="G43" s="38" t="str">
        <f>IFERROR([1]!IntrinioBankFinancials(rssd_id,$Q$2,$B$5,$B$4,F43,"K"),"")</f>
        <v/>
      </c>
      <c r="H43" s="37" t="s">
        <v>1613</v>
      </c>
      <c r="I43" s="38" t="str">
        <f>IFERROR([1]!IntrinioBankFinancials(rssd_id,$Q$2,$H$5,$H$4,H43,"K"),"")</f>
        <v/>
      </c>
      <c r="J43" s="37" t="s">
        <v>1614</v>
      </c>
      <c r="K43" s="38" t="str">
        <f>IFERROR([1]!IntrinioBankFinancials(rssd_id,$Q$2,$H$5,$H$4,J43,"K"),"")</f>
        <v/>
      </c>
      <c r="L43" s="37" t="s">
        <v>1615</v>
      </c>
      <c r="M43" s="38" t="str">
        <f>IFERROR([1]!IntrinioBankFinancials(rssd_id,$Q$2,$H$5,$H$4,L43,"K"),"")</f>
        <v/>
      </c>
      <c r="N43" s="49" t="s">
        <v>660</v>
      </c>
      <c r="O43" s="13"/>
      <c r="P43" s="13"/>
      <c r="Q43" s="13"/>
    </row>
    <row r="44" spans="1:17" s="47" customFormat="1" ht="28.5" x14ac:dyDescent="0.4">
      <c r="A44" s="39" t="s">
        <v>850</v>
      </c>
      <c r="B44" s="37"/>
      <c r="C44" s="38" t="str">
        <f>IFERROR([1]!IntrinioBankFinancials(rssd_id,$Q$2,$B$5,$B$4,B44,"K"),"")</f>
        <v/>
      </c>
      <c r="D44" s="37"/>
      <c r="E44" s="38" t="str">
        <f>IFERROR([1]!IntrinioBankFinancials(rssd_id,$Q$2,$B$5,$B$4,D44,"K"),"")</f>
        <v/>
      </c>
      <c r="F44" s="37"/>
      <c r="G44" s="38" t="str">
        <f>IFERROR([1]!IntrinioBankFinancials(rssd_id,$Q$2,$B$5,$B$4,F44,"K"),"")</f>
        <v/>
      </c>
      <c r="H44" s="37"/>
      <c r="I44" s="38" t="str">
        <f>IFERROR([1]!IntrinioBankFinancials(rssd_id,$Q$2,$H$5,$H$4,H44,"K"),"")</f>
        <v/>
      </c>
      <c r="J44" s="37"/>
      <c r="K44" s="38" t="str">
        <f>IFERROR([1]!IntrinioBankFinancials(rssd_id,$Q$2,$H$5,$H$4,J44,"K"),"")</f>
        <v/>
      </c>
      <c r="L44" s="37"/>
      <c r="M44" s="38" t="str">
        <f>IFERROR([1]!IntrinioBankFinancials(rssd_id,$Q$2,$H$5,$H$4,L44,"K"),"")</f>
        <v/>
      </c>
      <c r="N44" s="49" t="s">
        <v>661</v>
      </c>
      <c r="O44" s="13"/>
      <c r="P44" s="13"/>
      <c r="Q44" s="13"/>
    </row>
    <row r="45" spans="1:17" s="47" customFormat="1" x14ac:dyDescent="0.4">
      <c r="A45" s="39" t="s">
        <v>851</v>
      </c>
      <c r="B45" s="37"/>
      <c r="C45" s="38" t="str">
        <f>IFERROR([1]!IntrinioBankFinancials(rssd_id,$Q$2,$B$5,$B$4,B45,"K"),"")</f>
        <v/>
      </c>
      <c r="D45" s="37"/>
      <c r="E45" s="38" t="str">
        <f>IFERROR([1]!IntrinioBankFinancials(rssd_id,$Q$2,$B$5,$B$4,D45,"K"),"")</f>
        <v/>
      </c>
      <c r="F45" s="37"/>
      <c r="G45" s="38" t="str">
        <f>IFERROR([1]!IntrinioBankFinancials(rssd_id,$Q$2,$B$5,$B$4,F45,"K"),"")</f>
        <v/>
      </c>
      <c r="H45" s="37"/>
      <c r="I45" s="38" t="str">
        <f>IFERROR([1]!IntrinioBankFinancials(rssd_id,$Q$2,$H$5,$H$4,H45,"K"),"")</f>
        <v/>
      </c>
      <c r="J45" s="37"/>
      <c r="K45" s="38" t="str">
        <f>IFERROR([1]!IntrinioBankFinancials(rssd_id,$Q$2,$H$5,$H$4,J45,"K"),"")</f>
        <v/>
      </c>
      <c r="L45" s="37"/>
      <c r="M45" s="38" t="str">
        <f>IFERROR([1]!IntrinioBankFinancials(rssd_id,$Q$2,$H$5,$H$4,L45,"K"),"")</f>
        <v/>
      </c>
      <c r="N45" s="49" t="s">
        <v>662</v>
      </c>
      <c r="O45" s="13"/>
      <c r="P45" s="13"/>
      <c r="Q45" s="13"/>
    </row>
    <row r="46" spans="1:17" s="47" customFormat="1" x14ac:dyDescent="0.4">
      <c r="A46" s="39" t="s">
        <v>652</v>
      </c>
      <c r="B46" s="37"/>
      <c r="C46" s="38" t="str">
        <f>IFERROR([1]!IntrinioBankFinancials(rssd_id,$Q$2,$B$5,$B$4,B46,"K"),"")</f>
        <v/>
      </c>
      <c r="D46" s="37"/>
      <c r="E46" s="38" t="str">
        <f>IFERROR([1]!IntrinioBankFinancials(rssd_id,$Q$2,$B$5,$B$4,D46,"K"),"")</f>
        <v/>
      </c>
      <c r="F46" s="37"/>
      <c r="G46" s="38" t="str">
        <f>IFERROR([1]!IntrinioBankFinancials(rssd_id,$Q$2,$B$5,$B$4,F46,"K"),"")</f>
        <v/>
      </c>
      <c r="H46" s="37"/>
      <c r="I46" s="38" t="str">
        <f>IFERROR([1]!IntrinioBankFinancials(rssd_id,$Q$2,$H$5,$H$4,H46,"K"),"")</f>
        <v/>
      </c>
      <c r="J46" s="37"/>
      <c r="K46" s="38" t="str">
        <f>IFERROR([1]!IntrinioBankFinancials(rssd_id,$Q$2,$H$5,$H$4,J46,"K"),"")</f>
        <v/>
      </c>
      <c r="L46" s="37"/>
      <c r="M46" s="38" t="str">
        <f>IFERROR([1]!IntrinioBankFinancials(rssd_id,$Q$2,$H$5,$H$4,L46,"K"),"")</f>
        <v/>
      </c>
      <c r="N46" s="49" t="s">
        <v>663</v>
      </c>
      <c r="O46" s="13"/>
      <c r="P46" s="13"/>
      <c r="Q46" s="13"/>
    </row>
    <row r="47" spans="1:17" s="47" customFormat="1" x14ac:dyDescent="0.4">
      <c r="A47" s="39" t="s">
        <v>654</v>
      </c>
      <c r="B47" s="37" t="s">
        <v>1520</v>
      </c>
      <c r="C47" s="38" t="str">
        <f>IFERROR([1]!IntrinioBankFinancials(rssd_id,$Q$2,$B$5,$B$4,B47,"K"),"")</f>
        <v/>
      </c>
      <c r="D47" s="37" t="s">
        <v>1521</v>
      </c>
      <c r="E47" s="38" t="str">
        <f>IFERROR([1]!IntrinioBankFinancials(rssd_id,$Q$2,$B$5,$B$4,D47,"K"),"")</f>
        <v/>
      </c>
      <c r="F47" s="37" t="s">
        <v>1522</v>
      </c>
      <c r="G47" s="38" t="str">
        <f>IFERROR([1]!IntrinioBankFinancials(rssd_id,$Q$2,$B$5,$B$4,F47,"K"),"")</f>
        <v/>
      </c>
      <c r="H47" s="37" t="s">
        <v>1520</v>
      </c>
      <c r="I47" s="38" t="str">
        <f>IFERROR([1]!IntrinioBankFinancials(rssd_id,$Q$2,$H$5,$H$4,H47,"K"),"")</f>
        <v/>
      </c>
      <c r="J47" s="37" t="s">
        <v>1521</v>
      </c>
      <c r="K47" s="38" t="str">
        <f>IFERROR([1]!IntrinioBankFinancials(rssd_id,$Q$2,$H$5,$H$4,J47,"K"),"")</f>
        <v/>
      </c>
      <c r="L47" s="37" t="s">
        <v>1522</v>
      </c>
      <c r="M47" s="38" t="str">
        <f>IFERROR([1]!IntrinioBankFinancials(rssd_id,$Q$2,$H$5,$H$4,L47,"K"),"")</f>
        <v/>
      </c>
      <c r="N47" s="49" t="s">
        <v>664</v>
      </c>
      <c r="O47" s="13"/>
      <c r="P47" s="13"/>
      <c r="Q47" s="13"/>
    </row>
    <row r="48" spans="1:17" s="47" customFormat="1" x14ac:dyDescent="0.4">
      <c r="A48" s="39" t="s">
        <v>656</v>
      </c>
      <c r="B48" s="37" t="s">
        <v>1523</v>
      </c>
      <c r="C48" s="38" t="str">
        <f>IFERROR([1]!IntrinioBankFinancials(rssd_id,$Q$2,$B$5,$B$4,B48,"K"),"")</f>
        <v/>
      </c>
      <c r="D48" s="37" t="s">
        <v>1524</v>
      </c>
      <c r="E48" s="38" t="str">
        <f>IFERROR([1]!IntrinioBankFinancials(rssd_id,$Q$2,$B$5,$B$4,D48,"K"),"")</f>
        <v/>
      </c>
      <c r="F48" s="37" t="s">
        <v>1525</v>
      </c>
      <c r="G48" s="38" t="str">
        <f>IFERROR([1]!IntrinioBankFinancials(rssd_id,$Q$2,$B$5,$B$4,F48,"K"),"")</f>
        <v/>
      </c>
      <c r="H48" s="37" t="s">
        <v>1523</v>
      </c>
      <c r="I48" s="38" t="str">
        <f>IFERROR([1]!IntrinioBankFinancials(rssd_id,$Q$2,$H$5,$H$4,H48,"K"),"")</f>
        <v/>
      </c>
      <c r="J48" s="37" t="s">
        <v>1524</v>
      </c>
      <c r="K48" s="38" t="str">
        <f>IFERROR([1]!IntrinioBankFinancials(rssd_id,$Q$2,$H$5,$H$4,J48,"K"),"")</f>
        <v/>
      </c>
      <c r="L48" s="37" t="s">
        <v>1525</v>
      </c>
      <c r="M48" s="38" t="str">
        <f>IFERROR([1]!IntrinioBankFinancials(rssd_id,$Q$2,$H$5,$H$4,L48,"K"),"")</f>
        <v/>
      </c>
      <c r="N48" s="49" t="s">
        <v>665</v>
      </c>
      <c r="O48" s="13"/>
      <c r="P48" s="13"/>
      <c r="Q48" s="13"/>
    </row>
    <row r="49" spans="1:17" s="47" customFormat="1" x14ac:dyDescent="0.4">
      <c r="A49" s="39" t="s">
        <v>658</v>
      </c>
      <c r="B49" s="37" t="s">
        <v>1526</v>
      </c>
      <c r="C49" s="38" t="str">
        <f>IFERROR([1]!IntrinioBankFinancials(rssd_id,$Q$2,$B$5,$B$4,B49,"K"),"")</f>
        <v/>
      </c>
      <c r="D49" s="37" t="s">
        <v>1527</v>
      </c>
      <c r="E49" s="38" t="str">
        <f>IFERROR([1]!IntrinioBankFinancials(rssd_id,$Q$2,$B$5,$B$4,D49,"K"),"")</f>
        <v/>
      </c>
      <c r="F49" s="37" t="s">
        <v>1528</v>
      </c>
      <c r="G49" s="38" t="str">
        <f>IFERROR([1]!IntrinioBankFinancials(rssd_id,$Q$2,$B$5,$B$4,F49,"K"),"")</f>
        <v/>
      </c>
      <c r="H49" s="37" t="s">
        <v>1526</v>
      </c>
      <c r="I49" s="38" t="str">
        <f>IFERROR([1]!IntrinioBankFinancials(rssd_id,$Q$2,$H$5,$H$4,H49,"K"),"")</f>
        <v/>
      </c>
      <c r="J49" s="37" t="s">
        <v>1527</v>
      </c>
      <c r="K49" s="38" t="str">
        <f>IFERROR([1]!IntrinioBankFinancials(rssd_id,$Q$2,$H$5,$H$4,J49,"K"),"")</f>
        <v/>
      </c>
      <c r="L49" s="37" t="s">
        <v>1528</v>
      </c>
      <c r="M49" s="38" t="str">
        <f>IFERROR([1]!IntrinioBankFinancials(rssd_id,$Q$2,$H$5,$H$4,L49,"K"),"")</f>
        <v/>
      </c>
      <c r="N49" s="49" t="s">
        <v>667</v>
      </c>
      <c r="O49" s="13"/>
      <c r="P49" s="13"/>
      <c r="Q49" s="13"/>
    </row>
    <row r="50" spans="1:17" s="47" customFormat="1" x14ac:dyDescent="0.4">
      <c r="A50" s="39" t="s">
        <v>451</v>
      </c>
      <c r="B50" s="37"/>
      <c r="C50" s="38" t="str">
        <f>IFERROR([1]!IntrinioBankFinancials(rssd_id,$Q$2,$B$5,$B$4,B50,"K"),"")</f>
        <v/>
      </c>
      <c r="D50" s="37"/>
      <c r="E50" s="38" t="str">
        <f>IFERROR([1]!IntrinioBankFinancials(rssd_id,$Q$2,$B$5,$B$4,D50,"K"),"")</f>
        <v/>
      </c>
      <c r="F50" s="37"/>
      <c r="G50" s="38" t="str">
        <f>IFERROR([1]!IntrinioBankFinancials(rssd_id,$Q$2,$B$5,$B$4,F50,"K"),"")</f>
        <v/>
      </c>
      <c r="H50" s="37"/>
      <c r="I50" s="38" t="str">
        <f>IFERROR([1]!IntrinioBankFinancials(rssd_id,$Q$2,$H$5,$H$4,H50,"K"),"")</f>
        <v/>
      </c>
      <c r="J50" s="37"/>
      <c r="K50" s="38" t="str">
        <f>IFERROR([1]!IntrinioBankFinancials(rssd_id,$Q$2,$H$5,$H$4,J50,"K"),"")</f>
        <v/>
      </c>
      <c r="L50" s="37"/>
      <c r="M50" s="38" t="str">
        <f>IFERROR([1]!IntrinioBankFinancials(rssd_id,$Q$2,$H$5,$H$4,L50,"K"),"")</f>
        <v/>
      </c>
      <c r="N50" s="49" t="s">
        <v>669</v>
      </c>
      <c r="O50" s="13"/>
      <c r="P50" s="13"/>
      <c r="Q50" s="13"/>
    </row>
    <row r="51" spans="1:17" s="47" customFormat="1" ht="28.5" x14ac:dyDescent="0.4">
      <c r="A51" s="39" t="s">
        <v>452</v>
      </c>
      <c r="B51" s="37" t="s">
        <v>1529</v>
      </c>
      <c r="C51" s="38" t="str">
        <f>IFERROR([1]!IntrinioBankFinancials(rssd_id,$Q$2,$B$5,$B$4,B51,"K"),"")</f>
        <v/>
      </c>
      <c r="D51" s="37" t="s">
        <v>1530</v>
      </c>
      <c r="E51" s="38" t="str">
        <f>IFERROR([1]!IntrinioBankFinancials(rssd_id,$Q$2,$B$5,$B$4,D51,"K"),"")</f>
        <v/>
      </c>
      <c r="F51" s="37" t="s">
        <v>1531</v>
      </c>
      <c r="G51" s="38" t="str">
        <f>IFERROR([1]!IntrinioBankFinancials(rssd_id,$Q$2,$B$5,$B$4,F51,"K"),"")</f>
        <v/>
      </c>
      <c r="H51" s="37" t="s">
        <v>1529</v>
      </c>
      <c r="I51" s="38" t="str">
        <f>IFERROR([1]!IntrinioBankFinancials(rssd_id,$Q$2,$H$5,$H$4,H51,"K"),"")</f>
        <v/>
      </c>
      <c r="J51" s="37" t="s">
        <v>1530</v>
      </c>
      <c r="K51" s="38" t="str">
        <f>IFERROR([1]!IntrinioBankFinancials(rssd_id,$Q$2,$H$5,$H$4,J51,"K"),"")</f>
        <v/>
      </c>
      <c r="L51" s="37" t="s">
        <v>1531</v>
      </c>
      <c r="M51" s="38" t="str">
        <f>IFERROR([1]!IntrinioBankFinancials(rssd_id,$Q$2,$H$5,$H$4,L51,"K"),"")</f>
        <v/>
      </c>
      <c r="N51" s="49" t="s">
        <v>671</v>
      </c>
      <c r="O51" s="13"/>
      <c r="P51" s="13"/>
      <c r="Q51" s="13"/>
    </row>
    <row r="52" spans="1:17" s="47" customFormat="1" x14ac:dyDescent="0.4">
      <c r="A52" s="39" t="s">
        <v>453</v>
      </c>
      <c r="B52" s="37"/>
      <c r="C52" s="38" t="str">
        <f>IFERROR([1]!IntrinioBankFinancials(rssd_id,$Q$2,$B$5,$B$4,B52,"K"),"")</f>
        <v/>
      </c>
      <c r="D52" s="37"/>
      <c r="E52" s="38" t="str">
        <f>IFERROR([1]!IntrinioBankFinancials(rssd_id,$Q$2,$B$5,$B$4,D52,"K"),"")</f>
        <v/>
      </c>
      <c r="F52" s="37"/>
      <c r="G52" s="38" t="str">
        <f>IFERROR([1]!IntrinioBankFinancials(rssd_id,$Q$2,$B$5,$B$4,F52,"K"),"")</f>
        <v/>
      </c>
      <c r="H52" s="37"/>
      <c r="I52" s="38" t="str">
        <f>IFERROR([1]!IntrinioBankFinancials(rssd_id,$Q$2,$H$5,$H$4,H52,"K"),"")</f>
        <v/>
      </c>
      <c r="J52" s="37"/>
      <c r="K52" s="38" t="str">
        <f>IFERROR([1]!IntrinioBankFinancials(rssd_id,$Q$2,$H$5,$H$4,J52,"K"),"")</f>
        <v/>
      </c>
      <c r="L52" s="37"/>
      <c r="M52" s="38" t="str">
        <f>IFERROR([1]!IntrinioBankFinancials(rssd_id,$Q$2,$H$5,$H$4,L52,"K"),"")</f>
        <v/>
      </c>
      <c r="N52" s="49" t="s">
        <v>539</v>
      </c>
      <c r="O52" s="13"/>
      <c r="P52" s="13"/>
      <c r="Q52" s="13"/>
    </row>
    <row r="53" spans="1:17" s="47" customFormat="1" x14ac:dyDescent="0.4">
      <c r="A53" s="39" t="s">
        <v>454</v>
      </c>
      <c r="B53" s="37" t="s">
        <v>1532</v>
      </c>
      <c r="C53" s="38" t="str">
        <f>IFERROR([1]!IntrinioBankFinancials(rssd_id,$Q$2,$B$5,$B$4,B53,"K"),"")</f>
        <v/>
      </c>
      <c r="D53" s="37" t="s">
        <v>1533</v>
      </c>
      <c r="E53" s="38" t="str">
        <f>IFERROR([1]!IntrinioBankFinancials(rssd_id,$Q$2,$B$5,$B$4,D53,"K"),"")</f>
        <v/>
      </c>
      <c r="F53" s="37" t="s">
        <v>1534</v>
      </c>
      <c r="G53" s="38" t="str">
        <f>IFERROR([1]!IntrinioBankFinancials(rssd_id,$Q$2,$B$5,$B$4,F53,"K"),"")</f>
        <v/>
      </c>
      <c r="H53" s="37" t="s">
        <v>1532</v>
      </c>
      <c r="I53" s="38" t="str">
        <f>IFERROR([1]!IntrinioBankFinancials(rssd_id,$Q$2,$H$5,$H$4,H53,"K"),"")</f>
        <v/>
      </c>
      <c r="J53" s="37" t="s">
        <v>1533</v>
      </c>
      <c r="K53" s="38" t="str">
        <f>IFERROR([1]!IntrinioBankFinancials(rssd_id,$Q$2,$H$5,$H$4,J53,"K"),"")</f>
        <v/>
      </c>
      <c r="L53" s="37" t="s">
        <v>1534</v>
      </c>
      <c r="M53" s="38" t="str">
        <f>IFERROR([1]!IntrinioBankFinancials(rssd_id,$Q$2,$H$5,$H$4,L53,"K"),"")</f>
        <v/>
      </c>
      <c r="N53" s="49" t="s">
        <v>540</v>
      </c>
      <c r="O53" s="13"/>
      <c r="P53" s="13"/>
      <c r="Q53" s="13"/>
    </row>
    <row r="54" spans="1:17" s="47" customFormat="1" x14ac:dyDescent="0.4">
      <c r="A54" s="39" t="s">
        <v>455</v>
      </c>
      <c r="B54" s="37" t="s">
        <v>1535</v>
      </c>
      <c r="C54" s="38" t="str">
        <f>IFERROR([1]!IntrinioBankFinancials(rssd_id,$Q$2,$B$5,$B$4,B54,"K"),"")</f>
        <v/>
      </c>
      <c r="D54" s="37" t="s">
        <v>1536</v>
      </c>
      <c r="E54" s="38" t="str">
        <f>IFERROR([1]!IntrinioBankFinancials(rssd_id,$Q$2,$B$5,$B$4,D54,"K"),"")</f>
        <v/>
      </c>
      <c r="F54" s="37" t="s">
        <v>1537</v>
      </c>
      <c r="G54" s="38" t="str">
        <f>IFERROR([1]!IntrinioBankFinancials(rssd_id,$Q$2,$B$5,$B$4,F54,"K"),"")</f>
        <v/>
      </c>
      <c r="H54" s="37" t="s">
        <v>1535</v>
      </c>
      <c r="I54" s="38" t="str">
        <f>IFERROR([1]!IntrinioBankFinancials(rssd_id,$Q$2,$H$5,$H$4,H54,"K"),"")</f>
        <v/>
      </c>
      <c r="J54" s="37" t="s">
        <v>1536</v>
      </c>
      <c r="K54" s="38" t="str">
        <f>IFERROR([1]!IntrinioBankFinancials(rssd_id,$Q$2,$H$5,$H$4,J54,"K"),"")</f>
        <v/>
      </c>
      <c r="L54" s="37" t="s">
        <v>1537</v>
      </c>
      <c r="M54" s="38" t="str">
        <f>IFERROR([1]!IntrinioBankFinancials(rssd_id,$Q$2,$H$5,$H$4,L54,"K"),"")</f>
        <v/>
      </c>
      <c r="N54" s="49" t="s">
        <v>672</v>
      </c>
      <c r="O54" s="13"/>
      <c r="P54" s="13"/>
      <c r="Q54" s="13"/>
    </row>
    <row r="55" spans="1:17" s="47" customFormat="1" x14ac:dyDescent="0.4">
      <c r="A55" s="39" t="s">
        <v>456</v>
      </c>
      <c r="B55" s="37" t="s">
        <v>1538</v>
      </c>
      <c r="C55" s="38" t="str">
        <f>IFERROR([1]!IntrinioBankFinancials(rssd_id,$Q$2,$B$5,$B$4,B55,"K"),"")</f>
        <v/>
      </c>
      <c r="D55" s="37" t="s">
        <v>1539</v>
      </c>
      <c r="E55" s="38" t="str">
        <f>IFERROR([1]!IntrinioBankFinancials(rssd_id,$Q$2,$B$5,$B$4,D55,"K"),"")</f>
        <v/>
      </c>
      <c r="F55" s="37" t="s">
        <v>1540</v>
      </c>
      <c r="G55" s="38" t="str">
        <f>IFERROR([1]!IntrinioBankFinancials(rssd_id,$Q$2,$B$5,$B$4,F55,"K"),"")</f>
        <v/>
      </c>
      <c r="H55" s="37" t="s">
        <v>1538</v>
      </c>
      <c r="I55" s="38" t="str">
        <f>IFERROR([1]!IntrinioBankFinancials(rssd_id,$Q$2,$H$5,$H$4,H55,"K"),"")</f>
        <v/>
      </c>
      <c r="J55" s="37" t="s">
        <v>1539</v>
      </c>
      <c r="K55" s="38" t="str">
        <f>IFERROR([1]!IntrinioBankFinancials(rssd_id,$Q$2,$H$5,$H$4,J55,"K"),"")</f>
        <v/>
      </c>
      <c r="L55" s="37" t="s">
        <v>1540</v>
      </c>
      <c r="M55" s="38" t="str">
        <f>IFERROR([1]!IntrinioBankFinancials(rssd_id,$Q$2,$H$5,$H$4,L55,"K"),"")</f>
        <v/>
      </c>
      <c r="N55" s="49" t="s">
        <v>673</v>
      </c>
      <c r="O55" s="13"/>
      <c r="P55" s="13"/>
      <c r="Q55" s="13"/>
    </row>
    <row r="56" spans="1:17" s="47" customFormat="1" x14ac:dyDescent="0.4">
      <c r="A56" s="39" t="s">
        <v>666</v>
      </c>
      <c r="B56" s="37"/>
      <c r="C56" s="38" t="str">
        <f>IFERROR([1]!IntrinioBankFinancials(rssd_id,$Q$2,$B$5,$B$4,B56,"K"),"")</f>
        <v/>
      </c>
      <c r="D56" s="37"/>
      <c r="E56" s="38" t="str">
        <f>IFERROR([1]!IntrinioBankFinancials(rssd_id,$Q$2,$B$5,$B$4,D56,"K"),"")</f>
        <v/>
      </c>
      <c r="F56" s="37"/>
      <c r="G56" s="38" t="str">
        <f>IFERROR([1]!IntrinioBankFinancials(rssd_id,$Q$2,$B$5,$B$4,F56,"K"),"")</f>
        <v/>
      </c>
      <c r="H56" s="37"/>
      <c r="I56" s="38" t="str">
        <f>IFERROR([1]!IntrinioBankFinancials(rssd_id,$Q$2,$H$5,$H$4,H56,"K"),"")</f>
        <v/>
      </c>
      <c r="J56" s="37"/>
      <c r="K56" s="38" t="str">
        <f>IFERROR([1]!IntrinioBankFinancials(rssd_id,$Q$2,$H$5,$H$4,J56,"K"),"")</f>
        <v/>
      </c>
      <c r="L56" s="37"/>
      <c r="M56" s="38" t="str">
        <f>IFERROR([1]!IntrinioBankFinancials(rssd_id,$Q$2,$H$5,$H$4,L56,"K"),"")</f>
        <v/>
      </c>
      <c r="N56" s="49" t="s">
        <v>675</v>
      </c>
      <c r="O56" s="13"/>
      <c r="P56" s="13"/>
      <c r="Q56" s="13"/>
    </row>
    <row r="57" spans="1:17" s="47" customFormat="1" x14ac:dyDescent="0.4">
      <c r="A57" s="39" t="s">
        <v>668</v>
      </c>
      <c r="B57" s="37" t="s">
        <v>1541</v>
      </c>
      <c r="C57" s="38" t="str">
        <f>IFERROR([1]!IntrinioBankFinancials(rssd_id,$Q$2,$B$5,$B$4,B57,"K"),"")</f>
        <v/>
      </c>
      <c r="D57" s="37" t="s">
        <v>1542</v>
      </c>
      <c r="E57" s="38" t="str">
        <f>IFERROR([1]!IntrinioBankFinancials(rssd_id,$Q$2,$B$5,$B$4,D57,"K"),"")</f>
        <v/>
      </c>
      <c r="F57" s="37" t="s">
        <v>1543</v>
      </c>
      <c r="G57" s="38" t="str">
        <f>IFERROR([1]!IntrinioBankFinancials(rssd_id,$Q$2,$B$5,$B$4,F57,"K"),"")</f>
        <v/>
      </c>
      <c r="H57" s="37" t="s">
        <v>1541</v>
      </c>
      <c r="I57" s="38" t="str">
        <f>IFERROR([1]!IntrinioBankFinancials(rssd_id,$Q$2,$H$5,$H$4,H57,"K"),"")</f>
        <v/>
      </c>
      <c r="J57" s="37" t="s">
        <v>1542</v>
      </c>
      <c r="K57" s="38" t="str">
        <f>IFERROR([1]!IntrinioBankFinancials(rssd_id,$Q$2,$H$5,$H$4,J57,"K"),"")</f>
        <v/>
      </c>
      <c r="L57" s="37" t="s">
        <v>1543</v>
      </c>
      <c r="M57" s="38" t="str">
        <f>IFERROR([1]!IntrinioBankFinancials(rssd_id,$Q$2,$H$5,$H$4,L57,"K"),"")</f>
        <v/>
      </c>
      <c r="N57" s="49" t="s">
        <v>677</v>
      </c>
      <c r="O57" s="13"/>
      <c r="P57" s="13"/>
      <c r="Q57" s="13"/>
    </row>
    <row r="58" spans="1:17" s="47" customFormat="1" x14ac:dyDescent="0.4">
      <c r="A58" s="39" t="s">
        <v>670</v>
      </c>
      <c r="B58" s="37" t="s">
        <v>1544</v>
      </c>
      <c r="C58" s="38" t="str">
        <f>IFERROR([1]!IntrinioBankFinancials(rssd_id,$Q$2,$B$5,$B$4,B58,"K"),"")</f>
        <v/>
      </c>
      <c r="D58" s="37" t="s">
        <v>1545</v>
      </c>
      <c r="E58" s="38" t="str">
        <f>IFERROR([1]!IntrinioBankFinancials(rssd_id,$Q$2,$B$5,$B$4,D58,"K"),"")</f>
        <v/>
      </c>
      <c r="F58" s="37" t="s">
        <v>1546</v>
      </c>
      <c r="G58" s="38" t="str">
        <f>IFERROR([1]!IntrinioBankFinancials(rssd_id,$Q$2,$B$5,$B$4,F58,"K"),"")</f>
        <v/>
      </c>
      <c r="H58" s="37" t="s">
        <v>1544</v>
      </c>
      <c r="I58" s="38" t="str">
        <f>IFERROR([1]!IntrinioBankFinancials(rssd_id,$Q$2,$H$5,$H$4,H58,"K"),"")</f>
        <v/>
      </c>
      <c r="J58" s="37" t="s">
        <v>1545</v>
      </c>
      <c r="K58" s="38" t="str">
        <f>IFERROR([1]!IntrinioBankFinancials(rssd_id,$Q$2,$H$5,$H$4,J58,"K"),"")</f>
        <v/>
      </c>
      <c r="L58" s="37" t="s">
        <v>1546</v>
      </c>
      <c r="M58" s="38" t="str">
        <f>IFERROR([1]!IntrinioBankFinancials(rssd_id,$Q$2,$H$5,$H$4,L58,"K"),"")</f>
        <v/>
      </c>
      <c r="N58" s="49" t="s">
        <v>679</v>
      </c>
      <c r="O58" s="13"/>
      <c r="P58" s="13"/>
      <c r="Q58" s="13"/>
    </row>
    <row r="59" spans="1:17" s="47" customFormat="1" x14ac:dyDescent="0.4">
      <c r="A59" s="39" t="s">
        <v>852</v>
      </c>
      <c r="B59" s="37" t="s">
        <v>1616</v>
      </c>
      <c r="C59" s="38" t="str">
        <f>IFERROR([1]!IntrinioBankFinancials(rssd_id,$Q$2,$B$5,$B$4,B59,"K"),"")</f>
        <v/>
      </c>
      <c r="D59" s="37" t="s">
        <v>1617</v>
      </c>
      <c r="E59" s="38" t="str">
        <f>IFERROR([1]!IntrinioBankFinancials(rssd_id,$Q$2,$B$5,$B$4,D59,"K"),"")</f>
        <v/>
      </c>
      <c r="F59" s="37" t="s">
        <v>1618</v>
      </c>
      <c r="G59" s="38" t="str">
        <f>IFERROR([1]!IntrinioBankFinancials(rssd_id,$Q$2,$B$5,$B$4,F59,"K"),"")</f>
        <v/>
      </c>
      <c r="H59" s="37" t="s">
        <v>1616</v>
      </c>
      <c r="I59" s="38" t="str">
        <f>IFERROR([1]!IntrinioBankFinancials(rssd_id,$Q$2,$H$5,$H$4,H59,"K"),"")</f>
        <v/>
      </c>
      <c r="J59" s="37" t="s">
        <v>1617</v>
      </c>
      <c r="K59" s="38" t="str">
        <f>IFERROR([1]!IntrinioBankFinancials(rssd_id,$Q$2,$H$5,$H$4,J59,"K"),"")</f>
        <v/>
      </c>
      <c r="L59" s="37" t="s">
        <v>1618</v>
      </c>
      <c r="M59" s="38" t="str">
        <f>IFERROR([1]!IntrinioBankFinancials(rssd_id,$Q$2,$H$5,$H$4,L59,"K"),"")</f>
        <v/>
      </c>
      <c r="N59" s="49" t="s">
        <v>681</v>
      </c>
      <c r="O59" s="13"/>
      <c r="P59" s="13"/>
      <c r="Q59" s="13"/>
    </row>
    <row r="60" spans="1:17" s="47" customFormat="1" x14ac:dyDescent="0.4">
      <c r="A60" s="39" t="s">
        <v>536</v>
      </c>
      <c r="B60" s="37" t="s">
        <v>1619</v>
      </c>
      <c r="C60" s="38" t="str">
        <f>IFERROR([1]!IntrinioBankFinancials(rssd_id,$Q$2,$B$5,$B$4,B60,"K"),"")</f>
        <v/>
      </c>
      <c r="D60" s="37" t="s">
        <v>1620</v>
      </c>
      <c r="E60" s="38" t="str">
        <f>IFERROR([1]!IntrinioBankFinancials(rssd_id,$Q$2,$B$5,$B$4,D60,"K"),"")</f>
        <v/>
      </c>
      <c r="F60" s="37" t="s">
        <v>1621</v>
      </c>
      <c r="G60" s="38" t="str">
        <f>IFERROR([1]!IntrinioBankFinancials(rssd_id,$Q$2,$B$5,$B$4,F60,"K"),"")</f>
        <v/>
      </c>
      <c r="H60" s="37" t="s">
        <v>1619</v>
      </c>
      <c r="I60" s="38" t="str">
        <f>IFERROR([1]!IntrinioBankFinancials(rssd_id,$Q$2,$H$5,$H$4,H60,"K"),"")</f>
        <v/>
      </c>
      <c r="J60" s="37" t="s">
        <v>1620</v>
      </c>
      <c r="K60" s="38" t="str">
        <f>IFERROR([1]!IntrinioBankFinancials(rssd_id,$Q$2,$H$5,$H$4,J60,"K"),"")</f>
        <v/>
      </c>
      <c r="L60" s="37" t="s">
        <v>1621</v>
      </c>
      <c r="M60" s="38" t="str">
        <f>IFERROR([1]!IntrinioBankFinancials(rssd_id,$Q$2,$H$5,$H$4,L60,"K"),"")</f>
        <v/>
      </c>
      <c r="N60" s="49" t="s">
        <v>683</v>
      </c>
      <c r="O60" s="13"/>
      <c r="P60" s="13"/>
      <c r="Q60" s="13"/>
    </row>
    <row r="61" spans="1:17" s="47" customFormat="1" x14ac:dyDescent="0.4">
      <c r="A61" s="39" t="s">
        <v>537</v>
      </c>
      <c r="B61" s="37"/>
      <c r="C61" s="38" t="str">
        <f>IFERROR([1]!IntrinioBankFinancials(rssd_id,$Q$2,$B$5,$B$4,B61,"K"),"")</f>
        <v/>
      </c>
      <c r="D61" s="37"/>
      <c r="E61" s="38" t="str">
        <f>IFERROR([1]!IntrinioBankFinancials(rssd_id,$Q$2,$B$5,$B$4,D61,"K"),"")</f>
        <v/>
      </c>
      <c r="F61" s="37"/>
      <c r="G61" s="38" t="str">
        <f>IFERROR([1]!IntrinioBankFinancials(rssd_id,$Q$2,$B$5,$B$4,F61,"K"),"")</f>
        <v/>
      </c>
      <c r="H61" s="37"/>
      <c r="I61" s="38" t="str">
        <f>IFERROR([1]!IntrinioBankFinancials(rssd_id,$Q$2,$H$5,$H$4,H61,"K"),"")</f>
        <v/>
      </c>
      <c r="J61" s="37"/>
      <c r="K61" s="38" t="str">
        <f>IFERROR([1]!IntrinioBankFinancials(rssd_id,$Q$2,$H$5,$H$4,J61,"K"),"")</f>
        <v/>
      </c>
      <c r="L61" s="37"/>
      <c r="M61" s="38" t="str">
        <f>IFERROR([1]!IntrinioBankFinancials(rssd_id,$Q$2,$H$5,$H$4,L61,"K"),"")</f>
        <v/>
      </c>
      <c r="N61" s="49" t="s">
        <v>685</v>
      </c>
      <c r="O61" s="13"/>
      <c r="P61" s="13"/>
      <c r="Q61" s="13"/>
    </row>
    <row r="62" spans="1:17" s="47" customFormat="1" x14ac:dyDescent="0.4">
      <c r="A62" s="39" t="s">
        <v>458</v>
      </c>
      <c r="B62" s="37" t="s">
        <v>1622</v>
      </c>
      <c r="C62" s="38" t="str">
        <f>IFERROR([1]!IntrinioBankFinancials(rssd_id,$Q$2,$B$5,$B$4,B62,"K"),"")</f>
        <v/>
      </c>
      <c r="D62" s="37" t="s">
        <v>1623</v>
      </c>
      <c r="E62" s="38" t="str">
        <f>IFERROR([1]!IntrinioBankFinancials(rssd_id,$Q$2,$B$5,$B$4,D62,"K"),"")</f>
        <v/>
      </c>
      <c r="F62" s="37" t="s">
        <v>1624</v>
      </c>
      <c r="G62" s="38" t="str">
        <f>IFERROR([1]!IntrinioBankFinancials(rssd_id,$Q$2,$B$5,$B$4,F62,"K"),"")</f>
        <v/>
      </c>
      <c r="H62" s="37" t="s">
        <v>1622</v>
      </c>
      <c r="I62" s="38" t="str">
        <f>IFERROR([1]!IntrinioBankFinancials(rssd_id,$Q$2,$H$5,$H$4,H62,"K"),"")</f>
        <v/>
      </c>
      <c r="J62" s="37" t="s">
        <v>1623</v>
      </c>
      <c r="K62" s="38" t="str">
        <f>IFERROR([1]!IntrinioBankFinancials(rssd_id,$Q$2,$H$5,$H$4,J62,"K"),"")</f>
        <v/>
      </c>
      <c r="L62" s="37" t="s">
        <v>1624</v>
      </c>
      <c r="M62" s="38" t="str">
        <f>IFERROR([1]!IntrinioBankFinancials(rssd_id,$Q$2,$H$5,$H$4,L62,"K"),"")</f>
        <v/>
      </c>
      <c r="N62" s="49" t="s">
        <v>686</v>
      </c>
      <c r="O62" s="13"/>
      <c r="P62" s="13"/>
      <c r="Q62" s="13"/>
    </row>
    <row r="63" spans="1:17" s="47" customFormat="1" x14ac:dyDescent="0.4">
      <c r="A63" s="39" t="s">
        <v>674</v>
      </c>
      <c r="B63" s="37" t="s">
        <v>1625</v>
      </c>
      <c r="C63" s="38" t="str">
        <f>IFERROR([1]!IntrinioBankFinancials(rssd_id,$Q$2,$B$5,$B$4,B63,"K"),"")</f>
        <v/>
      </c>
      <c r="D63" s="37" t="s">
        <v>1626</v>
      </c>
      <c r="E63" s="38" t="str">
        <f>IFERROR([1]!IntrinioBankFinancials(rssd_id,$Q$2,$B$5,$B$4,D63,"K"),"")</f>
        <v/>
      </c>
      <c r="F63" s="37" t="s">
        <v>1627</v>
      </c>
      <c r="G63" s="38" t="str">
        <f>IFERROR([1]!IntrinioBankFinancials(rssd_id,$Q$2,$B$5,$B$4,F63,"K"),"")</f>
        <v/>
      </c>
      <c r="H63" s="37" t="s">
        <v>1625</v>
      </c>
      <c r="I63" s="38" t="str">
        <f>IFERROR([1]!IntrinioBankFinancials(rssd_id,$Q$2,$H$5,$H$4,H63,"K"),"")</f>
        <v/>
      </c>
      <c r="J63" s="37" t="s">
        <v>1626</v>
      </c>
      <c r="K63" s="38" t="str">
        <f>IFERROR([1]!IntrinioBankFinancials(rssd_id,$Q$2,$H$5,$H$4,J63,"K"),"")</f>
        <v/>
      </c>
      <c r="L63" s="37" t="s">
        <v>1627</v>
      </c>
      <c r="M63" s="38" t="str">
        <f>IFERROR([1]!IntrinioBankFinancials(rssd_id,$Q$2,$H$5,$H$4,L63,"K"),"")</f>
        <v/>
      </c>
      <c r="N63" s="49" t="s">
        <v>688</v>
      </c>
      <c r="O63" s="13"/>
      <c r="P63" s="13"/>
      <c r="Q63" s="13"/>
    </row>
    <row r="64" spans="1:17" s="47" customFormat="1" ht="28.5" x14ac:dyDescent="0.4">
      <c r="A64" s="39" t="s">
        <v>676</v>
      </c>
      <c r="B64" s="37" t="s">
        <v>1628</v>
      </c>
      <c r="C64" s="38" t="str">
        <f>IFERROR([1]!IntrinioBankFinancials(rssd_id,$Q$2,$B$5,$B$4,B64,"K"),"")</f>
        <v/>
      </c>
      <c r="D64" s="37" t="s">
        <v>1629</v>
      </c>
      <c r="E64" s="38" t="str">
        <f>IFERROR([1]!IntrinioBankFinancials(rssd_id,$Q$2,$B$5,$B$4,D64,"K"),"")</f>
        <v/>
      </c>
      <c r="F64" s="37" t="s">
        <v>1630</v>
      </c>
      <c r="G64" s="38" t="str">
        <f>IFERROR([1]!IntrinioBankFinancials(rssd_id,$Q$2,$B$5,$B$4,F64,"K"),"")</f>
        <v/>
      </c>
      <c r="H64" s="37" t="s">
        <v>1628</v>
      </c>
      <c r="I64" s="38" t="str">
        <f>IFERROR([1]!IntrinioBankFinancials(rssd_id,$Q$2,$H$5,$H$4,H64,"K"),"")</f>
        <v/>
      </c>
      <c r="J64" s="37" t="s">
        <v>1629</v>
      </c>
      <c r="K64" s="38" t="str">
        <f>IFERROR([1]!IntrinioBankFinancials(rssd_id,$Q$2,$H$5,$H$4,J64,"K"),"")</f>
        <v/>
      </c>
      <c r="L64" s="37" t="s">
        <v>1630</v>
      </c>
      <c r="M64" s="38" t="str">
        <f>IFERROR([1]!IntrinioBankFinancials(rssd_id,$Q$2,$H$5,$H$4,L64,"K"),"")</f>
        <v/>
      </c>
      <c r="N64" s="49" t="s">
        <v>689</v>
      </c>
      <c r="O64" s="13"/>
      <c r="P64" s="13"/>
      <c r="Q64" s="13"/>
    </row>
    <row r="65" spans="1:17" s="47" customFormat="1" x14ac:dyDescent="0.4">
      <c r="A65" s="39" t="s">
        <v>678</v>
      </c>
      <c r="B65" s="37" t="s">
        <v>1631</v>
      </c>
      <c r="C65" s="38" t="str">
        <f>IFERROR([1]!IntrinioBankFinancials(rssd_id,$Q$2,$B$5,$B$4,B65,"K"),"")</f>
        <v/>
      </c>
      <c r="D65" s="37" t="s">
        <v>1632</v>
      </c>
      <c r="E65" s="38" t="str">
        <f>IFERROR([1]!IntrinioBankFinancials(rssd_id,$Q$2,$B$5,$B$4,D65,"K"),"")</f>
        <v/>
      </c>
      <c r="F65" s="37" t="s">
        <v>1633</v>
      </c>
      <c r="G65" s="38" t="str">
        <f>IFERROR([1]!IntrinioBankFinancials(rssd_id,$Q$2,$B$5,$B$4,F65,"K"),"")</f>
        <v/>
      </c>
      <c r="H65" s="37" t="s">
        <v>1631</v>
      </c>
      <c r="I65" s="38" t="str">
        <f>IFERROR([1]!IntrinioBankFinancials(rssd_id,$Q$2,$H$5,$H$4,H65,"K"),"")</f>
        <v/>
      </c>
      <c r="J65" s="37" t="s">
        <v>1632</v>
      </c>
      <c r="K65" s="38" t="str">
        <f>IFERROR([1]!IntrinioBankFinancials(rssd_id,$Q$2,$H$5,$H$4,J65,"K"),"")</f>
        <v/>
      </c>
      <c r="L65" s="37" t="s">
        <v>1633</v>
      </c>
      <c r="M65" s="38" t="str">
        <f>IFERROR([1]!IntrinioBankFinancials(rssd_id,$Q$2,$H$5,$H$4,L65,"K"),"")</f>
        <v/>
      </c>
      <c r="N65" s="49" t="s">
        <v>450</v>
      </c>
      <c r="O65" s="13"/>
      <c r="P65" s="13"/>
      <c r="Q65" s="13"/>
    </row>
    <row r="66" spans="1:17" s="47" customFormat="1" x14ac:dyDescent="0.4">
      <c r="A66" s="39" t="s">
        <v>680</v>
      </c>
      <c r="B66" s="37" t="s">
        <v>1634</v>
      </c>
      <c r="C66" s="38" t="str">
        <f>IFERROR([1]!IntrinioBankFinancials(rssd_id,$Q$2,$B$5,$B$4,B66,"K"),"")</f>
        <v/>
      </c>
      <c r="D66" s="37" t="s">
        <v>1635</v>
      </c>
      <c r="E66" s="38" t="str">
        <f>IFERROR([1]!IntrinioBankFinancials(rssd_id,$Q$2,$B$5,$B$4,D66,"K"),"")</f>
        <v/>
      </c>
      <c r="F66" s="37" t="s">
        <v>1636</v>
      </c>
      <c r="G66" s="38" t="str">
        <f>IFERROR([1]!IntrinioBankFinancials(rssd_id,$Q$2,$B$5,$B$4,F66,"K"),"")</f>
        <v/>
      </c>
      <c r="H66" s="37" t="s">
        <v>1634</v>
      </c>
      <c r="I66" s="38" t="str">
        <f>IFERROR([1]!IntrinioBankFinancials(rssd_id,$Q$2,$H$5,$H$4,H66,"K"),"")</f>
        <v/>
      </c>
      <c r="J66" s="37" t="s">
        <v>1635</v>
      </c>
      <c r="K66" s="38" t="str">
        <f>IFERROR([1]!IntrinioBankFinancials(rssd_id,$Q$2,$H$5,$H$4,J66,"K"),"")</f>
        <v/>
      </c>
      <c r="L66" s="37" t="s">
        <v>1636</v>
      </c>
      <c r="M66" s="38" t="str">
        <f>IFERROR([1]!IntrinioBankFinancials(rssd_id,$Q$2,$H$5,$H$4,L66,"K"),"")</f>
        <v/>
      </c>
      <c r="N66" s="49" t="s">
        <v>450</v>
      </c>
      <c r="O66" s="13"/>
      <c r="P66" s="13"/>
      <c r="Q66" s="13"/>
    </row>
    <row r="67" spans="1:17" s="47" customFormat="1" x14ac:dyDescent="0.4">
      <c r="A67" s="39" t="s">
        <v>682</v>
      </c>
      <c r="B67" s="37" t="s">
        <v>1637</v>
      </c>
      <c r="C67" s="38" t="str">
        <f>IFERROR([1]!IntrinioBankFinancials(rssd_id,$Q$2,$B$5,$B$4,B67,"K"),"")</f>
        <v/>
      </c>
      <c r="D67" s="37" t="s">
        <v>1638</v>
      </c>
      <c r="E67" s="38" t="str">
        <f>IFERROR([1]!IntrinioBankFinancials(rssd_id,$Q$2,$B$5,$B$4,D67,"K"),"")</f>
        <v/>
      </c>
      <c r="F67" s="37" t="s">
        <v>1639</v>
      </c>
      <c r="G67" s="38" t="str">
        <f>IFERROR([1]!IntrinioBankFinancials(rssd_id,$Q$2,$B$5,$B$4,F67,"K"),"")</f>
        <v/>
      </c>
      <c r="H67" s="37" t="s">
        <v>1637</v>
      </c>
      <c r="I67" s="38" t="str">
        <f>IFERROR([1]!IntrinioBankFinancials(rssd_id,$Q$2,$H$5,$H$4,H67,"K"),"")</f>
        <v/>
      </c>
      <c r="J67" s="37" t="s">
        <v>1638</v>
      </c>
      <c r="K67" s="38" t="str">
        <f>IFERROR([1]!IntrinioBankFinancials(rssd_id,$Q$2,$H$5,$H$4,J67,"K"),"")</f>
        <v/>
      </c>
      <c r="L67" s="37" t="s">
        <v>1639</v>
      </c>
      <c r="M67" s="38" t="str">
        <f>IFERROR([1]!IntrinioBankFinancials(rssd_id,$Q$2,$H$5,$H$4,L67,"K"),"")</f>
        <v/>
      </c>
      <c r="N67" s="49" t="s">
        <v>112</v>
      </c>
      <c r="O67" s="13"/>
      <c r="P67" s="13"/>
      <c r="Q67" s="13"/>
    </row>
    <row r="68" spans="1:17" s="47" customFormat="1" x14ac:dyDescent="0.4">
      <c r="A68" s="39" t="s">
        <v>684</v>
      </c>
      <c r="B68" s="37" t="s">
        <v>1640</v>
      </c>
      <c r="C68" s="38" t="str">
        <f>IFERROR([1]!IntrinioBankFinancials(rssd_id,$Q$2,$B$5,$B$4,B68,"K"),"")</f>
        <v/>
      </c>
      <c r="D68" s="37" t="s">
        <v>1641</v>
      </c>
      <c r="E68" s="38" t="str">
        <f>IFERROR([1]!IntrinioBankFinancials(rssd_id,$Q$2,$B$5,$B$4,D68,"K"),"")</f>
        <v/>
      </c>
      <c r="F68" s="37" t="s">
        <v>1642</v>
      </c>
      <c r="G68" s="38" t="str">
        <f>IFERROR([1]!IntrinioBankFinancials(rssd_id,$Q$2,$B$5,$B$4,F68,"K"),"")</f>
        <v/>
      </c>
      <c r="H68" s="37" t="s">
        <v>1640</v>
      </c>
      <c r="I68" s="38" t="str">
        <f>IFERROR([1]!IntrinioBankFinancials(rssd_id,$Q$2,$H$5,$H$4,H68,"K"),"")</f>
        <v/>
      </c>
      <c r="J68" s="37" t="s">
        <v>1641</v>
      </c>
      <c r="K68" s="38" t="str">
        <f>IFERROR([1]!IntrinioBankFinancials(rssd_id,$Q$2,$H$5,$H$4,J68,"K"),"")</f>
        <v/>
      </c>
      <c r="L68" s="37" t="s">
        <v>1642</v>
      </c>
      <c r="M68" s="38" t="str">
        <f>IFERROR([1]!IntrinioBankFinancials(rssd_id,$Q$2,$H$5,$H$4,L68,"K"),"")</f>
        <v/>
      </c>
      <c r="N68" s="49" t="s">
        <v>462</v>
      </c>
      <c r="O68" s="13"/>
      <c r="P68" s="13"/>
      <c r="Q68" s="13"/>
    </row>
    <row r="69" spans="1:17" s="47" customFormat="1" x14ac:dyDescent="0.4">
      <c r="A69" s="39" t="s">
        <v>687</v>
      </c>
      <c r="B69" s="37" t="s">
        <v>1643</v>
      </c>
      <c r="C69" s="38" t="str">
        <f>IFERROR([1]!IntrinioBankFinancials(rssd_id,$Q$2,$B$5,$B$4,B69,"K"),"")</f>
        <v/>
      </c>
      <c r="D69" s="37" t="s">
        <v>1644</v>
      </c>
      <c r="E69" s="38" t="str">
        <f>IFERROR([1]!IntrinioBankFinancials(rssd_id,$Q$2,$B$5,$B$4,D69,"K"),"")</f>
        <v/>
      </c>
      <c r="F69" s="37" t="s">
        <v>1645</v>
      </c>
      <c r="G69" s="38" t="str">
        <f>IFERROR([1]!IntrinioBankFinancials(rssd_id,$Q$2,$B$5,$B$4,F69,"K"),"")</f>
        <v/>
      </c>
      <c r="H69" s="37" t="s">
        <v>1643</v>
      </c>
      <c r="I69" s="38" t="str">
        <f>IFERROR([1]!IntrinioBankFinancials(rssd_id,$Q$2,$H$5,$H$4,H69,"K"),"")</f>
        <v/>
      </c>
      <c r="J69" s="37" t="s">
        <v>1644</v>
      </c>
      <c r="K69" s="38" t="str">
        <f>IFERROR([1]!IntrinioBankFinancials(rssd_id,$Q$2,$H$5,$H$4,J69,"K"),"")</f>
        <v/>
      </c>
      <c r="L69" s="37" t="s">
        <v>1645</v>
      </c>
      <c r="M69" s="38" t="str">
        <f>IFERROR([1]!IntrinioBankFinancials(rssd_id,$Q$2,$H$5,$H$4,L69,"K"),"")</f>
        <v/>
      </c>
      <c r="N69" s="49" t="s">
        <v>463</v>
      </c>
      <c r="O69" s="13"/>
      <c r="P69" s="13"/>
      <c r="Q69" s="13"/>
    </row>
    <row r="70" spans="1:17" s="47" customFormat="1" x14ac:dyDescent="0.4">
      <c r="A70" s="39" t="s">
        <v>853</v>
      </c>
      <c r="B70" s="37" t="s">
        <v>854</v>
      </c>
      <c r="C70" s="38" t="str">
        <f>IFERROR([1]!IntrinioBankFinancials(rssd_id,$Q$2,$B$5,$B$4,B70,"K"),"")</f>
        <v/>
      </c>
      <c r="D70" s="37" t="s">
        <v>861</v>
      </c>
      <c r="E70" s="38" t="str">
        <f>IFERROR([1]!IntrinioBankFinancials(rssd_id,$Q$2,$B$5,$B$4,D70,"K"),"")</f>
        <v/>
      </c>
      <c r="F70" s="37" t="s">
        <v>864</v>
      </c>
      <c r="G70" s="38" t="str">
        <f>IFERROR([1]!IntrinioBankFinancials(rssd_id,$Q$2,$B$5,$B$4,F70,"K"),"")</f>
        <v/>
      </c>
      <c r="H70" s="37" t="s">
        <v>854</v>
      </c>
      <c r="I70" s="38" t="str">
        <f>IFERROR([1]!IntrinioBankFinancials(rssd_id,$Q$2,$H$5,$H$4,H70,"K"),"")</f>
        <v/>
      </c>
      <c r="J70" s="37" t="s">
        <v>861</v>
      </c>
      <c r="K70" s="38" t="str">
        <f>IFERROR([1]!IntrinioBankFinancials(rssd_id,$Q$2,$H$5,$H$4,J70,"K"),"")</f>
        <v/>
      </c>
      <c r="L70" s="37" t="s">
        <v>864</v>
      </c>
      <c r="M70" s="38" t="str">
        <f>IFERROR([1]!IntrinioBankFinancials(rssd_id,$Q$2,$H$5,$H$4,L70,"K"),"")</f>
        <v/>
      </c>
      <c r="N70" s="49" t="s">
        <v>464</v>
      </c>
      <c r="O70" s="13"/>
      <c r="P70" s="13"/>
      <c r="Q70" s="13"/>
    </row>
    <row r="71" spans="1:17" s="47" customFormat="1" ht="28.5" x14ac:dyDescent="0.4">
      <c r="A71" s="39" t="s">
        <v>855</v>
      </c>
      <c r="B71" s="37" t="s">
        <v>1646</v>
      </c>
      <c r="C71" s="38" t="str">
        <f>IFERROR([1]!IntrinioBankFinancials(rssd_id,$Q$2,$B$5,$B$4,B71,"K"),"")</f>
        <v/>
      </c>
      <c r="D71" s="37" t="s">
        <v>1647</v>
      </c>
      <c r="E71" s="38" t="str">
        <f>IFERROR([1]!IntrinioBankFinancials(rssd_id,$Q$2,$B$5,$B$4,D71,"K"),"")</f>
        <v/>
      </c>
      <c r="F71" s="37" t="s">
        <v>1648</v>
      </c>
      <c r="G71" s="38" t="str">
        <f>IFERROR([1]!IntrinioBankFinancials(rssd_id,$Q$2,$B$5,$B$4,F71,"K"),"")</f>
        <v/>
      </c>
      <c r="H71" s="37" t="s">
        <v>1646</v>
      </c>
      <c r="I71" s="38" t="str">
        <f>IFERROR([1]!IntrinioBankFinancials(rssd_id,$Q$2,$H$5,$H$4,H71,"K"),"")</f>
        <v/>
      </c>
      <c r="J71" s="37" t="s">
        <v>1647</v>
      </c>
      <c r="K71" s="38" t="str">
        <f>IFERROR([1]!IntrinioBankFinancials(rssd_id,$Q$2,$H$5,$H$4,J71,"K"),"")</f>
        <v/>
      </c>
      <c r="L71" s="37" t="s">
        <v>1648</v>
      </c>
      <c r="M71" s="38" t="str">
        <f>IFERROR([1]!IntrinioBankFinancials(rssd_id,$Q$2,$H$5,$H$4,L71,"K"),"")</f>
        <v/>
      </c>
      <c r="N71" s="49" t="s">
        <v>465</v>
      </c>
      <c r="O71" s="13"/>
      <c r="P71" s="13"/>
      <c r="Q71" s="13"/>
    </row>
    <row r="72" spans="1:17" s="47" customFormat="1" x14ac:dyDescent="0.4">
      <c r="A72" s="39"/>
      <c r="B72" s="37"/>
      <c r="C72" s="38" t="str">
        <f>IFERROR([1]!IntrinioBankFinancials(rssd_id,$Q$2,$B$5,$B$4,B72,"K"),"")</f>
        <v/>
      </c>
      <c r="D72" s="37"/>
      <c r="E72" s="38" t="str">
        <f>IFERROR([1]!IntrinioBankFinancials(rssd_id,$Q$2,$B$5,$B$4,D72,"K"),"")</f>
        <v/>
      </c>
      <c r="F72" s="37"/>
      <c r="G72" s="38" t="str">
        <f>IFERROR([1]!IntrinioBankFinancials(rssd_id,$Q$2,$B$5,$B$4,F72,"K"),"")</f>
        <v/>
      </c>
      <c r="H72" s="37"/>
      <c r="I72" s="38" t="str">
        <f>IFERROR([1]!IntrinioBankFinancials(rssd_id,$Q$2,$H$5,$H$4,H72,"K"),"")</f>
        <v/>
      </c>
      <c r="J72" s="37"/>
      <c r="K72" s="38" t="str">
        <f>IFERROR([1]!IntrinioBankFinancials(rssd_id,$Q$2,$H$5,$H$4,J72,"K"),"")</f>
        <v/>
      </c>
      <c r="L72" s="37"/>
      <c r="M72" s="38" t="str">
        <f>IFERROR([1]!IntrinioBankFinancials(rssd_id,$Q$2,$H$5,$H$4,L72,"K"),"")</f>
        <v/>
      </c>
      <c r="N72" s="49" t="s">
        <v>466</v>
      </c>
      <c r="O72" s="13"/>
      <c r="P72" s="13"/>
      <c r="Q72" s="13"/>
    </row>
    <row r="73" spans="1:17" s="47" customFormat="1" x14ac:dyDescent="0.4">
      <c r="A73" s="39" t="s">
        <v>111</v>
      </c>
      <c r="B73" s="37"/>
      <c r="C73" s="38" t="str">
        <f>IFERROR([1]!IntrinioBankFinancials(rssd_id,$Q$2,$B$5,$B$4,B73,"K"),"")</f>
        <v/>
      </c>
      <c r="D73" s="37"/>
      <c r="E73" s="38" t="str">
        <f>IFERROR([1]!IntrinioBankFinancials(rssd_id,$Q$2,$B$5,$B$4,D73,"K"),"")</f>
        <v/>
      </c>
      <c r="F73" s="37"/>
      <c r="G73" s="38" t="str">
        <f>IFERROR([1]!IntrinioBankFinancials(rssd_id,$Q$2,$B$5,$B$4,F73,"K"),"")</f>
        <v/>
      </c>
      <c r="H73" s="37"/>
      <c r="I73" s="38" t="str">
        <f>IFERROR([1]!IntrinioBankFinancials(rssd_id,$Q$2,$H$5,$H$4,H73,"K"),"")</f>
        <v/>
      </c>
      <c r="J73" s="37"/>
      <c r="K73" s="38" t="str">
        <f>IFERROR([1]!IntrinioBankFinancials(rssd_id,$Q$2,$H$5,$H$4,J73,"K"),"")</f>
        <v/>
      </c>
      <c r="L73" s="37"/>
      <c r="M73" s="38" t="str">
        <f>IFERROR([1]!IntrinioBankFinancials(rssd_id,$Q$2,$H$5,$H$4,L73,"K"),"")</f>
        <v/>
      </c>
      <c r="N73" s="49" t="s">
        <v>467</v>
      </c>
      <c r="O73" s="13"/>
      <c r="P73" s="13"/>
      <c r="Q73" s="13"/>
    </row>
    <row r="74" spans="1:17" s="47" customFormat="1" x14ac:dyDescent="0.4">
      <c r="A74" s="39" t="s">
        <v>450</v>
      </c>
      <c r="B74" s="37"/>
      <c r="C74" s="38" t="str">
        <f>IFERROR([1]!IntrinioBankFinancials(rssd_id,$Q$2,$B$5,$B$4,B74,"K"),"")</f>
        <v/>
      </c>
      <c r="D74" s="37"/>
      <c r="E74" s="38" t="str">
        <f>IFERROR([1]!IntrinioBankFinancials(rssd_id,$Q$2,$B$5,$B$4,D74,"K"),"")</f>
        <v/>
      </c>
      <c r="F74" s="37"/>
      <c r="G74" s="38" t="str">
        <f>IFERROR([1]!IntrinioBankFinancials(rssd_id,$Q$2,$B$5,$B$4,F74,"K"),"")</f>
        <v/>
      </c>
      <c r="H74" s="37"/>
      <c r="I74" s="38" t="str">
        <f>IFERROR([1]!IntrinioBankFinancials(rssd_id,$Q$2,$H$5,$H$4,H74,"K"),"")</f>
        <v/>
      </c>
      <c r="J74" s="37"/>
      <c r="K74" s="38" t="str">
        <f>IFERROR([1]!IntrinioBankFinancials(rssd_id,$Q$2,$H$5,$H$4,J74,"K"),"")</f>
        <v/>
      </c>
      <c r="L74" s="37"/>
      <c r="M74" s="38" t="str">
        <f>IFERROR([1]!IntrinioBankFinancials(rssd_id,$Q$2,$H$5,$H$4,L74,"K"),"")</f>
        <v/>
      </c>
      <c r="N74" s="49" t="s">
        <v>472</v>
      </c>
      <c r="O74" s="13"/>
      <c r="P74" s="13"/>
      <c r="Q74" s="13"/>
    </row>
    <row r="75" spans="1:17" s="47" customFormat="1" ht="42.75" x14ac:dyDescent="0.4">
      <c r="A75" s="39" t="s">
        <v>1901</v>
      </c>
      <c r="B75" s="37"/>
      <c r="C75" s="38" t="str">
        <f>IFERROR([1]!IntrinioBankFinancials(rssd_id,$Q$2,$B$5,$B$4,B75,"K"),"")</f>
        <v/>
      </c>
      <c r="D75" s="37"/>
      <c r="E75" s="38" t="str">
        <f>IFERROR([1]!IntrinioBankFinancials(rssd_id,$Q$2,$B$5,$B$4,D75,"K"),"")</f>
        <v/>
      </c>
      <c r="F75" s="37"/>
      <c r="G75" s="38" t="str">
        <f>IFERROR([1]!IntrinioBankFinancials(rssd_id,$Q$2,$B$5,$B$4,F75,"K"),"")</f>
        <v/>
      </c>
      <c r="H75" s="37"/>
      <c r="I75" s="38" t="str">
        <f>IFERROR([1]!IntrinioBankFinancials(rssd_id,$Q$2,$H$5,$H$4,H75,"K"),"")</f>
        <v/>
      </c>
      <c r="J75" s="37"/>
      <c r="K75" s="38" t="str">
        <f>IFERROR([1]!IntrinioBankFinancials(rssd_id,$Q$2,$H$5,$H$4,J75,"K"),"")</f>
        <v/>
      </c>
      <c r="L75" s="37"/>
      <c r="M75" s="38" t="str">
        <f>IFERROR([1]!IntrinioBankFinancials(rssd_id,$Q$2,$H$5,$H$4,L75,"K"),"")</f>
        <v/>
      </c>
      <c r="N75" s="49" t="s">
        <v>473</v>
      </c>
      <c r="O75" s="13"/>
      <c r="P75" s="13"/>
      <c r="Q75" s="13"/>
    </row>
    <row r="76" spans="1:17" s="47" customFormat="1" x14ac:dyDescent="0.4">
      <c r="A76" s="39" t="s">
        <v>820</v>
      </c>
      <c r="B76" s="37"/>
      <c r="C76" s="38" t="str">
        <f>IFERROR([1]!IntrinioBankFinancials(rssd_id,$Q$2,$B$5,$B$4,B76,"K"),"")</f>
        <v/>
      </c>
      <c r="D76" s="37"/>
      <c r="E76" s="38" t="str">
        <f>IFERROR([1]!IntrinioBankFinancials(rssd_id,$Q$2,$B$5,$B$4,D76,"K"),"")</f>
        <v/>
      </c>
      <c r="F76" s="37"/>
      <c r="G76" s="38" t="str">
        <f>IFERROR([1]!IntrinioBankFinancials(rssd_id,$Q$2,$B$5,$B$4,F76,"K"),"")</f>
        <v/>
      </c>
      <c r="H76" s="37"/>
      <c r="I76" s="38" t="str">
        <f>IFERROR([1]!IntrinioBankFinancials(rssd_id,$Q$2,$H$5,$H$4,H76,"K"),"")</f>
        <v/>
      </c>
      <c r="J76" s="37"/>
      <c r="K76" s="38" t="str">
        <f>IFERROR([1]!IntrinioBankFinancials(rssd_id,$Q$2,$H$5,$H$4,J76,"K"),"")</f>
        <v/>
      </c>
      <c r="L76" s="37"/>
      <c r="M76" s="38" t="str">
        <f>IFERROR([1]!IntrinioBankFinancials(rssd_id,$Q$2,$H$5,$H$4,L76,"K"),"")</f>
        <v/>
      </c>
      <c r="N76" s="49" t="s">
        <v>474</v>
      </c>
      <c r="O76" s="13"/>
      <c r="P76" s="13"/>
      <c r="Q76" s="13"/>
    </row>
    <row r="77" spans="1:17" s="47" customFormat="1" x14ac:dyDescent="0.4">
      <c r="A77" s="39" t="s">
        <v>202</v>
      </c>
      <c r="B77" s="37" t="s">
        <v>1547</v>
      </c>
      <c r="C77" s="38" t="str">
        <f>IFERROR([1]!IntrinioBankFinancials(rssd_id,$Q$2,$B$5,$B$4,B77,"K"),"")</f>
        <v/>
      </c>
      <c r="D77" s="37" t="s">
        <v>1548</v>
      </c>
      <c r="E77" s="38" t="str">
        <f>IFERROR([1]!IntrinioBankFinancials(rssd_id,$Q$2,$B$5,$B$4,D77,"K"),"")</f>
        <v/>
      </c>
      <c r="F77" s="37" t="s">
        <v>1549</v>
      </c>
      <c r="G77" s="38" t="str">
        <f>IFERROR([1]!IntrinioBankFinancials(rssd_id,$Q$2,$B$5,$B$4,F77,"K"),"")</f>
        <v/>
      </c>
      <c r="H77" s="37" t="s">
        <v>1547</v>
      </c>
      <c r="I77" s="38" t="str">
        <f>IFERROR([1]!IntrinioBankFinancials(rssd_id,$Q$2,$H$5,$H$4,H77,"K"),"")</f>
        <v/>
      </c>
      <c r="J77" s="37" t="s">
        <v>1548</v>
      </c>
      <c r="K77" s="38" t="str">
        <f>IFERROR([1]!IntrinioBankFinancials(rssd_id,$Q$2,$H$5,$H$4,J77,"K"),"")</f>
        <v/>
      </c>
      <c r="L77" s="37" t="s">
        <v>1549</v>
      </c>
      <c r="M77" s="38" t="str">
        <f>IFERROR([1]!IntrinioBankFinancials(rssd_id,$Q$2,$H$5,$H$4,L77,"K"),"")</f>
        <v/>
      </c>
      <c r="N77" s="49" t="s">
        <v>506</v>
      </c>
      <c r="O77" s="13"/>
      <c r="P77" s="13"/>
      <c r="Q77" s="13"/>
    </row>
    <row r="78" spans="1:17" s="47" customFormat="1" x14ac:dyDescent="0.4">
      <c r="A78" s="39" t="s">
        <v>203</v>
      </c>
      <c r="B78" s="37" t="s">
        <v>1550</v>
      </c>
      <c r="C78" s="38" t="str">
        <f>IFERROR([1]!IntrinioBankFinancials(rssd_id,$Q$2,$B$5,$B$4,B78,"K"),"")</f>
        <v/>
      </c>
      <c r="D78" s="37" t="s">
        <v>1551</v>
      </c>
      <c r="E78" s="38" t="str">
        <f>IFERROR([1]!IntrinioBankFinancials(rssd_id,$Q$2,$B$5,$B$4,D78,"K"),"")</f>
        <v/>
      </c>
      <c r="F78" s="37" t="s">
        <v>1552</v>
      </c>
      <c r="G78" s="38" t="str">
        <f>IFERROR([1]!IntrinioBankFinancials(rssd_id,$Q$2,$B$5,$B$4,F78,"K"),"")</f>
        <v/>
      </c>
      <c r="H78" s="37" t="s">
        <v>1550</v>
      </c>
      <c r="I78" s="38" t="str">
        <f>IFERROR([1]!IntrinioBankFinancials(rssd_id,$Q$2,$H$5,$H$4,H78,"K"),"")</f>
        <v/>
      </c>
      <c r="J78" s="37" t="s">
        <v>1551</v>
      </c>
      <c r="K78" s="38" t="str">
        <f>IFERROR([1]!IntrinioBankFinancials(rssd_id,$Q$2,$H$5,$H$4,J78,"K"),"")</f>
        <v/>
      </c>
      <c r="L78" s="37" t="s">
        <v>1552</v>
      </c>
      <c r="M78" s="38" t="str">
        <f>IFERROR([1]!IntrinioBankFinancials(rssd_id,$Q$2,$H$5,$H$4,L78,"K"),"")</f>
        <v/>
      </c>
      <c r="N78" s="49" t="s">
        <v>507</v>
      </c>
      <c r="O78" s="13"/>
      <c r="P78" s="13"/>
      <c r="Q78" s="13"/>
    </row>
    <row r="79" spans="1:17" s="47" customFormat="1" x14ac:dyDescent="0.4">
      <c r="A79" s="39" t="s">
        <v>856</v>
      </c>
      <c r="B79" s="37" t="s">
        <v>1553</v>
      </c>
      <c r="C79" s="38" t="str">
        <f>IFERROR([1]!IntrinioBankFinancials(rssd_id,$Q$2,$B$5,$B$4,B79,"K"),"")</f>
        <v/>
      </c>
      <c r="D79" s="37" t="s">
        <v>1554</v>
      </c>
      <c r="E79" s="38" t="str">
        <f>IFERROR([1]!IntrinioBankFinancials(rssd_id,$Q$2,$B$5,$B$4,D79,"K"),"")</f>
        <v/>
      </c>
      <c r="F79" s="37" t="s">
        <v>1555</v>
      </c>
      <c r="G79" s="38" t="str">
        <f>IFERROR([1]!IntrinioBankFinancials(rssd_id,$Q$2,$B$5,$B$4,F79,"K"),"")</f>
        <v/>
      </c>
      <c r="H79" s="37" t="s">
        <v>1553</v>
      </c>
      <c r="I79" s="38" t="str">
        <f>IFERROR([1]!IntrinioBankFinancials(rssd_id,$Q$2,$H$5,$H$4,H79,"K"),"")</f>
        <v/>
      </c>
      <c r="J79" s="37" t="s">
        <v>1554</v>
      </c>
      <c r="K79" s="38" t="str">
        <f>IFERROR([1]!IntrinioBankFinancials(rssd_id,$Q$2,$H$5,$H$4,J79,"K"),"")</f>
        <v/>
      </c>
      <c r="L79" s="37" t="s">
        <v>1555</v>
      </c>
      <c r="M79" s="38" t="str">
        <f>IFERROR([1]!IntrinioBankFinancials(rssd_id,$Q$2,$H$5,$H$4,L79,"K"),"")</f>
        <v/>
      </c>
      <c r="N79" s="49" t="s">
        <v>475</v>
      </c>
      <c r="O79" s="13"/>
      <c r="P79" s="13"/>
      <c r="Q79" s="13"/>
    </row>
    <row r="80" spans="1:17" s="47" customFormat="1" x14ac:dyDescent="0.4">
      <c r="A80" s="39" t="s">
        <v>822</v>
      </c>
      <c r="B80" s="37" t="s">
        <v>1556</v>
      </c>
      <c r="C80" s="38" t="str">
        <f>IFERROR([1]!IntrinioBankFinancials(rssd_id,$Q$2,$B$5,$B$4,B80,"K"),"")</f>
        <v/>
      </c>
      <c r="D80" s="37" t="s">
        <v>1557</v>
      </c>
      <c r="E80" s="38" t="str">
        <f>IFERROR([1]!IntrinioBankFinancials(rssd_id,$Q$2,$B$5,$B$4,D80,"K"),"")</f>
        <v/>
      </c>
      <c r="F80" s="37" t="s">
        <v>1558</v>
      </c>
      <c r="G80" s="38" t="str">
        <f>IFERROR([1]!IntrinioBankFinancials(rssd_id,$Q$2,$B$5,$B$4,F80,"K"),"")</f>
        <v/>
      </c>
      <c r="H80" s="37" t="s">
        <v>1556</v>
      </c>
      <c r="I80" s="38" t="str">
        <f>IFERROR([1]!IntrinioBankFinancials(rssd_id,$Q$2,$H$5,$H$4,H80,"K"),"")</f>
        <v/>
      </c>
      <c r="J80" s="37" t="s">
        <v>1557</v>
      </c>
      <c r="K80" s="38" t="str">
        <f>IFERROR([1]!IntrinioBankFinancials(rssd_id,$Q$2,$H$5,$H$4,J80,"K"),"")</f>
        <v/>
      </c>
      <c r="L80" s="37" t="s">
        <v>1558</v>
      </c>
      <c r="M80" s="38" t="str">
        <f>IFERROR([1]!IntrinioBankFinancials(rssd_id,$Q$2,$H$5,$H$4,L80,"K"),"")</f>
        <v/>
      </c>
      <c r="N80" s="49" t="s">
        <v>508</v>
      </c>
      <c r="O80" s="13"/>
      <c r="P80" s="13"/>
      <c r="Q80" s="13"/>
    </row>
    <row r="81" spans="1:17" s="47" customFormat="1" x14ac:dyDescent="0.4">
      <c r="A81" s="39" t="s">
        <v>823</v>
      </c>
      <c r="B81" s="37"/>
      <c r="C81" s="38" t="str">
        <f>IFERROR([1]!IntrinioBankFinancials(rssd_id,$Q$2,$B$5,$B$4,B81,"K"),"")</f>
        <v/>
      </c>
      <c r="D81" s="37"/>
      <c r="E81" s="38" t="str">
        <f>IFERROR([1]!IntrinioBankFinancials(rssd_id,$Q$2,$B$5,$B$4,D81,"K"),"")</f>
        <v/>
      </c>
      <c r="F81" s="37"/>
      <c r="G81" s="38" t="str">
        <f>IFERROR([1]!IntrinioBankFinancials(rssd_id,$Q$2,$B$5,$B$4,F81,"K"),"")</f>
        <v/>
      </c>
      <c r="H81" s="37"/>
      <c r="I81" s="38" t="str">
        <f>IFERROR([1]!IntrinioBankFinancials(rssd_id,$Q$2,$H$5,$H$4,H81,"K"),"")</f>
        <v/>
      </c>
      <c r="J81" s="37"/>
      <c r="K81" s="38" t="str">
        <f>IFERROR([1]!IntrinioBankFinancials(rssd_id,$Q$2,$H$5,$H$4,J81,"K"),"")</f>
        <v/>
      </c>
      <c r="L81" s="37"/>
      <c r="M81" s="38" t="str">
        <f>IFERROR([1]!IntrinioBankFinancials(rssd_id,$Q$2,$H$5,$H$4,L81,"K"),"")</f>
        <v/>
      </c>
      <c r="N81" s="49" t="s">
        <v>509</v>
      </c>
      <c r="O81" s="13"/>
      <c r="P81" s="13"/>
      <c r="Q81" s="13"/>
    </row>
    <row r="82" spans="1:17" s="47" customFormat="1" x14ac:dyDescent="0.4">
      <c r="A82" s="39" t="s">
        <v>215</v>
      </c>
      <c r="B82" s="37" t="s">
        <v>1559</v>
      </c>
      <c r="C82" s="38" t="str">
        <f>IFERROR([1]!IntrinioBankFinancials(rssd_id,$Q$2,$B$5,$B$4,B82,"K"),"")</f>
        <v/>
      </c>
      <c r="D82" s="37" t="s">
        <v>1560</v>
      </c>
      <c r="E82" s="38" t="str">
        <f>IFERROR([1]!IntrinioBankFinancials(rssd_id,$Q$2,$B$5,$B$4,D82,"K"),"")</f>
        <v/>
      </c>
      <c r="F82" s="37" t="s">
        <v>1561</v>
      </c>
      <c r="G82" s="38" t="str">
        <f>IFERROR([1]!IntrinioBankFinancials(rssd_id,$Q$2,$B$5,$B$4,F82,"K"),"")</f>
        <v/>
      </c>
      <c r="H82" s="37" t="s">
        <v>1559</v>
      </c>
      <c r="I82" s="38" t="str">
        <f>IFERROR([1]!IntrinioBankFinancials(rssd_id,$Q$2,$H$5,$H$4,H82,"K"),"")</f>
        <v/>
      </c>
      <c r="J82" s="37" t="s">
        <v>1560</v>
      </c>
      <c r="K82" s="38" t="str">
        <f>IFERROR([1]!IntrinioBankFinancials(rssd_id,$Q$2,$H$5,$H$4,J82,"K"),"")</f>
        <v/>
      </c>
      <c r="L82" s="37" t="s">
        <v>1561</v>
      </c>
      <c r="M82" s="38" t="str">
        <f>IFERROR([1]!IntrinioBankFinancials(rssd_id,$Q$2,$H$5,$H$4,L82,"K"),"")</f>
        <v/>
      </c>
      <c r="N82" s="49" t="s">
        <v>510</v>
      </c>
      <c r="O82" s="13"/>
      <c r="P82" s="13"/>
      <c r="Q82" s="13"/>
    </row>
    <row r="83" spans="1:17" s="47" customFormat="1" x14ac:dyDescent="0.4">
      <c r="A83" s="39" t="s">
        <v>217</v>
      </c>
      <c r="B83" s="37" t="s">
        <v>1562</v>
      </c>
      <c r="C83" s="38" t="str">
        <f>IFERROR([1]!IntrinioBankFinancials(rssd_id,$Q$2,$B$5,$B$4,B83,"K"),"")</f>
        <v/>
      </c>
      <c r="D83" s="37" t="s">
        <v>1563</v>
      </c>
      <c r="E83" s="38" t="str">
        <f>IFERROR([1]!IntrinioBankFinancials(rssd_id,$Q$2,$B$5,$B$4,D83,"K"),"")</f>
        <v/>
      </c>
      <c r="F83" s="37" t="s">
        <v>1564</v>
      </c>
      <c r="G83" s="38" t="str">
        <f>IFERROR([1]!IntrinioBankFinancials(rssd_id,$Q$2,$B$5,$B$4,F83,"K"),"")</f>
        <v/>
      </c>
      <c r="H83" s="37" t="s">
        <v>1562</v>
      </c>
      <c r="I83" s="38" t="str">
        <f>IFERROR([1]!IntrinioBankFinancials(rssd_id,$Q$2,$H$5,$H$4,H83,"K"),"")</f>
        <v/>
      </c>
      <c r="J83" s="37" t="s">
        <v>1563</v>
      </c>
      <c r="K83" s="38" t="str">
        <f>IFERROR([1]!IntrinioBankFinancials(rssd_id,$Q$2,$H$5,$H$4,J83,"K"),"")</f>
        <v/>
      </c>
      <c r="L83" s="37" t="s">
        <v>1564</v>
      </c>
      <c r="M83" s="38" t="str">
        <f>IFERROR([1]!IntrinioBankFinancials(rssd_id,$Q$2,$H$5,$H$4,L83,"K"),"")</f>
        <v/>
      </c>
      <c r="N83" s="49" t="s">
        <v>511</v>
      </c>
      <c r="O83" s="13"/>
      <c r="P83" s="13"/>
      <c r="Q83" s="13"/>
    </row>
    <row r="84" spans="1:17" s="47" customFormat="1" x14ac:dyDescent="0.4">
      <c r="A84" s="39" t="s">
        <v>824</v>
      </c>
      <c r="B84" s="37"/>
      <c r="C84" s="38" t="str">
        <f>IFERROR([1]!IntrinioBankFinancials(rssd_id,$Q$2,$B$5,$B$4,B84,"K"),"")</f>
        <v/>
      </c>
      <c r="D84" s="37"/>
      <c r="E84" s="38" t="str">
        <f>IFERROR([1]!IntrinioBankFinancials(rssd_id,$Q$2,$B$5,$B$4,D84,"K"),"")</f>
        <v/>
      </c>
      <c r="F84" s="37"/>
      <c r="G84" s="38" t="str">
        <f>IFERROR([1]!IntrinioBankFinancials(rssd_id,$Q$2,$B$5,$B$4,F84,"K"),"")</f>
        <v/>
      </c>
      <c r="H84" s="37"/>
      <c r="I84" s="38" t="str">
        <f>IFERROR([1]!IntrinioBankFinancials(rssd_id,$Q$2,$H$5,$H$4,H84,"K"),"")</f>
        <v/>
      </c>
      <c r="J84" s="37"/>
      <c r="K84" s="38" t="str">
        <f>IFERROR([1]!IntrinioBankFinancials(rssd_id,$Q$2,$H$5,$H$4,J84,"K"),"")</f>
        <v/>
      </c>
      <c r="L84" s="37"/>
      <c r="M84" s="38" t="str">
        <f>IFERROR([1]!IntrinioBankFinancials(rssd_id,$Q$2,$H$5,$H$4,L84,"K"),"")</f>
        <v/>
      </c>
      <c r="N84" s="49" t="s">
        <v>512</v>
      </c>
      <c r="O84" s="13"/>
      <c r="P84" s="13"/>
      <c r="Q84" s="13"/>
    </row>
    <row r="85" spans="1:17" s="47" customFormat="1" x14ac:dyDescent="0.4">
      <c r="A85" s="39" t="s">
        <v>492</v>
      </c>
      <c r="B85" s="37" t="s">
        <v>1649</v>
      </c>
      <c r="C85" s="38" t="str">
        <f>IFERROR([1]!IntrinioBankFinancials(rssd_id,$Q$2,$B$5,$B$4,B85,"K"),"")</f>
        <v/>
      </c>
      <c r="D85" s="37" t="s">
        <v>1650</v>
      </c>
      <c r="E85" s="38" t="str">
        <f>IFERROR([1]!IntrinioBankFinancials(rssd_id,$Q$2,$B$5,$B$4,D85,"K"),"")</f>
        <v/>
      </c>
      <c r="F85" s="37" t="s">
        <v>1651</v>
      </c>
      <c r="G85" s="38" t="str">
        <f>IFERROR([1]!IntrinioBankFinancials(rssd_id,$Q$2,$B$5,$B$4,F85,"K"),"")</f>
        <v/>
      </c>
      <c r="H85" s="37" t="s">
        <v>1649</v>
      </c>
      <c r="I85" s="38" t="str">
        <f>IFERROR([1]!IntrinioBankFinancials(rssd_id,$Q$2,$H$5,$H$4,H85,"K"),"")</f>
        <v/>
      </c>
      <c r="J85" s="37" t="s">
        <v>1650</v>
      </c>
      <c r="K85" s="38" t="str">
        <f>IFERROR([1]!IntrinioBankFinancials(rssd_id,$Q$2,$H$5,$H$4,J85,"K"),"")</f>
        <v/>
      </c>
      <c r="L85" s="37" t="s">
        <v>1651</v>
      </c>
      <c r="M85" s="38" t="str">
        <f>IFERROR([1]!IntrinioBankFinancials(rssd_id,$Q$2,$H$5,$H$4,L85,"K"),"")</f>
        <v/>
      </c>
      <c r="N85" s="49" t="s">
        <v>513</v>
      </c>
      <c r="O85" s="13"/>
      <c r="P85" s="13"/>
      <c r="Q85" s="13"/>
    </row>
    <row r="86" spans="1:17" s="47" customFormat="1" x14ac:dyDescent="0.4">
      <c r="A86" s="39" t="s">
        <v>493</v>
      </c>
      <c r="B86" s="37" t="s">
        <v>1652</v>
      </c>
      <c r="C86" s="38" t="str">
        <f>IFERROR([1]!IntrinioBankFinancials(rssd_id,$Q$2,$B$5,$B$4,B86,"K"),"")</f>
        <v/>
      </c>
      <c r="D86" s="37" t="s">
        <v>1653</v>
      </c>
      <c r="E86" s="38" t="str">
        <f>IFERROR([1]!IntrinioBankFinancials(rssd_id,$Q$2,$B$5,$B$4,D86,"K"),"")</f>
        <v/>
      </c>
      <c r="F86" s="37" t="s">
        <v>1654</v>
      </c>
      <c r="G86" s="38" t="str">
        <f>IFERROR([1]!IntrinioBankFinancials(rssd_id,$Q$2,$B$5,$B$4,F86,"K"),"")</f>
        <v/>
      </c>
      <c r="H86" s="37" t="s">
        <v>1652</v>
      </c>
      <c r="I86" s="38" t="str">
        <f>IFERROR([1]!IntrinioBankFinancials(rssd_id,$Q$2,$H$5,$H$4,H86,"K"),"")</f>
        <v/>
      </c>
      <c r="J86" s="37" t="s">
        <v>1653</v>
      </c>
      <c r="K86" s="38" t="str">
        <f>IFERROR([1]!IntrinioBankFinancials(rssd_id,$Q$2,$H$5,$H$4,J86,"K"),"")</f>
        <v/>
      </c>
      <c r="L86" s="37" t="s">
        <v>1654</v>
      </c>
      <c r="M86" s="38" t="str">
        <f>IFERROR([1]!IntrinioBankFinancials(rssd_id,$Q$2,$H$5,$H$4,L86,"K"),"")</f>
        <v/>
      </c>
      <c r="N86" s="49" t="s">
        <v>514</v>
      </c>
      <c r="O86" s="13"/>
      <c r="P86" s="13"/>
      <c r="Q86" s="13"/>
    </row>
    <row r="87" spans="1:17" s="47" customFormat="1" ht="28.5" x14ac:dyDescent="0.4">
      <c r="A87" s="39" t="s">
        <v>494</v>
      </c>
      <c r="B87" s="37" t="s">
        <v>1655</v>
      </c>
      <c r="C87" s="38" t="str">
        <f>IFERROR([1]!IntrinioBankFinancials(rssd_id,$Q$2,$B$5,$B$4,B87,"K"),"")</f>
        <v/>
      </c>
      <c r="D87" s="37" t="s">
        <v>1656</v>
      </c>
      <c r="E87" s="38" t="str">
        <f>IFERROR([1]!IntrinioBankFinancials(rssd_id,$Q$2,$B$5,$B$4,D87,"K"),"")</f>
        <v/>
      </c>
      <c r="F87" s="37" t="s">
        <v>1657</v>
      </c>
      <c r="G87" s="38" t="str">
        <f>IFERROR([1]!IntrinioBankFinancials(rssd_id,$Q$2,$B$5,$B$4,F87,"K"),"")</f>
        <v/>
      </c>
      <c r="H87" s="37" t="s">
        <v>1655</v>
      </c>
      <c r="I87" s="38" t="str">
        <f>IFERROR([1]!IntrinioBankFinancials(rssd_id,$Q$2,$H$5,$H$4,H87,"K"),"")</f>
        <v/>
      </c>
      <c r="J87" s="37" t="s">
        <v>1656</v>
      </c>
      <c r="K87" s="38" t="str">
        <f>IFERROR([1]!IntrinioBankFinancials(rssd_id,$Q$2,$H$5,$H$4,J87,"K"),"")</f>
        <v/>
      </c>
      <c r="L87" s="37" t="s">
        <v>1657</v>
      </c>
      <c r="M87" s="38" t="str">
        <f>IFERROR([1]!IntrinioBankFinancials(rssd_id,$Q$2,$H$5,$H$4,L87,"K"),"")</f>
        <v/>
      </c>
      <c r="N87" s="49" t="s">
        <v>515</v>
      </c>
      <c r="O87" s="13"/>
      <c r="P87" s="13"/>
      <c r="Q87" s="13"/>
    </row>
    <row r="88" spans="1:17" s="47" customFormat="1" x14ac:dyDescent="0.4">
      <c r="A88" s="39" t="s">
        <v>825</v>
      </c>
      <c r="B88" s="37" t="s">
        <v>1565</v>
      </c>
      <c r="C88" s="38" t="str">
        <f>IFERROR([1]!IntrinioBankFinancials(rssd_id,$Q$2,$B$5,$B$4,B88,"K"),"")</f>
        <v/>
      </c>
      <c r="D88" s="37" t="s">
        <v>1566</v>
      </c>
      <c r="E88" s="38" t="str">
        <f>IFERROR([1]!IntrinioBankFinancials(rssd_id,$Q$2,$B$5,$B$4,D88,"K"),"")</f>
        <v/>
      </c>
      <c r="F88" s="37" t="s">
        <v>1567</v>
      </c>
      <c r="G88" s="38" t="str">
        <f>IFERROR([1]!IntrinioBankFinancials(rssd_id,$Q$2,$B$5,$B$4,F88,"K"),"")</f>
        <v/>
      </c>
      <c r="H88" s="37" t="s">
        <v>1565</v>
      </c>
      <c r="I88" s="38" t="str">
        <f>IFERROR([1]!IntrinioBankFinancials(rssd_id,$Q$2,$H$5,$H$4,H88,"K"),"")</f>
        <v/>
      </c>
      <c r="J88" s="37" t="s">
        <v>1566</v>
      </c>
      <c r="K88" s="38" t="str">
        <f>IFERROR([1]!IntrinioBankFinancials(rssd_id,$Q$2,$H$5,$H$4,J88,"K"),"")</f>
        <v/>
      </c>
      <c r="L88" s="37" t="s">
        <v>1567</v>
      </c>
      <c r="M88" s="38" t="str">
        <f>IFERROR([1]!IntrinioBankFinancials(rssd_id,$Q$2,$H$5,$H$4,L88,"K"),"")</f>
        <v/>
      </c>
      <c r="N88" s="49" t="s">
        <v>516</v>
      </c>
      <c r="O88" s="13"/>
      <c r="P88" s="13"/>
      <c r="Q88" s="13"/>
    </row>
    <row r="89" spans="1:17" s="47" customFormat="1" x14ac:dyDescent="0.4">
      <c r="A89" s="39" t="s">
        <v>690</v>
      </c>
      <c r="B89" s="37" t="s">
        <v>1658</v>
      </c>
      <c r="C89" s="38" t="str">
        <f>IFERROR([1]!IntrinioBankFinancials(rssd_id,$Q$2,$B$5,$B$4,B89,"K"),"")</f>
        <v/>
      </c>
      <c r="D89" s="37" t="s">
        <v>1659</v>
      </c>
      <c r="E89" s="38" t="str">
        <f>IFERROR([1]!IntrinioBankFinancials(rssd_id,$Q$2,$B$5,$B$4,D89,"K"),"")</f>
        <v/>
      </c>
      <c r="F89" s="37" t="s">
        <v>1660</v>
      </c>
      <c r="G89" s="38" t="str">
        <f>IFERROR([1]!IntrinioBankFinancials(rssd_id,$Q$2,$B$5,$B$4,F89,"K"),"")</f>
        <v/>
      </c>
      <c r="H89" s="37" t="s">
        <v>1658</v>
      </c>
      <c r="I89" s="38" t="str">
        <f>IFERROR([1]!IntrinioBankFinancials(rssd_id,$Q$2,$H$5,$H$4,H89,"K"),"")</f>
        <v/>
      </c>
      <c r="J89" s="37" t="s">
        <v>1659</v>
      </c>
      <c r="K89" s="38" t="str">
        <f>IFERROR([1]!IntrinioBankFinancials(rssd_id,$Q$2,$H$5,$H$4,J89,"K"),"")</f>
        <v/>
      </c>
      <c r="L89" s="37" t="s">
        <v>1660</v>
      </c>
      <c r="M89" s="38" t="str">
        <f>IFERROR([1]!IntrinioBankFinancials(rssd_id,$Q$2,$H$5,$H$4,L89,"K"),"")</f>
        <v/>
      </c>
      <c r="N89" s="49" t="s">
        <v>517</v>
      </c>
      <c r="O89" s="13"/>
      <c r="P89" s="13"/>
      <c r="Q89" s="13"/>
    </row>
    <row r="90" spans="1:17" s="47" customFormat="1" x14ac:dyDescent="0.4">
      <c r="A90" s="39" t="s">
        <v>483</v>
      </c>
      <c r="B90" s="37" t="s">
        <v>1661</v>
      </c>
      <c r="C90" s="38" t="str">
        <f>IFERROR([1]!IntrinioBankFinancials(rssd_id,$Q$2,$B$5,$B$4,B90,"K"),"")</f>
        <v/>
      </c>
      <c r="D90" s="37" t="s">
        <v>1662</v>
      </c>
      <c r="E90" s="38" t="str">
        <f>IFERROR([1]!IntrinioBankFinancials(rssd_id,$Q$2,$B$5,$B$4,D90,"K"),"")</f>
        <v/>
      </c>
      <c r="F90" s="37" t="s">
        <v>1663</v>
      </c>
      <c r="G90" s="38" t="str">
        <f>IFERROR([1]!IntrinioBankFinancials(rssd_id,$Q$2,$B$5,$B$4,F90,"K"),"")</f>
        <v/>
      </c>
      <c r="H90" s="37" t="s">
        <v>1661</v>
      </c>
      <c r="I90" s="38" t="str">
        <f>IFERROR([1]!IntrinioBankFinancials(rssd_id,$Q$2,$H$5,$H$4,H90,"K"),"")</f>
        <v/>
      </c>
      <c r="J90" s="37" t="s">
        <v>1662</v>
      </c>
      <c r="K90" s="38" t="str">
        <f>IFERROR([1]!IntrinioBankFinancials(rssd_id,$Q$2,$H$5,$H$4,J90,"K"),"")</f>
        <v/>
      </c>
      <c r="L90" s="37" t="s">
        <v>1663</v>
      </c>
      <c r="M90" s="38" t="str">
        <f>IFERROR([1]!IntrinioBankFinancials(rssd_id,$Q$2,$H$5,$H$4,L90,"K"),"")</f>
        <v/>
      </c>
      <c r="N90" s="49" t="s">
        <v>113</v>
      </c>
      <c r="O90" s="13"/>
      <c r="P90" s="13"/>
      <c r="Q90" s="13"/>
    </row>
    <row r="91" spans="1:17" s="47" customFormat="1" x14ac:dyDescent="0.4">
      <c r="A91" s="39" t="s">
        <v>495</v>
      </c>
      <c r="B91" s="37"/>
      <c r="C91" s="38" t="str">
        <f>IFERROR([1]!IntrinioBankFinancials(rssd_id,$Q$2,$B$5,$B$4,B91,"K"),"")</f>
        <v/>
      </c>
      <c r="D91" s="37"/>
      <c r="E91" s="38" t="str">
        <f>IFERROR([1]!IntrinioBankFinancials(rssd_id,$Q$2,$B$5,$B$4,D91,"K"),"")</f>
        <v/>
      </c>
      <c r="F91" s="37"/>
      <c r="G91" s="38" t="str">
        <f>IFERROR([1]!IntrinioBankFinancials(rssd_id,$Q$2,$B$5,$B$4,F91,"K"),"")</f>
        <v/>
      </c>
      <c r="H91" s="37"/>
      <c r="I91" s="38" t="str">
        <f>IFERROR([1]!IntrinioBankFinancials(rssd_id,$Q$2,$H$5,$H$4,H91,"K"),"")</f>
        <v/>
      </c>
      <c r="J91" s="37"/>
      <c r="K91" s="38" t="str">
        <f>IFERROR([1]!IntrinioBankFinancials(rssd_id,$Q$2,$H$5,$H$4,J91,"K"),"")</f>
        <v/>
      </c>
      <c r="L91" s="37"/>
      <c r="M91" s="38" t="str">
        <f>IFERROR([1]!IntrinioBankFinancials(rssd_id,$Q$2,$H$5,$H$4,L91,"K"),"")</f>
        <v/>
      </c>
      <c r="N91" s="49" t="s">
        <v>114</v>
      </c>
      <c r="O91" s="13"/>
      <c r="P91" s="13"/>
      <c r="Q91" s="13"/>
    </row>
    <row r="92" spans="1:17" s="47" customFormat="1" x14ac:dyDescent="0.4">
      <c r="A92" s="39" t="s">
        <v>13</v>
      </c>
      <c r="B92" s="37" t="s">
        <v>1664</v>
      </c>
      <c r="C92" s="38" t="str">
        <f>IFERROR([1]!IntrinioBankFinancials(rssd_id,$Q$2,$B$5,$B$4,B92,"K"),"")</f>
        <v/>
      </c>
      <c r="D92" s="37" t="s">
        <v>1665</v>
      </c>
      <c r="E92" s="38" t="str">
        <f>IFERROR([1]!IntrinioBankFinancials(rssd_id,$Q$2,$B$5,$B$4,D92,"K"),"")</f>
        <v/>
      </c>
      <c r="F92" s="37" t="s">
        <v>1666</v>
      </c>
      <c r="G92" s="38" t="str">
        <f>IFERROR([1]!IntrinioBankFinancials(rssd_id,$Q$2,$B$5,$B$4,F92,"K"),"")</f>
        <v/>
      </c>
      <c r="H92" s="37" t="s">
        <v>1664</v>
      </c>
      <c r="I92" s="38" t="str">
        <f>IFERROR([1]!IntrinioBankFinancials(rssd_id,$Q$2,$H$5,$H$4,H92,"K"),"")</f>
        <v/>
      </c>
      <c r="J92" s="37" t="s">
        <v>1665</v>
      </c>
      <c r="K92" s="38" t="str">
        <f>IFERROR([1]!IntrinioBankFinancials(rssd_id,$Q$2,$H$5,$H$4,J92,"K"),"")</f>
        <v/>
      </c>
      <c r="L92" s="37" t="s">
        <v>1666</v>
      </c>
      <c r="M92" s="38" t="str">
        <f>IFERROR([1]!IntrinioBankFinancials(rssd_id,$Q$2,$H$5,$H$4,L92,"K"),"")</f>
        <v/>
      </c>
      <c r="N92" s="49" t="s">
        <v>468</v>
      </c>
      <c r="O92" s="13"/>
      <c r="P92" s="13"/>
      <c r="Q92" s="13"/>
    </row>
    <row r="93" spans="1:17" s="47" customFormat="1" x14ac:dyDescent="0.4">
      <c r="A93" s="39" t="s">
        <v>222</v>
      </c>
      <c r="B93" s="37" t="s">
        <v>1667</v>
      </c>
      <c r="C93" s="38" t="str">
        <f>IFERROR([1]!IntrinioBankFinancials(rssd_id,$Q$2,$B$5,$B$4,B93,"K"),"")</f>
        <v/>
      </c>
      <c r="D93" s="37" t="s">
        <v>1668</v>
      </c>
      <c r="E93" s="38" t="str">
        <f>IFERROR([1]!IntrinioBankFinancials(rssd_id,$Q$2,$B$5,$B$4,D93,"K"),"")</f>
        <v/>
      </c>
      <c r="F93" s="37" t="s">
        <v>1669</v>
      </c>
      <c r="G93" s="38" t="str">
        <f>IFERROR([1]!IntrinioBankFinancials(rssd_id,$Q$2,$B$5,$B$4,F93,"K"),"")</f>
        <v/>
      </c>
      <c r="H93" s="37" t="s">
        <v>1667</v>
      </c>
      <c r="I93" s="38" t="str">
        <f>IFERROR([1]!IntrinioBankFinancials(rssd_id,$Q$2,$H$5,$H$4,H93,"K"),"")</f>
        <v/>
      </c>
      <c r="J93" s="37" t="s">
        <v>1668</v>
      </c>
      <c r="K93" s="38" t="str">
        <f>IFERROR([1]!IntrinioBankFinancials(rssd_id,$Q$2,$H$5,$H$4,J93,"K"),"")</f>
        <v/>
      </c>
      <c r="L93" s="37" t="s">
        <v>1669</v>
      </c>
      <c r="M93" s="38" t="str">
        <f>IFERROR([1]!IntrinioBankFinancials(rssd_id,$Q$2,$H$5,$H$4,L93,"K"),"")</f>
        <v/>
      </c>
      <c r="N93" s="49" t="s">
        <v>469</v>
      </c>
      <c r="O93" s="13"/>
      <c r="P93" s="13"/>
      <c r="Q93" s="13"/>
    </row>
    <row r="94" spans="1:17" s="47" customFormat="1" ht="28.5" x14ac:dyDescent="0.4">
      <c r="A94" s="39" t="s">
        <v>236</v>
      </c>
      <c r="B94" s="37" t="s">
        <v>1670</v>
      </c>
      <c r="C94" s="38" t="str">
        <f>IFERROR([1]!IntrinioBankFinancials(rssd_id,$Q$2,$B$5,$B$4,B94,"K"),"")</f>
        <v/>
      </c>
      <c r="D94" s="37" t="s">
        <v>1671</v>
      </c>
      <c r="E94" s="38" t="str">
        <f>IFERROR([1]!IntrinioBankFinancials(rssd_id,$Q$2,$B$5,$B$4,D94,"K"),"")</f>
        <v/>
      </c>
      <c r="F94" s="37" t="s">
        <v>1672</v>
      </c>
      <c r="G94" s="38" t="str">
        <f>IFERROR([1]!IntrinioBankFinancials(rssd_id,$Q$2,$B$5,$B$4,F94,"K"),"")</f>
        <v/>
      </c>
      <c r="H94" s="37" t="s">
        <v>1670</v>
      </c>
      <c r="I94" s="38" t="str">
        <f>IFERROR([1]!IntrinioBankFinancials(rssd_id,$Q$2,$H$5,$H$4,H94,"K"),"")</f>
        <v/>
      </c>
      <c r="J94" s="37" t="s">
        <v>1671</v>
      </c>
      <c r="K94" s="38" t="str">
        <f>IFERROR([1]!IntrinioBankFinancials(rssd_id,$Q$2,$H$5,$H$4,J94,"K"),"")</f>
        <v/>
      </c>
      <c r="L94" s="37" t="s">
        <v>1672</v>
      </c>
      <c r="M94" s="38" t="str">
        <f>IFERROR([1]!IntrinioBankFinancials(rssd_id,$Q$2,$H$5,$H$4,L94,"K"),"")</f>
        <v/>
      </c>
      <c r="N94" s="49" t="s">
        <v>470</v>
      </c>
      <c r="O94" s="13"/>
      <c r="P94" s="13"/>
      <c r="Q94" s="13"/>
    </row>
    <row r="95" spans="1:17" s="47" customFormat="1" x14ac:dyDescent="0.4">
      <c r="A95" s="39" t="s">
        <v>496</v>
      </c>
      <c r="B95" s="37" t="s">
        <v>1673</v>
      </c>
      <c r="C95" s="38" t="str">
        <f>IFERROR([1]!IntrinioBankFinancials(rssd_id,$Q$2,$B$5,$B$4,B95,"K"),"")</f>
        <v/>
      </c>
      <c r="D95" s="37" t="s">
        <v>1674</v>
      </c>
      <c r="E95" s="38" t="str">
        <f>IFERROR([1]!IntrinioBankFinancials(rssd_id,$Q$2,$B$5,$B$4,D95,"K"),"")</f>
        <v/>
      </c>
      <c r="F95" s="37" t="s">
        <v>1675</v>
      </c>
      <c r="G95" s="38" t="str">
        <f>IFERROR([1]!IntrinioBankFinancials(rssd_id,$Q$2,$B$5,$B$4,F95,"K"),"")</f>
        <v/>
      </c>
      <c r="H95" s="37" t="s">
        <v>1673</v>
      </c>
      <c r="I95" s="38" t="str">
        <f>IFERROR([1]!IntrinioBankFinancials(rssd_id,$Q$2,$H$5,$H$4,H95,"K"),"")</f>
        <v/>
      </c>
      <c r="J95" s="37" t="s">
        <v>1674</v>
      </c>
      <c r="K95" s="38" t="str">
        <f>IFERROR([1]!IntrinioBankFinancials(rssd_id,$Q$2,$H$5,$H$4,J95,"K"),"")</f>
        <v/>
      </c>
      <c r="L95" s="37" t="s">
        <v>1675</v>
      </c>
      <c r="M95" s="38" t="str">
        <f>IFERROR([1]!IntrinioBankFinancials(rssd_id,$Q$2,$H$5,$H$4,L95,"K"),"")</f>
        <v/>
      </c>
      <c r="N95" s="49" t="s">
        <v>471</v>
      </c>
      <c r="O95" s="13"/>
      <c r="P95" s="13"/>
      <c r="Q95" s="13"/>
    </row>
    <row r="96" spans="1:17" s="47" customFormat="1" x14ac:dyDescent="0.4">
      <c r="A96" s="39" t="s">
        <v>497</v>
      </c>
      <c r="B96" s="37" t="s">
        <v>1676</v>
      </c>
      <c r="C96" s="38" t="str">
        <f>IFERROR([1]!IntrinioBankFinancials(rssd_id,$Q$2,$B$5,$B$4,B96,"K"),"")</f>
        <v/>
      </c>
      <c r="D96" s="37" t="s">
        <v>1677</v>
      </c>
      <c r="E96" s="38" t="str">
        <f>IFERROR([1]!IntrinioBankFinancials(rssd_id,$Q$2,$B$5,$B$4,D96,"K"),"")</f>
        <v/>
      </c>
      <c r="F96" s="37" t="s">
        <v>1678</v>
      </c>
      <c r="G96" s="38" t="str">
        <f>IFERROR([1]!IntrinioBankFinancials(rssd_id,$Q$2,$B$5,$B$4,F96,"K"),"")</f>
        <v/>
      </c>
      <c r="H96" s="37" t="s">
        <v>1676</v>
      </c>
      <c r="I96" s="38" t="str">
        <f>IFERROR([1]!IntrinioBankFinancials(rssd_id,$Q$2,$H$5,$H$4,H96,"K"),"")</f>
        <v/>
      </c>
      <c r="J96" s="37" t="s">
        <v>1677</v>
      </c>
      <c r="K96" s="38" t="str">
        <f>IFERROR([1]!IntrinioBankFinancials(rssd_id,$Q$2,$H$5,$H$4,J96,"K"),"")</f>
        <v/>
      </c>
      <c r="L96" s="37" t="s">
        <v>1678</v>
      </c>
      <c r="M96" s="38" t="str">
        <f>IFERROR([1]!IntrinioBankFinancials(rssd_id,$Q$2,$H$5,$H$4,L96,"K"),"")</f>
        <v/>
      </c>
      <c r="N96" s="49" t="s">
        <v>115</v>
      </c>
      <c r="O96" s="13"/>
      <c r="P96" s="13"/>
      <c r="Q96" s="13"/>
    </row>
    <row r="97" spans="1:17" s="47" customFormat="1" ht="28.5" x14ac:dyDescent="0.4">
      <c r="A97" s="39" t="s">
        <v>857</v>
      </c>
      <c r="B97" s="37" t="s">
        <v>858</v>
      </c>
      <c r="C97" s="38" t="str">
        <f>IFERROR([1]!IntrinioBankFinancials(rssd_id,$Q$2,$B$5,$B$4,B97,"K"),"")</f>
        <v/>
      </c>
      <c r="D97" s="37" t="s">
        <v>862</v>
      </c>
      <c r="E97" s="38" t="str">
        <f>IFERROR([1]!IntrinioBankFinancials(rssd_id,$Q$2,$B$5,$B$4,D97,"K"),"")</f>
        <v/>
      </c>
      <c r="F97" s="37" t="s">
        <v>865</v>
      </c>
      <c r="G97" s="38" t="str">
        <f>IFERROR([1]!IntrinioBankFinancials(rssd_id,$Q$2,$B$5,$B$4,F97,"K"),"")</f>
        <v/>
      </c>
      <c r="H97" s="37" t="s">
        <v>858</v>
      </c>
      <c r="I97" s="38" t="str">
        <f>IFERROR([1]!IntrinioBankFinancials(rssd_id,$Q$2,$H$5,$H$4,H97,"K"),"")</f>
        <v/>
      </c>
      <c r="J97" s="37" t="s">
        <v>862</v>
      </c>
      <c r="K97" s="38" t="str">
        <f>IFERROR([1]!IntrinioBankFinancials(rssd_id,$Q$2,$H$5,$H$4,J97,"K"),"")</f>
        <v/>
      </c>
      <c r="L97" s="37" t="s">
        <v>865</v>
      </c>
      <c r="M97" s="38" t="str">
        <f>IFERROR([1]!IntrinioBankFinancials(rssd_id,$Q$2,$H$5,$H$4,L97,"K"),"")</f>
        <v/>
      </c>
      <c r="N97" s="49" t="s">
        <v>117</v>
      </c>
      <c r="O97" s="13"/>
      <c r="P97" s="13"/>
      <c r="Q97" s="13"/>
    </row>
    <row r="98" spans="1:17" ht="42.75" x14ac:dyDescent="0.4">
      <c r="A98" s="39" t="s">
        <v>1902</v>
      </c>
      <c r="B98" s="37" t="s">
        <v>1679</v>
      </c>
      <c r="C98" s="38" t="str">
        <f>IFERROR([1]!IntrinioBankFinancials(rssd_id,$Q$2,$B$5,$B$4,B98,"K"),"")</f>
        <v/>
      </c>
      <c r="D98" s="37" t="s">
        <v>1680</v>
      </c>
      <c r="E98" s="38" t="str">
        <f>IFERROR([1]!IntrinioBankFinancials(rssd_id,$Q$2,$B$5,$B$4,D98,"K"),"")</f>
        <v/>
      </c>
      <c r="F98" s="37" t="s">
        <v>1681</v>
      </c>
      <c r="G98" s="38" t="str">
        <f>IFERROR([1]!IntrinioBankFinancials(rssd_id,$Q$2,$B$5,$B$4,F98,"K"),"")</f>
        <v/>
      </c>
      <c r="H98" s="37" t="s">
        <v>1679</v>
      </c>
      <c r="I98" s="38" t="str">
        <f>IFERROR([1]!IntrinioBankFinancials(rssd_id,$Q$2,$H$5,$H$4,H98,"K"),"")</f>
        <v/>
      </c>
      <c r="J98" s="37" t="s">
        <v>1680</v>
      </c>
      <c r="K98" s="38" t="str">
        <f>IFERROR([1]!IntrinioBankFinancials(rssd_id,$Q$2,$H$5,$H$4,J98,"K"),"")</f>
        <v/>
      </c>
      <c r="L98" s="37" t="s">
        <v>1681</v>
      </c>
      <c r="M98" s="38" t="str">
        <f>IFERROR([1]!IntrinioBankFinancials(rssd_id,$Q$2,$H$5,$H$4,L98,"K"),"")</f>
        <v/>
      </c>
      <c r="N98" s="49" t="s">
        <v>420</v>
      </c>
    </row>
    <row r="99" spans="1:17" ht="28.5" x14ac:dyDescent="0.4">
      <c r="A99" s="39" t="s">
        <v>1903</v>
      </c>
      <c r="B99" s="37" t="s">
        <v>1682</v>
      </c>
      <c r="C99" s="38" t="str">
        <f>IFERROR([1]!IntrinioBankFinancials(rssd_id,$Q$2,$B$5,$B$4,B99,"K"),"")</f>
        <v/>
      </c>
      <c r="D99" s="37" t="s">
        <v>1683</v>
      </c>
      <c r="E99" s="38" t="str">
        <f>IFERROR([1]!IntrinioBankFinancials(rssd_id,$Q$2,$B$5,$B$4,D99,"K"),"")</f>
        <v/>
      </c>
      <c r="F99" s="37" t="s">
        <v>1684</v>
      </c>
      <c r="G99" s="38" t="str">
        <f>IFERROR([1]!IntrinioBankFinancials(rssd_id,$Q$2,$B$5,$B$4,F99,"K"),"")</f>
        <v/>
      </c>
      <c r="H99" s="37" t="s">
        <v>1682</v>
      </c>
      <c r="I99" s="38" t="str">
        <f>IFERROR([1]!IntrinioBankFinancials(rssd_id,$Q$2,$H$5,$H$4,H99,"K"),"")</f>
        <v/>
      </c>
      <c r="J99" s="37" t="s">
        <v>1683</v>
      </c>
      <c r="K99" s="38" t="str">
        <f>IFERROR([1]!IntrinioBankFinancials(rssd_id,$Q$2,$H$5,$H$4,J99,"K"),"")</f>
        <v/>
      </c>
      <c r="L99" s="37" t="s">
        <v>1684</v>
      </c>
      <c r="M99" s="38" t="str">
        <f>IFERROR([1]!IntrinioBankFinancials(rssd_id,$Q$2,$H$5,$H$4,L99,"K"),"")</f>
        <v/>
      </c>
      <c r="N99" s="49" t="s">
        <v>422</v>
      </c>
    </row>
    <row r="100" spans="1:17" x14ac:dyDescent="0.4">
      <c r="A100" s="39" t="s">
        <v>644</v>
      </c>
      <c r="B100" s="37"/>
      <c r="C100" s="38" t="str">
        <f>IFERROR([1]!IntrinioBankFinancials(rssd_id,$Q$2,$B$5,$B$4,B100,"K"),"")</f>
        <v/>
      </c>
      <c r="D100" s="37"/>
      <c r="E100" s="38" t="str">
        <f>IFERROR([1]!IntrinioBankFinancials(rssd_id,$Q$2,$B$5,$B$4,D100,"K"),"")</f>
        <v/>
      </c>
      <c r="F100" s="37"/>
      <c r="G100" s="38" t="str">
        <f>IFERROR([1]!IntrinioBankFinancials(rssd_id,$Q$2,$B$5,$B$4,F100,"K"),"")</f>
        <v/>
      </c>
      <c r="H100" s="37"/>
      <c r="I100" s="38" t="str">
        <f>IFERROR([1]!IntrinioBankFinancials(rssd_id,$Q$2,$H$5,$H$4,H100,"K"),"")</f>
        <v/>
      </c>
      <c r="J100" s="37"/>
      <c r="K100" s="38" t="str">
        <f>IFERROR([1]!IntrinioBankFinancials(rssd_id,$Q$2,$H$5,$H$4,J100,"K"),"")</f>
        <v/>
      </c>
      <c r="L100" s="37"/>
      <c r="M100" s="38" t="str">
        <f>IFERROR([1]!IntrinioBankFinancials(rssd_id,$Q$2,$H$5,$H$4,L100,"K"),"")</f>
        <v/>
      </c>
      <c r="N100" s="49" t="s">
        <v>693</v>
      </c>
    </row>
    <row r="101" spans="1:17" ht="28.5" x14ac:dyDescent="0.4">
      <c r="A101" s="39" t="s">
        <v>1904</v>
      </c>
      <c r="B101" s="37"/>
      <c r="C101" s="38" t="str">
        <f>IFERROR([1]!IntrinioBankFinancials(rssd_id,$Q$2,$B$5,$B$4,B101,"K"),"")</f>
        <v/>
      </c>
      <c r="D101" s="37"/>
      <c r="E101" s="38" t="str">
        <f>IFERROR([1]!IntrinioBankFinancials(rssd_id,$Q$2,$B$5,$B$4,D101,"K"),"")</f>
        <v/>
      </c>
      <c r="F101" s="37"/>
      <c r="G101" s="38" t="str">
        <f>IFERROR([1]!IntrinioBankFinancials(rssd_id,$Q$2,$B$5,$B$4,F101,"K"),"")</f>
        <v/>
      </c>
      <c r="H101" s="37"/>
      <c r="I101" s="38" t="str">
        <f>IFERROR([1]!IntrinioBankFinancials(rssd_id,$Q$2,$H$5,$H$4,H101,"K"),"")</f>
        <v/>
      </c>
      <c r="J101" s="37"/>
      <c r="K101" s="38" t="str">
        <f>IFERROR([1]!IntrinioBankFinancials(rssd_id,$Q$2,$H$5,$H$4,J101,"K"),"")</f>
        <v/>
      </c>
      <c r="L101" s="37"/>
      <c r="M101" s="38" t="str">
        <f>IFERROR([1]!IntrinioBankFinancials(rssd_id,$Q$2,$H$5,$H$4,L101,"K"),"")</f>
        <v/>
      </c>
      <c r="N101" s="49" t="s">
        <v>695</v>
      </c>
    </row>
    <row r="102" spans="1:17" x14ac:dyDescent="0.4">
      <c r="A102" s="39" t="s">
        <v>288</v>
      </c>
      <c r="B102" s="37" t="s">
        <v>1685</v>
      </c>
      <c r="C102" s="38" t="str">
        <f>IFERROR([1]!IntrinioBankFinancials(rssd_id,$Q$2,$B$5,$B$4,B102,"K"),"")</f>
        <v/>
      </c>
      <c r="D102" s="37" t="s">
        <v>1686</v>
      </c>
      <c r="E102" s="38" t="str">
        <f>IFERROR([1]!IntrinioBankFinancials(rssd_id,$Q$2,$B$5,$B$4,D102,"K"),"")</f>
        <v/>
      </c>
      <c r="F102" s="37" t="s">
        <v>1687</v>
      </c>
      <c r="G102" s="38" t="str">
        <f>IFERROR([1]!IntrinioBankFinancials(rssd_id,$Q$2,$B$5,$B$4,F102,"K"),"")</f>
        <v/>
      </c>
      <c r="H102" s="37" t="s">
        <v>1685</v>
      </c>
      <c r="I102" s="38" t="str">
        <f>IFERROR([1]!IntrinioBankFinancials(rssd_id,$Q$2,$H$5,$H$4,H102,"K"),"")</f>
        <v/>
      </c>
      <c r="J102" s="37" t="s">
        <v>1686</v>
      </c>
      <c r="K102" s="38" t="str">
        <f>IFERROR([1]!IntrinioBankFinancials(rssd_id,$Q$2,$H$5,$H$4,J102,"K"),"")</f>
        <v/>
      </c>
      <c r="L102" s="37" t="s">
        <v>1687</v>
      </c>
      <c r="M102" s="38" t="str">
        <f>IFERROR([1]!IntrinioBankFinancials(rssd_id,$Q$2,$H$5,$H$4,L102,"K"),"")</f>
        <v/>
      </c>
      <c r="N102" s="49" t="s">
        <v>118</v>
      </c>
    </row>
    <row r="103" spans="1:17" x14ac:dyDescent="0.4">
      <c r="A103" s="39" t="s">
        <v>691</v>
      </c>
      <c r="B103" s="37"/>
      <c r="C103" s="38" t="str">
        <f>IFERROR([1]!IntrinioBankFinancials(rssd_id,$Q$2,$B$5,$B$4,B103,"K"),"")</f>
        <v/>
      </c>
      <c r="D103" s="37"/>
      <c r="E103" s="38" t="str">
        <f>IFERROR([1]!IntrinioBankFinancials(rssd_id,$Q$2,$B$5,$B$4,D103,"K"),"")</f>
        <v/>
      </c>
      <c r="F103" s="37"/>
      <c r="G103" s="38" t="str">
        <f>IFERROR([1]!IntrinioBankFinancials(rssd_id,$Q$2,$B$5,$B$4,F103,"K"),"")</f>
        <v/>
      </c>
      <c r="H103" s="37"/>
      <c r="I103" s="38" t="str">
        <f>IFERROR([1]!IntrinioBankFinancials(rssd_id,$Q$2,$H$5,$H$4,H103,"K"),"")</f>
        <v/>
      </c>
      <c r="J103" s="37"/>
      <c r="K103" s="38" t="str">
        <f>IFERROR([1]!IntrinioBankFinancials(rssd_id,$Q$2,$H$5,$H$4,J103,"K"),"")</f>
        <v/>
      </c>
      <c r="L103" s="37"/>
      <c r="M103" s="38" t="str">
        <f>IFERROR([1]!IntrinioBankFinancials(rssd_id,$Q$2,$H$5,$H$4,L103,"K"),"")</f>
        <v/>
      </c>
      <c r="N103" s="49" t="s">
        <v>119</v>
      </c>
    </row>
    <row r="104" spans="1:17" x14ac:dyDescent="0.4">
      <c r="A104" s="39" t="s">
        <v>692</v>
      </c>
      <c r="B104" s="37" t="s">
        <v>1688</v>
      </c>
      <c r="C104" s="38" t="str">
        <f>IFERROR([1]!IntrinioBankFinancials(rssd_id,$Q$2,$B$5,$B$4,B104,"K"),"")</f>
        <v/>
      </c>
      <c r="D104" s="37" t="s">
        <v>1689</v>
      </c>
      <c r="E104" s="38" t="str">
        <f>IFERROR([1]!IntrinioBankFinancials(rssd_id,$Q$2,$B$5,$B$4,D104,"K"),"")</f>
        <v/>
      </c>
      <c r="F104" s="37" t="s">
        <v>1690</v>
      </c>
      <c r="G104" s="38" t="str">
        <f>IFERROR([1]!IntrinioBankFinancials(rssd_id,$Q$2,$B$5,$B$4,F104,"K"),"")</f>
        <v/>
      </c>
      <c r="H104" s="37" t="s">
        <v>1688</v>
      </c>
      <c r="I104" s="38" t="str">
        <f>IFERROR([1]!IntrinioBankFinancials(rssd_id,$Q$2,$H$5,$H$4,H104,"K"),"")</f>
        <v/>
      </c>
      <c r="J104" s="37" t="s">
        <v>1689</v>
      </c>
      <c r="K104" s="38" t="str">
        <f>IFERROR([1]!IntrinioBankFinancials(rssd_id,$Q$2,$H$5,$H$4,J104,"K"),"")</f>
        <v/>
      </c>
      <c r="L104" s="37" t="s">
        <v>1690</v>
      </c>
      <c r="M104" s="38" t="str">
        <f>IFERROR([1]!IntrinioBankFinancials(rssd_id,$Q$2,$H$5,$H$4,L104,"K"),"")</f>
        <v/>
      </c>
      <c r="N104" s="49" t="s">
        <v>120</v>
      </c>
    </row>
    <row r="105" spans="1:17" x14ac:dyDescent="0.4">
      <c r="A105" s="39" t="s">
        <v>694</v>
      </c>
      <c r="B105" s="37" t="s">
        <v>1691</v>
      </c>
      <c r="C105" s="38" t="str">
        <f>IFERROR([1]!IntrinioBankFinancials(rssd_id,$Q$2,$B$5,$B$4,B105,"K"),"")</f>
        <v/>
      </c>
      <c r="D105" s="37" t="s">
        <v>1692</v>
      </c>
      <c r="E105" s="38" t="str">
        <f>IFERROR([1]!IntrinioBankFinancials(rssd_id,$Q$2,$B$5,$B$4,D105,"K"),"")</f>
        <v/>
      </c>
      <c r="F105" s="37" t="s">
        <v>1693</v>
      </c>
      <c r="G105" s="38" t="str">
        <f>IFERROR([1]!IntrinioBankFinancials(rssd_id,$Q$2,$B$5,$B$4,F105,"K"),"")</f>
        <v/>
      </c>
      <c r="H105" s="37" t="s">
        <v>1691</v>
      </c>
      <c r="I105" s="38" t="str">
        <f>IFERROR([1]!IntrinioBankFinancials(rssd_id,$Q$2,$H$5,$H$4,H105,"K"),"")</f>
        <v/>
      </c>
      <c r="J105" s="37" t="s">
        <v>1692</v>
      </c>
      <c r="K105" s="38" t="str">
        <f>IFERROR([1]!IntrinioBankFinancials(rssd_id,$Q$2,$H$5,$H$4,J105,"K"),"")</f>
        <v/>
      </c>
      <c r="L105" s="37" t="s">
        <v>1693</v>
      </c>
      <c r="M105" s="38" t="str">
        <f>IFERROR([1]!IntrinioBankFinancials(rssd_id,$Q$2,$H$5,$H$4,L105,"K"),"")</f>
        <v/>
      </c>
      <c r="N105" s="49" t="s">
        <v>133</v>
      </c>
    </row>
    <row r="106" spans="1:17" x14ac:dyDescent="0.4">
      <c r="A106" s="39" t="s">
        <v>696</v>
      </c>
      <c r="B106" s="37"/>
      <c r="C106" s="38" t="str">
        <f>IFERROR([1]!IntrinioBankFinancials(rssd_id,$Q$2,$B$5,$B$4,B106,"K"),"")</f>
        <v/>
      </c>
      <c r="D106" s="37" t="s">
        <v>1694</v>
      </c>
      <c r="E106" s="38" t="str">
        <f>IFERROR([1]!IntrinioBankFinancials(rssd_id,$Q$2,$B$5,$B$4,D106,"K"),"")</f>
        <v/>
      </c>
      <c r="F106" s="37" t="s">
        <v>1695</v>
      </c>
      <c r="G106" s="38" t="str">
        <f>IFERROR([1]!IntrinioBankFinancials(rssd_id,$Q$2,$B$5,$B$4,F106,"K"),"")</f>
        <v/>
      </c>
      <c r="H106" s="37"/>
      <c r="I106" s="38" t="str">
        <f>IFERROR([1]!IntrinioBankFinancials(rssd_id,$Q$2,$H$5,$H$4,H106,"K"),"")</f>
        <v/>
      </c>
      <c r="J106" s="37" t="s">
        <v>1694</v>
      </c>
      <c r="K106" s="38" t="str">
        <f>IFERROR([1]!IntrinioBankFinancials(rssd_id,$Q$2,$H$5,$H$4,J106,"K"),"")</f>
        <v/>
      </c>
      <c r="L106" s="37" t="s">
        <v>1695</v>
      </c>
      <c r="M106" s="38" t="str">
        <f>IFERROR([1]!IntrinioBankFinancials(rssd_id,$Q$2,$H$5,$H$4,L106,"K"),"")</f>
        <v/>
      </c>
      <c r="N106" s="49" t="s">
        <v>135</v>
      </c>
    </row>
    <row r="107" spans="1:17" x14ac:dyDescent="0.4">
      <c r="A107" s="39" t="s">
        <v>697</v>
      </c>
      <c r="B107" s="37"/>
      <c r="C107" s="38" t="str">
        <f>IFERROR([1]!IntrinioBankFinancials(rssd_id,$Q$2,$B$5,$B$4,B107,"K"),"")</f>
        <v/>
      </c>
      <c r="D107" s="37"/>
      <c r="E107" s="38" t="str">
        <f>IFERROR([1]!IntrinioBankFinancials(rssd_id,$Q$2,$B$5,$B$4,D107,"K"),"")</f>
        <v/>
      </c>
      <c r="F107" s="37" t="s">
        <v>1696</v>
      </c>
      <c r="G107" s="38" t="str">
        <f>IFERROR([1]!IntrinioBankFinancials(rssd_id,$Q$2,$B$5,$B$4,F107,"K"),"")</f>
        <v/>
      </c>
      <c r="H107" s="37"/>
      <c r="I107" s="38" t="str">
        <f>IFERROR([1]!IntrinioBankFinancials(rssd_id,$Q$2,$H$5,$H$4,H107,"K"),"")</f>
        <v/>
      </c>
      <c r="J107" s="37"/>
      <c r="K107" s="38" t="str">
        <f>IFERROR([1]!IntrinioBankFinancials(rssd_id,$Q$2,$H$5,$H$4,J107,"K"),"")</f>
        <v/>
      </c>
      <c r="L107" s="37" t="s">
        <v>1696</v>
      </c>
      <c r="M107" s="38" t="str">
        <f>IFERROR([1]!IntrinioBankFinancials(rssd_id,$Q$2,$H$5,$H$4,L107,"K"),"")</f>
        <v/>
      </c>
      <c r="N107" s="49" t="s">
        <v>137</v>
      </c>
    </row>
    <row r="108" spans="1:17" x14ac:dyDescent="0.4">
      <c r="A108" s="39" t="s">
        <v>698</v>
      </c>
      <c r="B108" s="37"/>
      <c r="C108" s="38" t="str">
        <f>IFERROR([1]!IntrinioBankFinancials(rssd_id,$Q$2,$B$5,$B$4,B108,"K"),"")</f>
        <v/>
      </c>
      <c r="D108" s="37"/>
      <c r="E108" s="38" t="str">
        <f>IFERROR([1]!IntrinioBankFinancials(rssd_id,$Q$2,$B$5,$B$4,D108,"K"),"")</f>
        <v/>
      </c>
      <c r="F108" s="37" t="s">
        <v>1697</v>
      </c>
      <c r="G108" s="38" t="str">
        <f>IFERROR([1]!IntrinioBankFinancials(rssd_id,$Q$2,$B$5,$B$4,F108,"K"),"")</f>
        <v/>
      </c>
      <c r="H108" s="37"/>
      <c r="I108" s="38"/>
      <c r="J108" s="37"/>
      <c r="K108" s="38"/>
      <c r="L108" s="37" t="s">
        <v>1697</v>
      </c>
      <c r="M108" s="38"/>
      <c r="N108" s="49"/>
    </row>
    <row r="109" spans="1:17" ht="28.5" x14ac:dyDescent="0.4">
      <c r="A109" s="39" t="s">
        <v>859</v>
      </c>
      <c r="B109" s="37"/>
      <c r="C109" s="38" t="str">
        <f>IFERROR([1]!IntrinioBankFinancials(rssd_id,$Q$2,$B$5,$B$4,B109,"K"),"")</f>
        <v/>
      </c>
      <c r="D109" s="37"/>
      <c r="E109" s="38" t="str">
        <f>IFERROR([1]!IntrinioBankFinancials(rssd_id,$Q$2,$B$5,$B$4,D109,"K"),"")</f>
        <v/>
      </c>
      <c r="F109" s="37"/>
      <c r="G109" s="38" t="str">
        <f>IFERROR([1]!IntrinioBankFinancials(rssd_id,$Q$2,$B$5,$B$4,F109,"K"),"")</f>
        <v/>
      </c>
      <c r="H109" s="37"/>
      <c r="I109" s="38"/>
      <c r="J109" s="37"/>
      <c r="K109" s="38"/>
      <c r="L109" s="37"/>
      <c r="M109" s="38"/>
      <c r="N109" s="49"/>
    </row>
    <row r="110" spans="1:17" x14ac:dyDescent="0.4">
      <c r="A110" s="39" t="s">
        <v>499</v>
      </c>
      <c r="B110" s="37" t="s">
        <v>1698</v>
      </c>
      <c r="C110" s="38" t="str">
        <f>IFERROR([1]!IntrinioBankFinancials(rssd_id,$Q$2,$B$5,$B$4,B110,"K"),"")</f>
        <v/>
      </c>
      <c r="D110" s="37" t="s">
        <v>1699</v>
      </c>
      <c r="E110" s="38" t="str">
        <f>IFERROR([1]!IntrinioBankFinancials(rssd_id,$Q$2,$B$5,$B$4,D110,"K"),"")</f>
        <v/>
      </c>
      <c r="F110" s="37" t="s">
        <v>1700</v>
      </c>
      <c r="G110" s="38" t="str">
        <f>IFERROR([1]!IntrinioBankFinancials(rssd_id,$Q$2,$B$5,$B$4,F110,"K"),"")</f>
        <v/>
      </c>
      <c r="H110" s="37" t="s">
        <v>1698</v>
      </c>
      <c r="I110" s="38"/>
      <c r="J110" s="37" t="s">
        <v>1699</v>
      </c>
      <c r="K110" s="38"/>
      <c r="L110" s="37" t="s">
        <v>1700</v>
      </c>
      <c r="M110" s="38"/>
      <c r="N110" s="49"/>
    </row>
    <row r="111" spans="1:17" x14ac:dyDescent="0.4">
      <c r="A111" s="39" t="s">
        <v>1905</v>
      </c>
      <c r="B111" s="37" t="s">
        <v>1701</v>
      </c>
      <c r="C111" s="38" t="str">
        <f>IFERROR([1]!IntrinioBankFinancials(rssd_id,$Q$2,$B$5,$B$4,B111,"K"),"")</f>
        <v/>
      </c>
      <c r="D111" s="37" t="s">
        <v>1702</v>
      </c>
      <c r="E111" s="38" t="str">
        <f>IFERROR([1]!IntrinioBankFinancials(rssd_id,$Q$2,$B$5,$B$4,D111,"K"),"")</f>
        <v/>
      </c>
      <c r="F111" s="37" t="s">
        <v>1703</v>
      </c>
      <c r="G111" s="38" t="str">
        <f>IFERROR([1]!IntrinioBankFinancials(rssd_id,$Q$2,$B$5,$B$4,F111,"K"),"")</f>
        <v/>
      </c>
      <c r="H111" s="37" t="s">
        <v>1701</v>
      </c>
      <c r="I111" s="38"/>
      <c r="J111" s="37" t="s">
        <v>1702</v>
      </c>
      <c r="K111" s="38"/>
      <c r="L111" s="37" t="s">
        <v>1703</v>
      </c>
      <c r="M111" s="38"/>
      <c r="N111" s="49"/>
    </row>
  </sheetData>
  <mergeCells count="22">
    <mergeCell ref="H7:I7"/>
    <mergeCell ref="J7:K7"/>
    <mergeCell ref="L7:M7"/>
    <mergeCell ref="H8:I8"/>
    <mergeCell ref="J8:K8"/>
    <mergeCell ref="L8:M8"/>
    <mergeCell ref="F6:G6"/>
    <mergeCell ref="F7:G7"/>
    <mergeCell ref="F8:G8"/>
    <mergeCell ref="B4:G4"/>
    <mergeCell ref="B5:G5"/>
    <mergeCell ref="B6:C6"/>
    <mergeCell ref="B7:C7"/>
    <mergeCell ref="B8:C8"/>
    <mergeCell ref="D6:E6"/>
    <mergeCell ref="D7:E7"/>
    <mergeCell ref="D8:E8"/>
    <mergeCell ref="H4:M4"/>
    <mergeCell ref="H5:M5"/>
    <mergeCell ref="H6:I6"/>
    <mergeCell ref="J6:K6"/>
    <mergeCell ref="L6:M6"/>
  </mergeCells>
  <pageMargins left="0.7" right="0.7" top="0.75" bottom="0.75" header="0.3" footer="0.3"/>
  <pageSetup scale="83" fitToHeight="5" orientation="landscape" r:id="rId1"/>
  <headerFooter>
    <oddFooter>&amp;L&amp;G&amp;R&amp;P</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79998168889431442"/>
    <pageSetUpPr fitToPage="1"/>
  </sheetPr>
  <dimension ref="A1:S94"/>
  <sheetViews>
    <sheetView view="pageBreakPreview" zoomScaleNormal="100" zoomScaleSheetLayoutView="100" workbookViewId="0">
      <pane xSplit="1" ySplit="5" topLeftCell="J6" activePane="bottomRight" state="frozen"/>
      <selection pane="topRight"/>
      <selection pane="bottomLeft"/>
      <selection pane="bottomRight"/>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1906</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6" t="str">
        <f>[1]!IntrinioBankFundamentals(rssd_id,$S$2,fiscal_period_type,C$3,"fiscal_period")</f>
        <v/>
      </c>
      <c r="D4" s="86" t="str">
        <f>[1]!IntrinioBankFundamentals(rssd_id,$S$2,fiscal_period_type,D$3,"fiscal_period")</f>
        <v/>
      </c>
      <c r="E4" s="86" t="str">
        <f>[1]!IntrinioBankFundamentals(rssd_id,$S$2,fiscal_period_type,E$3,"fiscal_period")</f>
        <v/>
      </c>
      <c r="F4" s="86" t="str">
        <f>[1]!IntrinioBankFundamentals(rssd_id,$S$2,fiscal_period_type,F$3,"fiscal_period")</f>
        <v/>
      </c>
      <c r="G4" s="86" t="str">
        <f>[1]!IntrinioBankFundamentals(rssd_id,$S$2,fiscal_period_type,G$3,"fiscal_period")</f>
        <v/>
      </c>
      <c r="H4" s="86" t="str">
        <f>[1]!IntrinioBankFundamentals(rssd_id,$S$2,fiscal_period_type,H$3,"fiscal_period")</f>
        <v/>
      </c>
      <c r="I4" s="86" t="str">
        <f>[1]!IntrinioBankFundamentals(rssd_id,$S$2,fiscal_period_type,I$3,"fiscal_period")</f>
        <v/>
      </c>
      <c r="J4" s="86" t="str">
        <f>[1]!IntrinioBankFundamentals(rssd_id,$S$2,fiscal_period_type,J$3,"fiscal_period")</f>
        <v/>
      </c>
      <c r="K4" s="86" t="str">
        <f>[1]!IntrinioBankFundamentals(rssd_id,$S$2,fiscal_period_type,K$3,"fiscal_period")</f>
        <v/>
      </c>
      <c r="L4" s="86" t="str">
        <f>[1]!IntrinioBankFundamentals(rssd_id,$S$2,fiscal_period_type,L$3,"fiscal_period")</f>
        <v/>
      </c>
      <c r="M4" s="86" t="str">
        <f>[1]!IntrinioBankFundamentals(rssd_id,$S$2,fiscal_period_type,M$3,"fiscal_period")</f>
        <v/>
      </c>
      <c r="N4" s="86" t="str">
        <f>[1]!IntrinioBankFundamentals(rssd_id,$S$2,fiscal_period_type,N$3,"fiscal_period")</f>
        <v/>
      </c>
      <c r="O4" s="86"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866</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699</v>
      </c>
      <c r="B7" s="37" t="s">
        <v>1704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4</v>
      </c>
    </row>
    <row r="8" spans="1:19" s="40" customFormat="1" ht="14.25" x14ac:dyDescent="0.4">
      <c r="A8" s="39" t="s">
        <v>700</v>
      </c>
      <c r="B8" s="37" t="s">
        <v>1705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15</v>
      </c>
    </row>
    <row r="9" spans="1:19" s="40" customFormat="1" ht="14.25" x14ac:dyDescent="0.4">
      <c r="A9" s="39" t="s">
        <v>701</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17</v>
      </c>
    </row>
    <row r="10" spans="1:19" s="40" customFormat="1" ht="14.25" x14ac:dyDescent="0.4">
      <c r="A10" s="39" t="s">
        <v>702</v>
      </c>
      <c r="B10" s="37" t="s">
        <v>1153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206</v>
      </c>
    </row>
    <row r="11" spans="1:19" s="40" customFormat="1" ht="14.25" x14ac:dyDescent="0.4">
      <c r="A11" s="39" t="s">
        <v>703</v>
      </c>
      <c r="B11" s="37" t="s">
        <v>1154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208</v>
      </c>
    </row>
    <row r="12" spans="1:19" s="40" customFormat="1" ht="28.5" x14ac:dyDescent="0.4">
      <c r="A12" s="39" t="s">
        <v>704</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2</v>
      </c>
    </row>
    <row r="13" spans="1:19" s="40" customFormat="1" ht="14.25" x14ac:dyDescent="0.4">
      <c r="A13" s="39" t="s">
        <v>699</v>
      </c>
      <c r="B13" s="37" t="s">
        <v>1706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36</v>
      </c>
    </row>
    <row r="14" spans="1:19" x14ac:dyDescent="0.4">
      <c r="A14" s="39" t="s">
        <v>700</v>
      </c>
      <c r="B14" s="37" t="s">
        <v>1707</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47</v>
      </c>
    </row>
    <row r="15" spans="1:19" x14ac:dyDescent="0.4">
      <c r="A15" s="39" t="s">
        <v>701</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49</v>
      </c>
    </row>
    <row r="16" spans="1:19" s="47" customFormat="1" x14ac:dyDescent="0.4">
      <c r="A16" s="39" t="s">
        <v>702</v>
      </c>
      <c r="B16" s="37" t="s">
        <v>1155</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500</v>
      </c>
      <c r="Q16" s="13"/>
      <c r="R16" s="13"/>
      <c r="S16" s="13"/>
    </row>
    <row r="17" spans="1:19" s="47" customFormat="1" x14ac:dyDescent="0.4">
      <c r="A17" s="39" t="s">
        <v>703</v>
      </c>
      <c r="B17" s="37" t="s">
        <v>1156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501</v>
      </c>
      <c r="Q17" s="13"/>
      <c r="R17" s="13"/>
      <c r="S17" s="13"/>
    </row>
    <row r="18" spans="1:19" s="47" customFormat="1" x14ac:dyDescent="0.4">
      <c r="A18" s="39" t="s">
        <v>705</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699</v>
      </c>
      <c r="B19" s="37" t="s">
        <v>1708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320</v>
      </c>
      <c r="Q19" s="13"/>
      <c r="R19" s="13"/>
      <c r="S19" s="13"/>
    </row>
    <row r="20" spans="1:19" s="47" customFormat="1" x14ac:dyDescent="0.4">
      <c r="A20" s="39" t="s">
        <v>700</v>
      </c>
      <c r="B20" s="37" t="s">
        <v>1709</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321</v>
      </c>
      <c r="Q20" s="13"/>
      <c r="R20" s="13"/>
      <c r="S20" s="13"/>
    </row>
    <row r="21" spans="1:19" s="47" customFormat="1" x14ac:dyDescent="0.4">
      <c r="A21" s="39" t="s">
        <v>701</v>
      </c>
      <c r="B21" s="37"/>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518</v>
      </c>
      <c r="Q21" s="13"/>
      <c r="R21" s="13"/>
      <c r="S21" s="13"/>
    </row>
    <row r="22" spans="1:19" s="47" customFormat="1" x14ac:dyDescent="0.4">
      <c r="A22" s="39" t="s">
        <v>702</v>
      </c>
      <c r="B22" s="37" t="s">
        <v>1157</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711</v>
      </c>
      <c r="Q22" s="13"/>
      <c r="R22" s="13"/>
      <c r="S22" s="13"/>
    </row>
    <row r="23" spans="1:19" s="47" customFormat="1" x14ac:dyDescent="0.4">
      <c r="A23" s="39" t="s">
        <v>703</v>
      </c>
      <c r="B23" s="37" t="s">
        <v>1158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712</v>
      </c>
      <c r="Q23" s="13"/>
      <c r="R23" s="13"/>
      <c r="S23" s="13"/>
    </row>
    <row r="24" spans="1:19" s="47" customFormat="1" ht="28.5" x14ac:dyDescent="0.4">
      <c r="A24" s="39" t="s">
        <v>1907</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699</v>
      </c>
      <c r="B25" s="37" t="s">
        <v>1710</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322</v>
      </c>
      <c r="Q25" s="13"/>
      <c r="R25" s="13"/>
      <c r="S25" s="13"/>
    </row>
    <row r="26" spans="1:19" s="47" customFormat="1" x14ac:dyDescent="0.4">
      <c r="A26" s="39" t="s">
        <v>700</v>
      </c>
      <c r="B26" s="37" t="s">
        <v>1711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323</v>
      </c>
      <c r="Q26" s="13"/>
      <c r="R26" s="13"/>
      <c r="S26" s="13"/>
    </row>
    <row r="27" spans="1:19" s="47" customFormat="1" x14ac:dyDescent="0.4">
      <c r="A27" s="39" t="s">
        <v>701</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324</v>
      </c>
      <c r="Q27" s="13"/>
      <c r="R27" s="13"/>
      <c r="S27" s="13"/>
    </row>
    <row r="28" spans="1:19" s="47" customFormat="1" x14ac:dyDescent="0.4">
      <c r="A28" s="39" t="s">
        <v>702</v>
      </c>
      <c r="B28" s="37" t="s">
        <v>1159</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367</v>
      </c>
      <c r="Q28" s="13"/>
      <c r="R28" s="13"/>
      <c r="S28" s="13"/>
    </row>
    <row r="29" spans="1:19" s="47" customFormat="1" x14ac:dyDescent="0.4">
      <c r="A29" s="39" t="s">
        <v>703</v>
      </c>
      <c r="B29" s="37" t="s">
        <v>1160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373</v>
      </c>
      <c r="Q29" s="13"/>
      <c r="R29" s="13"/>
      <c r="S29" s="13"/>
    </row>
    <row r="30" spans="1:19" s="47" customFormat="1" ht="42.75" x14ac:dyDescent="0.4">
      <c r="A30" s="39" t="s">
        <v>1908</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5</v>
      </c>
      <c r="Q30" s="13"/>
      <c r="R30" s="13"/>
      <c r="S30" s="13"/>
    </row>
    <row r="31" spans="1:19" s="47" customFormat="1" x14ac:dyDescent="0.4">
      <c r="A31" s="39" t="s">
        <v>706</v>
      </c>
      <c r="B31" s="37" t="s">
        <v>1042</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58</v>
      </c>
      <c r="Q31" s="13"/>
      <c r="R31" s="13"/>
      <c r="S31" s="13"/>
    </row>
    <row r="32" spans="1:19" s="47" customFormat="1" x14ac:dyDescent="0.4">
      <c r="A32" s="39" t="s">
        <v>707</v>
      </c>
      <c r="B32" s="37" t="s">
        <v>1713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60</v>
      </c>
      <c r="Q32" s="13"/>
      <c r="R32" s="13"/>
      <c r="S32" s="13"/>
    </row>
    <row r="33" spans="1:19" s="47" customFormat="1" ht="28.5" x14ac:dyDescent="0.4">
      <c r="A33" s="39" t="s">
        <v>708</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6</v>
      </c>
      <c r="Q33" s="13"/>
      <c r="R33" s="13"/>
      <c r="S33" s="13"/>
    </row>
    <row r="34" spans="1:19" s="47" customFormat="1" x14ac:dyDescent="0.4">
      <c r="A34" s="39" t="s">
        <v>699</v>
      </c>
      <c r="B34" s="37" t="s">
        <v>1161</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89</v>
      </c>
      <c r="Q34" s="13"/>
      <c r="R34" s="13"/>
      <c r="S34" s="13"/>
    </row>
    <row r="35" spans="1:19" s="47" customFormat="1" x14ac:dyDescent="0.4">
      <c r="A35" s="39" t="s">
        <v>700</v>
      </c>
      <c r="B35" s="37" t="s">
        <v>1162</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91</v>
      </c>
      <c r="Q35" s="13"/>
      <c r="R35" s="13"/>
      <c r="S35" s="13"/>
    </row>
    <row r="36" spans="1:19" s="47" customFormat="1" x14ac:dyDescent="0.4">
      <c r="A36" s="39" t="s">
        <v>709</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457</v>
      </c>
      <c r="Q36" s="13"/>
      <c r="R36" s="13"/>
      <c r="S36" s="13"/>
    </row>
    <row r="37" spans="1:19" s="47" customFormat="1" x14ac:dyDescent="0.4">
      <c r="A37" s="39" t="s">
        <v>702</v>
      </c>
      <c r="B37" s="37" t="s">
        <v>1163</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459</v>
      </c>
      <c r="Q37" s="13"/>
      <c r="R37" s="13"/>
      <c r="S37" s="13"/>
    </row>
    <row r="38" spans="1:19" s="47" customFormat="1" x14ac:dyDescent="0.4">
      <c r="A38" s="39" t="s">
        <v>703</v>
      </c>
      <c r="B38" s="37" t="s">
        <v>1164</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460</v>
      </c>
      <c r="Q38" s="13"/>
      <c r="R38" s="13"/>
      <c r="S38" s="13"/>
    </row>
    <row r="39" spans="1:19" s="47" customFormat="1" ht="28.5" x14ac:dyDescent="0.4">
      <c r="A39" s="39" t="s">
        <v>710</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x14ac:dyDescent="0.4">
      <c r="A40" s="39" t="s">
        <v>867</v>
      </c>
      <c r="B40" s="37" t="s">
        <v>1712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97</v>
      </c>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sheetData>
  <pageMargins left="0.7" right="0.7" top="0.75" bottom="0.75" header="0.3" footer="0.3"/>
  <pageSetup scale="85" fitToHeight="2" orientation="landscape" r:id="rId1"/>
  <headerFooter>
    <oddFooter>&amp;L&amp;G&amp;R&amp;P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79998168889431442"/>
    <pageSetUpPr fitToPage="1"/>
  </sheetPr>
  <dimension ref="A1:S95"/>
  <sheetViews>
    <sheetView view="pageBreakPreview" zoomScaleNormal="100" zoomScaleSheetLayoutView="100" workbookViewId="0">
      <pane xSplit="1" ySplit="5" topLeftCell="J60" activePane="bottomRight" state="frozen"/>
      <selection pane="topRight"/>
      <selection pane="bottomLeft"/>
      <selection pane="bottomRight" activeCell="O66" sqref="O6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4.35546875" style="5" customWidth="1" collapsed="1"/>
    <col min="11" max="15" width="14.3554687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1909</v>
      </c>
      <c r="B2" s="28"/>
      <c r="C2" s="29"/>
      <c r="D2" s="29"/>
      <c r="E2" s="29"/>
      <c r="F2" s="29"/>
      <c r="G2" s="29"/>
      <c r="H2" s="29"/>
      <c r="I2" s="29"/>
      <c r="J2" s="29"/>
      <c r="K2" s="29"/>
      <c r="L2" s="29"/>
      <c r="M2" s="29"/>
      <c r="N2" s="29"/>
      <c r="O2" s="29"/>
      <c r="P2" s="48"/>
      <c r="R2" s="6" t="s">
        <v>234</v>
      </c>
      <c r="S2" s="6" t="s">
        <v>881</v>
      </c>
    </row>
    <row r="3" spans="1:19" x14ac:dyDescent="0.55000000000000004">
      <c r="A3" s="19" t="s">
        <v>1</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6" t="str">
        <f>[1]!IntrinioBankFundamentals(rssd_id,$S$2,fiscal_period_type,C$3,"fiscal_period")</f>
        <v/>
      </c>
      <c r="D4" s="86" t="str">
        <f>[1]!IntrinioBankFundamentals(rssd_id,$S$2,fiscal_period_type,D$3,"fiscal_period")</f>
        <v/>
      </c>
      <c r="E4" s="86" t="str">
        <f>[1]!IntrinioBankFundamentals(rssd_id,$S$2,fiscal_period_type,E$3,"fiscal_period")</f>
        <v/>
      </c>
      <c r="F4" s="86" t="str">
        <f>[1]!IntrinioBankFundamentals(rssd_id,$S$2,fiscal_period_type,F$3,"fiscal_period")</f>
        <v/>
      </c>
      <c r="G4" s="86" t="str">
        <f>[1]!IntrinioBankFundamentals(rssd_id,$S$2,fiscal_period_type,G$3,"fiscal_period")</f>
        <v/>
      </c>
      <c r="H4" s="86" t="str">
        <f>[1]!IntrinioBankFundamentals(rssd_id,$S$2,fiscal_period_type,H$3,"fiscal_period")</f>
        <v/>
      </c>
      <c r="I4" s="86" t="str">
        <f>[1]!IntrinioBankFundamentals(rssd_id,$S$2,fiscal_period_type,I$3,"fiscal_period")</f>
        <v/>
      </c>
      <c r="J4" s="86" t="str">
        <f>[1]!IntrinioBankFundamentals(rssd_id,$S$2,fiscal_period_type,J$3,"fiscal_period")</f>
        <v/>
      </c>
      <c r="K4" s="86" t="str">
        <f>[1]!IntrinioBankFundamentals(rssd_id,$S$2,fiscal_period_type,K$3,"fiscal_period")</f>
        <v/>
      </c>
      <c r="L4" s="86" t="str">
        <f>[1]!IntrinioBankFundamentals(rssd_id,$S$2,fiscal_period_type,L$3,"fiscal_period")</f>
        <v/>
      </c>
      <c r="M4" s="86" t="str">
        <f>[1]!IntrinioBankFundamentals(rssd_id,$S$2,fiscal_period_type,M$3,"fiscal_period")</f>
        <v/>
      </c>
      <c r="N4" s="86" t="str">
        <f>[1]!IntrinioBankFundamentals(rssd_id,$S$2,fiscal_period_type,N$3,"fiscal_period")</f>
        <v/>
      </c>
      <c r="O4" s="86"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713</v>
      </c>
      <c r="B6" s="37" t="s">
        <v>1714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714</v>
      </c>
      <c r="B7" s="37" t="s">
        <v>1763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715</v>
      </c>
      <c r="B8" s="37" t="s">
        <v>1715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716</v>
      </c>
      <c r="B9" s="37" t="s">
        <v>1764</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320</v>
      </c>
    </row>
    <row r="10" spans="1:19" s="40" customFormat="1" ht="28.5" x14ac:dyDescent="0.4">
      <c r="A10" s="39" t="s">
        <v>717</v>
      </c>
      <c r="B10" s="37" t="s">
        <v>1716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718</v>
      </c>
      <c r="B11" s="37" t="s">
        <v>1717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719</v>
      </c>
      <c r="B12" s="37" t="s">
        <v>1718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28.5" x14ac:dyDescent="0.4">
      <c r="A13" s="39" t="s">
        <v>720</v>
      </c>
      <c r="B13" s="37" t="s">
        <v>1719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ht="28.5" x14ac:dyDescent="0.4">
      <c r="A14" s="39" t="s">
        <v>868</v>
      </c>
      <c r="B14" s="37" t="s">
        <v>1720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8</v>
      </c>
    </row>
    <row r="15" spans="1:19" ht="42.75" x14ac:dyDescent="0.4">
      <c r="A15" s="39" t="s">
        <v>721</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9</v>
      </c>
    </row>
    <row r="16" spans="1:19" s="47" customFormat="1" ht="28.5" x14ac:dyDescent="0.4">
      <c r="A16" s="39" t="s">
        <v>722</v>
      </c>
      <c r="B16" s="37" t="s">
        <v>1721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504</v>
      </c>
      <c r="Q16" s="13"/>
      <c r="R16" s="13"/>
      <c r="S16" s="13"/>
    </row>
    <row r="17" spans="1:19" s="47" customFormat="1" ht="42.75" x14ac:dyDescent="0.4">
      <c r="A17" s="39" t="s">
        <v>723</v>
      </c>
      <c r="B17" s="37" t="s">
        <v>1722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505</v>
      </c>
      <c r="Q17" s="13"/>
      <c r="R17" s="13"/>
      <c r="S17" s="13"/>
    </row>
    <row r="18" spans="1:19" s="47" customFormat="1" ht="28.5" x14ac:dyDescent="0.4">
      <c r="A18" s="39" t="s">
        <v>869</v>
      </c>
      <c r="B18" s="37" t="s">
        <v>1723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625</v>
      </c>
      <c r="Q18" s="13"/>
      <c r="R18" s="13"/>
      <c r="S18" s="13"/>
    </row>
    <row r="19" spans="1:19" s="47" customFormat="1" ht="57" x14ac:dyDescent="0.4">
      <c r="A19" s="39" t="s">
        <v>870</v>
      </c>
      <c r="B19" s="37" t="s">
        <v>1724</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626</v>
      </c>
      <c r="Q19" s="13"/>
      <c r="R19" s="13"/>
      <c r="S19" s="13"/>
    </row>
    <row r="20" spans="1:19" s="47" customFormat="1" ht="42.75" x14ac:dyDescent="0.4">
      <c r="A20" s="39" t="s">
        <v>871</v>
      </c>
      <c r="B20" s="37" t="s">
        <v>1725</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627</v>
      </c>
      <c r="Q20" s="13"/>
      <c r="R20" s="13"/>
      <c r="S20" s="13"/>
    </row>
    <row r="21" spans="1:19" s="47" customFormat="1" ht="71.25" x14ac:dyDescent="0.4">
      <c r="A21" s="39" t="s">
        <v>872</v>
      </c>
      <c r="B21" s="37" t="s">
        <v>1726</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628</v>
      </c>
      <c r="Q21" s="13"/>
      <c r="R21" s="13"/>
      <c r="S21" s="13"/>
    </row>
    <row r="22" spans="1:19" s="47" customFormat="1" ht="28.5" x14ac:dyDescent="0.4">
      <c r="A22" s="39" t="s">
        <v>724</v>
      </c>
      <c r="B22" s="37"/>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10</v>
      </c>
      <c r="Q22" s="13"/>
      <c r="R22" s="13"/>
      <c r="S22" s="13"/>
    </row>
    <row r="23" spans="1:19" s="47" customFormat="1" ht="42.75" x14ac:dyDescent="0.4">
      <c r="A23" s="39" t="s">
        <v>725</v>
      </c>
      <c r="B23" s="37" t="s">
        <v>1727</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326</v>
      </c>
      <c r="Q23" s="13"/>
      <c r="R23" s="13"/>
      <c r="S23" s="13"/>
    </row>
    <row r="24" spans="1:19" s="47" customFormat="1" ht="28.5" x14ac:dyDescent="0.4">
      <c r="A24" s="39" t="s">
        <v>726</v>
      </c>
      <c r="B24" s="37" t="s">
        <v>1728</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327</v>
      </c>
      <c r="Q24" s="13"/>
      <c r="R24" s="13"/>
      <c r="S24" s="13"/>
    </row>
    <row r="25" spans="1:19" s="47" customFormat="1" ht="42.75" x14ac:dyDescent="0.4">
      <c r="A25" s="39" t="s">
        <v>727</v>
      </c>
      <c r="B25" s="37" t="s">
        <v>1729</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11</v>
      </c>
      <c r="Q25" s="13"/>
      <c r="R25" s="13"/>
      <c r="S25" s="13"/>
    </row>
    <row r="26" spans="1:19" s="47" customFormat="1" x14ac:dyDescent="0.4">
      <c r="A26" s="39" t="s">
        <v>728</v>
      </c>
      <c r="B26" s="37" t="s">
        <v>1730</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12</v>
      </c>
      <c r="Q26" s="13"/>
      <c r="R26" s="13"/>
      <c r="S26" s="13"/>
    </row>
    <row r="27" spans="1:19" s="47" customFormat="1" ht="42.75" x14ac:dyDescent="0.4">
      <c r="A27" s="39" t="s">
        <v>729</v>
      </c>
      <c r="B27" s="37" t="s">
        <v>1731</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13</v>
      </c>
      <c r="Q27" s="13"/>
      <c r="R27" s="13"/>
      <c r="S27" s="13"/>
    </row>
    <row r="28" spans="1:19" s="47" customFormat="1" ht="28.5" x14ac:dyDescent="0.4">
      <c r="A28" s="39" t="s">
        <v>873</v>
      </c>
      <c r="B28" s="37" t="s">
        <v>1732</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14</v>
      </c>
      <c r="Q28" s="13"/>
      <c r="R28" s="13"/>
      <c r="S28" s="13"/>
    </row>
    <row r="29" spans="1:19" s="47" customFormat="1" ht="57" x14ac:dyDescent="0.4">
      <c r="A29" s="39" t="s">
        <v>874</v>
      </c>
      <c r="B29" s="37" t="s">
        <v>1733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15</v>
      </c>
      <c r="Q29" s="13"/>
      <c r="R29" s="13"/>
      <c r="S29" s="13"/>
    </row>
    <row r="30" spans="1:19" s="47" customFormat="1" ht="71.25" x14ac:dyDescent="0.4">
      <c r="A30" s="39" t="s">
        <v>875</v>
      </c>
      <c r="B30" s="37" t="s">
        <v>1734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16</v>
      </c>
      <c r="Q30" s="13"/>
      <c r="R30" s="13"/>
      <c r="S30" s="13"/>
    </row>
    <row r="31" spans="1:19" s="47" customFormat="1" ht="28.5" x14ac:dyDescent="0.4">
      <c r="A31" s="39" t="s">
        <v>730</v>
      </c>
      <c r="B31" s="37" t="s">
        <v>1735</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17</v>
      </c>
      <c r="Q31" s="13"/>
      <c r="R31" s="13"/>
      <c r="S31" s="13"/>
    </row>
    <row r="32" spans="1:19" s="47" customFormat="1" ht="28.5" x14ac:dyDescent="0.4">
      <c r="A32" s="39" t="s">
        <v>731</v>
      </c>
      <c r="B32" s="37" t="s">
        <v>1736</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18</v>
      </c>
      <c r="Q32" s="13"/>
      <c r="R32" s="13"/>
      <c r="S32" s="13"/>
    </row>
    <row r="33" spans="1:19" s="47" customFormat="1" x14ac:dyDescent="0.4">
      <c r="A33" s="39" t="s">
        <v>732</v>
      </c>
      <c r="B33" s="37" t="s">
        <v>1737</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19</v>
      </c>
      <c r="Q33" s="13"/>
      <c r="R33" s="13"/>
      <c r="S33" s="13"/>
    </row>
    <row r="34" spans="1:19" s="47" customFormat="1" x14ac:dyDescent="0.4">
      <c r="A34" s="39" t="s">
        <v>733</v>
      </c>
      <c r="B34" s="37" t="s">
        <v>1738</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20</v>
      </c>
      <c r="Q34" s="13"/>
      <c r="R34" s="13"/>
      <c r="S34" s="13"/>
    </row>
    <row r="35" spans="1:19" s="47" customFormat="1" ht="28.5" x14ac:dyDescent="0.4">
      <c r="A35" s="39" t="s">
        <v>734</v>
      </c>
      <c r="B35" s="37" t="s">
        <v>1739</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21</v>
      </c>
      <c r="Q35" s="13"/>
      <c r="R35" s="13"/>
      <c r="S35" s="13"/>
    </row>
    <row r="36" spans="1:19" s="47" customFormat="1" x14ac:dyDescent="0.4">
      <c r="A36" s="39" t="s">
        <v>735</v>
      </c>
      <c r="B36" s="37" t="s">
        <v>1740</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22</v>
      </c>
      <c r="Q36" s="13"/>
      <c r="R36" s="13"/>
      <c r="S36" s="13"/>
    </row>
    <row r="37" spans="1:19" s="47" customFormat="1" x14ac:dyDescent="0.4">
      <c r="A37" s="39" t="s">
        <v>736</v>
      </c>
      <c r="B37" s="37" t="s">
        <v>1741</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23</v>
      </c>
      <c r="Q37" s="13"/>
      <c r="R37" s="13"/>
      <c r="S37" s="13"/>
    </row>
    <row r="38" spans="1:19" s="47" customFormat="1" x14ac:dyDescent="0.4">
      <c r="A38" s="39" t="s">
        <v>737</v>
      </c>
      <c r="B38" s="37" t="s">
        <v>1742</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24</v>
      </c>
      <c r="Q38" s="13"/>
      <c r="R38" s="13"/>
      <c r="S38" s="13"/>
    </row>
    <row r="39" spans="1:19" s="47" customFormat="1" x14ac:dyDescent="0.4">
      <c r="A39" s="39" t="s">
        <v>738</v>
      </c>
      <c r="B39" s="37" t="s">
        <v>1743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25</v>
      </c>
      <c r="Q39" s="13"/>
      <c r="R39" s="13"/>
      <c r="S39" s="13"/>
    </row>
    <row r="40" spans="1:19" s="47" customFormat="1" x14ac:dyDescent="0.4">
      <c r="A40" s="39" t="s">
        <v>876</v>
      </c>
      <c r="B40" s="37" t="s">
        <v>1744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26</v>
      </c>
      <c r="Q40" s="13"/>
      <c r="R40" s="13"/>
      <c r="S40" s="13"/>
    </row>
    <row r="41" spans="1:19" s="47" customFormat="1" x14ac:dyDescent="0.4">
      <c r="A41" s="39" t="s">
        <v>739</v>
      </c>
      <c r="B41" s="37" t="s">
        <v>1745</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27</v>
      </c>
      <c r="Q41" s="13"/>
      <c r="R41" s="13"/>
      <c r="S41" s="13"/>
    </row>
    <row r="42" spans="1:19" s="47" customFormat="1" x14ac:dyDescent="0.4">
      <c r="A42" s="39" t="s">
        <v>740</v>
      </c>
      <c r="B42" s="37" t="s">
        <v>1746</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28</v>
      </c>
      <c r="Q42" s="13"/>
      <c r="R42" s="13"/>
      <c r="S42" s="13"/>
    </row>
    <row r="43" spans="1:19" s="47" customFormat="1" x14ac:dyDescent="0.4">
      <c r="A43" s="39" t="s">
        <v>741</v>
      </c>
      <c r="B43" s="37" t="s">
        <v>1747</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29</v>
      </c>
      <c r="Q43" s="13"/>
      <c r="R43" s="13"/>
      <c r="S43" s="13"/>
    </row>
    <row r="44" spans="1:19" s="47" customFormat="1" ht="28.5" x14ac:dyDescent="0.4">
      <c r="A44" s="39" t="s">
        <v>742</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30</v>
      </c>
      <c r="Q44" s="13"/>
      <c r="R44" s="13"/>
      <c r="S44" s="13"/>
    </row>
    <row r="45" spans="1:19" s="47" customFormat="1" x14ac:dyDescent="0.4">
      <c r="A45" s="39" t="s">
        <v>743</v>
      </c>
      <c r="B45" s="37" t="s">
        <v>1748</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766</v>
      </c>
      <c r="Q45" s="13"/>
      <c r="R45" s="13"/>
      <c r="S45" s="13"/>
    </row>
    <row r="46" spans="1:19" s="47" customFormat="1" ht="28.5" x14ac:dyDescent="0.4">
      <c r="A46" s="39" t="s">
        <v>744</v>
      </c>
      <c r="B46" s="37" t="s">
        <v>1765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767</v>
      </c>
      <c r="Q46" s="13"/>
      <c r="R46" s="13"/>
      <c r="S46" s="13"/>
    </row>
    <row r="47" spans="1:19" s="47" customFormat="1" ht="42.75" x14ac:dyDescent="0.4">
      <c r="A47" s="39" t="s">
        <v>745</v>
      </c>
      <c r="B47" s="37" t="s">
        <v>1749</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31</v>
      </c>
      <c r="Q47" s="13"/>
      <c r="R47" s="13"/>
      <c r="S47" s="13"/>
    </row>
    <row r="48" spans="1:19" s="47" customFormat="1" x14ac:dyDescent="0.4">
      <c r="A48" s="39" t="s">
        <v>746</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32</v>
      </c>
      <c r="Q48" s="13"/>
      <c r="R48" s="13"/>
      <c r="S48" s="13"/>
    </row>
    <row r="49" spans="1:19" s="47" customFormat="1" x14ac:dyDescent="0.4">
      <c r="A49" s="39" t="s">
        <v>747</v>
      </c>
      <c r="B49" s="37" t="s">
        <v>1750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768</v>
      </c>
      <c r="Q49" s="13"/>
      <c r="R49" s="13"/>
      <c r="S49" s="13"/>
    </row>
    <row r="50" spans="1:19" s="47" customFormat="1" ht="28.5" x14ac:dyDescent="0.4">
      <c r="A50" s="39" t="s">
        <v>748</v>
      </c>
      <c r="B50" s="37" t="s">
        <v>1766</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769</v>
      </c>
      <c r="Q50" s="13"/>
      <c r="R50" s="13"/>
      <c r="S50" s="13"/>
    </row>
    <row r="51" spans="1:19" s="47" customFormat="1" x14ac:dyDescent="0.4">
      <c r="A51" s="39" t="s">
        <v>749</v>
      </c>
      <c r="B51" s="37" t="s">
        <v>1751</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33</v>
      </c>
      <c r="Q51" s="13"/>
      <c r="R51" s="13"/>
      <c r="S51" s="13"/>
    </row>
    <row r="52" spans="1:19" s="47" customFormat="1" x14ac:dyDescent="0.4">
      <c r="A52" s="39" t="s">
        <v>750</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34</v>
      </c>
      <c r="Q52" s="13"/>
      <c r="R52" s="13"/>
      <c r="S52" s="13"/>
    </row>
    <row r="53" spans="1:19" s="47" customFormat="1" x14ac:dyDescent="0.4">
      <c r="A53" s="39" t="s">
        <v>751</v>
      </c>
      <c r="B53" s="37" t="s">
        <v>1752</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770</v>
      </c>
      <c r="Q53" s="13"/>
      <c r="R53" s="13"/>
      <c r="S53" s="13"/>
    </row>
    <row r="54" spans="1:19" s="47" customFormat="1" ht="28.5" x14ac:dyDescent="0.4">
      <c r="A54" s="39" t="s">
        <v>752</v>
      </c>
      <c r="B54" s="37" t="s">
        <v>1767</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771</v>
      </c>
      <c r="Q54" s="13"/>
      <c r="R54" s="13"/>
      <c r="S54" s="13"/>
    </row>
    <row r="55" spans="1:19" s="47" customFormat="1" x14ac:dyDescent="0.4">
      <c r="A55" s="39" t="s">
        <v>753</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v>35</v>
      </c>
      <c r="Q55" s="13"/>
      <c r="R55" s="13"/>
      <c r="S55" s="13"/>
    </row>
    <row r="56" spans="1:19" s="47" customFormat="1" x14ac:dyDescent="0.4">
      <c r="A56" s="39" t="s">
        <v>754</v>
      </c>
      <c r="B56" s="37" t="s">
        <v>1753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772</v>
      </c>
      <c r="Q56" s="13"/>
      <c r="R56" s="13"/>
      <c r="S56" s="13"/>
    </row>
    <row r="57" spans="1:19" s="47" customFormat="1" ht="28.5" x14ac:dyDescent="0.4">
      <c r="A57" s="39" t="s">
        <v>755</v>
      </c>
      <c r="B57" s="37" t="s">
        <v>1768</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773</v>
      </c>
      <c r="Q57" s="13"/>
      <c r="R57" s="13"/>
      <c r="S57" s="13"/>
    </row>
    <row r="58" spans="1:19" s="47" customFormat="1" x14ac:dyDescent="0.4">
      <c r="A58" s="39" t="s">
        <v>756</v>
      </c>
      <c r="B58" s="37" t="s">
        <v>1762</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36</v>
      </c>
      <c r="Q58" s="13"/>
      <c r="R58" s="13"/>
      <c r="S58" s="13"/>
    </row>
    <row r="59" spans="1:19" s="47" customFormat="1" ht="42.75" x14ac:dyDescent="0.4">
      <c r="A59" s="39" t="s">
        <v>757</v>
      </c>
      <c r="B59" s="37" t="s">
        <v>1754</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37</v>
      </c>
      <c r="Q59" s="13"/>
      <c r="R59" s="13"/>
      <c r="S59" s="13"/>
    </row>
    <row r="60" spans="1:19" s="47" customFormat="1" x14ac:dyDescent="0.4">
      <c r="A60" s="39" t="s">
        <v>758</v>
      </c>
      <c r="B60" s="37" t="s">
        <v>1755</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38</v>
      </c>
      <c r="Q60" s="13"/>
      <c r="R60" s="13"/>
      <c r="S60" s="13"/>
    </row>
    <row r="61" spans="1:19" s="47" customFormat="1" x14ac:dyDescent="0.4">
      <c r="A61" s="39" t="s">
        <v>759</v>
      </c>
      <c r="B61" s="37" t="s">
        <v>1756</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39</v>
      </c>
      <c r="Q61" s="13"/>
      <c r="R61" s="13"/>
      <c r="S61" s="13"/>
    </row>
    <row r="62" spans="1:19" s="47" customFormat="1" x14ac:dyDescent="0.4">
      <c r="A62" s="39" t="s">
        <v>760</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v>40</v>
      </c>
      <c r="Q62" s="13"/>
      <c r="R62" s="13"/>
      <c r="S62" s="13"/>
    </row>
    <row r="63" spans="1:19" s="47" customFormat="1" x14ac:dyDescent="0.4">
      <c r="A63" s="39" t="s">
        <v>1910</v>
      </c>
      <c r="B63" s="37" t="s">
        <v>1757</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774</v>
      </c>
      <c r="Q63" s="13"/>
      <c r="R63" s="13"/>
      <c r="S63" s="13"/>
    </row>
    <row r="64" spans="1:19" s="47" customFormat="1" ht="42.75" x14ac:dyDescent="0.4">
      <c r="A64" s="39" t="s">
        <v>877</v>
      </c>
      <c r="B64" s="37" t="s">
        <v>1769</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775</v>
      </c>
      <c r="Q64" s="13"/>
      <c r="R64" s="13"/>
      <c r="S64" s="13"/>
    </row>
    <row r="65" spans="1:19" s="47" customFormat="1" x14ac:dyDescent="0.4">
      <c r="A65" s="39" t="s">
        <v>761</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c r="P65" s="49" t="s">
        <v>450</v>
      </c>
      <c r="Q65" s="13"/>
      <c r="R65" s="13"/>
      <c r="S65" s="13"/>
    </row>
    <row r="66" spans="1:19" s="47" customFormat="1" ht="42.75" x14ac:dyDescent="0.4">
      <c r="A66" s="39" t="s">
        <v>762</v>
      </c>
      <c r="B66" s="37" t="s">
        <v>1758</v>
      </c>
      <c r="C66" s="94" t="str">
        <f>IFERROR(IF([1]!IntrinioBankFinancials(rssd_id,$S$2,C$5,C$4,$B66)=0,"nm",[1]!IntrinioBankFinancials(rssd_id,$S$2,C$5,C$4,$B66)),"")</f>
        <v/>
      </c>
      <c r="D66" s="94" t="str">
        <f>IFERROR(IF([1]!IntrinioBankFinancials(rssd_id,$S$2,D$5,D$4,$B66)=0,"nm",[1]!IntrinioBankFinancials(rssd_id,$S$2,D$5,D$4,$B66)),"")</f>
        <v/>
      </c>
      <c r="E66" s="94" t="str">
        <f>IFERROR(IF([1]!IntrinioBankFinancials(rssd_id,$S$2,E$5,E$4,$B66)=0,"nm",[1]!IntrinioBankFinancials(rssd_id,$S$2,E$5,E$4,$B66)),"")</f>
        <v/>
      </c>
      <c r="F66" s="94" t="str">
        <f>IFERROR(IF([1]!IntrinioBankFinancials(rssd_id,$S$2,F$5,F$4,$B66)=0,"nm",[1]!IntrinioBankFinancials(rssd_id,$S$2,F$5,F$4,$B66)),"")</f>
        <v/>
      </c>
      <c r="G66" s="94" t="str">
        <f>IFERROR(IF([1]!IntrinioBankFinancials(rssd_id,$S$2,G$5,G$4,$B66)=0,"nm",[1]!IntrinioBankFinancials(rssd_id,$S$2,G$5,G$4,$B66)),"")</f>
        <v/>
      </c>
      <c r="H66" s="94" t="str">
        <f>IFERROR(IF([1]!IntrinioBankFinancials(rssd_id,$S$2,H$5,H$4,$B66)=0,"nm",[1]!IntrinioBankFinancials(rssd_id,$S$2,H$5,H$4,$B66)),"")</f>
        <v/>
      </c>
      <c r="I66" s="94" t="str">
        <f>IFERROR(IF([1]!IntrinioBankFinancials(rssd_id,$S$2,I$5,I$4,$B66)=0,"nm",[1]!IntrinioBankFinancials(rssd_id,$S$2,I$5,I$4,$B66)),"")</f>
        <v/>
      </c>
      <c r="J66" s="94" t="str">
        <f>IFERROR(IF([1]!IntrinioBankFinancials(rssd_id,$S$2,J$5,J$4,$B66)=0,"nm",[1]!IntrinioBankFinancials(rssd_id,$S$2,J$5,J$4,$B66)),"")</f>
        <v/>
      </c>
      <c r="K66" s="94" t="str">
        <f>IFERROR(IF([1]!IntrinioBankFinancials(rssd_id,$S$2,K$5,K$4,$B66)=0,"nm",[1]!IntrinioBankFinancials(rssd_id,$S$2,K$5,K$4,$B66)),"")</f>
        <v/>
      </c>
      <c r="L66" s="94" t="str">
        <f>IFERROR(IF([1]!IntrinioBankFinancials(rssd_id,$S$2,L$5,L$4,$B66)=0,"nm",[1]!IntrinioBankFinancials(rssd_id,$S$2,L$5,L$4,$B66)),"")</f>
        <v/>
      </c>
      <c r="M66" s="94" t="str">
        <f>IFERROR(IF([1]!IntrinioBankFinancials(rssd_id,$S$2,M$5,M$4,$B66)=0,"nm",[1]!IntrinioBankFinancials(rssd_id,$S$2,M$5,M$4,$B66)),"")</f>
        <v/>
      </c>
      <c r="N66" s="94" t="str">
        <f>IFERROR(IF([1]!IntrinioBankFinancials(rssd_id,$S$2,N$5,N$4,$B66)=0,"nm",[1]!IntrinioBankFinancials(rssd_id,$S$2,N$5,N$4,$B66)),"")</f>
        <v/>
      </c>
      <c r="O66" s="94" t="str">
        <f>IFERROR(IF([1]!IntrinioBankFinancials(rssd_id,$S$2,O$5,O$4,$B66)=0,"nm",[1]!IntrinioBankFinancials(rssd_id,$S$2,O$5,O$4,$B66)),"")</f>
        <v/>
      </c>
      <c r="P66" s="49">
        <v>41</v>
      </c>
      <c r="Q66" s="13"/>
      <c r="R66" s="13"/>
      <c r="S66" s="13"/>
    </row>
    <row r="67" spans="1:19" s="47" customFormat="1" ht="42.75" x14ac:dyDescent="0.4">
      <c r="A67" s="39" t="s">
        <v>763</v>
      </c>
      <c r="B67" s="37" t="s">
        <v>1759</v>
      </c>
      <c r="C67" s="94" t="str">
        <f>IFERROR(IF([1]!IntrinioBankFinancials(rssd_id,$S$2,C$5,C$4,$B67)=0,"nm",[1]!IntrinioBankFinancials(rssd_id,$S$2,C$5,C$4,$B67)),"")</f>
        <v/>
      </c>
      <c r="D67" s="94" t="str">
        <f>IFERROR(IF([1]!IntrinioBankFinancials(rssd_id,$S$2,D$5,D$4,$B67)=0,"nm",[1]!IntrinioBankFinancials(rssd_id,$S$2,D$5,D$4,$B67)),"")</f>
        <v/>
      </c>
      <c r="E67" s="94" t="str">
        <f>IFERROR(IF([1]!IntrinioBankFinancials(rssd_id,$S$2,E$5,E$4,$B67)=0,"nm",[1]!IntrinioBankFinancials(rssd_id,$S$2,E$5,E$4,$B67)),"")</f>
        <v/>
      </c>
      <c r="F67" s="94" t="str">
        <f>IFERROR(IF([1]!IntrinioBankFinancials(rssd_id,$S$2,F$5,F$4,$B67)=0,"nm",[1]!IntrinioBankFinancials(rssd_id,$S$2,F$5,F$4,$B67)),"")</f>
        <v/>
      </c>
      <c r="G67" s="94" t="str">
        <f>IFERROR(IF([1]!IntrinioBankFinancials(rssd_id,$S$2,G$5,G$4,$B67)=0,"nm",[1]!IntrinioBankFinancials(rssd_id,$S$2,G$5,G$4,$B67)),"")</f>
        <v/>
      </c>
      <c r="H67" s="94" t="str">
        <f>IFERROR(IF([1]!IntrinioBankFinancials(rssd_id,$S$2,H$5,H$4,$B67)=0,"nm",[1]!IntrinioBankFinancials(rssd_id,$S$2,H$5,H$4,$B67)),"")</f>
        <v/>
      </c>
      <c r="I67" s="94" t="str">
        <f>IFERROR(IF([1]!IntrinioBankFinancials(rssd_id,$S$2,I$5,I$4,$B67)=0,"nm",[1]!IntrinioBankFinancials(rssd_id,$S$2,I$5,I$4,$B67)),"")</f>
        <v/>
      </c>
      <c r="J67" s="94" t="str">
        <f>IFERROR(IF([1]!IntrinioBankFinancials(rssd_id,$S$2,J$5,J$4,$B67)=0,"nm",[1]!IntrinioBankFinancials(rssd_id,$S$2,J$5,J$4,$B67)),"")</f>
        <v/>
      </c>
      <c r="K67" s="94" t="str">
        <f>IFERROR(IF([1]!IntrinioBankFinancials(rssd_id,$S$2,K$5,K$4,$B67)=0,"nm",[1]!IntrinioBankFinancials(rssd_id,$S$2,K$5,K$4,$B67)),"")</f>
        <v/>
      </c>
      <c r="L67" s="94" t="str">
        <f>IFERROR(IF([1]!IntrinioBankFinancials(rssd_id,$S$2,L$5,L$4,$B67)=0,"nm",[1]!IntrinioBankFinancials(rssd_id,$S$2,L$5,L$4,$B67)),"")</f>
        <v/>
      </c>
      <c r="M67" s="94" t="str">
        <f>IFERROR(IF([1]!IntrinioBankFinancials(rssd_id,$S$2,M$5,M$4,$B67)=0,"nm",[1]!IntrinioBankFinancials(rssd_id,$S$2,M$5,M$4,$B67)),"")</f>
        <v/>
      </c>
      <c r="N67" s="94" t="str">
        <f>IFERROR(IF([1]!IntrinioBankFinancials(rssd_id,$S$2,N$5,N$4,$B67)=0,"nm",[1]!IntrinioBankFinancials(rssd_id,$S$2,N$5,N$4,$B67)),"")</f>
        <v/>
      </c>
      <c r="O67" s="94" t="str">
        <f>IFERROR(IF([1]!IntrinioBankFinancials(rssd_id,$S$2,O$5,O$4,$B67)=0,"nm",[1]!IntrinioBankFinancials(rssd_id,$S$2,O$5,O$4,$B67)),"")</f>
        <v/>
      </c>
      <c r="P67" s="49">
        <v>42</v>
      </c>
      <c r="Q67" s="13"/>
      <c r="R67" s="13"/>
      <c r="S67" s="13"/>
    </row>
    <row r="68" spans="1:19" s="47" customFormat="1" ht="42.75" x14ac:dyDescent="0.4">
      <c r="A68" s="39" t="s">
        <v>764</v>
      </c>
      <c r="B68" s="37" t="s">
        <v>1760</v>
      </c>
      <c r="C68" s="94" t="str">
        <f>IFERROR(IF([1]!IntrinioBankFinancials(rssd_id,$S$2,C$5,C$4,$B68)=0,"nm",[1]!IntrinioBankFinancials(rssd_id,$S$2,C$5,C$4,$B68)),"")</f>
        <v/>
      </c>
      <c r="D68" s="94" t="str">
        <f>IFERROR(IF([1]!IntrinioBankFinancials(rssd_id,$S$2,D$5,D$4,$B68)=0,"nm",[1]!IntrinioBankFinancials(rssd_id,$S$2,D$5,D$4,$B68)),"")</f>
        <v/>
      </c>
      <c r="E68" s="94" t="str">
        <f>IFERROR(IF([1]!IntrinioBankFinancials(rssd_id,$S$2,E$5,E$4,$B68)=0,"nm",[1]!IntrinioBankFinancials(rssd_id,$S$2,E$5,E$4,$B68)),"")</f>
        <v/>
      </c>
      <c r="F68" s="94" t="str">
        <f>IFERROR(IF([1]!IntrinioBankFinancials(rssd_id,$S$2,F$5,F$4,$B68)=0,"nm",[1]!IntrinioBankFinancials(rssd_id,$S$2,F$5,F$4,$B68)),"")</f>
        <v/>
      </c>
      <c r="G68" s="94" t="str">
        <f>IFERROR(IF([1]!IntrinioBankFinancials(rssd_id,$S$2,G$5,G$4,$B68)=0,"nm",[1]!IntrinioBankFinancials(rssd_id,$S$2,G$5,G$4,$B68)),"")</f>
        <v/>
      </c>
      <c r="H68" s="94" t="str">
        <f>IFERROR(IF([1]!IntrinioBankFinancials(rssd_id,$S$2,H$5,H$4,$B68)=0,"nm",[1]!IntrinioBankFinancials(rssd_id,$S$2,H$5,H$4,$B68)),"")</f>
        <v/>
      </c>
      <c r="I68" s="94" t="str">
        <f>IFERROR(IF([1]!IntrinioBankFinancials(rssd_id,$S$2,I$5,I$4,$B68)=0,"nm",[1]!IntrinioBankFinancials(rssd_id,$S$2,I$5,I$4,$B68)),"")</f>
        <v/>
      </c>
      <c r="J68" s="94" t="str">
        <f>IFERROR(IF([1]!IntrinioBankFinancials(rssd_id,$S$2,J$5,J$4,$B68)=0,"nm",[1]!IntrinioBankFinancials(rssd_id,$S$2,J$5,J$4,$B68)),"")</f>
        <v/>
      </c>
      <c r="K68" s="94" t="str">
        <f>IFERROR(IF([1]!IntrinioBankFinancials(rssd_id,$S$2,K$5,K$4,$B68)=0,"nm",[1]!IntrinioBankFinancials(rssd_id,$S$2,K$5,K$4,$B68)),"")</f>
        <v/>
      </c>
      <c r="L68" s="94" t="str">
        <f>IFERROR(IF([1]!IntrinioBankFinancials(rssd_id,$S$2,L$5,L$4,$B68)=0,"nm",[1]!IntrinioBankFinancials(rssd_id,$S$2,L$5,L$4,$B68)),"")</f>
        <v/>
      </c>
      <c r="M68" s="94" t="str">
        <f>IFERROR(IF([1]!IntrinioBankFinancials(rssd_id,$S$2,M$5,M$4,$B68)=0,"nm",[1]!IntrinioBankFinancials(rssd_id,$S$2,M$5,M$4,$B68)),"")</f>
        <v/>
      </c>
      <c r="N68" s="94" t="str">
        <f>IFERROR(IF([1]!IntrinioBankFinancials(rssd_id,$S$2,N$5,N$4,$B68)=0,"nm",[1]!IntrinioBankFinancials(rssd_id,$S$2,N$5,N$4,$B68)),"")</f>
        <v/>
      </c>
      <c r="O68" s="94" t="str">
        <f>IFERROR(IF([1]!IntrinioBankFinancials(rssd_id,$S$2,O$5,O$4,$B68)=0,"nm",[1]!IntrinioBankFinancials(rssd_id,$S$2,O$5,O$4,$B68)),"")</f>
        <v/>
      </c>
      <c r="P68" s="49">
        <v>43</v>
      </c>
      <c r="Q68" s="13"/>
      <c r="R68" s="13"/>
      <c r="S68" s="13"/>
    </row>
    <row r="69" spans="1:19" s="47" customFormat="1" x14ac:dyDescent="0.4">
      <c r="A69" s="39" t="s">
        <v>765</v>
      </c>
      <c r="B69" s="37"/>
      <c r="C69" s="94" t="str">
        <f>IFERROR(IF([1]!IntrinioBankFinancials(rssd_id,$S$2,C$5,C$4,$B69)=0,"nm",[1]!IntrinioBankFinancials(rssd_id,$S$2,C$5,C$4,$B69)),"")</f>
        <v/>
      </c>
      <c r="D69" s="94" t="str">
        <f>IFERROR(IF([1]!IntrinioBankFinancials(rssd_id,$S$2,D$5,D$4,$B69)=0,"nm",[1]!IntrinioBankFinancials(rssd_id,$S$2,D$5,D$4,$B69)),"")</f>
        <v/>
      </c>
      <c r="E69" s="94" t="str">
        <f>IFERROR(IF([1]!IntrinioBankFinancials(rssd_id,$S$2,E$5,E$4,$B69)=0,"nm",[1]!IntrinioBankFinancials(rssd_id,$S$2,E$5,E$4,$B69)),"")</f>
        <v/>
      </c>
      <c r="F69" s="94" t="str">
        <f>IFERROR(IF([1]!IntrinioBankFinancials(rssd_id,$S$2,F$5,F$4,$B69)=0,"nm",[1]!IntrinioBankFinancials(rssd_id,$S$2,F$5,F$4,$B69)),"")</f>
        <v/>
      </c>
      <c r="G69" s="94" t="str">
        <f>IFERROR(IF([1]!IntrinioBankFinancials(rssd_id,$S$2,G$5,G$4,$B69)=0,"nm",[1]!IntrinioBankFinancials(rssd_id,$S$2,G$5,G$4,$B69)),"")</f>
        <v/>
      </c>
      <c r="H69" s="94" t="str">
        <f>IFERROR(IF([1]!IntrinioBankFinancials(rssd_id,$S$2,H$5,H$4,$B69)=0,"nm",[1]!IntrinioBankFinancials(rssd_id,$S$2,H$5,H$4,$B69)),"")</f>
        <v/>
      </c>
      <c r="I69" s="94" t="str">
        <f>IFERROR(IF([1]!IntrinioBankFinancials(rssd_id,$S$2,I$5,I$4,$B69)=0,"nm",[1]!IntrinioBankFinancials(rssd_id,$S$2,I$5,I$4,$B69)),"")</f>
        <v/>
      </c>
      <c r="J69" s="94" t="str">
        <f>IFERROR(IF([1]!IntrinioBankFinancials(rssd_id,$S$2,J$5,J$4,$B69)=0,"nm",[1]!IntrinioBankFinancials(rssd_id,$S$2,J$5,J$4,$B69)),"")</f>
        <v/>
      </c>
      <c r="K69" s="94" t="str">
        <f>IFERROR(IF([1]!IntrinioBankFinancials(rssd_id,$S$2,K$5,K$4,$B69)=0,"nm",[1]!IntrinioBankFinancials(rssd_id,$S$2,K$5,K$4,$B69)),"")</f>
        <v/>
      </c>
      <c r="L69" s="94" t="str">
        <f>IFERROR(IF([1]!IntrinioBankFinancials(rssd_id,$S$2,L$5,L$4,$B69)=0,"nm",[1]!IntrinioBankFinancials(rssd_id,$S$2,L$5,L$4,$B69)),"")</f>
        <v/>
      </c>
      <c r="M69" s="94" t="str">
        <f>IFERROR(IF([1]!IntrinioBankFinancials(rssd_id,$S$2,M$5,M$4,$B69)=0,"nm",[1]!IntrinioBankFinancials(rssd_id,$S$2,M$5,M$4,$B69)),"")</f>
        <v/>
      </c>
      <c r="N69" s="94" t="str">
        <f>IFERROR(IF([1]!IntrinioBankFinancials(rssd_id,$S$2,N$5,N$4,$B69)=0,"nm",[1]!IntrinioBankFinancials(rssd_id,$S$2,N$5,N$4,$B69)),"")</f>
        <v/>
      </c>
      <c r="O69" s="94"/>
      <c r="P69" s="49" t="s">
        <v>450</v>
      </c>
      <c r="Q69" s="13"/>
      <c r="R69" s="13"/>
      <c r="S69" s="13"/>
    </row>
    <row r="70" spans="1:19" s="47" customFormat="1" ht="42.75" x14ac:dyDescent="0.4">
      <c r="A70" s="39" t="s">
        <v>762</v>
      </c>
      <c r="B70" s="37" t="s">
        <v>1770</v>
      </c>
      <c r="C70" s="94"/>
      <c r="D70" s="94"/>
      <c r="E70" s="94"/>
      <c r="F70" s="94"/>
      <c r="G70" s="94"/>
      <c r="H70" s="94"/>
      <c r="I70" s="94"/>
      <c r="J70" s="94"/>
      <c r="K70" s="94"/>
      <c r="L70" s="94"/>
      <c r="M70" s="94"/>
      <c r="N70" s="94"/>
      <c r="O70" s="94" t="str">
        <f>IFERROR(IF([1]!IntrinioBankFinancials(rssd_id,$S$2,O$5,O$4,$B70)=0,"nm",[1]!IntrinioBankFinancials(rssd_id,$S$2,O$5,O$4,$B70)),"")</f>
        <v/>
      </c>
      <c r="P70" s="49" t="s">
        <v>450</v>
      </c>
      <c r="Q70" s="13"/>
      <c r="R70" s="13"/>
      <c r="S70" s="13"/>
    </row>
    <row r="71" spans="1:19" s="47" customFormat="1" ht="42.75" x14ac:dyDescent="0.4">
      <c r="A71" s="39" t="s">
        <v>763</v>
      </c>
      <c r="B71" s="37" t="s">
        <v>1771</v>
      </c>
      <c r="C71" s="94" t="str">
        <f>IFERROR(IF([1]!IntrinioBankFinancials(rssd_id,$S$2,C$5,C$4,$B71)=0,"nm",[1]!IntrinioBankFinancials(rssd_id,$S$2,C$5,C$4,$B71)),"")</f>
        <v/>
      </c>
      <c r="D71" s="94" t="str">
        <f>IFERROR(IF([1]!IntrinioBankFinancials(rssd_id,$S$2,D$5,D$4,$B71)=0,"nm",[1]!IntrinioBankFinancials(rssd_id,$S$2,D$5,D$4,$B71)),"")</f>
        <v/>
      </c>
      <c r="E71" s="94" t="str">
        <f>IFERROR(IF([1]!IntrinioBankFinancials(rssd_id,$S$2,E$5,E$4,$B71)=0,"nm",[1]!IntrinioBankFinancials(rssd_id,$S$2,E$5,E$4,$B71)),"")</f>
        <v/>
      </c>
      <c r="F71" s="94" t="str">
        <f>IFERROR(IF([1]!IntrinioBankFinancials(rssd_id,$S$2,F$5,F$4,$B71)=0,"nm",[1]!IntrinioBankFinancials(rssd_id,$S$2,F$5,F$4,$B71)),"")</f>
        <v/>
      </c>
      <c r="G71" s="94" t="str">
        <f>IFERROR(IF([1]!IntrinioBankFinancials(rssd_id,$S$2,G$5,G$4,$B71)=0,"nm",[1]!IntrinioBankFinancials(rssd_id,$S$2,G$5,G$4,$B71)),"")</f>
        <v/>
      </c>
      <c r="H71" s="94" t="str">
        <f>IFERROR(IF([1]!IntrinioBankFinancials(rssd_id,$S$2,H$5,H$4,$B71)=0,"nm",[1]!IntrinioBankFinancials(rssd_id,$S$2,H$5,H$4,$B71)),"")</f>
        <v/>
      </c>
      <c r="I71" s="94" t="str">
        <f>IFERROR(IF([1]!IntrinioBankFinancials(rssd_id,$S$2,I$5,I$4,$B71)=0,"nm",[1]!IntrinioBankFinancials(rssd_id,$S$2,I$5,I$4,$B71)),"")</f>
        <v/>
      </c>
      <c r="J71" s="94" t="str">
        <f>IFERROR(IF([1]!IntrinioBankFinancials(rssd_id,$S$2,J$5,J$4,$B71)=0,"nm",[1]!IntrinioBankFinancials(rssd_id,$S$2,J$5,J$4,$B71)),"")</f>
        <v/>
      </c>
      <c r="K71" s="94" t="str">
        <f>IFERROR(IF([1]!IntrinioBankFinancials(rssd_id,$S$2,K$5,K$4,$B71)=0,"nm",[1]!IntrinioBankFinancials(rssd_id,$S$2,K$5,K$4,$B71)),"")</f>
        <v/>
      </c>
      <c r="L71" s="94" t="str">
        <f>IFERROR(IF([1]!IntrinioBankFinancials(rssd_id,$S$2,L$5,L$4,$B71)=0,"nm",[1]!IntrinioBankFinancials(rssd_id,$S$2,L$5,L$4,$B71)),"")</f>
        <v/>
      </c>
      <c r="M71" s="94" t="str">
        <f>IFERROR(IF([1]!IntrinioBankFinancials(rssd_id,$S$2,M$5,M$4,$B71)=0,"nm",[1]!IntrinioBankFinancials(rssd_id,$S$2,M$5,M$4,$B71)),"")</f>
        <v/>
      </c>
      <c r="N71" s="94" t="str">
        <f>IFERROR(IF([1]!IntrinioBankFinancials(rssd_id,$S$2,N$5,N$4,$B71)=0,"nm",[1]!IntrinioBankFinancials(rssd_id,$S$2,N$5,N$4,$B71)),"")</f>
        <v/>
      </c>
      <c r="O71" s="94" t="str">
        <f>IFERROR(IF([1]!IntrinioBankFinancials(rssd_id,$S$2,O$5,O$4,$B71)=0,"nm",[1]!IntrinioBankFinancials(rssd_id,$S$2,O$5,O$4,$B71)),"")</f>
        <v/>
      </c>
      <c r="P71" s="49">
        <v>41</v>
      </c>
      <c r="Q71" s="13"/>
      <c r="R71" s="13"/>
      <c r="S71" s="13"/>
    </row>
    <row r="72" spans="1:19" s="47" customFormat="1" ht="42.75" x14ac:dyDescent="0.4">
      <c r="A72" s="39" t="s">
        <v>764</v>
      </c>
      <c r="B72" s="37" t="s">
        <v>1772</v>
      </c>
      <c r="C72" s="94" t="str">
        <f>IFERROR(IF([1]!IntrinioBankFinancials(rssd_id,$S$2,C$5,C$4,$B72)=0,"nm",[1]!IntrinioBankFinancials(rssd_id,$S$2,C$5,C$4,$B72)),"")</f>
        <v/>
      </c>
      <c r="D72" s="94" t="str">
        <f>IFERROR(IF([1]!IntrinioBankFinancials(rssd_id,$S$2,D$5,D$4,$B72)=0,"nm",[1]!IntrinioBankFinancials(rssd_id,$S$2,D$5,D$4,$B72)),"")</f>
        <v/>
      </c>
      <c r="E72" s="94" t="str">
        <f>IFERROR(IF([1]!IntrinioBankFinancials(rssd_id,$S$2,E$5,E$4,$B72)=0,"nm",[1]!IntrinioBankFinancials(rssd_id,$S$2,E$5,E$4,$B72)),"")</f>
        <v/>
      </c>
      <c r="F72" s="94" t="str">
        <f>IFERROR(IF([1]!IntrinioBankFinancials(rssd_id,$S$2,F$5,F$4,$B72)=0,"nm",[1]!IntrinioBankFinancials(rssd_id,$S$2,F$5,F$4,$B72)),"")</f>
        <v/>
      </c>
      <c r="G72" s="94" t="str">
        <f>IFERROR(IF([1]!IntrinioBankFinancials(rssd_id,$S$2,G$5,G$4,$B72)=0,"nm",[1]!IntrinioBankFinancials(rssd_id,$S$2,G$5,G$4,$B72)),"")</f>
        <v/>
      </c>
      <c r="H72" s="94" t="str">
        <f>IFERROR(IF([1]!IntrinioBankFinancials(rssd_id,$S$2,H$5,H$4,$B72)=0,"nm",[1]!IntrinioBankFinancials(rssd_id,$S$2,H$5,H$4,$B72)),"")</f>
        <v/>
      </c>
      <c r="I72" s="94" t="str">
        <f>IFERROR(IF([1]!IntrinioBankFinancials(rssd_id,$S$2,I$5,I$4,$B72)=0,"nm",[1]!IntrinioBankFinancials(rssd_id,$S$2,I$5,I$4,$B72)),"")</f>
        <v/>
      </c>
      <c r="J72" s="94" t="str">
        <f>IFERROR(IF([1]!IntrinioBankFinancials(rssd_id,$S$2,J$5,J$4,$B72)=0,"nm",[1]!IntrinioBankFinancials(rssd_id,$S$2,J$5,J$4,$B72)),"")</f>
        <v/>
      </c>
      <c r="K72" s="94" t="str">
        <f>IFERROR(IF([1]!IntrinioBankFinancials(rssd_id,$S$2,K$5,K$4,$B72)=0,"nm",[1]!IntrinioBankFinancials(rssd_id,$S$2,K$5,K$4,$B72)),"")</f>
        <v/>
      </c>
      <c r="L72" s="94" t="str">
        <f>IFERROR(IF([1]!IntrinioBankFinancials(rssd_id,$S$2,L$5,L$4,$B72)=0,"nm",[1]!IntrinioBankFinancials(rssd_id,$S$2,L$5,L$4,$B72)),"")</f>
        <v/>
      </c>
      <c r="M72" s="94" t="str">
        <f>IFERROR(IF([1]!IntrinioBankFinancials(rssd_id,$S$2,M$5,M$4,$B72)=0,"nm",[1]!IntrinioBankFinancials(rssd_id,$S$2,M$5,M$4,$B72)),"")</f>
        <v/>
      </c>
      <c r="N72" s="94" t="str">
        <f>IFERROR(IF([1]!IntrinioBankFinancials(rssd_id,$S$2,N$5,N$4,$B72)=0,"nm",[1]!IntrinioBankFinancials(rssd_id,$S$2,N$5,N$4,$B72)),"")</f>
        <v/>
      </c>
      <c r="O72" s="94" t="str">
        <f>IFERROR(IF([1]!IntrinioBankFinancials(rssd_id,$S$2,O$5,O$4,$B72)=0,"nm",[1]!IntrinioBankFinancials(rssd_id,$S$2,O$5,O$4,$B72)),"")</f>
        <v/>
      </c>
      <c r="P72" s="49">
        <v>42</v>
      </c>
      <c r="Q72" s="13"/>
      <c r="R72" s="13"/>
      <c r="S72" s="13"/>
    </row>
    <row r="73" spans="1:19" s="47" customFormat="1" x14ac:dyDescent="0.4">
      <c r="A73" s="39" t="s">
        <v>878</v>
      </c>
      <c r="B73" s="37" t="s">
        <v>1761</v>
      </c>
      <c r="C73" s="94" t="str">
        <f>IFERROR(IF([1]!IntrinioBankFinancials(rssd_id,$S$2,C$5,C$4,$B73)=0,"nm",[1]!IntrinioBankFinancials(rssd_id,$S$2,C$5,C$4,$B73)),"")</f>
        <v/>
      </c>
      <c r="D73" s="94" t="str">
        <f>IFERROR(IF([1]!IntrinioBankFinancials(rssd_id,$S$2,D$5,D$4,$B73)=0,"nm",[1]!IntrinioBankFinancials(rssd_id,$S$2,D$5,D$4,$B73)),"")</f>
        <v/>
      </c>
      <c r="E73" s="94" t="str">
        <f>IFERROR(IF([1]!IntrinioBankFinancials(rssd_id,$S$2,E$5,E$4,$B73)=0,"nm",[1]!IntrinioBankFinancials(rssd_id,$S$2,E$5,E$4,$B73)),"")</f>
        <v/>
      </c>
      <c r="F73" s="94" t="str">
        <f>IFERROR(IF([1]!IntrinioBankFinancials(rssd_id,$S$2,F$5,F$4,$B73)=0,"nm",[1]!IntrinioBankFinancials(rssd_id,$S$2,F$5,F$4,$B73)),"")</f>
        <v/>
      </c>
      <c r="G73" s="94" t="str">
        <f>IFERROR(IF([1]!IntrinioBankFinancials(rssd_id,$S$2,G$5,G$4,$B73)=0,"nm",[1]!IntrinioBankFinancials(rssd_id,$S$2,G$5,G$4,$B73)),"")</f>
        <v/>
      </c>
      <c r="H73" s="94" t="str">
        <f>IFERROR(IF([1]!IntrinioBankFinancials(rssd_id,$S$2,H$5,H$4,$B73)=0,"nm",[1]!IntrinioBankFinancials(rssd_id,$S$2,H$5,H$4,$B73)),"")</f>
        <v/>
      </c>
      <c r="I73" s="94" t="str">
        <f>IFERROR(IF([1]!IntrinioBankFinancials(rssd_id,$S$2,I$5,I$4,$B73)=0,"nm",[1]!IntrinioBankFinancials(rssd_id,$S$2,I$5,I$4,$B73)),"")</f>
        <v/>
      </c>
      <c r="J73" s="94" t="str">
        <f>IFERROR(IF([1]!IntrinioBankFinancials(rssd_id,$S$2,J$5,J$4,$B73)=0,"nm",[1]!IntrinioBankFinancials(rssd_id,$S$2,J$5,J$4,$B73)),"")</f>
        <v/>
      </c>
      <c r="K73" s="94" t="str">
        <f>IFERROR(IF([1]!IntrinioBankFinancials(rssd_id,$S$2,K$5,K$4,$B73)=0,"nm",[1]!IntrinioBankFinancials(rssd_id,$S$2,K$5,K$4,$B73)),"")</f>
        <v/>
      </c>
      <c r="L73" s="94" t="str">
        <f>IFERROR(IF([1]!IntrinioBankFinancials(rssd_id,$S$2,L$5,L$4,$B73)=0,"nm",[1]!IntrinioBankFinancials(rssd_id,$S$2,L$5,L$4,$B73)),"")</f>
        <v/>
      </c>
      <c r="M73" s="94" t="str">
        <f>IFERROR(IF([1]!IntrinioBankFinancials(rssd_id,$S$2,M$5,M$4,$B73)=0,"nm",[1]!IntrinioBankFinancials(rssd_id,$S$2,M$5,M$4,$B73)),"")</f>
        <v/>
      </c>
      <c r="N73" s="94" t="str">
        <f>IFERROR(IF([1]!IntrinioBankFinancials(rssd_id,$S$2,N$5,N$4,$B73)=0,"nm",[1]!IntrinioBankFinancials(rssd_id,$S$2,N$5,N$4,$B73)),"")</f>
        <v/>
      </c>
      <c r="O73" s="94" t="str">
        <f>IFERROR(IF([1]!IntrinioBankFinancials(rssd_id,$S$2,O$5,O$4,$B73)=0,"nm",[1]!IntrinioBankFinancials(rssd_id,$S$2,O$5,O$4,$B73)),"")</f>
        <v/>
      </c>
      <c r="P73" s="49">
        <v>43</v>
      </c>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sheetData>
  <pageMargins left="0.7" right="0.7" top="0.75" bottom="0.75" header="0.3" footer="0.3"/>
  <pageSetup scale="83" fitToHeight="0" orientation="landscape" r:id="rId1"/>
  <headerFooter>
    <oddFooter>&amp;L&amp;G&amp;R&amp;P</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79998168889431442"/>
    <pageSetUpPr fitToPage="1"/>
  </sheetPr>
  <dimension ref="A1:Q37"/>
  <sheetViews>
    <sheetView view="pageBreakPreview" zoomScaleNormal="100" zoomScaleSheetLayoutView="100" workbookViewId="0">
      <pane xSplit="1" ySplit="7" topLeftCell="B8" activePane="bottomRight" state="frozen"/>
      <selection activeCell="B4" sqref="B4:M4"/>
      <selection pane="topRight" activeCell="B4" sqref="B4:M4"/>
      <selection pane="bottomLeft" activeCell="B4" sqref="B4:M4"/>
      <selection pane="bottomRight"/>
    </sheetView>
  </sheetViews>
  <sheetFormatPr defaultColWidth="9.140625" defaultRowHeight="18" outlineLevelCol="1" x14ac:dyDescent="0.4"/>
  <cols>
    <col min="1" max="1" width="70.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7.5" style="5" customWidth="1"/>
    <col min="15" max="15" width="9.140625" style="13"/>
    <col min="16" max="16" width="18.5" style="13" bestFit="1" customWidth="1"/>
    <col min="17" max="16384" width="9.140625" style="13"/>
  </cols>
  <sheetData>
    <row r="1" spans="1:17" x14ac:dyDescent="0.4">
      <c r="A1" s="11" t="str">
        <f>name</f>
        <v/>
      </c>
    </row>
    <row r="2" spans="1:17" x14ac:dyDescent="0.4">
      <c r="A2" s="1" t="s">
        <v>1850</v>
      </c>
      <c r="B2" s="28"/>
      <c r="C2" s="29"/>
      <c r="D2" s="29"/>
      <c r="E2" s="29"/>
      <c r="F2" s="29"/>
      <c r="G2" s="29"/>
      <c r="H2" s="28"/>
      <c r="I2" s="29"/>
      <c r="J2" s="29"/>
      <c r="K2" s="29"/>
      <c r="L2" s="29"/>
      <c r="M2" s="29"/>
      <c r="N2" s="29"/>
      <c r="P2" s="6" t="s">
        <v>234</v>
      </c>
      <c r="Q2" s="6" t="s">
        <v>881</v>
      </c>
    </row>
    <row r="3" spans="1:17" x14ac:dyDescent="0.4">
      <c r="A3" s="19" t="s">
        <v>1</v>
      </c>
      <c r="B3" s="28"/>
      <c r="C3" s="52"/>
      <c r="D3" s="52"/>
      <c r="E3" s="52"/>
      <c r="F3" s="52"/>
      <c r="G3" s="52"/>
      <c r="H3" s="28"/>
      <c r="I3" s="52"/>
      <c r="J3" s="52"/>
      <c r="K3" s="52"/>
      <c r="L3" s="52"/>
      <c r="M3" s="52"/>
      <c r="N3" s="52"/>
    </row>
    <row r="4" spans="1:17" x14ac:dyDescent="0.4">
      <c r="A4" s="19"/>
      <c r="B4" s="123" t="str">
        <f>[1]!IntrinioBankFundamentals(rssd_id,Q2,fiscal_period_type,1,"fiscal_period")</f>
        <v/>
      </c>
      <c r="C4" s="123"/>
      <c r="D4" s="123"/>
      <c r="E4" s="123"/>
      <c r="F4" s="123"/>
      <c r="G4" s="123"/>
      <c r="H4" s="116" t="str">
        <f>[1]!IntrinioBankFundamentals(rssd_id,Q2,fiscal_period_type,0,"fiscal_period")</f>
        <v/>
      </c>
      <c r="I4" s="117"/>
      <c r="J4" s="117"/>
      <c r="K4" s="117"/>
      <c r="L4" s="117"/>
      <c r="M4" s="117"/>
      <c r="N4" s="52"/>
    </row>
    <row r="5" spans="1:17" x14ac:dyDescent="0.4">
      <c r="A5" s="19"/>
      <c r="B5" s="119" t="str">
        <f>[1]!IntrinioBankFundamentals(rssd_id,Q2,fiscal_period_type,1,"fiscal_year")</f>
        <v/>
      </c>
      <c r="C5" s="119"/>
      <c r="D5" s="119"/>
      <c r="E5" s="119"/>
      <c r="F5" s="119"/>
      <c r="G5" s="119"/>
      <c r="H5" s="118" t="str">
        <f>[1]!IntrinioBankFundamentals(rssd_id,Q2,fiscal_period_type,0,"fiscal_year")</f>
        <v/>
      </c>
      <c r="I5" s="119"/>
      <c r="J5" s="119"/>
      <c r="K5" s="119"/>
      <c r="L5" s="119"/>
      <c r="M5" s="119"/>
      <c r="N5" s="52"/>
    </row>
    <row r="6" spans="1:17" x14ac:dyDescent="0.55000000000000004">
      <c r="A6" s="23"/>
      <c r="B6" s="122" t="s">
        <v>776</v>
      </c>
      <c r="C6" s="122"/>
      <c r="D6" s="122" t="s">
        <v>777</v>
      </c>
      <c r="E6" s="122"/>
      <c r="F6" s="122" t="s">
        <v>778</v>
      </c>
      <c r="G6" s="122"/>
      <c r="H6" s="127" t="s">
        <v>776</v>
      </c>
      <c r="I6" s="128"/>
      <c r="J6" s="122" t="s">
        <v>777</v>
      </c>
      <c r="K6" s="122"/>
      <c r="L6" s="122" t="s">
        <v>778</v>
      </c>
      <c r="M6" s="122"/>
      <c r="N6" s="86"/>
    </row>
    <row r="7" spans="1:17" x14ac:dyDescent="0.55000000000000004">
      <c r="A7" s="23"/>
      <c r="B7" s="125" t="s">
        <v>779</v>
      </c>
      <c r="C7" s="125"/>
      <c r="D7" s="122" t="s">
        <v>780</v>
      </c>
      <c r="E7" s="122"/>
      <c r="F7" s="122"/>
      <c r="G7" s="122"/>
      <c r="H7" s="126" t="s">
        <v>779</v>
      </c>
      <c r="I7" s="125"/>
      <c r="J7" s="122" t="s">
        <v>780</v>
      </c>
      <c r="K7" s="122"/>
      <c r="L7" s="122"/>
      <c r="M7" s="122"/>
      <c r="N7" s="31"/>
    </row>
    <row r="8" spans="1:17" s="40" customFormat="1" ht="28.5" x14ac:dyDescent="0.4">
      <c r="A8" s="39" t="s">
        <v>781</v>
      </c>
      <c r="B8" s="37"/>
      <c r="C8" s="38"/>
      <c r="D8" s="37"/>
      <c r="E8" s="38"/>
      <c r="F8" s="37"/>
      <c r="G8" s="38"/>
      <c r="H8" s="37"/>
      <c r="I8" s="38"/>
      <c r="J8" s="37"/>
      <c r="K8" s="38"/>
      <c r="L8" s="37"/>
      <c r="M8" s="38" t="str">
        <f>IFERROR([1]!IntrinioBankFinancials(rssd_id,$Q$2,$H$5,$H$4,L8,"K"),"")</f>
        <v/>
      </c>
      <c r="N8" s="49">
        <v>1</v>
      </c>
    </row>
    <row r="9" spans="1:17" s="40" customFormat="1" ht="14.25" x14ac:dyDescent="0.4">
      <c r="A9" s="39" t="s">
        <v>782</v>
      </c>
      <c r="B9" s="37" t="s">
        <v>1773</v>
      </c>
      <c r="C9" s="38">
        <v>0</v>
      </c>
      <c r="D9" s="37" t="s">
        <v>1774</v>
      </c>
      <c r="E9" s="38">
        <v>0</v>
      </c>
      <c r="F9" s="37" t="s">
        <v>1165</v>
      </c>
      <c r="G9" s="38">
        <v>0</v>
      </c>
      <c r="H9" s="37" t="s">
        <v>1773</v>
      </c>
      <c r="I9" s="38">
        <v>0</v>
      </c>
      <c r="J9" s="37" t="s">
        <v>1774</v>
      </c>
      <c r="K9" s="38">
        <v>0</v>
      </c>
      <c r="L9" s="37" t="s">
        <v>1775</v>
      </c>
      <c r="M9" s="38" t="str">
        <f>IFERROR([1]!IntrinioBankFinancials(rssd_id,$Q$2,$H$5,$H$4,L9,"K"),"")</f>
        <v/>
      </c>
      <c r="N9" s="49" t="s">
        <v>4</v>
      </c>
    </row>
    <row r="10" spans="1:17" s="40" customFormat="1" ht="14.25" x14ac:dyDescent="0.4">
      <c r="A10" s="39" t="s">
        <v>783</v>
      </c>
      <c r="B10" s="37" t="s">
        <v>1776</v>
      </c>
      <c r="C10" s="38">
        <v>0</v>
      </c>
      <c r="D10" s="37" t="s">
        <v>1777</v>
      </c>
      <c r="E10" s="38">
        <v>0</v>
      </c>
      <c r="F10" s="37" t="s">
        <v>1166</v>
      </c>
      <c r="G10" s="38">
        <v>0</v>
      </c>
      <c r="H10" s="37" t="s">
        <v>1776</v>
      </c>
      <c r="I10" s="38">
        <v>0</v>
      </c>
      <c r="J10" s="37" t="s">
        <v>1777</v>
      </c>
      <c r="K10" s="38">
        <v>0</v>
      </c>
      <c r="L10" s="37" t="s">
        <v>1778</v>
      </c>
      <c r="M10" s="38" t="str">
        <f>IFERROR([1]!IntrinioBankFinancials(rssd_id,$Q$2,$H$5,$H$4,L10,"K"),"")</f>
        <v/>
      </c>
      <c r="N10" s="49" t="s">
        <v>15</v>
      </c>
    </row>
    <row r="11" spans="1:17" s="40" customFormat="1" ht="14.25" x14ac:dyDescent="0.4">
      <c r="A11" s="39" t="s">
        <v>784</v>
      </c>
      <c r="B11" s="37" t="s">
        <v>1779</v>
      </c>
      <c r="C11" s="38">
        <v>0</v>
      </c>
      <c r="D11" s="37" t="s">
        <v>1780</v>
      </c>
      <c r="E11" s="38">
        <v>0</v>
      </c>
      <c r="F11" s="37" t="s">
        <v>1167</v>
      </c>
      <c r="G11" s="38">
        <v>0</v>
      </c>
      <c r="H11" s="37" t="s">
        <v>1779</v>
      </c>
      <c r="I11" s="38">
        <v>0</v>
      </c>
      <c r="J11" s="37" t="s">
        <v>1780</v>
      </c>
      <c r="K11" s="38">
        <v>0</v>
      </c>
      <c r="L11" s="37" t="s">
        <v>1781</v>
      </c>
      <c r="M11" s="38" t="str">
        <f>IFERROR([1]!IntrinioBankFinancials(rssd_id,$Q$2,$H$5,$H$4,L11,"K"),"")</f>
        <v/>
      </c>
      <c r="N11" s="49" t="s">
        <v>17</v>
      </c>
    </row>
    <row r="12" spans="1:17" s="40" customFormat="1" ht="14.25" x14ac:dyDescent="0.4">
      <c r="A12" s="39" t="s">
        <v>785</v>
      </c>
      <c r="B12" s="37" t="s">
        <v>1782</v>
      </c>
      <c r="C12" s="38">
        <v>0</v>
      </c>
      <c r="D12" s="37" t="s">
        <v>1783</v>
      </c>
      <c r="E12" s="38">
        <v>0</v>
      </c>
      <c r="F12" s="37" t="s">
        <v>1168</v>
      </c>
      <c r="G12" s="38">
        <v>0</v>
      </c>
      <c r="H12" s="37" t="s">
        <v>1782</v>
      </c>
      <c r="I12" s="38">
        <v>0</v>
      </c>
      <c r="J12" s="37" t="s">
        <v>1783</v>
      </c>
      <c r="K12" s="38">
        <v>0</v>
      </c>
      <c r="L12" s="37" t="s">
        <v>1784</v>
      </c>
      <c r="M12" s="38" t="str">
        <f>IFERROR([1]!IntrinioBankFinancials(rssd_id,$Q$2,$H$5,$H$4,L12,"K"),"")</f>
        <v/>
      </c>
      <c r="N12" s="49" t="s">
        <v>19</v>
      </c>
    </row>
    <row r="13" spans="1:17" s="40" customFormat="1" ht="14.25" x14ac:dyDescent="0.4">
      <c r="A13" s="39" t="s">
        <v>786</v>
      </c>
      <c r="B13" s="37" t="s">
        <v>1785</v>
      </c>
      <c r="C13" s="38">
        <v>0</v>
      </c>
      <c r="D13" s="37" t="s">
        <v>1786</v>
      </c>
      <c r="E13" s="38">
        <v>0</v>
      </c>
      <c r="F13" s="37" t="s">
        <v>1169</v>
      </c>
      <c r="G13" s="38">
        <v>0</v>
      </c>
      <c r="H13" s="37" t="s">
        <v>1785</v>
      </c>
      <c r="I13" s="38">
        <v>0</v>
      </c>
      <c r="J13" s="37" t="s">
        <v>1786</v>
      </c>
      <c r="K13" s="38">
        <v>0</v>
      </c>
      <c r="L13" s="37" t="s">
        <v>1787</v>
      </c>
      <c r="M13" s="38" t="str">
        <f>IFERROR([1]!IntrinioBankFinancials(rssd_id,$Q$2,$H$5,$H$4,L13,"K"),"")</f>
        <v/>
      </c>
      <c r="N13" s="49" t="s">
        <v>27</v>
      </c>
    </row>
    <row r="14" spans="1:17" s="40" customFormat="1" ht="14.25" x14ac:dyDescent="0.4">
      <c r="A14" s="39" t="s">
        <v>787</v>
      </c>
      <c r="B14" s="37" t="s">
        <v>1788</v>
      </c>
      <c r="C14" s="38">
        <v>0</v>
      </c>
      <c r="D14" s="37" t="s">
        <v>1789</v>
      </c>
      <c r="E14" s="38">
        <v>0</v>
      </c>
      <c r="F14" s="37" t="s">
        <v>1170</v>
      </c>
      <c r="G14" s="38">
        <v>0</v>
      </c>
      <c r="H14" s="37" t="s">
        <v>1788</v>
      </c>
      <c r="I14" s="38">
        <v>0</v>
      </c>
      <c r="J14" s="37" t="s">
        <v>1789</v>
      </c>
      <c r="K14" s="38">
        <v>0</v>
      </c>
      <c r="L14" s="37" t="s">
        <v>1790</v>
      </c>
      <c r="M14" s="38" t="str">
        <f>IFERROR([1]!IntrinioBankFinancials(rssd_id,$Q$2,$H$5,$H$4,L14,"K"),"")</f>
        <v/>
      </c>
      <c r="N14" s="49" t="s">
        <v>29</v>
      </c>
    </row>
    <row r="15" spans="1:17" s="40" customFormat="1" ht="14.25" x14ac:dyDescent="0.4">
      <c r="A15" s="39" t="s">
        <v>788</v>
      </c>
      <c r="B15" s="37" t="s">
        <v>1791</v>
      </c>
      <c r="C15" s="38">
        <v>0</v>
      </c>
      <c r="D15" s="37" t="s">
        <v>1792</v>
      </c>
      <c r="E15" s="38">
        <v>0</v>
      </c>
      <c r="F15" s="37" t="s">
        <v>1171</v>
      </c>
      <c r="G15" s="38">
        <v>0</v>
      </c>
      <c r="H15" s="37" t="s">
        <v>1791</v>
      </c>
      <c r="I15" s="38">
        <v>0</v>
      </c>
      <c r="J15" s="37" t="s">
        <v>1792</v>
      </c>
      <c r="K15" s="38">
        <v>0</v>
      </c>
      <c r="L15" s="37" t="s">
        <v>1793</v>
      </c>
      <c r="M15" s="38" t="str">
        <f>IFERROR([1]!IntrinioBankFinancials(rssd_id,$Q$2,$H$5,$H$4,L15,"K"),"")</f>
        <v/>
      </c>
      <c r="N15" s="49" t="s">
        <v>31</v>
      </c>
    </row>
    <row r="16" spans="1:17" x14ac:dyDescent="0.4">
      <c r="A16" s="39" t="s">
        <v>789</v>
      </c>
      <c r="B16" s="37" t="s">
        <v>1794</v>
      </c>
      <c r="C16" s="38">
        <v>0</v>
      </c>
      <c r="D16" s="37" t="s">
        <v>1795</v>
      </c>
      <c r="E16" s="38">
        <v>0</v>
      </c>
      <c r="F16" s="37" t="s">
        <v>1172</v>
      </c>
      <c r="G16" s="38">
        <v>0</v>
      </c>
      <c r="H16" s="37" t="s">
        <v>1794</v>
      </c>
      <c r="I16" s="38">
        <v>0</v>
      </c>
      <c r="J16" s="37" t="s">
        <v>1795</v>
      </c>
      <c r="K16" s="38">
        <v>0</v>
      </c>
      <c r="L16" s="37" t="s">
        <v>1796</v>
      </c>
      <c r="M16" s="38" t="str">
        <f>IFERROR([1]!IntrinioBankFinancials(rssd_id,$Q$2,$H$5,$H$4,L16,"K"),"")</f>
        <v/>
      </c>
      <c r="N16" s="49" t="s">
        <v>33</v>
      </c>
    </row>
    <row r="17" spans="1:17" x14ac:dyDescent="0.4">
      <c r="A17" s="39" t="s">
        <v>790</v>
      </c>
      <c r="B17" s="37" t="s">
        <v>1797</v>
      </c>
      <c r="C17" s="38">
        <v>0</v>
      </c>
      <c r="D17" s="37" t="s">
        <v>1798</v>
      </c>
      <c r="E17" s="38">
        <v>0</v>
      </c>
      <c r="F17" s="37" t="s">
        <v>1173</v>
      </c>
      <c r="G17" s="38">
        <v>0</v>
      </c>
      <c r="H17" s="37" t="s">
        <v>1797</v>
      </c>
      <c r="I17" s="38">
        <v>0</v>
      </c>
      <c r="J17" s="37" t="s">
        <v>1798</v>
      </c>
      <c r="K17" s="38">
        <v>0</v>
      </c>
      <c r="L17" s="37" t="s">
        <v>1799</v>
      </c>
      <c r="M17" s="38" t="str">
        <f>IFERROR([1]!IntrinioBankFinancials(rssd_id,$Q$2,$H$5,$H$4,L17,"K"),"")</f>
        <v/>
      </c>
      <c r="N17" s="49" t="s">
        <v>791</v>
      </c>
    </row>
    <row r="18" spans="1:17" s="47" customFormat="1" x14ac:dyDescent="0.4">
      <c r="A18" s="39" t="s">
        <v>792</v>
      </c>
      <c r="B18" s="37" t="s">
        <v>1800</v>
      </c>
      <c r="C18" s="38">
        <v>0</v>
      </c>
      <c r="D18" s="37" t="s">
        <v>1801</v>
      </c>
      <c r="E18" s="38">
        <v>0</v>
      </c>
      <c r="F18" s="37" t="s">
        <v>1174</v>
      </c>
      <c r="G18" s="38">
        <v>0</v>
      </c>
      <c r="H18" s="37" t="s">
        <v>1800</v>
      </c>
      <c r="I18" s="38">
        <v>0</v>
      </c>
      <c r="J18" s="37" t="s">
        <v>1801</v>
      </c>
      <c r="K18" s="38">
        <v>0</v>
      </c>
      <c r="L18" s="37" t="s">
        <v>1802</v>
      </c>
      <c r="M18" s="38" t="str">
        <f>IFERROR([1]!IntrinioBankFinancials(rssd_id,$Q$2,$H$5,$H$4,L18,"K"),"")</f>
        <v/>
      </c>
      <c r="N18" s="49" t="s">
        <v>793</v>
      </c>
      <c r="O18" s="13"/>
      <c r="P18" s="13"/>
      <c r="Q18" s="13"/>
    </row>
    <row r="19" spans="1:17" s="47" customFormat="1" x14ac:dyDescent="0.4">
      <c r="A19" s="39" t="s">
        <v>794</v>
      </c>
      <c r="B19" s="37" t="s">
        <v>1803</v>
      </c>
      <c r="C19" s="38">
        <v>0</v>
      </c>
      <c r="D19" s="37" t="s">
        <v>1804</v>
      </c>
      <c r="E19" s="38">
        <v>0</v>
      </c>
      <c r="F19" s="37" t="s">
        <v>1175</v>
      </c>
      <c r="G19" s="38">
        <v>0</v>
      </c>
      <c r="H19" s="37" t="s">
        <v>1803</v>
      </c>
      <c r="I19" s="38">
        <v>0</v>
      </c>
      <c r="J19" s="37" t="s">
        <v>1804</v>
      </c>
      <c r="K19" s="38">
        <v>0</v>
      </c>
      <c r="L19" s="37" t="s">
        <v>1805</v>
      </c>
      <c r="M19" s="38" t="str">
        <f>IFERROR([1]!IntrinioBankFinancials(rssd_id,$Q$2,$H$5,$H$4,L19,"K"),"")</f>
        <v/>
      </c>
      <c r="N19" s="49" t="s">
        <v>795</v>
      </c>
      <c r="O19" s="13"/>
      <c r="P19" s="13"/>
      <c r="Q19" s="13"/>
    </row>
    <row r="20" spans="1:17" s="47" customFormat="1" ht="28.5" x14ac:dyDescent="0.4">
      <c r="A20" s="39" t="s">
        <v>796</v>
      </c>
      <c r="B20" s="37"/>
      <c r="C20" s="38"/>
      <c r="D20" s="37"/>
      <c r="E20" s="38"/>
      <c r="F20" s="37"/>
      <c r="G20" s="38"/>
      <c r="H20" s="37"/>
      <c r="I20" s="38"/>
      <c r="J20" s="37"/>
      <c r="K20" s="38"/>
      <c r="L20" s="37"/>
      <c r="M20" s="38" t="str">
        <f>IFERROR([1]!IntrinioBankFinancials(rssd_id,$Q$2,$H$5,$H$4,L20,"K"),"")</f>
        <v/>
      </c>
      <c r="N20" s="49">
        <v>2</v>
      </c>
      <c r="O20" s="13"/>
      <c r="P20" s="13"/>
      <c r="Q20" s="13"/>
    </row>
    <row r="21" spans="1:17" s="47" customFormat="1" x14ac:dyDescent="0.4">
      <c r="A21" s="39" t="s">
        <v>797</v>
      </c>
      <c r="B21" s="37" t="s">
        <v>1806</v>
      </c>
      <c r="C21" s="38">
        <v>0</v>
      </c>
      <c r="D21" s="37" t="s">
        <v>1807</v>
      </c>
      <c r="E21" s="38">
        <v>0</v>
      </c>
      <c r="F21" s="37" t="s">
        <v>1176</v>
      </c>
      <c r="G21" s="38">
        <v>0</v>
      </c>
      <c r="H21" s="37" t="s">
        <v>1806</v>
      </c>
      <c r="I21" s="38">
        <v>0</v>
      </c>
      <c r="J21" s="37" t="s">
        <v>1807</v>
      </c>
      <c r="K21" s="38">
        <v>0</v>
      </c>
      <c r="L21" s="37" t="s">
        <v>1808</v>
      </c>
      <c r="M21" s="38" t="str">
        <f>IFERROR([1]!IntrinioBankFinancials(rssd_id,$Q$2,$H$5,$H$4,L21,"K"),"")</f>
        <v/>
      </c>
      <c r="N21" s="49" t="s">
        <v>36</v>
      </c>
      <c r="O21" s="13"/>
      <c r="P21" s="13"/>
      <c r="Q21" s="13"/>
    </row>
    <row r="22" spans="1:17" s="47" customFormat="1" x14ac:dyDescent="0.4">
      <c r="A22" s="39" t="s">
        <v>798</v>
      </c>
      <c r="B22" s="37" t="s">
        <v>1809</v>
      </c>
      <c r="C22" s="38">
        <v>0</v>
      </c>
      <c r="D22" s="37" t="s">
        <v>1810</v>
      </c>
      <c r="E22" s="38">
        <v>0</v>
      </c>
      <c r="F22" s="37" t="s">
        <v>1177</v>
      </c>
      <c r="G22" s="38">
        <v>0</v>
      </c>
      <c r="H22" s="37" t="s">
        <v>1809</v>
      </c>
      <c r="I22" s="38">
        <v>0</v>
      </c>
      <c r="J22" s="37" t="s">
        <v>1810</v>
      </c>
      <c r="K22" s="38">
        <v>0</v>
      </c>
      <c r="L22" s="37" t="s">
        <v>1811</v>
      </c>
      <c r="M22" s="38" t="str">
        <f>IFERROR([1]!IntrinioBankFinancials(rssd_id,$Q$2,$H$5,$H$4,L22,"K"),"")</f>
        <v/>
      </c>
      <c r="N22" s="49" t="s">
        <v>47</v>
      </c>
      <c r="O22" s="13"/>
      <c r="P22" s="13"/>
      <c r="Q22" s="13"/>
    </row>
    <row r="23" spans="1:17" s="47" customFormat="1" x14ac:dyDescent="0.4">
      <c r="A23" s="39" t="s">
        <v>799</v>
      </c>
      <c r="B23" s="37" t="s">
        <v>1812</v>
      </c>
      <c r="C23" s="38">
        <v>0</v>
      </c>
      <c r="D23" s="37" t="s">
        <v>1813</v>
      </c>
      <c r="E23" s="38">
        <v>0</v>
      </c>
      <c r="F23" s="37" t="s">
        <v>1178</v>
      </c>
      <c r="G23" s="38">
        <v>0</v>
      </c>
      <c r="H23" s="37" t="s">
        <v>1812</v>
      </c>
      <c r="I23" s="38">
        <v>0</v>
      </c>
      <c r="J23" s="37" t="s">
        <v>1813</v>
      </c>
      <c r="K23" s="38">
        <v>0</v>
      </c>
      <c r="L23" s="37" t="s">
        <v>1814</v>
      </c>
      <c r="M23" s="38" t="str">
        <f>IFERROR([1]!IntrinioBankFinancials(rssd_id,$Q$2,$H$5,$H$4,L23,"K"),"")</f>
        <v/>
      </c>
      <c r="N23" s="49" t="s">
        <v>49</v>
      </c>
      <c r="O23" s="13"/>
      <c r="P23" s="13"/>
      <c r="Q23" s="13"/>
    </row>
    <row r="24" spans="1:17" s="47" customFormat="1" x14ac:dyDescent="0.4">
      <c r="A24" s="39" t="s">
        <v>800</v>
      </c>
      <c r="B24" s="37" t="s">
        <v>1815</v>
      </c>
      <c r="C24" s="38">
        <v>0</v>
      </c>
      <c r="D24" s="37" t="s">
        <v>1816</v>
      </c>
      <c r="E24" s="38">
        <v>0</v>
      </c>
      <c r="F24" s="37" t="s">
        <v>1179</v>
      </c>
      <c r="G24" s="38">
        <v>0</v>
      </c>
      <c r="H24" s="37" t="s">
        <v>1815</v>
      </c>
      <c r="I24" s="38">
        <v>0</v>
      </c>
      <c r="J24" s="37" t="s">
        <v>1816</v>
      </c>
      <c r="K24" s="38">
        <v>0</v>
      </c>
      <c r="L24" s="37" t="s">
        <v>1817</v>
      </c>
      <c r="M24" s="38" t="str">
        <f>IFERROR([1]!IntrinioBankFinancials(rssd_id,$Q$2,$H$5,$H$4,L24,"K"),"")</f>
        <v/>
      </c>
      <c r="N24" s="49" t="s">
        <v>51</v>
      </c>
      <c r="O24" s="13"/>
      <c r="P24" s="13"/>
      <c r="Q24" s="13"/>
    </row>
    <row r="25" spans="1:17" s="47" customFormat="1" x14ac:dyDescent="0.4">
      <c r="A25" s="39" t="s">
        <v>801</v>
      </c>
      <c r="B25" s="37" t="s">
        <v>1818</v>
      </c>
      <c r="C25" s="38">
        <v>0</v>
      </c>
      <c r="D25" s="37" t="s">
        <v>1819</v>
      </c>
      <c r="E25" s="38">
        <v>0</v>
      </c>
      <c r="F25" s="37" t="s">
        <v>1180</v>
      </c>
      <c r="G25" s="38">
        <v>0</v>
      </c>
      <c r="H25" s="37" t="s">
        <v>1818</v>
      </c>
      <c r="I25" s="38">
        <v>0</v>
      </c>
      <c r="J25" s="37" t="s">
        <v>1819</v>
      </c>
      <c r="K25" s="38">
        <v>0</v>
      </c>
      <c r="L25" s="37" t="s">
        <v>1820</v>
      </c>
      <c r="M25" s="38" t="str">
        <f>IFERROR([1]!IntrinioBankFinancials(rssd_id,$Q$2,$H$5,$H$4,L25,"K"),"")</f>
        <v/>
      </c>
      <c r="N25" s="49" t="s">
        <v>53</v>
      </c>
      <c r="O25" s="13"/>
      <c r="P25" s="13"/>
      <c r="Q25" s="13"/>
    </row>
    <row r="26" spans="1:17" s="47" customFormat="1" ht="28.5" x14ac:dyDescent="0.4">
      <c r="A26" s="39" t="s">
        <v>802</v>
      </c>
      <c r="B26" s="37" t="s">
        <v>1821</v>
      </c>
      <c r="C26" s="38">
        <v>0</v>
      </c>
      <c r="D26" s="37" t="s">
        <v>1822</v>
      </c>
      <c r="E26" s="38">
        <v>0</v>
      </c>
      <c r="F26" s="37" t="s">
        <v>1181</v>
      </c>
      <c r="G26" s="38">
        <v>0</v>
      </c>
      <c r="H26" s="37" t="s">
        <v>1821</v>
      </c>
      <c r="I26" s="38">
        <v>0</v>
      </c>
      <c r="J26" s="37" t="s">
        <v>1822</v>
      </c>
      <c r="K26" s="38">
        <v>0</v>
      </c>
      <c r="L26" s="37" t="s">
        <v>1823</v>
      </c>
      <c r="M26" s="38" t="str">
        <f>IFERROR([1]!IntrinioBankFinancials(rssd_id,$Q$2,$H$5,$H$4,L26,"K"),"")</f>
        <v/>
      </c>
      <c r="N26" s="49">
        <v>3</v>
      </c>
      <c r="O26" s="13"/>
      <c r="P26" s="13"/>
      <c r="Q26" s="13"/>
    </row>
    <row r="27" spans="1:17" s="47" customFormat="1" ht="28.5" x14ac:dyDescent="0.4">
      <c r="A27" s="39" t="s">
        <v>803</v>
      </c>
      <c r="B27" s="37" t="s">
        <v>1824</v>
      </c>
      <c r="C27" s="38">
        <v>0</v>
      </c>
      <c r="D27" s="37" t="s">
        <v>1825</v>
      </c>
      <c r="E27" s="38">
        <v>0</v>
      </c>
      <c r="F27" s="37" t="s">
        <v>1182</v>
      </c>
      <c r="G27" s="38">
        <v>0</v>
      </c>
      <c r="H27" s="37" t="s">
        <v>1824</v>
      </c>
      <c r="I27" s="38">
        <v>0</v>
      </c>
      <c r="J27" s="37" t="s">
        <v>1825</v>
      </c>
      <c r="K27" s="38">
        <v>0</v>
      </c>
      <c r="L27" s="37" t="s">
        <v>1826</v>
      </c>
      <c r="M27" s="38" t="str">
        <f>IFERROR([1]!IntrinioBankFinancials(rssd_id,$Q$2,$H$5,$H$4,L27,"K"),"")</f>
        <v/>
      </c>
      <c r="N27" s="49">
        <v>4</v>
      </c>
      <c r="O27" s="13"/>
      <c r="P27" s="13"/>
      <c r="Q27" s="13"/>
    </row>
    <row r="28" spans="1:17" s="47" customFormat="1" x14ac:dyDescent="0.4">
      <c r="A28" s="13"/>
      <c r="B28" s="4"/>
      <c r="C28" s="5"/>
      <c r="D28" s="5"/>
      <c r="E28" s="5"/>
      <c r="F28" s="5"/>
      <c r="G28" s="5"/>
      <c r="H28" s="4"/>
      <c r="I28" s="5"/>
      <c r="J28" s="5"/>
      <c r="K28" s="5"/>
      <c r="L28" s="5"/>
      <c r="M28" s="5"/>
      <c r="N28" s="5"/>
      <c r="O28" s="13"/>
      <c r="P28" s="13"/>
      <c r="Q28" s="13"/>
    </row>
    <row r="29" spans="1:17" s="47" customFormat="1" x14ac:dyDescent="0.4">
      <c r="A29" s="13"/>
      <c r="B29" s="4"/>
      <c r="C29" s="5"/>
      <c r="D29" s="5"/>
      <c r="E29" s="5"/>
      <c r="F29" s="5"/>
      <c r="G29" s="5"/>
      <c r="H29" s="4"/>
      <c r="I29" s="5"/>
      <c r="J29" s="5"/>
      <c r="K29" s="5"/>
      <c r="L29" s="5"/>
      <c r="M29" s="5"/>
      <c r="N29" s="5"/>
      <c r="O29" s="13"/>
      <c r="P29" s="13"/>
      <c r="Q29" s="13"/>
    </row>
    <row r="30" spans="1:17" s="47" customFormat="1" x14ac:dyDescent="0.4">
      <c r="A30" s="13"/>
      <c r="B30" s="4"/>
      <c r="C30" s="5"/>
      <c r="D30" s="5"/>
      <c r="E30" s="5"/>
      <c r="F30" s="5"/>
      <c r="G30" s="5"/>
      <c r="H30" s="4"/>
      <c r="I30" s="5"/>
      <c r="J30" s="5"/>
      <c r="K30" s="5"/>
      <c r="L30" s="5"/>
      <c r="M30" s="5"/>
      <c r="N30" s="5"/>
      <c r="O30" s="13"/>
      <c r="P30" s="13"/>
      <c r="Q30" s="13"/>
    </row>
    <row r="31" spans="1:17" s="47" customFormat="1" x14ac:dyDescent="0.4">
      <c r="A31" s="13"/>
      <c r="B31" s="4"/>
      <c r="C31" s="5"/>
      <c r="D31" s="5"/>
      <c r="E31" s="5"/>
      <c r="F31" s="5"/>
      <c r="G31" s="5"/>
      <c r="H31" s="4"/>
      <c r="I31" s="5"/>
      <c r="J31" s="5"/>
      <c r="K31" s="5"/>
      <c r="L31" s="5"/>
      <c r="M31" s="5"/>
      <c r="N31" s="5"/>
      <c r="O31" s="13"/>
      <c r="P31" s="13"/>
      <c r="Q31" s="13"/>
    </row>
    <row r="32" spans="1:17" s="47" customFormat="1" x14ac:dyDescent="0.4">
      <c r="A32" s="13"/>
      <c r="B32" s="4"/>
      <c r="C32" s="5"/>
      <c r="D32" s="5"/>
      <c r="E32" s="5"/>
      <c r="F32" s="5"/>
      <c r="G32" s="5"/>
      <c r="H32" s="4"/>
      <c r="I32" s="5"/>
      <c r="J32" s="5"/>
      <c r="K32" s="5"/>
      <c r="L32" s="5"/>
      <c r="M32" s="5"/>
      <c r="N32" s="5"/>
      <c r="O32" s="13"/>
      <c r="P32" s="13"/>
      <c r="Q32" s="13"/>
    </row>
    <row r="33" spans="1:17" s="47" customFormat="1" x14ac:dyDescent="0.4">
      <c r="A33" s="13"/>
      <c r="B33" s="4"/>
      <c r="C33" s="5"/>
      <c r="D33" s="5"/>
      <c r="E33" s="5"/>
      <c r="F33" s="5"/>
      <c r="G33" s="5"/>
      <c r="H33" s="4"/>
      <c r="I33" s="5"/>
      <c r="J33" s="5"/>
      <c r="K33" s="5"/>
      <c r="L33" s="5"/>
      <c r="M33" s="5"/>
      <c r="N33" s="5"/>
      <c r="O33" s="13"/>
      <c r="P33" s="13"/>
      <c r="Q33" s="13"/>
    </row>
    <row r="34" spans="1:17" s="47" customFormat="1" x14ac:dyDescent="0.4">
      <c r="A34" s="13"/>
      <c r="B34" s="4"/>
      <c r="C34" s="5"/>
      <c r="D34" s="5"/>
      <c r="E34" s="5"/>
      <c r="F34" s="5"/>
      <c r="G34" s="5"/>
      <c r="H34" s="4"/>
      <c r="I34" s="5"/>
      <c r="J34" s="5"/>
      <c r="K34" s="5"/>
      <c r="L34" s="5"/>
      <c r="M34" s="5"/>
      <c r="N34" s="5"/>
      <c r="O34" s="13"/>
      <c r="P34" s="13"/>
      <c r="Q34" s="13"/>
    </row>
    <row r="35" spans="1:17" s="47" customFormat="1" x14ac:dyDescent="0.4">
      <c r="A35" s="13"/>
      <c r="B35" s="4"/>
      <c r="C35" s="5"/>
      <c r="D35" s="5"/>
      <c r="E35" s="5"/>
      <c r="F35" s="5"/>
      <c r="G35" s="5"/>
      <c r="H35" s="4"/>
      <c r="I35" s="5"/>
      <c r="J35" s="5"/>
      <c r="K35" s="5"/>
      <c r="L35" s="5"/>
      <c r="M35" s="5"/>
      <c r="N35" s="5"/>
      <c r="O35" s="13"/>
      <c r="P35" s="13"/>
      <c r="Q35" s="13"/>
    </row>
    <row r="36" spans="1:17" s="47" customFormat="1" x14ac:dyDescent="0.4">
      <c r="A36" s="13"/>
      <c r="B36" s="4"/>
      <c r="C36" s="5"/>
      <c r="D36" s="5"/>
      <c r="E36" s="5"/>
      <c r="F36" s="5"/>
      <c r="G36" s="5"/>
      <c r="H36" s="4"/>
      <c r="I36" s="5"/>
      <c r="J36" s="5"/>
      <c r="K36" s="5"/>
      <c r="L36" s="5"/>
      <c r="M36" s="5"/>
      <c r="N36" s="5"/>
      <c r="O36" s="13"/>
      <c r="P36" s="13"/>
      <c r="Q36" s="13"/>
    </row>
    <row r="37" spans="1:17" s="47" customFormat="1" x14ac:dyDescent="0.4">
      <c r="A37" s="13"/>
      <c r="B37" s="4"/>
      <c r="C37" s="5"/>
      <c r="D37" s="5"/>
      <c r="E37" s="5"/>
      <c r="F37" s="5"/>
      <c r="G37" s="5"/>
      <c r="H37" s="4"/>
      <c r="I37" s="5"/>
      <c r="J37" s="5"/>
      <c r="K37" s="5"/>
      <c r="L37" s="5"/>
      <c r="M37" s="5"/>
      <c r="N37" s="5"/>
      <c r="O37" s="13"/>
      <c r="P37" s="13"/>
      <c r="Q37" s="13"/>
    </row>
  </sheetData>
  <mergeCells count="16">
    <mergeCell ref="B4:G4"/>
    <mergeCell ref="H4:M4"/>
    <mergeCell ref="B5:G5"/>
    <mergeCell ref="H5:M5"/>
    <mergeCell ref="H6:I6"/>
    <mergeCell ref="J6:K6"/>
    <mergeCell ref="L6:M6"/>
    <mergeCell ref="H7:I7"/>
    <mergeCell ref="J7:K7"/>
    <mergeCell ref="L7:M7"/>
    <mergeCell ref="B6:C6"/>
    <mergeCell ref="B7:C7"/>
    <mergeCell ref="D6:E6"/>
    <mergeCell ref="D7:E7"/>
    <mergeCell ref="F6:G6"/>
    <mergeCell ref="F7:G7"/>
  </mergeCells>
  <pageMargins left="0.7" right="0.7" top="0.75" bottom="0.75" header="0.3" footer="0.3"/>
  <pageSetup scale="83" orientation="landscape" r:id="rId1"/>
  <headerFooter>
    <oddFooter>&amp;L&amp;G&amp;R&amp;P</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42</vt:i4>
      </vt:variant>
    </vt:vector>
  </HeadingPairs>
  <TitlesOfParts>
    <vt:vector size="60" baseType="lpstr">
      <vt:lpstr>ToC</vt:lpstr>
      <vt:lpstr>Support</vt:lpstr>
      <vt:lpstr>HI</vt:lpstr>
      <vt:lpstr>HIA</vt:lpstr>
      <vt:lpstr>HIBI</vt:lpstr>
      <vt:lpstr>HIBII</vt:lpstr>
      <vt:lpstr>HIC</vt:lpstr>
      <vt:lpstr>HIE</vt:lpstr>
      <vt:lpstr>HC</vt:lpstr>
      <vt:lpstr>HCB</vt:lpstr>
      <vt:lpstr>HCC</vt:lpstr>
      <vt:lpstr>HCF</vt:lpstr>
      <vt:lpstr>HCG</vt:lpstr>
      <vt:lpstr>HCL</vt:lpstr>
      <vt:lpstr>HCN</vt:lpstr>
      <vt:lpstr>HCP</vt:lpstr>
      <vt:lpstr>HCRI</vt:lpstr>
      <vt:lpstr>HCV</vt:lpstr>
      <vt:lpstr>fiscal_period</vt:lpstr>
      <vt:lpstr>fiscal_period_sequence</vt:lpstr>
      <vt:lpstr>fiscal_period_type</vt:lpstr>
      <vt:lpstr>fiscal_period_types</vt:lpstr>
      <vt:lpstr>fiscal_year</vt:lpstr>
      <vt:lpstr>name</vt:lpstr>
      <vt:lpstr>HC!Print_Area</vt:lpstr>
      <vt:lpstr>HCB!Print_Area</vt:lpstr>
      <vt:lpstr>HCC!Print_Area</vt:lpstr>
      <vt:lpstr>HCF!Print_Area</vt:lpstr>
      <vt:lpstr>HCG!Print_Area</vt:lpstr>
      <vt:lpstr>HCL!Print_Area</vt:lpstr>
      <vt:lpstr>HCN!Print_Area</vt:lpstr>
      <vt:lpstr>HCP!Print_Area</vt:lpstr>
      <vt:lpstr>HCRI!Print_Area</vt:lpstr>
      <vt:lpstr>HCV!Print_Area</vt:lpstr>
      <vt:lpstr>HI!Print_Area</vt:lpstr>
      <vt:lpstr>HIA!Print_Area</vt:lpstr>
      <vt:lpstr>HIBI!Print_Area</vt:lpstr>
      <vt:lpstr>HIBII!Print_Area</vt:lpstr>
      <vt:lpstr>HIC!Print_Area</vt:lpstr>
      <vt:lpstr>HIE!Print_Area</vt:lpstr>
      <vt:lpstr>ToC!Print_Area</vt:lpstr>
      <vt:lpstr>HC!Print_Titles</vt:lpstr>
      <vt:lpstr>HCB!Print_Titles</vt:lpstr>
      <vt:lpstr>HCC!Print_Titles</vt:lpstr>
      <vt:lpstr>HCF!Print_Titles</vt:lpstr>
      <vt:lpstr>HCG!Print_Titles</vt:lpstr>
      <vt:lpstr>HCL!Print_Titles</vt:lpstr>
      <vt:lpstr>HCN!Print_Titles</vt:lpstr>
      <vt:lpstr>HCP!Print_Titles</vt:lpstr>
      <vt:lpstr>HCRI!Print_Titles</vt:lpstr>
      <vt:lpstr>HCV!Print_Titles</vt:lpstr>
      <vt:lpstr>HI!Print_Titles</vt:lpstr>
      <vt:lpstr>HIA!Print_Titles</vt:lpstr>
      <vt:lpstr>HIBI!Print_Titles</vt:lpstr>
      <vt:lpstr>HIBII!Print_Titles</vt:lpstr>
      <vt:lpstr>HIC!Print_Titles</vt:lpstr>
      <vt:lpstr>HIE!Print_Titles</vt:lpstr>
      <vt:lpstr>ToC!Print_Titles</vt:lpstr>
      <vt:lpstr>rssd_id</vt:lpstr>
      <vt:lpstr>sequences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creator>Intrinio</dc:creator>
  <cp:lastModifiedBy>Joey French</cp:lastModifiedBy>
  <cp:lastPrinted>2016-04-17T08:53:12Z</cp:lastPrinted>
  <dcterms:created xsi:type="dcterms:W3CDTF">2016-04-13T20:04:21Z</dcterms:created>
  <dcterms:modified xsi:type="dcterms:W3CDTF">2016-12-11T22:34:32Z</dcterms:modified>
</cp:coreProperties>
</file>