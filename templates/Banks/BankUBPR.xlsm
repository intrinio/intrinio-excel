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Banks\"/>
    </mc:Choice>
  </mc:AlternateContent>
  <bookViews>
    <workbookView xWindow="120" yWindow="15" windowWidth="18960" windowHeight="9705"/>
  </bookViews>
  <sheets>
    <sheet name="ToC" sheetId="1" r:id="rId1"/>
    <sheet name="Support" sheetId="71" state="hidden" r:id="rId2"/>
    <sheet name="Summary Ratios" sheetId="101" r:id="rId3"/>
    <sheet name="Income Statement" sheetId="102" r:id="rId4"/>
    <sheet name="Non Int Inc Exp Yields" sheetId="104" r:id="rId5"/>
    <sheet name="Balance Sheet" sheetId="105" r:id="rId6"/>
    <sheet name="Off Balance Sheet Items" sheetId="106" r:id="rId7"/>
    <sheet name="Derivative Instruments" sheetId="110" r:id="rId8"/>
    <sheet name="Derivative Analysis" sheetId="111" r:id="rId9"/>
    <sheet name="Balance Sheet %" sheetId="112" r:id="rId10"/>
    <sheet name="Concentrations of Credit" sheetId="113" r:id="rId11"/>
    <sheet name="Interest Rate Risk" sheetId="114" r:id="rId12"/>
    <sheet name="Liquidity &amp; Funding" sheetId="115" r:id="rId13"/>
    <sheet name="Liquidity &amp; Inv Portfolio" sheetId="116" r:id="rId14"/>
  </sheets>
  <externalReferences>
    <externalReference r:id="rId15"/>
  </externalReferences>
  <definedNames>
    <definedName name="fiscal_period">ToC!$B$18</definedName>
    <definedName name="fiscal_period_sequence">ToC!$B$16</definedName>
    <definedName name="fiscal_period_type">ToC!$B$15</definedName>
    <definedName name="fiscal_period_types">Support!$A$2:$A$3</definedName>
    <definedName name="fiscal_year">ToC!$B$17</definedName>
    <definedName name="name">ToC!$B$8</definedName>
    <definedName name="_xlnm.Print_Area" localSheetId="5">'Balance Sheet'!$A$1:$O$60</definedName>
    <definedName name="_xlnm.Print_Area" localSheetId="9">'Balance Sheet %'!$A$1:$O$158</definedName>
    <definedName name="_xlnm.Print_Area" localSheetId="10">'Concentrations of Credit'!$A$1:$O$185</definedName>
    <definedName name="_xlnm.Print_Area" localSheetId="8">'Derivative Analysis'!$A$1:$O$58</definedName>
    <definedName name="_xlnm.Print_Area" localSheetId="7">'Derivative Instruments'!$A$1:$O$50</definedName>
    <definedName name="_xlnm.Print_Area" localSheetId="3">'Income Statement'!$A$1:$O$27</definedName>
    <definedName name="_xlnm.Print_Area" localSheetId="11">'Interest Rate Risk'!$A$1:$O$43</definedName>
    <definedName name="_xlnm.Print_Area" localSheetId="12">'Liquidity &amp; Funding'!$A$1:$O$68</definedName>
    <definedName name="_xlnm.Print_Area" localSheetId="13">'Liquidity &amp; Inv Portfolio'!$A$1:$O$197</definedName>
    <definedName name="_xlnm.Print_Area" localSheetId="4">'Non Int Inc Exp Yields'!$A$1:$O$51</definedName>
    <definedName name="_xlnm.Print_Area" localSheetId="6">'Off Balance Sheet Items'!$A$1:$O$46</definedName>
    <definedName name="_xlnm.Print_Area" localSheetId="2">'Summary Ratios'!$A$1:$O$60</definedName>
    <definedName name="_xlnm.Print_Area" localSheetId="0">ToC!$A$1:$C$46</definedName>
    <definedName name="_xlnm.Print_Titles" localSheetId="5">'Balance Sheet'!$1:$6</definedName>
    <definedName name="_xlnm.Print_Titles" localSheetId="9">'Balance Sheet %'!$1:$6</definedName>
    <definedName name="_xlnm.Print_Titles" localSheetId="10">'Concentrations of Credit'!$1:$6</definedName>
    <definedName name="_xlnm.Print_Titles" localSheetId="8">'Derivative Analysis'!$1:$6</definedName>
    <definedName name="_xlnm.Print_Titles" localSheetId="7">'Derivative Instruments'!$1:$6</definedName>
    <definedName name="_xlnm.Print_Titles" localSheetId="3">'Income Statement'!$1:$6</definedName>
    <definedName name="_xlnm.Print_Titles" localSheetId="11">'Interest Rate Risk'!$1:$6</definedName>
    <definedName name="_xlnm.Print_Titles" localSheetId="12">'Liquidity &amp; Funding'!$1:$6</definedName>
    <definedName name="_xlnm.Print_Titles" localSheetId="13">'Liquidity &amp; Inv Portfolio'!$1:$6</definedName>
    <definedName name="_xlnm.Print_Titles" localSheetId="4">'Non Int Inc Exp Yields'!$1:$6</definedName>
    <definedName name="_xlnm.Print_Titles" localSheetId="6">'Off Balance Sheet Items'!$1:$6</definedName>
    <definedName name="_xlnm.Print_Titles" localSheetId="2">'Summary Ratios'!$1:$6</definedName>
    <definedName name="_xlnm.Print_Titles" localSheetId="0">ToC!$1:$8</definedName>
    <definedName name="rssd_id">ToC!$B$7</definedName>
    <definedName name="sequences">Support!$B$2:$B$21</definedName>
  </definedNames>
  <calcPr calcId="171027" calcMode="manual" concurrentCalc="0"/>
</workbook>
</file>

<file path=xl/calcChain.xml><?xml version="1.0" encoding="utf-8"?>
<calcChain xmlns="http://schemas.openxmlformats.org/spreadsheetml/2006/main">
  <c r="O4" i="116" l="1"/>
  <c r="O5" i="116"/>
  <c r="O6" i="116"/>
  <c r="O197" i="116"/>
  <c r="N4" i="116"/>
  <c r="N5" i="116"/>
  <c r="N6" i="116"/>
  <c r="N197" i="116"/>
  <c r="M4" i="116"/>
  <c r="M5" i="116"/>
  <c r="M6" i="116"/>
  <c r="M197" i="116"/>
  <c r="L4" i="116"/>
  <c r="L5" i="116"/>
  <c r="L6" i="116"/>
  <c r="L197" i="116"/>
  <c r="K4" i="116"/>
  <c r="K5" i="116"/>
  <c r="K6" i="116"/>
  <c r="K197" i="116"/>
  <c r="J4" i="116"/>
  <c r="J5" i="116"/>
  <c r="J6" i="116"/>
  <c r="J197" i="116"/>
  <c r="I4" i="116"/>
  <c r="I5" i="116"/>
  <c r="I6" i="116"/>
  <c r="I197" i="116"/>
  <c r="H4" i="116"/>
  <c r="H5" i="116"/>
  <c r="H6" i="116"/>
  <c r="H197" i="116"/>
  <c r="G4" i="116"/>
  <c r="G5" i="116"/>
  <c r="G6" i="116"/>
  <c r="G197" i="116"/>
  <c r="F4" i="116"/>
  <c r="F5" i="116"/>
  <c r="F6" i="116"/>
  <c r="F197" i="116"/>
  <c r="E4" i="116"/>
  <c r="E5" i="116"/>
  <c r="E6" i="116"/>
  <c r="E197" i="116"/>
  <c r="D4" i="116"/>
  <c r="D5" i="116"/>
  <c r="D6" i="116"/>
  <c r="D197" i="116"/>
  <c r="C4" i="116"/>
  <c r="C5" i="116"/>
  <c r="C6" i="116"/>
  <c r="C197" i="116"/>
  <c r="O196" i="116"/>
  <c r="N196" i="116"/>
  <c r="M196" i="116"/>
  <c r="L196" i="116"/>
  <c r="K196" i="116"/>
  <c r="J196" i="116"/>
  <c r="I196" i="116"/>
  <c r="H196" i="116"/>
  <c r="G196" i="116"/>
  <c r="F196" i="116"/>
  <c r="E196" i="116"/>
  <c r="D196" i="116"/>
  <c r="C196" i="116"/>
  <c r="O195" i="116"/>
  <c r="N195" i="116"/>
  <c r="M195" i="116"/>
  <c r="L195" i="116"/>
  <c r="K195" i="116"/>
  <c r="J195" i="116"/>
  <c r="I195" i="116"/>
  <c r="H195" i="116"/>
  <c r="G195" i="116"/>
  <c r="F195" i="116"/>
  <c r="E195" i="116"/>
  <c r="D195" i="116"/>
  <c r="C195" i="116"/>
  <c r="O194" i="116"/>
  <c r="N194" i="116"/>
  <c r="M194" i="116"/>
  <c r="L194" i="116"/>
  <c r="K194" i="116"/>
  <c r="J194" i="116"/>
  <c r="I194" i="116"/>
  <c r="H194" i="116"/>
  <c r="G194" i="116"/>
  <c r="F194" i="116"/>
  <c r="E194" i="116"/>
  <c r="D194" i="116"/>
  <c r="C194" i="116"/>
  <c r="O193" i="116"/>
  <c r="N193" i="116"/>
  <c r="M193" i="116"/>
  <c r="L193" i="116"/>
  <c r="K193" i="116"/>
  <c r="J193" i="116"/>
  <c r="I193" i="116"/>
  <c r="H193" i="116"/>
  <c r="G193" i="116"/>
  <c r="F193" i="116"/>
  <c r="E193" i="116"/>
  <c r="D193" i="116"/>
  <c r="C193" i="116"/>
  <c r="O190" i="116"/>
  <c r="N190" i="116"/>
  <c r="M190" i="116"/>
  <c r="L190" i="116"/>
  <c r="K190" i="116"/>
  <c r="J190" i="116"/>
  <c r="I190" i="116"/>
  <c r="H190" i="116"/>
  <c r="G190" i="116"/>
  <c r="F190" i="116"/>
  <c r="E190" i="116"/>
  <c r="D190" i="116"/>
  <c r="C190" i="116"/>
  <c r="O189" i="116"/>
  <c r="N189" i="116"/>
  <c r="M189" i="116"/>
  <c r="L189" i="116"/>
  <c r="K189" i="116"/>
  <c r="J189" i="116"/>
  <c r="I189" i="116"/>
  <c r="H189" i="116"/>
  <c r="G189" i="116"/>
  <c r="F189" i="116"/>
  <c r="E189" i="116"/>
  <c r="D189" i="116"/>
  <c r="C189" i="116"/>
  <c r="O188" i="116"/>
  <c r="N188" i="116"/>
  <c r="M188" i="116"/>
  <c r="L188" i="116"/>
  <c r="K188" i="116"/>
  <c r="J188" i="116"/>
  <c r="I188" i="116"/>
  <c r="H188" i="116"/>
  <c r="G188" i="116"/>
  <c r="F188" i="116"/>
  <c r="E188" i="116"/>
  <c r="D188" i="116"/>
  <c r="C188" i="116"/>
  <c r="O187" i="116"/>
  <c r="N187" i="116"/>
  <c r="M187" i="116"/>
  <c r="L187" i="116"/>
  <c r="K187" i="116"/>
  <c r="J187" i="116"/>
  <c r="I187" i="116"/>
  <c r="H187" i="116"/>
  <c r="G187" i="116"/>
  <c r="F187" i="116"/>
  <c r="E187" i="116"/>
  <c r="D187" i="116"/>
  <c r="C187" i="116"/>
  <c r="O186" i="116"/>
  <c r="N186" i="116"/>
  <c r="M186" i="116"/>
  <c r="L186" i="116"/>
  <c r="K186" i="116"/>
  <c r="J186" i="116"/>
  <c r="I186" i="116"/>
  <c r="H186" i="116"/>
  <c r="G186" i="116"/>
  <c r="F186" i="116"/>
  <c r="E186" i="116"/>
  <c r="D186" i="116"/>
  <c r="C186" i="116"/>
  <c r="O183" i="116"/>
  <c r="N183" i="116"/>
  <c r="M183" i="116"/>
  <c r="L183" i="116"/>
  <c r="K183" i="116"/>
  <c r="J183" i="116"/>
  <c r="I183" i="116"/>
  <c r="H183" i="116"/>
  <c r="G183" i="116"/>
  <c r="F183" i="116"/>
  <c r="E183" i="116"/>
  <c r="D183" i="116"/>
  <c r="C183" i="116"/>
  <c r="O182" i="116"/>
  <c r="N182" i="116"/>
  <c r="M182" i="116"/>
  <c r="L182" i="116"/>
  <c r="K182" i="116"/>
  <c r="J182" i="116"/>
  <c r="I182" i="116"/>
  <c r="H182" i="116"/>
  <c r="G182" i="116"/>
  <c r="F182" i="116"/>
  <c r="E182" i="116"/>
  <c r="D182" i="116"/>
  <c r="C182" i="116"/>
  <c r="O181" i="116"/>
  <c r="N181" i="116"/>
  <c r="M181" i="116"/>
  <c r="L181" i="116"/>
  <c r="K181" i="116"/>
  <c r="J181" i="116"/>
  <c r="I181" i="116"/>
  <c r="H181" i="116"/>
  <c r="G181" i="116"/>
  <c r="F181" i="116"/>
  <c r="E181" i="116"/>
  <c r="D181" i="116"/>
  <c r="C181" i="116"/>
  <c r="O180" i="116"/>
  <c r="N180" i="116"/>
  <c r="M180" i="116"/>
  <c r="L180" i="116"/>
  <c r="K180" i="116"/>
  <c r="J180" i="116"/>
  <c r="I180" i="116"/>
  <c r="H180" i="116"/>
  <c r="G180" i="116"/>
  <c r="F180" i="116"/>
  <c r="E180" i="116"/>
  <c r="D180" i="116"/>
  <c r="C180" i="116"/>
  <c r="O179" i="116"/>
  <c r="N179" i="116"/>
  <c r="M179" i="116"/>
  <c r="L179" i="116"/>
  <c r="K179" i="116"/>
  <c r="J179" i="116"/>
  <c r="I179" i="116"/>
  <c r="H179" i="116"/>
  <c r="G179" i="116"/>
  <c r="F179" i="116"/>
  <c r="E179" i="116"/>
  <c r="D179" i="116"/>
  <c r="C179" i="116"/>
  <c r="O176" i="116"/>
  <c r="N176" i="116"/>
  <c r="M176" i="116"/>
  <c r="L176" i="116"/>
  <c r="K176" i="116"/>
  <c r="J176" i="116"/>
  <c r="I176" i="116"/>
  <c r="H176" i="116"/>
  <c r="G176" i="116"/>
  <c r="F176" i="116"/>
  <c r="E176" i="116"/>
  <c r="D176" i="116"/>
  <c r="C176" i="116"/>
  <c r="O175" i="116"/>
  <c r="N175" i="116"/>
  <c r="M175" i="116"/>
  <c r="L175" i="116"/>
  <c r="K175" i="116"/>
  <c r="J175" i="116"/>
  <c r="I175" i="116"/>
  <c r="H175" i="116"/>
  <c r="G175" i="116"/>
  <c r="F175" i="116"/>
  <c r="E175" i="116"/>
  <c r="D175" i="116"/>
  <c r="C175" i="116"/>
  <c r="O174" i="116"/>
  <c r="N174" i="116"/>
  <c r="M174" i="116"/>
  <c r="L174" i="116"/>
  <c r="K174" i="116"/>
  <c r="J174" i="116"/>
  <c r="I174" i="116"/>
  <c r="H174" i="116"/>
  <c r="G174" i="116"/>
  <c r="F174" i="116"/>
  <c r="E174" i="116"/>
  <c r="D174" i="116"/>
  <c r="C174" i="116"/>
  <c r="O173" i="116"/>
  <c r="N173" i="116"/>
  <c r="M173" i="116"/>
  <c r="L173" i="116"/>
  <c r="K173" i="116"/>
  <c r="J173" i="116"/>
  <c r="I173" i="116"/>
  <c r="H173" i="116"/>
  <c r="G173" i="116"/>
  <c r="F173" i="116"/>
  <c r="E173" i="116"/>
  <c r="D173" i="116"/>
  <c r="C173" i="116"/>
  <c r="O170" i="116"/>
  <c r="N170" i="116"/>
  <c r="M170" i="116"/>
  <c r="L170" i="116"/>
  <c r="K170" i="116"/>
  <c r="J170" i="116"/>
  <c r="I170" i="116"/>
  <c r="H170" i="116"/>
  <c r="G170" i="116"/>
  <c r="F170" i="116"/>
  <c r="E170" i="116"/>
  <c r="D170" i="116"/>
  <c r="C170" i="116"/>
  <c r="O169" i="116"/>
  <c r="N169" i="116"/>
  <c r="M169" i="116"/>
  <c r="L169" i="116"/>
  <c r="K169" i="116"/>
  <c r="J169" i="116"/>
  <c r="I169" i="116"/>
  <c r="H169" i="116"/>
  <c r="G169" i="116"/>
  <c r="F169" i="116"/>
  <c r="E169" i="116"/>
  <c r="D169" i="116"/>
  <c r="C169" i="116"/>
  <c r="O168" i="116"/>
  <c r="N168" i="116"/>
  <c r="M168" i="116"/>
  <c r="L168" i="116"/>
  <c r="K168" i="116"/>
  <c r="J168" i="116"/>
  <c r="I168" i="116"/>
  <c r="H168" i="116"/>
  <c r="G168" i="116"/>
  <c r="F168" i="116"/>
  <c r="E168" i="116"/>
  <c r="D168" i="116"/>
  <c r="C168" i="116"/>
  <c r="O167" i="116"/>
  <c r="N167" i="116"/>
  <c r="M167" i="116"/>
  <c r="L167" i="116"/>
  <c r="K167" i="116"/>
  <c r="J167" i="116"/>
  <c r="I167" i="116"/>
  <c r="H167" i="116"/>
  <c r="G167" i="116"/>
  <c r="F167" i="116"/>
  <c r="E167" i="116"/>
  <c r="D167" i="116"/>
  <c r="C167" i="116"/>
  <c r="O166" i="116"/>
  <c r="N166" i="116"/>
  <c r="M166" i="116"/>
  <c r="L166" i="116"/>
  <c r="K166" i="116"/>
  <c r="J166" i="116"/>
  <c r="I166" i="116"/>
  <c r="H166" i="116"/>
  <c r="G166" i="116"/>
  <c r="F166" i="116"/>
  <c r="E166" i="116"/>
  <c r="D166" i="116"/>
  <c r="C166" i="116"/>
  <c r="O165" i="116"/>
  <c r="N165" i="116"/>
  <c r="M165" i="116"/>
  <c r="L165" i="116"/>
  <c r="K165" i="116"/>
  <c r="J165" i="116"/>
  <c r="I165" i="116"/>
  <c r="H165" i="116"/>
  <c r="G165" i="116"/>
  <c r="F165" i="116"/>
  <c r="E165" i="116"/>
  <c r="D165" i="116"/>
  <c r="C165" i="116"/>
  <c r="O162" i="116"/>
  <c r="N162" i="116"/>
  <c r="M162" i="116"/>
  <c r="L162" i="116"/>
  <c r="K162" i="116"/>
  <c r="J162" i="116"/>
  <c r="I162" i="116"/>
  <c r="H162" i="116"/>
  <c r="G162" i="116"/>
  <c r="F162" i="116"/>
  <c r="E162" i="116"/>
  <c r="D162" i="116"/>
  <c r="C162" i="116"/>
  <c r="O161" i="116"/>
  <c r="N161" i="116"/>
  <c r="M161" i="116"/>
  <c r="L161" i="116"/>
  <c r="K161" i="116"/>
  <c r="J161" i="116"/>
  <c r="I161" i="116"/>
  <c r="H161" i="116"/>
  <c r="G161" i="116"/>
  <c r="F161" i="116"/>
  <c r="E161" i="116"/>
  <c r="D161" i="116"/>
  <c r="C161" i="116"/>
  <c r="O160" i="116"/>
  <c r="N160" i="116"/>
  <c r="M160" i="116"/>
  <c r="L160" i="116"/>
  <c r="K160" i="116"/>
  <c r="J160" i="116"/>
  <c r="I160" i="116"/>
  <c r="H160" i="116"/>
  <c r="G160" i="116"/>
  <c r="F160" i="116"/>
  <c r="E160" i="116"/>
  <c r="D160" i="116"/>
  <c r="C160" i="116"/>
  <c r="O159" i="116"/>
  <c r="N159" i="116"/>
  <c r="M159" i="116"/>
  <c r="L159" i="116"/>
  <c r="K159" i="116"/>
  <c r="J159" i="116"/>
  <c r="I159" i="116"/>
  <c r="H159" i="116"/>
  <c r="G159" i="116"/>
  <c r="F159" i="116"/>
  <c r="E159" i="116"/>
  <c r="D159" i="116"/>
  <c r="C159" i="116"/>
  <c r="O158" i="116"/>
  <c r="N158" i="116"/>
  <c r="M158" i="116"/>
  <c r="L158" i="116"/>
  <c r="K158" i="116"/>
  <c r="J158" i="116"/>
  <c r="I158" i="116"/>
  <c r="H158" i="116"/>
  <c r="G158" i="116"/>
  <c r="F158" i="116"/>
  <c r="E158" i="116"/>
  <c r="D158" i="116"/>
  <c r="C158" i="116"/>
  <c r="O155" i="116"/>
  <c r="N155" i="116"/>
  <c r="M155" i="116"/>
  <c r="L155" i="116"/>
  <c r="K155" i="116"/>
  <c r="J155" i="116"/>
  <c r="I155" i="116"/>
  <c r="H155" i="116"/>
  <c r="G155" i="116"/>
  <c r="F155" i="116"/>
  <c r="E155" i="116"/>
  <c r="D155" i="116"/>
  <c r="C155" i="116"/>
  <c r="O154" i="116"/>
  <c r="N154" i="116"/>
  <c r="M154" i="116"/>
  <c r="L154" i="116"/>
  <c r="K154" i="116"/>
  <c r="J154" i="116"/>
  <c r="I154" i="116"/>
  <c r="H154" i="116"/>
  <c r="G154" i="116"/>
  <c r="F154" i="116"/>
  <c r="E154" i="116"/>
  <c r="D154" i="116"/>
  <c r="C154" i="116"/>
  <c r="O153" i="116"/>
  <c r="N153" i="116"/>
  <c r="M153" i="116"/>
  <c r="L153" i="116"/>
  <c r="K153" i="116"/>
  <c r="J153" i="116"/>
  <c r="I153" i="116"/>
  <c r="H153" i="116"/>
  <c r="G153" i="116"/>
  <c r="F153" i="116"/>
  <c r="E153" i="116"/>
  <c r="D153" i="116"/>
  <c r="C153" i="116"/>
  <c r="O152" i="116"/>
  <c r="N152" i="116"/>
  <c r="M152" i="116"/>
  <c r="L152" i="116"/>
  <c r="K152" i="116"/>
  <c r="J152" i="116"/>
  <c r="I152" i="116"/>
  <c r="H152" i="116"/>
  <c r="G152" i="116"/>
  <c r="F152" i="116"/>
  <c r="E152" i="116"/>
  <c r="D152" i="116"/>
  <c r="C152" i="116"/>
  <c r="O151" i="116"/>
  <c r="N151" i="116"/>
  <c r="M151" i="116"/>
  <c r="L151" i="116"/>
  <c r="K151" i="116"/>
  <c r="J151" i="116"/>
  <c r="I151" i="116"/>
  <c r="H151" i="116"/>
  <c r="G151" i="116"/>
  <c r="F151" i="116"/>
  <c r="E151" i="116"/>
  <c r="D151" i="116"/>
  <c r="C151" i="116"/>
  <c r="O150" i="116"/>
  <c r="N150" i="116"/>
  <c r="M150" i="116"/>
  <c r="L150" i="116"/>
  <c r="K150" i="116"/>
  <c r="J150" i="116"/>
  <c r="I150" i="116"/>
  <c r="H150" i="116"/>
  <c r="G150" i="116"/>
  <c r="F150" i="116"/>
  <c r="E150" i="116"/>
  <c r="D150" i="116"/>
  <c r="C150" i="116"/>
  <c r="O149" i="116"/>
  <c r="N149" i="116"/>
  <c r="M149" i="116"/>
  <c r="L149" i="116"/>
  <c r="K149" i="116"/>
  <c r="J149" i="116"/>
  <c r="I149" i="116"/>
  <c r="H149" i="116"/>
  <c r="G149" i="116"/>
  <c r="F149" i="116"/>
  <c r="E149" i="116"/>
  <c r="D149" i="116"/>
  <c r="C149" i="116"/>
  <c r="O148" i="116"/>
  <c r="N148" i="116"/>
  <c r="M148" i="116"/>
  <c r="L148" i="116"/>
  <c r="K148" i="116"/>
  <c r="J148" i="116"/>
  <c r="I148" i="116"/>
  <c r="H148" i="116"/>
  <c r="G148" i="116"/>
  <c r="F148" i="116"/>
  <c r="E148" i="116"/>
  <c r="D148" i="116"/>
  <c r="C148" i="116"/>
  <c r="O147" i="116"/>
  <c r="N147" i="116"/>
  <c r="M147" i="116"/>
  <c r="L147" i="116"/>
  <c r="K147" i="116"/>
  <c r="J147" i="116"/>
  <c r="I147" i="116"/>
  <c r="H147" i="116"/>
  <c r="G147" i="116"/>
  <c r="F147" i="116"/>
  <c r="E147" i="116"/>
  <c r="D147" i="116"/>
  <c r="C147" i="116"/>
  <c r="O146" i="116"/>
  <c r="N146" i="116"/>
  <c r="M146" i="116"/>
  <c r="L146" i="116"/>
  <c r="K146" i="116"/>
  <c r="J146" i="116"/>
  <c r="I146" i="116"/>
  <c r="H146" i="116"/>
  <c r="G146" i="116"/>
  <c r="F146" i="116"/>
  <c r="E146" i="116"/>
  <c r="D146" i="116"/>
  <c r="C146" i="116"/>
  <c r="O143" i="116"/>
  <c r="N143" i="116"/>
  <c r="M143" i="116"/>
  <c r="L143" i="116"/>
  <c r="K143" i="116"/>
  <c r="J143" i="116"/>
  <c r="I143" i="116"/>
  <c r="H143" i="116"/>
  <c r="G143" i="116"/>
  <c r="F143" i="116"/>
  <c r="E143" i="116"/>
  <c r="D143" i="116"/>
  <c r="C143" i="116"/>
  <c r="O142" i="116"/>
  <c r="N142" i="116"/>
  <c r="M142" i="116"/>
  <c r="L142" i="116"/>
  <c r="K142" i="116"/>
  <c r="J142" i="116"/>
  <c r="I142" i="116"/>
  <c r="H142" i="116"/>
  <c r="G142" i="116"/>
  <c r="F142" i="116"/>
  <c r="E142" i="116"/>
  <c r="D142" i="116"/>
  <c r="C142" i="116"/>
  <c r="O141" i="116"/>
  <c r="N141" i="116"/>
  <c r="M141" i="116"/>
  <c r="L141" i="116"/>
  <c r="K141" i="116"/>
  <c r="J141" i="116"/>
  <c r="I141" i="116"/>
  <c r="H141" i="116"/>
  <c r="G141" i="116"/>
  <c r="F141" i="116"/>
  <c r="E141" i="116"/>
  <c r="D141" i="116"/>
  <c r="C141" i="116"/>
  <c r="O140" i="116"/>
  <c r="N140" i="116"/>
  <c r="M140" i="116"/>
  <c r="L140" i="116"/>
  <c r="K140" i="116"/>
  <c r="J140" i="116"/>
  <c r="I140" i="116"/>
  <c r="H140" i="116"/>
  <c r="G140" i="116"/>
  <c r="F140" i="116"/>
  <c r="E140" i="116"/>
  <c r="D140" i="116"/>
  <c r="C140" i="116"/>
  <c r="O139" i="116"/>
  <c r="N139" i="116"/>
  <c r="M139" i="116"/>
  <c r="L139" i="116"/>
  <c r="K139" i="116"/>
  <c r="J139" i="116"/>
  <c r="I139" i="116"/>
  <c r="H139" i="116"/>
  <c r="G139" i="116"/>
  <c r="F139" i="116"/>
  <c r="E139" i="116"/>
  <c r="D139" i="116"/>
  <c r="C139" i="116"/>
  <c r="O138" i="116"/>
  <c r="N138" i="116"/>
  <c r="M138" i="116"/>
  <c r="L138" i="116"/>
  <c r="K138" i="116"/>
  <c r="J138" i="116"/>
  <c r="I138" i="116"/>
  <c r="H138" i="116"/>
  <c r="G138" i="116"/>
  <c r="F138" i="116"/>
  <c r="E138" i="116"/>
  <c r="D138" i="116"/>
  <c r="C138" i="116"/>
  <c r="O137" i="116"/>
  <c r="N137" i="116"/>
  <c r="M137" i="116"/>
  <c r="L137" i="116"/>
  <c r="K137" i="116"/>
  <c r="J137" i="116"/>
  <c r="I137" i="116"/>
  <c r="H137" i="116"/>
  <c r="G137" i="116"/>
  <c r="F137" i="116"/>
  <c r="E137" i="116"/>
  <c r="D137" i="116"/>
  <c r="C137" i="116"/>
  <c r="O134" i="116"/>
  <c r="N134" i="116"/>
  <c r="M134" i="116"/>
  <c r="L134" i="116"/>
  <c r="K134" i="116"/>
  <c r="J134" i="116"/>
  <c r="I134" i="116"/>
  <c r="H134" i="116"/>
  <c r="G134" i="116"/>
  <c r="F134" i="116"/>
  <c r="E134" i="116"/>
  <c r="D134" i="116"/>
  <c r="C134" i="116"/>
  <c r="O133" i="116"/>
  <c r="N133" i="116"/>
  <c r="M133" i="116"/>
  <c r="L133" i="116"/>
  <c r="K133" i="116"/>
  <c r="J133" i="116"/>
  <c r="I133" i="116"/>
  <c r="H133" i="116"/>
  <c r="G133" i="116"/>
  <c r="F133" i="116"/>
  <c r="E133" i="116"/>
  <c r="D133" i="116"/>
  <c r="C133" i="116"/>
  <c r="O132" i="116"/>
  <c r="N132" i="116"/>
  <c r="M132" i="116"/>
  <c r="L132" i="116"/>
  <c r="K132" i="116"/>
  <c r="J132" i="116"/>
  <c r="I132" i="116"/>
  <c r="H132" i="116"/>
  <c r="G132" i="116"/>
  <c r="F132" i="116"/>
  <c r="E132" i="116"/>
  <c r="D132" i="116"/>
  <c r="C132" i="116"/>
  <c r="O131" i="116"/>
  <c r="N131" i="116"/>
  <c r="M131" i="116"/>
  <c r="L131" i="116"/>
  <c r="K131" i="116"/>
  <c r="J131" i="116"/>
  <c r="I131" i="116"/>
  <c r="H131" i="116"/>
  <c r="G131" i="116"/>
  <c r="F131" i="116"/>
  <c r="E131" i="116"/>
  <c r="D131" i="116"/>
  <c r="C131" i="116"/>
  <c r="O130" i="116"/>
  <c r="N130" i="116"/>
  <c r="M130" i="116"/>
  <c r="L130" i="116"/>
  <c r="K130" i="116"/>
  <c r="J130" i="116"/>
  <c r="I130" i="116"/>
  <c r="H130" i="116"/>
  <c r="G130" i="116"/>
  <c r="F130" i="116"/>
  <c r="E130" i="116"/>
  <c r="D130" i="116"/>
  <c r="C130" i="116"/>
  <c r="O129" i="116"/>
  <c r="N129" i="116"/>
  <c r="M129" i="116"/>
  <c r="L129" i="116"/>
  <c r="K129" i="116"/>
  <c r="J129" i="116"/>
  <c r="I129" i="116"/>
  <c r="H129" i="116"/>
  <c r="G129" i="116"/>
  <c r="F129" i="116"/>
  <c r="E129" i="116"/>
  <c r="D129" i="116"/>
  <c r="C129" i="116"/>
  <c r="O128" i="116"/>
  <c r="N128" i="116"/>
  <c r="M128" i="116"/>
  <c r="L128" i="116"/>
  <c r="K128" i="116"/>
  <c r="J128" i="116"/>
  <c r="I128" i="116"/>
  <c r="H128" i="116"/>
  <c r="G128" i="116"/>
  <c r="F128" i="116"/>
  <c r="E128" i="116"/>
  <c r="D128" i="116"/>
  <c r="C128" i="116"/>
  <c r="O127" i="116"/>
  <c r="N127" i="116"/>
  <c r="M127" i="116"/>
  <c r="L127" i="116"/>
  <c r="K127" i="116"/>
  <c r="J127" i="116"/>
  <c r="I127" i="116"/>
  <c r="H127" i="116"/>
  <c r="G127" i="116"/>
  <c r="F127" i="116"/>
  <c r="E127" i="116"/>
  <c r="D127" i="116"/>
  <c r="C127" i="116"/>
  <c r="O126" i="116"/>
  <c r="N126" i="116"/>
  <c r="M126" i="116"/>
  <c r="L126" i="116"/>
  <c r="K126" i="116"/>
  <c r="J126" i="116"/>
  <c r="I126" i="116"/>
  <c r="H126" i="116"/>
  <c r="G126" i="116"/>
  <c r="F126" i="116"/>
  <c r="E126" i="116"/>
  <c r="D126" i="116"/>
  <c r="C126" i="116"/>
  <c r="O125" i="116"/>
  <c r="N125" i="116"/>
  <c r="M125" i="116"/>
  <c r="L125" i="116"/>
  <c r="K125" i="116"/>
  <c r="J125" i="116"/>
  <c r="I125" i="116"/>
  <c r="H125" i="116"/>
  <c r="G125" i="116"/>
  <c r="F125" i="116"/>
  <c r="E125" i="116"/>
  <c r="D125" i="116"/>
  <c r="C125" i="116"/>
  <c r="O124" i="116"/>
  <c r="N124" i="116"/>
  <c r="M124" i="116"/>
  <c r="L124" i="116"/>
  <c r="K124" i="116"/>
  <c r="J124" i="116"/>
  <c r="I124" i="116"/>
  <c r="H124" i="116"/>
  <c r="G124" i="116"/>
  <c r="F124" i="116"/>
  <c r="E124" i="116"/>
  <c r="D124" i="116"/>
  <c r="C124" i="116"/>
  <c r="O123" i="116"/>
  <c r="N123" i="116"/>
  <c r="M123" i="116"/>
  <c r="L123" i="116"/>
  <c r="K123" i="116"/>
  <c r="J123" i="116"/>
  <c r="I123" i="116"/>
  <c r="H123" i="116"/>
  <c r="G123" i="116"/>
  <c r="F123" i="116"/>
  <c r="E123" i="116"/>
  <c r="D123" i="116"/>
  <c r="C123" i="116"/>
  <c r="O122" i="116"/>
  <c r="N122" i="116"/>
  <c r="M122" i="116"/>
  <c r="L122" i="116"/>
  <c r="K122" i="116"/>
  <c r="J122" i="116"/>
  <c r="I122" i="116"/>
  <c r="H122" i="116"/>
  <c r="G122" i="116"/>
  <c r="F122" i="116"/>
  <c r="E122" i="116"/>
  <c r="D122" i="116"/>
  <c r="C122" i="116"/>
  <c r="O119" i="116"/>
  <c r="N119" i="116"/>
  <c r="M119" i="116"/>
  <c r="L119" i="116"/>
  <c r="K119" i="116"/>
  <c r="J119" i="116"/>
  <c r="I119" i="116"/>
  <c r="H119" i="116"/>
  <c r="G119" i="116"/>
  <c r="F119" i="116"/>
  <c r="E119" i="116"/>
  <c r="D119" i="116"/>
  <c r="C119" i="116"/>
  <c r="O118" i="116"/>
  <c r="N118" i="116"/>
  <c r="M118" i="116"/>
  <c r="L118" i="116"/>
  <c r="K118" i="116"/>
  <c r="J118" i="116"/>
  <c r="I118" i="116"/>
  <c r="H118" i="116"/>
  <c r="G118" i="116"/>
  <c r="F118" i="116"/>
  <c r="E118" i="116"/>
  <c r="D118" i="116"/>
  <c r="C118" i="116"/>
  <c r="O117" i="116"/>
  <c r="N117" i="116"/>
  <c r="M117" i="116"/>
  <c r="L117" i="116"/>
  <c r="K117" i="116"/>
  <c r="J117" i="116"/>
  <c r="I117" i="116"/>
  <c r="H117" i="116"/>
  <c r="G117" i="116"/>
  <c r="F117" i="116"/>
  <c r="E117" i="116"/>
  <c r="D117" i="116"/>
  <c r="C117" i="116"/>
  <c r="O116" i="116"/>
  <c r="N116" i="116"/>
  <c r="M116" i="116"/>
  <c r="L116" i="116"/>
  <c r="K116" i="116"/>
  <c r="J116" i="116"/>
  <c r="I116" i="116"/>
  <c r="H116" i="116"/>
  <c r="G116" i="116"/>
  <c r="F116" i="116"/>
  <c r="E116" i="116"/>
  <c r="D116" i="116"/>
  <c r="C116" i="116"/>
  <c r="O115" i="116"/>
  <c r="N115" i="116"/>
  <c r="M115" i="116"/>
  <c r="L115" i="116"/>
  <c r="K115" i="116"/>
  <c r="J115" i="116"/>
  <c r="I115" i="116"/>
  <c r="H115" i="116"/>
  <c r="G115" i="116"/>
  <c r="F115" i="116"/>
  <c r="E115" i="116"/>
  <c r="D115" i="116"/>
  <c r="C115" i="116"/>
  <c r="O112" i="116"/>
  <c r="N112" i="116"/>
  <c r="M112" i="116"/>
  <c r="L112" i="116"/>
  <c r="K112" i="116"/>
  <c r="J112" i="116"/>
  <c r="I112" i="116"/>
  <c r="H112" i="116"/>
  <c r="G112" i="116"/>
  <c r="F112" i="116"/>
  <c r="E112" i="116"/>
  <c r="D112" i="116"/>
  <c r="C112" i="116"/>
  <c r="O111" i="116"/>
  <c r="N111" i="116"/>
  <c r="M111" i="116"/>
  <c r="L111" i="116"/>
  <c r="K111" i="116"/>
  <c r="J111" i="116"/>
  <c r="I111" i="116"/>
  <c r="H111" i="116"/>
  <c r="G111" i="116"/>
  <c r="F111" i="116"/>
  <c r="E111" i="116"/>
  <c r="D111" i="116"/>
  <c r="C111" i="116"/>
  <c r="O110" i="116"/>
  <c r="N110" i="116"/>
  <c r="M110" i="116"/>
  <c r="L110" i="116"/>
  <c r="K110" i="116"/>
  <c r="J110" i="116"/>
  <c r="I110" i="116"/>
  <c r="H110" i="116"/>
  <c r="G110" i="116"/>
  <c r="F110" i="116"/>
  <c r="E110" i="116"/>
  <c r="D110" i="116"/>
  <c r="C110" i="116"/>
  <c r="O109" i="116"/>
  <c r="N109" i="116"/>
  <c r="M109" i="116"/>
  <c r="L109" i="116"/>
  <c r="K109" i="116"/>
  <c r="J109" i="116"/>
  <c r="I109" i="116"/>
  <c r="H109" i="116"/>
  <c r="G109" i="116"/>
  <c r="F109" i="116"/>
  <c r="E109" i="116"/>
  <c r="D109" i="116"/>
  <c r="C109" i="116"/>
  <c r="O106" i="116"/>
  <c r="N106" i="116"/>
  <c r="M106" i="116"/>
  <c r="L106" i="116"/>
  <c r="K106" i="116"/>
  <c r="J106" i="116"/>
  <c r="I106" i="116"/>
  <c r="H106" i="116"/>
  <c r="G106" i="116"/>
  <c r="F106" i="116"/>
  <c r="E106" i="116"/>
  <c r="D106" i="116"/>
  <c r="C106" i="116"/>
  <c r="O105" i="116"/>
  <c r="N105" i="116"/>
  <c r="M105" i="116"/>
  <c r="L105" i="116"/>
  <c r="K105" i="116"/>
  <c r="J105" i="116"/>
  <c r="I105" i="116"/>
  <c r="H105" i="116"/>
  <c r="G105" i="116"/>
  <c r="F105" i="116"/>
  <c r="E105" i="116"/>
  <c r="D105" i="116"/>
  <c r="C105" i="116"/>
  <c r="O104" i="116"/>
  <c r="N104" i="116"/>
  <c r="M104" i="116"/>
  <c r="L104" i="116"/>
  <c r="K104" i="116"/>
  <c r="J104" i="116"/>
  <c r="I104" i="116"/>
  <c r="H104" i="116"/>
  <c r="G104" i="116"/>
  <c r="F104" i="116"/>
  <c r="E104" i="116"/>
  <c r="D104" i="116"/>
  <c r="C104" i="116"/>
  <c r="O103" i="116"/>
  <c r="N103" i="116"/>
  <c r="M103" i="116"/>
  <c r="L103" i="116"/>
  <c r="K103" i="116"/>
  <c r="J103" i="116"/>
  <c r="I103" i="116"/>
  <c r="H103" i="116"/>
  <c r="G103" i="116"/>
  <c r="F103" i="116"/>
  <c r="E103" i="116"/>
  <c r="D103" i="116"/>
  <c r="C103" i="116"/>
  <c r="O102" i="116"/>
  <c r="N102" i="116"/>
  <c r="M102" i="116"/>
  <c r="L102" i="116"/>
  <c r="K102" i="116"/>
  <c r="J102" i="116"/>
  <c r="I102" i="116"/>
  <c r="H102" i="116"/>
  <c r="G102" i="116"/>
  <c r="F102" i="116"/>
  <c r="E102" i="116"/>
  <c r="D102" i="116"/>
  <c r="C102" i="116"/>
  <c r="O99" i="116"/>
  <c r="N99" i="116"/>
  <c r="M99" i="116"/>
  <c r="L99" i="116"/>
  <c r="K99" i="116"/>
  <c r="J99" i="116"/>
  <c r="I99" i="116"/>
  <c r="H99" i="116"/>
  <c r="G99" i="116"/>
  <c r="F99" i="116"/>
  <c r="E99" i="116"/>
  <c r="D99" i="116"/>
  <c r="C99" i="116"/>
  <c r="O98" i="116"/>
  <c r="N98" i="116"/>
  <c r="M98" i="116"/>
  <c r="L98" i="116"/>
  <c r="K98" i="116"/>
  <c r="J98" i="116"/>
  <c r="I98" i="116"/>
  <c r="H98" i="116"/>
  <c r="G98" i="116"/>
  <c r="F98" i="116"/>
  <c r="E98" i="116"/>
  <c r="D98" i="116"/>
  <c r="C98" i="116"/>
  <c r="O97" i="116"/>
  <c r="N97" i="116"/>
  <c r="M97" i="116"/>
  <c r="L97" i="116"/>
  <c r="K97" i="116"/>
  <c r="J97" i="116"/>
  <c r="I97" i="116"/>
  <c r="H97" i="116"/>
  <c r="G97" i="116"/>
  <c r="F97" i="116"/>
  <c r="E97" i="116"/>
  <c r="D97" i="116"/>
  <c r="C97" i="116"/>
  <c r="O96" i="116"/>
  <c r="N96" i="116"/>
  <c r="M96" i="116"/>
  <c r="L96" i="116"/>
  <c r="K96" i="116"/>
  <c r="J96" i="116"/>
  <c r="I96" i="116"/>
  <c r="H96" i="116"/>
  <c r="G96" i="116"/>
  <c r="F96" i="116"/>
  <c r="E96" i="116"/>
  <c r="D96" i="116"/>
  <c r="C96" i="116"/>
  <c r="O95" i="116"/>
  <c r="N95" i="116"/>
  <c r="M95" i="116"/>
  <c r="L95" i="116"/>
  <c r="K95" i="116"/>
  <c r="J95" i="116"/>
  <c r="I95" i="116"/>
  <c r="H95" i="116"/>
  <c r="G95" i="116"/>
  <c r="F95" i="116"/>
  <c r="E95" i="116"/>
  <c r="D95" i="116"/>
  <c r="C95" i="116"/>
  <c r="O92" i="116"/>
  <c r="N92" i="116"/>
  <c r="M92" i="116"/>
  <c r="L92" i="116"/>
  <c r="K92" i="116"/>
  <c r="J92" i="116"/>
  <c r="I92" i="116"/>
  <c r="H92" i="116"/>
  <c r="G92" i="116"/>
  <c r="F92" i="116"/>
  <c r="E92" i="116"/>
  <c r="D92" i="116"/>
  <c r="C92" i="116"/>
  <c r="O91" i="116"/>
  <c r="N91" i="116"/>
  <c r="M91" i="116"/>
  <c r="L91" i="116"/>
  <c r="K91" i="116"/>
  <c r="J91" i="116"/>
  <c r="I91" i="116"/>
  <c r="H91" i="116"/>
  <c r="G91" i="116"/>
  <c r="F91" i="116"/>
  <c r="E91" i="116"/>
  <c r="D91" i="116"/>
  <c r="C91" i="116"/>
  <c r="O90" i="116"/>
  <c r="N90" i="116"/>
  <c r="M90" i="116"/>
  <c r="L90" i="116"/>
  <c r="K90" i="116"/>
  <c r="J90" i="116"/>
  <c r="I90" i="116"/>
  <c r="H90" i="116"/>
  <c r="G90" i="116"/>
  <c r="F90" i="116"/>
  <c r="E90" i="116"/>
  <c r="D90" i="116"/>
  <c r="C90" i="116"/>
  <c r="O89" i="116"/>
  <c r="N89" i="116"/>
  <c r="M89" i="116"/>
  <c r="L89" i="116"/>
  <c r="K89" i="116"/>
  <c r="J89" i="116"/>
  <c r="I89" i="116"/>
  <c r="H89" i="116"/>
  <c r="G89" i="116"/>
  <c r="F89" i="116"/>
  <c r="E89" i="116"/>
  <c r="D89" i="116"/>
  <c r="C89" i="116"/>
  <c r="O88" i="116"/>
  <c r="N88" i="116"/>
  <c r="M88" i="116"/>
  <c r="L88" i="116"/>
  <c r="K88" i="116"/>
  <c r="J88" i="116"/>
  <c r="I88" i="116"/>
  <c r="H88" i="116"/>
  <c r="G88" i="116"/>
  <c r="F88" i="116"/>
  <c r="E88" i="116"/>
  <c r="D88" i="116"/>
  <c r="C88" i="116"/>
  <c r="O87" i="116"/>
  <c r="N87" i="116"/>
  <c r="M87" i="116"/>
  <c r="L87" i="116"/>
  <c r="K87" i="116"/>
  <c r="J87" i="116"/>
  <c r="I87" i="116"/>
  <c r="H87" i="116"/>
  <c r="G87" i="116"/>
  <c r="F87" i="116"/>
  <c r="E87" i="116"/>
  <c r="D87" i="116"/>
  <c r="C87" i="116"/>
  <c r="O86" i="116"/>
  <c r="N86" i="116"/>
  <c r="M86" i="116"/>
  <c r="L86" i="116"/>
  <c r="K86" i="116"/>
  <c r="J86" i="116"/>
  <c r="I86" i="116"/>
  <c r="H86" i="116"/>
  <c r="G86" i="116"/>
  <c r="F86" i="116"/>
  <c r="E86" i="116"/>
  <c r="D86" i="116"/>
  <c r="C86" i="116"/>
  <c r="O85" i="116"/>
  <c r="N85" i="116"/>
  <c r="M85" i="116"/>
  <c r="L85" i="116"/>
  <c r="K85" i="116"/>
  <c r="J85" i="116"/>
  <c r="I85" i="116"/>
  <c r="H85" i="116"/>
  <c r="G85" i="116"/>
  <c r="F85" i="116"/>
  <c r="E85" i="116"/>
  <c r="D85" i="116"/>
  <c r="C85" i="116"/>
  <c r="O84" i="116"/>
  <c r="N84" i="116"/>
  <c r="M84" i="116"/>
  <c r="L84" i="116"/>
  <c r="K84" i="116"/>
  <c r="J84" i="116"/>
  <c r="I84" i="116"/>
  <c r="H84" i="116"/>
  <c r="G84" i="116"/>
  <c r="F84" i="116"/>
  <c r="E84" i="116"/>
  <c r="D84" i="116"/>
  <c r="C84" i="116"/>
  <c r="O81" i="116"/>
  <c r="N81" i="116"/>
  <c r="M81" i="116"/>
  <c r="L81" i="116"/>
  <c r="K81" i="116"/>
  <c r="J81" i="116"/>
  <c r="I81" i="116"/>
  <c r="H81" i="116"/>
  <c r="G81" i="116"/>
  <c r="F81" i="116"/>
  <c r="E81" i="116"/>
  <c r="D81" i="116"/>
  <c r="C81" i="116"/>
  <c r="O80" i="116"/>
  <c r="N80" i="116"/>
  <c r="M80" i="116"/>
  <c r="L80" i="116"/>
  <c r="K80" i="116"/>
  <c r="J80" i="116"/>
  <c r="I80" i="116"/>
  <c r="H80" i="116"/>
  <c r="G80" i="116"/>
  <c r="F80" i="116"/>
  <c r="E80" i="116"/>
  <c r="D80" i="116"/>
  <c r="C80" i="116"/>
  <c r="O79" i="116"/>
  <c r="N79" i="116"/>
  <c r="M79" i="116"/>
  <c r="L79" i="116"/>
  <c r="K79" i="116"/>
  <c r="J79" i="116"/>
  <c r="I79" i="116"/>
  <c r="H79" i="116"/>
  <c r="G79" i="116"/>
  <c r="F79" i="116"/>
  <c r="E79" i="116"/>
  <c r="D79" i="116"/>
  <c r="C79" i="116"/>
  <c r="O76" i="116"/>
  <c r="N76" i="116"/>
  <c r="M76" i="116"/>
  <c r="L76" i="116"/>
  <c r="K76" i="116"/>
  <c r="J76" i="116"/>
  <c r="I76" i="116"/>
  <c r="H76" i="116"/>
  <c r="G76" i="116"/>
  <c r="F76" i="116"/>
  <c r="E76" i="116"/>
  <c r="D76" i="116"/>
  <c r="C76" i="116"/>
  <c r="O75" i="116"/>
  <c r="N75" i="116"/>
  <c r="M75" i="116"/>
  <c r="L75" i="116"/>
  <c r="K75" i="116"/>
  <c r="J75" i="116"/>
  <c r="I75" i="116"/>
  <c r="H75" i="116"/>
  <c r="G75" i="116"/>
  <c r="F75" i="116"/>
  <c r="E75" i="116"/>
  <c r="D75" i="116"/>
  <c r="C75" i="116"/>
  <c r="O74" i="116"/>
  <c r="N74" i="116"/>
  <c r="M74" i="116"/>
  <c r="L74" i="116"/>
  <c r="K74" i="116"/>
  <c r="J74" i="116"/>
  <c r="I74" i="116"/>
  <c r="H74" i="116"/>
  <c r="G74" i="116"/>
  <c r="F74" i="116"/>
  <c r="E74" i="116"/>
  <c r="D74" i="116"/>
  <c r="C74" i="116"/>
  <c r="O71" i="116"/>
  <c r="N71" i="116"/>
  <c r="M71" i="116"/>
  <c r="L71" i="116"/>
  <c r="K71" i="116"/>
  <c r="J71" i="116"/>
  <c r="I71" i="116"/>
  <c r="H71" i="116"/>
  <c r="G71" i="116"/>
  <c r="F71" i="116"/>
  <c r="E71" i="116"/>
  <c r="D71" i="116"/>
  <c r="C71" i="116"/>
  <c r="O70" i="116"/>
  <c r="N70" i="116"/>
  <c r="M70" i="116"/>
  <c r="L70" i="116"/>
  <c r="K70" i="116"/>
  <c r="J70" i="116"/>
  <c r="I70" i="116"/>
  <c r="H70" i="116"/>
  <c r="G70" i="116"/>
  <c r="F70" i="116"/>
  <c r="E70" i="116"/>
  <c r="D70" i="116"/>
  <c r="C70" i="116"/>
  <c r="O69" i="116"/>
  <c r="N69" i="116"/>
  <c r="M69" i="116"/>
  <c r="L69" i="116"/>
  <c r="K69" i="116"/>
  <c r="J69" i="116"/>
  <c r="I69" i="116"/>
  <c r="H69" i="116"/>
  <c r="G69" i="116"/>
  <c r="F69" i="116"/>
  <c r="E69" i="116"/>
  <c r="D69" i="116"/>
  <c r="C69" i="116"/>
  <c r="O68" i="116"/>
  <c r="N68" i="116"/>
  <c r="M68" i="116"/>
  <c r="L68" i="116"/>
  <c r="K68" i="116"/>
  <c r="J68" i="116"/>
  <c r="I68" i="116"/>
  <c r="H68" i="116"/>
  <c r="G68" i="116"/>
  <c r="F68" i="116"/>
  <c r="E68" i="116"/>
  <c r="D68" i="116"/>
  <c r="C68" i="116"/>
  <c r="O67" i="116"/>
  <c r="N67" i="116"/>
  <c r="M67" i="116"/>
  <c r="L67" i="116"/>
  <c r="K67" i="116"/>
  <c r="J67" i="116"/>
  <c r="I67" i="116"/>
  <c r="H67" i="116"/>
  <c r="G67" i="116"/>
  <c r="F67" i="116"/>
  <c r="E67" i="116"/>
  <c r="D67" i="116"/>
  <c r="C67" i="116"/>
  <c r="O66" i="116"/>
  <c r="N66" i="116"/>
  <c r="M66" i="116"/>
  <c r="L66" i="116"/>
  <c r="K66" i="116"/>
  <c r="J66" i="116"/>
  <c r="I66" i="116"/>
  <c r="H66" i="116"/>
  <c r="G66" i="116"/>
  <c r="F66" i="116"/>
  <c r="E66" i="116"/>
  <c r="D66" i="116"/>
  <c r="C66" i="116"/>
  <c r="O63" i="116"/>
  <c r="N63" i="116"/>
  <c r="M63" i="116"/>
  <c r="L63" i="116"/>
  <c r="K63" i="116"/>
  <c r="J63" i="116"/>
  <c r="I63" i="116"/>
  <c r="H63" i="116"/>
  <c r="G63" i="116"/>
  <c r="F63" i="116"/>
  <c r="E63" i="116"/>
  <c r="D63" i="116"/>
  <c r="C63" i="116"/>
  <c r="O62" i="116"/>
  <c r="N62" i="116"/>
  <c r="M62" i="116"/>
  <c r="L62" i="116"/>
  <c r="K62" i="116"/>
  <c r="J62" i="116"/>
  <c r="I62" i="116"/>
  <c r="H62" i="116"/>
  <c r="G62" i="116"/>
  <c r="F62" i="116"/>
  <c r="E62" i="116"/>
  <c r="D62" i="116"/>
  <c r="C62" i="116"/>
  <c r="O59" i="116"/>
  <c r="N59" i="116"/>
  <c r="M59" i="116"/>
  <c r="L59" i="116"/>
  <c r="K59" i="116"/>
  <c r="J59" i="116"/>
  <c r="I59" i="116"/>
  <c r="H59" i="116"/>
  <c r="G59" i="116"/>
  <c r="F59" i="116"/>
  <c r="E59" i="116"/>
  <c r="D59" i="116"/>
  <c r="C59" i="116"/>
  <c r="O58" i="116"/>
  <c r="N58" i="116"/>
  <c r="M58" i="116"/>
  <c r="L58" i="116"/>
  <c r="K58" i="116"/>
  <c r="J58" i="116"/>
  <c r="I58" i="116"/>
  <c r="H58" i="116"/>
  <c r="G58" i="116"/>
  <c r="F58" i="116"/>
  <c r="E58" i="116"/>
  <c r="D58" i="116"/>
  <c r="C58" i="116"/>
  <c r="O55" i="116"/>
  <c r="N55" i="116"/>
  <c r="M55" i="116"/>
  <c r="L55" i="116"/>
  <c r="K55" i="116"/>
  <c r="J55" i="116"/>
  <c r="I55" i="116"/>
  <c r="H55" i="116"/>
  <c r="G55" i="116"/>
  <c r="F55" i="116"/>
  <c r="E55" i="116"/>
  <c r="D55" i="116"/>
  <c r="C55" i="116"/>
  <c r="O54" i="116"/>
  <c r="N54" i="116"/>
  <c r="M54" i="116"/>
  <c r="L54" i="116"/>
  <c r="K54" i="116"/>
  <c r="J54" i="116"/>
  <c r="I54" i="116"/>
  <c r="H54" i="116"/>
  <c r="G54" i="116"/>
  <c r="F54" i="116"/>
  <c r="E54" i="116"/>
  <c r="D54" i="116"/>
  <c r="C54" i="116"/>
  <c r="O53" i="116"/>
  <c r="N53" i="116"/>
  <c r="M53" i="116"/>
  <c r="L53" i="116"/>
  <c r="K53" i="116"/>
  <c r="J53" i="116"/>
  <c r="I53" i="116"/>
  <c r="H53" i="116"/>
  <c r="G53" i="116"/>
  <c r="F53" i="116"/>
  <c r="E53" i="116"/>
  <c r="D53" i="116"/>
  <c r="C53" i="116"/>
  <c r="O50" i="116"/>
  <c r="N50" i="116"/>
  <c r="M50" i="116"/>
  <c r="L50" i="116"/>
  <c r="K50" i="116"/>
  <c r="J50" i="116"/>
  <c r="I50" i="116"/>
  <c r="H50" i="116"/>
  <c r="G50" i="116"/>
  <c r="F50" i="116"/>
  <c r="E50" i="116"/>
  <c r="D50" i="116"/>
  <c r="C50" i="116"/>
  <c r="O49" i="116"/>
  <c r="N49" i="116"/>
  <c r="M49" i="116"/>
  <c r="L49" i="116"/>
  <c r="K49" i="116"/>
  <c r="J49" i="116"/>
  <c r="I49" i="116"/>
  <c r="H49" i="116"/>
  <c r="G49" i="116"/>
  <c r="F49" i="116"/>
  <c r="E49" i="116"/>
  <c r="D49" i="116"/>
  <c r="C49" i="116"/>
  <c r="O48" i="116"/>
  <c r="N48" i="116"/>
  <c r="M48" i="116"/>
  <c r="L48" i="116"/>
  <c r="K48" i="116"/>
  <c r="J48" i="116"/>
  <c r="I48" i="116"/>
  <c r="H48" i="116"/>
  <c r="G48" i="116"/>
  <c r="F48" i="116"/>
  <c r="E48" i="116"/>
  <c r="D48" i="116"/>
  <c r="C48" i="116"/>
  <c r="O47" i="116"/>
  <c r="N47" i="116"/>
  <c r="M47" i="116"/>
  <c r="L47" i="116"/>
  <c r="K47" i="116"/>
  <c r="J47" i="116"/>
  <c r="I47" i="116"/>
  <c r="H47" i="116"/>
  <c r="G47" i="116"/>
  <c r="F47" i="116"/>
  <c r="E47" i="116"/>
  <c r="D47" i="116"/>
  <c r="C47" i="116"/>
  <c r="O44" i="116"/>
  <c r="N44" i="116"/>
  <c r="M44" i="116"/>
  <c r="L44" i="116"/>
  <c r="K44" i="116"/>
  <c r="J44" i="116"/>
  <c r="I44" i="116"/>
  <c r="H44" i="116"/>
  <c r="G44" i="116"/>
  <c r="F44" i="116"/>
  <c r="E44" i="116"/>
  <c r="D44" i="116"/>
  <c r="C44" i="116"/>
  <c r="O43" i="116"/>
  <c r="N43" i="116"/>
  <c r="M43" i="116"/>
  <c r="L43" i="116"/>
  <c r="K43" i="116"/>
  <c r="J43" i="116"/>
  <c r="I43" i="116"/>
  <c r="H43" i="116"/>
  <c r="G43" i="116"/>
  <c r="F43" i="116"/>
  <c r="E43" i="116"/>
  <c r="D43" i="116"/>
  <c r="C43" i="116"/>
  <c r="O42" i="116"/>
  <c r="N42" i="116"/>
  <c r="M42" i="116"/>
  <c r="L42" i="116"/>
  <c r="K42" i="116"/>
  <c r="J42" i="116"/>
  <c r="I42" i="116"/>
  <c r="H42" i="116"/>
  <c r="G42" i="116"/>
  <c r="F42" i="116"/>
  <c r="E42" i="116"/>
  <c r="D42" i="116"/>
  <c r="C42" i="116"/>
  <c r="O41" i="116"/>
  <c r="N41" i="116"/>
  <c r="M41" i="116"/>
  <c r="L41" i="116"/>
  <c r="K41" i="116"/>
  <c r="J41" i="116"/>
  <c r="I41" i="116"/>
  <c r="H41" i="116"/>
  <c r="G41" i="116"/>
  <c r="F41" i="116"/>
  <c r="E41" i="116"/>
  <c r="D41" i="116"/>
  <c r="C41" i="116"/>
  <c r="O40" i="116"/>
  <c r="N40" i="116"/>
  <c r="M40" i="116"/>
  <c r="L40" i="116"/>
  <c r="K40" i="116"/>
  <c r="J40" i="116"/>
  <c r="I40" i="116"/>
  <c r="H40" i="116"/>
  <c r="G40" i="116"/>
  <c r="F40" i="116"/>
  <c r="E40" i="116"/>
  <c r="D40" i="116"/>
  <c r="C40" i="116"/>
  <c r="O39" i="116"/>
  <c r="N39" i="116"/>
  <c r="M39" i="116"/>
  <c r="L39" i="116"/>
  <c r="K39" i="116"/>
  <c r="J39" i="116"/>
  <c r="I39" i="116"/>
  <c r="H39" i="116"/>
  <c r="G39" i="116"/>
  <c r="F39" i="116"/>
  <c r="E39" i="116"/>
  <c r="D39" i="116"/>
  <c r="C39" i="116"/>
  <c r="O38" i="116"/>
  <c r="N38" i="116"/>
  <c r="M38" i="116"/>
  <c r="L38" i="116"/>
  <c r="K38" i="116"/>
  <c r="J38" i="116"/>
  <c r="I38" i="116"/>
  <c r="H38" i="116"/>
  <c r="G38" i="116"/>
  <c r="F38" i="116"/>
  <c r="E38" i="116"/>
  <c r="D38" i="116"/>
  <c r="C38" i="116"/>
  <c r="O37" i="116"/>
  <c r="N37" i="116"/>
  <c r="M37" i="116"/>
  <c r="L37" i="116"/>
  <c r="K37" i="116"/>
  <c r="J37" i="116"/>
  <c r="I37" i="116"/>
  <c r="H37" i="116"/>
  <c r="G37" i="116"/>
  <c r="F37" i="116"/>
  <c r="E37" i="116"/>
  <c r="D37" i="116"/>
  <c r="C37" i="116"/>
  <c r="O34" i="116"/>
  <c r="N34" i="116"/>
  <c r="M34" i="116"/>
  <c r="L34" i="116"/>
  <c r="K34" i="116"/>
  <c r="J34" i="116"/>
  <c r="I34" i="116"/>
  <c r="H34" i="116"/>
  <c r="G34" i="116"/>
  <c r="F34" i="116"/>
  <c r="E34" i="116"/>
  <c r="D34" i="116"/>
  <c r="C34" i="116"/>
  <c r="O33" i="116"/>
  <c r="N33" i="116"/>
  <c r="M33" i="116"/>
  <c r="L33" i="116"/>
  <c r="K33" i="116"/>
  <c r="J33" i="116"/>
  <c r="I33" i="116"/>
  <c r="H33" i="116"/>
  <c r="G33" i="116"/>
  <c r="F33" i="116"/>
  <c r="E33" i="116"/>
  <c r="D33" i="116"/>
  <c r="C33" i="116"/>
  <c r="O32" i="116"/>
  <c r="N32" i="116"/>
  <c r="M32" i="116"/>
  <c r="L32" i="116"/>
  <c r="K32" i="116"/>
  <c r="J32" i="116"/>
  <c r="I32" i="116"/>
  <c r="H32" i="116"/>
  <c r="G32" i="116"/>
  <c r="F32" i="116"/>
  <c r="E32" i="116"/>
  <c r="D32" i="116"/>
  <c r="C32" i="116"/>
  <c r="O31" i="116"/>
  <c r="N31" i="116"/>
  <c r="M31" i="116"/>
  <c r="L31" i="116"/>
  <c r="K31" i="116"/>
  <c r="J31" i="116"/>
  <c r="I31" i="116"/>
  <c r="H31" i="116"/>
  <c r="G31" i="116"/>
  <c r="F31" i="116"/>
  <c r="E31" i="116"/>
  <c r="D31" i="116"/>
  <c r="C31" i="116"/>
  <c r="O30" i="116"/>
  <c r="N30" i="116"/>
  <c r="M30" i="116"/>
  <c r="L30" i="116"/>
  <c r="K30" i="116"/>
  <c r="J30" i="116"/>
  <c r="I30" i="116"/>
  <c r="H30" i="116"/>
  <c r="G30" i="116"/>
  <c r="F30" i="116"/>
  <c r="E30" i="116"/>
  <c r="D30" i="116"/>
  <c r="C30" i="116"/>
  <c r="O29" i="116"/>
  <c r="N29" i="116"/>
  <c r="M29" i="116"/>
  <c r="L29" i="116"/>
  <c r="K29" i="116"/>
  <c r="J29" i="116"/>
  <c r="I29" i="116"/>
  <c r="H29" i="116"/>
  <c r="G29" i="116"/>
  <c r="F29" i="116"/>
  <c r="E29" i="116"/>
  <c r="D29" i="116"/>
  <c r="C29" i="116"/>
  <c r="O28" i="116"/>
  <c r="N28" i="116"/>
  <c r="M28" i="116"/>
  <c r="L28" i="116"/>
  <c r="K28" i="116"/>
  <c r="J28" i="116"/>
  <c r="I28" i="116"/>
  <c r="H28" i="116"/>
  <c r="G28" i="116"/>
  <c r="F28" i="116"/>
  <c r="E28" i="116"/>
  <c r="D28" i="116"/>
  <c r="C28" i="116"/>
  <c r="O25" i="116"/>
  <c r="N25" i="116"/>
  <c r="M25" i="116"/>
  <c r="L25" i="116"/>
  <c r="K25" i="116"/>
  <c r="J25" i="116"/>
  <c r="I25" i="116"/>
  <c r="H25" i="116"/>
  <c r="G25" i="116"/>
  <c r="F25" i="116"/>
  <c r="E25" i="116"/>
  <c r="D25" i="116"/>
  <c r="C25" i="116"/>
  <c r="O24" i="116"/>
  <c r="N24" i="116"/>
  <c r="M24" i="116"/>
  <c r="L24" i="116"/>
  <c r="K24" i="116"/>
  <c r="J24" i="116"/>
  <c r="I24" i="116"/>
  <c r="H24" i="116"/>
  <c r="G24" i="116"/>
  <c r="F24" i="116"/>
  <c r="E24" i="116"/>
  <c r="D24" i="116"/>
  <c r="C24" i="116"/>
  <c r="O23" i="116"/>
  <c r="N23" i="116"/>
  <c r="M23" i="116"/>
  <c r="L23" i="116"/>
  <c r="K23" i="116"/>
  <c r="J23" i="116"/>
  <c r="I23" i="116"/>
  <c r="H23" i="116"/>
  <c r="G23" i="116"/>
  <c r="F23" i="116"/>
  <c r="E23" i="116"/>
  <c r="D23" i="116"/>
  <c r="C23" i="116"/>
  <c r="O22" i="116"/>
  <c r="N22" i="116"/>
  <c r="M22" i="116"/>
  <c r="L22" i="116"/>
  <c r="K22" i="116"/>
  <c r="J22" i="116"/>
  <c r="I22" i="116"/>
  <c r="H22" i="116"/>
  <c r="G22" i="116"/>
  <c r="F22" i="116"/>
  <c r="E22" i="116"/>
  <c r="D22" i="116"/>
  <c r="C22" i="116"/>
  <c r="O21" i="116"/>
  <c r="N21" i="116"/>
  <c r="M21" i="116"/>
  <c r="L21" i="116"/>
  <c r="K21" i="116"/>
  <c r="J21" i="116"/>
  <c r="I21" i="116"/>
  <c r="H21" i="116"/>
  <c r="G21" i="116"/>
  <c r="F21" i="116"/>
  <c r="E21" i="116"/>
  <c r="D21" i="116"/>
  <c r="C21" i="116"/>
  <c r="O20" i="116"/>
  <c r="N20" i="116"/>
  <c r="M20" i="116"/>
  <c r="L20" i="116"/>
  <c r="K20" i="116"/>
  <c r="J20" i="116"/>
  <c r="I20" i="116"/>
  <c r="H20" i="116"/>
  <c r="G20" i="116"/>
  <c r="F20" i="116"/>
  <c r="E20" i="116"/>
  <c r="D20" i="116"/>
  <c r="C20" i="116"/>
  <c r="O19" i="116"/>
  <c r="N19" i="116"/>
  <c r="M19" i="116"/>
  <c r="L19" i="116"/>
  <c r="K19" i="116"/>
  <c r="J19" i="116"/>
  <c r="I19" i="116"/>
  <c r="H19" i="116"/>
  <c r="G19" i="116"/>
  <c r="F19" i="116"/>
  <c r="E19" i="116"/>
  <c r="D19" i="116"/>
  <c r="C19" i="116"/>
  <c r="O18" i="116"/>
  <c r="N18" i="116"/>
  <c r="M18" i="116"/>
  <c r="L18" i="116"/>
  <c r="K18" i="116"/>
  <c r="J18" i="116"/>
  <c r="I18" i="116"/>
  <c r="H18" i="116"/>
  <c r="G18" i="116"/>
  <c r="F18" i="116"/>
  <c r="E18" i="116"/>
  <c r="D18" i="116"/>
  <c r="C18" i="116"/>
  <c r="O17" i="116"/>
  <c r="N17" i="116"/>
  <c r="M17" i="116"/>
  <c r="L17" i="116"/>
  <c r="K17" i="116"/>
  <c r="J17" i="116"/>
  <c r="I17" i="116"/>
  <c r="H17" i="116"/>
  <c r="G17" i="116"/>
  <c r="F17" i="116"/>
  <c r="E17" i="116"/>
  <c r="D17" i="116"/>
  <c r="C17" i="116"/>
  <c r="O16" i="116"/>
  <c r="N16" i="116"/>
  <c r="M16" i="116"/>
  <c r="L16" i="116"/>
  <c r="K16" i="116"/>
  <c r="J16" i="116"/>
  <c r="I16" i="116"/>
  <c r="H16" i="116"/>
  <c r="G16" i="116"/>
  <c r="F16" i="116"/>
  <c r="E16" i="116"/>
  <c r="D16" i="116"/>
  <c r="C16" i="116"/>
  <c r="O15" i="116"/>
  <c r="N15" i="116"/>
  <c r="M15" i="116"/>
  <c r="L15" i="116"/>
  <c r="K15" i="116"/>
  <c r="J15" i="116"/>
  <c r="I15" i="116"/>
  <c r="H15" i="116"/>
  <c r="G15" i="116"/>
  <c r="F15" i="116"/>
  <c r="E15" i="116"/>
  <c r="D15" i="116"/>
  <c r="C15" i="116"/>
  <c r="O12" i="116"/>
  <c r="N12" i="116"/>
  <c r="M12" i="116"/>
  <c r="L12" i="116"/>
  <c r="K12" i="116"/>
  <c r="J12" i="116"/>
  <c r="I12" i="116"/>
  <c r="H12" i="116"/>
  <c r="G12" i="116"/>
  <c r="F12" i="116"/>
  <c r="E12" i="116"/>
  <c r="D12" i="116"/>
  <c r="C12" i="116"/>
  <c r="O11" i="116"/>
  <c r="N11" i="116"/>
  <c r="M11" i="116"/>
  <c r="L11" i="116"/>
  <c r="K11" i="116"/>
  <c r="J11" i="116"/>
  <c r="I11" i="116"/>
  <c r="H11" i="116"/>
  <c r="G11" i="116"/>
  <c r="F11" i="116"/>
  <c r="E11" i="116"/>
  <c r="D11" i="116"/>
  <c r="C11" i="116"/>
  <c r="O10" i="116"/>
  <c r="N10" i="116"/>
  <c r="M10" i="116"/>
  <c r="L10" i="116"/>
  <c r="K10" i="116"/>
  <c r="J10" i="116"/>
  <c r="I10" i="116"/>
  <c r="H10" i="116"/>
  <c r="G10" i="116"/>
  <c r="F10" i="116"/>
  <c r="E10" i="116"/>
  <c r="D10" i="116"/>
  <c r="C10" i="116"/>
  <c r="O9" i="116"/>
  <c r="N9" i="116"/>
  <c r="M9" i="116"/>
  <c r="L9" i="116"/>
  <c r="K9" i="116"/>
  <c r="J9" i="116"/>
  <c r="I9" i="116"/>
  <c r="H9" i="116"/>
  <c r="G9" i="116"/>
  <c r="F9" i="116"/>
  <c r="E9" i="116"/>
  <c r="D9" i="116"/>
  <c r="C9" i="116"/>
  <c r="O4" i="115"/>
  <c r="O5" i="115"/>
  <c r="O6" i="115"/>
  <c r="O68" i="115"/>
  <c r="N4" i="115"/>
  <c r="N5" i="115"/>
  <c r="N6" i="115"/>
  <c r="N68" i="115"/>
  <c r="M4" i="115"/>
  <c r="M5" i="115"/>
  <c r="M6" i="115"/>
  <c r="M68" i="115"/>
  <c r="L4" i="115"/>
  <c r="L5" i="115"/>
  <c r="L6" i="115"/>
  <c r="L68" i="115"/>
  <c r="K4" i="115"/>
  <c r="K5" i="115"/>
  <c r="K6" i="115"/>
  <c r="K68" i="115"/>
  <c r="J4" i="115"/>
  <c r="J5" i="115"/>
  <c r="J6" i="115"/>
  <c r="J68" i="115"/>
  <c r="I4" i="115"/>
  <c r="I5" i="115"/>
  <c r="I6" i="115"/>
  <c r="I68" i="115"/>
  <c r="H4" i="115"/>
  <c r="H5" i="115"/>
  <c r="H6" i="115"/>
  <c r="H68" i="115"/>
  <c r="G4" i="115"/>
  <c r="G5" i="115"/>
  <c r="G6" i="115"/>
  <c r="G68" i="115"/>
  <c r="F4" i="115"/>
  <c r="F5" i="115"/>
  <c r="F6" i="115"/>
  <c r="F68" i="115"/>
  <c r="E4" i="115"/>
  <c r="E5" i="115"/>
  <c r="E6" i="115"/>
  <c r="E68" i="115"/>
  <c r="D4" i="115"/>
  <c r="D5" i="115"/>
  <c r="D6" i="115"/>
  <c r="D68" i="115"/>
  <c r="C4" i="115"/>
  <c r="C5" i="115"/>
  <c r="C6" i="115"/>
  <c r="C68" i="115"/>
  <c r="O67" i="115"/>
  <c r="N67" i="115"/>
  <c r="M67" i="115"/>
  <c r="L67" i="115"/>
  <c r="K67" i="115"/>
  <c r="J67" i="115"/>
  <c r="I67" i="115"/>
  <c r="H67" i="115"/>
  <c r="G67" i="115"/>
  <c r="F67" i="115"/>
  <c r="E67" i="115"/>
  <c r="D67" i="115"/>
  <c r="C67" i="115"/>
  <c r="O66" i="115"/>
  <c r="N66" i="115"/>
  <c r="M66" i="115"/>
  <c r="L66" i="115"/>
  <c r="K66" i="115"/>
  <c r="J66" i="115"/>
  <c r="I66" i="115"/>
  <c r="H66" i="115"/>
  <c r="G66" i="115"/>
  <c r="F66" i="115"/>
  <c r="E66" i="115"/>
  <c r="D66" i="115"/>
  <c r="C66" i="115"/>
  <c r="O65" i="115"/>
  <c r="N65" i="115"/>
  <c r="M65" i="115"/>
  <c r="L65" i="115"/>
  <c r="K65" i="115"/>
  <c r="J65" i="115"/>
  <c r="I65" i="115"/>
  <c r="H65" i="115"/>
  <c r="G65" i="115"/>
  <c r="F65" i="115"/>
  <c r="E65" i="115"/>
  <c r="D65" i="115"/>
  <c r="C65" i="115"/>
  <c r="O64" i="115"/>
  <c r="N64" i="115"/>
  <c r="M64" i="115"/>
  <c r="L64" i="115"/>
  <c r="K64" i="115"/>
  <c r="J64" i="115"/>
  <c r="I64" i="115"/>
  <c r="H64" i="115"/>
  <c r="G64" i="115"/>
  <c r="F64" i="115"/>
  <c r="E64" i="115"/>
  <c r="D64" i="115"/>
  <c r="C64" i="115"/>
  <c r="O63" i="115"/>
  <c r="N63" i="115"/>
  <c r="M63" i="115"/>
  <c r="L63" i="115"/>
  <c r="K63" i="115"/>
  <c r="J63" i="115"/>
  <c r="I63" i="115"/>
  <c r="H63" i="115"/>
  <c r="G63" i="115"/>
  <c r="F63" i="115"/>
  <c r="E63" i="115"/>
  <c r="D63" i="115"/>
  <c r="C63" i="115"/>
  <c r="O62" i="115"/>
  <c r="N62" i="115"/>
  <c r="M62" i="115"/>
  <c r="L62" i="115"/>
  <c r="K62" i="115"/>
  <c r="J62" i="115"/>
  <c r="I62" i="115"/>
  <c r="H62" i="115"/>
  <c r="G62" i="115"/>
  <c r="F62" i="115"/>
  <c r="E62" i="115"/>
  <c r="D62" i="115"/>
  <c r="C62" i="115"/>
  <c r="O61" i="115"/>
  <c r="N61" i="115"/>
  <c r="M61" i="115"/>
  <c r="L61" i="115"/>
  <c r="K61" i="115"/>
  <c r="J61" i="115"/>
  <c r="I61" i="115"/>
  <c r="H61" i="115"/>
  <c r="G61" i="115"/>
  <c r="F61" i="115"/>
  <c r="E61" i="115"/>
  <c r="D61" i="115"/>
  <c r="C61" i="115"/>
  <c r="O60" i="115"/>
  <c r="N60" i="115"/>
  <c r="M60" i="115"/>
  <c r="L60" i="115"/>
  <c r="K60" i="115"/>
  <c r="J60" i="115"/>
  <c r="I60" i="115"/>
  <c r="H60" i="115"/>
  <c r="G60" i="115"/>
  <c r="F60" i="115"/>
  <c r="E60" i="115"/>
  <c r="D60" i="115"/>
  <c r="C60" i="115"/>
  <c r="O59" i="115"/>
  <c r="N59" i="115"/>
  <c r="M59" i="115"/>
  <c r="L59" i="115"/>
  <c r="K59" i="115"/>
  <c r="J59" i="115"/>
  <c r="I59" i="115"/>
  <c r="H59" i="115"/>
  <c r="G59" i="115"/>
  <c r="F59" i="115"/>
  <c r="E59" i="115"/>
  <c r="D59" i="115"/>
  <c r="C59" i="115"/>
  <c r="O58" i="115"/>
  <c r="N58" i="115"/>
  <c r="M58" i="115"/>
  <c r="L58" i="115"/>
  <c r="K58" i="115"/>
  <c r="J58" i="115"/>
  <c r="I58" i="115"/>
  <c r="H58" i="115"/>
  <c r="G58" i="115"/>
  <c r="F58" i="115"/>
  <c r="E58" i="115"/>
  <c r="D58" i="115"/>
  <c r="C58" i="115"/>
  <c r="O57" i="115"/>
  <c r="N57" i="115"/>
  <c r="M57" i="115"/>
  <c r="L57" i="115"/>
  <c r="K57" i="115"/>
  <c r="J57" i="115"/>
  <c r="I57" i="115"/>
  <c r="H57" i="115"/>
  <c r="G57" i="115"/>
  <c r="F57" i="115"/>
  <c r="E57" i="115"/>
  <c r="D57" i="115"/>
  <c r="C57" i="115"/>
  <c r="O56" i="115"/>
  <c r="N56" i="115"/>
  <c r="M56" i="115"/>
  <c r="L56" i="115"/>
  <c r="K56" i="115"/>
  <c r="J56" i="115"/>
  <c r="I56" i="115"/>
  <c r="H56" i="115"/>
  <c r="G56" i="115"/>
  <c r="F56" i="115"/>
  <c r="E56" i="115"/>
  <c r="D56" i="115"/>
  <c r="C56" i="115"/>
  <c r="O55" i="115"/>
  <c r="N55" i="115"/>
  <c r="M55" i="115"/>
  <c r="L55" i="115"/>
  <c r="K55" i="115"/>
  <c r="J55" i="115"/>
  <c r="I55" i="115"/>
  <c r="H55" i="115"/>
  <c r="G55" i="115"/>
  <c r="F55" i="115"/>
  <c r="E55" i="115"/>
  <c r="D55" i="115"/>
  <c r="C55" i="115"/>
  <c r="O54" i="115"/>
  <c r="N54" i="115"/>
  <c r="M54" i="115"/>
  <c r="L54" i="115"/>
  <c r="K54" i="115"/>
  <c r="J54" i="115"/>
  <c r="I54" i="115"/>
  <c r="H54" i="115"/>
  <c r="G54" i="115"/>
  <c r="F54" i="115"/>
  <c r="E54" i="115"/>
  <c r="D54" i="115"/>
  <c r="C54" i="115"/>
  <c r="O53" i="115"/>
  <c r="N53" i="115"/>
  <c r="M53" i="115"/>
  <c r="L53" i="115"/>
  <c r="K53" i="115"/>
  <c r="J53" i="115"/>
  <c r="I53" i="115"/>
  <c r="H53" i="115"/>
  <c r="G53" i="115"/>
  <c r="F53" i="115"/>
  <c r="E53" i="115"/>
  <c r="D53" i="115"/>
  <c r="C53" i="115"/>
  <c r="O52" i="115"/>
  <c r="N52" i="115"/>
  <c r="M52" i="115"/>
  <c r="L52" i="115"/>
  <c r="K52" i="115"/>
  <c r="J52" i="115"/>
  <c r="I52" i="115"/>
  <c r="H52" i="115"/>
  <c r="G52" i="115"/>
  <c r="F52" i="115"/>
  <c r="E52" i="115"/>
  <c r="D52" i="115"/>
  <c r="C52" i="115"/>
  <c r="O51" i="115"/>
  <c r="N51" i="115"/>
  <c r="M51" i="115"/>
  <c r="L51" i="115"/>
  <c r="K51" i="115"/>
  <c r="J51" i="115"/>
  <c r="I51" i="115"/>
  <c r="H51" i="115"/>
  <c r="G51" i="115"/>
  <c r="F51" i="115"/>
  <c r="E51" i="115"/>
  <c r="D51" i="115"/>
  <c r="C51" i="115"/>
  <c r="O48" i="115"/>
  <c r="N48" i="115"/>
  <c r="M48" i="115"/>
  <c r="L48" i="115"/>
  <c r="K48" i="115"/>
  <c r="J48" i="115"/>
  <c r="I48" i="115"/>
  <c r="H48" i="115"/>
  <c r="G48" i="115"/>
  <c r="F48" i="115"/>
  <c r="E48" i="115"/>
  <c r="D48" i="115"/>
  <c r="C48" i="115"/>
  <c r="O47" i="115"/>
  <c r="N47" i="115"/>
  <c r="M47" i="115"/>
  <c r="L47" i="115"/>
  <c r="K47" i="115"/>
  <c r="J47" i="115"/>
  <c r="I47" i="115"/>
  <c r="H47" i="115"/>
  <c r="G47" i="115"/>
  <c r="F47" i="115"/>
  <c r="E47" i="115"/>
  <c r="D47" i="115"/>
  <c r="C47" i="115"/>
  <c r="O46" i="115"/>
  <c r="N46" i="115"/>
  <c r="M46" i="115"/>
  <c r="L46" i="115"/>
  <c r="K46" i="115"/>
  <c r="J46" i="115"/>
  <c r="I46" i="115"/>
  <c r="H46" i="115"/>
  <c r="G46" i="115"/>
  <c r="F46" i="115"/>
  <c r="E46" i="115"/>
  <c r="D46" i="115"/>
  <c r="C46" i="115"/>
  <c r="O45" i="115"/>
  <c r="N45" i="115"/>
  <c r="M45" i="115"/>
  <c r="L45" i="115"/>
  <c r="K45" i="115"/>
  <c r="J45" i="115"/>
  <c r="I45" i="115"/>
  <c r="H45" i="115"/>
  <c r="G45" i="115"/>
  <c r="F45" i="115"/>
  <c r="E45" i="115"/>
  <c r="D45" i="115"/>
  <c r="C45" i="115"/>
  <c r="O44" i="115"/>
  <c r="N44" i="115"/>
  <c r="M44" i="115"/>
  <c r="L44" i="115"/>
  <c r="K44" i="115"/>
  <c r="J44" i="115"/>
  <c r="I44" i="115"/>
  <c r="H44" i="115"/>
  <c r="G44" i="115"/>
  <c r="F44" i="115"/>
  <c r="E44" i="115"/>
  <c r="D44" i="115"/>
  <c r="C44" i="115"/>
  <c r="O43" i="115"/>
  <c r="N43" i="115"/>
  <c r="M43" i="115"/>
  <c r="L43" i="115"/>
  <c r="K43" i="115"/>
  <c r="J43" i="115"/>
  <c r="I43" i="115"/>
  <c r="H43" i="115"/>
  <c r="G43" i="115"/>
  <c r="F43" i="115"/>
  <c r="E43" i="115"/>
  <c r="D43" i="115"/>
  <c r="C43" i="115"/>
  <c r="O42" i="115"/>
  <c r="N42" i="115"/>
  <c r="M42" i="115"/>
  <c r="L42" i="115"/>
  <c r="K42" i="115"/>
  <c r="J42" i="115"/>
  <c r="I42" i="115"/>
  <c r="H42" i="115"/>
  <c r="G42" i="115"/>
  <c r="F42" i="115"/>
  <c r="E42" i="115"/>
  <c r="D42" i="115"/>
  <c r="C42" i="115"/>
  <c r="O41" i="115"/>
  <c r="N41" i="115"/>
  <c r="M41" i="115"/>
  <c r="L41" i="115"/>
  <c r="K41" i="115"/>
  <c r="J41" i="115"/>
  <c r="I41" i="115"/>
  <c r="H41" i="115"/>
  <c r="G41" i="115"/>
  <c r="F41" i="115"/>
  <c r="E41" i="115"/>
  <c r="D41" i="115"/>
  <c r="C41" i="115"/>
  <c r="O40" i="115"/>
  <c r="N40" i="115"/>
  <c r="M40" i="115"/>
  <c r="L40" i="115"/>
  <c r="K40" i="115"/>
  <c r="J40" i="115"/>
  <c r="I40" i="115"/>
  <c r="H40" i="115"/>
  <c r="G40" i="115"/>
  <c r="F40" i="115"/>
  <c r="E40" i="115"/>
  <c r="D40" i="115"/>
  <c r="C40" i="115"/>
  <c r="O37" i="115"/>
  <c r="N37" i="115"/>
  <c r="M37" i="115"/>
  <c r="L37" i="115"/>
  <c r="K37" i="115"/>
  <c r="J37" i="115"/>
  <c r="I37" i="115"/>
  <c r="H37" i="115"/>
  <c r="G37" i="115"/>
  <c r="F37" i="115"/>
  <c r="E37" i="115"/>
  <c r="D37" i="115"/>
  <c r="C37" i="115"/>
  <c r="O36" i="115"/>
  <c r="N36" i="115"/>
  <c r="M36" i="115"/>
  <c r="L36" i="115"/>
  <c r="K36" i="115"/>
  <c r="J36" i="115"/>
  <c r="I36" i="115"/>
  <c r="H36" i="115"/>
  <c r="G36" i="115"/>
  <c r="F36" i="115"/>
  <c r="E36" i="115"/>
  <c r="D36" i="115"/>
  <c r="C36" i="115"/>
  <c r="O35" i="115"/>
  <c r="N35" i="115"/>
  <c r="M35" i="115"/>
  <c r="L35" i="115"/>
  <c r="K35" i="115"/>
  <c r="J35" i="115"/>
  <c r="I35" i="115"/>
  <c r="H35" i="115"/>
  <c r="G35" i="115"/>
  <c r="F35" i="115"/>
  <c r="E35" i="115"/>
  <c r="D35" i="115"/>
  <c r="C35" i="115"/>
  <c r="O34" i="115"/>
  <c r="N34" i="115"/>
  <c r="M34" i="115"/>
  <c r="L34" i="115"/>
  <c r="K34" i="115"/>
  <c r="J34" i="115"/>
  <c r="I34" i="115"/>
  <c r="H34" i="115"/>
  <c r="G34" i="115"/>
  <c r="F34" i="115"/>
  <c r="E34" i="115"/>
  <c r="D34" i="115"/>
  <c r="C34" i="115"/>
  <c r="O33" i="115"/>
  <c r="N33" i="115"/>
  <c r="M33" i="115"/>
  <c r="L33" i="115"/>
  <c r="K33" i="115"/>
  <c r="J33" i="115"/>
  <c r="I33" i="115"/>
  <c r="H33" i="115"/>
  <c r="G33" i="115"/>
  <c r="F33" i="115"/>
  <c r="E33" i="115"/>
  <c r="D33" i="115"/>
  <c r="C33" i="115"/>
  <c r="O32" i="115"/>
  <c r="N32" i="115"/>
  <c r="M32" i="115"/>
  <c r="L32" i="115"/>
  <c r="K32" i="115"/>
  <c r="J32" i="115"/>
  <c r="I32" i="115"/>
  <c r="H32" i="115"/>
  <c r="G32" i="115"/>
  <c r="F32" i="115"/>
  <c r="E32" i="115"/>
  <c r="D32" i="115"/>
  <c r="C32" i="115"/>
  <c r="O31" i="115"/>
  <c r="N31" i="115"/>
  <c r="M31" i="115"/>
  <c r="L31" i="115"/>
  <c r="K31" i="115"/>
  <c r="J31" i="115"/>
  <c r="I31" i="115"/>
  <c r="H31" i="115"/>
  <c r="G31" i="115"/>
  <c r="F31" i="115"/>
  <c r="E31" i="115"/>
  <c r="D31" i="115"/>
  <c r="C31" i="115"/>
  <c r="O30" i="115"/>
  <c r="N30" i="115"/>
  <c r="M30" i="115"/>
  <c r="L30" i="115"/>
  <c r="K30" i="115"/>
  <c r="J30" i="115"/>
  <c r="I30" i="115"/>
  <c r="H30" i="115"/>
  <c r="G30" i="115"/>
  <c r="F30" i="115"/>
  <c r="E30" i="115"/>
  <c r="D30" i="115"/>
  <c r="C30" i="115"/>
  <c r="O29" i="115"/>
  <c r="N29" i="115"/>
  <c r="M29" i="115"/>
  <c r="L29" i="115"/>
  <c r="K29" i="115"/>
  <c r="J29" i="115"/>
  <c r="I29" i="115"/>
  <c r="H29" i="115"/>
  <c r="G29" i="115"/>
  <c r="F29" i="115"/>
  <c r="E29" i="115"/>
  <c r="D29" i="115"/>
  <c r="C29" i="115"/>
  <c r="O28" i="115"/>
  <c r="N28" i="115"/>
  <c r="M28" i="115"/>
  <c r="L28" i="115"/>
  <c r="K28" i="115"/>
  <c r="J28" i="115"/>
  <c r="I28" i="115"/>
  <c r="H28" i="115"/>
  <c r="G28" i="115"/>
  <c r="F28" i="115"/>
  <c r="E28" i="115"/>
  <c r="D28" i="115"/>
  <c r="C28" i="115"/>
  <c r="O27" i="115"/>
  <c r="N27" i="115"/>
  <c r="M27" i="115"/>
  <c r="L27" i="115"/>
  <c r="K27" i="115"/>
  <c r="J27" i="115"/>
  <c r="I27" i="115"/>
  <c r="H27" i="115"/>
  <c r="G27" i="115"/>
  <c r="F27" i="115"/>
  <c r="E27" i="115"/>
  <c r="D27" i="115"/>
  <c r="C27" i="115"/>
  <c r="O26" i="115"/>
  <c r="N26" i="115"/>
  <c r="M26" i="115"/>
  <c r="L26" i="115"/>
  <c r="K26" i="115"/>
  <c r="J26" i="115"/>
  <c r="I26" i="115"/>
  <c r="H26" i="115"/>
  <c r="G26" i="115"/>
  <c r="F26" i="115"/>
  <c r="E26" i="115"/>
  <c r="D26" i="115"/>
  <c r="C26" i="115"/>
  <c r="O25" i="115"/>
  <c r="N25" i="115"/>
  <c r="M25" i="115"/>
  <c r="L25" i="115"/>
  <c r="K25" i="115"/>
  <c r="J25" i="115"/>
  <c r="I25" i="115"/>
  <c r="H25" i="115"/>
  <c r="G25" i="115"/>
  <c r="F25" i="115"/>
  <c r="E25" i="115"/>
  <c r="D25" i="115"/>
  <c r="C25" i="115"/>
  <c r="O24" i="115"/>
  <c r="N24" i="115"/>
  <c r="M24" i="115"/>
  <c r="L24" i="115"/>
  <c r="K24" i="115"/>
  <c r="J24" i="115"/>
  <c r="I24" i="115"/>
  <c r="H24" i="115"/>
  <c r="G24" i="115"/>
  <c r="F24" i="115"/>
  <c r="E24" i="115"/>
  <c r="D24" i="115"/>
  <c r="C24" i="115"/>
  <c r="O23" i="115"/>
  <c r="N23" i="115"/>
  <c r="M23" i="115"/>
  <c r="L23" i="115"/>
  <c r="K23" i="115"/>
  <c r="J23" i="115"/>
  <c r="I23" i="115"/>
  <c r="H23" i="115"/>
  <c r="G23" i="115"/>
  <c r="F23" i="115"/>
  <c r="E23" i="115"/>
  <c r="D23" i="115"/>
  <c r="C23" i="115"/>
  <c r="O20" i="115"/>
  <c r="N20" i="115"/>
  <c r="M20" i="115"/>
  <c r="L20" i="115"/>
  <c r="K20" i="115"/>
  <c r="J20" i="115"/>
  <c r="I20" i="115"/>
  <c r="H20" i="115"/>
  <c r="G20" i="115"/>
  <c r="F20" i="115"/>
  <c r="E20" i="115"/>
  <c r="D20" i="115"/>
  <c r="C20" i="115"/>
  <c r="O19" i="115"/>
  <c r="N19" i="115"/>
  <c r="M19" i="115"/>
  <c r="L19" i="115"/>
  <c r="K19" i="115"/>
  <c r="J19" i="115"/>
  <c r="I19" i="115"/>
  <c r="H19" i="115"/>
  <c r="G19" i="115"/>
  <c r="F19" i="115"/>
  <c r="E19" i="115"/>
  <c r="D19" i="115"/>
  <c r="C19" i="115"/>
  <c r="O18" i="115"/>
  <c r="N18" i="115"/>
  <c r="M18" i="115"/>
  <c r="L18" i="115"/>
  <c r="K18" i="115"/>
  <c r="J18" i="115"/>
  <c r="I18" i="115"/>
  <c r="H18" i="115"/>
  <c r="G18" i="115"/>
  <c r="F18" i="115"/>
  <c r="E18" i="115"/>
  <c r="D18" i="115"/>
  <c r="C18" i="115"/>
  <c r="O17" i="115"/>
  <c r="N17" i="115"/>
  <c r="M17" i="115"/>
  <c r="L17" i="115"/>
  <c r="K17" i="115"/>
  <c r="J17" i="115"/>
  <c r="I17" i="115"/>
  <c r="H17" i="115"/>
  <c r="G17" i="115"/>
  <c r="F17" i="115"/>
  <c r="E17" i="115"/>
  <c r="D17" i="115"/>
  <c r="C17" i="115"/>
  <c r="O16" i="115"/>
  <c r="N16" i="115"/>
  <c r="M16" i="115"/>
  <c r="L16" i="115"/>
  <c r="K16" i="115"/>
  <c r="J16" i="115"/>
  <c r="I16" i="115"/>
  <c r="H16" i="115"/>
  <c r="G16" i="115"/>
  <c r="F16" i="115"/>
  <c r="E16" i="115"/>
  <c r="D16" i="115"/>
  <c r="C16" i="115"/>
  <c r="O15" i="115"/>
  <c r="N15" i="115"/>
  <c r="M15" i="115"/>
  <c r="L15" i="115"/>
  <c r="K15" i="115"/>
  <c r="J15" i="115"/>
  <c r="I15" i="115"/>
  <c r="H15" i="115"/>
  <c r="G15" i="115"/>
  <c r="F15" i="115"/>
  <c r="E15" i="115"/>
  <c r="D15" i="115"/>
  <c r="C15" i="115"/>
  <c r="O14" i="115"/>
  <c r="N14" i="115"/>
  <c r="M14" i="115"/>
  <c r="L14" i="115"/>
  <c r="K14" i="115"/>
  <c r="J14" i="115"/>
  <c r="I14" i="115"/>
  <c r="H14" i="115"/>
  <c r="G14" i="115"/>
  <c r="F14" i="115"/>
  <c r="E14" i="115"/>
  <c r="D14" i="115"/>
  <c r="C14" i="115"/>
  <c r="O13" i="115"/>
  <c r="N13" i="115"/>
  <c r="M13" i="115"/>
  <c r="L13" i="115"/>
  <c r="K13" i="115"/>
  <c r="J13" i="115"/>
  <c r="I13" i="115"/>
  <c r="H13" i="115"/>
  <c r="G13" i="115"/>
  <c r="F13" i="115"/>
  <c r="E13" i="115"/>
  <c r="D13" i="115"/>
  <c r="C13" i="115"/>
  <c r="O12" i="115"/>
  <c r="N12" i="115"/>
  <c r="M12" i="115"/>
  <c r="L12" i="115"/>
  <c r="K12" i="115"/>
  <c r="J12" i="115"/>
  <c r="I12" i="115"/>
  <c r="H12" i="115"/>
  <c r="G12" i="115"/>
  <c r="F12" i="115"/>
  <c r="E12" i="115"/>
  <c r="D12" i="115"/>
  <c r="C12" i="115"/>
  <c r="O11" i="115"/>
  <c r="N11" i="115"/>
  <c r="M11" i="115"/>
  <c r="L11" i="115"/>
  <c r="K11" i="115"/>
  <c r="J11" i="115"/>
  <c r="I11" i="115"/>
  <c r="H11" i="115"/>
  <c r="G11" i="115"/>
  <c r="F11" i="115"/>
  <c r="E11" i="115"/>
  <c r="D11" i="115"/>
  <c r="C11" i="115"/>
  <c r="O10" i="115"/>
  <c r="N10" i="115"/>
  <c r="M10" i="115"/>
  <c r="L10" i="115"/>
  <c r="K10" i="115"/>
  <c r="J10" i="115"/>
  <c r="I10" i="115"/>
  <c r="H10" i="115"/>
  <c r="G10" i="115"/>
  <c r="F10" i="115"/>
  <c r="E10" i="115"/>
  <c r="D10" i="115"/>
  <c r="C10" i="115"/>
  <c r="O9" i="115"/>
  <c r="N9" i="115"/>
  <c r="M9" i="115"/>
  <c r="L9" i="115"/>
  <c r="K9" i="115"/>
  <c r="J9" i="115"/>
  <c r="I9" i="115"/>
  <c r="H9" i="115"/>
  <c r="G9" i="115"/>
  <c r="F9" i="115"/>
  <c r="E9" i="115"/>
  <c r="D9" i="115"/>
  <c r="C9" i="115"/>
  <c r="O4" i="114"/>
  <c r="O5" i="114"/>
  <c r="O6" i="114"/>
  <c r="O43" i="114"/>
  <c r="N4" i="114"/>
  <c r="N5" i="114"/>
  <c r="N6" i="114"/>
  <c r="N43" i="114"/>
  <c r="M4" i="114"/>
  <c r="M5" i="114"/>
  <c r="M6" i="114"/>
  <c r="M43" i="114"/>
  <c r="L4" i="114"/>
  <c r="L5" i="114"/>
  <c r="L6" i="114"/>
  <c r="L43" i="114"/>
  <c r="K4" i="114"/>
  <c r="K5" i="114"/>
  <c r="K6" i="114"/>
  <c r="K43" i="114"/>
  <c r="J4" i="114"/>
  <c r="J5" i="114"/>
  <c r="J6" i="114"/>
  <c r="J43" i="114"/>
  <c r="I4" i="114"/>
  <c r="I5" i="114"/>
  <c r="I6" i="114"/>
  <c r="I43" i="114"/>
  <c r="H4" i="114"/>
  <c r="H5" i="114"/>
  <c r="H6" i="114"/>
  <c r="H43" i="114"/>
  <c r="G4" i="114"/>
  <c r="G5" i="114"/>
  <c r="G6" i="114"/>
  <c r="G43" i="114"/>
  <c r="F4" i="114"/>
  <c r="F5" i="114"/>
  <c r="F6" i="114"/>
  <c r="F43" i="114"/>
  <c r="E4" i="114"/>
  <c r="E5" i="114"/>
  <c r="E6" i="114"/>
  <c r="E43" i="114"/>
  <c r="D4" i="114"/>
  <c r="D5" i="114"/>
  <c r="D6" i="114"/>
  <c r="D43" i="114"/>
  <c r="C4" i="114"/>
  <c r="C5" i="114"/>
  <c r="C6" i="114"/>
  <c r="C43" i="114"/>
  <c r="O42" i="114"/>
  <c r="N42" i="114"/>
  <c r="M42" i="114"/>
  <c r="L42" i="114"/>
  <c r="K42" i="114"/>
  <c r="J42" i="114"/>
  <c r="I42" i="114"/>
  <c r="H42" i="114"/>
  <c r="G42" i="114"/>
  <c r="F42" i="114"/>
  <c r="E42" i="114"/>
  <c r="D42" i="114"/>
  <c r="C42" i="114"/>
  <c r="O41" i="114"/>
  <c r="N41" i="114"/>
  <c r="M41" i="114"/>
  <c r="L41" i="114"/>
  <c r="K41" i="114"/>
  <c r="J41" i="114"/>
  <c r="I41" i="114"/>
  <c r="H41" i="114"/>
  <c r="G41" i="114"/>
  <c r="F41" i="114"/>
  <c r="E41" i="114"/>
  <c r="D41" i="114"/>
  <c r="C41" i="114"/>
  <c r="O38" i="114"/>
  <c r="N38" i="114"/>
  <c r="M38" i="114"/>
  <c r="L38" i="114"/>
  <c r="K38" i="114"/>
  <c r="J38" i="114"/>
  <c r="I38" i="114"/>
  <c r="H38" i="114"/>
  <c r="G38" i="114"/>
  <c r="F38" i="114"/>
  <c r="E38" i="114"/>
  <c r="D38" i="114"/>
  <c r="C38" i="114"/>
  <c r="O37" i="114"/>
  <c r="N37" i="114"/>
  <c r="M37" i="114"/>
  <c r="L37" i="114"/>
  <c r="K37" i="114"/>
  <c r="J37" i="114"/>
  <c r="I37" i="114"/>
  <c r="H37" i="114"/>
  <c r="G37" i="114"/>
  <c r="F37" i="114"/>
  <c r="E37" i="114"/>
  <c r="D37" i="114"/>
  <c r="C37" i="114"/>
  <c r="O36" i="114"/>
  <c r="N36" i="114"/>
  <c r="M36" i="114"/>
  <c r="L36" i="114"/>
  <c r="K36" i="114"/>
  <c r="J36" i="114"/>
  <c r="I36" i="114"/>
  <c r="H36" i="114"/>
  <c r="G36" i="114"/>
  <c r="F36" i="114"/>
  <c r="E36" i="114"/>
  <c r="D36" i="114"/>
  <c r="C36" i="114"/>
  <c r="O35" i="114"/>
  <c r="N35" i="114"/>
  <c r="M35" i="114"/>
  <c r="L35" i="114"/>
  <c r="K35" i="114"/>
  <c r="J35" i="114"/>
  <c r="I35" i="114"/>
  <c r="H35" i="114"/>
  <c r="G35" i="114"/>
  <c r="F35" i="114"/>
  <c r="E35" i="114"/>
  <c r="D35" i="114"/>
  <c r="C35" i="114"/>
  <c r="O34" i="114"/>
  <c r="N34" i="114"/>
  <c r="M34" i="114"/>
  <c r="L34" i="114"/>
  <c r="K34" i="114"/>
  <c r="J34" i="114"/>
  <c r="I34" i="114"/>
  <c r="H34" i="114"/>
  <c r="G34" i="114"/>
  <c r="F34" i="114"/>
  <c r="E34" i="114"/>
  <c r="D34" i="114"/>
  <c r="C34" i="114"/>
  <c r="O33" i="114"/>
  <c r="N33" i="114"/>
  <c r="M33" i="114"/>
  <c r="L33" i="114"/>
  <c r="K33" i="114"/>
  <c r="J33" i="114"/>
  <c r="I33" i="114"/>
  <c r="H33" i="114"/>
  <c r="G33" i="114"/>
  <c r="F33" i="114"/>
  <c r="E33" i="114"/>
  <c r="D33" i="114"/>
  <c r="C33" i="114"/>
  <c r="O32" i="114"/>
  <c r="N32" i="114"/>
  <c r="M32" i="114"/>
  <c r="L32" i="114"/>
  <c r="K32" i="114"/>
  <c r="J32" i="114"/>
  <c r="I32" i="114"/>
  <c r="H32" i="114"/>
  <c r="G32" i="114"/>
  <c r="F32" i="114"/>
  <c r="E32" i="114"/>
  <c r="D32" i="114"/>
  <c r="C32" i="114"/>
  <c r="O31" i="114"/>
  <c r="N31" i="114"/>
  <c r="M31" i="114"/>
  <c r="L31" i="114"/>
  <c r="K31" i="114"/>
  <c r="J31" i="114"/>
  <c r="I31" i="114"/>
  <c r="H31" i="114"/>
  <c r="G31" i="114"/>
  <c r="F31" i="114"/>
  <c r="E31" i="114"/>
  <c r="D31" i="114"/>
  <c r="C31" i="114"/>
  <c r="O30" i="114"/>
  <c r="N30" i="114"/>
  <c r="M30" i="114"/>
  <c r="L30" i="114"/>
  <c r="K30" i="114"/>
  <c r="J30" i="114"/>
  <c r="I30" i="114"/>
  <c r="H30" i="114"/>
  <c r="G30" i="114"/>
  <c r="F30" i="114"/>
  <c r="E30" i="114"/>
  <c r="D30" i="114"/>
  <c r="C30" i="114"/>
  <c r="O27" i="114"/>
  <c r="N27" i="114"/>
  <c r="M27" i="114"/>
  <c r="L27" i="114"/>
  <c r="K27" i="114"/>
  <c r="J27" i="114"/>
  <c r="I27" i="114"/>
  <c r="H27" i="114"/>
  <c r="G27" i="114"/>
  <c r="F27" i="114"/>
  <c r="E27" i="114"/>
  <c r="D27" i="114"/>
  <c r="C27" i="114"/>
  <c r="O26" i="114"/>
  <c r="N26" i="114"/>
  <c r="M26" i="114"/>
  <c r="L26" i="114"/>
  <c r="K26" i="114"/>
  <c r="J26" i="114"/>
  <c r="I26" i="114"/>
  <c r="H26" i="114"/>
  <c r="G26" i="114"/>
  <c r="F26" i="114"/>
  <c r="E26" i="114"/>
  <c r="D26" i="114"/>
  <c r="C26" i="114"/>
  <c r="O25" i="114"/>
  <c r="N25" i="114"/>
  <c r="M25" i="114"/>
  <c r="L25" i="114"/>
  <c r="K25" i="114"/>
  <c r="J25" i="114"/>
  <c r="I25" i="114"/>
  <c r="H25" i="114"/>
  <c r="G25" i="114"/>
  <c r="F25" i="114"/>
  <c r="E25" i="114"/>
  <c r="D25" i="114"/>
  <c r="C25" i="114"/>
  <c r="O24" i="114"/>
  <c r="N24" i="114"/>
  <c r="M24" i="114"/>
  <c r="L24" i="114"/>
  <c r="K24" i="114"/>
  <c r="J24" i="114"/>
  <c r="I24" i="114"/>
  <c r="H24" i="114"/>
  <c r="G24" i="114"/>
  <c r="F24" i="114"/>
  <c r="E24" i="114"/>
  <c r="D24" i="114"/>
  <c r="C24" i="114"/>
  <c r="O23" i="114"/>
  <c r="N23" i="114"/>
  <c r="M23" i="114"/>
  <c r="L23" i="114"/>
  <c r="K23" i="114"/>
  <c r="J23" i="114"/>
  <c r="I23" i="114"/>
  <c r="H23" i="114"/>
  <c r="G23" i="114"/>
  <c r="F23" i="114"/>
  <c r="E23" i="114"/>
  <c r="D23" i="114"/>
  <c r="C23" i="114"/>
  <c r="O20" i="114"/>
  <c r="N20" i="114"/>
  <c r="M20" i="114"/>
  <c r="L20" i="114"/>
  <c r="K20" i="114"/>
  <c r="J20" i="114"/>
  <c r="I20" i="114"/>
  <c r="H20" i="114"/>
  <c r="G20" i="114"/>
  <c r="F20" i="114"/>
  <c r="E20" i="114"/>
  <c r="D20" i="114"/>
  <c r="C20" i="114"/>
  <c r="O19" i="114"/>
  <c r="N19" i="114"/>
  <c r="M19" i="114"/>
  <c r="L19" i="114"/>
  <c r="K19" i="114"/>
  <c r="J19" i="114"/>
  <c r="I19" i="114"/>
  <c r="H19" i="114"/>
  <c r="G19" i="114"/>
  <c r="F19" i="114"/>
  <c r="E19" i="114"/>
  <c r="D19" i="114"/>
  <c r="C19" i="114"/>
  <c r="O18" i="114"/>
  <c r="N18" i="114"/>
  <c r="M18" i="114"/>
  <c r="L18" i="114"/>
  <c r="K18" i="114"/>
  <c r="J18" i="114"/>
  <c r="I18" i="114"/>
  <c r="H18" i="114"/>
  <c r="G18" i="114"/>
  <c r="F18" i="114"/>
  <c r="E18" i="114"/>
  <c r="D18" i="114"/>
  <c r="C18" i="114"/>
  <c r="O17" i="114"/>
  <c r="N17" i="114"/>
  <c r="M17" i="114"/>
  <c r="L17" i="114"/>
  <c r="K17" i="114"/>
  <c r="J17" i="114"/>
  <c r="I17" i="114"/>
  <c r="H17" i="114"/>
  <c r="G17" i="114"/>
  <c r="F17" i="114"/>
  <c r="E17" i="114"/>
  <c r="D17" i="114"/>
  <c r="C17" i="114"/>
  <c r="O16" i="114"/>
  <c r="N16" i="114"/>
  <c r="M16" i="114"/>
  <c r="L16" i="114"/>
  <c r="K16" i="114"/>
  <c r="J16" i="114"/>
  <c r="I16" i="114"/>
  <c r="H16" i="114"/>
  <c r="G16" i="114"/>
  <c r="F16" i="114"/>
  <c r="E16" i="114"/>
  <c r="D16" i="114"/>
  <c r="C16" i="114"/>
  <c r="O15" i="114"/>
  <c r="N15" i="114"/>
  <c r="M15" i="114"/>
  <c r="L15" i="114"/>
  <c r="K15" i="114"/>
  <c r="J15" i="114"/>
  <c r="I15" i="114"/>
  <c r="H15" i="114"/>
  <c r="G15" i="114"/>
  <c r="F15" i="114"/>
  <c r="E15" i="114"/>
  <c r="D15" i="114"/>
  <c r="C15" i="114"/>
  <c r="O14" i="114"/>
  <c r="N14" i="114"/>
  <c r="M14" i="114"/>
  <c r="L14" i="114"/>
  <c r="K14" i="114"/>
  <c r="J14" i="114"/>
  <c r="I14" i="114"/>
  <c r="H14" i="114"/>
  <c r="G14" i="114"/>
  <c r="F14" i="114"/>
  <c r="E14" i="114"/>
  <c r="D14" i="114"/>
  <c r="C14" i="114"/>
  <c r="O13" i="114"/>
  <c r="N13" i="114"/>
  <c r="M13" i="114"/>
  <c r="L13" i="114"/>
  <c r="K13" i="114"/>
  <c r="J13" i="114"/>
  <c r="I13" i="114"/>
  <c r="H13" i="114"/>
  <c r="G13" i="114"/>
  <c r="F13" i="114"/>
  <c r="E13" i="114"/>
  <c r="D13" i="114"/>
  <c r="C13" i="114"/>
  <c r="O12" i="114"/>
  <c r="N12" i="114"/>
  <c r="M12" i="114"/>
  <c r="L12" i="114"/>
  <c r="K12" i="114"/>
  <c r="J12" i="114"/>
  <c r="I12" i="114"/>
  <c r="H12" i="114"/>
  <c r="G12" i="114"/>
  <c r="F12" i="114"/>
  <c r="E12" i="114"/>
  <c r="D12" i="114"/>
  <c r="C12" i="114"/>
  <c r="O11" i="114"/>
  <c r="N11" i="114"/>
  <c r="M11" i="114"/>
  <c r="L11" i="114"/>
  <c r="K11" i="114"/>
  <c r="J11" i="114"/>
  <c r="I11" i="114"/>
  <c r="H11" i="114"/>
  <c r="G11" i="114"/>
  <c r="F11" i="114"/>
  <c r="E11" i="114"/>
  <c r="D11" i="114"/>
  <c r="C11" i="114"/>
  <c r="O10" i="114"/>
  <c r="N10" i="114"/>
  <c r="M10" i="114"/>
  <c r="L10" i="114"/>
  <c r="K10" i="114"/>
  <c r="J10" i="114"/>
  <c r="I10" i="114"/>
  <c r="H10" i="114"/>
  <c r="G10" i="114"/>
  <c r="F10" i="114"/>
  <c r="E10" i="114"/>
  <c r="D10" i="114"/>
  <c r="C10" i="114"/>
  <c r="O9" i="114"/>
  <c r="N9" i="114"/>
  <c r="M9" i="114"/>
  <c r="L9" i="114"/>
  <c r="K9" i="114"/>
  <c r="J9" i="114"/>
  <c r="I9" i="114"/>
  <c r="H9" i="114"/>
  <c r="G9" i="114"/>
  <c r="F9" i="114"/>
  <c r="E9" i="114"/>
  <c r="D9" i="114"/>
  <c r="C9" i="114"/>
  <c r="O4" i="113"/>
  <c r="O5" i="113"/>
  <c r="O6" i="113"/>
  <c r="O185" i="113"/>
  <c r="N4" i="113"/>
  <c r="N5" i="113"/>
  <c r="N6" i="113"/>
  <c r="N185" i="113"/>
  <c r="M4" i="113"/>
  <c r="M5" i="113"/>
  <c r="M6" i="113"/>
  <c r="M185" i="113"/>
  <c r="L4" i="113"/>
  <c r="L5" i="113"/>
  <c r="L6" i="113"/>
  <c r="L185" i="113"/>
  <c r="K4" i="113"/>
  <c r="K5" i="113"/>
  <c r="K6" i="113"/>
  <c r="K185" i="113"/>
  <c r="J4" i="113"/>
  <c r="J5" i="113"/>
  <c r="J6" i="113"/>
  <c r="J185" i="113"/>
  <c r="I4" i="113"/>
  <c r="I5" i="113"/>
  <c r="I6" i="113"/>
  <c r="I185" i="113"/>
  <c r="H4" i="113"/>
  <c r="H5" i="113"/>
  <c r="H6" i="113"/>
  <c r="H185" i="113"/>
  <c r="G4" i="113"/>
  <c r="G5" i="113"/>
  <c r="G6" i="113"/>
  <c r="G185" i="113"/>
  <c r="F4" i="113"/>
  <c r="F5" i="113"/>
  <c r="F6" i="113"/>
  <c r="F185" i="113"/>
  <c r="E4" i="113"/>
  <c r="E5" i="113"/>
  <c r="E6" i="113"/>
  <c r="E185" i="113"/>
  <c r="D4" i="113"/>
  <c r="D5" i="113"/>
  <c r="D6" i="113"/>
  <c r="D185" i="113"/>
  <c r="C4" i="113"/>
  <c r="C5" i="113"/>
  <c r="C6" i="113"/>
  <c r="C185" i="113"/>
  <c r="O184" i="113"/>
  <c r="N184" i="113"/>
  <c r="M184" i="113"/>
  <c r="L184" i="113"/>
  <c r="K184" i="113"/>
  <c r="J184" i="113"/>
  <c r="I184" i="113"/>
  <c r="H184" i="113"/>
  <c r="G184" i="113"/>
  <c r="F184" i="113"/>
  <c r="E184" i="113"/>
  <c r="D184" i="113"/>
  <c r="C184" i="113"/>
  <c r="O183" i="113"/>
  <c r="N183" i="113"/>
  <c r="M183" i="113"/>
  <c r="L183" i="113"/>
  <c r="K183" i="113"/>
  <c r="J183" i="113"/>
  <c r="I183" i="113"/>
  <c r="H183" i="113"/>
  <c r="G183" i="113"/>
  <c r="F183" i="113"/>
  <c r="E183" i="113"/>
  <c r="D183" i="113"/>
  <c r="C183" i="113"/>
  <c r="O182" i="113"/>
  <c r="N182" i="113"/>
  <c r="M182" i="113"/>
  <c r="L182" i="113"/>
  <c r="K182" i="113"/>
  <c r="J182" i="113"/>
  <c r="I182" i="113"/>
  <c r="H182" i="113"/>
  <c r="G182" i="113"/>
  <c r="F182" i="113"/>
  <c r="E182" i="113"/>
  <c r="D182" i="113"/>
  <c r="C182" i="113"/>
  <c r="O181" i="113"/>
  <c r="N181" i="113"/>
  <c r="M181" i="113"/>
  <c r="L181" i="113"/>
  <c r="K181" i="113"/>
  <c r="J181" i="113"/>
  <c r="I181" i="113"/>
  <c r="H181" i="113"/>
  <c r="G181" i="113"/>
  <c r="F181" i="113"/>
  <c r="E181" i="113"/>
  <c r="D181" i="113"/>
  <c r="C181" i="113"/>
  <c r="O180" i="113"/>
  <c r="N180" i="113"/>
  <c r="M180" i="113"/>
  <c r="L180" i="113"/>
  <c r="K180" i="113"/>
  <c r="J180" i="113"/>
  <c r="I180" i="113"/>
  <c r="H180" i="113"/>
  <c r="G180" i="113"/>
  <c r="F180" i="113"/>
  <c r="E180" i="113"/>
  <c r="D180" i="113"/>
  <c r="C180" i="113"/>
  <c r="O179" i="113"/>
  <c r="N179" i="113"/>
  <c r="M179" i="113"/>
  <c r="L179" i="113"/>
  <c r="K179" i="113"/>
  <c r="J179" i="113"/>
  <c r="I179" i="113"/>
  <c r="H179" i="113"/>
  <c r="G179" i="113"/>
  <c r="F179" i="113"/>
  <c r="E179" i="113"/>
  <c r="D179" i="113"/>
  <c r="C179" i="113"/>
  <c r="O178" i="113"/>
  <c r="N178" i="113"/>
  <c r="M178" i="113"/>
  <c r="L178" i="113"/>
  <c r="K178" i="113"/>
  <c r="J178" i="113"/>
  <c r="I178" i="113"/>
  <c r="H178" i="113"/>
  <c r="G178" i="113"/>
  <c r="F178" i="113"/>
  <c r="E178" i="113"/>
  <c r="D178" i="113"/>
  <c r="C178" i="113"/>
  <c r="O177" i="113"/>
  <c r="N177" i="113"/>
  <c r="M177" i="113"/>
  <c r="L177" i="113"/>
  <c r="K177" i="113"/>
  <c r="J177" i="113"/>
  <c r="I177" i="113"/>
  <c r="H177" i="113"/>
  <c r="G177" i="113"/>
  <c r="F177" i="113"/>
  <c r="E177" i="113"/>
  <c r="D177" i="113"/>
  <c r="C177" i="113"/>
  <c r="O176" i="113"/>
  <c r="N176" i="113"/>
  <c r="M176" i="113"/>
  <c r="L176" i="113"/>
  <c r="K176" i="113"/>
  <c r="J176" i="113"/>
  <c r="I176" i="113"/>
  <c r="H176" i="113"/>
  <c r="G176" i="113"/>
  <c r="F176" i="113"/>
  <c r="E176" i="113"/>
  <c r="D176" i="113"/>
  <c r="C176" i="113"/>
  <c r="O175" i="113"/>
  <c r="N175" i="113"/>
  <c r="M175" i="113"/>
  <c r="L175" i="113"/>
  <c r="K175" i="113"/>
  <c r="J175" i="113"/>
  <c r="I175" i="113"/>
  <c r="H175" i="113"/>
  <c r="G175" i="113"/>
  <c r="F175" i="113"/>
  <c r="E175" i="113"/>
  <c r="D175" i="113"/>
  <c r="C175" i="113"/>
  <c r="O172" i="113"/>
  <c r="N172" i="113"/>
  <c r="M172" i="113"/>
  <c r="L172" i="113"/>
  <c r="K172" i="113"/>
  <c r="J172" i="113"/>
  <c r="I172" i="113"/>
  <c r="H172" i="113"/>
  <c r="G172" i="113"/>
  <c r="F172" i="113"/>
  <c r="E172" i="113"/>
  <c r="D172" i="113"/>
  <c r="C172" i="113"/>
  <c r="O171" i="113"/>
  <c r="N171" i="113"/>
  <c r="M171" i="113"/>
  <c r="L171" i="113"/>
  <c r="K171" i="113"/>
  <c r="J171" i="113"/>
  <c r="I171" i="113"/>
  <c r="H171" i="113"/>
  <c r="G171" i="113"/>
  <c r="F171" i="113"/>
  <c r="E171" i="113"/>
  <c r="D171" i="113"/>
  <c r="C171" i="113"/>
  <c r="O170" i="113"/>
  <c r="N170" i="113"/>
  <c r="M170" i="113"/>
  <c r="L170" i="113"/>
  <c r="K170" i="113"/>
  <c r="J170" i="113"/>
  <c r="I170" i="113"/>
  <c r="H170" i="113"/>
  <c r="G170" i="113"/>
  <c r="F170" i="113"/>
  <c r="E170" i="113"/>
  <c r="D170" i="113"/>
  <c r="C170" i="113"/>
  <c r="O169" i="113"/>
  <c r="N169" i="113"/>
  <c r="M169" i="113"/>
  <c r="L169" i="113"/>
  <c r="K169" i="113"/>
  <c r="J169" i="113"/>
  <c r="I169" i="113"/>
  <c r="H169" i="113"/>
  <c r="G169" i="113"/>
  <c r="F169" i="113"/>
  <c r="E169" i="113"/>
  <c r="D169" i="113"/>
  <c r="C169" i="113"/>
  <c r="O168" i="113"/>
  <c r="N168" i="113"/>
  <c r="M168" i="113"/>
  <c r="L168" i="113"/>
  <c r="K168" i="113"/>
  <c r="J168" i="113"/>
  <c r="I168" i="113"/>
  <c r="H168" i="113"/>
  <c r="G168" i="113"/>
  <c r="F168" i="113"/>
  <c r="E168" i="113"/>
  <c r="D168" i="113"/>
  <c r="C168" i="113"/>
  <c r="O167" i="113"/>
  <c r="N167" i="113"/>
  <c r="M167" i="113"/>
  <c r="L167" i="113"/>
  <c r="K167" i="113"/>
  <c r="J167" i="113"/>
  <c r="I167" i="113"/>
  <c r="H167" i="113"/>
  <c r="G167" i="113"/>
  <c r="F167" i="113"/>
  <c r="E167" i="113"/>
  <c r="D167" i="113"/>
  <c r="C167" i="113"/>
  <c r="O166" i="113"/>
  <c r="N166" i="113"/>
  <c r="M166" i="113"/>
  <c r="L166" i="113"/>
  <c r="K166" i="113"/>
  <c r="J166" i="113"/>
  <c r="I166" i="113"/>
  <c r="H166" i="113"/>
  <c r="G166" i="113"/>
  <c r="F166" i="113"/>
  <c r="E166" i="113"/>
  <c r="D166" i="113"/>
  <c r="C166" i="113"/>
  <c r="O165" i="113"/>
  <c r="N165" i="113"/>
  <c r="M165" i="113"/>
  <c r="L165" i="113"/>
  <c r="K165" i="113"/>
  <c r="J165" i="113"/>
  <c r="I165" i="113"/>
  <c r="H165" i="113"/>
  <c r="G165" i="113"/>
  <c r="F165" i="113"/>
  <c r="E165" i="113"/>
  <c r="D165" i="113"/>
  <c r="C165" i="113"/>
  <c r="O164" i="113"/>
  <c r="N164" i="113"/>
  <c r="M164" i="113"/>
  <c r="L164" i="113"/>
  <c r="K164" i="113"/>
  <c r="J164" i="113"/>
  <c r="I164" i="113"/>
  <c r="H164" i="113"/>
  <c r="G164" i="113"/>
  <c r="F164" i="113"/>
  <c r="E164" i="113"/>
  <c r="D164" i="113"/>
  <c r="C164" i="113"/>
  <c r="O163" i="113"/>
  <c r="N163" i="113"/>
  <c r="M163" i="113"/>
  <c r="L163" i="113"/>
  <c r="K163" i="113"/>
  <c r="J163" i="113"/>
  <c r="I163" i="113"/>
  <c r="H163" i="113"/>
  <c r="G163" i="113"/>
  <c r="F163" i="113"/>
  <c r="E163" i="113"/>
  <c r="D163" i="113"/>
  <c r="C163" i="113"/>
  <c r="O162" i="113"/>
  <c r="N162" i="113"/>
  <c r="M162" i="113"/>
  <c r="L162" i="113"/>
  <c r="K162" i="113"/>
  <c r="J162" i="113"/>
  <c r="I162" i="113"/>
  <c r="H162" i="113"/>
  <c r="G162" i="113"/>
  <c r="F162" i="113"/>
  <c r="E162" i="113"/>
  <c r="D162" i="113"/>
  <c r="C162" i="113"/>
  <c r="O161" i="113"/>
  <c r="N161" i="113"/>
  <c r="M161" i="113"/>
  <c r="L161" i="113"/>
  <c r="K161" i="113"/>
  <c r="J161" i="113"/>
  <c r="I161" i="113"/>
  <c r="H161" i="113"/>
  <c r="G161" i="113"/>
  <c r="F161" i="113"/>
  <c r="E161" i="113"/>
  <c r="D161" i="113"/>
  <c r="C161" i="113"/>
  <c r="O160" i="113"/>
  <c r="N160" i="113"/>
  <c r="M160" i="113"/>
  <c r="L160" i="113"/>
  <c r="K160" i="113"/>
  <c r="J160" i="113"/>
  <c r="I160" i="113"/>
  <c r="H160" i="113"/>
  <c r="G160" i="113"/>
  <c r="F160" i="113"/>
  <c r="E160" i="113"/>
  <c r="D160" i="113"/>
  <c r="C160" i="113"/>
  <c r="O159" i="113"/>
  <c r="N159" i="113"/>
  <c r="M159" i="113"/>
  <c r="L159" i="113"/>
  <c r="K159" i="113"/>
  <c r="J159" i="113"/>
  <c r="I159" i="113"/>
  <c r="H159" i="113"/>
  <c r="G159" i="113"/>
  <c r="F159" i="113"/>
  <c r="E159" i="113"/>
  <c r="D159" i="113"/>
  <c r="C159" i="113"/>
  <c r="O158" i="113"/>
  <c r="N158" i="113"/>
  <c r="M158" i="113"/>
  <c r="L158" i="113"/>
  <c r="K158" i="113"/>
  <c r="J158" i="113"/>
  <c r="I158" i="113"/>
  <c r="H158" i="113"/>
  <c r="G158" i="113"/>
  <c r="F158" i="113"/>
  <c r="E158" i="113"/>
  <c r="D158" i="113"/>
  <c r="C158" i="113"/>
  <c r="O157" i="113"/>
  <c r="N157" i="113"/>
  <c r="M157" i="113"/>
  <c r="L157" i="113"/>
  <c r="K157" i="113"/>
  <c r="J157" i="113"/>
  <c r="I157" i="113"/>
  <c r="H157" i="113"/>
  <c r="G157" i="113"/>
  <c r="F157" i="113"/>
  <c r="E157" i="113"/>
  <c r="D157" i="113"/>
  <c r="C157" i="113"/>
  <c r="O156" i="113"/>
  <c r="N156" i="113"/>
  <c r="M156" i="113"/>
  <c r="L156" i="113"/>
  <c r="K156" i="113"/>
  <c r="J156" i="113"/>
  <c r="I156" i="113"/>
  <c r="H156" i="113"/>
  <c r="G156" i="113"/>
  <c r="F156" i="113"/>
  <c r="E156" i="113"/>
  <c r="D156" i="113"/>
  <c r="C156" i="113"/>
  <c r="O155" i="113"/>
  <c r="N155" i="113"/>
  <c r="M155" i="113"/>
  <c r="L155" i="113"/>
  <c r="K155" i="113"/>
  <c r="J155" i="113"/>
  <c r="I155" i="113"/>
  <c r="H155" i="113"/>
  <c r="G155" i="113"/>
  <c r="F155" i="113"/>
  <c r="E155" i="113"/>
  <c r="D155" i="113"/>
  <c r="C155" i="113"/>
  <c r="O154" i="113"/>
  <c r="N154" i="113"/>
  <c r="M154" i="113"/>
  <c r="L154" i="113"/>
  <c r="K154" i="113"/>
  <c r="J154" i="113"/>
  <c r="I154" i="113"/>
  <c r="H154" i="113"/>
  <c r="G154" i="113"/>
  <c r="F154" i="113"/>
  <c r="E154" i="113"/>
  <c r="D154" i="113"/>
  <c r="C154" i="113"/>
  <c r="O153" i="113"/>
  <c r="N153" i="113"/>
  <c r="M153" i="113"/>
  <c r="L153" i="113"/>
  <c r="K153" i="113"/>
  <c r="J153" i="113"/>
  <c r="I153" i="113"/>
  <c r="H153" i="113"/>
  <c r="G153" i="113"/>
  <c r="F153" i="113"/>
  <c r="E153" i="113"/>
  <c r="D153" i="113"/>
  <c r="C153" i="113"/>
  <c r="O152" i="113"/>
  <c r="N152" i="113"/>
  <c r="M152" i="113"/>
  <c r="L152" i="113"/>
  <c r="K152" i="113"/>
  <c r="J152" i="113"/>
  <c r="I152" i="113"/>
  <c r="H152" i="113"/>
  <c r="G152" i="113"/>
  <c r="F152" i="113"/>
  <c r="E152" i="113"/>
  <c r="D152" i="113"/>
  <c r="C152" i="113"/>
  <c r="O151" i="113"/>
  <c r="N151" i="113"/>
  <c r="M151" i="113"/>
  <c r="L151" i="113"/>
  <c r="K151" i="113"/>
  <c r="J151" i="113"/>
  <c r="I151" i="113"/>
  <c r="H151" i="113"/>
  <c r="G151" i="113"/>
  <c r="F151" i="113"/>
  <c r="E151" i="113"/>
  <c r="D151" i="113"/>
  <c r="C151" i="113"/>
  <c r="O150" i="113"/>
  <c r="N150" i="113"/>
  <c r="M150" i="113"/>
  <c r="L150" i="113"/>
  <c r="K150" i="113"/>
  <c r="J150" i="113"/>
  <c r="I150" i="113"/>
  <c r="H150" i="113"/>
  <c r="G150" i="113"/>
  <c r="F150" i="113"/>
  <c r="E150" i="113"/>
  <c r="D150" i="113"/>
  <c r="C150" i="113"/>
  <c r="O149" i="113"/>
  <c r="N149" i="113"/>
  <c r="M149" i="113"/>
  <c r="L149" i="113"/>
  <c r="K149" i="113"/>
  <c r="J149" i="113"/>
  <c r="I149" i="113"/>
  <c r="H149" i="113"/>
  <c r="G149" i="113"/>
  <c r="F149" i="113"/>
  <c r="E149" i="113"/>
  <c r="D149" i="113"/>
  <c r="C149" i="113"/>
  <c r="O148" i="113"/>
  <c r="N148" i="113"/>
  <c r="M148" i="113"/>
  <c r="L148" i="113"/>
  <c r="K148" i="113"/>
  <c r="J148" i="113"/>
  <c r="I148" i="113"/>
  <c r="H148" i="113"/>
  <c r="G148" i="113"/>
  <c r="F148" i="113"/>
  <c r="E148" i="113"/>
  <c r="D148" i="113"/>
  <c r="C148" i="113"/>
  <c r="O147" i="113"/>
  <c r="N147" i="113"/>
  <c r="M147" i="113"/>
  <c r="L147" i="113"/>
  <c r="K147" i="113"/>
  <c r="J147" i="113"/>
  <c r="I147" i="113"/>
  <c r="H147" i="113"/>
  <c r="G147" i="113"/>
  <c r="F147" i="113"/>
  <c r="E147" i="113"/>
  <c r="D147" i="113"/>
  <c r="C147" i="113"/>
  <c r="O146" i="113"/>
  <c r="N146" i="113"/>
  <c r="M146" i="113"/>
  <c r="L146" i="113"/>
  <c r="K146" i="113"/>
  <c r="J146" i="113"/>
  <c r="I146" i="113"/>
  <c r="H146" i="113"/>
  <c r="G146" i="113"/>
  <c r="F146" i="113"/>
  <c r="E146" i="113"/>
  <c r="D146" i="113"/>
  <c r="C146" i="113"/>
  <c r="O145" i="113"/>
  <c r="N145" i="113"/>
  <c r="M145" i="113"/>
  <c r="L145" i="113"/>
  <c r="K145" i="113"/>
  <c r="J145" i="113"/>
  <c r="I145" i="113"/>
  <c r="H145" i="113"/>
  <c r="G145" i="113"/>
  <c r="F145" i="113"/>
  <c r="E145" i="113"/>
  <c r="D145" i="113"/>
  <c r="C145" i="113"/>
  <c r="O144" i="113"/>
  <c r="N144" i="113"/>
  <c r="M144" i="113"/>
  <c r="L144" i="113"/>
  <c r="K144" i="113"/>
  <c r="J144" i="113"/>
  <c r="I144" i="113"/>
  <c r="H144" i="113"/>
  <c r="G144" i="113"/>
  <c r="F144" i="113"/>
  <c r="E144" i="113"/>
  <c r="D144" i="113"/>
  <c r="C144" i="113"/>
  <c r="O143" i="113"/>
  <c r="N143" i="113"/>
  <c r="M143" i="113"/>
  <c r="L143" i="113"/>
  <c r="K143" i="113"/>
  <c r="J143" i="113"/>
  <c r="I143" i="113"/>
  <c r="H143" i="113"/>
  <c r="G143" i="113"/>
  <c r="F143" i="113"/>
  <c r="E143" i="113"/>
  <c r="D143" i="113"/>
  <c r="C143" i="113"/>
  <c r="O142" i="113"/>
  <c r="N142" i="113"/>
  <c r="M142" i="113"/>
  <c r="L142" i="113"/>
  <c r="K142" i="113"/>
  <c r="J142" i="113"/>
  <c r="I142" i="113"/>
  <c r="H142" i="113"/>
  <c r="G142" i="113"/>
  <c r="F142" i="113"/>
  <c r="E142" i="113"/>
  <c r="D142" i="113"/>
  <c r="C142" i="113"/>
  <c r="O141" i="113"/>
  <c r="N141" i="113"/>
  <c r="M141" i="113"/>
  <c r="L141" i="113"/>
  <c r="K141" i="113"/>
  <c r="J141" i="113"/>
  <c r="I141" i="113"/>
  <c r="H141" i="113"/>
  <c r="G141" i="113"/>
  <c r="F141" i="113"/>
  <c r="E141" i="113"/>
  <c r="D141" i="113"/>
  <c r="C141" i="113"/>
  <c r="O140" i="113"/>
  <c r="N140" i="113"/>
  <c r="M140" i="113"/>
  <c r="L140" i="113"/>
  <c r="K140" i="113"/>
  <c r="J140" i="113"/>
  <c r="I140" i="113"/>
  <c r="H140" i="113"/>
  <c r="G140" i="113"/>
  <c r="F140" i="113"/>
  <c r="E140" i="113"/>
  <c r="D140" i="113"/>
  <c r="C140" i="113"/>
  <c r="O139" i="113"/>
  <c r="N139" i="113"/>
  <c r="M139" i="113"/>
  <c r="L139" i="113"/>
  <c r="K139" i="113"/>
  <c r="J139" i="113"/>
  <c r="I139" i="113"/>
  <c r="H139" i="113"/>
  <c r="G139" i="113"/>
  <c r="F139" i="113"/>
  <c r="E139" i="113"/>
  <c r="D139" i="113"/>
  <c r="C139" i="113"/>
  <c r="O138" i="113"/>
  <c r="N138" i="113"/>
  <c r="M138" i="113"/>
  <c r="L138" i="113"/>
  <c r="K138" i="113"/>
  <c r="J138" i="113"/>
  <c r="I138" i="113"/>
  <c r="H138" i="113"/>
  <c r="G138" i="113"/>
  <c r="F138" i="113"/>
  <c r="E138" i="113"/>
  <c r="D138" i="113"/>
  <c r="C138" i="113"/>
  <c r="O137" i="113"/>
  <c r="N137" i="113"/>
  <c r="M137" i="113"/>
  <c r="L137" i="113"/>
  <c r="K137" i="113"/>
  <c r="J137" i="113"/>
  <c r="I137" i="113"/>
  <c r="H137" i="113"/>
  <c r="G137" i="113"/>
  <c r="F137" i="113"/>
  <c r="E137" i="113"/>
  <c r="D137" i="113"/>
  <c r="C137" i="113"/>
  <c r="O136" i="113"/>
  <c r="N136" i="113"/>
  <c r="M136" i="113"/>
  <c r="L136" i="113"/>
  <c r="K136" i="113"/>
  <c r="J136" i="113"/>
  <c r="I136" i="113"/>
  <c r="H136" i="113"/>
  <c r="G136" i="113"/>
  <c r="F136" i="113"/>
  <c r="E136" i="113"/>
  <c r="D136" i="113"/>
  <c r="C136" i="113"/>
  <c r="O135" i="113"/>
  <c r="N135" i="113"/>
  <c r="M135" i="113"/>
  <c r="L135" i="113"/>
  <c r="K135" i="113"/>
  <c r="J135" i="113"/>
  <c r="I135" i="113"/>
  <c r="H135" i="113"/>
  <c r="G135" i="113"/>
  <c r="F135" i="113"/>
  <c r="E135" i="113"/>
  <c r="D135" i="113"/>
  <c r="C135" i="113"/>
  <c r="O134" i="113"/>
  <c r="N134" i="113"/>
  <c r="M134" i="113"/>
  <c r="L134" i="113"/>
  <c r="K134" i="113"/>
  <c r="J134" i="113"/>
  <c r="I134" i="113"/>
  <c r="H134" i="113"/>
  <c r="G134" i="113"/>
  <c r="F134" i="113"/>
  <c r="E134" i="113"/>
  <c r="D134" i="113"/>
  <c r="C134" i="113"/>
  <c r="O133" i="113"/>
  <c r="N133" i="113"/>
  <c r="M133" i="113"/>
  <c r="L133" i="113"/>
  <c r="K133" i="113"/>
  <c r="J133" i="113"/>
  <c r="I133" i="113"/>
  <c r="H133" i="113"/>
  <c r="G133" i="113"/>
  <c r="F133" i="113"/>
  <c r="E133" i="113"/>
  <c r="D133" i="113"/>
  <c r="C133" i="113"/>
  <c r="O132" i="113"/>
  <c r="N132" i="113"/>
  <c r="M132" i="113"/>
  <c r="L132" i="113"/>
  <c r="K132" i="113"/>
  <c r="J132" i="113"/>
  <c r="I132" i="113"/>
  <c r="H132" i="113"/>
  <c r="G132" i="113"/>
  <c r="F132" i="113"/>
  <c r="E132" i="113"/>
  <c r="D132" i="113"/>
  <c r="C132" i="113"/>
  <c r="O131" i="113"/>
  <c r="N131" i="113"/>
  <c r="M131" i="113"/>
  <c r="L131" i="113"/>
  <c r="K131" i="113"/>
  <c r="J131" i="113"/>
  <c r="I131" i="113"/>
  <c r="H131" i="113"/>
  <c r="G131" i="113"/>
  <c r="F131" i="113"/>
  <c r="E131" i="113"/>
  <c r="D131" i="113"/>
  <c r="C131" i="113"/>
  <c r="O130" i="113"/>
  <c r="N130" i="113"/>
  <c r="M130" i="113"/>
  <c r="L130" i="113"/>
  <c r="K130" i="113"/>
  <c r="J130" i="113"/>
  <c r="I130" i="113"/>
  <c r="H130" i="113"/>
  <c r="G130" i="113"/>
  <c r="F130" i="113"/>
  <c r="E130" i="113"/>
  <c r="D130" i="113"/>
  <c r="C130" i="113"/>
  <c r="O129" i="113"/>
  <c r="N129" i="113"/>
  <c r="M129" i="113"/>
  <c r="L129" i="113"/>
  <c r="K129" i="113"/>
  <c r="J129" i="113"/>
  <c r="I129" i="113"/>
  <c r="H129" i="113"/>
  <c r="G129" i="113"/>
  <c r="F129" i="113"/>
  <c r="E129" i="113"/>
  <c r="D129" i="113"/>
  <c r="C129" i="113"/>
  <c r="O126" i="113"/>
  <c r="N126" i="113"/>
  <c r="M126" i="113"/>
  <c r="L126" i="113"/>
  <c r="K126" i="113"/>
  <c r="J126" i="113"/>
  <c r="I126" i="113"/>
  <c r="H126" i="113"/>
  <c r="G126" i="113"/>
  <c r="F126" i="113"/>
  <c r="E126" i="113"/>
  <c r="D126" i="113"/>
  <c r="C126" i="113"/>
  <c r="O125" i="113"/>
  <c r="N125" i="113"/>
  <c r="M125" i="113"/>
  <c r="L125" i="113"/>
  <c r="K125" i="113"/>
  <c r="J125" i="113"/>
  <c r="I125" i="113"/>
  <c r="H125" i="113"/>
  <c r="G125" i="113"/>
  <c r="F125" i="113"/>
  <c r="E125" i="113"/>
  <c r="D125" i="113"/>
  <c r="C125" i="113"/>
  <c r="O124" i="113"/>
  <c r="N124" i="113"/>
  <c r="M124" i="113"/>
  <c r="L124" i="113"/>
  <c r="K124" i="113"/>
  <c r="J124" i="113"/>
  <c r="I124" i="113"/>
  <c r="H124" i="113"/>
  <c r="G124" i="113"/>
  <c r="F124" i="113"/>
  <c r="E124" i="113"/>
  <c r="D124" i="113"/>
  <c r="C124" i="113"/>
  <c r="O123" i="113"/>
  <c r="N123" i="113"/>
  <c r="M123" i="113"/>
  <c r="L123" i="113"/>
  <c r="K123" i="113"/>
  <c r="J123" i="113"/>
  <c r="I123" i="113"/>
  <c r="H123" i="113"/>
  <c r="G123" i="113"/>
  <c r="F123" i="113"/>
  <c r="E123" i="113"/>
  <c r="D123" i="113"/>
  <c r="C123" i="113"/>
  <c r="O122" i="113"/>
  <c r="N122" i="113"/>
  <c r="M122" i="113"/>
  <c r="L122" i="113"/>
  <c r="K122" i="113"/>
  <c r="J122" i="113"/>
  <c r="I122" i="113"/>
  <c r="H122" i="113"/>
  <c r="G122" i="113"/>
  <c r="F122" i="113"/>
  <c r="E122" i="113"/>
  <c r="D122" i="113"/>
  <c r="C122" i="113"/>
  <c r="O121" i="113"/>
  <c r="N121" i="113"/>
  <c r="M121" i="113"/>
  <c r="L121" i="113"/>
  <c r="K121" i="113"/>
  <c r="J121" i="113"/>
  <c r="I121" i="113"/>
  <c r="H121" i="113"/>
  <c r="G121" i="113"/>
  <c r="F121" i="113"/>
  <c r="E121" i="113"/>
  <c r="D121" i="113"/>
  <c r="C121" i="113"/>
  <c r="O120" i="113"/>
  <c r="N120" i="113"/>
  <c r="M120" i="113"/>
  <c r="L120" i="113"/>
  <c r="K120" i="113"/>
  <c r="J120" i="113"/>
  <c r="I120" i="113"/>
  <c r="H120" i="113"/>
  <c r="G120" i="113"/>
  <c r="F120" i="113"/>
  <c r="E120" i="113"/>
  <c r="D120" i="113"/>
  <c r="C120" i="113"/>
  <c r="O119" i="113"/>
  <c r="N119" i="113"/>
  <c r="M119" i="113"/>
  <c r="L119" i="113"/>
  <c r="K119" i="113"/>
  <c r="J119" i="113"/>
  <c r="I119" i="113"/>
  <c r="H119" i="113"/>
  <c r="G119" i="113"/>
  <c r="F119" i="113"/>
  <c r="E119" i="113"/>
  <c r="D119" i="113"/>
  <c r="C119" i="113"/>
  <c r="O118" i="113"/>
  <c r="N118" i="113"/>
  <c r="M118" i="113"/>
  <c r="L118" i="113"/>
  <c r="K118" i="113"/>
  <c r="J118" i="113"/>
  <c r="I118" i="113"/>
  <c r="H118" i="113"/>
  <c r="G118" i="113"/>
  <c r="F118" i="113"/>
  <c r="E118" i="113"/>
  <c r="D118" i="113"/>
  <c r="C118" i="113"/>
  <c r="O117" i="113"/>
  <c r="N117" i="113"/>
  <c r="M117" i="113"/>
  <c r="L117" i="113"/>
  <c r="K117" i="113"/>
  <c r="J117" i="113"/>
  <c r="I117" i="113"/>
  <c r="H117" i="113"/>
  <c r="G117" i="113"/>
  <c r="F117" i="113"/>
  <c r="E117" i="113"/>
  <c r="D117" i="113"/>
  <c r="C117" i="113"/>
  <c r="O116" i="113"/>
  <c r="N116" i="113"/>
  <c r="M116" i="113"/>
  <c r="L116" i="113"/>
  <c r="K116" i="113"/>
  <c r="J116" i="113"/>
  <c r="I116" i="113"/>
  <c r="H116" i="113"/>
  <c r="G116" i="113"/>
  <c r="F116" i="113"/>
  <c r="E116" i="113"/>
  <c r="D116" i="113"/>
  <c r="C116" i="113"/>
  <c r="O115" i="113"/>
  <c r="N115" i="113"/>
  <c r="M115" i="113"/>
  <c r="L115" i="113"/>
  <c r="K115" i="113"/>
  <c r="J115" i="113"/>
  <c r="I115" i="113"/>
  <c r="H115" i="113"/>
  <c r="G115" i="113"/>
  <c r="F115" i="113"/>
  <c r="E115" i="113"/>
  <c r="D115" i="113"/>
  <c r="C115" i="113"/>
  <c r="O112" i="113"/>
  <c r="N112" i="113"/>
  <c r="M112" i="113"/>
  <c r="L112" i="113"/>
  <c r="K112" i="113"/>
  <c r="J112" i="113"/>
  <c r="I112" i="113"/>
  <c r="H112" i="113"/>
  <c r="G112" i="113"/>
  <c r="F112" i="113"/>
  <c r="E112" i="113"/>
  <c r="D112" i="113"/>
  <c r="C112" i="113"/>
  <c r="O111" i="113"/>
  <c r="N111" i="113"/>
  <c r="M111" i="113"/>
  <c r="L111" i="113"/>
  <c r="K111" i="113"/>
  <c r="J111" i="113"/>
  <c r="I111" i="113"/>
  <c r="H111" i="113"/>
  <c r="G111" i="113"/>
  <c r="F111" i="113"/>
  <c r="E111" i="113"/>
  <c r="D111" i="113"/>
  <c r="C111" i="113"/>
  <c r="O110" i="113"/>
  <c r="N110" i="113"/>
  <c r="M110" i="113"/>
  <c r="L110" i="113"/>
  <c r="K110" i="113"/>
  <c r="J110" i="113"/>
  <c r="I110" i="113"/>
  <c r="H110" i="113"/>
  <c r="G110" i="113"/>
  <c r="F110" i="113"/>
  <c r="E110" i="113"/>
  <c r="D110" i="113"/>
  <c r="C110" i="113"/>
  <c r="O109" i="113"/>
  <c r="N109" i="113"/>
  <c r="M109" i="113"/>
  <c r="L109" i="113"/>
  <c r="K109" i="113"/>
  <c r="J109" i="113"/>
  <c r="I109" i="113"/>
  <c r="H109" i="113"/>
  <c r="G109" i="113"/>
  <c r="F109" i="113"/>
  <c r="E109" i="113"/>
  <c r="D109" i="113"/>
  <c r="C109" i="113"/>
  <c r="O106" i="113"/>
  <c r="N106" i="113"/>
  <c r="M106" i="113"/>
  <c r="L106" i="113"/>
  <c r="K106" i="113"/>
  <c r="J106" i="113"/>
  <c r="I106" i="113"/>
  <c r="H106" i="113"/>
  <c r="G106" i="113"/>
  <c r="F106" i="113"/>
  <c r="E106" i="113"/>
  <c r="D106" i="113"/>
  <c r="C106" i="113"/>
  <c r="O105" i="113"/>
  <c r="N105" i="113"/>
  <c r="M105" i="113"/>
  <c r="L105" i="113"/>
  <c r="K105" i="113"/>
  <c r="J105" i="113"/>
  <c r="I105" i="113"/>
  <c r="H105" i="113"/>
  <c r="G105" i="113"/>
  <c r="F105" i="113"/>
  <c r="E105" i="113"/>
  <c r="D105" i="113"/>
  <c r="C105" i="113"/>
  <c r="O104" i="113"/>
  <c r="N104" i="113"/>
  <c r="M104" i="113"/>
  <c r="L104" i="113"/>
  <c r="K104" i="113"/>
  <c r="J104" i="113"/>
  <c r="I104" i="113"/>
  <c r="H104" i="113"/>
  <c r="G104" i="113"/>
  <c r="F104" i="113"/>
  <c r="E104" i="113"/>
  <c r="D104" i="113"/>
  <c r="C104" i="113"/>
  <c r="O103" i="113"/>
  <c r="N103" i="113"/>
  <c r="M103" i="113"/>
  <c r="L103" i="113"/>
  <c r="K103" i="113"/>
  <c r="J103" i="113"/>
  <c r="I103" i="113"/>
  <c r="H103" i="113"/>
  <c r="G103" i="113"/>
  <c r="F103" i="113"/>
  <c r="E103" i="113"/>
  <c r="D103" i="113"/>
  <c r="C103" i="113"/>
  <c r="O102" i="113"/>
  <c r="N102" i="113"/>
  <c r="M102" i="113"/>
  <c r="L102" i="113"/>
  <c r="K102" i="113"/>
  <c r="J102" i="113"/>
  <c r="I102" i="113"/>
  <c r="H102" i="113"/>
  <c r="G102" i="113"/>
  <c r="F102" i="113"/>
  <c r="E102" i="113"/>
  <c r="D102" i="113"/>
  <c r="C102" i="113"/>
  <c r="O101" i="113"/>
  <c r="N101" i="113"/>
  <c r="M101" i="113"/>
  <c r="L101" i="113"/>
  <c r="K101" i="113"/>
  <c r="J101" i="113"/>
  <c r="I101" i="113"/>
  <c r="H101" i="113"/>
  <c r="G101" i="113"/>
  <c r="F101" i="113"/>
  <c r="E101" i="113"/>
  <c r="D101" i="113"/>
  <c r="C101" i="113"/>
  <c r="O100" i="113"/>
  <c r="N100" i="113"/>
  <c r="M100" i="113"/>
  <c r="L100" i="113"/>
  <c r="K100" i="113"/>
  <c r="J100" i="113"/>
  <c r="I100" i="113"/>
  <c r="H100" i="113"/>
  <c r="G100" i="113"/>
  <c r="F100" i="113"/>
  <c r="E100" i="113"/>
  <c r="D100" i="113"/>
  <c r="C100" i="113"/>
  <c r="O99" i="113"/>
  <c r="N99" i="113"/>
  <c r="M99" i="113"/>
  <c r="L99" i="113"/>
  <c r="K99" i="113"/>
  <c r="J99" i="113"/>
  <c r="I99" i="113"/>
  <c r="H99" i="113"/>
  <c r="G99" i="113"/>
  <c r="F99" i="113"/>
  <c r="E99" i="113"/>
  <c r="D99" i="113"/>
  <c r="C99" i="113"/>
  <c r="O98" i="113"/>
  <c r="N98" i="113"/>
  <c r="M98" i="113"/>
  <c r="L98" i="113"/>
  <c r="K98" i="113"/>
  <c r="J98" i="113"/>
  <c r="I98" i="113"/>
  <c r="H98" i="113"/>
  <c r="G98" i="113"/>
  <c r="F98" i="113"/>
  <c r="E98" i="113"/>
  <c r="D98" i="113"/>
  <c r="C98" i="113"/>
  <c r="O97" i="113"/>
  <c r="N97" i="113"/>
  <c r="M97" i="113"/>
  <c r="L97" i="113"/>
  <c r="K97" i="113"/>
  <c r="J97" i="113"/>
  <c r="I97" i="113"/>
  <c r="H97" i="113"/>
  <c r="G97" i="113"/>
  <c r="F97" i="113"/>
  <c r="E97" i="113"/>
  <c r="D97" i="113"/>
  <c r="C97" i="113"/>
  <c r="O96" i="113"/>
  <c r="N96" i="113"/>
  <c r="M96" i="113"/>
  <c r="L96" i="113"/>
  <c r="K96" i="113"/>
  <c r="J96" i="113"/>
  <c r="I96" i="113"/>
  <c r="H96" i="113"/>
  <c r="G96" i="113"/>
  <c r="F96" i="113"/>
  <c r="E96" i="113"/>
  <c r="D96" i="113"/>
  <c r="C96" i="113"/>
  <c r="O95" i="113"/>
  <c r="N95" i="113"/>
  <c r="M95" i="113"/>
  <c r="L95" i="113"/>
  <c r="K95" i="113"/>
  <c r="J95" i="113"/>
  <c r="I95" i="113"/>
  <c r="H95" i="113"/>
  <c r="G95" i="113"/>
  <c r="F95" i="113"/>
  <c r="E95" i="113"/>
  <c r="D95" i="113"/>
  <c r="C95" i="113"/>
  <c r="O94" i="113"/>
  <c r="N94" i="113"/>
  <c r="M94" i="113"/>
  <c r="L94" i="113"/>
  <c r="K94" i="113"/>
  <c r="J94" i="113"/>
  <c r="I94" i="113"/>
  <c r="H94" i="113"/>
  <c r="G94" i="113"/>
  <c r="F94" i="113"/>
  <c r="E94" i="113"/>
  <c r="D94" i="113"/>
  <c r="C94" i="113"/>
  <c r="O93" i="113"/>
  <c r="N93" i="113"/>
  <c r="M93" i="113"/>
  <c r="L93" i="113"/>
  <c r="K93" i="113"/>
  <c r="J93" i="113"/>
  <c r="I93" i="113"/>
  <c r="H93" i="113"/>
  <c r="G93" i="113"/>
  <c r="F93" i="113"/>
  <c r="E93" i="113"/>
  <c r="D93" i="113"/>
  <c r="C93" i="113"/>
  <c r="O92" i="113"/>
  <c r="N92" i="113"/>
  <c r="M92" i="113"/>
  <c r="L92" i="113"/>
  <c r="K92" i="113"/>
  <c r="J92" i="113"/>
  <c r="I92" i="113"/>
  <c r="H92" i="113"/>
  <c r="G92" i="113"/>
  <c r="F92" i="113"/>
  <c r="E92" i="113"/>
  <c r="D92" i="113"/>
  <c r="C92" i="113"/>
  <c r="O91" i="113"/>
  <c r="N91" i="113"/>
  <c r="M91" i="113"/>
  <c r="L91" i="113"/>
  <c r="K91" i="113"/>
  <c r="J91" i="113"/>
  <c r="I91" i="113"/>
  <c r="H91" i="113"/>
  <c r="G91" i="113"/>
  <c r="F91" i="113"/>
  <c r="E91" i="113"/>
  <c r="D91" i="113"/>
  <c r="C91" i="113"/>
  <c r="O90" i="113"/>
  <c r="N90" i="113"/>
  <c r="M90" i="113"/>
  <c r="L90" i="113"/>
  <c r="K90" i="113"/>
  <c r="J90" i="113"/>
  <c r="I90" i="113"/>
  <c r="H90" i="113"/>
  <c r="G90" i="113"/>
  <c r="F90" i="113"/>
  <c r="E90" i="113"/>
  <c r="D90" i="113"/>
  <c r="C90" i="113"/>
  <c r="O89" i="113"/>
  <c r="N89" i="113"/>
  <c r="M89" i="113"/>
  <c r="L89" i="113"/>
  <c r="K89" i="113"/>
  <c r="J89" i="113"/>
  <c r="I89" i="113"/>
  <c r="H89" i="113"/>
  <c r="G89" i="113"/>
  <c r="F89" i="113"/>
  <c r="E89" i="113"/>
  <c r="D89" i="113"/>
  <c r="C89" i="113"/>
  <c r="O88" i="113"/>
  <c r="N88" i="113"/>
  <c r="M88" i="113"/>
  <c r="L88" i="113"/>
  <c r="K88" i="113"/>
  <c r="J88" i="113"/>
  <c r="I88" i="113"/>
  <c r="H88" i="113"/>
  <c r="G88" i="113"/>
  <c r="F88" i="113"/>
  <c r="E88" i="113"/>
  <c r="D88" i="113"/>
  <c r="C88" i="113"/>
  <c r="O87" i="113"/>
  <c r="N87" i="113"/>
  <c r="M87" i="113"/>
  <c r="L87" i="113"/>
  <c r="K87" i="113"/>
  <c r="J87" i="113"/>
  <c r="I87" i="113"/>
  <c r="H87" i="113"/>
  <c r="G87" i="113"/>
  <c r="F87" i="113"/>
  <c r="E87" i="113"/>
  <c r="D87" i="113"/>
  <c r="C87" i="113"/>
  <c r="O86" i="113"/>
  <c r="N86" i="113"/>
  <c r="M86" i="113"/>
  <c r="L86" i="113"/>
  <c r="K86" i="113"/>
  <c r="J86" i="113"/>
  <c r="I86" i="113"/>
  <c r="H86" i="113"/>
  <c r="G86" i="113"/>
  <c r="F86" i="113"/>
  <c r="E86" i="113"/>
  <c r="D86" i="113"/>
  <c r="C86" i="113"/>
  <c r="O85" i="113"/>
  <c r="N85" i="113"/>
  <c r="M85" i="113"/>
  <c r="L85" i="113"/>
  <c r="K85" i="113"/>
  <c r="J85" i="113"/>
  <c r="I85" i="113"/>
  <c r="H85" i="113"/>
  <c r="G85" i="113"/>
  <c r="F85" i="113"/>
  <c r="E85" i="113"/>
  <c r="D85" i="113"/>
  <c r="C85" i="113"/>
  <c r="O84" i="113"/>
  <c r="N84" i="113"/>
  <c r="M84" i="113"/>
  <c r="L84" i="113"/>
  <c r="K84" i="113"/>
  <c r="J84" i="113"/>
  <c r="I84" i="113"/>
  <c r="H84" i="113"/>
  <c r="G84" i="113"/>
  <c r="F84" i="113"/>
  <c r="E84" i="113"/>
  <c r="D84" i="113"/>
  <c r="C84" i="113"/>
  <c r="O83" i="113"/>
  <c r="N83" i="113"/>
  <c r="M83" i="113"/>
  <c r="L83" i="113"/>
  <c r="K83" i="113"/>
  <c r="J83" i="113"/>
  <c r="I83" i="113"/>
  <c r="H83" i="113"/>
  <c r="G83" i="113"/>
  <c r="F83" i="113"/>
  <c r="E83" i="113"/>
  <c r="D83" i="113"/>
  <c r="C83" i="113"/>
  <c r="O82" i="113"/>
  <c r="N82" i="113"/>
  <c r="M82" i="113"/>
  <c r="L82" i="113"/>
  <c r="K82" i="113"/>
  <c r="J82" i="113"/>
  <c r="I82" i="113"/>
  <c r="H82" i="113"/>
  <c r="G82" i="113"/>
  <c r="F82" i="113"/>
  <c r="E82" i="113"/>
  <c r="D82" i="113"/>
  <c r="C82" i="113"/>
  <c r="O81" i="113"/>
  <c r="N81" i="113"/>
  <c r="M81" i="113"/>
  <c r="L81" i="113"/>
  <c r="K81" i="113"/>
  <c r="J81" i="113"/>
  <c r="I81" i="113"/>
  <c r="H81" i="113"/>
  <c r="G81" i="113"/>
  <c r="F81" i="113"/>
  <c r="E81" i="113"/>
  <c r="D81" i="113"/>
  <c r="C81" i="113"/>
  <c r="O80" i="113"/>
  <c r="N80" i="113"/>
  <c r="M80" i="113"/>
  <c r="L80" i="113"/>
  <c r="K80" i="113"/>
  <c r="J80" i="113"/>
  <c r="I80" i="113"/>
  <c r="H80" i="113"/>
  <c r="G80" i="113"/>
  <c r="F80" i="113"/>
  <c r="E80" i="113"/>
  <c r="D80" i="113"/>
  <c r="C80" i="113"/>
  <c r="O79" i="113"/>
  <c r="N79" i="113"/>
  <c r="M79" i="113"/>
  <c r="L79" i="113"/>
  <c r="K79" i="113"/>
  <c r="J79" i="113"/>
  <c r="I79" i="113"/>
  <c r="H79" i="113"/>
  <c r="G79" i="113"/>
  <c r="F79" i="113"/>
  <c r="E79" i="113"/>
  <c r="D79" i="113"/>
  <c r="C79" i="113"/>
  <c r="O78" i="113"/>
  <c r="N78" i="113"/>
  <c r="M78" i="113"/>
  <c r="L78" i="113"/>
  <c r="K78" i="113"/>
  <c r="J78" i="113"/>
  <c r="I78" i="113"/>
  <c r="H78" i="113"/>
  <c r="G78" i="113"/>
  <c r="F78" i="113"/>
  <c r="E78" i="113"/>
  <c r="D78" i="113"/>
  <c r="C78" i="113"/>
  <c r="O77" i="113"/>
  <c r="N77" i="113"/>
  <c r="M77" i="113"/>
  <c r="L77" i="113"/>
  <c r="K77" i="113"/>
  <c r="J77" i="113"/>
  <c r="I77" i="113"/>
  <c r="H77" i="113"/>
  <c r="G77" i="113"/>
  <c r="F77" i="113"/>
  <c r="E77" i="113"/>
  <c r="D77" i="113"/>
  <c r="C77" i="113"/>
  <c r="O76" i="113"/>
  <c r="N76" i="113"/>
  <c r="M76" i="113"/>
  <c r="L76" i="113"/>
  <c r="K76" i="113"/>
  <c r="J76" i="113"/>
  <c r="I76" i="113"/>
  <c r="H76" i="113"/>
  <c r="G76" i="113"/>
  <c r="F76" i="113"/>
  <c r="E76" i="113"/>
  <c r="D76" i="113"/>
  <c r="C76" i="113"/>
  <c r="O75" i="113"/>
  <c r="N75" i="113"/>
  <c r="M75" i="113"/>
  <c r="L75" i="113"/>
  <c r="K75" i="113"/>
  <c r="J75" i="113"/>
  <c r="I75" i="113"/>
  <c r="H75" i="113"/>
  <c r="G75" i="113"/>
  <c r="F75" i="113"/>
  <c r="E75" i="113"/>
  <c r="D75" i="113"/>
  <c r="C75" i="113"/>
  <c r="O74" i="113"/>
  <c r="N74" i="113"/>
  <c r="M74" i="113"/>
  <c r="L74" i="113"/>
  <c r="K74" i="113"/>
  <c r="J74" i="113"/>
  <c r="I74" i="113"/>
  <c r="H74" i="113"/>
  <c r="G74" i="113"/>
  <c r="F74" i="113"/>
  <c r="E74" i="113"/>
  <c r="D74" i="113"/>
  <c r="C74" i="113"/>
  <c r="O73" i="113"/>
  <c r="N73" i="113"/>
  <c r="M73" i="113"/>
  <c r="L73" i="113"/>
  <c r="K73" i="113"/>
  <c r="J73" i="113"/>
  <c r="I73" i="113"/>
  <c r="H73" i="113"/>
  <c r="G73" i="113"/>
  <c r="F73" i="113"/>
  <c r="E73" i="113"/>
  <c r="D73" i="113"/>
  <c r="C73" i="113"/>
  <c r="O72" i="113"/>
  <c r="N72" i="113"/>
  <c r="M72" i="113"/>
  <c r="L72" i="113"/>
  <c r="K72" i="113"/>
  <c r="J72" i="113"/>
  <c r="I72" i="113"/>
  <c r="H72" i="113"/>
  <c r="G72" i="113"/>
  <c r="F72" i="113"/>
  <c r="E72" i="113"/>
  <c r="D72" i="113"/>
  <c r="C72" i="113"/>
  <c r="O71" i="113"/>
  <c r="N71" i="113"/>
  <c r="M71" i="113"/>
  <c r="L71" i="113"/>
  <c r="K71" i="113"/>
  <c r="J71" i="113"/>
  <c r="I71" i="113"/>
  <c r="H71" i="113"/>
  <c r="G71" i="113"/>
  <c r="F71" i="113"/>
  <c r="E71" i="113"/>
  <c r="D71" i="113"/>
  <c r="C71" i="113"/>
  <c r="O70" i="113"/>
  <c r="N70" i="113"/>
  <c r="M70" i="113"/>
  <c r="L70" i="113"/>
  <c r="K70" i="113"/>
  <c r="J70" i="113"/>
  <c r="I70" i="113"/>
  <c r="H70" i="113"/>
  <c r="G70" i="113"/>
  <c r="F70" i="113"/>
  <c r="E70" i="113"/>
  <c r="D70" i="113"/>
  <c r="C70" i="113"/>
  <c r="O69" i="113"/>
  <c r="N69" i="113"/>
  <c r="M69" i="113"/>
  <c r="L69" i="113"/>
  <c r="K69" i="113"/>
  <c r="J69" i="113"/>
  <c r="I69" i="113"/>
  <c r="H69" i="113"/>
  <c r="G69" i="113"/>
  <c r="F69" i="113"/>
  <c r="E69" i="113"/>
  <c r="D69" i="113"/>
  <c r="C69" i="113"/>
  <c r="O68" i="113"/>
  <c r="N68" i="113"/>
  <c r="M68" i="113"/>
  <c r="L68" i="113"/>
  <c r="K68" i="113"/>
  <c r="J68" i="113"/>
  <c r="I68" i="113"/>
  <c r="H68" i="113"/>
  <c r="G68" i="113"/>
  <c r="F68" i="113"/>
  <c r="E68" i="113"/>
  <c r="D68" i="113"/>
  <c r="C68" i="113"/>
  <c r="O67" i="113"/>
  <c r="N67" i="113"/>
  <c r="M67" i="113"/>
  <c r="L67" i="113"/>
  <c r="K67" i="113"/>
  <c r="J67" i="113"/>
  <c r="I67" i="113"/>
  <c r="H67" i="113"/>
  <c r="G67" i="113"/>
  <c r="F67" i="113"/>
  <c r="E67" i="113"/>
  <c r="D67" i="113"/>
  <c r="C67" i="113"/>
  <c r="O66" i="113"/>
  <c r="N66" i="113"/>
  <c r="M66" i="113"/>
  <c r="L66" i="113"/>
  <c r="K66" i="113"/>
  <c r="J66" i="113"/>
  <c r="I66" i="113"/>
  <c r="H66" i="113"/>
  <c r="G66" i="113"/>
  <c r="F66" i="113"/>
  <c r="E66" i="113"/>
  <c r="D66" i="113"/>
  <c r="C66" i="113"/>
  <c r="O65" i="113"/>
  <c r="N65" i="113"/>
  <c r="M65" i="113"/>
  <c r="L65" i="113"/>
  <c r="K65" i="113"/>
  <c r="J65" i="113"/>
  <c r="I65" i="113"/>
  <c r="H65" i="113"/>
  <c r="G65" i="113"/>
  <c r="F65" i="113"/>
  <c r="E65" i="113"/>
  <c r="D65" i="113"/>
  <c r="C65" i="113"/>
  <c r="O64" i="113"/>
  <c r="N64" i="113"/>
  <c r="M64" i="113"/>
  <c r="L64" i="113"/>
  <c r="K64" i="113"/>
  <c r="J64" i="113"/>
  <c r="I64" i="113"/>
  <c r="H64" i="113"/>
  <c r="G64" i="113"/>
  <c r="F64" i="113"/>
  <c r="E64" i="113"/>
  <c r="D64" i="113"/>
  <c r="C64" i="113"/>
  <c r="O63" i="113"/>
  <c r="N63" i="113"/>
  <c r="M63" i="113"/>
  <c r="L63" i="113"/>
  <c r="K63" i="113"/>
  <c r="J63" i="113"/>
  <c r="I63" i="113"/>
  <c r="H63" i="113"/>
  <c r="G63" i="113"/>
  <c r="F63" i="113"/>
  <c r="E63" i="113"/>
  <c r="D63" i="113"/>
  <c r="C63" i="113"/>
  <c r="O62" i="113"/>
  <c r="N62" i="113"/>
  <c r="M62" i="113"/>
  <c r="L62" i="113"/>
  <c r="K62" i="113"/>
  <c r="J62" i="113"/>
  <c r="I62" i="113"/>
  <c r="H62" i="113"/>
  <c r="G62" i="113"/>
  <c r="F62" i="113"/>
  <c r="E62" i="113"/>
  <c r="D62" i="113"/>
  <c r="C62" i="113"/>
  <c r="O61" i="113"/>
  <c r="N61" i="113"/>
  <c r="M61" i="113"/>
  <c r="L61" i="113"/>
  <c r="K61" i="113"/>
  <c r="J61" i="113"/>
  <c r="I61" i="113"/>
  <c r="H61" i="113"/>
  <c r="G61" i="113"/>
  <c r="F61" i="113"/>
  <c r="E61" i="113"/>
  <c r="D61" i="113"/>
  <c r="C61" i="113"/>
  <c r="O60" i="113"/>
  <c r="N60" i="113"/>
  <c r="M60" i="113"/>
  <c r="L60" i="113"/>
  <c r="K60" i="113"/>
  <c r="J60" i="113"/>
  <c r="I60" i="113"/>
  <c r="H60" i="113"/>
  <c r="G60" i="113"/>
  <c r="F60" i="113"/>
  <c r="E60" i="113"/>
  <c r="D60" i="113"/>
  <c r="C60" i="113"/>
  <c r="O59" i="113"/>
  <c r="N59" i="113"/>
  <c r="M59" i="113"/>
  <c r="L59" i="113"/>
  <c r="K59" i="113"/>
  <c r="J59" i="113"/>
  <c r="I59" i="113"/>
  <c r="H59" i="113"/>
  <c r="G59" i="113"/>
  <c r="F59" i="113"/>
  <c r="E59" i="113"/>
  <c r="D59" i="113"/>
  <c r="C59" i="113"/>
  <c r="O58" i="113"/>
  <c r="N58" i="113"/>
  <c r="M58" i="113"/>
  <c r="L58" i="113"/>
  <c r="K58" i="113"/>
  <c r="J58" i="113"/>
  <c r="I58" i="113"/>
  <c r="H58" i="113"/>
  <c r="G58" i="113"/>
  <c r="F58" i="113"/>
  <c r="E58" i="113"/>
  <c r="D58" i="113"/>
  <c r="C58" i="113"/>
  <c r="O57" i="113"/>
  <c r="N57" i="113"/>
  <c r="M57" i="113"/>
  <c r="L57" i="113"/>
  <c r="K57" i="113"/>
  <c r="J57" i="113"/>
  <c r="I57" i="113"/>
  <c r="H57" i="113"/>
  <c r="G57" i="113"/>
  <c r="F57" i="113"/>
  <c r="E57" i="113"/>
  <c r="D57" i="113"/>
  <c r="C57" i="113"/>
  <c r="O56" i="113"/>
  <c r="N56" i="113"/>
  <c r="M56" i="113"/>
  <c r="L56" i="113"/>
  <c r="K56" i="113"/>
  <c r="J56" i="113"/>
  <c r="I56" i="113"/>
  <c r="H56" i="113"/>
  <c r="G56" i="113"/>
  <c r="F56" i="113"/>
  <c r="E56" i="113"/>
  <c r="D56" i="113"/>
  <c r="C56" i="113"/>
  <c r="O55" i="113"/>
  <c r="N55" i="113"/>
  <c r="M55" i="113"/>
  <c r="L55" i="113"/>
  <c r="K55" i="113"/>
  <c r="J55" i="113"/>
  <c r="I55" i="113"/>
  <c r="H55" i="113"/>
  <c r="G55" i="113"/>
  <c r="F55" i="113"/>
  <c r="E55" i="113"/>
  <c r="D55" i="113"/>
  <c r="C55" i="113"/>
  <c r="O54" i="113"/>
  <c r="N54" i="113"/>
  <c r="M54" i="113"/>
  <c r="L54" i="113"/>
  <c r="K54" i="113"/>
  <c r="J54" i="113"/>
  <c r="I54" i="113"/>
  <c r="H54" i="113"/>
  <c r="G54" i="113"/>
  <c r="F54" i="113"/>
  <c r="E54" i="113"/>
  <c r="D54" i="113"/>
  <c r="C54" i="113"/>
  <c r="O53" i="113"/>
  <c r="N53" i="113"/>
  <c r="M53" i="113"/>
  <c r="L53" i="113"/>
  <c r="K53" i="113"/>
  <c r="J53" i="113"/>
  <c r="I53" i="113"/>
  <c r="H53" i="113"/>
  <c r="G53" i="113"/>
  <c r="F53" i="113"/>
  <c r="E53" i="113"/>
  <c r="D53" i="113"/>
  <c r="C53" i="113"/>
  <c r="O52" i="113"/>
  <c r="N52" i="113"/>
  <c r="M52" i="113"/>
  <c r="L52" i="113"/>
  <c r="K52" i="113"/>
  <c r="J52" i="113"/>
  <c r="I52" i="113"/>
  <c r="H52" i="113"/>
  <c r="G52" i="113"/>
  <c r="F52" i="113"/>
  <c r="E52" i="113"/>
  <c r="D52" i="113"/>
  <c r="C52" i="113"/>
  <c r="O51" i="113"/>
  <c r="N51" i="113"/>
  <c r="M51" i="113"/>
  <c r="L51" i="113"/>
  <c r="K51" i="113"/>
  <c r="J51" i="113"/>
  <c r="I51" i="113"/>
  <c r="H51" i="113"/>
  <c r="G51" i="113"/>
  <c r="F51" i="113"/>
  <c r="E51" i="113"/>
  <c r="D51" i="113"/>
  <c r="C51" i="113"/>
  <c r="O48" i="113"/>
  <c r="N48" i="113"/>
  <c r="M48" i="113"/>
  <c r="L48" i="113"/>
  <c r="K48" i="113"/>
  <c r="J48" i="113"/>
  <c r="I48" i="113"/>
  <c r="H48" i="113"/>
  <c r="G48" i="113"/>
  <c r="F48" i="113"/>
  <c r="E48" i="113"/>
  <c r="D48" i="113"/>
  <c r="C48" i="113"/>
  <c r="O46" i="113"/>
  <c r="N46" i="113"/>
  <c r="M46" i="113"/>
  <c r="L46" i="113"/>
  <c r="K46" i="113"/>
  <c r="J46" i="113"/>
  <c r="I46" i="113"/>
  <c r="H46" i="113"/>
  <c r="G46" i="113"/>
  <c r="F46" i="113"/>
  <c r="E46" i="113"/>
  <c r="D46" i="113"/>
  <c r="C46" i="113"/>
  <c r="O45" i="113"/>
  <c r="N45" i="113"/>
  <c r="M45" i="113"/>
  <c r="L45" i="113"/>
  <c r="K45" i="113"/>
  <c r="J45" i="113"/>
  <c r="I45" i="113"/>
  <c r="H45" i="113"/>
  <c r="G45" i="113"/>
  <c r="F45" i="113"/>
  <c r="E45" i="113"/>
  <c r="D45" i="113"/>
  <c r="C45" i="113"/>
  <c r="O42" i="113"/>
  <c r="N42" i="113"/>
  <c r="M42" i="113"/>
  <c r="L42" i="113"/>
  <c r="K42" i="113"/>
  <c r="J42" i="113"/>
  <c r="I42" i="113"/>
  <c r="H42" i="113"/>
  <c r="G42" i="113"/>
  <c r="F42" i="113"/>
  <c r="E42" i="113"/>
  <c r="D42" i="113"/>
  <c r="C42" i="113"/>
  <c r="O41" i="113"/>
  <c r="N41" i="113"/>
  <c r="M41" i="113"/>
  <c r="L41" i="113"/>
  <c r="K41" i="113"/>
  <c r="J41" i="113"/>
  <c r="I41" i="113"/>
  <c r="H41" i="113"/>
  <c r="G41" i="113"/>
  <c r="F41" i="113"/>
  <c r="E41" i="113"/>
  <c r="D41" i="113"/>
  <c r="C41" i="113"/>
  <c r="O38" i="113"/>
  <c r="N38" i="113"/>
  <c r="M38" i="113"/>
  <c r="L38" i="113"/>
  <c r="K38" i="113"/>
  <c r="J38" i="113"/>
  <c r="I38" i="113"/>
  <c r="H38" i="113"/>
  <c r="G38" i="113"/>
  <c r="F38" i="113"/>
  <c r="E38" i="113"/>
  <c r="D38" i="113"/>
  <c r="C38" i="113"/>
  <c r="O37" i="113"/>
  <c r="N37" i="113"/>
  <c r="M37" i="113"/>
  <c r="L37" i="113"/>
  <c r="K37" i="113"/>
  <c r="J37" i="113"/>
  <c r="I37" i="113"/>
  <c r="H37" i="113"/>
  <c r="G37" i="113"/>
  <c r="F37" i="113"/>
  <c r="E37" i="113"/>
  <c r="D37" i="113"/>
  <c r="C37" i="113"/>
  <c r="O34" i="113"/>
  <c r="N34" i="113"/>
  <c r="M34" i="113"/>
  <c r="L34" i="113"/>
  <c r="K34" i="113"/>
  <c r="J34" i="113"/>
  <c r="I34" i="113"/>
  <c r="H34" i="113"/>
  <c r="G34" i="113"/>
  <c r="F34" i="113"/>
  <c r="E34" i="113"/>
  <c r="D34" i="113"/>
  <c r="C34" i="113"/>
  <c r="O33" i="113"/>
  <c r="N33" i="113"/>
  <c r="M33" i="113"/>
  <c r="L33" i="113"/>
  <c r="K33" i="113"/>
  <c r="J33" i="113"/>
  <c r="I33" i="113"/>
  <c r="H33" i="113"/>
  <c r="G33" i="113"/>
  <c r="F33" i="113"/>
  <c r="E33" i="113"/>
  <c r="D33" i="113"/>
  <c r="C33" i="113"/>
  <c r="O32" i="113"/>
  <c r="N32" i="113"/>
  <c r="M32" i="113"/>
  <c r="L32" i="113"/>
  <c r="K32" i="113"/>
  <c r="J32" i="113"/>
  <c r="I32" i="113"/>
  <c r="H32" i="113"/>
  <c r="G32" i="113"/>
  <c r="F32" i="113"/>
  <c r="E32" i="113"/>
  <c r="D32" i="113"/>
  <c r="C32" i="113"/>
  <c r="O31" i="113"/>
  <c r="N31" i="113"/>
  <c r="M31" i="113"/>
  <c r="L31" i="113"/>
  <c r="K31" i="113"/>
  <c r="J31" i="113"/>
  <c r="I31" i="113"/>
  <c r="H31" i="113"/>
  <c r="G31" i="113"/>
  <c r="F31" i="113"/>
  <c r="E31" i="113"/>
  <c r="D31" i="113"/>
  <c r="C31" i="113"/>
  <c r="O30" i="113"/>
  <c r="N30" i="113"/>
  <c r="M30" i="113"/>
  <c r="L30" i="113"/>
  <c r="K30" i="113"/>
  <c r="J30" i="113"/>
  <c r="I30" i="113"/>
  <c r="H30" i="113"/>
  <c r="G30" i="113"/>
  <c r="F30" i="113"/>
  <c r="E30" i="113"/>
  <c r="D30" i="113"/>
  <c r="C30" i="113"/>
  <c r="O29" i="113"/>
  <c r="N29" i="113"/>
  <c r="M29" i="113"/>
  <c r="L29" i="113"/>
  <c r="K29" i="113"/>
  <c r="J29" i="113"/>
  <c r="I29" i="113"/>
  <c r="H29" i="113"/>
  <c r="G29" i="113"/>
  <c r="F29" i="113"/>
  <c r="E29" i="113"/>
  <c r="D29" i="113"/>
  <c r="C29" i="113"/>
  <c r="O28" i="113"/>
  <c r="N28" i="113"/>
  <c r="M28" i="113"/>
  <c r="L28" i="113"/>
  <c r="K28" i="113"/>
  <c r="J28" i="113"/>
  <c r="I28" i="113"/>
  <c r="H28" i="113"/>
  <c r="G28" i="113"/>
  <c r="F28" i="113"/>
  <c r="E28" i="113"/>
  <c r="D28" i="113"/>
  <c r="C28" i="113"/>
  <c r="O27" i="113"/>
  <c r="N27" i="113"/>
  <c r="M27" i="113"/>
  <c r="L27" i="113"/>
  <c r="K27" i="113"/>
  <c r="J27" i="113"/>
  <c r="I27" i="113"/>
  <c r="H27" i="113"/>
  <c r="G27" i="113"/>
  <c r="F27" i="113"/>
  <c r="E27" i="113"/>
  <c r="D27" i="113"/>
  <c r="C27" i="113"/>
  <c r="O26" i="113"/>
  <c r="N26" i="113"/>
  <c r="M26" i="113"/>
  <c r="L26" i="113"/>
  <c r="K26" i="113"/>
  <c r="J26" i="113"/>
  <c r="I26" i="113"/>
  <c r="H26" i="113"/>
  <c r="G26" i="113"/>
  <c r="F26" i="113"/>
  <c r="E26" i="113"/>
  <c r="D26" i="113"/>
  <c r="C26" i="113"/>
  <c r="O25" i="113"/>
  <c r="N25" i="113"/>
  <c r="M25" i="113"/>
  <c r="L25" i="113"/>
  <c r="K25" i="113"/>
  <c r="J25" i="113"/>
  <c r="I25" i="113"/>
  <c r="H25" i="113"/>
  <c r="G25" i="113"/>
  <c r="F25" i="113"/>
  <c r="E25" i="113"/>
  <c r="D25" i="113"/>
  <c r="C25" i="113"/>
  <c r="O24" i="113"/>
  <c r="N24" i="113"/>
  <c r="M24" i="113"/>
  <c r="L24" i="113"/>
  <c r="K24" i="113"/>
  <c r="J24" i="113"/>
  <c r="I24" i="113"/>
  <c r="H24" i="113"/>
  <c r="G24" i="113"/>
  <c r="F24" i="113"/>
  <c r="E24" i="113"/>
  <c r="D24" i="113"/>
  <c r="C24" i="113"/>
  <c r="O23" i="113"/>
  <c r="N23" i="113"/>
  <c r="M23" i="113"/>
  <c r="L23" i="113"/>
  <c r="K23" i="113"/>
  <c r="J23" i="113"/>
  <c r="I23" i="113"/>
  <c r="H23" i="113"/>
  <c r="G23" i="113"/>
  <c r="F23" i="113"/>
  <c r="E23" i="113"/>
  <c r="D23" i="113"/>
  <c r="C23" i="113"/>
  <c r="O22" i="113"/>
  <c r="N22" i="113"/>
  <c r="M22" i="113"/>
  <c r="L22" i="113"/>
  <c r="K22" i="113"/>
  <c r="J22" i="113"/>
  <c r="I22" i="113"/>
  <c r="H22" i="113"/>
  <c r="G22" i="113"/>
  <c r="F22" i="113"/>
  <c r="E22" i="113"/>
  <c r="D22" i="113"/>
  <c r="C22" i="113"/>
  <c r="O21" i="113"/>
  <c r="N21" i="113"/>
  <c r="M21" i="113"/>
  <c r="L21" i="113"/>
  <c r="K21" i="113"/>
  <c r="J21" i="113"/>
  <c r="I21" i="113"/>
  <c r="H21" i="113"/>
  <c r="G21" i="113"/>
  <c r="F21" i="113"/>
  <c r="E21" i="113"/>
  <c r="D21" i="113"/>
  <c r="C21" i="113"/>
  <c r="O20" i="113"/>
  <c r="N20" i="113"/>
  <c r="M20" i="113"/>
  <c r="L20" i="113"/>
  <c r="K20" i="113"/>
  <c r="J20" i="113"/>
  <c r="I20" i="113"/>
  <c r="H20" i="113"/>
  <c r="G20" i="113"/>
  <c r="F20" i="113"/>
  <c r="E20" i="113"/>
  <c r="D20" i="113"/>
  <c r="C20" i="113"/>
  <c r="O19" i="113"/>
  <c r="N19" i="113"/>
  <c r="M19" i="113"/>
  <c r="L19" i="113"/>
  <c r="K19" i="113"/>
  <c r="J19" i="113"/>
  <c r="I19" i="113"/>
  <c r="H19" i="113"/>
  <c r="G19" i="113"/>
  <c r="F19" i="113"/>
  <c r="E19" i="113"/>
  <c r="D19" i="113"/>
  <c r="C19" i="113"/>
  <c r="O18" i="113"/>
  <c r="N18" i="113"/>
  <c r="M18" i="113"/>
  <c r="L18" i="113"/>
  <c r="K18" i="113"/>
  <c r="J18" i="113"/>
  <c r="I18" i="113"/>
  <c r="H18" i="113"/>
  <c r="G18" i="113"/>
  <c r="F18" i="113"/>
  <c r="E18" i="113"/>
  <c r="D18" i="113"/>
  <c r="C18" i="113"/>
  <c r="O17" i="113"/>
  <c r="N17" i="113"/>
  <c r="M17" i="113"/>
  <c r="L17" i="113"/>
  <c r="K17" i="113"/>
  <c r="J17" i="113"/>
  <c r="I17" i="113"/>
  <c r="H17" i="113"/>
  <c r="G17" i="113"/>
  <c r="F17" i="113"/>
  <c r="E17" i="113"/>
  <c r="D17" i="113"/>
  <c r="C17" i="113"/>
  <c r="O16" i="113"/>
  <c r="N16" i="113"/>
  <c r="M16" i="113"/>
  <c r="L16" i="113"/>
  <c r="K16" i="113"/>
  <c r="J16" i="113"/>
  <c r="I16" i="113"/>
  <c r="H16" i="113"/>
  <c r="G16" i="113"/>
  <c r="F16" i="113"/>
  <c r="E16" i="113"/>
  <c r="D16" i="113"/>
  <c r="C16" i="113"/>
  <c r="O15" i="113"/>
  <c r="N15" i="113"/>
  <c r="M15" i="113"/>
  <c r="L15" i="113"/>
  <c r="K15" i="113"/>
  <c r="J15" i="113"/>
  <c r="I15" i="113"/>
  <c r="H15" i="113"/>
  <c r="G15" i="113"/>
  <c r="F15" i="113"/>
  <c r="E15" i="113"/>
  <c r="D15" i="113"/>
  <c r="C15" i="113"/>
  <c r="O14" i="113"/>
  <c r="N14" i="113"/>
  <c r="M14" i="113"/>
  <c r="L14" i="113"/>
  <c r="K14" i="113"/>
  <c r="J14" i="113"/>
  <c r="I14" i="113"/>
  <c r="H14" i="113"/>
  <c r="G14" i="113"/>
  <c r="F14" i="113"/>
  <c r="E14" i="113"/>
  <c r="D14" i="113"/>
  <c r="C14" i="113"/>
  <c r="O13" i="113"/>
  <c r="N13" i="113"/>
  <c r="M13" i="113"/>
  <c r="L13" i="113"/>
  <c r="K13" i="113"/>
  <c r="J13" i="113"/>
  <c r="I13" i="113"/>
  <c r="H13" i="113"/>
  <c r="G13" i="113"/>
  <c r="F13" i="113"/>
  <c r="E13" i="113"/>
  <c r="D13" i="113"/>
  <c r="C13" i="113"/>
  <c r="O12" i="113"/>
  <c r="N12" i="113"/>
  <c r="M12" i="113"/>
  <c r="L12" i="113"/>
  <c r="K12" i="113"/>
  <c r="J12" i="113"/>
  <c r="I12" i="113"/>
  <c r="H12" i="113"/>
  <c r="G12" i="113"/>
  <c r="F12" i="113"/>
  <c r="E12" i="113"/>
  <c r="D12" i="113"/>
  <c r="C12" i="113"/>
  <c r="O11" i="113"/>
  <c r="N11" i="113"/>
  <c r="M11" i="113"/>
  <c r="L11" i="113"/>
  <c r="K11" i="113"/>
  <c r="J11" i="113"/>
  <c r="I11" i="113"/>
  <c r="H11" i="113"/>
  <c r="G11" i="113"/>
  <c r="F11" i="113"/>
  <c r="E11" i="113"/>
  <c r="D11" i="113"/>
  <c r="C11" i="113"/>
  <c r="O10" i="113"/>
  <c r="N10" i="113"/>
  <c r="M10" i="113"/>
  <c r="L10" i="113"/>
  <c r="K10" i="113"/>
  <c r="J10" i="113"/>
  <c r="I10" i="113"/>
  <c r="H10" i="113"/>
  <c r="G10" i="113"/>
  <c r="F10" i="113"/>
  <c r="E10" i="113"/>
  <c r="D10" i="113"/>
  <c r="C10" i="113"/>
  <c r="O9" i="113"/>
  <c r="N9" i="113"/>
  <c r="M9" i="113"/>
  <c r="L9" i="113"/>
  <c r="K9" i="113"/>
  <c r="J9" i="113"/>
  <c r="I9" i="113"/>
  <c r="H9" i="113"/>
  <c r="G9" i="113"/>
  <c r="F9" i="113"/>
  <c r="E9" i="113"/>
  <c r="D9" i="113"/>
  <c r="C9" i="113"/>
  <c r="O4" i="112"/>
  <c r="O5" i="112"/>
  <c r="O6" i="112"/>
  <c r="O158" i="112"/>
  <c r="N4" i="112"/>
  <c r="N5" i="112"/>
  <c r="N6" i="112"/>
  <c r="N158" i="112"/>
  <c r="M4" i="112"/>
  <c r="M5" i="112"/>
  <c r="M6" i="112"/>
  <c r="M158" i="112"/>
  <c r="L4" i="112"/>
  <c r="L5" i="112"/>
  <c r="L6" i="112"/>
  <c r="L158" i="112"/>
  <c r="K4" i="112"/>
  <c r="K5" i="112"/>
  <c r="K6" i="112"/>
  <c r="K158" i="112"/>
  <c r="J4" i="112"/>
  <c r="J5" i="112"/>
  <c r="J6" i="112"/>
  <c r="J158" i="112"/>
  <c r="I4" i="112"/>
  <c r="I5" i="112"/>
  <c r="I6" i="112"/>
  <c r="I158" i="112"/>
  <c r="H4" i="112"/>
  <c r="H5" i="112"/>
  <c r="H6" i="112"/>
  <c r="H158" i="112"/>
  <c r="G4" i="112"/>
  <c r="G5" i="112"/>
  <c r="G6" i="112"/>
  <c r="G158" i="112"/>
  <c r="F4" i="112"/>
  <c r="F5" i="112"/>
  <c r="F6" i="112"/>
  <c r="F158" i="112"/>
  <c r="E4" i="112"/>
  <c r="E5" i="112"/>
  <c r="E6" i="112"/>
  <c r="E158" i="112"/>
  <c r="D4" i="112"/>
  <c r="D5" i="112"/>
  <c r="D6" i="112"/>
  <c r="D158" i="112"/>
  <c r="C4" i="112"/>
  <c r="C5" i="112"/>
  <c r="C6" i="112"/>
  <c r="C158" i="112"/>
  <c r="O157" i="112"/>
  <c r="N157" i="112"/>
  <c r="M157" i="112"/>
  <c r="L157" i="112"/>
  <c r="K157" i="112"/>
  <c r="J157" i="112"/>
  <c r="I157" i="112"/>
  <c r="H157" i="112"/>
  <c r="G157" i="112"/>
  <c r="F157" i="112"/>
  <c r="E157" i="112"/>
  <c r="D157" i="112"/>
  <c r="C157" i="112"/>
  <c r="O156" i="112"/>
  <c r="N156" i="112"/>
  <c r="M156" i="112"/>
  <c r="L156" i="112"/>
  <c r="K156" i="112"/>
  <c r="J156" i="112"/>
  <c r="I156" i="112"/>
  <c r="H156" i="112"/>
  <c r="G156" i="112"/>
  <c r="F156" i="112"/>
  <c r="E156" i="112"/>
  <c r="D156" i="112"/>
  <c r="C156" i="112"/>
  <c r="O155" i="112"/>
  <c r="N155" i="112"/>
  <c r="M155" i="112"/>
  <c r="L155" i="112"/>
  <c r="K155" i="112"/>
  <c r="J155" i="112"/>
  <c r="I155" i="112"/>
  <c r="H155" i="112"/>
  <c r="G155" i="112"/>
  <c r="F155" i="112"/>
  <c r="E155" i="112"/>
  <c r="D155" i="112"/>
  <c r="C155" i="112"/>
  <c r="O152" i="112"/>
  <c r="N152" i="112"/>
  <c r="M152" i="112"/>
  <c r="L152" i="112"/>
  <c r="K152" i="112"/>
  <c r="J152" i="112"/>
  <c r="I152" i="112"/>
  <c r="H152" i="112"/>
  <c r="G152" i="112"/>
  <c r="F152" i="112"/>
  <c r="E152" i="112"/>
  <c r="D152" i="112"/>
  <c r="C152" i="112"/>
  <c r="O151" i="112"/>
  <c r="N151" i="112"/>
  <c r="M151" i="112"/>
  <c r="L151" i="112"/>
  <c r="K151" i="112"/>
  <c r="J151" i="112"/>
  <c r="I151" i="112"/>
  <c r="H151" i="112"/>
  <c r="G151" i="112"/>
  <c r="F151" i="112"/>
  <c r="E151" i="112"/>
  <c r="D151" i="112"/>
  <c r="C151" i="112"/>
  <c r="O150" i="112"/>
  <c r="N150" i="112"/>
  <c r="M150" i="112"/>
  <c r="L150" i="112"/>
  <c r="K150" i="112"/>
  <c r="J150" i="112"/>
  <c r="I150" i="112"/>
  <c r="H150" i="112"/>
  <c r="G150" i="112"/>
  <c r="F150" i="112"/>
  <c r="E150" i="112"/>
  <c r="D150" i="112"/>
  <c r="C150" i="112"/>
  <c r="O149" i="112"/>
  <c r="N149" i="112"/>
  <c r="M149" i="112"/>
  <c r="L149" i="112"/>
  <c r="K149" i="112"/>
  <c r="J149" i="112"/>
  <c r="I149" i="112"/>
  <c r="H149" i="112"/>
  <c r="G149" i="112"/>
  <c r="F149" i="112"/>
  <c r="E149" i="112"/>
  <c r="D149" i="112"/>
  <c r="C149" i="112"/>
  <c r="O148" i="112"/>
  <c r="N148" i="112"/>
  <c r="M148" i="112"/>
  <c r="L148" i="112"/>
  <c r="K148" i="112"/>
  <c r="J148" i="112"/>
  <c r="I148" i="112"/>
  <c r="H148" i="112"/>
  <c r="G148" i="112"/>
  <c r="F148" i="112"/>
  <c r="E148" i="112"/>
  <c r="D148" i="112"/>
  <c r="C148" i="112"/>
  <c r="O147" i="112"/>
  <c r="N147" i="112"/>
  <c r="M147" i="112"/>
  <c r="L147" i="112"/>
  <c r="K147" i="112"/>
  <c r="J147" i="112"/>
  <c r="I147" i="112"/>
  <c r="H147" i="112"/>
  <c r="G147" i="112"/>
  <c r="F147" i="112"/>
  <c r="E147" i="112"/>
  <c r="D147" i="112"/>
  <c r="C147" i="112"/>
  <c r="O146" i="112"/>
  <c r="N146" i="112"/>
  <c r="M146" i="112"/>
  <c r="L146" i="112"/>
  <c r="K146" i="112"/>
  <c r="J146" i="112"/>
  <c r="I146" i="112"/>
  <c r="H146" i="112"/>
  <c r="G146" i="112"/>
  <c r="F146" i="112"/>
  <c r="E146" i="112"/>
  <c r="D146" i="112"/>
  <c r="C146" i="112"/>
  <c r="O145" i="112"/>
  <c r="N145" i="112"/>
  <c r="M145" i="112"/>
  <c r="L145" i="112"/>
  <c r="K145" i="112"/>
  <c r="J145" i="112"/>
  <c r="I145" i="112"/>
  <c r="H145" i="112"/>
  <c r="G145" i="112"/>
  <c r="F145" i="112"/>
  <c r="E145" i="112"/>
  <c r="D145" i="112"/>
  <c r="C145" i="112"/>
  <c r="O144" i="112"/>
  <c r="N144" i="112"/>
  <c r="M144" i="112"/>
  <c r="L144" i="112"/>
  <c r="K144" i="112"/>
  <c r="J144" i="112"/>
  <c r="I144" i="112"/>
  <c r="H144" i="112"/>
  <c r="G144" i="112"/>
  <c r="F144" i="112"/>
  <c r="E144" i="112"/>
  <c r="D144" i="112"/>
  <c r="C144" i="112"/>
  <c r="O143" i="112"/>
  <c r="N143" i="112"/>
  <c r="M143" i="112"/>
  <c r="L143" i="112"/>
  <c r="K143" i="112"/>
  <c r="J143" i="112"/>
  <c r="I143" i="112"/>
  <c r="H143" i="112"/>
  <c r="G143" i="112"/>
  <c r="F143" i="112"/>
  <c r="E143" i="112"/>
  <c r="D143" i="112"/>
  <c r="C143" i="112"/>
  <c r="O140" i="112"/>
  <c r="N140" i="112"/>
  <c r="M140" i="112"/>
  <c r="L140" i="112"/>
  <c r="K140" i="112"/>
  <c r="J140" i="112"/>
  <c r="I140" i="112"/>
  <c r="H140" i="112"/>
  <c r="G140" i="112"/>
  <c r="F140" i="112"/>
  <c r="E140" i="112"/>
  <c r="D140" i="112"/>
  <c r="C140" i="112"/>
  <c r="O139" i="112"/>
  <c r="N139" i="112"/>
  <c r="M139" i="112"/>
  <c r="L139" i="112"/>
  <c r="K139" i="112"/>
  <c r="J139" i="112"/>
  <c r="I139" i="112"/>
  <c r="H139" i="112"/>
  <c r="G139" i="112"/>
  <c r="F139" i="112"/>
  <c r="E139" i="112"/>
  <c r="D139" i="112"/>
  <c r="C139" i="112"/>
  <c r="O138" i="112"/>
  <c r="N138" i="112"/>
  <c r="M138" i="112"/>
  <c r="L138" i="112"/>
  <c r="K138" i="112"/>
  <c r="J138" i="112"/>
  <c r="I138" i="112"/>
  <c r="H138" i="112"/>
  <c r="G138" i="112"/>
  <c r="F138" i="112"/>
  <c r="E138" i="112"/>
  <c r="D138" i="112"/>
  <c r="C138" i="112"/>
  <c r="O135" i="112"/>
  <c r="N135" i="112"/>
  <c r="M135" i="112"/>
  <c r="L135" i="112"/>
  <c r="K135" i="112"/>
  <c r="J135" i="112"/>
  <c r="I135" i="112"/>
  <c r="H135" i="112"/>
  <c r="G135" i="112"/>
  <c r="F135" i="112"/>
  <c r="E135" i="112"/>
  <c r="D135" i="112"/>
  <c r="C135" i="112"/>
  <c r="O134" i="112"/>
  <c r="N134" i="112"/>
  <c r="M134" i="112"/>
  <c r="L134" i="112"/>
  <c r="K134" i="112"/>
  <c r="J134" i="112"/>
  <c r="I134" i="112"/>
  <c r="H134" i="112"/>
  <c r="G134" i="112"/>
  <c r="F134" i="112"/>
  <c r="E134" i="112"/>
  <c r="D134" i="112"/>
  <c r="C134" i="112"/>
  <c r="O131" i="112"/>
  <c r="N131" i="112"/>
  <c r="M131" i="112"/>
  <c r="L131" i="112"/>
  <c r="K131" i="112"/>
  <c r="J131" i="112"/>
  <c r="I131" i="112"/>
  <c r="H131" i="112"/>
  <c r="G131" i="112"/>
  <c r="F131" i="112"/>
  <c r="E131" i="112"/>
  <c r="D131" i="112"/>
  <c r="C131" i="112"/>
  <c r="O130" i="112"/>
  <c r="N130" i="112"/>
  <c r="M130" i="112"/>
  <c r="L130" i="112"/>
  <c r="K130" i="112"/>
  <c r="J130" i="112"/>
  <c r="I130" i="112"/>
  <c r="H130" i="112"/>
  <c r="G130" i="112"/>
  <c r="F130" i="112"/>
  <c r="E130" i="112"/>
  <c r="D130" i="112"/>
  <c r="C130" i="112"/>
  <c r="O129" i="112"/>
  <c r="N129" i="112"/>
  <c r="M129" i="112"/>
  <c r="L129" i="112"/>
  <c r="K129" i="112"/>
  <c r="J129" i="112"/>
  <c r="I129" i="112"/>
  <c r="H129" i="112"/>
  <c r="G129" i="112"/>
  <c r="F129" i="112"/>
  <c r="E129" i="112"/>
  <c r="D129" i="112"/>
  <c r="C129" i="112"/>
  <c r="O128" i="112"/>
  <c r="N128" i="112"/>
  <c r="M128" i="112"/>
  <c r="L128" i="112"/>
  <c r="K128" i="112"/>
  <c r="J128" i="112"/>
  <c r="I128" i="112"/>
  <c r="H128" i="112"/>
  <c r="G128" i="112"/>
  <c r="F128" i="112"/>
  <c r="E128" i="112"/>
  <c r="D128" i="112"/>
  <c r="C128" i="112"/>
  <c r="O127" i="112"/>
  <c r="N127" i="112"/>
  <c r="M127" i="112"/>
  <c r="L127" i="112"/>
  <c r="K127" i="112"/>
  <c r="J127" i="112"/>
  <c r="I127" i="112"/>
  <c r="H127" i="112"/>
  <c r="G127" i="112"/>
  <c r="F127" i="112"/>
  <c r="E127" i="112"/>
  <c r="D127" i="112"/>
  <c r="C127" i="112"/>
  <c r="O126" i="112"/>
  <c r="N126" i="112"/>
  <c r="M126" i="112"/>
  <c r="L126" i="112"/>
  <c r="K126" i="112"/>
  <c r="J126" i="112"/>
  <c r="I126" i="112"/>
  <c r="H126" i="112"/>
  <c r="G126" i="112"/>
  <c r="F126" i="112"/>
  <c r="E126" i="112"/>
  <c r="D126" i="112"/>
  <c r="C126" i="112"/>
  <c r="O125" i="112"/>
  <c r="N125" i="112"/>
  <c r="M125" i="112"/>
  <c r="L125" i="112"/>
  <c r="K125" i="112"/>
  <c r="J125" i="112"/>
  <c r="I125" i="112"/>
  <c r="H125" i="112"/>
  <c r="G125" i="112"/>
  <c r="F125" i="112"/>
  <c r="E125" i="112"/>
  <c r="D125" i="112"/>
  <c r="C125" i="112"/>
  <c r="O124" i="112"/>
  <c r="N124" i="112"/>
  <c r="M124" i="112"/>
  <c r="L124" i="112"/>
  <c r="K124" i="112"/>
  <c r="J124" i="112"/>
  <c r="I124" i="112"/>
  <c r="H124" i="112"/>
  <c r="G124" i="112"/>
  <c r="F124" i="112"/>
  <c r="E124" i="112"/>
  <c r="D124" i="112"/>
  <c r="C124" i="112"/>
  <c r="O123" i="112"/>
  <c r="N123" i="112"/>
  <c r="M123" i="112"/>
  <c r="L123" i="112"/>
  <c r="K123" i="112"/>
  <c r="J123" i="112"/>
  <c r="I123" i="112"/>
  <c r="H123" i="112"/>
  <c r="G123" i="112"/>
  <c r="F123" i="112"/>
  <c r="E123" i="112"/>
  <c r="D123" i="112"/>
  <c r="C123" i="112"/>
  <c r="O122" i="112"/>
  <c r="N122" i="112"/>
  <c r="M122" i="112"/>
  <c r="L122" i="112"/>
  <c r="K122" i="112"/>
  <c r="J122" i="112"/>
  <c r="I122" i="112"/>
  <c r="H122" i="112"/>
  <c r="G122" i="112"/>
  <c r="F122" i="112"/>
  <c r="E122" i="112"/>
  <c r="D122" i="112"/>
  <c r="C122" i="112"/>
  <c r="O121" i="112"/>
  <c r="N121" i="112"/>
  <c r="M121" i="112"/>
  <c r="L121" i="112"/>
  <c r="K121" i="112"/>
  <c r="J121" i="112"/>
  <c r="I121" i="112"/>
  <c r="H121" i="112"/>
  <c r="G121" i="112"/>
  <c r="F121" i="112"/>
  <c r="E121" i="112"/>
  <c r="D121" i="112"/>
  <c r="C121" i="112"/>
  <c r="O120" i="112"/>
  <c r="N120" i="112"/>
  <c r="M120" i="112"/>
  <c r="L120" i="112"/>
  <c r="K120" i="112"/>
  <c r="J120" i="112"/>
  <c r="I120" i="112"/>
  <c r="H120" i="112"/>
  <c r="G120" i="112"/>
  <c r="F120" i="112"/>
  <c r="E120" i="112"/>
  <c r="D120" i="112"/>
  <c r="C120" i="112"/>
  <c r="O119" i="112"/>
  <c r="N119" i="112"/>
  <c r="M119" i="112"/>
  <c r="L119" i="112"/>
  <c r="K119" i="112"/>
  <c r="J119" i="112"/>
  <c r="I119" i="112"/>
  <c r="H119" i="112"/>
  <c r="G119" i="112"/>
  <c r="F119" i="112"/>
  <c r="E119" i="112"/>
  <c r="D119" i="112"/>
  <c r="C119" i="112"/>
  <c r="O118" i="112"/>
  <c r="N118" i="112"/>
  <c r="M118" i="112"/>
  <c r="L118" i="112"/>
  <c r="K118" i="112"/>
  <c r="J118" i="112"/>
  <c r="I118" i="112"/>
  <c r="H118" i="112"/>
  <c r="G118" i="112"/>
  <c r="F118" i="112"/>
  <c r="E118" i="112"/>
  <c r="D118" i="112"/>
  <c r="C118" i="112"/>
  <c r="O117" i="112"/>
  <c r="N117" i="112"/>
  <c r="M117" i="112"/>
  <c r="L117" i="112"/>
  <c r="K117" i="112"/>
  <c r="J117" i="112"/>
  <c r="I117" i="112"/>
  <c r="H117" i="112"/>
  <c r="G117" i="112"/>
  <c r="F117" i="112"/>
  <c r="E117" i="112"/>
  <c r="D117" i="112"/>
  <c r="C117" i="112"/>
  <c r="O116" i="112"/>
  <c r="N116" i="112"/>
  <c r="M116" i="112"/>
  <c r="L116" i="112"/>
  <c r="K116" i="112"/>
  <c r="J116" i="112"/>
  <c r="I116" i="112"/>
  <c r="H116" i="112"/>
  <c r="G116" i="112"/>
  <c r="F116" i="112"/>
  <c r="E116" i="112"/>
  <c r="D116" i="112"/>
  <c r="C116" i="112"/>
  <c r="O115" i="112"/>
  <c r="N115" i="112"/>
  <c r="M115" i="112"/>
  <c r="L115" i="112"/>
  <c r="K115" i="112"/>
  <c r="J115" i="112"/>
  <c r="I115" i="112"/>
  <c r="H115" i="112"/>
  <c r="G115" i="112"/>
  <c r="F115" i="112"/>
  <c r="E115" i="112"/>
  <c r="D115" i="112"/>
  <c r="C115" i="112"/>
  <c r="O114" i="112"/>
  <c r="N114" i="112"/>
  <c r="M114" i="112"/>
  <c r="L114" i="112"/>
  <c r="K114" i="112"/>
  <c r="J114" i="112"/>
  <c r="I114" i="112"/>
  <c r="H114" i="112"/>
  <c r="G114" i="112"/>
  <c r="F114" i="112"/>
  <c r="E114" i="112"/>
  <c r="D114" i="112"/>
  <c r="C114" i="112"/>
  <c r="O113" i="112"/>
  <c r="N113" i="112"/>
  <c r="M113" i="112"/>
  <c r="L113" i="112"/>
  <c r="K113" i="112"/>
  <c r="J113" i="112"/>
  <c r="I113" i="112"/>
  <c r="H113" i="112"/>
  <c r="G113" i="112"/>
  <c r="F113" i="112"/>
  <c r="E113" i="112"/>
  <c r="D113" i="112"/>
  <c r="C113" i="112"/>
  <c r="O112" i="112"/>
  <c r="N112" i="112"/>
  <c r="M112" i="112"/>
  <c r="L112" i="112"/>
  <c r="K112" i="112"/>
  <c r="J112" i="112"/>
  <c r="I112" i="112"/>
  <c r="H112" i="112"/>
  <c r="G112" i="112"/>
  <c r="F112" i="112"/>
  <c r="E112" i="112"/>
  <c r="D112" i="112"/>
  <c r="C112" i="112"/>
  <c r="O111" i="112"/>
  <c r="N111" i="112"/>
  <c r="M111" i="112"/>
  <c r="L111" i="112"/>
  <c r="K111" i="112"/>
  <c r="J111" i="112"/>
  <c r="I111" i="112"/>
  <c r="H111" i="112"/>
  <c r="G111" i="112"/>
  <c r="F111" i="112"/>
  <c r="E111" i="112"/>
  <c r="D111" i="112"/>
  <c r="C111" i="112"/>
  <c r="O110" i="112"/>
  <c r="N110" i="112"/>
  <c r="M110" i="112"/>
  <c r="L110" i="112"/>
  <c r="K110" i="112"/>
  <c r="J110" i="112"/>
  <c r="I110" i="112"/>
  <c r="H110" i="112"/>
  <c r="G110" i="112"/>
  <c r="F110" i="112"/>
  <c r="E110" i="112"/>
  <c r="D110" i="112"/>
  <c r="C110" i="112"/>
  <c r="O109" i="112"/>
  <c r="N109" i="112"/>
  <c r="M109" i="112"/>
  <c r="L109" i="112"/>
  <c r="K109" i="112"/>
  <c r="J109" i="112"/>
  <c r="I109" i="112"/>
  <c r="H109" i="112"/>
  <c r="G109" i="112"/>
  <c r="F109" i="112"/>
  <c r="E109" i="112"/>
  <c r="D109" i="112"/>
  <c r="C109" i="112"/>
  <c r="O108" i="112"/>
  <c r="N108" i="112"/>
  <c r="M108" i="112"/>
  <c r="L108" i="112"/>
  <c r="K108" i="112"/>
  <c r="J108" i="112"/>
  <c r="I108" i="112"/>
  <c r="H108" i="112"/>
  <c r="G108" i="112"/>
  <c r="F108" i="112"/>
  <c r="E108" i="112"/>
  <c r="D108" i="112"/>
  <c r="C108" i="112"/>
  <c r="O107" i="112"/>
  <c r="N107" i="112"/>
  <c r="M107" i="112"/>
  <c r="L107" i="112"/>
  <c r="K107" i="112"/>
  <c r="J107" i="112"/>
  <c r="I107" i="112"/>
  <c r="H107" i="112"/>
  <c r="G107" i="112"/>
  <c r="F107" i="112"/>
  <c r="E107" i="112"/>
  <c r="D107" i="112"/>
  <c r="C107" i="112"/>
  <c r="O106" i="112"/>
  <c r="N106" i="112"/>
  <c r="M106" i="112"/>
  <c r="L106" i="112"/>
  <c r="K106" i="112"/>
  <c r="J106" i="112"/>
  <c r="I106" i="112"/>
  <c r="H106" i="112"/>
  <c r="G106" i="112"/>
  <c r="F106" i="112"/>
  <c r="E106" i="112"/>
  <c r="D106" i="112"/>
  <c r="C106" i="112"/>
  <c r="O103" i="112"/>
  <c r="N103" i="112"/>
  <c r="M103" i="112"/>
  <c r="L103" i="112"/>
  <c r="K103" i="112"/>
  <c r="J103" i="112"/>
  <c r="I103" i="112"/>
  <c r="H103" i="112"/>
  <c r="G103" i="112"/>
  <c r="F103" i="112"/>
  <c r="E103" i="112"/>
  <c r="D103" i="112"/>
  <c r="C103" i="112"/>
  <c r="O100" i="112"/>
  <c r="N100" i="112"/>
  <c r="M100" i="112"/>
  <c r="L100" i="112"/>
  <c r="K100" i="112"/>
  <c r="J100" i="112"/>
  <c r="I100" i="112"/>
  <c r="H100" i="112"/>
  <c r="G100" i="112"/>
  <c r="F100" i="112"/>
  <c r="E100" i="112"/>
  <c r="D100" i="112"/>
  <c r="C100" i="112"/>
  <c r="O99" i="112"/>
  <c r="N99" i="112"/>
  <c r="M99" i="112"/>
  <c r="L99" i="112"/>
  <c r="K99" i="112"/>
  <c r="J99" i="112"/>
  <c r="I99" i="112"/>
  <c r="H99" i="112"/>
  <c r="G99" i="112"/>
  <c r="F99" i="112"/>
  <c r="E99" i="112"/>
  <c r="D99" i="112"/>
  <c r="C99" i="112"/>
  <c r="O98" i="112"/>
  <c r="N98" i="112"/>
  <c r="M98" i="112"/>
  <c r="L98" i="112"/>
  <c r="K98" i="112"/>
  <c r="J98" i="112"/>
  <c r="I98" i="112"/>
  <c r="H98" i="112"/>
  <c r="G98" i="112"/>
  <c r="F98" i="112"/>
  <c r="E98" i="112"/>
  <c r="D98" i="112"/>
  <c r="C98" i="112"/>
  <c r="O97" i="112"/>
  <c r="N97" i="112"/>
  <c r="M97" i="112"/>
  <c r="L97" i="112"/>
  <c r="K97" i="112"/>
  <c r="J97" i="112"/>
  <c r="I97" i="112"/>
  <c r="H97" i="112"/>
  <c r="G97" i="112"/>
  <c r="F97" i="112"/>
  <c r="E97" i="112"/>
  <c r="D97" i="112"/>
  <c r="C97" i="112"/>
  <c r="O96" i="112"/>
  <c r="N96" i="112"/>
  <c r="M96" i="112"/>
  <c r="L96" i="112"/>
  <c r="K96" i="112"/>
  <c r="J96" i="112"/>
  <c r="I96" i="112"/>
  <c r="H96" i="112"/>
  <c r="G96" i="112"/>
  <c r="F96" i="112"/>
  <c r="E96" i="112"/>
  <c r="D96" i="112"/>
  <c r="C96" i="112"/>
  <c r="O93" i="112"/>
  <c r="N93" i="112"/>
  <c r="M93" i="112"/>
  <c r="L93" i="112"/>
  <c r="K93" i="112"/>
  <c r="J93" i="112"/>
  <c r="I93" i="112"/>
  <c r="H93" i="112"/>
  <c r="G93" i="112"/>
  <c r="F93" i="112"/>
  <c r="E93" i="112"/>
  <c r="D93" i="112"/>
  <c r="C93" i="112"/>
  <c r="O90" i="112"/>
  <c r="N90" i="112"/>
  <c r="M90" i="112"/>
  <c r="L90" i="112"/>
  <c r="K90" i="112"/>
  <c r="J90" i="112"/>
  <c r="I90" i="112"/>
  <c r="H90" i="112"/>
  <c r="G90" i="112"/>
  <c r="F90" i="112"/>
  <c r="E90" i="112"/>
  <c r="D90" i="112"/>
  <c r="C90" i="112"/>
  <c r="O89" i="112"/>
  <c r="N89" i="112"/>
  <c r="M89" i="112"/>
  <c r="L89" i="112"/>
  <c r="K89" i="112"/>
  <c r="J89" i="112"/>
  <c r="I89" i="112"/>
  <c r="H89" i="112"/>
  <c r="G89" i="112"/>
  <c r="F89" i="112"/>
  <c r="E89" i="112"/>
  <c r="D89" i="112"/>
  <c r="C89" i="112"/>
  <c r="O88" i="112"/>
  <c r="N88" i="112"/>
  <c r="M88" i="112"/>
  <c r="L88" i="112"/>
  <c r="K88" i="112"/>
  <c r="J88" i="112"/>
  <c r="I88" i="112"/>
  <c r="H88" i="112"/>
  <c r="G88" i="112"/>
  <c r="F88" i="112"/>
  <c r="E88" i="112"/>
  <c r="D88" i="112"/>
  <c r="C88" i="112"/>
  <c r="O87" i="112"/>
  <c r="N87" i="112"/>
  <c r="M87" i="112"/>
  <c r="L87" i="112"/>
  <c r="K87" i="112"/>
  <c r="J87" i="112"/>
  <c r="I87" i="112"/>
  <c r="H87" i="112"/>
  <c r="G87" i="112"/>
  <c r="F87" i="112"/>
  <c r="E87" i="112"/>
  <c r="D87" i="112"/>
  <c r="C87" i="112"/>
  <c r="O86" i="112"/>
  <c r="N86" i="112"/>
  <c r="M86" i="112"/>
  <c r="L86" i="112"/>
  <c r="K86" i="112"/>
  <c r="J86" i="112"/>
  <c r="I86" i="112"/>
  <c r="H86" i="112"/>
  <c r="G86" i="112"/>
  <c r="F86" i="112"/>
  <c r="E86" i="112"/>
  <c r="D86" i="112"/>
  <c r="C86" i="112"/>
  <c r="O85" i="112"/>
  <c r="N85" i="112"/>
  <c r="M85" i="112"/>
  <c r="L85" i="112"/>
  <c r="K85" i="112"/>
  <c r="J85" i="112"/>
  <c r="I85" i="112"/>
  <c r="H85" i="112"/>
  <c r="G85" i="112"/>
  <c r="F85" i="112"/>
  <c r="E85" i="112"/>
  <c r="D85" i="112"/>
  <c r="C85" i="112"/>
  <c r="O84" i="112"/>
  <c r="N84" i="112"/>
  <c r="M84" i="112"/>
  <c r="L84" i="112"/>
  <c r="K84" i="112"/>
  <c r="J84" i="112"/>
  <c r="I84" i="112"/>
  <c r="H84" i="112"/>
  <c r="G84" i="112"/>
  <c r="F84" i="112"/>
  <c r="E84" i="112"/>
  <c r="D84" i="112"/>
  <c r="C84" i="112"/>
  <c r="O83" i="112"/>
  <c r="N83" i="112"/>
  <c r="M83" i="112"/>
  <c r="L83" i="112"/>
  <c r="K83" i="112"/>
  <c r="J83" i="112"/>
  <c r="I83" i="112"/>
  <c r="H83" i="112"/>
  <c r="G83" i="112"/>
  <c r="F83" i="112"/>
  <c r="E83" i="112"/>
  <c r="D83" i="112"/>
  <c r="C83" i="112"/>
  <c r="O82" i="112"/>
  <c r="N82" i="112"/>
  <c r="M82" i="112"/>
  <c r="L82" i="112"/>
  <c r="K82" i="112"/>
  <c r="J82" i="112"/>
  <c r="I82" i="112"/>
  <c r="H82" i="112"/>
  <c r="G82" i="112"/>
  <c r="F82" i="112"/>
  <c r="E82" i="112"/>
  <c r="D82" i="112"/>
  <c r="C82" i="112"/>
  <c r="O81" i="112"/>
  <c r="N81" i="112"/>
  <c r="M81" i="112"/>
  <c r="L81" i="112"/>
  <c r="K81" i="112"/>
  <c r="J81" i="112"/>
  <c r="I81" i="112"/>
  <c r="H81" i="112"/>
  <c r="G81" i="112"/>
  <c r="F81" i="112"/>
  <c r="E81" i="112"/>
  <c r="D81" i="112"/>
  <c r="C81" i="112"/>
  <c r="O80" i="112"/>
  <c r="N80" i="112"/>
  <c r="M80" i="112"/>
  <c r="L80" i="112"/>
  <c r="K80" i="112"/>
  <c r="J80" i="112"/>
  <c r="I80" i="112"/>
  <c r="H80" i="112"/>
  <c r="G80" i="112"/>
  <c r="F80" i="112"/>
  <c r="E80" i="112"/>
  <c r="D80" i="112"/>
  <c r="C80" i="112"/>
  <c r="O79" i="112"/>
  <c r="N79" i="112"/>
  <c r="M79" i="112"/>
  <c r="L79" i="112"/>
  <c r="K79" i="112"/>
  <c r="J79" i="112"/>
  <c r="I79" i="112"/>
  <c r="H79" i="112"/>
  <c r="G79" i="112"/>
  <c r="F79" i="112"/>
  <c r="E79" i="112"/>
  <c r="D79" i="112"/>
  <c r="C79" i="112"/>
  <c r="O78" i="112"/>
  <c r="N78" i="112"/>
  <c r="M78" i="112"/>
  <c r="L78" i="112"/>
  <c r="K78" i="112"/>
  <c r="J78" i="112"/>
  <c r="I78" i="112"/>
  <c r="H78" i="112"/>
  <c r="G78" i="112"/>
  <c r="F78" i="112"/>
  <c r="E78" i="112"/>
  <c r="D78" i="112"/>
  <c r="C78" i="112"/>
  <c r="O77" i="112"/>
  <c r="N77" i="112"/>
  <c r="M77" i="112"/>
  <c r="L77" i="112"/>
  <c r="K77" i="112"/>
  <c r="J77" i="112"/>
  <c r="I77" i="112"/>
  <c r="H77" i="112"/>
  <c r="G77" i="112"/>
  <c r="F77" i="112"/>
  <c r="E77" i="112"/>
  <c r="D77" i="112"/>
  <c r="C77" i="112"/>
  <c r="O76" i="112"/>
  <c r="N76" i="112"/>
  <c r="M76" i="112"/>
  <c r="L76" i="112"/>
  <c r="K76" i="112"/>
  <c r="J76" i="112"/>
  <c r="I76" i="112"/>
  <c r="H76" i="112"/>
  <c r="G76" i="112"/>
  <c r="F76" i="112"/>
  <c r="E76" i="112"/>
  <c r="D76" i="112"/>
  <c r="C76" i="112"/>
  <c r="O75" i="112"/>
  <c r="N75" i="112"/>
  <c r="M75" i="112"/>
  <c r="L75" i="112"/>
  <c r="K75" i="112"/>
  <c r="J75" i="112"/>
  <c r="I75" i="112"/>
  <c r="H75" i="112"/>
  <c r="G75" i="112"/>
  <c r="F75" i="112"/>
  <c r="E75" i="112"/>
  <c r="D75" i="112"/>
  <c r="C75" i="112"/>
  <c r="O74" i="112"/>
  <c r="N74" i="112"/>
  <c r="M74" i="112"/>
  <c r="L74" i="112"/>
  <c r="K74" i="112"/>
  <c r="J74" i="112"/>
  <c r="I74" i="112"/>
  <c r="H74" i="112"/>
  <c r="G74" i="112"/>
  <c r="F74" i="112"/>
  <c r="E74" i="112"/>
  <c r="D74" i="112"/>
  <c r="C74" i="112"/>
  <c r="O73" i="112"/>
  <c r="N73" i="112"/>
  <c r="M73" i="112"/>
  <c r="L73" i="112"/>
  <c r="K73" i="112"/>
  <c r="J73" i="112"/>
  <c r="I73" i="112"/>
  <c r="H73" i="112"/>
  <c r="G73" i="112"/>
  <c r="F73" i="112"/>
  <c r="E73" i="112"/>
  <c r="D73" i="112"/>
  <c r="C73" i="112"/>
  <c r="O72" i="112"/>
  <c r="N72" i="112"/>
  <c r="M72" i="112"/>
  <c r="L72" i="112"/>
  <c r="K72" i="112"/>
  <c r="J72" i="112"/>
  <c r="I72" i="112"/>
  <c r="H72" i="112"/>
  <c r="G72" i="112"/>
  <c r="F72" i="112"/>
  <c r="E72" i="112"/>
  <c r="D72" i="112"/>
  <c r="C72" i="112"/>
  <c r="O71" i="112"/>
  <c r="N71" i="112"/>
  <c r="M71" i="112"/>
  <c r="L71" i="112"/>
  <c r="K71" i="112"/>
  <c r="J71" i="112"/>
  <c r="I71" i="112"/>
  <c r="H71" i="112"/>
  <c r="G71" i="112"/>
  <c r="F71" i="112"/>
  <c r="E71" i="112"/>
  <c r="D71" i="112"/>
  <c r="C71" i="112"/>
  <c r="O70" i="112"/>
  <c r="N70" i="112"/>
  <c r="M70" i="112"/>
  <c r="L70" i="112"/>
  <c r="K70" i="112"/>
  <c r="J70" i="112"/>
  <c r="I70" i="112"/>
  <c r="H70" i="112"/>
  <c r="G70" i="112"/>
  <c r="F70" i="112"/>
  <c r="E70" i="112"/>
  <c r="D70" i="112"/>
  <c r="C70" i="112"/>
  <c r="O69" i="112"/>
  <c r="N69" i="112"/>
  <c r="M69" i="112"/>
  <c r="L69" i="112"/>
  <c r="K69" i="112"/>
  <c r="J69" i="112"/>
  <c r="I69" i="112"/>
  <c r="H69" i="112"/>
  <c r="G69" i="112"/>
  <c r="F69" i="112"/>
  <c r="E69" i="112"/>
  <c r="D69" i="112"/>
  <c r="C69" i="112"/>
  <c r="O68" i="112"/>
  <c r="N68" i="112"/>
  <c r="M68" i="112"/>
  <c r="L68" i="112"/>
  <c r="K68" i="112"/>
  <c r="J68" i="112"/>
  <c r="I68" i="112"/>
  <c r="H68" i="112"/>
  <c r="G68" i="112"/>
  <c r="F68" i="112"/>
  <c r="E68" i="112"/>
  <c r="D68" i="112"/>
  <c r="C68" i="112"/>
  <c r="O67" i="112"/>
  <c r="N67" i="112"/>
  <c r="M67" i="112"/>
  <c r="L67" i="112"/>
  <c r="K67" i="112"/>
  <c r="J67" i="112"/>
  <c r="I67" i="112"/>
  <c r="H67" i="112"/>
  <c r="G67" i="112"/>
  <c r="F67" i="112"/>
  <c r="E67" i="112"/>
  <c r="D67" i="112"/>
  <c r="C67" i="112"/>
  <c r="O66" i="112"/>
  <c r="N66" i="112"/>
  <c r="M66" i="112"/>
  <c r="L66" i="112"/>
  <c r="K66" i="112"/>
  <c r="J66" i="112"/>
  <c r="I66" i="112"/>
  <c r="H66" i="112"/>
  <c r="G66" i="112"/>
  <c r="F66" i="112"/>
  <c r="E66" i="112"/>
  <c r="D66" i="112"/>
  <c r="C66" i="112"/>
  <c r="O63" i="112"/>
  <c r="N63" i="112"/>
  <c r="M63" i="112"/>
  <c r="L63" i="112"/>
  <c r="K63" i="112"/>
  <c r="J63" i="112"/>
  <c r="I63" i="112"/>
  <c r="H63" i="112"/>
  <c r="G63" i="112"/>
  <c r="F63" i="112"/>
  <c r="E63" i="112"/>
  <c r="D63" i="112"/>
  <c r="C63" i="112"/>
  <c r="O62" i="112"/>
  <c r="N62" i="112"/>
  <c r="M62" i="112"/>
  <c r="L62" i="112"/>
  <c r="K62" i="112"/>
  <c r="J62" i="112"/>
  <c r="I62" i="112"/>
  <c r="H62" i="112"/>
  <c r="G62" i="112"/>
  <c r="F62" i="112"/>
  <c r="E62" i="112"/>
  <c r="D62" i="112"/>
  <c r="C62" i="112"/>
  <c r="O61" i="112"/>
  <c r="N61" i="112"/>
  <c r="M61" i="112"/>
  <c r="L61" i="112"/>
  <c r="K61" i="112"/>
  <c r="J61" i="112"/>
  <c r="I61" i="112"/>
  <c r="H61" i="112"/>
  <c r="G61" i="112"/>
  <c r="F61" i="112"/>
  <c r="E61" i="112"/>
  <c r="D61" i="112"/>
  <c r="C61" i="112"/>
  <c r="O60" i="112"/>
  <c r="N60" i="112"/>
  <c r="M60" i="112"/>
  <c r="L60" i="112"/>
  <c r="K60" i="112"/>
  <c r="J60" i="112"/>
  <c r="I60" i="112"/>
  <c r="H60" i="112"/>
  <c r="G60" i="112"/>
  <c r="F60" i="112"/>
  <c r="E60" i="112"/>
  <c r="D60" i="112"/>
  <c r="C60" i="112"/>
  <c r="O59" i="112"/>
  <c r="N59" i="112"/>
  <c r="M59" i="112"/>
  <c r="L59" i="112"/>
  <c r="K59" i="112"/>
  <c r="J59" i="112"/>
  <c r="I59" i="112"/>
  <c r="H59" i="112"/>
  <c r="G59" i="112"/>
  <c r="F59" i="112"/>
  <c r="E59" i="112"/>
  <c r="D59" i="112"/>
  <c r="C59" i="112"/>
  <c r="O58" i="112"/>
  <c r="N58" i="112"/>
  <c r="M58" i="112"/>
  <c r="L58" i="112"/>
  <c r="K58" i="112"/>
  <c r="J58" i="112"/>
  <c r="I58" i="112"/>
  <c r="H58" i="112"/>
  <c r="G58" i="112"/>
  <c r="F58" i="112"/>
  <c r="E58" i="112"/>
  <c r="D58" i="112"/>
  <c r="C58" i="112"/>
  <c r="O57" i="112"/>
  <c r="N57" i="112"/>
  <c r="M57" i="112"/>
  <c r="L57" i="112"/>
  <c r="K57" i="112"/>
  <c r="J57" i="112"/>
  <c r="I57" i="112"/>
  <c r="H57" i="112"/>
  <c r="G57" i="112"/>
  <c r="F57" i="112"/>
  <c r="E57" i="112"/>
  <c r="D57" i="112"/>
  <c r="C57" i="112"/>
  <c r="O56" i="112"/>
  <c r="N56" i="112"/>
  <c r="M56" i="112"/>
  <c r="L56" i="112"/>
  <c r="K56" i="112"/>
  <c r="J56" i="112"/>
  <c r="I56" i="112"/>
  <c r="H56" i="112"/>
  <c r="G56" i="112"/>
  <c r="F56" i="112"/>
  <c r="E56" i="112"/>
  <c r="D56" i="112"/>
  <c r="C56" i="112"/>
  <c r="O55" i="112"/>
  <c r="N55" i="112"/>
  <c r="M55" i="112"/>
  <c r="L55" i="112"/>
  <c r="K55" i="112"/>
  <c r="J55" i="112"/>
  <c r="I55" i="112"/>
  <c r="H55" i="112"/>
  <c r="G55" i="112"/>
  <c r="F55" i="112"/>
  <c r="E55" i="112"/>
  <c r="D55" i="112"/>
  <c r="C55" i="112"/>
  <c r="O54" i="112"/>
  <c r="N54" i="112"/>
  <c r="M54" i="112"/>
  <c r="L54" i="112"/>
  <c r="K54" i="112"/>
  <c r="J54" i="112"/>
  <c r="I54" i="112"/>
  <c r="H54" i="112"/>
  <c r="G54" i="112"/>
  <c r="F54" i="112"/>
  <c r="E54" i="112"/>
  <c r="D54" i="112"/>
  <c r="C54" i="112"/>
  <c r="O51" i="112"/>
  <c r="N51" i="112"/>
  <c r="M51" i="112"/>
  <c r="L51" i="112"/>
  <c r="K51" i="112"/>
  <c r="J51" i="112"/>
  <c r="I51" i="112"/>
  <c r="H51" i="112"/>
  <c r="G51" i="112"/>
  <c r="F51" i="112"/>
  <c r="E51" i="112"/>
  <c r="D51" i="112"/>
  <c r="C51" i="112"/>
  <c r="O50" i="112"/>
  <c r="N50" i="112"/>
  <c r="M50" i="112"/>
  <c r="L50" i="112"/>
  <c r="K50" i="112"/>
  <c r="J50" i="112"/>
  <c r="I50" i="112"/>
  <c r="H50" i="112"/>
  <c r="G50" i="112"/>
  <c r="F50" i="112"/>
  <c r="E50" i="112"/>
  <c r="D50" i="112"/>
  <c r="C50" i="112"/>
  <c r="O49" i="112"/>
  <c r="N49" i="112"/>
  <c r="M49" i="112"/>
  <c r="L49" i="112"/>
  <c r="K49" i="112"/>
  <c r="J49" i="112"/>
  <c r="I49" i="112"/>
  <c r="H49" i="112"/>
  <c r="G49" i="112"/>
  <c r="F49" i="112"/>
  <c r="E49" i="112"/>
  <c r="D49" i="112"/>
  <c r="C49" i="112"/>
  <c r="O48" i="112"/>
  <c r="N48" i="112"/>
  <c r="M48" i="112"/>
  <c r="L48" i="112"/>
  <c r="K48" i="112"/>
  <c r="J48" i="112"/>
  <c r="I48" i="112"/>
  <c r="H48" i="112"/>
  <c r="G48" i="112"/>
  <c r="F48" i="112"/>
  <c r="E48" i="112"/>
  <c r="D48" i="112"/>
  <c r="C48" i="112"/>
  <c r="O47" i="112"/>
  <c r="N47" i="112"/>
  <c r="M47" i="112"/>
  <c r="L47" i="112"/>
  <c r="K47" i="112"/>
  <c r="J47" i="112"/>
  <c r="I47" i="112"/>
  <c r="H47" i="112"/>
  <c r="G47" i="112"/>
  <c r="F47" i="112"/>
  <c r="E47" i="112"/>
  <c r="D47" i="112"/>
  <c r="C47" i="112"/>
  <c r="O46" i="112"/>
  <c r="N46" i="112"/>
  <c r="M46" i="112"/>
  <c r="L46" i="112"/>
  <c r="K46" i="112"/>
  <c r="J46" i="112"/>
  <c r="I46" i="112"/>
  <c r="H46" i="112"/>
  <c r="G46" i="112"/>
  <c r="F46" i="112"/>
  <c r="E46" i="112"/>
  <c r="D46" i="112"/>
  <c r="C46" i="112"/>
  <c r="O45" i="112"/>
  <c r="N45" i="112"/>
  <c r="M45" i="112"/>
  <c r="L45" i="112"/>
  <c r="K45" i="112"/>
  <c r="J45" i="112"/>
  <c r="I45" i="112"/>
  <c r="H45" i="112"/>
  <c r="G45" i="112"/>
  <c r="F45" i="112"/>
  <c r="E45" i="112"/>
  <c r="D45" i="112"/>
  <c r="C45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O43" i="112"/>
  <c r="N43" i="112"/>
  <c r="M43" i="112"/>
  <c r="L43" i="112"/>
  <c r="K43" i="112"/>
  <c r="J43" i="112"/>
  <c r="I43" i="112"/>
  <c r="H43" i="112"/>
  <c r="G43" i="112"/>
  <c r="F43" i="112"/>
  <c r="E43" i="112"/>
  <c r="D43" i="112"/>
  <c r="C43" i="112"/>
  <c r="O42" i="112"/>
  <c r="N42" i="112"/>
  <c r="M42" i="112"/>
  <c r="L42" i="112"/>
  <c r="K42" i="112"/>
  <c r="J42" i="112"/>
  <c r="I42" i="112"/>
  <c r="H42" i="112"/>
  <c r="G42" i="112"/>
  <c r="F42" i="112"/>
  <c r="E42" i="112"/>
  <c r="D42" i="112"/>
  <c r="C42" i="112"/>
  <c r="O41" i="112"/>
  <c r="N41" i="112"/>
  <c r="M41" i="112"/>
  <c r="L41" i="112"/>
  <c r="K41" i="112"/>
  <c r="J41" i="112"/>
  <c r="I41" i="112"/>
  <c r="H41" i="112"/>
  <c r="G41" i="112"/>
  <c r="F41" i="112"/>
  <c r="E41" i="112"/>
  <c r="D41" i="112"/>
  <c r="C41" i="112"/>
  <c r="O40" i="112"/>
  <c r="N40" i="112"/>
  <c r="M40" i="112"/>
  <c r="L40" i="112"/>
  <c r="K40" i="112"/>
  <c r="J40" i="112"/>
  <c r="I40" i="112"/>
  <c r="H40" i="112"/>
  <c r="G40" i="112"/>
  <c r="F40" i="112"/>
  <c r="E40" i="112"/>
  <c r="D40" i="112"/>
  <c r="C40" i="112"/>
  <c r="O39" i="112"/>
  <c r="N39" i="112"/>
  <c r="M39" i="112"/>
  <c r="L39" i="112"/>
  <c r="K39" i="112"/>
  <c r="J39" i="112"/>
  <c r="I39" i="112"/>
  <c r="H39" i="112"/>
  <c r="G39" i="112"/>
  <c r="F39" i="112"/>
  <c r="E39" i="112"/>
  <c r="D39" i="112"/>
  <c r="C39" i="112"/>
  <c r="O38" i="112"/>
  <c r="N38" i="112"/>
  <c r="M38" i="112"/>
  <c r="L38" i="112"/>
  <c r="K38" i="112"/>
  <c r="J38" i="112"/>
  <c r="I38" i="112"/>
  <c r="H38" i="112"/>
  <c r="G38" i="112"/>
  <c r="F38" i="112"/>
  <c r="E38" i="112"/>
  <c r="D38" i="112"/>
  <c r="C38" i="112"/>
  <c r="O37" i="112"/>
  <c r="N37" i="112"/>
  <c r="M37" i="112"/>
  <c r="L37" i="112"/>
  <c r="K37" i="112"/>
  <c r="J37" i="112"/>
  <c r="I37" i="112"/>
  <c r="H37" i="112"/>
  <c r="G37" i="112"/>
  <c r="F37" i="112"/>
  <c r="E37" i="112"/>
  <c r="D37" i="112"/>
  <c r="C37" i="112"/>
  <c r="O36" i="112"/>
  <c r="N36" i="112"/>
  <c r="M36" i="112"/>
  <c r="L36" i="112"/>
  <c r="K36" i="112"/>
  <c r="J36" i="112"/>
  <c r="I36" i="112"/>
  <c r="H36" i="112"/>
  <c r="G36" i="112"/>
  <c r="F36" i="112"/>
  <c r="E36" i="112"/>
  <c r="D36" i="112"/>
  <c r="C36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O34" i="112"/>
  <c r="N34" i="112"/>
  <c r="M34" i="112"/>
  <c r="L34" i="112"/>
  <c r="K34" i="112"/>
  <c r="J34" i="112"/>
  <c r="I34" i="112"/>
  <c r="H34" i="112"/>
  <c r="G34" i="112"/>
  <c r="F34" i="112"/>
  <c r="E34" i="112"/>
  <c r="D34" i="112"/>
  <c r="C34" i="112"/>
  <c r="O33" i="112"/>
  <c r="N33" i="112"/>
  <c r="M33" i="112"/>
  <c r="L33" i="112"/>
  <c r="K33" i="112"/>
  <c r="J33" i="112"/>
  <c r="I33" i="112"/>
  <c r="H33" i="112"/>
  <c r="G33" i="112"/>
  <c r="F33" i="112"/>
  <c r="E33" i="112"/>
  <c r="D33" i="112"/>
  <c r="C33" i="112"/>
  <c r="O32" i="112"/>
  <c r="N32" i="112"/>
  <c r="M32" i="112"/>
  <c r="L32" i="112"/>
  <c r="K32" i="112"/>
  <c r="J32" i="112"/>
  <c r="I32" i="112"/>
  <c r="H32" i="112"/>
  <c r="G32" i="112"/>
  <c r="F32" i="112"/>
  <c r="E32" i="112"/>
  <c r="D32" i="112"/>
  <c r="C32" i="112"/>
  <c r="O31" i="112"/>
  <c r="N31" i="112"/>
  <c r="M31" i="112"/>
  <c r="L31" i="112"/>
  <c r="K31" i="112"/>
  <c r="J31" i="112"/>
  <c r="I31" i="112"/>
  <c r="H31" i="112"/>
  <c r="G31" i="112"/>
  <c r="F31" i="112"/>
  <c r="E31" i="112"/>
  <c r="D31" i="112"/>
  <c r="C31" i="112"/>
  <c r="O30" i="112"/>
  <c r="N30" i="112"/>
  <c r="M30" i="112"/>
  <c r="L30" i="112"/>
  <c r="K30" i="112"/>
  <c r="J30" i="112"/>
  <c r="I30" i="112"/>
  <c r="H30" i="112"/>
  <c r="G30" i="112"/>
  <c r="F30" i="112"/>
  <c r="E30" i="112"/>
  <c r="D30" i="112"/>
  <c r="C30" i="112"/>
  <c r="O27" i="112"/>
  <c r="N27" i="112"/>
  <c r="M27" i="112"/>
  <c r="L27" i="112"/>
  <c r="K27" i="112"/>
  <c r="J27" i="112"/>
  <c r="I27" i="112"/>
  <c r="H27" i="112"/>
  <c r="G27" i="112"/>
  <c r="F27" i="112"/>
  <c r="E27" i="112"/>
  <c r="D27" i="112"/>
  <c r="C27" i="112"/>
  <c r="O26" i="112"/>
  <c r="N26" i="112"/>
  <c r="M26" i="112"/>
  <c r="L26" i="112"/>
  <c r="K26" i="112"/>
  <c r="J26" i="112"/>
  <c r="I26" i="112"/>
  <c r="H26" i="112"/>
  <c r="G26" i="112"/>
  <c r="F26" i="112"/>
  <c r="E26" i="112"/>
  <c r="D26" i="112"/>
  <c r="C26" i="112"/>
  <c r="O25" i="112"/>
  <c r="N25" i="112"/>
  <c r="M25" i="112"/>
  <c r="L25" i="112"/>
  <c r="K25" i="112"/>
  <c r="J25" i="112"/>
  <c r="I25" i="112"/>
  <c r="H25" i="112"/>
  <c r="G25" i="112"/>
  <c r="F25" i="112"/>
  <c r="E25" i="112"/>
  <c r="D25" i="112"/>
  <c r="C25" i="112"/>
  <c r="O24" i="112"/>
  <c r="N24" i="112"/>
  <c r="M24" i="112"/>
  <c r="L24" i="112"/>
  <c r="K24" i="112"/>
  <c r="J24" i="112"/>
  <c r="I24" i="112"/>
  <c r="H24" i="112"/>
  <c r="G24" i="112"/>
  <c r="F24" i="112"/>
  <c r="E24" i="112"/>
  <c r="D24" i="112"/>
  <c r="C24" i="112"/>
  <c r="O23" i="112"/>
  <c r="N23" i="112"/>
  <c r="M23" i="112"/>
  <c r="L23" i="112"/>
  <c r="K23" i="112"/>
  <c r="J23" i="112"/>
  <c r="I23" i="112"/>
  <c r="H23" i="112"/>
  <c r="G23" i="112"/>
  <c r="F23" i="112"/>
  <c r="E23" i="112"/>
  <c r="D23" i="112"/>
  <c r="C23" i="112"/>
  <c r="O22" i="112"/>
  <c r="N22" i="112"/>
  <c r="M22" i="112"/>
  <c r="L22" i="112"/>
  <c r="K22" i="112"/>
  <c r="J22" i="112"/>
  <c r="I22" i="112"/>
  <c r="H22" i="112"/>
  <c r="G22" i="112"/>
  <c r="F22" i="112"/>
  <c r="E22" i="112"/>
  <c r="D22" i="112"/>
  <c r="C22" i="112"/>
  <c r="O21" i="112"/>
  <c r="N21" i="112"/>
  <c r="M21" i="112"/>
  <c r="L21" i="112"/>
  <c r="K21" i="112"/>
  <c r="J21" i="112"/>
  <c r="I21" i="112"/>
  <c r="H21" i="112"/>
  <c r="G21" i="112"/>
  <c r="F21" i="112"/>
  <c r="E21" i="112"/>
  <c r="D21" i="112"/>
  <c r="C21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O19" i="112"/>
  <c r="N19" i="112"/>
  <c r="M19" i="112"/>
  <c r="L19" i="112"/>
  <c r="K19" i="112"/>
  <c r="J19" i="112"/>
  <c r="I19" i="112"/>
  <c r="H19" i="112"/>
  <c r="G19" i="112"/>
  <c r="F19" i="112"/>
  <c r="E19" i="112"/>
  <c r="D19" i="112"/>
  <c r="C19" i="112"/>
  <c r="O18" i="112"/>
  <c r="N18" i="112"/>
  <c r="M18" i="112"/>
  <c r="L18" i="112"/>
  <c r="K18" i="112"/>
  <c r="J18" i="112"/>
  <c r="I18" i="112"/>
  <c r="H18" i="112"/>
  <c r="G18" i="112"/>
  <c r="F18" i="112"/>
  <c r="E18" i="112"/>
  <c r="D18" i="112"/>
  <c r="C18" i="112"/>
  <c r="O17" i="112"/>
  <c r="N17" i="112"/>
  <c r="M17" i="112"/>
  <c r="L17" i="112"/>
  <c r="K17" i="112"/>
  <c r="J17" i="112"/>
  <c r="I17" i="112"/>
  <c r="H17" i="112"/>
  <c r="G17" i="112"/>
  <c r="F17" i="112"/>
  <c r="E17" i="112"/>
  <c r="D17" i="112"/>
  <c r="C17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O15" i="112"/>
  <c r="N15" i="112"/>
  <c r="M15" i="112"/>
  <c r="L15" i="112"/>
  <c r="K15" i="112"/>
  <c r="J15" i="112"/>
  <c r="I15" i="112"/>
  <c r="H15" i="112"/>
  <c r="G15" i="112"/>
  <c r="F15" i="112"/>
  <c r="E15" i="112"/>
  <c r="D15" i="112"/>
  <c r="C15" i="112"/>
  <c r="O14" i="112"/>
  <c r="N14" i="112"/>
  <c r="M14" i="112"/>
  <c r="L14" i="112"/>
  <c r="K14" i="112"/>
  <c r="J14" i="112"/>
  <c r="I14" i="112"/>
  <c r="H14" i="112"/>
  <c r="G14" i="112"/>
  <c r="F14" i="112"/>
  <c r="E14" i="112"/>
  <c r="D14" i="112"/>
  <c r="C14" i="112"/>
  <c r="O13" i="112"/>
  <c r="N13" i="112"/>
  <c r="M13" i="112"/>
  <c r="L13" i="112"/>
  <c r="K13" i="112"/>
  <c r="J13" i="112"/>
  <c r="I13" i="112"/>
  <c r="H13" i="112"/>
  <c r="G13" i="112"/>
  <c r="F13" i="112"/>
  <c r="E13" i="112"/>
  <c r="D13" i="112"/>
  <c r="C13" i="112"/>
  <c r="O12" i="112"/>
  <c r="N12" i="112"/>
  <c r="M12" i="112"/>
  <c r="L12" i="112"/>
  <c r="K12" i="112"/>
  <c r="J12" i="112"/>
  <c r="I12" i="112"/>
  <c r="H12" i="112"/>
  <c r="G12" i="112"/>
  <c r="F12" i="112"/>
  <c r="E12" i="112"/>
  <c r="D12" i="112"/>
  <c r="C12" i="112"/>
  <c r="O11" i="112"/>
  <c r="N11" i="112"/>
  <c r="M11" i="112"/>
  <c r="L11" i="112"/>
  <c r="K11" i="112"/>
  <c r="J11" i="112"/>
  <c r="I11" i="112"/>
  <c r="H11" i="112"/>
  <c r="G11" i="112"/>
  <c r="F11" i="112"/>
  <c r="E11" i="112"/>
  <c r="D11" i="112"/>
  <c r="C11" i="112"/>
  <c r="O10" i="112"/>
  <c r="N10" i="112"/>
  <c r="M10" i="112"/>
  <c r="L10" i="112"/>
  <c r="K10" i="112"/>
  <c r="J10" i="112"/>
  <c r="I10" i="112"/>
  <c r="H10" i="112"/>
  <c r="G10" i="112"/>
  <c r="F10" i="112"/>
  <c r="E10" i="112"/>
  <c r="D10" i="112"/>
  <c r="C10" i="112"/>
  <c r="O9" i="112"/>
  <c r="N9" i="112"/>
  <c r="M9" i="112"/>
  <c r="L9" i="112"/>
  <c r="K9" i="112"/>
  <c r="J9" i="112"/>
  <c r="I9" i="112"/>
  <c r="H9" i="112"/>
  <c r="G9" i="112"/>
  <c r="F9" i="112"/>
  <c r="E9" i="112"/>
  <c r="D9" i="112"/>
  <c r="C9" i="112"/>
  <c r="O4" i="111"/>
  <c r="O5" i="111"/>
  <c r="O6" i="111"/>
  <c r="O58" i="111"/>
  <c r="N4" i="111"/>
  <c r="N5" i="111"/>
  <c r="N6" i="111"/>
  <c r="N58" i="111"/>
  <c r="M4" i="111"/>
  <c r="M5" i="111"/>
  <c r="M6" i="111"/>
  <c r="M58" i="111"/>
  <c r="L4" i="111"/>
  <c r="L5" i="111"/>
  <c r="L6" i="111"/>
  <c r="L58" i="111"/>
  <c r="K4" i="111"/>
  <c r="K5" i="111"/>
  <c r="K6" i="111"/>
  <c r="K58" i="111"/>
  <c r="J4" i="111"/>
  <c r="J5" i="111"/>
  <c r="J6" i="111"/>
  <c r="J58" i="111"/>
  <c r="I4" i="111"/>
  <c r="I5" i="111"/>
  <c r="I6" i="111"/>
  <c r="I58" i="111"/>
  <c r="H4" i="111"/>
  <c r="H5" i="111"/>
  <c r="H6" i="111"/>
  <c r="H58" i="111"/>
  <c r="G4" i="111"/>
  <c r="G5" i="111"/>
  <c r="G6" i="111"/>
  <c r="G58" i="111"/>
  <c r="F4" i="111"/>
  <c r="F5" i="111"/>
  <c r="F6" i="111"/>
  <c r="F58" i="111"/>
  <c r="E4" i="111"/>
  <c r="E5" i="111"/>
  <c r="E6" i="111"/>
  <c r="E58" i="111"/>
  <c r="D4" i="111"/>
  <c r="D5" i="111"/>
  <c r="D6" i="111"/>
  <c r="D58" i="111"/>
  <c r="C4" i="111"/>
  <c r="C5" i="111"/>
  <c r="C6" i="111"/>
  <c r="C58" i="111"/>
  <c r="O57" i="111"/>
  <c r="N57" i="111"/>
  <c r="M57" i="111"/>
  <c r="L57" i="111"/>
  <c r="K57" i="111"/>
  <c r="J57" i="111"/>
  <c r="I57" i="111"/>
  <c r="H57" i="111"/>
  <c r="G57" i="111"/>
  <c r="F57" i="111"/>
  <c r="E57" i="111"/>
  <c r="D57" i="111"/>
  <c r="C57" i="111"/>
  <c r="O56" i="111"/>
  <c r="N56" i="111"/>
  <c r="M56" i="111"/>
  <c r="L56" i="111"/>
  <c r="K56" i="111"/>
  <c r="J56" i="111"/>
  <c r="I56" i="111"/>
  <c r="H56" i="111"/>
  <c r="G56" i="111"/>
  <c r="F56" i="111"/>
  <c r="E56" i="111"/>
  <c r="D56" i="111"/>
  <c r="C56" i="111"/>
  <c r="O55" i="111"/>
  <c r="N55" i="111"/>
  <c r="M55" i="111"/>
  <c r="L55" i="111"/>
  <c r="K55" i="111"/>
  <c r="J55" i="111"/>
  <c r="I55" i="111"/>
  <c r="H55" i="111"/>
  <c r="G55" i="111"/>
  <c r="F55" i="111"/>
  <c r="E55" i="111"/>
  <c r="D55" i="111"/>
  <c r="C55" i="111"/>
  <c r="O52" i="111"/>
  <c r="N52" i="111"/>
  <c r="M52" i="111"/>
  <c r="L52" i="111"/>
  <c r="K52" i="111"/>
  <c r="J52" i="111"/>
  <c r="I52" i="111"/>
  <c r="H52" i="111"/>
  <c r="G52" i="111"/>
  <c r="F52" i="111"/>
  <c r="E52" i="111"/>
  <c r="D52" i="111"/>
  <c r="C52" i="111"/>
  <c r="O51" i="111"/>
  <c r="N51" i="111"/>
  <c r="M51" i="111"/>
  <c r="L51" i="111"/>
  <c r="K51" i="111"/>
  <c r="J51" i="111"/>
  <c r="I51" i="111"/>
  <c r="H51" i="111"/>
  <c r="G51" i="111"/>
  <c r="F51" i="111"/>
  <c r="E51" i="111"/>
  <c r="D51" i="111"/>
  <c r="C51" i="111"/>
  <c r="O48" i="111"/>
  <c r="N48" i="111"/>
  <c r="M48" i="111"/>
  <c r="L48" i="111"/>
  <c r="K48" i="111"/>
  <c r="J48" i="111"/>
  <c r="I48" i="111"/>
  <c r="H48" i="111"/>
  <c r="G48" i="111"/>
  <c r="F48" i="111"/>
  <c r="E48" i="111"/>
  <c r="D48" i="111"/>
  <c r="C48" i="111"/>
  <c r="O45" i="111"/>
  <c r="N45" i="111"/>
  <c r="M45" i="111"/>
  <c r="L45" i="111"/>
  <c r="K45" i="111"/>
  <c r="J45" i="111"/>
  <c r="I45" i="111"/>
  <c r="H45" i="111"/>
  <c r="G45" i="111"/>
  <c r="F45" i="111"/>
  <c r="E45" i="111"/>
  <c r="D45" i="111"/>
  <c r="C45" i="111"/>
  <c r="O44" i="111"/>
  <c r="N44" i="111"/>
  <c r="M44" i="111"/>
  <c r="L44" i="111"/>
  <c r="K44" i="111"/>
  <c r="J44" i="111"/>
  <c r="I44" i="111"/>
  <c r="H44" i="111"/>
  <c r="G44" i="111"/>
  <c r="F44" i="111"/>
  <c r="E44" i="111"/>
  <c r="D44" i="111"/>
  <c r="C44" i="111"/>
  <c r="O43" i="111"/>
  <c r="N43" i="111"/>
  <c r="M43" i="111"/>
  <c r="L43" i="111"/>
  <c r="K43" i="111"/>
  <c r="J43" i="111"/>
  <c r="I43" i="111"/>
  <c r="H43" i="111"/>
  <c r="G43" i="111"/>
  <c r="F43" i="111"/>
  <c r="E43" i="111"/>
  <c r="D43" i="111"/>
  <c r="C43" i="111"/>
  <c r="O42" i="111"/>
  <c r="N42" i="111"/>
  <c r="M42" i="111"/>
  <c r="L42" i="111"/>
  <c r="K42" i="111"/>
  <c r="J42" i="111"/>
  <c r="I42" i="111"/>
  <c r="H42" i="111"/>
  <c r="G42" i="111"/>
  <c r="F42" i="111"/>
  <c r="E42" i="111"/>
  <c r="D42" i="111"/>
  <c r="C42" i="111"/>
  <c r="O41" i="111"/>
  <c r="N41" i="111"/>
  <c r="M41" i="111"/>
  <c r="L41" i="111"/>
  <c r="K41" i="111"/>
  <c r="J41" i="111"/>
  <c r="I41" i="111"/>
  <c r="H41" i="111"/>
  <c r="G41" i="111"/>
  <c r="F41" i="111"/>
  <c r="E41" i="111"/>
  <c r="D41" i="111"/>
  <c r="C41" i="111"/>
  <c r="O40" i="111"/>
  <c r="N40" i="111"/>
  <c r="M40" i="111"/>
  <c r="L40" i="111"/>
  <c r="K40" i="111"/>
  <c r="J40" i="111"/>
  <c r="I40" i="111"/>
  <c r="H40" i="111"/>
  <c r="G40" i="111"/>
  <c r="F40" i="111"/>
  <c r="E40" i="111"/>
  <c r="D40" i="111"/>
  <c r="C40" i="111"/>
  <c r="O39" i="111"/>
  <c r="N39" i="111"/>
  <c r="M39" i="111"/>
  <c r="L39" i="111"/>
  <c r="K39" i="111"/>
  <c r="J39" i="111"/>
  <c r="I39" i="111"/>
  <c r="H39" i="111"/>
  <c r="G39" i="111"/>
  <c r="F39" i="111"/>
  <c r="E39" i="111"/>
  <c r="D39" i="111"/>
  <c r="C39" i="111"/>
  <c r="O38" i="111"/>
  <c r="N38" i="111"/>
  <c r="M38" i="111"/>
  <c r="L38" i="111"/>
  <c r="K38" i="111"/>
  <c r="J38" i="111"/>
  <c r="I38" i="111"/>
  <c r="H38" i="111"/>
  <c r="G38" i="111"/>
  <c r="F38" i="111"/>
  <c r="E38" i="111"/>
  <c r="D38" i="111"/>
  <c r="C38" i="111"/>
  <c r="O37" i="111"/>
  <c r="N37" i="111"/>
  <c r="M37" i="111"/>
  <c r="L37" i="111"/>
  <c r="K37" i="111"/>
  <c r="J37" i="111"/>
  <c r="I37" i="111"/>
  <c r="H37" i="111"/>
  <c r="G37" i="111"/>
  <c r="F37" i="111"/>
  <c r="E37" i="111"/>
  <c r="D37" i="111"/>
  <c r="C37" i="111"/>
  <c r="O34" i="111"/>
  <c r="N34" i="111"/>
  <c r="M34" i="111"/>
  <c r="L34" i="111"/>
  <c r="K34" i="111"/>
  <c r="J34" i="111"/>
  <c r="I34" i="111"/>
  <c r="H34" i="111"/>
  <c r="G34" i="111"/>
  <c r="F34" i="111"/>
  <c r="E34" i="111"/>
  <c r="D34" i="111"/>
  <c r="C34" i="111"/>
  <c r="O33" i="111"/>
  <c r="N33" i="111"/>
  <c r="M33" i="111"/>
  <c r="L33" i="111"/>
  <c r="K33" i="111"/>
  <c r="J33" i="111"/>
  <c r="I33" i="111"/>
  <c r="H33" i="111"/>
  <c r="G33" i="111"/>
  <c r="F33" i="111"/>
  <c r="E33" i="111"/>
  <c r="D33" i="111"/>
  <c r="C33" i="111"/>
  <c r="O32" i="111"/>
  <c r="N32" i="111"/>
  <c r="M32" i="111"/>
  <c r="L32" i="111"/>
  <c r="K32" i="111"/>
  <c r="J32" i="111"/>
  <c r="I32" i="111"/>
  <c r="H32" i="111"/>
  <c r="G32" i="111"/>
  <c r="F32" i="111"/>
  <c r="E32" i="111"/>
  <c r="D32" i="111"/>
  <c r="C32" i="111"/>
  <c r="O31" i="111"/>
  <c r="N31" i="111"/>
  <c r="M31" i="111"/>
  <c r="L31" i="111"/>
  <c r="K31" i="111"/>
  <c r="J31" i="111"/>
  <c r="I31" i="111"/>
  <c r="H31" i="111"/>
  <c r="G31" i="111"/>
  <c r="F31" i="111"/>
  <c r="E31" i="111"/>
  <c r="D31" i="111"/>
  <c r="C31" i="111"/>
  <c r="O30" i="111"/>
  <c r="N30" i="111"/>
  <c r="M30" i="111"/>
  <c r="L30" i="111"/>
  <c r="K30" i="111"/>
  <c r="J30" i="111"/>
  <c r="I30" i="111"/>
  <c r="H30" i="111"/>
  <c r="G30" i="111"/>
  <c r="F30" i="111"/>
  <c r="E30" i="111"/>
  <c r="D30" i="111"/>
  <c r="C30" i="111"/>
  <c r="O29" i="111"/>
  <c r="N29" i="111"/>
  <c r="M29" i="111"/>
  <c r="L29" i="111"/>
  <c r="K29" i="111"/>
  <c r="J29" i="111"/>
  <c r="I29" i="111"/>
  <c r="H29" i="111"/>
  <c r="G29" i="111"/>
  <c r="F29" i="111"/>
  <c r="E29" i="111"/>
  <c r="D29" i="111"/>
  <c r="C29" i="111"/>
  <c r="O28" i="111"/>
  <c r="N28" i="111"/>
  <c r="M28" i="111"/>
  <c r="L28" i="111"/>
  <c r="K28" i="111"/>
  <c r="J28" i="111"/>
  <c r="I28" i="111"/>
  <c r="H28" i="111"/>
  <c r="G28" i="111"/>
  <c r="F28" i="111"/>
  <c r="E28" i="111"/>
  <c r="D28" i="111"/>
  <c r="C28" i="111"/>
  <c r="O27" i="111"/>
  <c r="N27" i="111"/>
  <c r="M27" i="111"/>
  <c r="L27" i="111"/>
  <c r="K27" i="111"/>
  <c r="J27" i="111"/>
  <c r="I27" i="111"/>
  <c r="H27" i="111"/>
  <c r="G27" i="111"/>
  <c r="F27" i="111"/>
  <c r="E27" i="111"/>
  <c r="D27" i="111"/>
  <c r="C27" i="111"/>
  <c r="O26" i="111"/>
  <c r="N26" i="111"/>
  <c r="M26" i="111"/>
  <c r="L26" i="111"/>
  <c r="K26" i="111"/>
  <c r="J26" i="111"/>
  <c r="I26" i="111"/>
  <c r="H26" i="111"/>
  <c r="G26" i="111"/>
  <c r="F26" i="111"/>
  <c r="E26" i="111"/>
  <c r="D26" i="111"/>
  <c r="C26" i="111"/>
  <c r="O25" i="111"/>
  <c r="N25" i="111"/>
  <c r="M25" i="111"/>
  <c r="L25" i="111"/>
  <c r="K25" i="111"/>
  <c r="J25" i="111"/>
  <c r="I25" i="111"/>
  <c r="H25" i="111"/>
  <c r="G25" i="111"/>
  <c r="F25" i="111"/>
  <c r="E25" i="111"/>
  <c r="D25" i="111"/>
  <c r="C25" i="111"/>
  <c r="O24" i="111"/>
  <c r="N24" i="111"/>
  <c r="M24" i="111"/>
  <c r="L24" i="111"/>
  <c r="K24" i="111"/>
  <c r="J24" i="111"/>
  <c r="I24" i="111"/>
  <c r="H24" i="111"/>
  <c r="G24" i="111"/>
  <c r="F24" i="111"/>
  <c r="E24" i="111"/>
  <c r="D24" i="111"/>
  <c r="C24" i="111"/>
  <c r="O23" i="111"/>
  <c r="N23" i="111"/>
  <c r="M23" i="111"/>
  <c r="L23" i="111"/>
  <c r="K23" i="111"/>
  <c r="J23" i="111"/>
  <c r="I23" i="111"/>
  <c r="H23" i="111"/>
  <c r="G23" i="111"/>
  <c r="F23" i="111"/>
  <c r="E23" i="111"/>
  <c r="D23" i="111"/>
  <c r="C23" i="111"/>
  <c r="O22" i="111"/>
  <c r="N22" i="111"/>
  <c r="M22" i="111"/>
  <c r="L22" i="111"/>
  <c r="K22" i="111"/>
  <c r="J22" i="111"/>
  <c r="I22" i="111"/>
  <c r="H22" i="111"/>
  <c r="G22" i="111"/>
  <c r="F22" i="111"/>
  <c r="E22" i="111"/>
  <c r="D22" i="111"/>
  <c r="C22" i="111"/>
  <c r="O21" i="111"/>
  <c r="N21" i="111"/>
  <c r="M21" i="111"/>
  <c r="L21" i="111"/>
  <c r="K21" i="111"/>
  <c r="J21" i="111"/>
  <c r="I21" i="111"/>
  <c r="H21" i="111"/>
  <c r="G21" i="111"/>
  <c r="F21" i="111"/>
  <c r="E21" i="111"/>
  <c r="D21" i="111"/>
  <c r="C21" i="111"/>
  <c r="O20" i="111"/>
  <c r="N20" i="111"/>
  <c r="M20" i="111"/>
  <c r="L20" i="111"/>
  <c r="K20" i="111"/>
  <c r="J20" i="111"/>
  <c r="I20" i="111"/>
  <c r="H20" i="111"/>
  <c r="G20" i="111"/>
  <c r="F20" i="111"/>
  <c r="E20" i="111"/>
  <c r="D20" i="111"/>
  <c r="C20" i="111"/>
  <c r="O19" i="111"/>
  <c r="N19" i="111"/>
  <c r="M19" i="111"/>
  <c r="L19" i="111"/>
  <c r="K19" i="111"/>
  <c r="J19" i="111"/>
  <c r="I19" i="111"/>
  <c r="H19" i="111"/>
  <c r="G19" i="111"/>
  <c r="F19" i="111"/>
  <c r="E19" i="111"/>
  <c r="D19" i="111"/>
  <c r="C19" i="111"/>
  <c r="O18" i="111"/>
  <c r="N18" i="111"/>
  <c r="M18" i="111"/>
  <c r="L18" i="111"/>
  <c r="K18" i="111"/>
  <c r="J18" i="111"/>
  <c r="I18" i="111"/>
  <c r="H18" i="111"/>
  <c r="G18" i="111"/>
  <c r="F18" i="111"/>
  <c r="E18" i="111"/>
  <c r="D18" i="111"/>
  <c r="C18" i="111"/>
  <c r="O17" i="111"/>
  <c r="N17" i="111"/>
  <c r="M17" i="111"/>
  <c r="L17" i="111"/>
  <c r="K17" i="111"/>
  <c r="J17" i="111"/>
  <c r="I17" i="111"/>
  <c r="H17" i="111"/>
  <c r="G17" i="111"/>
  <c r="F17" i="111"/>
  <c r="E17" i="111"/>
  <c r="D17" i="111"/>
  <c r="C17" i="111"/>
  <c r="O16" i="111"/>
  <c r="N16" i="111"/>
  <c r="M16" i="111"/>
  <c r="L16" i="111"/>
  <c r="K16" i="111"/>
  <c r="J16" i="111"/>
  <c r="I16" i="111"/>
  <c r="H16" i="111"/>
  <c r="G16" i="111"/>
  <c r="F16" i="111"/>
  <c r="E16" i="111"/>
  <c r="D16" i="111"/>
  <c r="C16" i="111"/>
  <c r="O15" i="111"/>
  <c r="N15" i="111"/>
  <c r="M15" i="111"/>
  <c r="L15" i="111"/>
  <c r="K15" i="111"/>
  <c r="J15" i="111"/>
  <c r="I15" i="111"/>
  <c r="H15" i="111"/>
  <c r="G15" i="111"/>
  <c r="F15" i="111"/>
  <c r="E15" i="111"/>
  <c r="D15" i="111"/>
  <c r="C15" i="111"/>
  <c r="O14" i="111"/>
  <c r="N14" i="111"/>
  <c r="M14" i="111"/>
  <c r="L14" i="111"/>
  <c r="K14" i="111"/>
  <c r="J14" i="111"/>
  <c r="I14" i="111"/>
  <c r="H14" i="111"/>
  <c r="G14" i="111"/>
  <c r="F14" i="111"/>
  <c r="E14" i="111"/>
  <c r="D14" i="111"/>
  <c r="C14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O10" i="111"/>
  <c r="N10" i="111"/>
  <c r="M10" i="111"/>
  <c r="L10" i="111"/>
  <c r="K10" i="111"/>
  <c r="J10" i="111"/>
  <c r="I10" i="111"/>
  <c r="H10" i="111"/>
  <c r="G10" i="111"/>
  <c r="F10" i="111"/>
  <c r="E10" i="111"/>
  <c r="D10" i="111"/>
  <c r="C10" i="111"/>
  <c r="O9" i="111"/>
  <c r="N9" i="111"/>
  <c r="M9" i="111"/>
  <c r="L9" i="111"/>
  <c r="K9" i="111"/>
  <c r="J9" i="111"/>
  <c r="I9" i="111"/>
  <c r="H9" i="111"/>
  <c r="G9" i="111"/>
  <c r="F9" i="111"/>
  <c r="E9" i="111"/>
  <c r="D9" i="111"/>
  <c r="C9" i="111"/>
  <c r="O4" i="110"/>
  <c r="O5" i="110"/>
  <c r="O6" i="110"/>
  <c r="O50" i="110"/>
  <c r="N4" i="110"/>
  <c r="N5" i="110"/>
  <c r="N6" i="110"/>
  <c r="N50" i="110"/>
  <c r="M4" i="110"/>
  <c r="M5" i="110"/>
  <c r="M6" i="110"/>
  <c r="M50" i="110"/>
  <c r="L4" i="110"/>
  <c r="L5" i="110"/>
  <c r="L6" i="110"/>
  <c r="L50" i="110"/>
  <c r="K4" i="110"/>
  <c r="K5" i="110"/>
  <c r="K6" i="110"/>
  <c r="K50" i="110"/>
  <c r="J4" i="110"/>
  <c r="J5" i="110"/>
  <c r="J6" i="110"/>
  <c r="J50" i="110"/>
  <c r="I4" i="110"/>
  <c r="I5" i="110"/>
  <c r="I6" i="110"/>
  <c r="I50" i="110"/>
  <c r="H4" i="110"/>
  <c r="H5" i="110"/>
  <c r="H6" i="110"/>
  <c r="H50" i="110"/>
  <c r="G4" i="110"/>
  <c r="G5" i="110"/>
  <c r="G6" i="110"/>
  <c r="G50" i="110"/>
  <c r="F4" i="110"/>
  <c r="F5" i="110"/>
  <c r="F6" i="110"/>
  <c r="F50" i="110"/>
  <c r="E4" i="110"/>
  <c r="E5" i="110"/>
  <c r="E6" i="110"/>
  <c r="E50" i="110"/>
  <c r="D4" i="110"/>
  <c r="D5" i="110"/>
  <c r="D6" i="110"/>
  <c r="D50" i="110"/>
  <c r="C4" i="110"/>
  <c r="C5" i="110"/>
  <c r="C6" i="110"/>
  <c r="C50" i="110"/>
  <c r="O49" i="110"/>
  <c r="N49" i="110"/>
  <c r="M49" i="110"/>
  <c r="L49" i="110"/>
  <c r="K49" i="110"/>
  <c r="J49" i="110"/>
  <c r="I49" i="110"/>
  <c r="H49" i="110"/>
  <c r="G49" i="110"/>
  <c r="F49" i="110"/>
  <c r="E49" i="110"/>
  <c r="D49" i="110"/>
  <c r="C49" i="110"/>
  <c r="O48" i="110"/>
  <c r="N48" i="110"/>
  <c r="M48" i="110"/>
  <c r="L48" i="110"/>
  <c r="K48" i="110"/>
  <c r="J48" i="110"/>
  <c r="I48" i="110"/>
  <c r="H48" i="110"/>
  <c r="G48" i="110"/>
  <c r="F48" i="110"/>
  <c r="E48" i="110"/>
  <c r="D48" i="110"/>
  <c r="C48" i="110"/>
  <c r="O45" i="110"/>
  <c r="N45" i="110"/>
  <c r="M45" i="110"/>
  <c r="L45" i="110"/>
  <c r="K45" i="110"/>
  <c r="J45" i="110"/>
  <c r="I45" i="110"/>
  <c r="H45" i="110"/>
  <c r="G45" i="110"/>
  <c r="F45" i="110"/>
  <c r="E45" i="110"/>
  <c r="D45" i="110"/>
  <c r="C45" i="110"/>
  <c r="O42" i="110"/>
  <c r="N42" i="110"/>
  <c r="M42" i="110"/>
  <c r="L42" i="110"/>
  <c r="K42" i="110"/>
  <c r="J42" i="110"/>
  <c r="I42" i="110"/>
  <c r="H42" i="110"/>
  <c r="G42" i="110"/>
  <c r="F42" i="110"/>
  <c r="E42" i="110"/>
  <c r="D42" i="110"/>
  <c r="C42" i="110"/>
  <c r="O41" i="110"/>
  <c r="N41" i="110"/>
  <c r="M41" i="110"/>
  <c r="L41" i="110"/>
  <c r="K41" i="110"/>
  <c r="J41" i="110"/>
  <c r="I41" i="110"/>
  <c r="H41" i="110"/>
  <c r="G41" i="110"/>
  <c r="F41" i="110"/>
  <c r="E41" i="110"/>
  <c r="D41" i="110"/>
  <c r="C41" i="110"/>
  <c r="O40" i="110"/>
  <c r="N40" i="110"/>
  <c r="M40" i="110"/>
  <c r="L40" i="110"/>
  <c r="K40" i="110"/>
  <c r="J40" i="110"/>
  <c r="I40" i="110"/>
  <c r="H40" i="110"/>
  <c r="G40" i="110"/>
  <c r="F40" i="110"/>
  <c r="E40" i="110"/>
  <c r="D40" i="110"/>
  <c r="C40" i="110"/>
  <c r="O39" i="110"/>
  <c r="N39" i="110"/>
  <c r="M39" i="110"/>
  <c r="L39" i="110"/>
  <c r="K39" i="110"/>
  <c r="J39" i="110"/>
  <c r="I39" i="110"/>
  <c r="H39" i="110"/>
  <c r="G39" i="110"/>
  <c r="F39" i="110"/>
  <c r="E39" i="110"/>
  <c r="D39" i="110"/>
  <c r="C39" i="110"/>
  <c r="O38" i="110"/>
  <c r="N38" i="110"/>
  <c r="M38" i="110"/>
  <c r="L38" i="110"/>
  <c r="K38" i="110"/>
  <c r="J38" i="110"/>
  <c r="I38" i="110"/>
  <c r="H38" i="110"/>
  <c r="G38" i="110"/>
  <c r="F38" i="110"/>
  <c r="E38" i="110"/>
  <c r="D38" i="110"/>
  <c r="C38" i="110"/>
  <c r="O37" i="110"/>
  <c r="N37" i="110"/>
  <c r="M37" i="110"/>
  <c r="L37" i="110"/>
  <c r="K37" i="110"/>
  <c r="J37" i="110"/>
  <c r="I37" i="110"/>
  <c r="H37" i="110"/>
  <c r="G37" i="110"/>
  <c r="F37" i="110"/>
  <c r="E37" i="110"/>
  <c r="D37" i="110"/>
  <c r="C37" i="110"/>
  <c r="O36" i="110"/>
  <c r="N36" i="110"/>
  <c r="M36" i="110"/>
  <c r="L36" i="110"/>
  <c r="K36" i="110"/>
  <c r="J36" i="110"/>
  <c r="I36" i="110"/>
  <c r="H36" i="110"/>
  <c r="G36" i="110"/>
  <c r="F36" i="110"/>
  <c r="E36" i="110"/>
  <c r="D36" i="110"/>
  <c r="C36" i="110"/>
  <c r="O35" i="110"/>
  <c r="N35" i="110"/>
  <c r="M35" i="110"/>
  <c r="L35" i="110"/>
  <c r="K35" i="110"/>
  <c r="J35" i="110"/>
  <c r="I35" i="110"/>
  <c r="H35" i="110"/>
  <c r="G35" i="110"/>
  <c r="F35" i="110"/>
  <c r="E35" i="110"/>
  <c r="D35" i="110"/>
  <c r="C35" i="110"/>
  <c r="O34" i="110"/>
  <c r="N34" i="110"/>
  <c r="M34" i="110"/>
  <c r="L34" i="110"/>
  <c r="K34" i="110"/>
  <c r="J34" i="110"/>
  <c r="I34" i="110"/>
  <c r="H34" i="110"/>
  <c r="G34" i="110"/>
  <c r="F34" i="110"/>
  <c r="E34" i="110"/>
  <c r="D34" i="110"/>
  <c r="C34" i="110"/>
  <c r="O33" i="110"/>
  <c r="N33" i="110"/>
  <c r="M33" i="110"/>
  <c r="L33" i="110"/>
  <c r="K33" i="110"/>
  <c r="J33" i="110"/>
  <c r="I33" i="110"/>
  <c r="H33" i="110"/>
  <c r="G33" i="110"/>
  <c r="F33" i="110"/>
  <c r="E33" i="110"/>
  <c r="D33" i="110"/>
  <c r="C33" i="110"/>
  <c r="O32" i="110"/>
  <c r="N32" i="110"/>
  <c r="M32" i="110"/>
  <c r="L32" i="110"/>
  <c r="K32" i="110"/>
  <c r="J32" i="110"/>
  <c r="I32" i="110"/>
  <c r="H32" i="110"/>
  <c r="G32" i="110"/>
  <c r="F32" i="110"/>
  <c r="E32" i="110"/>
  <c r="D32" i="110"/>
  <c r="C32" i="110"/>
  <c r="O31" i="110"/>
  <c r="N31" i="110"/>
  <c r="M31" i="110"/>
  <c r="L31" i="110"/>
  <c r="K31" i="110"/>
  <c r="J31" i="110"/>
  <c r="I31" i="110"/>
  <c r="H31" i="110"/>
  <c r="G31" i="110"/>
  <c r="F31" i="110"/>
  <c r="E31" i="110"/>
  <c r="D31" i="110"/>
  <c r="C31" i="110"/>
  <c r="O30" i="110"/>
  <c r="N30" i="110"/>
  <c r="M30" i="110"/>
  <c r="L30" i="110"/>
  <c r="K30" i="110"/>
  <c r="J30" i="110"/>
  <c r="I30" i="110"/>
  <c r="H30" i="110"/>
  <c r="G30" i="110"/>
  <c r="F30" i="110"/>
  <c r="E30" i="110"/>
  <c r="D30" i="110"/>
  <c r="C30" i="110"/>
  <c r="O29" i="110"/>
  <c r="N29" i="110"/>
  <c r="M29" i="110"/>
  <c r="L29" i="110"/>
  <c r="K29" i="110"/>
  <c r="J29" i="110"/>
  <c r="I29" i="110"/>
  <c r="H29" i="110"/>
  <c r="G29" i="110"/>
  <c r="F29" i="110"/>
  <c r="E29" i="110"/>
  <c r="D29" i="110"/>
  <c r="C29" i="110"/>
  <c r="O28" i="110"/>
  <c r="N28" i="110"/>
  <c r="M28" i="110"/>
  <c r="L28" i="110"/>
  <c r="K28" i="110"/>
  <c r="J28" i="110"/>
  <c r="I28" i="110"/>
  <c r="H28" i="110"/>
  <c r="G28" i="110"/>
  <c r="F28" i="110"/>
  <c r="E28" i="110"/>
  <c r="D28" i="110"/>
  <c r="C28" i="110"/>
  <c r="O27" i="110"/>
  <c r="N27" i="110"/>
  <c r="M27" i="110"/>
  <c r="L27" i="110"/>
  <c r="K27" i="110"/>
  <c r="J27" i="110"/>
  <c r="I27" i="110"/>
  <c r="H27" i="110"/>
  <c r="G27" i="110"/>
  <c r="F27" i="110"/>
  <c r="E27" i="110"/>
  <c r="D27" i="110"/>
  <c r="C27" i="110"/>
  <c r="O26" i="110"/>
  <c r="N26" i="110"/>
  <c r="M26" i="110"/>
  <c r="L26" i="110"/>
  <c r="K26" i="110"/>
  <c r="J26" i="110"/>
  <c r="I26" i="110"/>
  <c r="H26" i="110"/>
  <c r="G26" i="110"/>
  <c r="F26" i="110"/>
  <c r="E26" i="110"/>
  <c r="D26" i="110"/>
  <c r="C26" i="110"/>
  <c r="O25" i="110"/>
  <c r="N25" i="110"/>
  <c r="M25" i="110"/>
  <c r="L25" i="110"/>
  <c r="K25" i="110"/>
  <c r="J25" i="110"/>
  <c r="I25" i="110"/>
  <c r="H25" i="110"/>
  <c r="G25" i="110"/>
  <c r="F25" i="110"/>
  <c r="E25" i="110"/>
  <c r="D25" i="110"/>
  <c r="C25" i="110"/>
  <c r="O24" i="110"/>
  <c r="N24" i="110"/>
  <c r="M24" i="110"/>
  <c r="L24" i="110"/>
  <c r="K24" i="110"/>
  <c r="J24" i="110"/>
  <c r="I24" i="110"/>
  <c r="H24" i="110"/>
  <c r="G24" i="110"/>
  <c r="F24" i="110"/>
  <c r="E24" i="110"/>
  <c r="D24" i="110"/>
  <c r="C24" i="110"/>
  <c r="O23" i="110"/>
  <c r="N23" i="110"/>
  <c r="M23" i="110"/>
  <c r="L23" i="110"/>
  <c r="K23" i="110"/>
  <c r="J23" i="110"/>
  <c r="I23" i="110"/>
  <c r="H23" i="110"/>
  <c r="G23" i="110"/>
  <c r="F23" i="110"/>
  <c r="E23" i="110"/>
  <c r="D23" i="110"/>
  <c r="C23" i="110"/>
  <c r="O22" i="110"/>
  <c r="N22" i="110"/>
  <c r="M22" i="110"/>
  <c r="L22" i="110"/>
  <c r="K22" i="110"/>
  <c r="J22" i="110"/>
  <c r="I22" i="110"/>
  <c r="H22" i="110"/>
  <c r="G22" i="110"/>
  <c r="F22" i="110"/>
  <c r="E22" i="110"/>
  <c r="D22" i="110"/>
  <c r="C22" i="110"/>
  <c r="O21" i="110"/>
  <c r="N21" i="110"/>
  <c r="M21" i="110"/>
  <c r="L21" i="110"/>
  <c r="K21" i="110"/>
  <c r="J21" i="110"/>
  <c r="I21" i="110"/>
  <c r="H21" i="110"/>
  <c r="G21" i="110"/>
  <c r="F21" i="110"/>
  <c r="E21" i="110"/>
  <c r="D21" i="110"/>
  <c r="C21" i="110"/>
  <c r="O20" i="110"/>
  <c r="N20" i="110"/>
  <c r="M20" i="110"/>
  <c r="L20" i="110"/>
  <c r="K20" i="110"/>
  <c r="J20" i="110"/>
  <c r="I20" i="110"/>
  <c r="H20" i="110"/>
  <c r="G20" i="110"/>
  <c r="F20" i="110"/>
  <c r="E20" i="110"/>
  <c r="D20" i="110"/>
  <c r="C20" i="110"/>
  <c r="O19" i="110"/>
  <c r="N19" i="110"/>
  <c r="M19" i="110"/>
  <c r="L19" i="110"/>
  <c r="K19" i="110"/>
  <c r="J19" i="110"/>
  <c r="I19" i="110"/>
  <c r="H19" i="110"/>
  <c r="G19" i="110"/>
  <c r="F19" i="110"/>
  <c r="E19" i="110"/>
  <c r="D19" i="110"/>
  <c r="C19" i="110"/>
  <c r="O18" i="110"/>
  <c r="N18" i="110"/>
  <c r="M18" i="110"/>
  <c r="L18" i="110"/>
  <c r="K18" i="110"/>
  <c r="J18" i="110"/>
  <c r="I18" i="110"/>
  <c r="H18" i="110"/>
  <c r="G18" i="110"/>
  <c r="F18" i="110"/>
  <c r="E18" i="110"/>
  <c r="D18" i="110"/>
  <c r="C18" i="110"/>
  <c r="O17" i="110"/>
  <c r="N17" i="110"/>
  <c r="M17" i="110"/>
  <c r="L17" i="110"/>
  <c r="K17" i="110"/>
  <c r="J17" i="110"/>
  <c r="I17" i="110"/>
  <c r="H17" i="110"/>
  <c r="G17" i="110"/>
  <c r="F17" i="110"/>
  <c r="E17" i="110"/>
  <c r="D17" i="110"/>
  <c r="C17" i="110"/>
  <c r="O16" i="110"/>
  <c r="N16" i="110"/>
  <c r="M16" i="110"/>
  <c r="L16" i="110"/>
  <c r="K16" i="110"/>
  <c r="J16" i="110"/>
  <c r="I16" i="110"/>
  <c r="H16" i="110"/>
  <c r="G16" i="110"/>
  <c r="F16" i="110"/>
  <c r="E16" i="110"/>
  <c r="D16" i="110"/>
  <c r="C16" i="110"/>
  <c r="O15" i="110"/>
  <c r="N15" i="110"/>
  <c r="M15" i="110"/>
  <c r="L15" i="110"/>
  <c r="K15" i="110"/>
  <c r="J15" i="110"/>
  <c r="I15" i="110"/>
  <c r="H15" i="110"/>
  <c r="G15" i="110"/>
  <c r="F15" i="110"/>
  <c r="E15" i="110"/>
  <c r="D15" i="110"/>
  <c r="C15" i="110"/>
  <c r="O12" i="110"/>
  <c r="N12" i="110"/>
  <c r="M12" i="110"/>
  <c r="L12" i="110"/>
  <c r="K12" i="110"/>
  <c r="J12" i="110"/>
  <c r="I12" i="110"/>
  <c r="H12" i="110"/>
  <c r="G12" i="110"/>
  <c r="F12" i="110"/>
  <c r="E12" i="110"/>
  <c r="D12" i="110"/>
  <c r="C12" i="110"/>
  <c r="O11" i="110"/>
  <c r="N11" i="110"/>
  <c r="M11" i="110"/>
  <c r="L11" i="110"/>
  <c r="K11" i="110"/>
  <c r="J11" i="110"/>
  <c r="I11" i="110"/>
  <c r="H11" i="110"/>
  <c r="G11" i="110"/>
  <c r="F11" i="110"/>
  <c r="E11" i="110"/>
  <c r="D11" i="110"/>
  <c r="C11" i="110"/>
  <c r="O10" i="110"/>
  <c r="N10" i="110"/>
  <c r="M10" i="110"/>
  <c r="L10" i="110"/>
  <c r="K10" i="110"/>
  <c r="J10" i="110"/>
  <c r="I10" i="110"/>
  <c r="H10" i="110"/>
  <c r="G10" i="110"/>
  <c r="F10" i="110"/>
  <c r="E10" i="110"/>
  <c r="D10" i="110"/>
  <c r="C10" i="110"/>
  <c r="O9" i="110"/>
  <c r="N9" i="110"/>
  <c r="M9" i="110"/>
  <c r="L9" i="110"/>
  <c r="K9" i="110"/>
  <c r="J9" i="110"/>
  <c r="I9" i="110"/>
  <c r="H9" i="110"/>
  <c r="G9" i="110"/>
  <c r="F9" i="110"/>
  <c r="E9" i="110"/>
  <c r="D9" i="110"/>
  <c r="C9" i="110"/>
  <c r="O4" i="106"/>
  <c r="O5" i="106"/>
  <c r="O6" i="106"/>
  <c r="O46" i="106"/>
  <c r="N4" i="106"/>
  <c r="N5" i="106"/>
  <c r="N6" i="106"/>
  <c r="N46" i="106"/>
  <c r="M4" i="106"/>
  <c r="M5" i="106"/>
  <c r="M6" i="106"/>
  <c r="M46" i="106"/>
  <c r="L4" i="106"/>
  <c r="L5" i="106"/>
  <c r="L6" i="106"/>
  <c r="L46" i="106"/>
  <c r="K4" i="106"/>
  <c r="K5" i="106"/>
  <c r="K6" i="106"/>
  <c r="K46" i="106"/>
  <c r="J4" i="106"/>
  <c r="J5" i="106"/>
  <c r="J6" i="106"/>
  <c r="J46" i="106"/>
  <c r="I4" i="106"/>
  <c r="I5" i="106"/>
  <c r="I6" i="106"/>
  <c r="I46" i="106"/>
  <c r="H4" i="106"/>
  <c r="H5" i="106"/>
  <c r="H6" i="106"/>
  <c r="H46" i="106"/>
  <c r="G4" i="106"/>
  <c r="G5" i="106"/>
  <c r="G6" i="106"/>
  <c r="G46" i="106"/>
  <c r="F4" i="106"/>
  <c r="F5" i="106"/>
  <c r="F6" i="106"/>
  <c r="F46" i="106"/>
  <c r="E4" i="106"/>
  <c r="E5" i="106"/>
  <c r="E6" i="106"/>
  <c r="E46" i="106"/>
  <c r="D4" i="106"/>
  <c r="D5" i="106"/>
  <c r="D6" i="106"/>
  <c r="D46" i="106"/>
  <c r="C4" i="106"/>
  <c r="C5" i="106"/>
  <c r="C6" i="106"/>
  <c r="C46" i="106"/>
  <c r="O45" i="106"/>
  <c r="N45" i="106"/>
  <c r="M45" i="106"/>
  <c r="L45" i="106"/>
  <c r="K45" i="106"/>
  <c r="J45" i="106"/>
  <c r="I45" i="106"/>
  <c r="H45" i="106"/>
  <c r="G45" i="106"/>
  <c r="F45" i="106"/>
  <c r="E45" i="106"/>
  <c r="D45" i="106"/>
  <c r="C45" i="106"/>
  <c r="O44" i="106"/>
  <c r="N44" i="106"/>
  <c r="M44" i="106"/>
  <c r="L44" i="106"/>
  <c r="K44" i="106"/>
  <c r="J44" i="106"/>
  <c r="I44" i="106"/>
  <c r="H44" i="106"/>
  <c r="G44" i="106"/>
  <c r="F44" i="106"/>
  <c r="E44" i="106"/>
  <c r="D44" i="106"/>
  <c r="C44" i="106"/>
  <c r="O43" i="106"/>
  <c r="N43" i="106"/>
  <c r="M43" i="106"/>
  <c r="L43" i="106"/>
  <c r="K43" i="106"/>
  <c r="J43" i="106"/>
  <c r="I43" i="106"/>
  <c r="H43" i="106"/>
  <c r="G43" i="106"/>
  <c r="F43" i="106"/>
  <c r="E43" i="106"/>
  <c r="D43" i="106"/>
  <c r="C43" i="106"/>
  <c r="O42" i="106"/>
  <c r="N42" i="106"/>
  <c r="M42" i="106"/>
  <c r="L42" i="106"/>
  <c r="K42" i="106"/>
  <c r="J42" i="106"/>
  <c r="I42" i="106"/>
  <c r="H42" i="106"/>
  <c r="G42" i="106"/>
  <c r="F42" i="106"/>
  <c r="E42" i="106"/>
  <c r="D42" i="106"/>
  <c r="C42" i="106"/>
  <c r="O41" i="106"/>
  <c r="N41" i="106"/>
  <c r="M41" i="106"/>
  <c r="L41" i="106"/>
  <c r="K41" i="106"/>
  <c r="J41" i="106"/>
  <c r="I41" i="106"/>
  <c r="H41" i="106"/>
  <c r="G41" i="106"/>
  <c r="F41" i="106"/>
  <c r="E41" i="106"/>
  <c r="D41" i="106"/>
  <c r="C41" i="106"/>
  <c r="O40" i="106"/>
  <c r="N40" i="106"/>
  <c r="M40" i="106"/>
  <c r="L40" i="106"/>
  <c r="K40" i="106"/>
  <c r="J40" i="106"/>
  <c r="I40" i="106"/>
  <c r="H40" i="106"/>
  <c r="G40" i="106"/>
  <c r="F40" i="106"/>
  <c r="E40" i="106"/>
  <c r="D40" i="106"/>
  <c r="C40" i="106"/>
  <c r="O39" i="106"/>
  <c r="N39" i="106"/>
  <c r="M39" i="106"/>
  <c r="L39" i="106"/>
  <c r="K39" i="106"/>
  <c r="J39" i="106"/>
  <c r="I39" i="106"/>
  <c r="H39" i="106"/>
  <c r="G39" i="106"/>
  <c r="F39" i="106"/>
  <c r="E39" i="106"/>
  <c r="D39" i="106"/>
  <c r="C39" i="106"/>
  <c r="O38" i="106"/>
  <c r="N38" i="106"/>
  <c r="M38" i="106"/>
  <c r="L38" i="106"/>
  <c r="K38" i="106"/>
  <c r="J38" i="106"/>
  <c r="I38" i="106"/>
  <c r="H38" i="106"/>
  <c r="G38" i="106"/>
  <c r="F38" i="106"/>
  <c r="E38" i="106"/>
  <c r="D38" i="106"/>
  <c r="C38" i="106"/>
  <c r="O37" i="106"/>
  <c r="N37" i="106"/>
  <c r="M37" i="106"/>
  <c r="L37" i="106"/>
  <c r="K37" i="106"/>
  <c r="J37" i="106"/>
  <c r="I37" i="106"/>
  <c r="H37" i="106"/>
  <c r="G37" i="106"/>
  <c r="F37" i="106"/>
  <c r="E37" i="106"/>
  <c r="D37" i="106"/>
  <c r="C37" i="106"/>
  <c r="O36" i="106"/>
  <c r="N36" i="106"/>
  <c r="M36" i="106"/>
  <c r="L36" i="106"/>
  <c r="K36" i="106"/>
  <c r="J36" i="106"/>
  <c r="I36" i="106"/>
  <c r="H36" i="106"/>
  <c r="G36" i="106"/>
  <c r="F36" i="106"/>
  <c r="E36" i="106"/>
  <c r="D36" i="106"/>
  <c r="C36" i="106"/>
  <c r="O35" i="106"/>
  <c r="N35" i="106"/>
  <c r="M35" i="106"/>
  <c r="L35" i="106"/>
  <c r="K35" i="106"/>
  <c r="J35" i="106"/>
  <c r="I35" i="106"/>
  <c r="H35" i="106"/>
  <c r="G35" i="106"/>
  <c r="F35" i="106"/>
  <c r="E35" i="106"/>
  <c r="D35" i="106"/>
  <c r="C35" i="106"/>
  <c r="O34" i="106"/>
  <c r="N34" i="106"/>
  <c r="M34" i="106"/>
  <c r="L34" i="106"/>
  <c r="K34" i="106"/>
  <c r="J34" i="106"/>
  <c r="I34" i="106"/>
  <c r="H34" i="106"/>
  <c r="G34" i="106"/>
  <c r="F34" i="106"/>
  <c r="E34" i="106"/>
  <c r="D34" i="106"/>
  <c r="C34" i="106"/>
  <c r="O33" i="106"/>
  <c r="N33" i="106"/>
  <c r="M33" i="106"/>
  <c r="L33" i="106"/>
  <c r="K33" i="106"/>
  <c r="J33" i="106"/>
  <c r="I33" i="106"/>
  <c r="H33" i="106"/>
  <c r="G33" i="106"/>
  <c r="F33" i="106"/>
  <c r="E33" i="106"/>
  <c r="D33" i="106"/>
  <c r="C33" i="106"/>
  <c r="O32" i="106"/>
  <c r="N32" i="106"/>
  <c r="M32" i="106"/>
  <c r="L32" i="106"/>
  <c r="K32" i="106"/>
  <c r="J32" i="106"/>
  <c r="I32" i="106"/>
  <c r="H32" i="106"/>
  <c r="G32" i="106"/>
  <c r="F32" i="106"/>
  <c r="E32" i="106"/>
  <c r="D32" i="106"/>
  <c r="C32" i="106"/>
  <c r="O31" i="106"/>
  <c r="N31" i="106"/>
  <c r="M31" i="106"/>
  <c r="L31" i="106"/>
  <c r="K31" i="106"/>
  <c r="J31" i="106"/>
  <c r="I31" i="106"/>
  <c r="H31" i="106"/>
  <c r="G31" i="106"/>
  <c r="F31" i="106"/>
  <c r="E31" i="106"/>
  <c r="D31" i="106"/>
  <c r="C31" i="106"/>
  <c r="O30" i="106"/>
  <c r="N30" i="106"/>
  <c r="M30" i="106"/>
  <c r="L30" i="106"/>
  <c r="K30" i="106"/>
  <c r="J30" i="106"/>
  <c r="I30" i="106"/>
  <c r="H30" i="106"/>
  <c r="G30" i="106"/>
  <c r="F30" i="106"/>
  <c r="E30" i="106"/>
  <c r="D30" i="106"/>
  <c r="C30" i="106"/>
  <c r="O29" i="106"/>
  <c r="N29" i="106"/>
  <c r="M29" i="106"/>
  <c r="L29" i="106"/>
  <c r="K29" i="106"/>
  <c r="J29" i="106"/>
  <c r="I29" i="106"/>
  <c r="H29" i="106"/>
  <c r="G29" i="106"/>
  <c r="F29" i="106"/>
  <c r="E29" i="106"/>
  <c r="D29" i="106"/>
  <c r="C29" i="106"/>
  <c r="O26" i="106"/>
  <c r="N26" i="106"/>
  <c r="M26" i="106"/>
  <c r="L26" i="106"/>
  <c r="K26" i="106"/>
  <c r="J26" i="106"/>
  <c r="I26" i="106"/>
  <c r="H26" i="106"/>
  <c r="G26" i="106"/>
  <c r="F26" i="106"/>
  <c r="E26" i="106"/>
  <c r="D26" i="106"/>
  <c r="C26" i="106"/>
  <c r="O25" i="106"/>
  <c r="N25" i="106"/>
  <c r="M25" i="106"/>
  <c r="L25" i="106"/>
  <c r="K25" i="106"/>
  <c r="J25" i="106"/>
  <c r="I25" i="106"/>
  <c r="H25" i="106"/>
  <c r="G25" i="106"/>
  <c r="F25" i="106"/>
  <c r="E25" i="106"/>
  <c r="D25" i="106"/>
  <c r="C25" i="106"/>
  <c r="O24" i="106"/>
  <c r="N24" i="106"/>
  <c r="M24" i="106"/>
  <c r="L24" i="106"/>
  <c r="K24" i="106"/>
  <c r="J24" i="106"/>
  <c r="I24" i="106"/>
  <c r="H24" i="106"/>
  <c r="G24" i="106"/>
  <c r="F24" i="106"/>
  <c r="E24" i="106"/>
  <c r="D24" i="106"/>
  <c r="C24" i="106"/>
  <c r="O23" i="106"/>
  <c r="N23" i="106"/>
  <c r="M23" i="106"/>
  <c r="L23" i="106"/>
  <c r="K23" i="106"/>
  <c r="J23" i="106"/>
  <c r="I23" i="106"/>
  <c r="H23" i="106"/>
  <c r="G23" i="106"/>
  <c r="F23" i="106"/>
  <c r="E23" i="106"/>
  <c r="D23" i="106"/>
  <c r="C23" i="106"/>
  <c r="O22" i="106"/>
  <c r="N22" i="106"/>
  <c r="M22" i="106"/>
  <c r="L22" i="106"/>
  <c r="K22" i="106"/>
  <c r="J22" i="106"/>
  <c r="I22" i="106"/>
  <c r="H22" i="106"/>
  <c r="G22" i="106"/>
  <c r="F22" i="106"/>
  <c r="E22" i="106"/>
  <c r="D22" i="106"/>
  <c r="C22" i="106"/>
  <c r="O21" i="106"/>
  <c r="N21" i="106"/>
  <c r="M21" i="106"/>
  <c r="L21" i="106"/>
  <c r="K21" i="106"/>
  <c r="J21" i="106"/>
  <c r="I21" i="106"/>
  <c r="H21" i="106"/>
  <c r="G21" i="106"/>
  <c r="F21" i="106"/>
  <c r="E21" i="106"/>
  <c r="D21" i="106"/>
  <c r="C21" i="106"/>
  <c r="O20" i="106"/>
  <c r="N20" i="106"/>
  <c r="M20" i="106"/>
  <c r="L20" i="106"/>
  <c r="K20" i="106"/>
  <c r="J20" i="106"/>
  <c r="I20" i="106"/>
  <c r="H20" i="106"/>
  <c r="G20" i="106"/>
  <c r="F20" i="106"/>
  <c r="E20" i="106"/>
  <c r="D20" i="106"/>
  <c r="C20" i="106"/>
  <c r="O19" i="106"/>
  <c r="N19" i="106"/>
  <c r="M19" i="106"/>
  <c r="L19" i="106"/>
  <c r="K19" i="106"/>
  <c r="J19" i="106"/>
  <c r="I19" i="106"/>
  <c r="H19" i="106"/>
  <c r="G19" i="106"/>
  <c r="F19" i="106"/>
  <c r="E19" i="106"/>
  <c r="D19" i="106"/>
  <c r="C19" i="106"/>
  <c r="O18" i="106"/>
  <c r="N18" i="106"/>
  <c r="M18" i="106"/>
  <c r="L18" i="106"/>
  <c r="K18" i="106"/>
  <c r="J18" i="106"/>
  <c r="I18" i="106"/>
  <c r="H18" i="106"/>
  <c r="G18" i="106"/>
  <c r="F18" i="106"/>
  <c r="E18" i="106"/>
  <c r="D18" i="106"/>
  <c r="C18" i="106"/>
  <c r="O17" i="106"/>
  <c r="N17" i="106"/>
  <c r="M17" i="106"/>
  <c r="L17" i="106"/>
  <c r="K17" i="106"/>
  <c r="J17" i="106"/>
  <c r="I17" i="106"/>
  <c r="H17" i="106"/>
  <c r="G17" i="106"/>
  <c r="F17" i="106"/>
  <c r="E17" i="106"/>
  <c r="D17" i="106"/>
  <c r="C17" i="106"/>
  <c r="O16" i="106"/>
  <c r="N16" i="106"/>
  <c r="M16" i="106"/>
  <c r="L16" i="106"/>
  <c r="K16" i="106"/>
  <c r="J16" i="106"/>
  <c r="I16" i="106"/>
  <c r="H16" i="106"/>
  <c r="G16" i="106"/>
  <c r="F16" i="106"/>
  <c r="E16" i="106"/>
  <c r="D16" i="106"/>
  <c r="C16" i="106"/>
  <c r="O15" i="106"/>
  <c r="N15" i="106"/>
  <c r="M15" i="106"/>
  <c r="L15" i="106"/>
  <c r="K15" i="106"/>
  <c r="J15" i="106"/>
  <c r="I15" i="106"/>
  <c r="H15" i="106"/>
  <c r="G15" i="106"/>
  <c r="F15" i="106"/>
  <c r="E15" i="106"/>
  <c r="D15" i="106"/>
  <c r="C15" i="106"/>
  <c r="O14" i="106"/>
  <c r="N14" i="106"/>
  <c r="M14" i="106"/>
  <c r="L14" i="106"/>
  <c r="K14" i="106"/>
  <c r="J14" i="106"/>
  <c r="I14" i="106"/>
  <c r="H14" i="106"/>
  <c r="G14" i="106"/>
  <c r="F14" i="106"/>
  <c r="E14" i="106"/>
  <c r="D14" i="106"/>
  <c r="C14" i="106"/>
  <c r="O13" i="106"/>
  <c r="N13" i="106"/>
  <c r="M13" i="106"/>
  <c r="L13" i="106"/>
  <c r="K13" i="106"/>
  <c r="J13" i="106"/>
  <c r="I13" i="106"/>
  <c r="H13" i="106"/>
  <c r="G13" i="106"/>
  <c r="F13" i="106"/>
  <c r="E13" i="106"/>
  <c r="D13" i="106"/>
  <c r="C13" i="106"/>
  <c r="O12" i="106"/>
  <c r="N12" i="106"/>
  <c r="M12" i="106"/>
  <c r="L12" i="106"/>
  <c r="K12" i="106"/>
  <c r="J12" i="106"/>
  <c r="I12" i="106"/>
  <c r="H12" i="106"/>
  <c r="G12" i="106"/>
  <c r="F12" i="106"/>
  <c r="E12" i="106"/>
  <c r="D12" i="106"/>
  <c r="C12" i="106"/>
  <c r="O11" i="106"/>
  <c r="N11" i="106"/>
  <c r="M11" i="106"/>
  <c r="L11" i="106"/>
  <c r="K11" i="106"/>
  <c r="J11" i="106"/>
  <c r="I11" i="106"/>
  <c r="H11" i="106"/>
  <c r="G11" i="106"/>
  <c r="F11" i="106"/>
  <c r="E11" i="106"/>
  <c r="D11" i="106"/>
  <c r="C11" i="106"/>
  <c r="O10" i="106"/>
  <c r="N10" i="106"/>
  <c r="M10" i="106"/>
  <c r="L10" i="106"/>
  <c r="K10" i="106"/>
  <c r="J10" i="106"/>
  <c r="I10" i="106"/>
  <c r="H10" i="106"/>
  <c r="G10" i="106"/>
  <c r="F10" i="106"/>
  <c r="E10" i="106"/>
  <c r="D10" i="106"/>
  <c r="C10" i="106"/>
  <c r="O9" i="106"/>
  <c r="N9" i="106"/>
  <c r="M9" i="106"/>
  <c r="L9" i="106"/>
  <c r="K9" i="106"/>
  <c r="J9" i="106"/>
  <c r="I9" i="106"/>
  <c r="H9" i="106"/>
  <c r="G9" i="106"/>
  <c r="F9" i="106"/>
  <c r="E9" i="106"/>
  <c r="D9" i="106"/>
  <c r="C9" i="106"/>
  <c r="O4" i="105"/>
  <c r="O5" i="105"/>
  <c r="O6" i="105"/>
  <c r="O60" i="105"/>
  <c r="N4" i="105"/>
  <c r="N5" i="105"/>
  <c r="N6" i="105"/>
  <c r="N60" i="105"/>
  <c r="M4" i="105"/>
  <c r="M5" i="105"/>
  <c r="M6" i="105"/>
  <c r="M60" i="105"/>
  <c r="L4" i="105"/>
  <c r="L5" i="105"/>
  <c r="L6" i="105"/>
  <c r="L60" i="105"/>
  <c r="K4" i="105"/>
  <c r="K5" i="105"/>
  <c r="K6" i="105"/>
  <c r="K60" i="105"/>
  <c r="J4" i="105"/>
  <c r="J5" i="105"/>
  <c r="J6" i="105"/>
  <c r="J60" i="105"/>
  <c r="I4" i="105"/>
  <c r="I5" i="105"/>
  <c r="I6" i="105"/>
  <c r="I60" i="105"/>
  <c r="H4" i="105"/>
  <c r="H5" i="105"/>
  <c r="H6" i="105"/>
  <c r="H60" i="105"/>
  <c r="G4" i="105"/>
  <c r="G5" i="105"/>
  <c r="G6" i="105"/>
  <c r="G60" i="105"/>
  <c r="F4" i="105"/>
  <c r="F5" i="105"/>
  <c r="F6" i="105"/>
  <c r="F60" i="105"/>
  <c r="E4" i="105"/>
  <c r="E5" i="105"/>
  <c r="E6" i="105"/>
  <c r="E60" i="105"/>
  <c r="D4" i="105"/>
  <c r="D5" i="105"/>
  <c r="D6" i="105"/>
  <c r="D60" i="105"/>
  <c r="C4" i="105"/>
  <c r="C5" i="105"/>
  <c r="C6" i="105"/>
  <c r="C60" i="105"/>
  <c r="O59" i="105"/>
  <c r="N59" i="105"/>
  <c r="M59" i="105"/>
  <c r="L59" i="105"/>
  <c r="K59" i="105"/>
  <c r="J59" i="105"/>
  <c r="I59" i="105"/>
  <c r="H59" i="105"/>
  <c r="G59" i="105"/>
  <c r="F59" i="105"/>
  <c r="E59" i="105"/>
  <c r="D59" i="105"/>
  <c r="C59" i="105"/>
  <c r="O58" i="105"/>
  <c r="N58" i="105"/>
  <c r="M58" i="105"/>
  <c r="L58" i="105"/>
  <c r="K58" i="105"/>
  <c r="J58" i="105"/>
  <c r="I58" i="105"/>
  <c r="H58" i="105"/>
  <c r="G58" i="105"/>
  <c r="F58" i="105"/>
  <c r="E58" i="105"/>
  <c r="D58" i="105"/>
  <c r="C58" i="105"/>
  <c r="O57" i="105"/>
  <c r="N57" i="105"/>
  <c r="M57" i="105"/>
  <c r="L57" i="105"/>
  <c r="K57" i="105"/>
  <c r="J57" i="105"/>
  <c r="I57" i="105"/>
  <c r="H57" i="105"/>
  <c r="G57" i="105"/>
  <c r="F57" i="105"/>
  <c r="E57" i="105"/>
  <c r="D57" i="105"/>
  <c r="C57" i="105"/>
  <c r="O56" i="105"/>
  <c r="N56" i="105"/>
  <c r="M56" i="105"/>
  <c r="L56" i="105"/>
  <c r="K56" i="105"/>
  <c r="J56" i="105"/>
  <c r="I56" i="105"/>
  <c r="H56" i="105"/>
  <c r="G56" i="105"/>
  <c r="F56" i="105"/>
  <c r="E56" i="105"/>
  <c r="D56" i="105"/>
  <c r="C56" i="105"/>
  <c r="O55" i="105"/>
  <c r="N55" i="105"/>
  <c r="M55" i="105"/>
  <c r="L55" i="105"/>
  <c r="K55" i="105"/>
  <c r="J55" i="105"/>
  <c r="I55" i="105"/>
  <c r="H55" i="105"/>
  <c r="G55" i="105"/>
  <c r="F55" i="105"/>
  <c r="E55" i="105"/>
  <c r="D55" i="105"/>
  <c r="C55" i="105"/>
  <c r="O54" i="105"/>
  <c r="N54" i="105"/>
  <c r="M54" i="105"/>
  <c r="L54" i="105"/>
  <c r="K54" i="105"/>
  <c r="J54" i="105"/>
  <c r="I54" i="105"/>
  <c r="H54" i="105"/>
  <c r="G54" i="105"/>
  <c r="F54" i="105"/>
  <c r="E54" i="105"/>
  <c r="D54" i="105"/>
  <c r="C54" i="105"/>
  <c r="O53" i="105"/>
  <c r="N53" i="105"/>
  <c r="M53" i="105"/>
  <c r="L53" i="105"/>
  <c r="K53" i="105"/>
  <c r="J53" i="105"/>
  <c r="I53" i="105"/>
  <c r="H53" i="105"/>
  <c r="G53" i="105"/>
  <c r="F53" i="105"/>
  <c r="E53" i="105"/>
  <c r="D53" i="105"/>
  <c r="C53" i="105"/>
  <c r="O52" i="105"/>
  <c r="N52" i="105"/>
  <c r="M52" i="105"/>
  <c r="L52" i="105"/>
  <c r="K52" i="105"/>
  <c r="J52" i="105"/>
  <c r="I52" i="105"/>
  <c r="H52" i="105"/>
  <c r="G52" i="105"/>
  <c r="F52" i="105"/>
  <c r="E52" i="105"/>
  <c r="D52" i="105"/>
  <c r="C52" i="105"/>
  <c r="O51" i="105"/>
  <c r="N51" i="105"/>
  <c r="M51" i="105"/>
  <c r="L51" i="105"/>
  <c r="K51" i="105"/>
  <c r="J51" i="105"/>
  <c r="I51" i="105"/>
  <c r="H51" i="105"/>
  <c r="G51" i="105"/>
  <c r="F51" i="105"/>
  <c r="E51" i="105"/>
  <c r="D51" i="105"/>
  <c r="C51" i="105"/>
  <c r="O50" i="105"/>
  <c r="N50" i="105"/>
  <c r="M50" i="105"/>
  <c r="L50" i="105"/>
  <c r="K50" i="105"/>
  <c r="J50" i="105"/>
  <c r="I50" i="105"/>
  <c r="H50" i="105"/>
  <c r="G50" i="105"/>
  <c r="F50" i="105"/>
  <c r="E50" i="105"/>
  <c r="D50" i="105"/>
  <c r="C50" i="105"/>
  <c r="O49" i="105"/>
  <c r="N49" i="105"/>
  <c r="M49" i="105"/>
  <c r="L49" i="105"/>
  <c r="K49" i="105"/>
  <c r="J49" i="105"/>
  <c r="I49" i="105"/>
  <c r="H49" i="105"/>
  <c r="G49" i="105"/>
  <c r="F49" i="105"/>
  <c r="E49" i="105"/>
  <c r="D49" i="105"/>
  <c r="C49" i="105"/>
  <c r="O48" i="105"/>
  <c r="N48" i="105"/>
  <c r="M48" i="105"/>
  <c r="L48" i="105"/>
  <c r="K48" i="105"/>
  <c r="J48" i="105"/>
  <c r="I48" i="105"/>
  <c r="H48" i="105"/>
  <c r="G48" i="105"/>
  <c r="F48" i="105"/>
  <c r="E48" i="105"/>
  <c r="D48" i="105"/>
  <c r="C48" i="105"/>
  <c r="O47" i="105"/>
  <c r="N47" i="105"/>
  <c r="M47" i="105"/>
  <c r="L47" i="105"/>
  <c r="K47" i="105"/>
  <c r="J47" i="105"/>
  <c r="I47" i="105"/>
  <c r="H47" i="105"/>
  <c r="G47" i="105"/>
  <c r="F47" i="105"/>
  <c r="E47" i="105"/>
  <c r="D47" i="105"/>
  <c r="C47" i="105"/>
  <c r="O46" i="105"/>
  <c r="N46" i="105"/>
  <c r="M46" i="105"/>
  <c r="L46" i="105"/>
  <c r="K46" i="105"/>
  <c r="J46" i="105"/>
  <c r="I46" i="105"/>
  <c r="H46" i="105"/>
  <c r="G46" i="105"/>
  <c r="F46" i="105"/>
  <c r="E46" i="105"/>
  <c r="D46" i="105"/>
  <c r="C46" i="105"/>
  <c r="O45" i="105"/>
  <c r="N45" i="105"/>
  <c r="M45" i="105"/>
  <c r="L45" i="105"/>
  <c r="K45" i="105"/>
  <c r="J45" i="105"/>
  <c r="I45" i="105"/>
  <c r="H45" i="105"/>
  <c r="G45" i="105"/>
  <c r="F45" i="105"/>
  <c r="E45" i="105"/>
  <c r="D45" i="105"/>
  <c r="C45" i="105"/>
  <c r="O44" i="105"/>
  <c r="N44" i="105"/>
  <c r="M44" i="105"/>
  <c r="L44" i="105"/>
  <c r="K44" i="105"/>
  <c r="J44" i="105"/>
  <c r="I44" i="105"/>
  <c r="H44" i="105"/>
  <c r="G44" i="105"/>
  <c r="F44" i="105"/>
  <c r="E44" i="105"/>
  <c r="D44" i="105"/>
  <c r="C44" i="105"/>
  <c r="O43" i="105"/>
  <c r="N43" i="105"/>
  <c r="M43" i="105"/>
  <c r="L43" i="105"/>
  <c r="K43" i="105"/>
  <c r="J43" i="105"/>
  <c r="I43" i="105"/>
  <c r="H43" i="105"/>
  <c r="G43" i="105"/>
  <c r="F43" i="105"/>
  <c r="E43" i="105"/>
  <c r="D43" i="105"/>
  <c r="C43" i="105"/>
  <c r="O42" i="105"/>
  <c r="N42" i="105"/>
  <c r="M42" i="105"/>
  <c r="L42" i="105"/>
  <c r="K42" i="105"/>
  <c r="J42" i="105"/>
  <c r="I42" i="105"/>
  <c r="H42" i="105"/>
  <c r="G42" i="105"/>
  <c r="F42" i="105"/>
  <c r="E42" i="105"/>
  <c r="D42" i="105"/>
  <c r="C42" i="105"/>
  <c r="O41" i="105"/>
  <c r="N41" i="105"/>
  <c r="M41" i="105"/>
  <c r="L41" i="105"/>
  <c r="K41" i="105"/>
  <c r="J41" i="105"/>
  <c r="I41" i="105"/>
  <c r="H41" i="105"/>
  <c r="G41" i="105"/>
  <c r="F41" i="105"/>
  <c r="E41" i="105"/>
  <c r="D41" i="105"/>
  <c r="C41" i="105"/>
  <c r="O40" i="105"/>
  <c r="N40" i="105"/>
  <c r="M40" i="105"/>
  <c r="L40" i="105"/>
  <c r="K40" i="105"/>
  <c r="J40" i="105"/>
  <c r="I40" i="105"/>
  <c r="H40" i="105"/>
  <c r="G40" i="105"/>
  <c r="F40" i="105"/>
  <c r="E40" i="105"/>
  <c r="D40" i="105"/>
  <c r="C40" i="105"/>
  <c r="O39" i="105"/>
  <c r="N39" i="105"/>
  <c r="M39" i="105"/>
  <c r="L39" i="105"/>
  <c r="K39" i="105"/>
  <c r="J39" i="105"/>
  <c r="I39" i="105"/>
  <c r="H39" i="105"/>
  <c r="G39" i="105"/>
  <c r="F39" i="105"/>
  <c r="E39" i="105"/>
  <c r="D39" i="105"/>
  <c r="C39" i="105"/>
  <c r="O38" i="105"/>
  <c r="N38" i="105"/>
  <c r="M38" i="105"/>
  <c r="L38" i="105"/>
  <c r="K38" i="105"/>
  <c r="J38" i="105"/>
  <c r="I38" i="105"/>
  <c r="H38" i="105"/>
  <c r="G38" i="105"/>
  <c r="F38" i="105"/>
  <c r="E38" i="105"/>
  <c r="D38" i="105"/>
  <c r="C38" i="105"/>
  <c r="O37" i="105"/>
  <c r="N37" i="105"/>
  <c r="M37" i="105"/>
  <c r="L37" i="105"/>
  <c r="K37" i="105"/>
  <c r="J37" i="105"/>
  <c r="I37" i="105"/>
  <c r="H37" i="105"/>
  <c r="G37" i="105"/>
  <c r="F37" i="105"/>
  <c r="E37" i="105"/>
  <c r="D37" i="105"/>
  <c r="C37" i="105"/>
  <c r="O36" i="105"/>
  <c r="N36" i="105"/>
  <c r="M36" i="105"/>
  <c r="L36" i="105"/>
  <c r="K36" i="105"/>
  <c r="J36" i="105"/>
  <c r="I36" i="105"/>
  <c r="H36" i="105"/>
  <c r="G36" i="105"/>
  <c r="F36" i="105"/>
  <c r="E36" i="105"/>
  <c r="D36" i="105"/>
  <c r="C36" i="105"/>
  <c r="O34" i="105"/>
  <c r="N34" i="105"/>
  <c r="M34" i="105"/>
  <c r="L34" i="105"/>
  <c r="K34" i="105"/>
  <c r="J34" i="105"/>
  <c r="I34" i="105"/>
  <c r="H34" i="105"/>
  <c r="G34" i="105"/>
  <c r="F34" i="105"/>
  <c r="E34" i="105"/>
  <c r="D34" i="105"/>
  <c r="C34" i="105"/>
  <c r="O32" i="105"/>
  <c r="N32" i="105"/>
  <c r="M32" i="105"/>
  <c r="L32" i="105"/>
  <c r="K32" i="105"/>
  <c r="J32" i="105"/>
  <c r="I32" i="105"/>
  <c r="H32" i="105"/>
  <c r="G32" i="105"/>
  <c r="F32" i="105"/>
  <c r="E32" i="105"/>
  <c r="D32" i="105"/>
  <c r="C32" i="105"/>
  <c r="O31" i="105"/>
  <c r="N31" i="105"/>
  <c r="M31" i="105"/>
  <c r="L31" i="105"/>
  <c r="K31" i="105"/>
  <c r="J31" i="105"/>
  <c r="I31" i="105"/>
  <c r="H31" i="105"/>
  <c r="G31" i="105"/>
  <c r="F31" i="105"/>
  <c r="E31" i="105"/>
  <c r="D31" i="105"/>
  <c r="C31" i="105"/>
  <c r="O30" i="105"/>
  <c r="N30" i="105"/>
  <c r="M30" i="105"/>
  <c r="L30" i="105"/>
  <c r="K30" i="105"/>
  <c r="J30" i="105"/>
  <c r="I30" i="105"/>
  <c r="H30" i="105"/>
  <c r="G30" i="105"/>
  <c r="F30" i="105"/>
  <c r="E30" i="105"/>
  <c r="D30" i="105"/>
  <c r="C30" i="105"/>
  <c r="O29" i="105"/>
  <c r="N29" i="105"/>
  <c r="M29" i="105"/>
  <c r="L29" i="105"/>
  <c r="K29" i="105"/>
  <c r="J29" i="105"/>
  <c r="I29" i="105"/>
  <c r="H29" i="105"/>
  <c r="G29" i="105"/>
  <c r="F29" i="105"/>
  <c r="E29" i="105"/>
  <c r="D29" i="105"/>
  <c r="C29" i="105"/>
  <c r="O28" i="105"/>
  <c r="N28" i="105"/>
  <c r="M28" i="105"/>
  <c r="L28" i="105"/>
  <c r="K28" i="105"/>
  <c r="J28" i="105"/>
  <c r="I28" i="105"/>
  <c r="H28" i="105"/>
  <c r="G28" i="105"/>
  <c r="F28" i="105"/>
  <c r="E28" i="105"/>
  <c r="D28" i="105"/>
  <c r="C28" i="105"/>
  <c r="O27" i="105"/>
  <c r="N27" i="105"/>
  <c r="M27" i="105"/>
  <c r="L27" i="105"/>
  <c r="K27" i="105"/>
  <c r="J27" i="105"/>
  <c r="I27" i="105"/>
  <c r="H27" i="105"/>
  <c r="G27" i="105"/>
  <c r="F27" i="105"/>
  <c r="E27" i="105"/>
  <c r="D27" i="105"/>
  <c r="C27" i="105"/>
  <c r="O26" i="105"/>
  <c r="N26" i="105"/>
  <c r="M26" i="105"/>
  <c r="L26" i="105"/>
  <c r="K26" i="105"/>
  <c r="J26" i="105"/>
  <c r="I26" i="105"/>
  <c r="H26" i="105"/>
  <c r="G26" i="105"/>
  <c r="F26" i="105"/>
  <c r="E26" i="105"/>
  <c r="D26" i="105"/>
  <c r="C26" i="105"/>
  <c r="O25" i="105"/>
  <c r="N25" i="105"/>
  <c r="M25" i="105"/>
  <c r="L25" i="105"/>
  <c r="K25" i="105"/>
  <c r="J25" i="105"/>
  <c r="I25" i="105"/>
  <c r="H25" i="105"/>
  <c r="G25" i="105"/>
  <c r="F25" i="105"/>
  <c r="E25" i="105"/>
  <c r="D25" i="105"/>
  <c r="C25" i="105"/>
  <c r="O24" i="105"/>
  <c r="N24" i="105"/>
  <c r="M24" i="105"/>
  <c r="L24" i="105"/>
  <c r="K24" i="105"/>
  <c r="J24" i="105"/>
  <c r="I24" i="105"/>
  <c r="H24" i="105"/>
  <c r="G24" i="105"/>
  <c r="F24" i="105"/>
  <c r="E24" i="105"/>
  <c r="D24" i="105"/>
  <c r="C24" i="105"/>
  <c r="O23" i="105"/>
  <c r="N23" i="105"/>
  <c r="M23" i="105"/>
  <c r="L23" i="105"/>
  <c r="K23" i="105"/>
  <c r="J23" i="105"/>
  <c r="I23" i="105"/>
  <c r="H23" i="105"/>
  <c r="G23" i="105"/>
  <c r="F23" i="105"/>
  <c r="E23" i="105"/>
  <c r="D23" i="105"/>
  <c r="C23" i="105"/>
  <c r="O22" i="105"/>
  <c r="N22" i="105"/>
  <c r="M22" i="105"/>
  <c r="L22" i="105"/>
  <c r="K22" i="105"/>
  <c r="J22" i="105"/>
  <c r="I22" i="105"/>
  <c r="H22" i="105"/>
  <c r="G22" i="105"/>
  <c r="F22" i="105"/>
  <c r="E22" i="105"/>
  <c r="D22" i="105"/>
  <c r="C22" i="105"/>
  <c r="O21" i="105"/>
  <c r="N21" i="105"/>
  <c r="M21" i="105"/>
  <c r="L21" i="105"/>
  <c r="K21" i="105"/>
  <c r="J21" i="105"/>
  <c r="I21" i="105"/>
  <c r="H21" i="105"/>
  <c r="G21" i="105"/>
  <c r="F21" i="105"/>
  <c r="E21" i="105"/>
  <c r="D21" i="105"/>
  <c r="C21" i="105"/>
  <c r="O20" i="105"/>
  <c r="N20" i="105"/>
  <c r="M20" i="105"/>
  <c r="L20" i="105"/>
  <c r="K20" i="105"/>
  <c r="J20" i="105"/>
  <c r="I20" i="105"/>
  <c r="H20" i="105"/>
  <c r="G20" i="105"/>
  <c r="F20" i="105"/>
  <c r="E20" i="105"/>
  <c r="D20" i="105"/>
  <c r="C20" i="105"/>
  <c r="O19" i="105"/>
  <c r="N19" i="105"/>
  <c r="M19" i="105"/>
  <c r="L19" i="105"/>
  <c r="K19" i="105"/>
  <c r="J19" i="105"/>
  <c r="I19" i="105"/>
  <c r="H19" i="105"/>
  <c r="G19" i="105"/>
  <c r="F19" i="105"/>
  <c r="E19" i="105"/>
  <c r="D19" i="105"/>
  <c r="C19" i="105"/>
  <c r="O18" i="105"/>
  <c r="N18" i="105"/>
  <c r="M18" i="105"/>
  <c r="L18" i="105"/>
  <c r="K18" i="105"/>
  <c r="J18" i="105"/>
  <c r="I18" i="105"/>
  <c r="H18" i="105"/>
  <c r="G18" i="105"/>
  <c r="F18" i="105"/>
  <c r="E18" i="105"/>
  <c r="D18" i="105"/>
  <c r="C18" i="105"/>
  <c r="O17" i="105"/>
  <c r="N17" i="105"/>
  <c r="M17" i="105"/>
  <c r="L17" i="105"/>
  <c r="K17" i="105"/>
  <c r="J17" i="105"/>
  <c r="I17" i="105"/>
  <c r="H17" i="105"/>
  <c r="G17" i="105"/>
  <c r="F17" i="105"/>
  <c r="E17" i="105"/>
  <c r="D17" i="105"/>
  <c r="C17" i="105"/>
  <c r="O16" i="105"/>
  <c r="N16" i="105"/>
  <c r="M16" i="105"/>
  <c r="L16" i="105"/>
  <c r="K16" i="105"/>
  <c r="J16" i="105"/>
  <c r="I16" i="105"/>
  <c r="H16" i="105"/>
  <c r="G16" i="105"/>
  <c r="F16" i="105"/>
  <c r="E16" i="105"/>
  <c r="D16" i="105"/>
  <c r="C16" i="105"/>
  <c r="O15" i="105"/>
  <c r="N15" i="105"/>
  <c r="M15" i="105"/>
  <c r="L15" i="105"/>
  <c r="K15" i="105"/>
  <c r="J15" i="105"/>
  <c r="I15" i="105"/>
  <c r="H15" i="105"/>
  <c r="G15" i="105"/>
  <c r="F15" i="105"/>
  <c r="E15" i="105"/>
  <c r="D15" i="105"/>
  <c r="C15" i="105"/>
  <c r="O14" i="105"/>
  <c r="N14" i="105"/>
  <c r="M14" i="105"/>
  <c r="L14" i="105"/>
  <c r="K14" i="105"/>
  <c r="J14" i="105"/>
  <c r="I14" i="105"/>
  <c r="H14" i="105"/>
  <c r="G14" i="105"/>
  <c r="F14" i="105"/>
  <c r="E14" i="105"/>
  <c r="D14" i="105"/>
  <c r="C14" i="105"/>
  <c r="O13" i="105"/>
  <c r="N13" i="105"/>
  <c r="M13" i="105"/>
  <c r="L13" i="105"/>
  <c r="K13" i="105"/>
  <c r="J13" i="105"/>
  <c r="I13" i="105"/>
  <c r="H13" i="105"/>
  <c r="G13" i="105"/>
  <c r="F13" i="105"/>
  <c r="E13" i="105"/>
  <c r="D13" i="105"/>
  <c r="C13" i="105"/>
  <c r="O12" i="105"/>
  <c r="N12" i="105"/>
  <c r="M12" i="105"/>
  <c r="L12" i="105"/>
  <c r="K12" i="105"/>
  <c r="J12" i="105"/>
  <c r="I12" i="105"/>
  <c r="H12" i="105"/>
  <c r="G12" i="105"/>
  <c r="F12" i="105"/>
  <c r="E12" i="105"/>
  <c r="D12" i="105"/>
  <c r="C12" i="105"/>
  <c r="O11" i="105"/>
  <c r="N11" i="105"/>
  <c r="M11" i="105"/>
  <c r="L11" i="105"/>
  <c r="K11" i="105"/>
  <c r="J11" i="105"/>
  <c r="I11" i="105"/>
  <c r="H11" i="105"/>
  <c r="G11" i="105"/>
  <c r="F11" i="105"/>
  <c r="E11" i="105"/>
  <c r="D11" i="105"/>
  <c r="C11" i="105"/>
  <c r="O10" i="105"/>
  <c r="N10" i="105"/>
  <c r="M10" i="105"/>
  <c r="L10" i="105"/>
  <c r="K10" i="105"/>
  <c r="J10" i="105"/>
  <c r="I10" i="105"/>
  <c r="H10" i="105"/>
  <c r="G10" i="105"/>
  <c r="F10" i="105"/>
  <c r="E10" i="105"/>
  <c r="D10" i="105"/>
  <c r="C10" i="105"/>
  <c r="O9" i="105"/>
  <c r="N9" i="105"/>
  <c r="M9" i="105"/>
  <c r="L9" i="105"/>
  <c r="K9" i="105"/>
  <c r="J9" i="105"/>
  <c r="I9" i="105"/>
  <c r="H9" i="105"/>
  <c r="G9" i="105"/>
  <c r="F9" i="105"/>
  <c r="E9" i="105"/>
  <c r="D9" i="105"/>
  <c r="C9" i="105"/>
  <c r="O4" i="104"/>
  <c r="O5" i="104"/>
  <c r="O6" i="104"/>
  <c r="O51" i="104"/>
  <c r="N4" i="104"/>
  <c r="N5" i="104"/>
  <c r="N6" i="104"/>
  <c r="N51" i="104"/>
  <c r="M4" i="104"/>
  <c r="M5" i="104"/>
  <c r="M6" i="104"/>
  <c r="M51" i="104"/>
  <c r="L4" i="104"/>
  <c r="L5" i="104"/>
  <c r="L6" i="104"/>
  <c r="L51" i="104"/>
  <c r="K4" i="104"/>
  <c r="K5" i="104"/>
  <c r="K6" i="104"/>
  <c r="K51" i="104"/>
  <c r="J4" i="104"/>
  <c r="J5" i="104"/>
  <c r="J6" i="104"/>
  <c r="J51" i="104"/>
  <c r="I4" i="104"/>
  <c r="I5" i="104"/>
  <c r="I6" i="104"/>
  <c r="I51" i="104"/>
  <c r="H4" i="104"/>
  <c r="H5" i="104"/>
  <c r="H6" i="104"/>
  <c r="H51" i="104"/>
  <c r="G4" i="104"/>
  <c r="G5" i="104"/>
  <c r="G6" i="104"/>
  <c r="G51" i="104"/>
  <c r="F4" i="104"/>
  <c r="F5" i="104"/>
  <c r="F6" i="104"/>
  <c r="F51" i="104"/>
  <c r="E4" i="104"/>
  <c r="E5" i="104"/>
  <c r="E6" i="104"/>
  <c r="E51" i="104"/>
  <c r="D4" i="104"/>
  <c r="D5" i="104"/>
  <c r="D6" i="104"/>
  <c r="D51" i="104"/>
  <c r="C4" i="104"/>
  <c r="C5" i="104"/>
  <c r="C6" i="104"/>
  <c r="C51" i="104"/>
  <c r="O50" i="104"/>
  <c r="N50" i="104"/>
  <c r="M50" i="104"/>
  <c r="L50" i="104"/>
  <c r="K50" i="104"/>
  <c r="J50" i="104"/>
  <c r="I50" i="104"/>
  <c r="H50" i="104"/>
  <c r="G50" i="104"/>
  <c r="F50" i="104"/>
  <c r="E50" i="104"/>
  <c r="D50" i="104"/>
  <c r="C50" i="104"/>
  <c r="O49" i="104"/>
  <c r="N49" i="104"/>
  <c r="M49" i="104"/>
  <c r="L49" i="104"/>
  <c r="K49" i="104"/>
  <c r="J49" i="104"/>
  <c r="I49" i="104"/>
  <c r="H49" i="104"/>
  <c r="G49" i="104"/>
  <c r="F49" i="104"/>
  <c r="E49" i="104"/>
  <c r="D49" i="104"/>
  <c r="C49" i="104"/>
  <c r="O47" i="104"/>
  <c r="N47" i="104"/>
  <c r="M47" i="104"/>
  <c r="L47" i="104"/>
  <c r="K47" i="104"/>
  <c r="J47" i="104"/>
  <c r="I47" i="104"/>
  <c r="H47" i="104"/>
  <c r="G47" i="104"/>
  <c r="F47" i="104"/>
  <c r="E47" i="104"/>
  <c r="D47" i="104"/>
  <c r="C47" i="104"/>
  <c r="O46" i="104"/>
  <c r="N46" i="104"/>
  <c r="M46" i="104"/>
  <c r="L46" i="104"/>
  <c r="K46" i="104"/>
  <c r="J46" i="104"/>
  <c r="I46" i="104"/>
  <c r="H46" i="104"/>
  <c r="G46" i="104"/>
  <c r="F46" i="104"/>
  <c r="E46" i="104"/>
  <c r="D46" i="104"/>
  <c r="C46" i="104"/>
  <c r="O45" i="104"/>
  <c r="N45" i="104"/>
  <c r="M45" i="104"/>
  <c r="L45" i="104"/>
  <c r="K45" i="104"/>
  <c r="J45" i="104"/>
  <c r="I45" i="104"/>
  <c r="H45" i="104"/>
  <c r="G45" i="104"/>
  <c r="F45" i="104"/>
  <c r="E45" i="104"/>
  <c r="D45" i="104"/>
  <c r="C45" i="104"/>
  <c r="O44" i="104"/>
  <c r="N44" i="104"/>
  <c r="M44" i="104"/>
  <c r="L44" i="104"/>
  <c r="K44" i="104"/>
  <c r="J44" i="104"/>
  <c r="I44" i="104"/>
  <c r="H44" i="104"/>
  <c r="G44" i="104"/>
  <c r="F44" i="104"/>
  <c r="E44" i="104"/>
  <c r="D44" i="104"/>
  <c r="C44" i="104"/>
  <c r="O43" i="104"/>
  <c r="N43" i="104"/>
  <c r="M43" i="104"/>
  <c r="L43" i="104"/>
  <c r="K43" i="104"/>
  <c r="J43" i="104"/>
  <c r="I43" i="104"/>
  <c r="H43" i="104"/>
  <c r="G43" i="104"/>
  <c r="F43" i="104"/>
  <c r="E43" i="104"/>
  <c r="D43" i="104"/>
  <c r="C43" i="104"/>
  <c r="O42" i="104"/>
  <c r="N42" i="104"/>
  <c r="M42" i="104"/>
  <c r="L42" i="104"/>
  <c r="K42" i="104"/>
  <c r="J42" i="104"/>
  <c r="I42" i="104"/>
  <c r="H42" i="104"/>
  <c r="G42" i="104"/>
  <c r="F42" i="104"/>
  <c r="E42" i="104"/>
  <c r="D42" i="104"/>
  <c r="C42" i="104"/>
  <c r="O41" i="104"/>
  <c r="N41" i="104"/>
  <c r="M41" i="104"/>
  <c r="L41" i="104"/>
  <c r="K41" i="104"/>
  <c r="J41" i="104"/>
  <c r="I41" i="104"/>
  <c r="H41" i="104"/>
  <c r="G41" i="104"/>
  <c r="F41" i="104"/>
  <c r="E41" i="104"/>
  <c r="D41" i="104"/>
  <c r="C41" i="104"/>
  <c r="O40" i="104"/>
  <c r="N40" i="104"/>
  <c r="M40" i="104"/>
  <c r="L40" i="104"/>
  <c r="K40" i="104"/>
  <c r="J40" i="104"/>
  <c r="I40" i="104"/>
  <c r="H40" i="104"/>
  <c r="G40" i="104"/>
  <c r="F40" i="104"/>
  <c r="E40" i="104"/>
  <c r="D40" i="104"/>
  <c r="C40" i="104"/>
  <c r="O39" i="104"/>
  <c r="N39" i="104"/>
  <c r="M39" i="104"/>
  <c r="L39" i="104"/>
  <c r="K39" i="104"/>
  <c r="J39" i="104"/>
  <c r="I39" i="104"/>
  <c r="H39" i="104"/>
  <c r="G39" i="104"/>
  <c r="F39" i="104"/>
  <c r="E39" i="104"/>
  <c r="D39" i="104"/>
  <c r="C39" i="104"/>
  <c r="O38" i="104"/>
  <c r="N38" i="104"/>
  <c r="M38" i="104"/>
  <c r="L38" i="104"/>
  <c r="K38" i="104"/>
  <c r="J38" i="104"/>
  <c r="I38" i="104"/>
  <c r="H38" i="104"/>
  <c r="G38" i="104"/>
  <c r="F38" i="104"/>
  <c r="E38" i="104"/>
  <c r="D38" i="104"/>
  <c r="C38" i="104"/>
  <c r="O37" i="104"/>
  <c r="N37" i="104"/>
  <c r="M37" i="104"/>
  <c r="L37" i="104"/>
  <c r="K37" i="104"/>
  <c r="J37" i="104"/>
  <c r="I37" i="104"/>
  <c r="H37" i="104"/>
  <c r="G37" i="104"/>
  <c r="F37" i="104"/>
  <c r="E37" i="104"/>
  <c r="D37" i="104"/>
  <c r="C37" i="104"/>
  <c r="O36" i="104"/>
  <c r="N36" i="104"/>
  <c r="M36" i="104"/>
  <c r="L36" i="104"/>
  <c r="K36" i="104"/>
  <c r="J36" i="104"/>
  <c r="I36" i="104"/>
  <c r="H36" i="104"/>
  <c r="G36" i="104"/>
  <c r="F36" i="104"/>
  <c r="E36" i="104"/>
  <c r="D36" i="104"/>
  <c r="C36" i="104"/>
  <c r="O35" i="104"/>
  <c r="N35" i="104"/>
  <c r="M35" i="104"/>
  <c r="L35" i="104"/>
  <c r="K35" i="104"/>
  <c r="J35" i="104"/>
  <c r="I35" i="104"/>
  <c r="H35" i="104"/>
  <c r="G35" i="104"/>
  <c r="F35" i="104"/>
  <c r="E35" i="104"/>
  <c r="D35" i="104"/>
  <c r="C35" i="104"/>
  <c r="O34" i="104"/>
  <c r="N34" i="104"/>
  <c r="M34" i="104"/>
  <c r="L34" i="104"/>
  <c r="K34" i="104"/>
  <c r="J34" i="104"/>
  <c r="I34" i="104"/>
  <c r="H34" i="104"/>
  <c r="G34" i="104"/>
  <c r="F34" i="104"/>
  <c r="E34" i="104"/>
  <c r="D34" i="104"/>
  <c r="C34" i="104"/>
  <c r="O33" i="104"/>
  <c r="N33" i="104"/>
  <c r="M33" i="104"/>
  <c r="L33" i="104"/>
  <c r="K33" i="104"/>
  <c r="J33" i="104"/>
  <c r="I33" i="104"/>
  <c r="H33" i="104"/>
  <c r="G33" i="104"/>
  <c r="F33" i="104"/>
  <c r="E33" i="104"/>
  <c r="D33" i="104"/>
  <c r="C33" i="104"/>
  <c r="O32" i="104"/>
  <c r="N32" i="104"/>
  <c r="M32" i="104"/>
  <c r="L32" i="104"/>
  <c r="K32" i="104"/>
  <c r="J32" i="104"/>
  <c r="I32" i="104"/>
  <c r="H32" i="104"/>
  <c r="G32" i="104"/>
  <c r="F32" i="104"/>
  <c r="E32" i="104"/>
  <c r="D32" i="104"/>
  <c r="C32" i="104"/>
  <c r="O31" i="104"/>
  <c r="N31" i="104"/>
  <c r="M31" i="104"/>
  <c r="L31" i="104"/>
  <c r="K31" i="104"/>
  <c r="J31" i="104"/>
  <c r="I31" i="104"/>
  <c r="H31" i="104"/>
  <c r="G31" i="104"/>
  <c r="F31" i="104"/>
  <c r="E31" i="104"/>
  <c r="D31" i="104"/>
  <c r="C31" i="104"/>
  <c r="O30" i="104"/>
  <c r="N30" i="104"/>
  <c r="M30" i="104"/>
  <c r="L30" i="104"/>
  <c r="K30" i="104"/>
  <c r="J30" i="104"/>
  <c r="I30" i="104"/>
  <c r="H30" i="104"/>
  <c r="G30" i="104"/>
  <c r="F30" i="104"/>
  <c r="E30" i="104"/>
  <c r="D30" i="104"/>
  <c r="C30" i="104"/>
  <c r="O29" i="104"/>
  <c r="N29" i="104"/>
  <c r="M29" i="104"/>
  <c r="L29" i="104"/>
  <c r="K29" i="104"/>
  <c r="J29" i="104"/>
  <c r="I29" i="104"/>
  <c r="H29" i="104"/>
  <c r="G29" i="104"/>
  <c r="F29" i="104"/>
  <c r="E29" i="104"/>
  <c r="D29" i="104"/>
  <c r="C29" i="104"/>
  <c r="O28" i="104"/>
  <c r="N28" i="104"/>
  <c r="M28" i="104"/>
  <c r="L28" i="104"/>
  <c r="K28" i="104"/>
  <c r="J28" i="104"/>
  <c r="I28" i="104"/>
  <c r="H28" i="104"/>
  <c r="G28" i="104"/>
  <c r="F28" i="104"/>
  <c r="E28" i="104"/>
  <c r="D28" i="104"/>
  <c r="C28" i="104"/>
  <c r="O27" i="104"/>
  <c r="N27" i="104"/>
  <c r="M27" i="104"/>
  <c r="L27" i="104"/>
  <c r="K27" i="104"/>
  <c r="J27" i="104"/>
  <c r="I27" i="104"/>
  <c r="H27" i="104"/>
  <c r="G27" i="104"/>
  <c r="F27" i="104"/>
  <c r="E27" i="104"/>
  <c r="D27" i="104"/>
  <c r="C27" i="104"/>
  <c r="O26" i="104"/>
  <c r="N26" i="104"/>
  <c r="M26" i="104"/>
  <c r="L26" i="104"/>
  <c r="K26" i="104"/>
  <c r="J26" i="104"/>
  <c r="I26" i="104"/>
  <c r="H26" i="104"/>
  <c r="G26" i="104"/>
  <c r="F26" i="104"/>
  <c r="E26" i="104"/>
  <c r="D26" i="104"/>
  <c r="C26" i="104"/>
  <c r="O25" i="104"/>
  <c r="N25" i="104"/>
  <c r="M25" i="104"/>
  <c r="L25" i="104"/>
  <c r="K25" i="104"/>
  <c r="J25" i="104"/>
  <c r="I25" i="104"/>
  <c r="H25" i="104"/>
  <c r="G25" i="104"/>
  <c r="F25" i="104"/>
  <c r="E25" i="104"/>
  <c r="D25" i="104"/>
  <c r="C25" i="104"/>
  <c r="O24" i="104"/>
  <c r="N24" i="104"/>
  <c r="M24" i="104"/>
  <c r="L24" i="104"/>
  <c r="K24" i="104"/>
  <c r="J24" i="104"/>
  <c r="I24" i="104"/>
  <c r="H24" i="104"/>
  <c r="G24" i="104"/>
  <c r="F24" i="104"/>
  <c r="E24" i="104"/>
  <c r="D24" i="104"/>
  <c r="C24" i="104"/>
  <c r="O23" i="104"/>
  <c r="N23" i="104"/>
  <c r="M23" i="104"/>
  <c r="L23" i="104"/>
  <c r="K23" i="104"/>
  <c r="J23" i="104"/>
  <c r="I23" i="104"/>
  <c r="H23" i="104"/>
  <c r="G23" i="104"/>
  <c r="F23" i="104"/>
  <c r="E23" i="104"/>
  <c r="D23" i="104"/>
  <c r="C23" i="104"/>
  <c r="O22" i="104"/>
  <c r="N22" i="104"/>
  <c r="M22" i="104"/>
  <c r="L22" i="104"/>
  <c r="K22" i="104"/>
  <c r="J22" i="104"/>
  <c r="I22" i="104"/>
  <c r="H22" i="104"/>
  <c r="G22" i="104"/>
  <c r="F22" i="104"/>
  <c r="E22" i="104"/>
  <c r="D22" i="104"/>
  <c r="C22" i="104"/>
  <c r="O21" i="104"/>
  <c r="N21" i="104"/>
  <c r="M21" i="104"/>
  <c r="L21" i="104"/>
  <c r="K21" i="104"/>
  <c r="J21" i="104"/>
  <c r="I21" i="104"/>
  <c r="H21" i="104"/>
  <c r="G21" i="104"/>
  <c r="F21" i="104"/>
  <c r="E21" i="104"/>
  <c r="D21" i="104"/>
  <c r="C21" i="104"/>
  <c r="O18" i="104"/>
  <c r="N18" i="104"/>
  <c r="M18" i="104"/>
  <c r="L18" i="104"/>
  <c r="K18" i="104"/>
  <c r="J18" i="104"/>
  <c r="I18" i="104"/>
  <c r="H18" i="104"/>
  <c r="G18" i="104"/>
  <c r="F18" i="104"/>
  <c r="E18" i="104"/>
  <c r="D18" i="104"/>
  <c r="C18" i="104"/>
  <c r="O17" i="104"/>
  <c r="N17" i="104"/>
  <c r="M17" i="104"/>
  <c r="L17" i="104"/>
  <c r="K17" i="104"/>
  <c r="J17" i="104"/>
  <c r="I17" i="104"/>
  <c r="H17" i="104"/>
  <c r="G17" i="104"/>
  <c r="F17" i="104"/>
  <c r="E17" i="104"/>
  <c r="D17" i="104"/>
  <c r="C17" i="104"/>
  <c r="O16" i="104"/>
  <c r="N16" i="104"/>
  <c r="M16" i="104"/>
  <c r="L16" i="104"/>
  <c r="K16" i="104"/>
  <c r="J16" i="104"/>
  <c r="I16" i="104"/>
  <c r="H16" i="104"/>
  <c r="G16" i="104"/>
  <c r="F16" i="104"/>
  <c r="E16" i="104"/>
  <c r="D16" i="104"/>
  <c r="C16" i="104"/>
  <c r="O13" i="104"/>
  <c r="N13" i="104"/>
  <c r="M13" i="104"/>
  <c r="L13" i="104"/>
  <c r="K13" i="104"/>
  <c r="J13" i="104"/>
  <c r="I13" i="104"/>
  <c r="H13" i="104"/>
  <c r="G13" i="104"/>
  <c r="F13" i="104"/>
  <c r="E13" i="104"/>
  <c r="D13" i="104"/>
  <c r="C13" i="104"/>
  <c r="O12" i="104"/>
  <c r="N12" i="104"/>
  <c r="M12" i="104"/>
  <c r="L12" i="104"/>
  <c r="K12" i="104"/>
  <c r="J12" i="104"/>
  <c r="I12" i="104"/>
  <c r="H12" i="104"/>
  <c r="G12" i="104"/>
  <c r="F12" i="104"/>
  <c r="E12" i="104"/>
  <c r="D12" i="104"/>
  <c r="C12" i="104"/>
  <c r="O11" i="104"/>
  <c r="N11" i="104"/>
  <c r="M11" i="104"/>
  <c r="L11" i="104"/>
  <c r="K11" i="104"/>
  <c r="J11" i="104"/>
  <c r="I11" i="104"/>
  <c r="H11" i="104"/>
  <c r="G11" i="104"/>
  <c r="F11" i="104"/>
  <c r="E11" i="104"/>
  <c r="D11" i="104"/>
  <c r="C11" i="104"/>
  <c r="O10" i="104"/>
  <c r="N10" i="104"/>
  <c r="M10" i="104"/>
  <c r="L10" i="104"/>
  <c r="K10" i="104"/>
  <c r="J10" i="104"/>
  <c r="I10" i="104"/>
  <c r="H10" i="104"/>
  <c r="G10" i="104"/>
  <c r="F10" i="104"/>
  <c r="E10" i="104"/>
  <c r="D10" i="104"/>
  <c r="C10" i="104"/>
  <c r="O9" i="104"/>
  <c r="N9" i="104"/>
  <c r="M9" i="104"/>
  <c r="L9" i="104"/>
  <c r="K9" i="104"/>
  <c r="J9" i="104"/>
  <c r="I9" i="104"/>
  <c r="H9" i="104"/>
  <c r="G9" i="104"/>
  <c r="F9" i="104"/>
  <c r="E9" i="104"/>
  <c r="D9" i="104"/>
  <c r="C9" i="104"/>
  <c r="O4" i="102"/>
  <c r="O5" i="102"/>
  <c r="O6" i="102"/>
  <c r="O27" i="102"/>
  <c r="N4" i="102"/>
  <c r="N5" i="102"/>
  <c r="N6" i="102"/>
  <c r="N27" i="102"/>
  <c r="M4" i="102"/>
  <c r="M5" i="102"/>
  <c r="M6" i="102"/>
  <c r="M27" i="102"/>
  <c r="L4" i="102"/>
  <c r="L5" i="102"/>
  <c r="L6" i="102"/>
  <c r="L27" i="102"/>
  <c r="K4" i="102"/>
  <c r="K5" i="102"/>
  <c r="K6" i="102"/>
  <c r="K27" i="102"/>
  <c r="J4" i="102"/>
  <c r="J5" i="102"/>
  <c r="J6" i="102"/>
  <c r="J27" i="102"/>
  <c r="I4" i="102"/>
  <c r="I5" i="102"/>
  <c r="I6" i="102"/>
  <c r="I27" i="102"/>
  <c r="H4" i="102"/>
  <c r="H5" i="102"/>
  <c r="H6" i="102"/>
  <c r="H27" i="102"/>
  <c r="G4" i="102"/>
  <c r="G5" i="102"/>
  <c r="G6" i="102"/>
  <c r="G27" i="102"/>
  <c r="F4" i="102"/>
  <c r="F5" i="102"/>
  <c r="F6" i="102"/>
  <c r="F27" i="102"/>
  <c r="E4" i="102"/>
  <c r="E5" i="102"/>
  <c r="E6" i="102"/>
  <c r="E27" i="102"/>
  <c r="D4" i="102"/>
  <c r="D5" i="102"/>
  <c r="D6" i="102"/>
  <c r="D27" i="102"/>
  <c r="C4" i="102"/>
  <c r="C5" i="102"/>
  <c r="C6" i="102"/>
  <c r="C27" i="102"/>
  <c r="O26" i="102"/>
  <c r="N26" i="102"/>
  <c r="M26" i="102"/>
  <c r="L26" i="102"/>
  <c r="K26" i="102"/>
  <c r="J26" i="102"/>
  <c r="I26" i="102"/>
  <c r="H26" i="102"/>
  <c r="G26" i="102"/>
  <c r="F26" i="102"/>
  <c r="E26" i="102"/>
  <c r="D26" i="102"/>
  <c r="C26" i="102"/>
  <c r="O25" i="102"/>
  <c r="N25" i="102"/>
  <c r="M25" i="102"/>
  <c r="L25" i="102"/>
  <c r="K25" i="102"/>
  <c r="J25" i="102"/>
  <c r="I25" i="102"/>
  <c r="H25" i="102"/>
  <c r="G25" i="102"/>
  <c r="F25" i="102"/>
  <c r="E25" i="102"/>
  <c r="D25" i="102"/>
  <c r="C25" i="102"/>
  <c r="O24" i="102"/>
  <c r="N24" i="102"/>
  <c r="M24" i="102"/>
  <c r="L24" i="102"/>
  <c r="K24" i="102"/>
  <c r="J24" i="102"/>
  <c r="I24" i="102"/>
  <c r="H24" i="102"/>
  <c r="G24" i="102"/>
  <c r="F24" i="102"/>
  <c r="E24" i="102"/>
  <c r="D24" i="102"/>
  <c r="C24" i="102"/>
  <c r="O23" i="102"/>
  <c r="N23" i="102"/>
  <c r="M23" i="102"/>
  <c r="L23" i="102"/>
  <c r="K23" i="102"/>
  <c r="J23" i="102"/>
  <c r="I23" i="102"/>
  <c r="H23" i="102"/>
  <c r="G23" i="102"/>
  <c r="F23" i="102"/>
  <c r="E23" i="102"/>
  <c r="D23" i="102"/>
  <c r="C23" i="102"/>
  <c r="O22" i="102"/>
  <c r="N22" i="102"/>
  <c r="M22" i="102"/>
  <c r="L22" i="102"/>
  <c r="K22" i="102"/>
  <c r="J22" i="102"/>
  <c r="I22" i="102"/>
  <c r="H22" i="102"/>
  <c r="G22" i="102"/>
  <c r="F22" i="102"/>
  <c r="E22" i="102"/>
  <c r="D22" i="102"/>
  <c r="C22" i="102"/>
  <c r="O21" i="102"/>
  <c r="N21" i="102"/>
  <c r="M21" i="102"/>
  <c r="L21" i="102"/>
  <c r="K21" i="102"/>
  <c r="J21" i="102"/>
  <c r="I21" i="102"/>
  <c r="H21" i="102"/>
  <c r="G21" i="102"/>
  <c r="F21" i="102"/>
  <c r="E21" i="102"/>
  <c r="D21" i="102"/>
  <c r="C21" i="102"/>
  <c r="O20" i="102"/>
  <c r="N20" i="102"/>
  <c r="M20" i="102"/>
  <c r="L20" i="102"/>
  <c r="K20" i="102"/>
  <c r="J20" i="102"/>
  <c r="I20" i="102"/>
  <c r="H20" i="102"/>
  <c r="G20" i="102"/>
  <c r="F20" i="102"/>
  <c r="E20" i="102"/>
  <c r="D20" i="102"/>
  <c r="C20" i="102"/>
  <c r="O19" i="102"/>
  <c r="N19" i="102"/>
  <c r="M19" i="102"/>
  <c r="L19" i="102"/>
  <c r="K19" i="102"/>
  <c r="J19" i="102"/>
  <c r="I19" i="102"/>
  <c r="H19" i="102"/>
  <c r="G19" i="102"/>
  <c r="F19" i="102"/>
  <c r="E19" i="102"/>
  <c r="D19" i="102"/>
  <c r="C19" i="102"/>
  <c r="O18" i="102"/>
  <c r="N18" i="102"/>
  <c r="M18" i="102"/>
  <c r="L18" i="102"/>
  <c r="K18" i="102"/>
  <c r="J18" i="102"/>
  <c r="I18" i="102"/>
  <c r="H18" i="102"/>
  <c r="G18" i="102"/>
  <c r="F18" i="102"/>
  <c r="E18" i="102"/>
  <c r="D18" i="102"/>
  <c r="C18" i="102"/>
  <c r="O17" i="102"/>
  <c r="N17" i="102"/>
  <c r="M17" i="102"/>
  <c r="L17" i="102"/>
  <c r="K17" i="102"/>
  <c r="J17" i="102"/>
  <c r="I17" i="102"/>
  <c r="H17" i="102"/>
  <c r="G17" i="102"/>
  <c r="F17" i="102"/>
  <c r="E17" i="102"/>
  <c r="D17" i="102"/>
  <c r="C17" i="102"/>
  <c r="O16" i="102"/>
  <c r="N16" i="102"/>
  <c r="M16" i="102"/>
  <c r="L16" i="102"/>
  <c r="K16" i="102"/>
  <c r="J16" i="102"/>
  <c r="I16" i="102"/>
  <c r="H16" i="102"/>
  <c r="G16" i="102"/>
  <c r="F16" i="102"/>
  <c r="E16" i="102"/>
  <c r="D16" i="102"/>
  <c r="C16" i="102"/>
  <c r="O15" i="102"/>
  <c r="N15" i="102"/>
  <c r="M15" i="102"/>
  <c r="L15" i="102"/>
  <c r="K15" i="102"/>
  <c r="J15" i="102"/>
  <c r="I15" i="102"/>
  <c r="H15" i="102"/>
  <c r="G15" i="102"/>
  <c r="F15" i="102"/>
  <c r="E15" i="102"/>
  <c r="D15" i="102"/>
  <c r="C15" i="102"/>
  <c r="O14" i="102"/>
  <c r="N14" i="102"/>
  <c r="M14" i="102"/>
  <c r="L14" i="102"/>
  <c r="K14" i="102"/>
  <c r="J14" i="102"/>
  <c r="I14" i="102"/>
  <c r="H14" i="102"/>
  <c r="G14" i="102"/>
  <c r="F14" i="102"/>
  <c r="E14" i="102"/>
  <c r="D14" i="102"/>
  <c r="C14" i="102"/>
  <c r="O13" i="102"/>
  <c r="N13" i="102"/>
  <c r="M13" i="102"/>
  <c r="L13" i="102"/>
  <c r="K13" i="102"/>
  <c r="J13" i="102"/>
  <c r="I13" i="102"/>
  <c r="H13" i="102"/>
  <c r="G13" i="102"/>
  <c r="F13" i="102"/>
  <c r="E13" i="102"/>
  <c r="D13" i="102"/>
  <c r="C13" i="102"/>
  <c r="O12" i="102"/>
  <c r="N12" i="102"/>
  <c r="M12" i="102"/>
  <c r="L12" i="102"/>
  <c r="K12" i="102"/>
  <c r="J12" i="102"/>
  <c r="I12" i="102"/>
  <c r="H12" i="102"/>
  <c r="G12" i="102"/>
  <c r="F12" i="102"/>
  <c r="E12" i="102"/>
  <c r="D12" i="102"/>
  <c r="C12" i="102"/>
  <c r="O11" i="102"/>
  <c r="N11" i="102"/>
  <c r="M11" i="102"/>
  <c r="L11" i="102"/>
  <c r="K11" i="102"/>
  <c r="J11" i="102"/>
  <c r="I11" i="102"/>
  <c r="H11" i="102"/>
  <c r="G11" i="102"/>
  <c r="F11" i="102"/>
  <c r="E11" i="102"/>
  <c r="D11" i="102"/>
  <c r="C11" i="102"/>
  <c r="O10" i="102"/>
  <c r="N10" i="102"/>
  <c r="M10" i="102"/>
  <c r="L10" i="102"/>
  <c r="K10" i="102"/>
  <c r="J10" i="102"/>
  <c r="I10" i="102"/>
  <c r="H10" i="102"/>
  <c r="G10" i="102"/>
  <c r="F10" i="102"/>
  <c r="E10" i="102"/>
  <c r="D10" i="102"/>
  <c r="C10" i="102"/>
  <c r="O9" i="102"/>
  <c r="N9" i="102"/>
  <c r="M9" i="102"/>
  <c r="L9" i="102"/>
  <c r="K9" i="102"/>
  <c r="J9" i="102"/>
  <c r="I9" i="102"/>
  <c r="H9" i="102"/>
  <c r="G9" i="102"/>
  <c r="F9" i="102"/>
  <c r="E9" i="102"/>
  <c r="D9" i="102"/>
  <c r="C9" i="102"/>
  <c r="O4" i="101"/>
  <c r="O5" i="101"/>
  <c r="O6" i="101"/>
  <c r="O60" i="101"/>
  <c r="N4" i="101"/>
  <c r="N5" i="101"/>
  <c r="N6" i="101"/>
  <c r="N60" i="101"/>
  <c r="M4" i="101"/>
  <c r="M5" i="101"/>
  <c r="M6" i="101"/>
  <c r="M60" i="101"/>
  <c r="L4" i="101"/>
  <c r="L5" i="101"/>
  <c r="L6" i="101"/>
  <c r="L60" i="101"/>
  <c r="K4" i="101"/>
  <c r="K5" i="101"/>
  <c r="K6" i="101"/>
  <c r="K60" i="101"/>
  <c r="J4" i="101"/>
  <c r="J5" i="101"/>
  <c r="J6" i="101"/>
  <c r="J60" i="101"/>
  <c r="I4" i="101"/>
  <c r="I5" i="101"/>
  <c r="I6" i="101"/>
  <c r="I60" i="101"/>
  <c r="H4" i="101"/>
  <c r="H5" i="101"/>
  <c r="H6" i="101"/>
  <c r="H60" i="101"/>
  <c r="G4" i="101"/>
  <c r="G5" i="101"/>
  <c r="G6" i="101"/>
  <c r="G60" i="101"/>
  <c r="F4" i="101"/>
  <c r="F5" i="101"/>
  <c r="F6" i="101"/>
  <c r="F60" i="101"/>
  <c r="E4" i="101"/>
  <c r="E5" i="101"/>
  <c r="E6" i="101"/>
  <c r="E60" i="101"/>
  <c r="D4" i="101"/>
  <c r="D5" i="101"/>
  <c r="D6" i="101"/>
  <c r="D60" i="101"/>
  <c r="C4" i="101"/>
  <c r="C5" i="101"/>
  <c r="C6" i="101"/>
  <c r="C60" i="101"/>
  <c r="O59" i="101"/>
  <c r="N59" i="101"/>
  <c r="M59" i="101"/>
  <c r="L59" i="101"/>
  <c r="K59" i="101"/>
  <c r="J59" i="101"/>
  <c r="I59" i="101"/>
  <c r="H59" i="101"/>
  <c r="G59" i="101"/>
  <c r="F59" i="101"/>
  <c r="E59" i="101"/>
  <c r="D59" i="101"/>
  <c r="C59" i="101"/>
  <c r="O58" i="101"/>
  <c r="N58" i="101"/>
  <c r="M58" i="101"/>
  <c r="L58" i="101"/>
  <c r="K58" i="101"/>
  <c r="J58" i="101"/>
  <c r="I58" i="101"/>
  <c r="H58" i="101"/>
  <c r="G58" i="101"/>
  <c r="F58" i="101"/>
  <c r="E58" i="101"/>
  <c r="D58" i="101"/>
  <c r="C58" i="101"/>
  <c r="O57" i="101"/>
  <c r="N57" i="101"/>
  <c r="M57" i="101"/>
  <c r="L57" i="101"/>
  <c r="K57" i="101"/>
  <c r="J57" i="101"/>
  <c r="I57" i="101"/>
  <c r="H57" i="101"/>
  <c r="G57" i="101"/>
  <c r="F57" i="101"/>
  <c r="E57" i="101"/>
  <c r="D57" i="101"/>
  <c r="C57" i="101"/>
  <c r="O56" i="101"/>
  <c r="N56" i="101"/>
  <c r="M56" i="101"/>
  <c r="L56" i="101"/>
  <c r="K56" i="101"/>
  <c r="J56" i="101"/>
  <c r="I56" i="101"/>
  <c r="H56" i="101"/>
  <c r="G56" i="101"/>
  <c r="F56" i="101"/>
  <c r="E56" i="101"/>
  <c r="D56" i="101"/>
  <c r="C56" i="101"/>
  <c r="O55" i="101"/>
  <c r="N55" i="101"/>
  <c r="M55" i="101"/>
  <c r="L55" i="101"/>
  <c r="K55" i="101"/>
  <c r="J55" i="101"/>
  <c r="I55" i="101"/>
  <c r="H55" i="101"/>
  <c r="G55" i="101"/>
  <c r="F55" i="101"/>
  <c r="E55" i="101"/>
  <c r="D55" i="101"/>
  <c r="C55" i="101"/>
  <c r="O54" i="101"/>
  <c r="N54" i="101"/>
  <c r="M54" i="101"/>
  <c r="L54" i="101"/>
  <c r="K54" i="101"/>
  <c r="J54" i="101"/>
  <c r="I54" i="101"/>
  <c r="H54" i="101"/>
  <c r="G54" i="101"/>
  <c r="F54" i="101"/>
  <c r="E54" i="101"/>
  <c r="D54" i="101"/>
  <c r="C54" i="101"/>
  <c r="O53" i="101"/>
  <c r="N53" i="101"/>
  <c r="M53" i="101"/>
  <c r="L53" i="101"/>
  <c r="K53" i="101"/>
  <c r="J53" i="101"/>
  <c r="I53" i="101"/>
  <c r="H53" i="101"/>
  <c r="G53" i="101"/>
  <c r="F53" i="101"/>
  <c r="E53" i="101"/>
  <c r="D53" i="101"/>
  <c r="C53" i="101"/>
  <c r="O52" i="101"/>
  <c r="N52" i="101"/>
  <c r="M52" i="101"/>
  <c r="L52" i="101"/>
  <c r="K52" i="101"/>
  <c r="J52" i="101"/>
  <c r="I52" i="101"/>
  <c r="H52" i="101"/>
  <c r="G52" i="101"/>
  <c r="F52" i="101"/>
  <c r="E52" i="101"/>
  <c r="D52" i="101"/>
  <c r="C52" i="101"/>
  <c r="O49" i="101"/>
  <c r="N49" i="101"/>
  <c r="M49" i="101"/>
  <c r="L49" i="101"/>
  <c r="K49" i="101"/>
  <c r="J49" i="101"/>
  <c r="I49" i="101"/>
  <c r="H49" i="101"/>
  <c r="G49" i="101"/>
  <c r="F49" i="101"/>
  <c r="E49" i="101"/>
  <c r="D49" i="101"/>
  <c r="C49" i="101"/>
  <c r="O48" i="101"/>
  <c r="N48" i="101"/>
  <c r="M48" i="101"/>
  <c r="L48" i="101"/>
  <c r="K48" i="101"/>
  <c r="J48" i="101"/>
  <c r="I48" i="101"/>
  <c r="H48" i="101"/>
  <c r="G48" i="101"/>
  <c r="F48" i="101"/>
  <c r="E48" i="101"/>
  <c r="D48" i="101"/>
  <c r="C48" i="101"/>
  <c r="O47" i="101"/>
  <c r="N47" i="101"/>
  <c r="M47" i="101"/>
  <c r="L47" i="101"/>
  <c r="K47" i="101"/>
  <c r="J47" i="101"/>
  <c r="I47" i="101"/>
  <c r="H47" i="101"/>
  <c r="G47" i="101"/>
  <c r="F47" i="101"/>
  <c r="E47" i="101"/>
  <c r="D47" i="101"/>
  <c r="C47" i="101"/>
  <c r="O46" i="101"/>
  <c r="N46" i="101"/>
  <c r="M46" i="101"/>
  <c r="L46" i="101"/>
  <c r="K46" i="101"/>
  <c r="J46" i="101"/>
  <c r="I46" i="101"/>
  <c r="H46" i="101"/>
  <c r="G46" i="101"/>
  <c r="F46" i="101"/>
  <c r="E46" i="101"/>
  <c r="D46" i="101"/>
  <c r="C46" i="101"/>
  <c r="O43" i="101"/>
  <c r="N43" i="101"/>
  <c r="M43" i="101"/>
  <c r="L43" i="101"/>
  <c r="K43" i="101"/>
  <c r="J43" i="101"/>
  <c r="I43" i="101"/>
  <c r="H43" i="101"/>
  <c r="G43" i="101"/>
  <c r="F43" i="101"/>
  <c r="E43" i="101"/>
  <c r="D43" i="101"/>
  <c r="C43" i="101"/>
  <c r="O42" i="101"/>
  <c r="N42" i="101"/>
  <c r="M42" i="101"/>
  <c r="L42" i="101"/>
  <c r="K42" i="101"/>
  <c r="J42" i="101"/>
  <c r="I42" i="101"/>
  <c r="H42" i="101"/>
  <c r="G42" i="101"/>
  <c r="F42" i="101"/>
  <c r="E42" i="101"/>
  <c r="D42" i="101"/>
  <c r="C42" i="101"/>
  <c r="O39" i="101"/>
  <c r="N39" i="101"/>
  <c r="M39" i="101"/>
  <c r="L39" i="101"/>
  <c r="K39" i="101"/>
  <c r="J39" i="101"/>
  <c r="I39" i="101"/>
  <c r="H39" i="101"/>
  <c r="G39" i="101"/>
  <c r="F39" i="101"/>
  <c r="E39" i="101"/>
  <c r="D39" i="101"/>
  <c r="C39" i="101"/>
  <c r="O38" i="101"/>
  <c r="N38" i="101"/>
  <c r="M38" i="101"/>
  <c r="L38" i="101"/>
  <c r="K38" i="101"/>
  <c r="J38" i="101"/>
  <c r="I38" i="101"/>
  <c r="H38" i="101"/>
  <c r="G38" i="101"/>
  <c r="F38" i="101"/>
  <c r="E38" i="101"/>
  <c r="D38" i="101"/>
  <c r="C38" i="101"/>
  <c r="O37" i="101"/>
  <c r="N37" i="101"/>
  <c r="M37" i="101"/>
  <c r="L37" i="101"/>
  <c r="K37" i="101"/>
  <c r="J37" i="101"/>
  <c r="I37" i="101"/>
  <c r="H37" i="101"/>
  <c r="G37" i="101"/>
  <c r="F37" i="101"/>
  <c r="E37" i="101"/>
  <c r="D37" i="101"/>
  <c r="C37" i="101"/>
  <c r="O36" i="101"/>
  <c r="N36" i="101"/>
  <c r="M36" i="101"/>
  <c r="L36" i="101"/>
  <c r="K36" i="101"/>
  <c r="J36" i="101"/>
  <c r="I36" i="101"/>
  <c r="H36" i="101"/>
  <c r="G36" i="101"/>
  <c r="F36" i="101"/>
  <c r="E36" i="101"/>
  <c r="D36" i="101"/>
  <c r="C36" i="101"/>
  <c r="O35" i="101"/>
  <c r="N35" i="101"/>
  <c r="M35" i="101"/>
  <c r="L35" i="101"/>
  <c r="K35" i="101"/>
  <c r="J35" i="101"/>
  <c r="I35" i="101"/>
  <c r="H35" i="101"/>
  <c r="G35" i="101"/>
  <c r="F35" i="101"/>
  <c r="E35" i="101"/>
  <c r="D35" i="101"/>
  <c r="C35" i="101"/>
  <c r="O34" i="101"/>
  <c r="N34" i="101"/>
  <c r="M34" i="101"/>
  <c r="L34" i="101"/>
  <c r="K34" i="101"/>
  <c r="J34" i="101"/>
  <c r="I34" i="101"/>
  <c r="H34" i="101"/>
  <c r="G34" i="101"/>
  <c r="F34" i="101"/>
  <c r="E34" i="101"/>
  <c r="D34" i="101"/>
  <c r="C34" i="101"/>
  <c r="O33" i="101"/>
  <c r="N33" i="101"/>
  <c r="M33" i="101"/>
  <c r="L33" i="101"/>
  <c r="K33" i="101"/>
  <c r="J33" i="101"/>
  <c r="I33" i="101"/>
  <c r="H33" i="101"/>
  <c r="G33" i="101"/>
  <c r="F33" i="101"/>
  <c r="E33" i="101"/>
  <c r="D33" i="101"/>
  <c r="C33" i="101"/>
  <c r="O32" i="101"/>
  <c r="N32" i="101"/>
  <c r="M32" i="101"/>
  <c r="L32" i="101"/>
  <c r="K32" i="101"/>
  <c r="J32" i="101"/>
  <c r="I32" i="101"/>
  <c r="H32" i="101"/>
  <c r="G32" i="101"/>
  <c r="F32" i="101"/>
  <c r="E32" i="101"/>
  <c r="D32" i="101"/>
  <c r="C32" i="101"/>
  <c r="O29" i="101"/>
  <c r="N29" i="101"/>
  <c r="M29" i="101"/>
  <c r="L29" i="101"/>
  <c r="K29" i="101"/>
  <c r="J29" i="101"/>
  <c r="I29" i="101"/>
  <c r="H29" i="101"/>
  <c r="G29" i="101"/>
  <c r="F29" i="101"/>
  <c r="E29" i="101"/>
  <c r="D29" i="101"/>
  <c r="C29" i="101"/>
  <c r="O28" i="101"/>
  <c r="N28" i="101"/>
  <c r="M28" i="101"/>
  <c r="L28" i="101"/>
  <c r="K28" i="101"/>
  <c r="J28" i="101"/>
  <c r="I28" i="101"/>
  <c r="H28" i="101"/>
  <c r="G28" i="101"/>
  <c r="F28" i="101"/>
  <c r="E28" i="101"/>
  <c r="D28" i="101"/>
  <c r="C28" i="101"/>
  <c r="O27" i="101"/>
  <c r="N27" i="101"/>
  <c r="M27" i="101"/>
  <c r="L27" i="101"/>
  <c r="K27" i="101"/>
  <c r="J27" i="101"/>
  <c r="I27" i="101"/>
  <c r="H27" i="101"/>
  <c r="G27" i="101"/>
  <c r="F27" i="101"/>
  <c r="E27" i="101"/>
  <c r="D27" i="101"/>
  <c r="C27" i="101"/>
  <c r="O26" i="101"/>
  <c r="N26" i="101"/>
  <c r="M26" i="101"/>
  <c r="L26" i="101"/>
  <c r="K26" i="101"/>
  <c r="J26" i="101"/>
  <c r="I26" i="101"/>
  <c r="H26" i="101"/>
  <c r="G26" i="101"/>
  <c r="F26" i="101"/>
  <c r="E26" i="101"/>
  <c r="D26" i="101"/>
  <c r="C26" i="101"/>
  <c r="O25" i="101"/>
  <c r="N25" i="101"/>
  <c r="M25" i="101"/>
  <c r="L25" i="101"/>
  <c r="K25" i="101"/>
  <c r="J25" i="101"/>
  <c r="I25" i="101"/>
  <c r="H25" i="101"/>
  <c r="G25" i="101"/>
  <c r="F25" i="101"/>
  <c r="E25" i="101"/>
  <c r="D25" i="101"/>
  <c r="C25" i="101"/>
  <c r="O22" i="101"/>
  <c r="N22" i="101"/>
  <c r="M22" i="101"/>
  <c r="L22" i="101"/>
  <c r="K22" i="101"/>
  <c r="J22" i="101"/>
  <c r="I22" i="101"/>
  <c r="H22" i="101"/>
  <c r="G22" i="101"/>
  <c r="F22" i="101"/>
  <c r="E22" i="101"/>
  <c r="D22" i="101"/>
  <c r="C22" i="101"/>
  <c r="O21" i="101"/>
  <c r="N21" i="101"/>
  <c r="M21" i="101"/>
  <c r="L21" i="101"/>
  <c r="K21" i="101"/>
  <c r="J21" i="101"/>
  <c r="I21" i="101"/>
  <c r="H21" i="101"/>
  <c r="G21" i="101"/>
  <c r="F21" i="101"/>
  <c r="E21" i="101"/>
  <c r="D21" i="101"/>
  <c r="C21" i="101"/>
  <c r="O20" i="101"/>
  <c r="N20" i="101"/>
  <c r="M20" i="101"/>
  <c r="L20" i="101"/>
  <c r="K20" i="101"/>
  <c r="J20" i="101"/>
  <c r="I20" i="101"/>
  <c r="H20" i="101"/>
  <c r="G20" i="101"/>
  <c r="F20" i="101"/>
  <c r="E20" i="101"/>
  <c r="D20" i="101"/>
  <c r="C20" i="101"/>
  <c r="O19" i="101"/>
  <c r="N19" i="101"/>
  <c r="M19" i="101"/>
  <c r="L19" i="101"/>
  <c r="K19" i="101"/>
  <c r="J19" i="101"/>
  <c r="I19" i="101"/>
  <c r="H19" i="101"/>
  <c r="G19" i="101"/>
  <c r="F19" i="101"/>
  <c r="E19" i="101"/>
  <c r="D19" i="101"/>
  <c r="C19" i="101"/>
  <c r="O18" i="101"/>
  <c r="N18" i="101"/>
  <c r="M18" i="101"/>
  <c r="L18" i="101"/>
  <c r="K18" i="101"/>
  <c r="J18" i="101"/>
  <c r="I18" i="101"/>
  <c r="H18" i="101"/>
  <c r="G18" i="101"/>
  <c r="F18" i="101"/>
  <c r="E18" i="101"/>
  <c r="D18" i="101"/>
  <c r="C18" i="101"/>
  <c r="O17" i="101"/>
  <c r="N17" i="101"/>
  <c r="M17" i="101"/>
  <c r="L17" i="101"/>
  <c r="K17" i="101"/>
  <c r="J17" i="101"/>
  <c r="I17" i="101"/>
  <c r="H17" i="101"/>
  <c r="G17" i="101"/>
  <c r="F17" i="101"/>
  <c r="E17" i="101"/>
  <c r="D17" i="101"/>
  <c r="C17" i="101"/>
  <c r="O16" i="101"/>
  <c r="N16" i="101"/>
  <c r="M16" i="101"/>
  <c r="L16" i="101"/>
  <c r="K16" i="101"/>
  <c r="J16" i="101"/>
  <c r="I16" i="101"/>
  <c r="H16" i="101"/>
  <c r="G16" i="101"/>
  <c r="F16" i="101"/>
  <c r="E16" i="101"/>
  <c r="D16" i="101"/>
  <c r="C16" i="101"/>
  <c r="O15" i="101"/>
  <c r="N15" i="101"/>
  <c r="M15" i="101"/>
  <c r="L15" i="101"/>
  <c r="K15" i="101"/>
  <c r="J15" i="101"/>
  <c r="I15" i="101"/>
  <c r="H15" i="101"/>
  <c r="G15" i="101"/>
  <c r="F15" i="101"/>
  <c r="E15" i="101"/>
  <c r="D15" i="101"/>
  <c r="C15" i="101"/>
  <c r="O14" i="101"/>
  <c r="N14" i="101"/>
  <c r="M14" i="101"/>
  <c r="L14" i="101"/>
  <c r="K14" i="101"/>
  <c r="J14" i="101"/>
  <c r="I14" i="101"/>
  <c r="H14" i="101"/>
  <c r="G14" i="101"/>
  <c r="F14" i="101"/>
  <c r="E14" i="101"/>
  <c r="D14" i="101"/>
  <c r="C14" i="101"/>
  <c r="O13" i="101"/>
  <c r="N13" i="101"/>
  <c r="M13" i="101"/>
  <c r="L13" i="101"/>
  <c r="K13" i="101"/>
  <c r="J13" i="101"/>
  <c r="I13" i="101"/>
  <c r="H13" i="101"/>
  <c r="G13" i="101"/>
  <c r="F13" i="101"/>
  <c r="E13" i="101"/>
  <c r="D13" i="101"/>
  <c r="C13" i="101"/>
  <c r="O12" i="101"/>
  <c r="N12" i="101"/>
  <c r="M12" i="101"/>
  <c r="L12" i="101"/>
  <c r="K12" i="101"/>
  <c r="J12" i="101"/>
  <c r="I12" i="101"/>
  <c r="H12" i="101"/>
  <c r="G12" i="101"/>
  <c r="F12" i="101"/>
  <c r="E12" i="101"/>
  <c r="D12" i="101"/>
  <c r="C12" i="101"/>
  <c r="O11" i="101"/>
  <c r="N11" i="101"/>
  <c r="M11" i="101"/>
  <c r="L11" i="101"/>
  <c r="K11" i="101"/>
  <c r="J11" i="101"/>
  <c r="I11" i="101"/>
  <c r="H11" i="101"/>
  <c r="G11" i="101"/>
  <c r="F11" i="101"/>
  <c r="E11" i="101"/>
  <c r="D11" i="101"/>
  <c r="C11" i="101"/>
  <c r="O10" i="101"/>
  <c r="N10" i="101"/>
  <c r="M10" i="101"/>
  <c r="L10" i="101"/>
  <c r="K10" i="101"/>
  <c r="J10" i="101"/>
  <c r="I10" i="101"/>
  <c r="H10" i="101"/>
  <c r="G10" i="101"/>
  <c r="F10" i="101"/>
  <c r="E10" i="101"/>
  <c r="D10" i="101"/>
  <c r="C10" i="101"/>
  <c r="O9" i="101"/>
  <c r="N9" i="101"/>
  <c r="M9" i="101"/>
  <c r="L9" i="101"/>
  <c r="K9" i="101"/>
  <c r="J9" i="101"/>
  <c r="I9" i="101"/>
  <c r="H9" i="101"/>
  <c r="G9" i="101"/>
  <c r="F9" i="101"/>
  <c r="E9" i="101"/>
  <c r="D9" i="101"/>
  <c r="C9" i="101"/>
  <c r="B18" i="1"/>
  <c r="B17" i="1"/>
  <c r="B13" i="1"/>
  <c r="B12" i="1"/>
  <c r="B11" i="1"/>
  <c r="B10" i="1"/>
  <c r="B9" i="1"/>
  <c r="B8" i="1"/>
  <c r="B4" i="116"/>
  <c r="A1" i="116"/>
  <c r="B4" i="115"/>
  <c r="A1" i="115"/>
  <c r="B4" i="114"/>
  <c r="A1" i="114"/>
  <c r="B4" i="113"/>
  <c r="A1" i="113"/>
  <c r="B4" i="112"/>
  <c r="A1" i="112"/>
  <c r="B4" i="111"/>
  <c r="A1" i="111"/>
  <c r="B4" i="110"/>
  <c r="A1" i="110"/>
  <c r="B4" i="106"/>
  <c r="A1" i="106"/>
  <c r="B4" i="105"/>
  <c r="A1" i="105"/>
  <c r="B4" i="104"/>
  <c r="A1" i="104"/>
  <c r="B4" i="102"/>
  <c r="A1" i="102"/>
  <c r="A22" i="1"/>
  <c r="B4" i="101"/>
  <c r="A1" i="101"/>
  <c r="B3" i="71"/>
  <c r="B4" i="71"/>
  <c r="B5" i="71"/>
  <c r="B6" i="71"/>
  <c r="B7" i="71"/>
  <c r="B8" i="71"/>
  <c r="B9" i="71"/>
  <c r="B10" i="71"/>
  <c r="B11" i="71"/>
  <c r="B12" i="71"/>
  <c r="B13" i="71"/>
  <c r="B14" i="71"/>
  <c r="B15" i="71"/>
  <c r="B16" i="71"/>
  <c r="B17" i="71"/>
  <c r="B18" i="71"/>
  <c r="B19" i="71"/>
  <c r="B20" i="71"/>
  <c r="B21" i="71"/>
</calcChain>
</file>

<file path=xl/sharedStrings.xml><?xml version="1.0" encoding="utf-8"?>
<sst xmlns="http://schemas.openxmlformats.org/spreadsheetml/2006/main" count="1703" uniqueCount="1395">
  <si>
    <t>Board of Governors of the Federal Reserve System</t>
  </si>
  <si>
    <t>Federal Deposit Insurance Corporation Office of the Comptroller of the Currency</t>
  </si>
  <si>
    <t>Dollar amounts in thousands</t>
  </si>
  <si>
    <t>Fiscal Year</t>
  </si>
  <si>
    <t>Fiscal Period</t>
  </si>
  <si>
    <t>Fiscal Period Type</t>
  </si>
  <si>
    <t>FY</t>
  </si>
  <si>
    <t>sequences</t>
  </si>
  <si>
    <t>Fundamental Sequence</t>
  </si>
  <si>
    <t>Federal Financial Institutions Examination Council</t>
  </si>
  <si>
    <t>Institution Name</t>
  </si>
  <si>
    <t>City</t>
  </si>
  <si>
    <t>State</t>
  </si>
  <si>
    <t>Zip Code</t>
  </si>
  <si>
    <t>FDIC Certificate Number</t>
  </si>
  <si>
    <t>Table of Contents</t>
  </si>
  <si>
    <t>fiscal_period_types</t>
  </si>
  <si>
    <t>statement_code</t>
  </si>
  <si>
    <t>Total Branch</t>
  </si>
  <si>
    <t>Ticker or RSSD ID</t>
  </si>
  <si>
    <t>Summary Ratios</t>
  </si>
  <si>
    <t>Earnings and Profitability</t>
  </si>
  <si>
    <t>Percent of Average Assets:</t>
  </si>
  <si>
    <t>  Interest Income (TE)</t>
  </si>
  <si>
    <t>  - Interest Expense</t>
  </si>
  <si>
    <t>    Net Interest Income (TE)</t>
  </si>
  <si>
    <t>  + Noninterest Income</t>
  </si>
  <si>
    <t>  - Noninterest Expense</t>
  </si>
  <si>
    <t>  - Provision: Loan &amp; Lease Losses</t>
  </si>
  <si>
    <t>    Pretax Operating Income (TE)</t>
  </si>
  <si>
    <t>  + Realized Gains/Losses Sec</t>
  </si>
  <si>
    <t>    Pretax Net Operating Income (TE)</t>
  </si>
  <si>
    <t>      Net Operating Income</t>
  </si>
  <si>
    <t>  Adjusted Net Operating Income</t>
  </si>
  <si>
    <t>  Net Inc Attrib to Min Ints</t>
  </si>
  <si>
    <t>  Net Income Adjusted Sub S</t>
  </si>
  <si>
    <t>    Net Income</t>
  </si>
  <si>
    <t>Margin Analysis:</t>
  </si>
  <si>
    <t>Avg Earning Assets to Avg Assets</t>
  </si>
  <si>
    <t>Avg Int-Bearing Funds to Avg Assets</t>
  </si>
  <si>
    <t>Int Inc (TE) to Avg Earn Assets</t>
  </si>
  <si>
    <t>Int Expense to Avg Earn Assets</t>
  </si>
  <si>
    <t>Net Int Inc-TE to Avg Earn Assets</t>
  </si>
  <si>
    <t>Loan &amp; Lease Analysis:</t>
  </si>
  <si>
    <t>Net Loss to Average Total LN&amp;LS</t>
  </si>
  <si>
    <t>Earnings Coverage of Net Losses (X)</t>
  </si>
  <si>
    <t>LN&amp;LS Allowance to LN&amp;LS Not HFS</t>
  </si>
  <si>
    <t>LN&amp;LS Allowance to Net Losses (X)</t>
  </si>
  <si>
    <t>LN&amp;LS Allowance to Total LN&amp;LS</t>
  </si>
  <si>
    <t>Total LN&amp;LS-90+ Days Past Due</t>
  </si>
  <si>
    <t>  -Nonaccrual</t>
  </si>
  <si>
    <t>  -Total</t>
  </si>
  <si>
    <t>Liquidity</t>
  </si>
  <si>
    <t>Net Non Core Fund Dep New $250M</t>
  </si>
  <si>
    <t>Net Loans &amp; Leases to Assets</t>
  </si>
  <si>
    <t>Capitalization</t>
  </si>
  <si>
    <t>Tier One Leverage Capital</t>
  </si>
  <si>
    <t>Cash Dividends to Net Income</t>
  </si>
  <si>
    <t>Retained Earnings to Avg Total Equity</t>
  </si>
  <si>
    <t>Rest+Nonac+RE Acq to Eqcap+ALLL</t>
  </si>
  <si>
    <t>Growth Rates</t>
  </si>
  <si>
    <t>Total Assets</t>
  </si>
  <si>
    <t>Tier One Capital</t>
  </si>
  <si>
    <t>Net Loans &amp; Leases</t>
  </si>
  <si>
    <t>Short Term Investments</t>
  </si>
  <si>
    <t>Short Term Non Core Funding</t>
  </si>
  <si>
    <t>Average Total Assets</t>
  </si>
  <si>
    <t>Total Equity Capital</t>
  </si>
  <si>
    <t>Net Income</t>
  </si>
  <si>
    <t>TTM</t>
  </si>
  <si>
    <t>Retained Earnings</t>
  </si>
  <si>
    <t>Income Statement</t>
  </si>
  <si>
    <t>NonIntIncExpYields</t>
  </si>
  <si>
    <t>Percent of Average Assets</t>
  </si>
  <si>
    <t>Other Income &amp; Expense Ratios:</t>
  </si>
  <si>
    <t>Yield on or Cost of:</t>
  </si>
  <si>
    <t>Non-Interest Income/Expense/Yields</t>
  </si>
  <si>
    <t>Balance Sheet</t>
  </si>
  <si>
    <t xml:space="preserve">  Home Equity (1-4 Family)</t>
  </si>
  <si>
    <t>UBPRE262</t>
  </si>
  <si>
    <t xml:space="preserve">  Credit Card</t>
  </si>
  <si>
    <t>UBPRE263</t>
  </si>
  <si>
    <t xml:space="preserve">  Commercial RE Secured by RE</t>
  </si>
  <si>
    <t>UBPRE264</t>
  </si>
  <si>
    <t xml:space="preserve">    1-4 Family Residential</t>
  </si>
  <si>
    <t>UBPRE218</t>
  </si>
  <si>
    <t xml:space="preserve">    Comml RE, Oth Const &amp; Land</t>
  </si>
  <si>
    <t>UBPRE225</t>
  </si>
  <si>
    <t xml:space="preserve">  Commercial RE Not Secured by RE</t>
  </si>
  <si>
    <t>UBPRE265</t>
  </si>
  <si>
    <t xml:space="preserve">  All Other </t>
  </si>
  <si>
    <t>UBPRE266</t>
  </si>
  <si>
    <t xml:space="preserve">    Total LN&amp;LS Commitments</t>
  </si>
  <si>
    <t>UBPRE267</t>
  </si>
  <si>
    <t xml:space="preserve">  Securities Underwriting</t>
  </si>
  <si>
    <t>UBPRE268</t>
  </si>
  <si>
    <t>Standby Letters of Credit</t>
  </si>
  <si>
    <t>UBPRE269</t>
  </si>
  <si>
    <t xml:space="preserve">  Amount Conveyed to Others</t>
  </si>
  <si>
    <t>UBPRE270</t>
  </si>
  <si>
    <t>Commercial Letters of Credit</t>
  </si>
  <si>
    <t>UBPRE271</t>
  </si>
  <si>
    <t>Assets Securitized or Sold w/Rec</t>
  </si>
  <si>
    <t>UBPRE272</t>
  </si>
  <si>
    <t xml:space="preserve">  Amount of Recourse Exposure</t>
  </si>
  <si>
    <t>UBPRE273</t>
  </si>
  <si>
    <t>Credit Derivatives Bank as Guarantor</t>
  </si>
  <si>
    <t>UBPRE274</t>
  </si>
  <si>
    <t>Credit Derivatives Bank as Beneficiary</t>
  </si>
  <si>
    <t>UBPRE275</t>
  </si>
  <si>
    <t>All Oth Off-Balance Sheet Items</t>
  </si>
  <si>
    <t>UBPRE276</t>
  </si>
  <si>
    <t>Off-Balance Sheet Items</t>
  </si>
  <si>
    <t>UBPRE277</t>
  </si>
  <si>
    <t>UBPR3814</t>
  </si>
  <si>
    <t>UBPR3815</t>
  </si>
  <si>
    <t>UBPR3816</t>
  </si>
  <si>
    <t>UBPRF164</t>
  </si>
  <si>
    <t xml:space="preserve">    Commercial RE, Oth Const &amp; Land</t>
  </si>
  <si>
    <t>UBPRF165</t>
  </si>
  <si>
    <t>UBPR6550</t>
  </si>
  <si>
    <t>UBPR3818</t>
  </si>
  <si>
    <t>UBPR3817</t>
  </si>
  <si>
    <t>Memo: Unused Commit w/mat GT 1 YR</t>
  </si>
  <si>
    <t>UBPR3833</t>
  </si>
  <si>
    <t>UBPRD655</t>
  </si>
  <si>
    <t>UBPRE226</t>
  </si>
  <si>
    <t>UBPR3411</t>
  </si>
  <si>
    <t>Assets Securitized or Sold w/recourse</t>
  </si>
  <si>
    <t>UBPRE227</t>
  </si>
  <si>
    <t>UBPRE228</t>
  </si>
  <si>
    <t>UBPRA534</t>
  </si>
  <si>
    <t>UBPRA535</t>
  </si>
  <si>
    <t>UBPRD658</t>
  </si>
  <si>
    <t>UBPRE229</t>
  </si>
  <si>
    <t>Off Balance Sheet Items</t>
  </si>
  <si>
    <t>Outstanding (% of Total Assets)</t>
  </si>
  <si>
    <t>Outstanding ($000)</t>
  </si>
  <si>
    <t>Derivative Instruments</t>
  </si>
  <si>
    <t>Derivative Contracts</t>
  </si>
  <si>
    <t>UBPRE278</t>
  </si>
  <si>
    <t xml:space="preserve">  Interest Rate Contracts</t>
  </si>
  <si>
    <t>UBPRE279</t>
  </si>
  <si>
    <t xml:space="preserve">  Foreign Exchange Contracts</t>
  </si>
  <si>
    <t>UBPRE280</t>
  </si>
  <si>
    <t xml:space="preserve">  Equity, Comm &amp; Oth Contracts</t>
  </si>
  <si>
    <t>UBPRE281</t>
  </si>
  <si>
    <t xml:space="preserve">  Future and Forwards</t>
  </si>
  <si>
    <t>UBPRE282</t>
  </si>
  <si>
    <t xml:space="preserve">  Written Options</t>
  </si>
  <si>
    <t>UBPRE283</t>
  </si>
  <si>
    <t xml:space="preserve">    Exchange Traded</t>
  </si>
  <si>
    <t>UBPRE284</t>
  </si>
  <si>
    <t xml:space="preserve">    Over-the-Counter</t>
  </si>
  <si>
    <t>UBPRE285</t>
  </si>
  <si>
    <t xml:space="preserve">  Purchased Options</t>
  </si>
  <si>
    <t>UBPRE286</t>
  </si>
  <si>
    <t>UBPRE287</t>
  </si>
  <si>
    <t>UBPRE288</t>
  </si>
  <si>
    <t xml:space="preserve">  Swaps</t>
  </si>
  <si>
    <t>UBPRE289</t>
  </si>
  <si>
    <t>Held-for-Trading</t>
  </si>
  <si>
    <t>UBPRE290</t>
  </si>
  <si>
    <t>UBPRA126</t>
  </si>
  <si>
    <t>UBPRA127</t>
  </si>
  <si>
    <t>UBPRD508</t>
  </si>
  <si>
    <t>Non-Traded</t>
  </si>
  <si>
    <t>UBPRE291</t>
  </si>
  <si>
    <t>UBPR8725</t>
  </si>
  <si>
    <t>UBPR8726</t>
  </si>
  <si>
    <t>UBPRE292</t>
  </si>
  <si>
    <t xml:space="preserve">  Memo: Marked-to-Market</t>
  </si>
  <si>
    <t>UBPRE293</t>
  </si>
  <si>
    <t>Derivative Contracts (RBC Def)</t>
  </si>
  <si>
    <t>UBPRE294</t>
  </si>
  <si>
    <t xml:space="preserve">  One Year or Less</t>
  </si>
  <si>
    <t>UBPRE295</t>
  </si>
  <si>
    <t xml:space="preserve">  Over 1 Year to 5 Years</t>
  </si>
  <si>
    <t>UBPRE296</t>
  </si>
  <si>
    <t xml:space="preserve">  Over 5 Years</t>
  </si>
  <si>
    <t>UBPRE297</t>
  </si>
  <si>
    <t>Gross Negative Fair Value</t>
  </si>
  <si>
    <t>UBPRE298</t>
  </si>
  <si>
    <t>Gross Positive Fair Value</t>
  </si>
  <si>
    <t>UBPRE299</t>
  </si>
  <si>
    <t xml:space="preserve">  Held-for-Trading</t>
  </si>
  <si>
    <t>UBPRE300</t>
  </si>
  <si>
    <t xml:space="preserve">  Non-Traded</t>
  </si>
  <si>
    <t>UBPRE301</t>
  </si>
  <si>
    <t>UBPRE302</t>
  </si>
  <si>
    <t>Current Credit Exposure All Derivatives</t>
  </si>
  <si>
    <t>UBPR8764</t>
  </si>
  <si>
    <t>Credit Losses Off_BS Derivatives</t>
  </si>
  <si>
    <t>UBPRA251</t>
  </si>
  <si>
    <t xml:space="preserve">  Fair Value Carried as Assets</t>
  </si>
  <si>
    <t>UBPR3530</t>
  </si>
  <si>
    <t xml:space="preserve">  Increase (Decr) in Interest Inc</t>
  </si>
  <si>
    <t>UBPR8761</t>
  </si>
  <si>
    <t xml:space="preserve">  Increase (Decr) in Interest Exp</t>
  </si>
  <si>
    <t>UBPR8762</t>
  </si>
  <si>
    <t xml:space="preserve">  Increase (Decr) in Net Income</t>
  </si>
  <si>
    <t>UBPRE303</t>
  </si>
  <si>
    <t>Notional Amount ($000)</t>
  </si>
  <si>
    <t>Derivatives Position</t>
  </si>
  <si>
    <t>Past Due Derivatives Instruments:</t>
  </si>
  <si>
    <t>Impact Nontraded Derivatives Contracts:</t>
  </si>
  <si>
    <t>Derivative Analysis</t>
  </si>
  <si>
    <t>Interest Rate Contracts</t>
  </si>
  <si>
    <t>UBPRE304</t>
  </si>
  <si>
    <t>Foreign Exchange Contracts</t>
  </si>
  <si>
    <t>UBPRE305</t>
  </si>
  <si>
    <t>Equity, Comm &amp; Oth Contracts</t>
  </si>
  <si>
    <t>UBPRE306</t>
  </si>
  <si>
    <t xml:space="preserve">  Futures and Forwards</t>
  </si>
  <si>
    <t>UBPRE307</t>
  </si>
  <si>
    <t>UBPRE308</t>
  </si>
  <si>
    <t>UBPRE309</t>
  </si>
  <si>
    <t>UBPRE310</t>
  </si>
  <si>
    <t>UBPRE311</t>
  </si>
  <si>
    <t>UBPRE312</t>
  </si>
  <si>
    <t>UBPRE313</t>
  </si>
  <si>
    <t>UBPRE314</t>
  </si>
  <si>
    <t>UBPRE315</t>
  </si>
  <si>
    <t>UBPRE316</t>
  </si>
  <si>
    <t>UBPRE317</t>
  </si>
  <si>
    <t>UBPRE318</t>
  </si>
  <si>
    <t>UBPRE319</t>
  </si>
  <si>
    <t>UBPRE320</t>
  </si>
  <si>
    <t>UBPRE321</t>
  </si>
  <si>
    <t>UBPRE322</t>
  </si>
  <si>
    <t>UBPRE323</t>
  </si>
  <si>
    <t>UBPRE324</t>
  </si>
  <si>
    <t>UBPRE325</t>
  </si>
  <si>
    <t>UBPRE326</t>
  </si>
  <si>
    <t>UBPRE327</t>
  </si>
  <si>
    <t>UBPRE328</t>
  </si>
  <si>
    <t>UBPRE329</t>
  </si>
  <si>
    <t xml:space="preserve">  Gross Negative Fair Value (x)</t>
  </si>
  <si>
    <t>UBPRE330</t>
  </si>
  <si>
    <t xml:space="preserve">  Gross Positive Fair Value (x)</t>
  </si>
  <si>
    <t>UBPRE331</t>
  </si>
  <si>
    <t xml:space="preserve">    Held-for-Trading (x)</t>
  </si>
  <si>
    <t>UBPRE332</t>
  </si>
  <si>
    <t xml:space="preserve">    Non-Traded (x)</t>
  </si>
  <si>
    <t>UBPRE333</t>
  </si>
  <si>
    <t xml:space="preserve">    Non-Traded Marked-to-Mkt(x)</t>
  </si>
  <si>
    <t>UBPRE334</t>
  </si>
  <si>
    <t>Current Credit Exposure (x)</t>
  </si>
  <si>
    <t>UBPRE335</t>
  </si>
  <si>
    <t>Credit Losses on Derivatives</t>
  </si>
  <si>
    <t>UBPRE336</t>
  </si>
  <si>
    <t>UBPRE337</t>
  </si>
  <si>
    <t>Cur Credit Exposure/Risk WT AST</t>
  </si>
  <si>
    <t>UBPRE338</t>
  </si>
  <si>
    <t>Credit Losses on Derivatives/CR Allow</t>
  </si>
  <si>
    <t>UBPRE339</t>
  </si>
  <si>
    <t xml:space="preserve">  Incr(Dec) Interest Inc/Net Inc</t>
  </si>
  <si>
    <t>UBPRE341</t>
  </si>
  <si>
    <t xml:space="preserve">  Incr(Dec) Interest Exp/Net Inc</t>
  </si>
  <si>
    <t>UBPRE342</t>
  </si>
  <si>
    <t xml:space="preserve">  Incr(Dec) Nonint ALLOC/Net Inc</t>
  </si>
  <si>
    <t>UBPRE343</t>
  </si>
  <si>
    <t xml:space="preserve">  Incr(Dec) Net Income/Net Inc</t>
  </si>
  <si>
    <t>UBPRE344</t>
  </si>
  <si>
    <t>Percent of Notional Amounts</t>
  </si>
  <si>
    <t>By Tier One Capital:</t>
  </si>
  <si>
    <t>Past Due Derivative Instruments:</t>
  </si>
  <si>
    <t>Other Ratios:</t>
  </si>
  <si>
    <t>Loans Held For Sale</t>
  </si>
  <si>
    <t>UBPRE345</t>
  </si>
  <si>
    <t>Loans Not Held For Sale</t>
  </si>
  <si>
    <t>UBPRE346</t>
  </si>
  <si>
    <t xml:space="preserve">  Less: LN&amp;LS Allowance</t>
  </si>
  <si>
    <t>UBPRE347</t>
  </si>
  <si>
    <t xml:space="preserve">    Net Loans &amp; Leases</t>
  </si>
  <si>
    <t>UBPRE348</t>
  </si>
  <si>
    <t>Interest-Bearing Bank Balances</t>
  </si>
  <si>
    <t>UBPRE349</t>
  </si>
  <si>
    <t>Federal Funds Sold &amp; Resales</t>
  </si>
  <si>
    <t>UBPRE350</t>
  </si>
  <si>
    <t>Trading Account Assets</t>
  </si>
  <si>
    <t>UBPRE351</t>
  </si>
  <si>
    <t>Held-to-Maturity Securities</t>
  </si>
  <si>
    <t>UBPRE352</t>
  </si>
  <si>
    <t>Available-for-Sale Securities</t>
  </si>
  <si>
    <t>UBPRE353</t>
  </si>
  <si>
    <t xml:space="preserve">    Total Earning Assets</t>
  </si>
  <si>
    <t>UBPRE354</t>
  </si>
  <si>
    <t>Nonint Cash &amp; Due From Banks</t>
  </si>
  <si>
    <t>UBPRE355</t>
  </si>
  <si>
    <t>Premises, Fix Assts &amp; Cap Leases</t>
  </si>
  <si>
    <t>UBPRE356</t>
  </si>
  <si>
    <t>Other Real Estate Owned</t>
  </si>
  <si>
    <t>UBPRE357</t>
  </si>
  <si>
    <t>Dir &amp; Indir Inv RE Ventures</t>
  </si>
  <si>
    <t>UBPRJ249</t>
  </si>
  <si>
    <t>Inv in Unconsolidated Subs</t>
  </si>
  <si>
    <t>UBPRJ250</t>
  </si>
  <si>
    <t>Acceptances &amp; Other Assets</t>
  </si>
  <si>
    <t>UBPRE358</t>
  </si>
  <si>
    <t xml:space="preserve">  Total Non-Earning Assets</t>
  </si>
  <si>
    <t>UBPRE359</t>
  </si>
  <si>
    <t xml:space="preserve">    Total Assets</t>
  </si>
  <si>
    <t>UBPRE360</t>
  </si>
  <si>
    <t>UBPRE361</t>
  </si>
  <si>
    <t>Demand Deposits</t>
  </si>
  <si>
    <t>UBPRE362</t>
  </si>
  <si>
    <t>All NOW &amp; ATS Accounts</t>
  </si>
  <si>
    <t>UBPRE363</t>
  </si>
  <si>
    <t>Money Market Deposit Accounts</t>
  </si>
  <si>
    <t>UBPRE364</t>
  </si>
  <si>
    <t>Other Savings Deposits</t>
  </si>
  <si>
    <t>UBPRE365</t>
  </si>
  <si>
    <t>Time Deps At or Below Insurance Limit</t>
  </si>
  <si>
    <t>UBPRK440</t>
  </si>
  <si>
    <t xml:space="preserve">    Core Deposits</t>
  </si>
  <si>
    <t>UBPRK443</t>
  </si>
  <si>
    <t>Fully Insured Brokered Deposits</t>
  </si>
  <si>
    <t>UBPRK441</t>
  </si>
  <si>
    <t>Time Deps Above Insurance Limit</t>
  </si>
  <si>
    <t>UBPRK444</t>
  </si>
  <si>
    <t>Deposits in Foreign Offices</t>
  </si>
  <si>
    <t>UBPRE369</t>
  </si>
  <si>
    <t xml:space="preserve">    Total Deposits</t>
  </si>
  <si>
    <t>UBPRE370</t>
  </si>
  <si>
    <t>Federal Funds Purch &amp; Repos</t>
  </si>
  <si>
    <t>UBPRE371</t>
  </si>
  <si>
    <t>Total Fed Home Loan Borrowings</t>
  </si>
  <si>
    <t>UBPRE372</t>
  </si>
  <si>
    <t>Total Other Borrowings</t>
  </si>
  <si>
    <t>UBPRE373</t>
  </si>
  <si>
    <t xml:space="preserve">    Memo: Sht Ter N Core Funding</t>
  </si>
  <si>
    <t>UBPRE374</t>
  </si>
  <si>
    <t>Acceptances &amp; Other Liabilities</t>
  </si>
  <si>
    <t>UBPRE375</t>
  </si>
  <si>
    <t xml:space="preserve">    Total Liabilities (Incl Mortg)</t>
  </si>
  <si>
    <t>UBPRE376</t>
  </si>
  <si>
    <t>Subordinated Notes &amp; Debentures</t>
  </si>
  <si>
    <t>UBPRE377</t>
  </si>
  <si>
    <t>Total Bank Capital &amp; Min Int</t>
  </si>
  <si>
    <t>UBPRJ243</t>
  </si>
  <si>
    <t xml:space="preserve">    Total Liabilities &amp; Capital</t>
  </si>
  <si>
    <t>UBPRE379</t>
  </si>
  <si>
    <t>Memo: All Brokered Deposits</t>
  </si>
  <si>
    <t>UBPRE380</t>
  </si>
  <si>
    <t xml:space="preserve">    Insured Brokered Deposits</t>
  </si>
  <si>
    <t>UBPRE381</t>
  </si>
  <si>
    <t xml:space="preserve">    Loans HFS as a % Loans</t>
  </si>
  <si>
    <t>UBPRE383</t>
  </si>
  <si>
    <t>Loss Provision to Average Assets</t>
  </si>
  <si>
    <t>UBPRE006</t>
  </si>
  <si>
    <t>Recoveries to Prior Credit Loss</t>
  </si>
  <si>
    <t>UBPRE388</t>
  </si>
  <si>
    <t>UBPRE019</t>
  </si>
  <si>
    <t>Gross Loss to Average Total LN&amp;LS</t>
  </si>
  <si>
    <t>UBPRE390</t>
  </si>
  <si>
    <t>Recoveries to Average Total LN&amp;LS</t>
  </si>
  <si>
    <t>UBPRE391</t>
  </si>
  <si>
    <t>UBPRE022</t>
  </si>
  <si>
    <t>UBPRE023</t>
  </si>
  <si>
    <t>UBPRE021</t>
  </si>
  <si>
    <t>LN&amp;LS Allowance to Nonaccrual LN&amp;LS (X)</t>
  </si>
  <si>
    <t>UBPRE395</t>
  </si>
  <si>
    <t>UBPRE020</t>
  </si>
  <si>
    <t>Real Estate Loans</t>
  </si>
  <si>
    <t>UBPRE397</t>
  </si>
  <si>
    <t>Construction &amp; Land Development</t>
  </si>
  <si>
    <t>UBPRE399</t>
  </si>
  <si>
    <t xml:space="preserve">  1-4 Family Construction</t>
  </si>
  <si>
    <t>UBPRE543</t>
  </si>
  <si>
    <t xml:space="preserve">  Other Construction &amp; Land</t>
  </si>
  <si>
    <t>UBPRE586</t>
  </si>
  <si>
    <t>Secured by Farmland</t>
  </si>
  <si>
    <t>UBPRE400</t>
  </si>
  <si>
    <t>1-4 Family Residential Loans</t>
  </si>
  <si>
    <t>UBPRE401</t>
  </si>
  <si>
    <t xml:space="preserve">  Home Equity Loans</t>
  </si>
  <si>
    <t>UBPRE402</t>
  </si>
  <si>
    <t xml:space="preserve">  1-4 Family 1st Lien Loans</t>
  </si>
  <si>
    <t>UBPRFB60</t>
  </si>
  <si>
    <t>1-4 Family Jr Lien Loans</t>
  </si>
  <si>
    <t>UBPRFB61</t>
  </si>
  <si>
    <t xml:space="preserve">  Multifamily Loans</t>
  </si>
  <si>
    <t>UBPRE404</t>
  </si>
  <si>
    <t>Non-Farm Non-Residential Mtg</t>
  </si>
  <si>
    <t>UBPRE405</t>
  </si>
  <si>
    <t xml:space="preserve">  Owner Occupied Nonfarm Nonresidential</t>
  </si>
  <si>
    <t>UBPRE587</t>
  </si>
  <si>
    <t>Other Nonfarm Nonresidential</t>
  </si>
  <si>
    <t>UBPRE594</t>
  </si>
  <si>
    <t>RE Loans in Foreign Offices</t>
  </si>
  <si>
    <t>UBPRE406</t>
  </si>
  <si>
    <t>Financial Institution Loans</t>
  </si>
  <si>
    <t>UBPRFB66</t>
  </si>
  <si>
    <t>Agricultural Loans</t>
  </si>
  <si>
    <t>UBPRE407</t>
  </si>
  <si>
    <t>Commercial and Industrial Loans</t>
  </si>
  <si>
    <t>UBPRE408</t>
  </si>
  <si>
    <t>Loans to Individuals</t>
  </si>
  <si>
    <t>UBPRE410</t>
  </si>
  <si>
    <t>Credit Card Plans</t>
  </si>
  <si>
    <t>UBPRE411</t>
  </si>
  <si>
    <t>Auto Loans</t>
  </si>
  <si>
    <t>UBPRFB64</t>
  </si>
  <si>
    <t>Non-Depository, Other &amp; Muni Loans</t>
  </si>
  <si>
    <t>UBPRE412</t>
  </si>
  <si>
    <t>Loans to Foreign Governments</t>
  </si>
  <si>
    <t>UBPRE413</t>
  </si>
  <si>
    <t>Lease Financing</t>
  </si>
  <si>
    <t>UBPRE409</t>
  </si>
  <si>
    <t>Leases to Individuals</t>
  </si>
  <si>
    <t>UBPRFB69</t>
  </si>
  <si>
    <t>All Other Leases</t>
  </si>
  <si>
    <t>UBPRFB70</t>
  </si>
  <si>
    <t>Loans to Finance Comml Real Estate</t>
  </si>
  <si>
    <t>UBPRE398</t>
  </si>
  <si>
    <t>Gross Credit Losses</t>
  </si>
  <si>
    <t>UBPR4635</t>
  </si>
  <si>
    <t xml:space="preserve">  Memo: Loans HFS Write-down</t>
  </si>
  <si>
    <t>UBPRD582</t>
  </si>
  <si>
    <t xml:space="preserve">    Net Credit Losses</t>
  </si>
  <si>
    <t>UBPR1795</t>
  </si>
  <si>
    <t>Other Adjustments</t>
  </si>
  <si>
    <t>UBPRC233</t>
  </si>
  <si>
    <t xml:space="preserve">    LN&amp;LS Allowance</t>
  </si>
  <si>
    <t>UBPR3123</t>
  </si>
  <si>
    <t>Average Total Loans &amp; Leases</t>
  </si>
  <si>
    <t>UBPRE386</t>
  </si>
  <si>
    <t>UBPRE420</t>
  </si>
  <si>
    <t>Construction &amp; Development</t>
  </si>
  <si>
    <t>UBPRE414</t>
  </si>
  <si>
    <t xml:space="preserve">   1-4 Family Construction</t>
  </si>
  <si>
    <t>UBPRE393</t>
  </si>
  <si>
    <t xml:space="preserve">  Other Const &amp; Land Development</t>
  </si>
  <si>
    <t>UBPRE394</t>
  </si>
  <si>
    <t xml:space="preserve">  Secured by Farmland</t>
  </si>
  <si>
    <t>UBPRE417</t>
  </si>
  <si>
    <t>1-4 Family Residential</t>
  </si>
  <si>
    <t>UBPRE415</t>
  </si>
  <si>
    <t>UBPRE416</t>
  </si>
  <si>
    <t>1-4 Family 1st Lien Loans</t>
  </si>
  <si>
    <t>UBPRFB71</t>
  </si>
  <si>
    <t>UBPRFB72</t>
  </si>
  <si>
    <t xml:space="preserve">  Multifamily</t>
  </si>
  <si>
    <t>UBPRE418</t>
  </si>
  <si>
    <t xml:space="preserve">  Non-Farm Non-Residential</t>
  </si>
  <si>
    <t>UBPRE419</t>
  </si>
  <si>
    <t xml:space="preserve">    Owner Occupied Non-Farm Non-Residential</t>
  </si>
  <si>
    <t>UBPRE396</t>
  </si>
  <si>
    <t xml:space="preserve">    Other Non-Farm Non-Residential</t>
  </si>
  <si>
    <t>UBPRE389</t>
  </si>
  <si>
    <t>UBPRFB74</t>
  </si>
  <si>
    <t>UBPRE421</t>
  </si>
  <si>
    <t>UBPRE422</t>
  </si>
  <si>
    <t>Commercial &amp; Industrial Loans</t>
  </si>
  <si>
    <t>UBPRE423</t>
  </si>
  <si>
    <t>UBPRE424</t>
  </si>
  <si>
    <t>Credit Card Loans</t>
  </si>
  <si>
    <t>UBPRE425</t>
  </si>
  <si>
    <t>UBPRFB75</t>
  </si>
  <si>
    <t>Municipal Loans</t>
  </si>
  <si>
    <t>UBPRE426</t>
  </si>
  <si>
    <t>Non-Depository and Other</t>
  </si>
  <si>
    <t>UBPRE429</t>
  </si>
  <si>
    <t>UBPRE431</t>
  </si>
  <si>
    <t>Lease Financing Receivables</t>
  </si>
  <si>
    <t>UBPRE430</t>
  </si>
  <si>
    <t>UBPRFB76</t>
  </si>
  <si>
    <t>UBPRFB77</t>
  </si>
  <si>
    <t>Loans to Finance Comml Real Est</t>
  </si>
  <si>
    <t>UBPRE432</t>
  </si>
  <si>
    <t>Foreign Office Loans &amp; Leases</t>
  </si>
  <si>
    <t>UBPRE428</t>
  </si>
  <si>
    <t xml:space="preserve">  Loans &amp; Lease Commitments</t>
  </si>
  <si>
    <t>UBPRE433</t>
  </si>
  <si>
    <t xml:space="preserve">  Officer, Shareholder Loans</t>
  </si>
  <si>
    <t>UBPRE434</t>
  </si>
  <si>
    <t>Officer, Shareholder Loans to Assets</t>
  </si>
  <si>
    <t>UBPRE435</t>
  </si>
  <si>
    <t>UBPRE436</t>
  </si>
  <si>
    <t xml:space="preserve">  Farmland</t>
  </si>
  <si>
    <t>UBPRE437</t>
  </si>
  <si>
    <t xml:space="preserve">  1-4 Family</t>
  </si>
  <si>
    <t>UBPRE438</t>
  </si>
  <si>
    <t>UBPRE439</t>
  </si>
  <si>
    <t>UBPRE440</t>
  </si>
  <si>
    <t xml:space="preserve">  Foreclosed GNMA</t>
  </si>
  <si>
    <t>UBPRD638</t>
  </si>
  <si>
    <t xml:space="preserve">  Foreign Offices</t>
  </si>
  <si>
    <t>UBPRE441</t>
  </si>
  <si>
    <t>Subtotal</t>
  </si>
  <si>
    <t>UBPRE442</t>
  </si>
  <si>
    <t xml:space="preserve">  Direct and Indirect Inv</t>
  </si>
  <si>
    <t>UBPRE443</t>
  </si>
  <si>
    <t xml:space="preserve">    Total</t>
  </si>
  <si>
    <t>UBPRE444</t>
  </si>
  <si>
    <t xml:space="preserve">  Mortgage Servicing w/ Recourse</t>
  </si>
  <si>
    <t>UBPRE445</t>
  </si>
  <si>
    <t xml:space="preserve">  Mortgage Servicing w/o Recourse</t>
  </si>
  <si>
    <t>UBPRE446</t>
  </si>
  <si>
    <t xml:space="preserve">  Other Financial Assets</t>
  </si>
  <si>
    <t>UBPRE447</t>
  </si>
  <si>
    <t>UBPRE448</t>
  </si>
  <si>
    <t>Liabilities</t>
  </si>
  <si>
    <t>Analysis Ratios</t>
  </si>
  <si>
    <t>Net Losses by Type of LN&amp;LS</t>
  </si>
  <si>
    <t>Supplemental:</t>
  </si>
  <si>
    <t>Change: Credit Allowance ($000)</t>
  </si>
  <si>
    <t>Loan Mix, % Average Gross LN&amp;LS</t>
  </si>
  <si>
    <t>Asset Servicing % Assets</t>
  </si>
  <si>
    <t>Other Real Estate Owned % Assets</t>
  </si>
  <si>
    <t>Memorandum (% of Avg Tot Loans):</t>
  </si>
  <si>
    <t>Balance Sheet %</t>
  </si>
  <si>
    <t>Balance Sheet % and Allowance &amp; Loan Mix</t>
  </si>
  <si>
    <t>UBPRE884</t>
  </si>
  <si>
    <t>UBPRD490</t>
  </si>
  <si>
    <t>UBPRE632</t>
  </si>
  <si>
    <t>UBPRE657</t>
  </si>
  <si>
    <t>UBPRE880</t>
  </si>
  <si>
    <t>UBPRE658</t>
  </si>
  <si>
    <t>UBPRE663</t>
  </si>
  <si>
    <t>UBPRFB78</t>
  </si>
  <si>
    <t>UBPRFB79</t>
  </si>
  <si>
    <t>UBPRE881</t>
  </si>
  <si>
    <t>UBPRE882</t>
  </si>
  <si>
    <t>UBPRE883</t>
  </si>
  <si>
    <t>UBPRE392</t>
  </si>
  <si>
    <t>UBPRFB80</t>
  </si>
  <si>
    <t>UBPRE885</t>
  </si>
  <si>
    <t>UBPRE886</t>
  </si>
  <si>
    <t>UBPRE887</t>
  </si>
  <si>
    <t>UBPRE888</t>
  </si>
  <si>
    <t>UBPRE889</t>
  </si>
  <si>
    <t>UBPRFB81</t>
  </si>
  <si>
    <t>UBPRE890</t>
  </si>
  <si>
    <t>UBPRE892</t>
  </si>
  <si>
    <t>UBPRE894</t>
  </si>
  <si>
    <t>UBPRE893</t>
  </si>
  <si>
    <t>UBPRFB82</t>
  </si>
  <si>
    <t>UBPRFB83</t>
  </si>
  <si>
    <t>Loans to Finance Commercial Real Estate</t>
  </si>
  <si>
    <t>UBPRE895</t>
  </si>
  <si>
    <t>UBPRE891</t>
  </si>
  <si>
    <t>Non-owner OCC Commercial Real Estate</t>
  </si>
  <si>
    <t>UBPRD647</t>
  </si>
  <si>
    <t>Total Commercial Real Estate</t>
  </si>
  <si>
    <t>UBPRD649</t>
  </si>
  <si>
    <t>UBPRD646</t>
  </si>
  <si>
    <t>UBPRD648</t>
  </si>
  <si>
    <t>UBPRD650</t>
  </si>
  <si>
    <t>Real Estate LNS-90+ Days P/D</t>
  </si>
  <si>
    <t>UBPRE473</t>
  </si>
  <si>
    <t xml:space="preserve">             -Nonaccrual</t>
  </si>
  <si>
    <t>UBPRE474</t>
  </si>
  <si>
    <t xml:space="preserve">             -Total</t>
  </si>
  <si>
    <t>UBPRE475</t>
  </si>
  <si>
    <t xml:space="preserve">             -30-89 DAYS P/D</t>
  </si>
  <si>
    <t>UBPRE476</t>
  </si>
  <si>
    <t>Const &amp; Land Dev-90+ Days P/D</t>
  </si>
  <si>
    <t>UBPRE481</t>
  </si>
  <si>
    <t>UBPRE482</t>
  </si>
  <si>
    <t>UBPRE483</t>
  </si>
  <si>
    <t>UBPRE484</t>
  </si>
  <si>
    <t>1-4 Fam Cons &amp; L Dev-90+ Days P/D</t>
  </si>
  <si>
    <t>UBPRE505</t>
  </si>
  <si>
    <t>UBPRE506</t>
  </si>
  <si>
    <t>UBPRE507</t>
  </si>
  <si>
    <t>UBPRE508</t>
  </si>
  <si>
    <t>Other Const &amp; Land Dev-90+ Days P/D</t>
  </si>
  <si>
    <t>UBPRE509</t>
  </si>
  <si>
    <t>UBPRE510</t>
  </si>
  <si>
    <t>UBPRE511</t>
  </si>
  <si>
    <t>UBPRE512</t>
  </si>
  <si>
    <t>Secured by Farmland-90+ Day P/D</t>
  </si>
  <si>
    <t>UBPRFB84</t>
  </si>
  <si>
    <t>UBPRFB85</t>
  </si>
  <si>
    <t>UBPRFB86</t>
  </si>
  <si>
    <t>UBPRFB87</t>
  </si>
  <si>
    <t>1-4 Family Mtg-90+ Days P/D</t>
  </si>
  <si>
    <t>UBPRE485</t>
  </si>
  <si>
    <t>UBPRE486</t>
  </si>
  <si>
    <t>UBPRE487</t>
  </si>
  <si>
    <t>UBPRE488</t>
  </si>
  <si>
    <t>Home Equity Loans -90+ Days P/D</t>
  </si>
  <si>
    <t>UBPRFB88</t>
  </si>
  <si>
    <t>UBPRFB89</t>
  </si>
  <si>
    <t>UBPRFB90</t>
  </si>
  <si>
    <t>UBPRFB91</t>
  </si>
  <si>
    <t>1-4 Family 1st Lien Lns-90+ Days P/D</t>
  </si>
  <si>
    <t>UBPRFB92</t>
  </si>
  <si>
    <t>UBPRFB93</t>
  </si>
  <si>
    <t>UBPRFB94</t>
  </si>
  <si>
    <t>UBPRFB95</t>
  </si>
  <si>
    <t>1-4 Family Jr Lien Lns-90+ Days P/D</t>
  </si>
  <si>
    <t>UBPRFB96</t>
  </si>
  <si>
    <t>UBPRFB97</t>
  </si>
  <si>
    <t>UBPRFB98</t>
  </si>
  <si>
    <t>UBPRFB99</t>
  </si>
  <si>
    <t>Multifamily Loans-90+ Days P/D</t>
  </si>
  <si>
    <t>UBPRFC00</t>
  </si>
  <si>
    <t>UBPRFC01</t>
  </si>
  <si>
    <t>UBPRFC02</t>
  </si>
  <si>
    <t>UBPRFC03</t>
  </si>
  <si>
    <t>Non-Farm Non-Res Mtg-90+ Days P/D</t>
  </si>
  <si>
    <t>UBPRE489</t>
  </si>
  <si>
    <t>UBPRE490</t>
  </si>
  <si>
    <t>UBPRE491</t>
  </si>
  <si>
    <t>UBPRE492</t>
  </si>
  <si>
    <t>Own Occ Non-Farm Non-Res-90+ Days P/D</t>
  </si>
  <si>
    <t>UBPRE513</t>
  </si>
  <si>
    <t>UBPRE514</t>
  </si>
  <si>
    <t>UBPRE515</t>
  </si>
  <si>
    <t>UBPRE516</t>
  </si>
  <si>
    <t>Other Non-Farm Non-Res-90+ Days P/D</t>
  </si>
  <si>
    <t>UBPRE517</t>
  </si>
  <si>
    <t>UBPRE518</t>
  </si>
  <si>
    <t>UBPRE519</t>
  </si>
  <si>
    <t>UBPRE520</t>
  </si>
  <si>
    <t>RE Lns in Foreign Offices-90+ Days P/D</t>
  </si>
  <si>
    <t>UBPRE493</t>
  </si>
  <si>
    <t>UBPRE494</t>
  </si>
  <si>
    <t>UBPRE495</t>
  </si>
  <si>
    <t>UBPRE496</t>
  </si>
  <si>
    <t>LNS Fin Coml RE-90+ Days P/D</t>
  </si>
  <si>
    <t>UBPRE477</t>
  </si>
  <si>
    <t>UBPRE478</t>
  </si>
  <si>
    <t>UBPRE479</t>
  </si>
  <si>
    <t>UBPRE480</t>
  </si>
  <si>
    <t>90 Days and Over Past Due</t>
  </si>
  <si>
    <t>UBPRD667</t>
  </si>
  <si>
    <t>Total Nonaccrual LN&amp;LS</t>
  </si>
  <si>
    <t>UBPRD669</t>
  </si>
  <si>
    <t xml:space="preserve">    Total Non-Current LN&amp;LS</t>
  </si>
  <si>
    <t>UBPR1400</t>
  </si>
  <si>
    <t xml:space="preserve">  LN&amp;LS 30-89 Days Past Due</t>
  </si>
  <si>
    <t>UBPRD668</t>
  </si>
  <si>
    <t>Gtyd LN&amp;LS 90+ Days P/D</t>
  </si>
  <si>
    <t>UBPR5616</t>
  </si>
  <si>
    <t>Gtyd LN&amp;LS on Nonaccrual</t>
  </si>
  <si>
    <t>UBPR5617</t>
  </si>
  <si>
    <t>Gtyd LN&amp;LS 30-89 Days P/D</t>
  </si>
  <si>
    <t>UBPR5615</t>
  </si>
  <si>
    <t>Restructured LN&amp;LS 90+ Days P/D</t>
  </si>
  <si>
    <t>UBPRJ239</t>
  </si>
  <si>
    <t>Restructured LN&amp;LS Nonaccrual</t>
  </si>
  <si>
    <t>UBPR1661</t>
  </si>
  <si>
    <t>Restructured LN&amp;LS 30-89 Days P/D</t>
  </si>
  <si>
    <t>UBPR1658</t>
  </si>
  <si>
    <t>Current Other Restructured LN&amp;LS</t>
  </si>
  <si>
    <t>UBPR1616</t>
  </si>
  <si>
    <t>UBPR2150</t>
  </si>
  <si>
    <t>Financial Institution LNS-90+ Days P/D</t>
  </si>
  <si>
    <t>UBPRFC07</t>
  </si>
  <si>
    <t>UBPRFC08</t>
  </si>
  <si>
    <t>UBPRFC09</t>
  </si>
  <si>
    <t>UBPRFC10</t>
  </si>
  <si>
    <t>Coml &amp; Indust LNS-90+ Days P/D</t>
  </si>
  <si>
    <t>UBPRE497</t>
  </si>
  <si>
    <t>UBPRE498</t>
  </si>
  <si>
    <t>UBPRE499</t>
  </si>
  <si>
    <t>UBPRE500</t>
  </si>
  <si>
    <t>Agricultural LNS-90+ Days P/D</t>
  </si>
  <si>
    <t>UBPRE533</t>
  </si>
  <si>
    <t>UBPRE534</t>
  </si>
  <si>
    <t>UBPRE535</t>
  </si>
  <si>
    <t>UBPRE536</t>
  </si>
  <si>
    <t>Loans to Individuals-90+ Days P/D</t>
  </si>
  <si>
    <t>UBPRE501</t>
  </si>
  <si>
    <t>UBPRE502</t>
  </si>
  <si>
    <t>UBPRE503</t>
  </si>
  <si>
    <t>UBPRE504</t>
  </si>
  <si>
    <t>Credit Card Plans-90+ Days P/D</t>
  </si>
  <si>
    <t>UBPRE521</t>
  </si>
  <si>
    <t>UBPRE522</t>
  </si>
  <si>
    <t>UBPRE523</t>
  </si>
  <si>
    <t>UBPRE524</t>
  </si>
  <si>
    <t>UBPRFC11</t>
  </si>
  <si>
    <t>UBPRFC12</t>
  </si>
  <si>
    <t>UBPRFC13</t>
  </si>
  <si>
    <t>UBPRFC14</t>
  </si>
  <si>
    <t>Non-depository, Other and Muni-90+ Days P/D</t>
  </si>
  <si>
    <t>UBPRE537</t>
  </si>
  <si>
    <t>UBPRE538</t>
  </si>
  <si>
    <t>UBPRE539</t>
  </si>
  <si>
    <t>UBPRE540</t>
  </si>
  <si>
    <t>Lease Financing-90+ Days P/D</t>
  </si>
  <si>
    <t>UBPRE529</t>
  </si>
  <si>
    <t>UBPRE530</t>
  </si>
  <si>
    <t>UBPRE531</t>
  </si>
  <si>
    <t>UBPRE532</t>
  </si>
  <si>
    <t>Leases to Individuals-90+ Days P/D</t>
  </si>
  <si>
    <t>UBPRFC15</t>
  </si>
  <si>
    <t>UBPRFC16</t>
  </si>
  <si>
    <t>UBPRFC17</t>
  </si>
  <si>
    <t>UBPRFC18</t>
  </si>
  <si>
    <t>All Other Leases-90+ Days P/D</t>
  </si>
  <si>
    <t>UBPRFC19</t>
  </si>
  <si>
    <t>UBPRFC20</t>
  </si>
  <si>
    <t>UBPRFC21</t>
  </si>
  <si>
    <t>UBPRFC22</t>
  </si>
  <si>
    <t>UBPRE541</t>
  </si>
  <si>
    <t>UBPRE542</t>
  </si>
  <si>
    <t>UBPR7414</t>
  </si>
  <si>
    <t>UBPRE544</t>
  </si>
  <si>
    <t>Non-Cur LN&amp;LS to-LN&amp;LS Allowance</t>
  </si>
  <si>
    <t>UBPRE545</t>
  </si>
  <si>
    <t xml:space="preserve">             -Equity Capital</t>
  </si>
  <si>
    <t>UBPRE546</t>
  </si>
  <si>
    <t>% Total P/D LN&amp;LS-Incl Nonaccrual</t>
  </si>
  <si>
    <t>UBPRE547</t>
  </si>
  <si>
    <t>Non Curr LNS+OREO to LNS+OREO</t>
  </si>
  <si>
    <t>UBPRE549</t>
  </si>
  <si>
    <t>Non-Curr Restruct Debt/Gr LN&amp;LS</t>
  </si>
  <si>
    <t>UBPRE550</t>
  </si>
  <si>
    <t>Curr+Non-Curr Restruct/GR LN&amp;LS</t>
  </si>
  <si>
    <t>UBPRE551</t>
  </si>
  <si>
    <t>Current Restruct LN&amp;LS</t>
  </si>
  <si>
    <t>UBPRE552</t>
  </si>
  <si>
    <t>Loans Sec 1-4 Fam RE in Forclosure as % Total Loans Sec 1-4 Fam RE</t>
  </si>
  <si>
    <t>UBPRF896</t>
  </si>
  <si>
    <t>Gtyd LN&amp;LS 90+ P/D / LN&amp;LS 90+ P/D</t>
  </si>
  <si>
    <t>UBPRK264</t>
  </si>
  <si>
    <t>Gtyd Nonaccrual LN&amp;LS / Nonaccrual LN&amp;LS</t>
  </si>
  <si>
    <t>UBPRK265</t>
  </si>
  <si>
    <t>Gtyd LN&amp;LS 30-89 P/D / LN&amp;LS 30-89 P/D</t>
  </si>
  <si>
    <t>UBPRK266</t>
  </si>
  <si>
    <t>Loan &amp; Leases as a % of Total Capital</t>
  </si>
  <si>
    <t>Commercial Real Estate Loans as a % of Total Capital:</t>
  </si>
  <si>
    <t>Commercial Real Estate Loans as a % of Total LN&amp;LS:</t>
  </si>
  <si>
    <t>% of Non-Current LN&amp;LS by Loan Type</t>
  </si>
  <si>
    <t>Non-Current LN&amp;LS ($000)</t>
  </si>
  <si>
    <t>Other Pertinent Ratios:</t>
  </si>
  <si>
    <t>Concentrations of Credit</t>
  </si>
  <si>
    <t>Mortgage Loans &amp; Pass Thrus</t>
  </si>
  <si>
    <t>UBPRE553</t>
  </si>
  <si>
    <t xml:space="preserve">  Loans &amp; Securities Over 15 Years</t>
  </si>
  <si>
    <t>UBPRE554</t>
  </si>
  <si>
    <t xml:space="preserve">  Loans &amp; Securities 5-15 Years</t>
  </si>
  <si>
    <t>UBPRE555</t>
  </si>
  <si>
    <t>Other Loans and Securities</t>
  </si>
  <si>
    <t>UBPRE556</t>
  </si>
  <si>
    <t>UBPRE557</t>
  </si>
  <si>
    <t>UBPRE558</t>
  </si>
  <si>
    <t>Total Loans &amp; Securities Over 15 Years</t>
  </si>
  <si>
    <t>UBPRE559</t>
  </si>
  <si>
    <t>CMO'S Total</t>
  </si>
  <si>
    <t>UBPRE560</t>
  </si>
  <si>
    <t xml:space="preserve">  Avg Life Over 3 Years</t>
  </si>
  <si>
    <t>UBPRE561</t>
  </si>
  <si>
    <t>Structured Notes</t>
  </si>
  <si>
    <t>UBPRE562</t>
  </si>
  <si>
    <t>Mortgage Servicing (FV)</t>
  </si>
  <si>
    <t>UBPRE563</t>
  </si>
  <si>
    <t xml:space="preserve">  Total</t>
  </si>
  <si>
    <t>UBPRE564</t>
  </si>
  <si>
    <t>Available for Sale</t>
  </si>
  <si>
    <t>UBPRE565</t>
  </si>
  <si>
    <t>Held to Maturity</t>
  </si>
  <si>
    <t>UBPRE566</t>
  </si>
  <si>
    <t>Off Balance Sheet</t>
  </si>
  <si>
    <t>UBPRE567</t>
  </si>
  <si>
    <t>Unrealized Appreciation/Depreciation</t>
  </si>
  <si>
    <t>UBPRE568</t>
  </si>
  <si>
    <t>Unrealized App/Dep % Tier One Cap</t>
  </si>
  <si>
    <t>UBPRE569</t>
  </si>
  <si>
    <t>Loans/Securities Over 3 Year</t>
  </si>
  <si>
    <t>UBPRE570</t>
  </si>
  <si>
    <t>Liabilities Over 3 Year</t>
  </si>
  <si>
    <t>UBPRE571</t>
  </si>
  <si>
    <t xml:space="preserve">  Net Over 3 Year Position</t>
  </si>
  <si>
    <t>UBPRE572</t>
  </si>
  <si>
    <t>Loans/Securities Over 1 Year</t>
  </si>
  <si>
    <t>UBPRE573</t>
  </si>
  <si>
    <t>Liabilities Over 1 Year</t>
  </si>
  <si>
    <t>UBPRE574</t>
  </si>
  <si>
    <t xml:space="preserve">  Net Over 1 Year Position</t>
  </si>
  <si>
    <t>UBPRE575</t>
  </si>
  <si>
    <t>Non-Maturity Deposits</t>
  </si>
  <si>
    <t>UBPRE576</t>
  </si>
  <si>
    <t>Non-Maturity Deps % Long Assets</t>
  </si>
  <si>
    <t>UBPRE577</t>
  </si>
  <si>
    <t>UBPRE578</t>
  </si>
  <si>
    <t>UBPRE579</t>
  </si>
  <si>
    <t>UBPRE580</t>
  </si>
  <si>
    <t>UBPRE581</t>
  </si>
  <si>
    <t>Long Assets Insts w/Options</t>
  </si>
  <si>
    <t>As % Tier 1 Capital</t>
  </si>
  <si>
    <t>Contractual Mat/Reprice Data</t>
  </si>
  <si>
    <t>Overall Risk Indicators</t>
  </si>
  <si>
    <t>Interest Rate Risk</t>
  </si>
  <si>
    <t>Liquidity &amp; Funding</t>
  </si>
  <si>
    <t>Individ, Partnerships, and Corp.</t>
  </si>
  <si>
    <t>UBPRM004</t>
  </si>
  <si>
    <t>U.S. Govt, States &amp; Political Sub in U.S.</t>
  </si>
  <si>
    <t>UBPRM005</t>
  </si>
  <si>
    <t>Comml Banks &amp; Other Dep Inst. in U.S.</t>
  </si>
  <si>
    <t>UBPRM006</t>
  </si>
  <si>
    <t>Banks in Foreign Countries</t>
  </si>
  <si>
    <t>UBPRM007</t>
  </si>
  <si>
    <t>Foreign Govts and Official Inst.</t>
  </si>
  <si>
    <t>UBPRM008</t>
  </si>
  <si>
    <t xml:space="preserve">  Total deposits</t>
  </si>
  <si>
    <t>UBPRM040</t>
  </si>
  <si>
    <t>Domestic Demand Deposits</t>
  </si>
  <si>
    <t>UBPRM009</t>
  </si>
  <si>
    <t>Domestic Other Transaction Accts</t>
  </si>
  <si>
    <t>UBPRM010</t>
  </si>
  <si>
    <t>Domestic Nontransaction Accts</t>
  </si>
  <si>
    <t>UBPRM011</t>
  </si>
  <si>
    <t>Total Domestic Deposits</t>
  </si>
  <si>
    <t>UBPRM012</t>
  </si>
  <si>
    <t>UBPRM013</t>
  </si>
  <si>
    <t xml:space="preserve">  Total Deposits</t>
  </si>
  <si>
    <t>UBPRM041</t>
  </si>
  <si>
    <t>Net Non Core Fund Dep $250M</t>
  </si>
  <si>
    <t>UBPRK447</t>
  </si>
  <si>
    <t>Net Non Core Fund Dep $100M</t>
  </si>
  <si>
    <t>UBPR7410</t>
  </si>
  <si>
    <t>Core Deposits</t>
  </si>
  <si>
    <t>UBPRE591</t>
  </si>
  <si>
    <t>UBPRE592</t>
  </si>
  <si>
    <t>S.T Inv to S.T. Ncore Fund</t>
  </si>
  <si>
    <t>UBPRE597</t>
  </si>
  <si>
    <t>S.T. Asset to S.T. Liabilities</t>
  </si>
  <si>
    <t>UBPRE598</t>
  </si>
  <si>
    <t>Net S.T. Liabilities to Assets</t>
  </si>
  <si>
    <t>UBPRE599</t>
  </si>
  <si>
    <t>Net Loans &amp; Leases to Deposits</t>
  </si>
  <si>
    <t>UBPRE600</t>
  </si>
  <si>
    <t>Net LN&amp;LS to Core Deposits</t>
  </si>
  <si>
    <t>UBPRE601</t>
  </si>
  <si>
    <t>Brkr Dep Mat &lt; 1 Yr to Brkr Deps</t>
  </si>
  <si>
    <t>UBPRE596</t>
  </si>
  <si>
    <t>Brokered Deposits to Deposits</t>
  </si>
  <si>
    <t>UBPRE595</t>
  </si>
  <si>
    <t>Listing Service Dep to Deposits</t>
  </si>
  <si>
    <t>UBPRM014</t>
  </si>
  <si>
    <t>List Service and Brkrd Dep to Deps</t>
  </si>
  <si>
    <t>UBPRM015</t>
  </si>
  <si>
    <t>Sec Bor + sec FFP to Tot Bor + FFP</t>
  </si>
  <si>
    <t>UBPRM016</t>
  </si>
  <si>
    <t>Recip Brkrd Dep to Tot Brkrd Dep</t>
  </si>
  <si>
    <t>UBPRM017</t>
  </si>
  <si>
    <t>UBPRM018</t>
  </si>
  <si>
    <t>UBPRM019</t>
  </si>
  <si>
    <t>UBPRM020</t>
  </si>
  <si>
    <t>UBPRM021</t>
  </si>
  <si>
    <t>UBPRM022</t>
  </si>
  <si>
    <t>UBPRE125</t>
  </si>
  <si>
    <t>UBPR2385</t>
  </si>
  <si>
    <t>UBPRD078</t>
  </si>
  <si>
    <t>UBPR2200</t>
  </si>
  <si>
    <t>Non Core Liabilities $250M</t>
  </si>
  <si>
    <t>UBPRK445</t>
  </si>
  <si>
    <t>Non Core Liabilities $100M</t>
  </si>
  <si>
    <t>UBPRE585</t>
  </si>
  <si>
    <t>UBPRE584</t>
  </si>
  <si>
    <t>UBPRK434</t>
  </si>
  <si>
    <t>Time Deps $250M &amp; Under Mat &lt; 1 Yr</t>
  </si>
  <si>
    <t>UBPRM023</t>
  </si>
  <si>
    <t>Time Deps $250M &amp; Under Mat &gt; 1 Yr</t>
  </si>
  <si>
    <t>UBPRM024</t>
  </si>
  <si>
    <t>Time Deps over $250M Mat &lt; 1 Yr</t>
  </si>
  <si>
    <t>UBPRK222</t>
  </si>
  <si>
    <t>Time Deps over $250M Mat &gt; 1 Yr</t>
  </si>
  <si>
    <t>UBPRM025</t>
  </si>
  <si>
    <t>Fed Home Loan Bor Mat &lt; 1 Yr</t>
  </si>
  <si>
    <t>UBPR2651</t>
  </si>
  <si>
    <t>Fed Home Loan Bor Mat &gt; 1 Yr</t>
  </si>
  <si>
    <t>UBPRE127</t>
  </si>
  <si>
    <t>Other Borrowing Mat &lt; 1 Year</t>
  </si>
  <si>
    <t>UBPRB571</t>
  </si>
  <si>
    <t>Other Borrowing Mat &gt; 1 Year</t>
  </si>
  <si>
    <t>UBPRE128</t>
  </si>
  <si>
    <t>Secured Other Borrowings</t>
  </si>
  <si>
    <t>UBPRF065</t>
  </si>
  <si>
    <t>Federal Funds Purchased</t>
  </si>
  <si>
    <t>UBPRB993</t>
  </si>
  <si>
    <t>Secured Fed Funds Purchased</t>
  </si>
  <si>
    <t>UBPRF064</t>
  </si>
  <si>
    <t>Listing Service Deposits</t>
  </si>
  <si>
    <t>UBPRK223</t>
  </si>
  <si>
    <t>Brokered Deposits</t>
  </si>
  <si>
    <t>UBPR2365</t>
  </si>
  <si>
    <t>Reciprocal Brokered Deposits</t>
  </si>
  <si>
    <t>UBPRG803</t>
  </si>
  <si>
    <t>Percent of Total Deposits</t>
  </si>
  <si>
    <t>Total Deposits</t>
  </si>
  <si>
    <t>Liquidity/Funding Ratios</t>
  </si>
  <si>
    <t>Other Liquidity/Funding Data</t>
  </si>
  <si>
    <t>Liquidity &amp; Inv Portfolio</t>
  </si>
  <si>
    <t>UBPRE589</t>
  </si>
  <si>
    <t>Marketable Equity Sec (MES)</t>
  </si>
  <si>
    <t>UBPRE590</t>
  </si>
  <si>
    <t>Net LN&amp;LS &amp; SBLC to Assets</t>
  </si>
  <si>
    <t>UBPRE602</t>
  </si>
  <si>
    <t>Pledged Assets</t>
  </si>
  <si>
    <t>UBPRM026</t>
  </si>
  <si>
    <t xml:space="preserve">  US Treas &amp; Govt Agencies</t>
  </si>
  <si>
    <t>UBPRM027</t>
  </si>
  <si>
    <t xml:space="preserve">  Municipal Securities</t>
  </si>
  <si>
    <t>UBPRM028</t>
  </si>
  <si>
    <t xml:space="preserve">  Pass-Through Mtg Backed Secs</t>
  </si>
  <si>
    <t>UBPRM029</t>
  </si>
  <si>
    <t xml:space="preserve">  CMO &amp; REMIC Mtg Backed Secs</t>
  </si>
  <si>
    <t>UBPRM030</t>
  </si>
  <si>
    <t xml:space="preserve"> Commercial Mtg Back Secs</t>
  </si>
  <si>
    <t>UBPRM031</t>
  </si>
  <si>
    <t xml:space="preserve">  Asset Backed Securities</t>
  </si>
  <si>
    <t>UBPRM032</t>
  </si>
  <si>
    <t>Structured Financial Products</t>
  </si>
  <si>
    <t>UBPRM033</t>
  </si>
  <si>
    <t xml:space="preserve">  Other Domestic Debt Secs</t>
  </si>
  <si>
    <t>UBPRM034</t>
  </si>
  <si>
    <t xml:space="preserve">  Foreign Debt Securities</t>
  </si>
  <si>
    <t>UBPRM035</t>
  </si>
  <si>
    <t xml:space="preserve">  Inv Mut Fnd &amp; Oth Mktbl</t>
  </si>
  <si>
    <t>UBPRM036</t>
  </si>
  <si>
    <t>UBPRM042</t>
  </si>
  <si>
    <t>App (Dep) Hi Risk &amp; Struc/T1 Cap</t>
  </si>
  <si>
    <t>UBPRE621</t>
  </si>
  <si>
    <t>App (Dep) in AFS sec to AFS Sec</t>
  </si>
  <si>
    <t>UBPRM037</t>
  </si>
  <si>
    <t>App (Dep) in HTM Sec to HTM Sec</t>
  </si>
  <si>
    <t>UBPRE622</t>
  </si>
  <si>
    <t>App (Dep) in HTM Sec to Eqy Cap</t>
  </si>
  <si>
    <t>UBPRE623</t>
  </si>
  <si>
    <t>Pledged Securities to Tot Sec</t>
  </si>
  <si>
    <t>UBPRE624</t>
  </si>
  <si>
    <t>Pledged Loans to Total Loans</t>
  </si>
  <si>
    <t>UBPRM038</t>
  </si>
  <si>
    <t>Loans Held for Sale to Total Loans</t>
  </si>
  <si>
    <t>UBPRM039</t>
  </si>
  <si>
    <t>UBPRE582</t>
  </si>
  <si>
    <t>Short Term Assets</t>
  </si>
  <si>
    <t>UBPRE583</t>
  </si>
  <si>
    <t>Debt Securities 90+ Days P/D</t>
  </si>
  <si>
    <t>UBPR3506</t>
  </si>
  <si>
    <t>Total Non-Current Debt Sec</t>
  </si>
  <si>
    <t>UBPRE588</t>
  </si>
  <si>
    <t>Fair Value Structured Notes</t>
  </si>
  <si>
    <t>UBPR8783</t>
  </si>
  <si>
    <t>Pledged Securities</t>
  </si>
  <si>
    <t>UBPR0416</t>
  </si>
  <si>
    <t>Pledged Loans &amp; Leases</t>
  </si>
  <si>
    <t>UBPRG378</t>
  </si>
  <si>
    <t>Loans Held for Sale</t>
  </si>
  <si>
    <t>UBPR5369</t>
  </si>
  <si>
    <t xml:space="preserve">  Net Loans &amp; Leases (x)</t>
  </si>
  <si>
    <t>UBPRE626</t>
  </si>
  <si>
    <t xml:space="preserve">  Subord Notes &amp; Debentures</t>
  </si>
  <si>
    <t>UBPRE627</t>
  </si>
  <si>
    <t xml:space="preserve">  Long Term Debt</t>
  </si>
  <si>
    <t>UBPRE628</t>
  </si>
  <si>
    <t xml:space="preserve">  Com RE &amp; Related Ventures</t>
  </si>
  <si>
    <t>UBPRE629</t>
  </si>
  <si>
    <t xml:space="preserve">  Net Income</t>
  </si>
  <si>
    <t>UBPRE630</t>
  </si>
  <si>
    <t xml:space="preserve">  Dividends </t>
  </si>
  <si>
    <t>UBPRE631</t>
  </si>
  <si>
    <t xml:space="preserve">  Retained Earnings</t>
  </si>
  <si>
    <t>UBPRE025</t>
  </si>
  <si>
    <t xml:space="preserve">  Dividends to Net Operating Income</t>
  </si>
  <si>
    <t>UBPRE633</t>
  </si>
  <si>
    <t xml:space="preserve"> Bank Eq Cap + Min Int to Assets</t>
  </si>
  <si>
    <t>UBPRJ245</t>
  </si>
  <si>
    <t xml:space="preserve">  Total Equity Capital</t>
  </si>
  <si>
    <t>UBPRE635</t>
  </si>
  <si>
    <t xml:space="preserve">  Equity Growth Less Asst Growth</t>
  </si>
  <si>
    <t>UBPRE636</t>
  </si>
  <si>
    <t xml:space="preserve">  Mortgage Servicing Rights</t>
  </si>
  <si>
    <t>UBPRE637</t>
  </si>
  <si>
    <t xml:space="preserve">  Goodwill</t>
  </si>
  <si>
    <t>UBPRE638</t>
  </si>
  <si>
    <t xml:space="preserve">  Purch Credit Card Relations</t>
  </si>
  <si>
    <t>UBPRE639</t>
  </si>
  <si>
    <t xml:space="preserve">  All Other Intangibles</t>
  </si>
  <si>
    <t>UBPRE640</t>
  </si>
  <si>
    <t xml:space="preserve">  Total Intangibles</t>
  </si>
  <si>
    <t>UBPRE641</t>
  </si>
  <si>
    <t>UBPRD486</t>
  </si>
  <si>
    <t>Com Equity Tier 1 Cap Ratio</t>
  </si>
  <si>
    <t>UBPRR029</t>
  </si>
  <si>
    <t>Tier One Capital Ratio</t>
  </si>
  <si>
    <t>UBPRD487</t>
  </si>
  <si>
    <t>Total Capital Ratio</t>
  </si>
  <si>
    <t>UBPRD488</t>
  </si>
  <si>
    <t>UBPRR030</t>
  </si>
  <si>
    <t>Tier 1 Capital Ratio</t>
  </si>
  <si>
    <t>UBPRR032</t>
  </si>
  <si>
    <t>UBPRR034</t>
  </si>
  <si>
    <t xml:space="preserve">   Perpetual Preferred</t>
  </si>
  <si>
    <t>UBPR3838</t>
  </si>
  <si>
    <t>UBPR3230</t>
  </si>
  <si>
    <t>UBPR3839</t>
  </si>
  <si>
    <t>UBPRB530</t>
  </si>
  <si>
    <t>UBPRA130</t>
  </si>
  <si>
    <t xml:space="preserve">   Total Bank Equity Capital</t>
  </si>
  <si>
    <t>UBPR3210</t>
  </si>
  <si>
    <t>Minority Interest Cons Subs</t>
  </si>
  <si>
    <t>UBPR3000</t>
  </si>
  <si>
    <t>UBPRG105</t>
  </si>
  <si>
    <t>UBPR3200</t>
  </si>
  <si>
    <t xml:space="preserve">   Balance at Beginning of Period</t>
  </si>
  <si>
    <t>UBPR3217</t>
  </si>
  <si>
    <t>UBPR4340</t>
  </si>
  <si>
    <t>UBPRB509</t>
  </si>
  <si>
    <t>UBPRE625</t>
  </si>
  <si>
    <t xml:space="preserve">   Balance at End of Period</t>
  </si>
  <si>
    <t>UBPRD213</t>
  </si>
  <si>
    <t xml:space="preserve">   Mortgage Servicing Rights</t>
  </si>
  <si>
    <t>UBPR3164</t>
  </si>
  <si>
    <t>UBPRB026</t>
  </si>
  <si>
    <t>UBPR5507</t>
  </si>
  <si>
    <t>UBPR3163</t>
  </si>
  <si>
    <t xml:space="preserve">   Total Intangibles</t>
  </si>
  <si>
    <t>UBPR2143</t>
  </si>
  <si>
    <t>Average Total Consolidated Assets</t>
  </si>
  <si>
    <t>UBPRL138</t>
  </si>
  <si>
    <t xml:space="preserve"> Less: Ded from CET1 Cap &amp; add T1C</t>
  </si>
  <si>
    <t>UBPRP875</t>
  </si>
  <si>
    <t xml:space="preserve"> Less: Other Deductions </t>
  </si>
  <si>
    <t>UBPRB596</t>
  </si>
  <si>
    <t>Total Assets for Leverage Ratio</t>
  </si>
  <si>
    <t>UBPRA224</t>
  </si>
  <si>
    <t>Common Stock Plus Related Surplus</t>
  </si>
  <si>
    <t>UBPRP742</t>
  </si>
  <si>
    <t>UBPR3632</t>
  </si>
  <si>
    <t>Accum Other Comprehensive Inc (AOCI)</t>
  </si>
  <si>
    <t>UBPRH392</t>
  </si>
  <si>
    <t>Common Equity T1 Minority Interest</t>
  </si>
  <si>
    <t>UBPRP839</t>
  </si>
  <si>
    <t>Common Equity T1 Cap Before Adj/Ded</t>
  </si>
  <si>
    <t>UBPRP840</t>
  </si>
  <si>
    <t xml:space="preserve"> Less: Goodwill</t>
  </si>
  <si>
    <t>UBPRP841</t>
  </si>
  <si>
    <t xml:space="preserve"> Less: Intangible Assets</t>
  </si>
  <si>
    <t>UBPRP842</t>
  </si>
  <si>
    <t xml:space="preserve"> Less: DTA (NOL &amp; Tax Credit Only)</t>
  </si>
  <si>
    <t>UBPRP843</t>
  </si>
  <si>
    <t xml:space="preserve"> AOCI-Related Adjustments-Opt Out</t>
  </si>
  <si>
    <t>UBPRH393</t>
  </si>
  <si>
    <t xml:space="preserve"> AOCI-Related Adjustments-No Opt Out</t>
  </si>
  <si>
    <t>UBPRP849</t>
  </si>
  <si>
    <t xml:space="preserve"> Oth Ded (add) CET1 bef threshold ded</t>
  </si>
  <si>
    <t>UBPRH397</t>
  </si>
  <si>
    <t xml:space="preserve"> Less: Non-significant Investments</t>
  </si>
  <si>
    <t>UBPRP851</t>
  </si>
  <si>
    <t>Subtotal before Threshold Limits</t>
  </si>
  <si>
    <t>UBPRP852</t>
  </si>
  <si>
    <t xml:space="preserve"> Less: Sig Inv, MSAs, DTA &gt; 10% Limit</t>
  </si>
  <si>
    <t>UBPRH398</t>
  </si>
  <si>
    <t xml:space="preserve"> Less: Sig Inv, MSAs, DTA &gt; 15% Limit</t>
  </si>
  <si>
    <t>UBPRP856</t>
  </si>
  <si>
    <t xml:space="preserve"> Less: Ded due to insuff T1 and T2 Cap</t>
  </si>
  <si>
    <t>UBPRP857</t>
  </si>
  <si>
    <t xml:space="preserve"> Total Adj and Ded for CET1 Capital</t>
  </si>
  <si>
    <t>UBPRP858</t>
  </si>
  <si>
    <t>Common Equity Tier 1 Capital</t>
  </si>
  <si>
    <t>UBPRP859</t>
  </si>
  <si>
    <t xml:space="preserve"> Additional T1C Inst &amp; Related Surplus</t>
  </si>
  <si>
    <t>UBPRP860</t>
  </si>
  <si>
    <t xml:space="preserve"> Non-qualifying Cap Inst sub to phaseout</t>
  </si>
  <si>
    <t>UBPRP861</t>
  </si>
  <si>
    <t xml:space="preserve"> Tier 1 Minority Int Not Incl in CET1 Cap</t>
  </si>
  <si>
    <t>UBPRP862</t>
  </si>
  <si>
    <t xml:space="preserve"> Additional T1 Cap Before Deductions</t>
  </si>
  <si>
    <t>UBPRP863</t>
  </si>
  <si>
    <t xml:space="preserve"> Less: Additional T1 Cap Deductions</t>
  </si>
  <si>
    <t>UBPRP864</t>
  </si>
  <si>
    <t>Additional Tier 1 Capital</t>
  </si>
  <si>
    <t>UBPRP865</t>
  </si>
  <si>
    <t>Tier 1 Capital</t>
  </si>
  <si>
    <t>UBPR8274</t>
  </si>
  <si>
    <t xml:space="preserve"> T2 Cap Instruments &amp; Related Surplus</t>
  </si>
  <si>
    <t>UBPRP866</t>
  </si>
  <si>
    <t xml:space="preserve"> Non-qualifying Capital Instruments</t>
  </si>
  <si>
    <t>UBPRP867</t>
  </si>
  <si>
    <t xml:space="preserve"> Tot Cap Min Int Not Incl in T1 Cap</t>
  </si>
  <si>
    <t>UBPRP868</t>
  </si>
  <si>
    <t xml:space="preserve"> Exited Adv App Eligible Cr Reserves</t>
  </si>
  <si>
    <t>UBPRH394</t>
  </si>
  <si>
    <t xml:space="preserve"> Unrealized Gains on AFS Pref Stock</t>
  </si>
  <si>
    <t>UBPRQ257</t>
  </si>
  <si>
    <t>Tier 2 Capital Before Deductions</t>
  </si>
  <si>
    <t>UBPRP870</t>
  </si>
  <si>
    <t>Exited Adv App T2C Before Deductions</t>
  </si>
  <si>
    <t>UBPRH395</t>
  </si>
  <si>
    <t>Less: Tier 2 Capital Deductions</t>
  </si>
  <si>
    <t>UBPRP872</t>
  </si>
  <si>
    <t>Tier 2 Capital - Advanced Approaches</t>
  </si>
  <si>
    <t>UBPR5311</t>
  </si>
  <si>
    <t>Total Capital - Advanced Approaches</t>
  </si>
  <si>
    <t>UBPRH396</t>
  </si>
  <si>
    <t xml:space="preserve">   Total Equity Capital Adjusted</t>
  </si>
  <si>
    <t>UBPRE642</t>
  </si>
  <si>
    <t xml:space="preserve"> - Ineligible Def Tax Assets</t>
  </si>
  <si>
    <t>UBPR5610</t>
  </si>
  <si>
    <t xml:space="preserve"> - Ineligible Intangibles</t>
  </si>
  <si>
    <t>UBPRE643</t>
  </si>
  <si>
    <t xml:space="preserve"> - Cumul Change F.V. Financial Liab</t>
  </si>
  <si>
    <t>UBPRF264</t>
  </si>
  <si>
    <t xml:space="preserve">     Net Tier One</t>
  </si>
  <si>
    <t>UBPRE644</t>
  </si>
  <si>
    <t>UBPR5306</t>
  </si>
  <si>
    <t>UBPRF859</t>
  </si>
  <si>
    <t>UBPR5310</t>
  </si>
  <si>
    <t>UBPR2221</t>
  </si>
  <si>
    <t>UBPRB594</t>
  </si>
  <si>
    <t xml:space="preserve">     Net Eligible Tier Two</t>
  </si>
  <si>
    <t>UBPR8275</t>
  </si>
  <si>
    <t xml:space="preserve">   Tier One &amp; Tier Two</t>
  </si>
  <si>
    <t>UBPRE645</t>
  </si>
  <si>
    <t xml:space="preserve">   Tier Three &amp; Fin Sub Adj</t>
  </si>
  <si>
    <t>UBPRE646</t>
  </si>
  <si>
    <t xml:space="preserve"> - Deductions for Total RBC</t>
  </si>
  <si>
    <t>UBPRB595</t>
  </si>
  <si>
    <t xml:space="preserve">     Total Risk-Based-Capital</t>
  </si>
  <si>
    <t>UBPR3792</t>
  </si>
  <si>
    <t xml:space="preserve">  Category Two - 20%</t>
  </si>
  <si>
    <t>UBPRD654</t>
  </si>
  <si>
    <t xml:space="preserve">  Category Three - 50%</t>
  </si>
  <si>
    <t>UBPRF860</t>
  </si>
  <si>
    <t xml:space="preserve">  Category Four - 100%</t>
  </si>
  <si>
    <t>UBPR5340</t>
  </si>
  <si>
    <t xml:space="preserve">     Total On-Balance Sheet</t>
  </si>
  <si>
    <t>UBPRE648</t>
  </si>
  <si>
    <t xml:space="preserve">   Memo: Category One - 0%</t>
  </si>
  <si>
    <t>UBPR5320</t>
  </si>
  <si>
    <t>UBPRE649</t>
  </si>
  <si>
    <t>UBPRE650</t>
  </si>
  <si>
    <t>UBPRE651</t>
  </si>
  <si>
    <t xml:space="preserve">     Total Off-Balance Sheet</t>
  </si>
  <si>
    <t>UBPRE652</t>
  </si>
  <si>
    <t>UBPRE653</t>
  </si>
  <si>
    <t>Risk-Weighted Asset Before Ded</t>
  </si>
  <si>
    <t>UBPRE654</t>
  </si>
  <si>
    <t xml:space="preserve"> - Excess Allowable LN&amp;LS Loss Al</t>
  </si>
  <si>
    <t>UBPRA222</t>
  </si>
  <si>
    <t xml:space="preserve"> - Allocated Transfer Risk Reserve</t>
  </si>
  <si>
    <t>UBPR3128</t>
  </si>
  <si>
    <t>UBPRE659</t>
  </si>
  <si>
    <t xml:space="preserve">     Total Risk-Weighted Assets</t>
  </si>
  <si>
    <t>UBPRE660</t>
  </si>
  <si>
    <t>Percent of Total Assets</t>
  </si>
  <si>
    <t xml:space="preserve">  + Common Stock</t>
  </si>
  <si>
    <t xml:space="preserve">  + Surplus</t>
  </si>
  <si>
    <t xml:space="preserve">  + Accum Other Comp Income</t>
  </si>
  <si>
    <t xml:space="preserve">  + Other Equity Capital Comp</t>
  </si>
  <si>
    <t xml:space="preserve">  + Net Income</t>
  </si>
  <si>
    <t xml:space="preserve">  + Sales or Purchase of Capital</t>
  </si>
  <si>
    <t xml:space="preserve">  - Dividends</t>
  </si>
  <si>
    <t xml:space="preserve">  + Purch Credit Card Relations.</t>
  </si>
  <si>
    <t xml:space="preserve">  + Other Intangibles</t>
  </si>
  <si>
    <t xml:space="preserve">  + Goodwill</t>
  </si>
  <si>
    <t>Total Assets for Leverage Ratio:</t>
  </si>
  <si>
    <t>Intangible Assets</t>
  </si>
  <si>
    <t>Changes in Bank Equity ($000)</t>
  </si>
  <si>
    <t>End of Period Capital ($000)</t>
  </si>
  <si>
    <t>Adv App Cap Ratios (exit parallel run)</t>
  </si>
  <si>
    <t>Standardized Capital Ratios (all banks)</t>
  </si>
  <si>
    <t>Intang Assets % Bank Equity</t>
  </si>
  <si>
    <t>Growth Rates:</t>
  </si>
  <si>
    <t>Other Capital Ratios:</t>
  </si>
  <si>
    <t>Percent of Average Bank Equity:</t>
  </si>
  <si>
    <t>Percent of Bank Equity:</t>
  </si>
  <si>
    <t>Capital Ratios</t>
  </si>
  <si>
    <t>Liquidity/Securities Ratios:</t>
  </si>
  <si>
    <t>% Total Securities</t>
  </si>
  <si>
    <t>Securities Mix</t>
  </si>
  <si>
    <t>Common Equity Tier 1 Capital: ($000)</t>
  </si>
  <si>
    <t>Capital Analysis ($000)</t>
  </si>
  <si>
    <t xml:space="preserve">  + Qualif Debt and Redeem Pfd</t>
  </si>
  <si>
    <t xml:space="preserve">  + Cumulative Preferred Stock</t>
  </si>
  <si>
    <t xml:space="preserve">  + Allowable LN&amp;LS Loss Allow</t>
  </si>
  <si>
    <t xml:space="preserve">  + Unrl Gain Mktbl Eqy Sec (45%)</t>
  </si>
  <si>
    <t xml:space="preserve">  + Other Tier 2 Capital Comp</t>
  </si>
  <si>
    <t xml:space="preserve"> + Mkt Risk Asset &amp; Fin Sub Adj</t>
  </si>
  <si>
    <t>Adjustments to Risk-Wgt Assets</t>
  </si>
  <si>
    <t>Off-Balance Sheet</t>
  </si>
  <si>
    <t>On-Balance Sheet</t>
  </si>
  <si>
    <t>Risk-Weighted Assets</t>
  </si>
  <si>
    <t>Total RBC Before Deductions</t>
  </si>
  <si>
    <t>Tier Two Capital</t>
  </si>
  <si>
    <t>Risk Based Capital ($000)</t>
  </si>
  <si>
    <t>Tier 2 Capital:</t>
  </si>
  <si>
    <t>Additional Tier 1 Capital:</t>
  </si>
  <si>
    <t>Common Equity Tier 1 Capital: Adj/Ded</t>
  </si>
  <si>
    <t>Non Int Inc Exp Yields</t>
  </si>
  <si>
    <t>Liqudity &amp; Inv Portfolio</t>
  </si>
  <si>
    <t>OffBalanceSheetItems</t>
  </si>
  <si>
    <t>DerivativeInstruments</t>
  </si>
  <si>
    <t>DerivativeAnalysis</t>
  </si>
  <si>
    <t>BalanceSheetPercent</t>
  </si>
  <si>
    <t>ConcentrationsofCredit</t>
  </si>
  <si>
    <t>InterestRateRisk</t>
  </si>
  <si>
    <t>LiquidityFunding</t>
  </si>
  <si>
    <t>LiquidityInvPortfolio</t>
  </si>
  <si>
    <t>SummaryRatios</t>
  </si>
  <si>
    <t>UBPRE001</t>
  </si>
  <si>
    <t>UBPRE002</t>
  </si>
  <si>
    <t>UBPRE003</t>
  </si>
  <si>
    <t>UBPRE004</t>
  </si>
  <si>
    <t>UBPRE005</t>
  </si>
  <si>
    <t>UBPRE007</t>
  </si>
  <si>
    <t>UBPRE008</t>
  </si>
  <si>
    <t>UBPRE009</t>
  </si>
  <si>
    <t>UBPRE010</t>
  </si>
  <si>
    <t>UBPRE011</t>
  </si>
  <si>
    <t>UBPRJ248</t>
  </si>
  <si>
    <t>UBPRE012</t>
  </si>
  <si>
    <t>UBPRE013</t>
  </si>
  <si>
    <t>UBPRE014</t>
  </si>
  <si>
    <t>UBPRE015</t>
  </si>
  <si>
    <t>UBPRE016</t>
  </si>
  <si>
    <t>UBPRE017</t>
  </si>
  <si>
    <t>UBPRE018</t>
  </si>
  <si>
    <t>UBPRE024</t>
  </si>
  <si>
    <t>UBPR7402</t>
  </si>
  <si>
    <t>UBPRE026</t>
  </si>
  <si>
    <t>UBPR7316</t>
  </si>
  <si>
    <t>UBPR7408</t>
  </si>
  <si>
    <t>UBPRE027</t>
  </si>
  <si>
    <t>UBPRE028</t>
  </si>
  <si>
    <t>UBPRE029</t>
  </si>
  <si>
    <t>UBPRD659</t>
  </si>
  <si>
    <t>IncomeStatement</t>
  </si>
  <si>
    <t>Interest and Fees on Loans</t>
  </si>
  <si>
    <t>UBPR4010</t>
  </si>
  <si>
    <t xml:space="preserve">  Estimated Tax Benefit</t>
  </si>
  <si>
    <t>UBPRE030</t>
  </si>
  <si>
    <t xml:space="preserve">    Income on Loans &amp; Leases (TE)</t>
  </si>
  <si>
    <t>UBPRE031</t>
  </si>
  <si>
    <t>UBPRE032</t>
  </si>
  <si>
    <t>Investment Interest Income (TE)</t>
  </si>
  <si>
    <t>UBPRE033</t>
  </si>
  <si>
    <t xml:space="preserve">    Total Interest Income (TE)</t>
  </si>
  <si>
    <t>UBPR4107</t>
  </si>
  <si>
    <t>Interest on All Other Deposits</t>
  </si>
  <si>
    <t>UBPRE034</t>
  </si>
  <si>
    <t xml:space="preserve">    Net Interest Income (TE)</t>
  </si>
  <si>
    <t>UBPR4074</t>
  </si>
  <si>
    <t xml:space="preserve">    Adjusted Operating Income (TE)</t>
  </si>
  <si>
    <t>UBPRE036</t>
  </si>
  <si>
    <t xml:space="preserve">  Non-Interest Expense</t>
  </si>
  <si>
    <t>UBPRE037</t>
  </si>
  <si>
    <t xml:space="preserve">    Pretax Operating Income (TE)</t>
  </si>
  <si>
    <t>UBPRE038</t>
  </si>
  <si>
    <t xml:space="preserve">    Pretax Net Operating Inc (TE)</t>
  </si>
  <si>
    <t>UBPRE039</t>
  </si>
  <si>
    <t>Current Tax Equiv Adjustment</t>
  </si>
  <si>
    <t>UBPRE040</t>
  </si>
  <si>
    <t>Other Tax Equiv Adjustments</t>
  </si>
  <si>
    <t>UBPRE041</t>
  </si>
  <si>
    <t xml:space="preserve">  Applicable Income Taxes (TE)</t>
  </si>
  <si>
    <t>UBPRE042</t>
  </si>
  <si>
    <t xml:space="preserve"> - Dividends</t>
  </si>
  <si>
    <t>UBPRE043</t>
  </si>
  <si>
    <t>Memo: Net International Income</t>
  </si>
  <si>
    <t>UBPR4341</t>
  </si>
  <si>
    <t>Personnel Expense</t>
  </si>
  <si>
    <t>UBPR7400</t>
  </si>
  <si>
    <t>Occupancy Expense</t>
  </si>
  <si>
    <t>UBPRE084</t>
  </si>
  <si>
    <t>Other Oper Exp (Incl Intangibles)</t>
  </si>
  <si>
    <t>UBPRE085</t>
  </si>
  <si>
    <t xml:space="preserve">  Total Overhead Expense</t>
  </si>
  <si>
    <t>Overhead Less Nonint Inc</t>
  </si>
  <si>
    <t>UBPRE087</t>
  </si>
  <si>
    <t>Efficiency Ratio</t>
  </si>
  <si>
    <t>UBPRE088</t>
  </si>
  <si>
    <t>Avg Personnel Exp Per Empl($000)</t>
  </si>
  <si>
    <t>UBPRE089</t>
  </si>
  <si>
    <t>Assets Per Employee ($Million)</t>
  </si>
  <si>
    <t>UBPRE090</t>
  </si>
  <si>
    <t>Total Loan &amp; Leases (TE)</t>
  </si>
  <si>
    <t>UBPRE091</t>
  </si>
  <si>
    <t xml:space="preserve"> Loans in Domestic Offices</t>
  </si>
  <si>
    <t>UBPRE092</t>
  </si>
  <si>
    <t xml:space="preserve">  Real Estate</t>
  </si>
  <si>
    <t>UBPRE093</t>
  </si>
  <si>
    <t>Secured by 1-4 Fam Resi Prop</t>
  </si>
  <si>
    <t>UBPRF897</t>
  </si>
  <si>
    <t>All Other Loans Sec Real Estate</t>
  </si>
  <si>
    <t>UBPRF899</t>
  </si>
  <si>
    <t xml:space="preserve">  Commercial &amp; Industrial</t>
  </si>
  <si>
    <t>UBPRE094</t>
  </si>
  <si>
    <t xml:space="preserve">  Individual</t>
  </si>
  <si>
    <t>UBPRE095</t>
  </si>
  <si>
    <t xml:space="preserve">    Credit Card</t>
  </si>
  <si>
    <t>UBPRE096</t>
  </si>
  <si>
    <t xml:space="preserve">  Agricultural</t>
  </si>
  <si>
    <t>UBPRE097</t>
  </si>
  <si>
    <t xml:space="preserve">  Loans in Foreign Offices</t>
  </si>
  <si>
    <t>UBPRE098</t>
  </si>
  <si>
    <t>Total Investment Securities (TE)</t>
  </si>
  <si>
    <t>UBPRE099</t>
  </si>
  <si>
    <t>Total Investment Securities (Book)</t>
  </si>
  <si>
    <t>UBPRE100</t>
  </si>
  <si>
    <t xml:space="preserve">  US Treas &amp; Agency (Excl MBS)</t>
  </si>
  <si>
    <t>UBPRE101</t>
  </si>
  <si>
    <t xml:space="preserve">  Mortgage Backed Securities</t>
  </si>
  <si>
    <t>UBPRE102</t>
  </si>
  <si>
    <t xml:space="preserve">  All Other Securities</t>
  </si>
  <si>
    <t>UBPRE103</t>
  </si>
  <si>
    <t>UBPRE104</t>
  </si>
  <si>
    <t>UBPRE105</t>
  </si>
  <si>
    <t>Total Interest Bearing Deposits</t>
  </si>
  <si>
    <t>UBPRE106</t>
  </si>
  <si>
    <t xml:space="preserve">  Transaction accounts</t>
  </si>
  <si>
    <t>UBPRE107</t>
  </si>
  <si>
    <t xml:space="preserve">  Other Savings Deposits</t>
  </si>
  <si>
    <t>UBPRE108</t>
  </si>
  <si>
    <t xml:space="preserve">  Time Deps Over $100M</t>
  </si>
  <si>
    <t>UBPRE109</t>
  </si>
  <si>
    <t xml:space="preserve">  All Other Time Deposits</t>
  </si>
  <si>
    <t>UBPRE110</t>
  </si>
  <si>
    <t xml:space="preserve">  Foreign Office Deposits</t>
  </si>
  <si>
    <t>UBPRE111</t>
  </si>
  <si>
    <t>Federal Funds Purchased &amp; Repos</t>
  </si>
  <si>
    <t>UBPRE112</t>
  </si>
  <si>
    <t>Other Borrowed Money</t>
  </si>
  <si>
    <t>UBPRE113</t>
  </si>
  <si>
    <t>Subord Notes &amp; Debentures</t>
  </si>
  <si>
    <t>UBPRE114</t>
  </si>
  <si>
    <t>All Interest-Bearing Funds</t>
  </si>
  <si>
    <t>UBPRE115</t>
  </si>
  <si>
    <t>Domestic Banking Offices(#)</t>
  </si>
  <si>
    <t>UBPRD218</t>
  </si>
  <si>
    <t>Foreign Branches (#)</t>
  </si>
  <si>
    <t>UBPRC595</t>
  </si>
  <si>
    <t>Assets Per Domestic Office</t>
  </si>
  <si>
    <t>UBPRE083</t>
  </si>
  <si>
    <t>BalanceSheet</t>
  </si>
  <si>
    <t>UBPR1410</t>
  </si>
  <si>
    <t>Commercial Loans</t>
  </si>
  <si>
    <t>UBPRE116</t>
  </si>
  <si>
    <t>Individual Loans</t>
  </si>
  <si>
    <t>UBPRD665</t>
  </si>
  <si>
    <t>UBPR1590</t>
  </si>
  <si>
    <t>Other Loans &amp; Leases</t>
  </si>
  <si>
    <t>UBPRE117</t>
  </si>
  <si>
    <t>Unearned Income</t>
  </si>
  <si>
    <t>UBPR2123</t>
  </si>
  <si>
    <t xml:space="preserve">  Net Loans &amp; Leases</t>
  </si>
  <si>
    <t>UBPRE119</t>
  </si>
  <si>
    <t>U.S. Treasury &amp; Agency Securities</t>
  </si>
  <si>
    <t>UBPRE120</t>
  </si>
  <si>
    <t>Municipal Securities</t>
  </si>
  <si>
    <t>UBPR8636</t>
  </si>
  <si>
    <t>Foreign Debt Securities</t>
  </si>
  <si>
    <t>UBPRD657</t>
  </si>
  <si>
    <t>All Other Securities</t>
  </si>
  <si>
    <t>UBPRE121</t>
  </si>
  <si>
    <t>UBPR0071</t>
  </si>
  <si>
    <t>UBPRD493</t>
  </si>
  <si>
    <t>UBPR3545</t>
  </si>
  <si>
    <t xml:space="preserve">  Total Investments</t>
  </si>
  <si>
    <t>UBPRE122</t>
  </si>
  <si>
    <t xml:space="preserve">  Total Earning Assets</t>
  </si>
  <si>
    <t>UBPRE123</t>
  </si>
  <si>
    <t>UBPR0081</t>
  </si>
  <si>
    <t>Premises, Fix Assts, Cap Leases</t>
  </si>
  <si>
    <t>UBPR2145</t>
  </si>
  <si>
    <t>UBPRE130</t>
  </si>
  <si>
    <t>UBPRD304</t>
  </si>
  <si>
    <t>UBPR2130</t>
  </si>
  <si>
    <t>Acceptances &amp; Oth Assets</t>
  </si>
  <si>
    <t>UBPRE124</t>
  </si>
  <si>
    <t xml:space="preserve">  Total Assets</t>
  </si>
  <si>
    <t>UBPR2170</t>
  </si>
  <si>
    <t>Average Assets During Quarter</t>
  </si>
  <si>
    <t>UBPRE878</t>
  </si>
  <si>
    <t xml:space="preserve">Time Deps At Or Below Insurance Limit </t>
  </si>
  <si>
    <t>UBPRK426</t>
  </si>
  <si>
    <t>UBPR2366</t>
  </si>
  <si>
    <t>UBPRK437</t>
  </si>
  <si>
    <t>Federal Funds Purch &amp; Resale</t>
  </si>
  <si>
    <t>UBPRF858</t>
  </si>
  <si>
    <t>UBPRE129</t>
  </si>
  <si>
    <t xml:space="preserve">  Total Liabilities (Incl Mortg)</t>
  </si>
  <si>
    <t>UBPRD662</t>
  </si>
  <si>
    <t xml:space="preserve">  Total Liabilities &amp; Capital</t>
  </si>
  <si>
    <t>UBPR3300</t>
  </si>
  <si>
    <t>Officers, Shareholder Loans (#)</t>
  </si>
  <si>
    <t>UBPR6165</t>
  </si>
  <si>
    <t>Officers, Shareholder Loans ($)</t>
  </si>
  <si>
    <t>UBPR6164</t>
  </si>
  <si>
    <t>UBPR1754</t>
  </si>
  <si>
    <t>UBPR1773</t>
  </si>
  <si>
    <t>LN&amp;LS in Foreign Offices</t>
  </si>
  <si>
    <t>UBPRE118</t>
  </si>
  <si>
    <t>Loans not Held for Sale</t>
  </si>
  <si>
    <t>UBPRB528</t>
  </si>
  <si>
    <t>Uniform Bank Performance Report (UBPR)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</si>
</sst>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18" x14ac:knownFonts="1">
    <font>
      <sz val="10"/>
      <color rgb="FF000000"/>
      <name val="Times New Roman"/>
      <charset val="204"/>
    </font>
    <font>
      <u/>
      <sz val="10"/>
      <color theme="10"/>
      <name val="Times New Roman"/>
      <family val="1"/>
    </font>
    <font>
      <sz val="10"/>
      <color rgb="FF000000"/>
      <name val="Times New Roman"/>
      <family val="1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4"/>
      <name val="Calibri"/>
      <family val="2"/>
    </font>
    <font>
      <b/>
      <sz val="14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00000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theme="0"/>
      <name val="Calibri"/>
      <family val="2"/>
    </font>
    <font>
      <b/>
      <sz val="12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0">
    <xf numFmtId="0" fontId="0" fillId="0" borderId="0" xfId="0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center"/>
    </xf>
    <xf numFmtId="164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Alignment="1">
      <alignment vertical="center"/>
    </xf>
    <xf numFmtId="164" fontId="3" fillId="0" borderId="0" xfId="2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5" fillId="0" borderId="0" xfId="0" applyNumberFormat="1" applyFont="1" applyAlignment="1">
      <alignment vertical="center" wrapText="1"/>
    </xf>
    <xf numFmtId="0" fontId="6" fillId="0" borderId="0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8" fillId="0" borderId="0" xfId="0" applyFont="1" applyFill="1" applyBorder="1" applyAlignment="1">
      <alignment vertical="top" wrapText="1"/>
    </xf>
    <xf numFmtId="1" fontId="9" fillId="3" borderId="2" xfId="0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right" vertical="top"/>
    </xf>
    <xf numFmtId="0" fontId="10" fillId="0" borderId="0" xfId="1" applyFont="1" applyFill="1" applyBorder="1" applyAlignment="1">
      <alignment horizontal="left" vertical="top"/>
    </xf>
    <xf numFmtId="0" fontId="11" fillId="0" borderId="0" xfId="0" applyNumberFormat="1" applyFont="1" applyAlignment="1">
      <alignment vertical="center" wrapText="1"/>
    </xf>
    <xf numFmtId="0" fontId="4" fillId="0" borderId="0" xfId="2" applyNumberFormat="1" applyFont="1" applyAlignment="1">
      <alignment horizontal="center" vertical="center"/>
    </xf>
    <xf numFmtId="1" fontId="5" fillId="0" borderId="0" xfId="2" applyNumberFormat="1" applyFont="1" applyAlignment="1">
      <alignment horizontal="center" vertical="center"/>
    </xf>
    <xf numFmtId="0" fontId="12" fillId="2" borderId="1" xfId="0" applyFont="1" applyFill="1" applyBorder="1" applyAlignment="1">
      <alignment horizontal="left" vertical="center" wrapText="1"/>
    </xf>
    <xf numFmtId="164" fontId="12" fillId="2" borderId="1" xfId="2" applyNumberFormat="1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center" vertical="center" wrapText="1"/>
    </xf>
    <xf numFmtId="164" fontId="13" fillId="0" borderId="1" xfId="2" applyNumberFormat="1" applyFont="1" applyFill="1" applyBorder="1" applyAlignment="1">
      <alignment horizontal="right" vertical="center" wrapText="1"/>
    </xf>
    <xf numFmtId="1" fontId="14" fillId="0" borderId="0" xfId="2" applyNumberFormat="1" applyFont="1" applyAlignment="1">
      <alignment vertical="center"/>
    </xf>
    <xf numFmtId="0" fontId="8" fillId="0" borderId="0" xfId="0" applyFont="1" applyFill="1" applyBorder="1" applyAlignment="1">
      <alignment horizontal="right" vertical="top" wrapText="1" indent="1"/>
    </xf>
    <xf numFmtId="0" fontId="6" fillId="0" borderId="0" xfId="0" applyFont="1" applyFill="1" applyBorder="1" applyAlignment="1">
      <alignment horizontal="left" vertical="center"/>
    </xf>
    <xf numFmtId="1" fontId="9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1" fontId="9" fillId="3" borderId="3" xfId="0" applyNumberFormat="1" applyFont="1" applyFill="1" applyBorder="1" applyAlignment="1">
      <alignment horizontal="center" vertical="center" wrapText="1"/>
    </xf>
    <xf numFmtId="43" fontId="13" fillId="0" borderId="1" xfId="2" applyNumberFormat="1" applyFont="1" applyFill="1" applyBorder="1" applyAlignment="1">
      <alignment horizontal="right" vertical="center" wrapText="1"/>
    </xf>
    <xf numFmtId="165" fontId="13" fillId="0" borderId="1" xfId="2" applyNumberFormat="1" applyFont="1" applyFill="1" applyBorder="1" applyAlignment="1">
      <alignment horizontal="right" vertical="center" wrapText="1"/>
    </xf>
    <xf numFmtId="0" fontId="17" fillId="0" borderId="0" xfId="0" applyNumberFormat="1" applyFont="1" applyAlignment="1">
      <alignment horizontal="left" vertical="center" wrapText="1"/>
    </xf>
    <xf numFmtId="0" fontId="11" fillId="0" borderId="0" xfId="0" applyNumberFormat="1" applyFont="1" applyAlignment="1">
      <alignment horizontal="left" vertical="center" wrapText="1"/>
    </xf>
    <xf numFmtId="43" fontId="12" fillId="2" borderId="1" xfId="2" applyNumberFormat="1" applyFont="1" applyFill="1" applyBorder="1" applyAlignment="1">
      <alignment horizontal="left" vertical="center" wrapText="1"/>
    </xf>
    <xf numFmtId="0" fontId="5" fillId="0" borderId="0" xfId="0" applyNumberFormat="1" applyFont="1" applyAlignment="1">
      <alignment vertical="center"/>
    </xf>
    <xf numFmtId="0" fontId="10" fillId="0" borderId="0" xfId="1" applyFont="1" applyFill="1" applyBorder="1" applyAlignment="1">
      <alignment horizontal="center" vertical="top"/>
    </xf>
    <xf numFmtId="0" fontId="15" fillId="0" borderId="0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6</xdr:row>
          <xdr:rowOff>0</xdr:rowOff>
        </xdr:from>
        <xdr:to>
          <xdr:col>2</xdr:col>
          <xdr:colOff>847725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BankFinancials"/>
      <definedName name="IntrinioBankFundamentals"/>
      <definedName name="IntrinioDataPoi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Basis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asis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  <pageSetUpPr fitToPage="1"/>
  </sheetPr>
  <dimension ref="A1:C46"/>
  <sheetViews>
    <sheetView tabSelected="1" zoomScaleNormal="100" zoomScaleSheetLayoutView="100" workbookViewId="0">
      <selection activeCell="B7" sqref="B7"/>
    </sheetView>
  </sheetViews>
  <sheetFormatPr defaultColWidth="9.140625" defaultRowHeight="18" x14ac:dyDescent="0.4"/>
  <cols>
    <col min="1" max="1" width="48.5" style="11" customWidth="1"/>
    <col min="2" max="2" width="19.35546875" style="11" customWidth="1"/>
    <col min="3" max="3" width="40" style="11" customWidth="1"/>
    <col min="4" max="16384" width="9.140625" style="11"/>
  </cols>
  <sheetData>
    <row r="1" spans="1:3" x14ac:dyDescent="0.4">
      <c r="A1" s="39" t="s">
        <v>9</v>
      </c>
      <c r="B1" s="39"/>
      <c r="C1" s="39"/>
    </row>
    <row r="2" spans="1:3" x14ac:dyDescent="0.4">
      <c r="A2" s="39" t="s">
        <v>0</v>
      </c>
      <c r="B2" s="39"/>
      <c r="C2" s="39"/>
    </row>
    <row r="3" spans="1:3" x14ac:dyDescent="0.4">
      <c r="A3" s="39" t="s">
        <v>1</v>
      </c>
      <c r="B3" s="39"/>
      <c r="C3" s="39"/>
    </row>
    <row r="4" spans="1:3" x14ac:dyDescent="0.4">
      <c r="A4" s="10"/>
    </row>
    <row r="5" spans="1:3" x14ac:dyDescent="0.4">
      <c r="A5" s="38" t="s">
        <v>1394</v>
      </c>
      <c r="B5" s="38"/>
      <c r="C5" s="38"/>
    </row>
    <row r="6" spans="1:3" ht="18.399999999999999" thickBot="1" x14ac:dyDescent="0.45">
      <c r="A6" s="10"/>
    </row>
    <row r="7" spans="1:3" ht="18.399999999999999" thickBot="1" x14ac:dyDescent="0.45">
      <c r="A7" s="26" t="s">
        <v>19</v>
      </c>
      <c r="B7" s="13"/>
    </row>
    <row r="8" spans="1:3" x14ac:dyDescent="0.4">
      <c r="A8" s="26" t="s">
        <v>10</v>
      </c>
      <c r="B8" s="27" t="str">
        <f>[1]!IntrinioDataPoint(rssd_id,"bank_name")</f>
        <v/>
      </c>
    </row>
    <row r="9" spans="1:3" x14ac:dyDescent="0.4">
      <c r="A9" s="26" t="s">
        <v>11</v>
      </c>
      <c r="B9" s="27" t="str">
        <f>[1]!IntrinioDataPoint(rssd_id,"bank_city")</f>
        <v/>
      </c>
    </row>
    <row r="10" spans="1:3" x14ac:dyDescent="0.4">
      <c r="A10" s="26" t="s">
        <v>12</v>
      </c>
      <c r="B10" s="27" t="str">
        <f>[1]!IntrinioDataPoint(rssd_id,"bank_state")</f>
        <v/>
      </c>
    </row>
    <row r="11" spans="1:3" x14ac:dyDescent="0.4">
      <c r="A11" s="26" t="s">
        <v>13</v>
      </c>
      <c r="B11" s="28" t="str">
        <f>[1]!IntrinioDataPoint(rssd_id,"bank_zip_code")</f>
        <v/>
      </c>
    </row>
    <row r="12" spans="1:3" x14ac:dyDescent="0.4">
      <c r="A12" s="26" t="s">
        <v>18</v>
      </c>
      <c r="B12" s="29" t="str">
        <f>[1]!IntrinioDataPoint(rssd_id,"total_branches")</f>
        <v/>
      </c>
    </row>
    <row r="13" spans="1:3" x14ac:dyDescent="0.4">
      <c r="A13" s="26" t="s">
        <v>14</v>
      </c>
      <c r="B13" s="28" t="str">
        <f>[1]!IntrinioDataPoint(rssd_id,"fdic_certificate_number")</f>
        <v/>
      </c>
    </row>
    <row r="14" spans="1:3" x14ac:dyDescent="0.4">
      <c r="A14" s="26"/>
      <c r="B14" s="14"/>
    </row>
    <row r="15" spans="1:3" x14ac:dyDescent="0.4">
      <c r="A15" s="26" t="s">
        <v>5</v>
      </c>
      <c r="B15" s="30" t="s">
        <v>69</v>
      </c>
    </row>
    <row r="16" spans="1:3" x14ac:dyDescent="0.4">
      <c r="A16" s="26" t="s">
        <v>8</v>
      </c>
      <c r="B16" s="30">
        <v>0</v>
      </c>
    </row>
    <row r="17" spans="1:3" x14ac:dyDescent="0.4">
      <c r="A17" s="26" t="s">
        <v>3</v>
      </c>
      <c r="B17" s="14" t="str">
        <f>[1]!IntrinioBankFundamentals(rssd_id,"RI",fiscal_period_type,fiscal_period_sequence,"fiscal_year")</f>
        <v/>
      </c>
    </row>
    <row r="18" spans="1:3" x14ac:dyDescent="0.4">
      <c r="A18" s="26" t="s">
        <v>4</v>
      </c>
      <c r="B18" s="14" t="str">
        <f>[1]!IntrinioBankFundamentals(rssd_id,"RI",fiscal_period_type,fiscal_period_sequence,"fiscal_period")</f>
        <v/>
      </c>
    </row>
    <row r="19" spans="1:3" x14ac:dyDescent="0.4">
      <c r="A19" s="12"/>
      <c r="B19" s="14"/>
    </row>
    <row r="20" spans="1:3" x14ac:dyDescent="0.4">
      <c r="A20" s="15"/>
    </row>
    <row r="21" spans="1:3" x14ac:dyDescent="0.4">
      <c r="A21" s="39" t="s">
        <v>15</v>
      </c>
      <c r="B21" s="39"/>
      <c r="C21" s="39"/>
    </row>
    <row r="22" spans="1:3" x14ac:dyDescent="0.4">
      <c r="A22" s="37" t="str">
        <f>'Summary Ratios'!A2</f>
        <v>Summary Ratios</v>
      </c>
      <c r="B22" s="37"/>
      <c r="C22" s="37"/>
    </row>
    <row r="23" spans="1:3" x14ac:dyDescent="0.4">
      <c r="A23" s="37" t="s">
        <v>71</v>
      </c>
      <c r="B23" s="37"/>
      <c r="C23" s="37"/>
    </row>
    <row r="24" spans="1:3" x14ac:dyDescent="0.4">
      <c r="A24" s="37" t="s">
        <v>1188</v>
      </c>
      <c r="B24" s="37"/>
      <c r="C24" s="37"/>
    </row>
    <row r="25" spans="1:3" x14ac:dyDescent="0.4">
      <c r="A25" s="37" t="s">
        <v>77</v>
      </c>
      <c r="B25" s="37"/>
      <c r="C25" s="37"/>
    </row>
    <row r="26" spans="1:3" x14ac:dyDescent="0.4">
      <c r="A26" s="37" t="s">
        <v>135</v>
      </c>
      <c r="B26" s="37"/>
      <c r="C26" s="37"/>
    </row>
    <row r="27" spans="1:3" x14ac:dyDescent="0.4">
      <c r="A27" s="37" t="s">
        <v>138</v>
      </c>
      <c r="B27" s="37"/>
      <c r="C27" s="37"/>
    </row>
    <row r="28" spans="1:3" x14ac:dyDescent="0.4">
      <c r="A28" s="37" t="s">
        <v>206</v>
      </c>
      <c r="B28" s="37"/>
      <c r="C28" s="37"/>
    </row>
    <row r="29" spans="1:3" x14ac:dyDescent="0.4">
      <c r="A29" s="37" t="s">
        <v>512</v>
      </c>
      <c r="B29" s="37"/>
      <c r="C29" s="37"/>
    </row>
    <row r="30" spans="1:3" x14ac:dyDescent="0.4">
      <c r="A30" s="37" t="s">
        <v>732</v>
      </c>
      <c r="B30" s="37"/>
      <c r="C30" s="37"/>
    </row>
    <row r="31" spans="1:3" x14ac:dyDescent="0.4">
      <c r="A31" s="37" t="s">
        <v>789</v>
      </c>
      <c r="B31" s="37"/>
      <c r="C31" s="37"/>
    </row>
    <row r="32" spans="1:3" x14ac:dyDescent="0.4">
      <c r="A32" s="37" t="s">
        <v>790</v>
      </c>
      <c r="B32" s="37"/>
      <c r="C32" s="37"/>
    </row>
    <row r="33" spans="1:3" x14ac:dyDescent="0.4">
      <c r="A33" s="37" t="s">
        <v>1189</v>
      </c>
      <c r="B33" s="37"/>
      <c r="C33" s="37"/>
    </row>
    <row r="34" spans="1:3" x14ac:dyDescent="0.4">
      <c r="A34" s="16"/>
    </row>
    <row r="35" spans="1:3" x14ac:dyDescent="0.4">
      <c r="A35" s="16"/>
    </row>
    <row r="36" spans="1:3" x14ac:dyDescent="0.4">
      <c r="A36" s="16"/>
    </row>
    <row r="37" spans="1:3" x14ac:dyDescent="0.4">
      <c r="A37" s="16"/>
    </row>
    <row r="38" spans="1:3" x14ac:dyDescent="0.4">
      <c r="A38" s="16"/>
    </row>
    <row r="39" spans="1:3" x14ac:dyDescent="0.4">
      <c r="A39" s="16"/>
    </row>
    <row r="40" spans="1:3" x14ac:dyDescent="0.4">
      <c r="A40" s="16"/>
    </row>
    <row r="41" spans="1:3" x14ac:dyDescent="0.4">
      <c r="A41" s="16"/>
    </row>
    <row r="42" spans="1:3" x14ac:dyDescent="0.4">
      <c r="A42" s="16"/>
    </row>
    <row r="43" spans="1:3" x14ac:dyDescent="0.4">
      <c r="A43" s="16"/>
    </row>
    <row r="44" spans="1:3" x14ac:dyDescent="0.4">
      <c r="A44" s="16"/>
    </row>
    <row r="45" spans="1:3" x14ac:dyDescent="0.4">
      <c r="A45" s="16"/>
    </row>
    <row r="46" spans="1:3" x14ac:dyDescent="0.4">
      <c r="A46" s="16"/>
    </row>
  </sheetData>
  <mergeCells count="17">
    <mergeCell ref="A5:C5"/>
    <mergeCell ref="A1:C1"/>
    <mergeCell ref="A2:C2"/>
    <mergeCell ref="A3:C3"/>
    <mergeCell ref="A21:C21"/>
    <mergeCell ref="A22:C22"/>
    <mergeCell ref="A23:C23"/>
    <mergeCell ref="A24:C24"/>
    <mergeCell ref="A25:C25"/>
    <mergeCell ref="A26:C26"/>
    <mergeCell ref="A32:C32"/>
    <mergeCell ref="A33:C33"/>
    <mergeCell ref="A27:C27"/>
    <mergeCell ref="A28:C28"/>
    <mergeCell ref="A29:C29"/>
    <mergeCell ref="A30:C30"/>
    <mergeCell ref="A31:C31"/>
  </mergeCells>
  <dataValidations disablePrompts="1" count="2">
    <dataValidation type="list" allowBlank="1" showInputMessage="1" showErrorMessage="1" sqref="B16">
      <formula1>sequences</formula1>
    </dataValidation>
    <dataValidation type="list" allowBlank="1" showInputMessage="1" showErrorMessage="1" sqref="B15">
      <formula1>fiscal_period_types</formula1>
    </dataValidation>
  </dataValidations>
  <hyperlinks>
    <hyperlink ref="A22" location="'Summary Ratios'!A1" display="'Summary Ratios'!A1"/>
    <hyperlink ref="A23" location="'Income Statement'!A1" display="Income Statement"/>
    <hyperlink ref="A24" location="'Non Int Inc Exp Yields'!A1" display="Non Int Inc Exp Yields"/>
    <hyperlink ref="A25" location="'Balance Sheet'!A1" display="Balance Sheet"/>
    <hyperlink ref="A26" location="'Off Balance Sheet Items'!A1" display="Off Balance Sheet Items"/>
    <hyperlink ref="A27" location="'Derivative Instruments'!A1" display="Derivative Instruments"/>
    <hyperlink ref="A28" location="'Derivative Analysis'!A1" display="Derivative Analysis"/>
    <hyperlink ref="A29" location="'Balance Sheet %'!A1" display="Balance Sheet %"/>
    <hyperlink ref="A30" location="'Concentrations of Credit'!A1" display="Concentrations of Credit"/>
    <hyperlink ref="A31" location="'Interest Rate Risk'!A1" display="Interest Rate Risk"/>
    <hyperlink ref="A32" location="'Liquidity &amp; Funding'!A1" display="Liquidity &amp; Funding"/>
    <hyperlink ref="A33" location="'Liquidity &amp; Inv Portfolio'!A1" display="Liqudity &amp; Inv Portfolio"/>
  </hyperlinks>
  <printOptions horizontalCentered="1"/>
  <pageMargins left="0.7" right="0.7" top="0.75" bottom="0.75" header="0.3" footer="0.3"/>
  <pageSetup paperSize="0" scale="72" orientation="portrait" r:id="rId1"/>
  <headerFooter>
    <oddFooter>&amp;L&amp;G&amp;R&amp;P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Update">
                <anchor moveWithCells="1" sizeWithCells="1">
                  <from>
                    <xdr:col>2</xdr:col>
                    <xdr:colOff>123825</xdr:colOff>
                    <xdr:row>6</xdr:row>
                    <xdr:rowOff>0</xdr:rowOff>
                  </from>
                  <to>
                    <xdr:col>2</xdr:col>
                    <xdr:colOff>847725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B21"/>
  <sheetViews>
    <sheetView workbookViewId="0">
      <selection activeCell="A4" sqref="A4"/>
    </sheetView>
  </sheetViews>
  <sheetFormatPr defaultRowHeight="13.15" x14ac:dyDescent="0.4"/>
  <sheetData>
    <row r="1" spans="1:2" x14ac:dyDescent="0.4">
      <c r="A1" s="1" t="s">
        <v>16</v>
      </c>
      <c r="B1" s="1" t="s">
        <v>7</v>
      </c>
    </row>
    <row r="2" spans="1:2" x14ac:dyDescent="0.4">
      <c r="A2" s="1" t="s">
        <v>6</v>
      </c>
      <c r="B2">
        <v>0</v>
      </c>
    </row>
    <row r="3" spans="1:2" x14ac:dyDescent="0.4">
      <c r="A3" s="1" t="s">
        <v>69</v>
      </c>
      <c r="B3">
        <f>+B2+1</f>
        <v>1</v>
      </c>
    </row>
    <row r="4" spans="1:2" x14ac:dyDescent="0.4">
      <c r="B4">
        <f>+B3+1</f>
        <v>2</v>
      </c>
    </row>
    <row r="5" spans="1:2" x14ac:dyDescent="0.4">
      <c r="B5">
        <f t="shared" ref="B5:B21" si="0">+B4+1</f>
        <v>3</v>
      </c>
    </row>
    <row r="6" spans="1:2" x14ac:dyDescent="0.4">
      <c r="B6">
        <f t="shared" si="0"/>
        <v>4</v>
      </c>
    </row>
    <row r="7" spans="1:2" x14ac:dyDescent="0.4">
      <c r="B7">
        <f t="shared" si="0"/>
        <v>5</v>
      </c>
    </row>
    <row r="8" spans="1:2" x14ac:dyDescent="0.4">
      <c r="B8">
        <f t="shared" si="0"/>
        <v>6</v>
      </c>
    </row>
    <row r="9" spans="1:2" x14ac:dyDescent="0.4">
      <c r="B9">
        <f t="shared" si="0"/>
        <v>7</v>
      </c>
    </row>
    <row r="10" spans="1:2" x14ac:dyDescent="0.4">
      <c r="B10">
        <f t="shared" si="0"/>
        <v>8</v>
      </c>
    </row>
    <row r="11" spans="1:2" x14ac:dyDescent="0.4">
      <c r="B11">
        <f t="shared" si="0"/>
        <v>9</v>
      </c>
    </row>
    <row r="12" spans="1:2" x14ac:dyDescent="0.4">
      <c r="B12">
        <f t="shared" si="0"/>
        <v>10</v>
      </c>
    </row>
    <row r="13" spans="1:2" x14ac:dyDescent="0.4">
      <c r="B13">
        <f t="shared" si="0"/>
        <v>11</v>
      </c>
    </row>
    <row r="14" spans="1:2" x14ac:dyDescent="0.4">
      <c r="B14">
        <f t="shared" si="0"/>
        <v>12</v>
      </c>
    </row>
    <row r="15" spans="1:2" x14ac:dyDescent="0.4">
      <c r="B15">
        <f t="shared" si="0"/>
        <v>13</v>
      </c>
    </row>
    <row r="16" spans="1:2" x14ac:dyDescent="0.4">
      <c r="B16">
        <f t="shared" si="0"/>
        <v>14</v>
      </c>
    </row>
    <row r="17" spans="2:2" x14ac:dyDescent="0.4">
      <c r="B17">
        <f t="shared" si="0"/>
        <v>15</v>
      </c>
    </row>
    <row r="18" spans="2:2" x14ac:dyDescent="0.4">
      <c r="B18">
        <f t="shared" si="0"/>
        <v>16</v>
      </c>
    </row>
    <row r="19" spans="2:2" x14ac:dyDescent="0.4">
      <c r="B19">
        <f t="shared" si="0"/>
        <v>17</v>
      </c>
    </row>
    <row r="20" spans="2:2" x14ac:dyDescent="0.4">
      <c r="B20">
        <f t="shared" si="0"/>
        <v>18</v>
      </c>
    </row>
    <row r="21" spans="2:2" x14ac:dyDescent="0.4">
      <c r="B21">
        <f t="shared" si="0"/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/>
    <pageSetUpPr fitToPage="1"/>
  </sheetPr>
  <dimension ref="A1:R60"/>
  <sheetViews>
    <sheetView view="pageBreakPreview" zoomScaleNormal="100" zoomScaleSheetLayoutView="100" workbookViewId="0">
      <pane xSplit="1" ySplit="6" topLeftCell="J7" activePane="bottomRight" state="frozen"/>
      <selection pane="topRight"/>
      <selection pane="bottomLeft"/>
      <selection pane="bottomRight"/>
    </sheetView>
  </sheetViews>
  <sheetFormatPr defaultColWidth="12.640625" defaultRowHeight="18" outlineLevelCol="1" x14ac:dyDescent="0.4"/>
  <cols>
    <col min="1" max="1" width="34.140625" style="8" customWidth="1"/>
    <col min="2" max="2" width="13.14062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x14ac:dyDescent="0.4">
      <c r="A1" s="9" t="str">
        <f>name</f>
        <v/>
      </c>
    </row>
    <row r="2" spans="1:18" x14ac:dyDescent="0.4">
      <c r="A2" s="9" t="s">
        <v>20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1198</v>
      </c>
    </row>
    <row r="3" spans="1:18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2.4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4.25" x14ac:dyDescent="0.4">
      <c r="A7" s="33" t="s">
        <v>21</v>
      </c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4.25" x14ac:dyDescent="0.4">
      <c r="A8" s="33" t="s">
        <v>22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4.25" x14ac:dyDescent="0.4">
      <c r="A9" s="34" t="s">
        <v>23</v>
      </c>
      <c r="B9" s="23" t="s">
        <v>1199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4.25" x14ac:dyDescent="0.4">
      <c r="A10" s="34" t="s">
        <v>24</v>
      </c>
      <c r="B10" s="23" t="s">
        <v>1200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4.25" x14ac:dyDescent="0.4">
      <c r="A11" s="34" t="s">
        <v>25</v>
      </c>
      <c r="B11" s="23" t="s">
        <v>1201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4.25" x14ac:dyDescent="0.4">
      <c r="A12" s="34" t="s">
        <v>26</v>
      </c>
      <c r="B12" s="23" t="s">
        <v>1202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4.25" x14ac:dyDescent="0.4">
      <c r="A13" s="34" t="s">
        <v>27</v>
      </c>
      <c r="B13" s="23" t="s">
        <v>1203</v>
      </c>
      <c r="C13" s="32" t="str">
        <f>IFERROR([1]!IntrinioBankFinancials(rssd_id,$R$2,C$6,C$5,$B13),"")</f>
        <v/>
      </c>
      <c r="D13" s="32" t="str">
        <f>IFERROR([1]!IntrinioBankFinancials(rssd_id,$R$2,D$6,D$5,$B13),"")</f>
        <v/>
      </c>
      <c r="E13" s="32" t="str">
        <f>IFERROR([1]!IntrinioBankFinancials(rssd_id,$R$2,E$6,E$5,$B13),"")</f>
        <v/>
      </c>
      <c r="F13" s="32" t="str">
        <f>IFERROR([1]!IntrinioBankFinancials(rssd_id,$R$2,F$6,F$5,$B13),"")</f>
        <v/>
      </c>
      <c r="G13" s="32" t="str">
        <f>IFERROR([1]!IntrinioBankFinancials(rssd_id,$R$2,G$6,G$5,$B13),"")</f>
        <v/>
      </c>
      <c r="H13" s="32" t="str">
        <f>IFERROR([1]!IntrinioBankFinancials(rssd_id,$R$2,H$6,H$5,$B13),"")</f>
        <v/>
      </c>
      <c r="I13" s="32" t="str">
        <f>IFERROR([1]!IntrinioBankFinancials(rssd_id,$R$2,I$6,I$5,$B13),"")</f>
        <v/>
      </c>
      <c r="J13" s="32" t="str">
        <f>IFERROR([1]!IntrinioBankFinancials(rssd_id,$R$2,J$6,J$5,$B13),"")</f>
        <v/>
      </c>
      <c r="K13" s="32" t="str">
        <f>IFERROR([1]!IntrinioBankFinancials(rssd_id,$R$2,K$6,K$5,$B13),"")</f>
        <v/>
      </c>
      <c r="L13" s="32" t="str">
        <f>IFERROR([1]!IntrinioBankFinancials(rssd_id,$R$2,L$6,L$5,$B13),"")</f>
        <v/>
      </c>
      <c r="M13" s="32" t="str">
        <f>IFERROR([1]!IntrinioBankFinancials(rssd_id,$R$2,M$6,M$5,$B13),"")</f>
        <v/>
      </c>
      <c r="N13" s="32" t="str">
        <f>IFERROR([1]!IntrinioBankFinancials(rssd_id,$R$2,N$6,N$5,$B13),"")</f>
        <v/>
      </c>
      <c r="O13" s="32" t="str">
        <f>IFERROR([1]!IntrinioBankFinancials(rssd_id,$R$2,O$6,O$5,$B13),"")</f>
        <v/>
      </c>
    </row>
    <row r="14" spans="1:18" s="22" customFormat="1" ht="14.25" x14ac:dyDescent="0.4">
      <c r="A14" s="34" t="s">
        <v>28</v>
      </c>
      <c r="B14" s="23" t="s">
        <v>350</v>
      </c>
      <c r="C14" s="32" t="str">
        <f>IFERROR([1]!IntrinioBankFinancials(rssd_id,$R$2,C$6,C$5,$B14),"")</f>
        <v/>
      </c>
      <c r="D14" s="32" t="str">
        <f>IFERROR([1]!IntrinioBankFinancials(rssd_id,$R$2,D$6,D$5,$B14),"")</f>
        <v/>
      </c>
      <c r="E14" s="32" t="str">
        <f>IFERROR([1]!IntrinioBankFinancials(rssd_id,$R$2,E$6,E$5,$B14),"")</f>
        <v/>
      </c>
      <c r="F14" s="32" t="str">
        <f>IFERROR([1]!IntrinioBankFinancials(rssd_id,$R$2,F$6,F$5,$B14),"")</f>
        <v/>
      </c>
      <c r="G14" s="32" t="str">
        <f>IFERROR([1]!IntrinioBankFinancials(rssd_id,$R$2,G$6,G$5,$B14),"")</f>
        <v/>
      </c>
      <c r="H14" s="32" t="str">
        <f>IFERROR([1]!IntrinioBankFinancials(rssd_id,$R$2,H$6,H$5,$B14),"")</f>
        <v/>
      </c>
      <c r="I14" s="32" t="str">
        <f>IFERROR([1]!IntrinioBankFinancials(rssd_id,$R$2,I$6,I$5,$B14),"")</f>
        <v/>
      </c>
      <c r="J14" s="32" t="str">
        <f>IFERROR([1]!IntrinioBankFinancials(rssd_id,$R$2,J$6,J$5,$B14),"")</f>
        <v/>
      </c>
      <c r="K14" s="32" t="str">
        <f>IFERROR([1]!IntrinioBankFinancials(rssd_id,$R$2,K$6,K$5,$B14),"")</f>
        <v/>
      </c>
      <c r="L14" s="32" t="str">
        <f>IFERROR([1]!IntrinioBankFinancials(rssd_id,$R$2,L$6,L$5,$B14),"")</f>
        <v/>
      </c>
      <c r="M14" s="32" t="str">
        <f>IFERROR([1]!IntrinioBankFinancials(rssd_id,$R$2,M$6,M$5,$B14),"")</f>
        <v/>
      </c>
      <c r="N14" s="32" t="str">
        <f>IFERROR([1]!IntrinioBankFinancials(rssd_id,$R$2,N$6,N$5,$B14),"")</f>
        <v/>
      </c>
      <c r="O14" s="32" t="str">
        <f>IFERROR([1]!IntrinioBankFinancials(rssd_id,$R$2,O$6,O$5,$B14),"")</f>
        <v/>
      </c>
    </row>
    <row r="15" spans="1:18" s="22" customFormat="1" ht="14.25" x14ac:dyDescent="0.4">
      <c r="A15" s="34" t="s">
        <v>29</v>
      </c>
      <c r="B15" s="23" t="s">
        <v>1204</v>
      </c>
      <c r="C15" s="32" t="str">
        <f>IFERROR([1]!IntrinioBankFinancials(rssd_id,$R$2,C$6,C$5,$B15),"")</f>
        <v/>
      </c>
      <c r="D15" s="32" t="str">
        <f>IFERROR([1]!IntrinioBankFinancials(rssd_id,$R$2,D$6,D$5,$B15),"")</f>
        <v/>
      </c>
      <c r="E15" s="32" t="str">
        <f>IFERROR([1]!IntrinioBankFinancials(rssd_id,$R$2,E$6,E$5,$B15),"")</f>
        <v/>
      </c>
      <c r="F15" s="32" t="str">
        <f>IFERROR([1]!IntrinioBankFinancials(rssd_id,$R$2,F$6,F$5,$B15),"")</f>
        <v/>
      </c>
      <c r="G15" s="32" t="str">
        <f>IFERROR([1]!IntrinioBankFinancials(rssd_id,$R$2,G$6,G$5,$B15),"")</f>
        <v/>
      </c>
      <c r="H15" s="32" t="str">
        <f>IFERROR([1]!IntrinioBankFinancials(rssd_id,$R$2,H$6,H$5,$B15),"")</f>
        <v/>
      </c>
      <c r="I15" s="32" t="str">
        <f>IFERROR([1]!IntrinioBankFinancials(rssd_id,$R$2,I$6,I$5,$B15),"")</f>
        <v/>
      </c>
      <c r="J15" s="32" t="str">
        <f>IFERROR([1]!IntrinioBankFinancials(rssd_id,$R$2,J$6,J$5,$B15),"")</f>
        <v/>
      </c>
      <c r="K15" s="32" t="str">
        <f>IFERROR([1]!IntrinioBankFinancials(rssd_id,$R$2,K$6,K$5,$B15),"")</f>
        <v/>
      </c>
      <c r="L15" s="32" t="str">
        <f>IFERROR([1]!IntrinioBankFinancials(rssd_id,$R$2,L$6,L$5,$B15),"")</f>
        <v/>
      </c>
      <c r="M15" s="32" t="str">
        <f>IFERROR([1]!IntrinioBankFinancials(rssd_id,$R$2,M$6,M$5,$B15),"")</f>
        <v/>
      </c>
      <c r="N15" s="32" t="str">
        <f>IFERROR([1]!IntrinioBankFinancials(rssd_id,$R$2,N$6,N$5,$B15),"")</f>
        <v/>
      </c>
      <c r="O15" s="32" t="str">
        <f>IFERROR([1]!IntrinioBankFinancials(rssd_id,$R$2,O$6,O$5,$B15),"")</f>
        <v/>
      </c>
    </row>
    <row r="16" spans="1:18" s="22" customFormat="1" ht="14.25" x14ac:dyDescent="0.4">
      <c r="A16" s="34" t="s">
        <v>30</v>
      </c>
      <c r="B16" s="23" t="s">
        <v>1205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4.25" x14ac:dyDescent="0.4">
      <c r="A17" s="34" t="s">
        <v>31</v>
      </c>
      <c r="B17" s="23" t="s">
        <v>1206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4.25" x14ac:dyDescent="0.4">
      <c r="A18" s="34" t="s">
        <v>32</v>
      </c>
      <c r="B18" s="23" t="s">
        <v>1207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4.25" x14ac:dyDescent="0.4">
      <c r="A19" s="34" t="s">
        <v>33</v>
      </c>
      <c r="B19" s="23" t="s">
        <v>1208</v>
      </c>
      <c r="C19" s="32" t="str">
        <f>IFERROR([1]!IntrinioBankFinancials(rssd_id,$R$2,C$6,C$5,$B19),"")</f>
        <v/>
      </c>
      <c r="D19" s="32" t="str">
        <f>IFERROR([1]!IntrinioBankFinancials(rssd_id,$R$2,D$6,D$5,$B19),"")</f>
        <v/>
      </c>
      <c r="E19" s="32" t="str">
        <f>IFERROR([1]!IntrinioBankFinancials(rssd_id,$R$2,E$6,E$5,$B19),"")</f>
        <v/>
      </c>
      <c r="F19" s="32" t="str">
        <f>IFERROR([1]!IntrinioBankFinancials(rssd_id,$R$2,F$6,F$5,$B19),"")</f>
        <v/>
      </c>
      <c r="G19" s="32" t="str">
        <f>IFERROR([1]!IntrinioBankFinancials(rssd_id,$R$2,G$6,G$5,$B19),"")</f>
        <v/>
      </c>
      <c r="H19" s="32" t="str">
        <f>IFERROR([1]!IntrinioBankFinancials(rssd_id,$R$2,H$6,H$5,$B19),"")</f>
        <v/>
      </c>
      <c r="I19" s="32" t="str">
        <f>IFERROR([1]!IntrinioBankFinancials(rssd_id,$R$2,I$6,I$5,$B19),"")</f>
        <v/>
      </c>
      <c r="J19" s="32" t="str">
        <f>IFERROR([1]!IntrinioBankFinancials(rssd_id,$R$2,J$6,J$5,$B19),"")</f>
        <v/>
      </c>
      <c r="K19" s="32" t="str">
        <f>IFERROR([1]!IntrinioBankFinancials(rssd_id,$R$2,K$6,K$5,$B19),"")</f>
        <v/>
      </c>
      <c r="L19" s="32" t="str">
        <f>IFERROR([1]!IntrinioBankFinancials(rssd_id,$R$2,L$6,L$5,$B19),"")</f>
        <v/>
      </c>
      <c r="M19" s="32" t="str">
        <f>IFERROR([1]!IntrinioBankFinancials(rssd_id,$R$2,M$6,M$5,$B19),"")</f>
        <v/>
      </c>
      <c r="N19" s="32" t="str">
        <f>IFERROR([1]!IntrinioBankFinancials(rssd_id,$R$2,N$6,N$5,$B19),"")</f>
        <v/>
      </c>
      <c r="O19" s="32" t="str">
        <f>IFERROR([1]!IntrinioBankFinancials(rssd_id,$R$2,O$6,O$5,$B19),"")</f>
        <v/>
      </c>
    </row>
    <row r="20" spans="1:15" s="22" customFormat="1" ht="14.25" x14ac:dyDescent="0.4">
      <c r="A20" s="34" t="s">
        <v>34</v>
      </c>
      <c r="B20" s="23" t="s">
        <v>1209</v>
      </c>
      <c r="C20" s="32" t="str">
        <f>IFERROR([1]!IntrinioBankFinancials(rssd_id,$R$2,C$6,C$5,$B20),"")</f>
        <v/>
      </c>
      <c r="D20" s="32" t="str">
        <f>IFERROR([1]!IntrinioBankFinancials(rssd_id,$R$2,D$6,D$5,$B20),"")</f>
        <v/>
      </c>
      <c r="E20" s="32" t="str">
        <f>IFERROR([1]!IntrinioBankFinancials(rssd_id,$R$2,E$6,E$5,$B20),"")</f>
        <v/>
      </c>
      <c r="F20" s="32" t="str">
        <f>IFERROR([1]!IntrinioBankFinancials(rssd_id,$R$2,F$6,F$5,$B20),"")</f>
        <v/>
      </c>
      <c r="G20" s="32" t="str">
        <f>IFERROR([1]!IntrinioBankFinancials(rssd_id,$R$2,G$6,G$5,$B20),"")</f>
        <v/>
      </c>
      <c r="H20" s="32" t="str">
        <f>IFERROR([1]!IntrinioBankFinancials(rssd_id,$R$2,H$6,H$5,$B20),"")</f>
        <v/>
      </c>
      <c r="I20" s="32" t="str">
        <f>IFERROR([1]!IntrinioBankFinancials(rssd_id,$R$2,I$6,I$5,$B20),"")</f>
        <v/>
      </c>
      <c r="J20" s="32" t="str">
        <f>IFERROR([1]!IntrinioBankFinancials(rssd_id,$R$2,J$6,J$5,$B20),"")</f>
        <v/>
      </c>
      <c r="K20" s="32" t="str">
        <f>IFERROR([1]!IntrinioBankFinancials(rssd_id,$R$2,K$6,K$5,$B20),"")</f>
        <v/>
      </c>
      <c r="L20" s="32" t="str">
        <f>IFERROR([1]!IntrinioBankFinancials(rssd_id,$R$2,L$6,L$5,$B20),"")</f>
        <v/>
      </c>
      <c r="M20" s="32" t="str">
        <f>IFERROR([1]!IntrinioBankFinancials(rssd_id,$R$2,M$6,M$5,$B20),"")</f>
        <v/>
      </c>
      <c r="N20" s="32" t="str">
        <f>IFERROR([1]!IntrinioBankFinancials(rssd_id,$R$2,N$6,N$5,$B20),"")</f>
        <v/>
      </c>
      <c r="O20" s="32" t="str">
        <f>IFERROR([1]!IntrinioBankFinancials(rssd_id,$R$2,O$6,O$5,$B20),"")</f>
        <v/>
      </c>
    </row>
    <row r="21" spans="1:15" s="22" customFormat="1" ht="14.25" x14ac:dyDescent="0.4">
      <c r="A21" s="34" t="s">
        <v>35</v>
      </c>
      <c r="B21" s="23" t="s">
        <v>1210</v>
      </c>
      <c r="C21" s="32" t="str">
        <f>IFERROR([1]!IntrinioBankFinancials(rssd_id,$R$2,C$6,C$5,$B21),"")</f>
        <v/>
      </c>
      <c r="D21" s="32" t="str">
        <f>IFERROR([1]!IntrinioBankFinancials(rssd_id,$R$2,D$6,D$5,$B21),"")</f>
        <v/>
      </c>
      <c r="E21" s="32" t="str">
        <f>IFERROR([1]!IntrinioBankFinancials(rssd_id,$R$2,E$6,E$5,$B21),"")</f>
        <v/>
      </c>
      <c r="F21" s="32" t="str">
        <f>IFERROR([1]!IntrinioBankFinancials(rssd_id,$R$2,F$6,F$5,$B21),"")</f>
        <v/>
      </c>
      <c r="G21" s="32" t="str">
        <f>IFERROR([1]!IntrinioBankFinancials(rssd_id,$R$2,G$6,G$5,$B21),"")</f>
        <v/>
      </c>
      <c r="H21" s="32" t="str">
        <f>IFERROR([1]!IntrinioBankFinancials(rssd_id,$R$2,H$6,H$5,$B21),"")</f>
        <v/>
      </c>
      <c r="I21" s="32" t="str">
        <f>IFERROR([1]!IntrinioBankFinancials(rssd_id,$R$2,I$6,I$5,$B21),"")</f>
        <v/>
      </c>
      <c r="J21" s="32" t="str">
        <f>IFERROR([1]!IntrinioBankFinancials(rssd_id,$R$2,J$6,J$5,$B21),"")</f>
        <v/>
      </c>
      <c r="K21" s="32" t="str">
        <f>IFERROR([1]!IntrinioBankFinancials(rssd_id,$R$2,K$6,K$5,$B21),"")</f>
        <v/>
      </c>
      <c r="L21" s="32" t="str">
        <f>IFERROR([1]!IntrinioBankFinancials(rssd_id,$R$2,L$6,L$5,$B21),"")</f>
        <v/>
      </c>
      <c r="M21" s="32" t="str">
        <f>IFERROR([1]!IntrinioBankFinancials(rssd_id,$R$2,M$6,M$5,$B21),"")</f>
        <v/>
      </c>
      <c r="N21" s="32" t="str">
        <f>IFERROR([1]!IntrinioBankFinancials(rssd_id,$R$2,N$6,N$5,$B21),"")</f>
        <v/>
      </c>
      <c r="O21" s="32" t="str">
        <f>IFERROR([1]!IntrinioBankFinancials(rssd_id,$R$2,O$6,O$5,$B21),"")</f>
        <v/>
      </c>
    </row>
    <row r="22" spans="1:15" s="22" customFormat="1" ht="14.25" x14ac:dyDescent="0.4">
      <c r="A22" s="34" t="s">
        <v>36</v>
      </c>
      <c r="B22" s="23" t="s">
        <v>1211</v>
      </c>
      <c r="C22" s="32" t="str">
        <f>IFERROR([1]!IntrinioBankFinancials(rssd_id,$R$2,C$6,C$5,$B22),"")</f>
        <v/>
      </c>
      <c r="D22" s="32" t="str">
        <f>IFERROR([1]!IntrinioBankFinancials(rssd_id,$R$2,D$6,D$5,$B22),"")</f>
        <v/>
      </c>
      <c r="E22" s="32" t="str">
        <f>IFERROR([1]!IntrinioBankFinancials(rssd_id,$R$2,E$6,E$5,$B22),"")</f>
        <v/>
      </c>
      <c r="F22" s="32" t="str">
        <f>IFERROR([1]!IntrinioBankFinancials(rssd_id,$R$2,F$6,F$5,$B22),"")</f>
        <v/>
      </c>
      <c r="G22" s="32" t="str">
        <f>IFERROR([1]!IntrinioBankFinancials(rssd_id,$R$2,G$6,G$5,$B22),"")</f>
        <v/>
      </c>
      <c r="H22" s="32" t="str">
        <f>IFERROR([1]!IntrinioBankFinancials(rssd_id,$R$2,H$6,H$5,$B22),"")</f>
        <v/>
      </c>
      <c r="I22" s="32" t="str">
        <f>IFERROR([1]!IntrinioBankFinancials(rssd_id,$R$2,I$6,I$5,$B22),"")</f>
        <v/>
      </c>
      <c r="J22" s="32" t="str">
        <f>IFERROR([1]!IntrinioBankFinancials(rssd_id,$R$2,J$6,J$5,$B22),"")</f>
        <v/>
      </c>
      <c r="K22" s="32" t="str">
        <f>IFERROR([1]!IntrinioBankFinancials(rssd_id,$R$2,K$6,K$5,$B22),"")</f>
        <v/>
      </c>
      <c r="L22" s="32" t="str">
        <f>IFERROR([1]!IntrinioBankFinancials(rssd_id,$R$2,L$6,L$5,$B22),"")</f>
        <v/>
      </c>
      <c r="M22" s="32" t="str">
        <f>IFERROR([1]!IntrinioBankFinancials(rssd_id,$R$2,M$6,M$5,$B22),"")</f>
        <v/>
      </c>
      <c r="N22" s="32" t="str">
        <f>IFERROR([1]!IntrinioBankFinancials(rssd_id,$R$2,N$6,N$5,$B22),"")</f>
        <v/>
      </c>
      <c r="O22" s="32" t="str">
        <f>IFERROR([1]!IntrinioBankFinancials(rssd_id,$R$2,O$6,O$5,$B22),"")</f>
        <v/>
      </c>
    </row>
    <row r="23" spans="1:15" s="22" customFormat="1" ht="14.25" x14ac:dyDescent="0.4">
      <c r="A23" s="34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</row>
    <row r="24" spans="1:15" s="22" customFormat="1" ht="14.25" x14ac:dyDescent="0.4">
      <c r="A24" s="33" t="s">
        <v>37</v>
      </c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</row>
    <row r="25" spans="1:15" s="22" customFormat="1" ht="14.25" x14ac:dyDescent="0.4">
      <c r="A25" s="34" t="s">
        <v>38</v>
      </c>
      <c r="B25" s="23" t="s">
        <v>1212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4.25" x14ac:dyDescent="0.4">
      <c r="A26" s="34" t="s">
        <v>39</v>
      </c>
      <c r="B26" s="23" t="s">
        <v>1213</v>
      </c>
      <c r="C26" s="32" t="str">
        <f>IFERROR([1]!IntrinioBankFinancials(rssd_id,$R$2,C$6,C$5,$B26),"")</f>
        <v/>
      </c>
      <c r="D26" s="32" t="str">
        <f>IFERROR([1]!IntrinioBankFinancials(rssd_id,$R$2,D$6,D$5,$B26),"")</f>
        <v/>
      </c>
      <c r="E26" s="32" t="str">
        <f>IFERROR([1]!IntrinioBankFinancials(rssd_id,$R$2,E$6,E$5,$B26),"")</f>
        <v/>
      </c>
      <c r="F26" s="32" t="str">
        <f>IFERROR([1]!IntrinioBankFinancials(rssd_id,$R$2,F$6,F$5,$B26),"")</f>
        <v/>
      </c>
      <c r="G26" s="32" t="str">
        <f>IFERROR([1]!IntrinioBankFinancials(rssd_id,$R$2,G$6,G$5,$B26),"")</f>
        <v/>
      </c>
      <c r="H26" s="32" t="str">
        <f>IFERROR([1]!IntrinioBankFinancials(rssd_id,$R$2,H$6,H$5,$B26),"")</f>
        <v/>
      </c>
      <c r="I26" s="32" t="str">
        <f>IFERROR([1]!IntrinioBankFinancials(rssd_id,$R$2,I$6,I$5,$B26),"")</f>
        <v/>
      </c>
      <c r="J26" s="32" t="str">
        <f>IFERROR([1]!IntrinioBankFinancials(rssd_id,$R$2,J$6,J$5,$B26),"")</f>
        <v/>
      </c>
      <c r="K26" s="32" t="str">
        <f>IFERROR([1]!IntrinioBankFinancials(rssd_id,$R$2,K$6,K$5,$B26),"")</f>
        <v/>
      </c>
      <c r="L26" s="32" t="str">
        <f>IFERROR([1]!IntrinioBankFinancials(rssd_id,$R$2,L$6,L$5,$B26),"")</f>
        <v/>
      </c>
      <c r="M26" s="32" t="str">
        <f>IFERROR([1]!IntrinioBankFinancials(rssd_id,$R$2,M$6,M$5,$B26),"")</f>
        <v/>
      </c>
      <c r="N26" s="32" t="str">
        <f>IFERROR([1]!IntrinioBankFinancials(rssd_id,$R$2,N$6,N$5,$B26),"")</f>
        <v/>
      </c>
      <c r="O26" s="32" t="str">
        <f>IFERROR([1]!IntrinioBankFinancials(rssd_id,$R$2,O$6,O$5,$B26),"")</f>
        <v/>
      </c>
    </row>
    <row r="27" spans="1:15" s="22" customFormat="1" ht="14.25" x14ac:dyDescent="0.4">
      <c r="A27" s="34" t="s">
        <v>40</v>
      </c>
      <c r="B27" s="23" t="s">
        <v>1214</v>
      </c>
      <c r="C27" s="32" t="str">
        <f>IFERROR([1]!IntrinioBankFinancials(rssd_id,$R$2,C$6,C$5,$B27),"")</f>
        <v/>
      </c>
      <c r="D27" s="32" t="str">
        <f>IFERROR([1]!IntrinioBankFinancials(rssd_id,$R$2,D$6,D$5,$B27),"")</f>
        <v/>
      </c>
      <c r="E27" s="32" t="str">
        <f>IFERROR([1]!IntrinioBankFinancials(rssd_id,$R$2,E$6,E$5,$B27),"")</f>
        <v/>
      </c>
      <c r="F27" s="32" t="str">
        <f>IFERROR([1]!IntrinioBankFinancials(rssd_id,$R$2,F$6,F$5,$B27),"")</f>
        <v/>
      </c>
      <c r="G27" s="32" t="str">
        <f>IFERROR([1]!IntrinioBankFinancials(rssd_id,$R$2,G$6,G$5,$B27),"")</f>
        <v/>
      </c>
      <c r="H27" s="32" t="str">
        <f>IFERROR([1]!IntrinioBankFinancials(rssd_id,$R$2,H$6,H$5,$B27),"")</f>
        <v/>
      </c>
      <c r="I27" s="32" t="str">
        <f>IFERROR([1]!IntrinioBankFinancials(rssd_id,$R$2,I$6,I$5,$B27),"")</f>
        <v/>
      </c>
      <c r="J27" s="32" t="str">
        <f>IFERROR([1]!IntrinioBankFinancials(rssd_id,$R$2,J$6,J$5,$B27),"")</f>
        <v/>
      </c>
      <c r="K27" s="32" t="str">
        <f>IFERROR([1]!IntrinioBankFinancials(rssd_id,$R$2,K$6,K$5,$B27),"")</f>
        <v/>
      </c>
      <c r="L27" s="32" t="str">
        <f>IFERROR([1]!IntrinioBankFinancials(rssd_id,$R$2,L$6,L$5,$B27),"")</f>
        <v/>
      </c>
      <c r="M27" s="32" t="str">
        <f>IFERROR([1]!IntrinioBankFinancials(rssd_id,$R$2,M$6,M$5,$B27),"")</f>
        <v/>
      </c>
      <c r="N27" s="32" t="str">
        <f>IFERROR([1]!IntrinioBankFinancials(rssd_id,$R$2,N$6,N$5,$B27),"")</f>
        <v/>
      </c>
      <c r="O27" s="32" t="str">
        <f>IFERROR([1]!IntrinioBankFinancials(rssd_id,$R$2,O$6,O$5,$B27),"")</f>
        <v/>
      </c>
    </row>
    <row r="28" spans="1:15" s="22" customFormat="1" ht="14.25" x14ac:dyDescent="0.4">
      <c r="A28" s="34" t="s">
        <v>41</v>
      </c>
      <c r="B28" s="23" t="s">
        <v>1215</v>
      </c>
      <c r="C28" s="32" t="str">
        <f>IFERROR([1]!IntrinioBankFinancials(rssd_id,$R$2,C$6,C$5,$B28),"")</f>
        <v/>
      </c>
      <c r="D28" s="32" t="str">
        <f>IFERROR([1]!IntrinioBankFinancials(rssd_id,$R$2,D$6,D$5,$B28),"")</f>
        <v/>
      </c>
      <c r="E28" s="32" t="str">
        <f>IFERROR([1]!IntrinioBankFinancials(rssd_id,$R$2,E$6,E$5,$B28),"")</f>
        <v/>
      </c>
      <c r="F28" s="32" t="str">
        <f>IFERROR([1]!IntrinioBankFinancials(rssd_id,$R$2,F$6,F$5,$B28),"")</f>
        <v/>
      </c>
      <c r="G28" s="32" t="str">
        <f>IFERROR([1]!IntrinioBankFinancials(rssd_id,$R$2,G$6,G$5,$B28),"")</f>
        <v/>
      </c>
      <c r="H28" s="32" t="str">
        <f>IFERROR([1]!IntrinioBankFinancials(rssd_id,$R$2,H$6,H$5,$B28),"")</f>
        <v/>
      </c>
      <c r="I28" s="32" t="str">
        <f>IFERROR([1]!IntrinioBankFinancials(rssd_id,$R$2,I$6,I$5,$B28),"")</f>
        <v/>
      </c>
      <c r="J28" s="32" t="str">
        <f>IFERROR([1]!IntrinioBankFinancials(rssd_id,$R$2,J$6,J$5,$B28),"")</f>
        <v/>
      </c>
      <c r="K28" s="32" t="str">
        <f>IFERROR([1]!IntrinioBankFinancials(rssd_id,$R$2,K$6,K$5,$B28),"")</f>
        <v/>
      </c>
      <c r="L28" s="32" t="str">
        <f>IFERROR([1]!IntrinioBankFinancials(rssd_id,$R$2,L$6,L$5,$B28),"")</f>
        <v/>
      </c>
      <c r="M28" s="32" t="str">
        <f>IFERROR([1]!IntrinioBankFinancials(rssd_id,$R$2,M$6,M$5,$B28),"")</f>
        <v/>
      </c>
      <c r="N28" s="32" t="str">
        <f>IFERROR([1]!IntrinioBankFinancials(rssd_id,$R$2,N$6,N$5,$B28),"")</f>
        <v/>
      </c>
      <c r="O28" s="32" t="str">
        <f>IFERROR([1]!IntrinioBankFinancials(rssd_id,$R$2,O$6,O$5,$B28),"")</f>
        <v/>
      </c>
    </row>
    <row r="29" spans="1:15" s="22" customFormat="1" ht="14.25" x14ac:dyDescent="0.4">
      <c r="A29" s="34" t="s">
        <v>42</v>
      </c>
      <c r="B29" s="23" t="s">
        <v>1216</v>
      </c>
      <c r="C29" s="32" t="str">
        <f>IFERROR([1]!IntrinioBankFinancials(rssd_id,$R$2,C$6,C$5,$B29),"")</f>
        <v/>
      </c>
      <c r="D29" s="32" t="str">
        <f>IFERROR([1]!IntrinioBankFinancials(rssd_id,$R$2,D$6,D$5,$B29),"")</f>
        <v/>
      </c>
      <c r="E29" s="32" t="str">
        <f>IFERROR([1]!IntrinioBankFinancials(rssd_id,$R$2,E$6,E$5,$B29),"")</f>
        <v/>
      </c>
      <c r="F29" s="32" t="str">
        <f>IFERROR([1]!IntrinioBankFinancials(rssd_id,$R$2,F$6,F$5,$B29),"")</f>
        <v/>
      </c>
      <c r="G29" s="32" t="str">
        <f>IFERROR([1]!IntrinioBankFinancials(rssd_id,$R$2,G$6,G$5,$B29),"")</f>
        <v/>
      </c>
      <c r="H29" s="32" t="str">
        <f>IFERROR([1]!IntrinioBankFinancials(rssd_id,$R$2,H$6,H$5,$B29),"")</f>
        <v/>
      </c>
      <c r="I29" s="32" t="str">
        <f>IFERROR([1]!IntrinioBankFinancials(rssd_id,$R$2,I$6,I$5,$B29),"")</f>
        <v/>
      </c>
      <c r="J29" s="32" t="str">
        <f>IFERROR([1]!IntrinioBankFinancials(rssd_id,$R$2,J$6,J$5,$B29),"")</f>
        <v/>
      </c>
      <c r="K29" s="32" t="str">
        <f>IFERROR([1]!IntrinioBankFinancials(rssd_id,$R$2,K$6,K$5,$B29),"")</f>
        <v/>
      </c>
      <c r="L29" s="32" t="str">
        <f>IFERROR([1]!IntrinioBankFinancials(rssd_id,$R$2,L$6,L$5,$B29),"")</f>
        <v/>
      </c>
      <c r="M29" s="32" t="str">
        <f>IFERROR([1]!IntrinioBankFinancials(rssd_id,$R$2,M$6,M$5,$B29),"")</f>
        <v/>
      </c>
      <c r="N29" s="32" t="str">
        <f>IFERROR([1]!IntrinioBankFinancials(rssd_id,$R$2,N$6,N$5,$B29),"")</f>
        <v/>
      </c>
      <c r="O29" s="32" t="str">
        <f>IFERROR([1]!IntrinioBankFinancials(rssd_id,$R$2,O$6,O$5,$B29),"")</f>
        <v/>
      </c>
    </row>
    <row r="30" spans="1:15" s="22" customFormat="1" ht="14.25" x14ac:dyDescent="0.4">
      <c r="A30" s="34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</row>
    <row r="31" spans="1:15" s="22" customFormat="1" ht="14.25" x14ac:dyDescent="0.4">
      <c r="A31" s="33" t="s">
        <v>43</v>
      </c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1:15" s="22" customFormat="1" ht="14.25" x14ac:dyDescent="0.4">
      <c r="A32" s="34" t="s">
        <v>44</v>
      </c>
      <c r="B32" s="23" t="s">
        <v>353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s="22" customFormat="1" ht="14.25" x14ac:dyDescent="0.4">
      <c r="A33" s="34" t="s">
        <v>45</v>
      </c>
      <c r="B33" s="23" t="s">
        <v>363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s="22" customFormat="1" ht="14.25" x14ac:dyDescent="0.4">
      <c r="A34" s="34" t="s">
        <v>46</v>
      </c>
      <c r="B34" s="23" t="s">
        <v>358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4.25" x14ac:dyDescent="0.4">
      <c r="A35" s="34" t="s">
        <v>47</v>
      </c>
      <c r="B35" s="23" t="s">
        <v>360</v>
      </c>
      <c r="C35" s="32" t="str">
        <f>IFERROR([1]!IntrinioBankFinancials(rssd_id,$R$2,C$6,C$5,$B35),"")</f>
        <v/>
      </c>
      <c r="D35" s="32" t="str">
        <f>IFERROR([1]!IntrinioBankFinancials(rssd_id,$R$2,D$6,D$5,$B35),"")</f>
        <v/>
      </c>
      <c r="E35" s="32" t="str">
        <f>IFERROR([1]!IntrinioBankFinancials(rssd_id,$R$2,E$6,E$5,$B35),"")</f>
        <v/>
      </c>
      <c r="F35" s="32" t="str">
        <f>IFERROR([1]!IntrinioBankFinancials(rssd_id,$R$2,F$6,F$5,$B35),"")</f>
        <v/>
      </c>
      <c r="G35" s="32" t="str">
        <f>IFERROR([1]!IntrinioBankFinancials(rssd_id,$R$2,G$6,G$5,$B35),"")</f>
        <v/>
      </c>
      <c r="H35" s="32" t="str">
        <f>IFERROR([1]!IntrinioBankFinancials(rssd_id,$R$2,H$6,H$5,$B35),"")</f>
        <v/>
      </c>
      <c r="I35" s="32" t="str">
        <f>IFERROR([1]!IntrinioBankFinancials(rssd_id,$R$2,I$6,I$5,$B35),"")</f>
        <v/>
      </c>
      <c r="J35" s="32" t="str">
        <f>IFERROR([1]!IntrinioBankFinancials(rssd_id,$R$2,J$6,J$5,$B35),"")</f>
        <v/>
      </c>
      <c r="K35" s="32" t="str">
        <f>IFERROR([1]!IntrinioBankFinancials(rssd_id,$R$2,K$6,K$5,$B35),"")</f>
        <v/>
      </c>
      <c r="L35" s="32" t="str">
        <f>IFERROR([1]!IntrinioBankFinancials(rssd_id,$R$2,L$6,L$5,$B35),"")</f>
        <v/>
      </c>
      <c r="M35" s="32" t="str">
        <f>IFERROR([1]!IntrinioBankFinancials(rssd_id,$R$2,M$6,M$5,$B35),"")</f>
        <v/>
      </c>
      <c r="N35" s="32" t="str">
        <f>IFERROR([1]!IntrinioBankFinancials(rssd_id,$R$2,N$6,N$5,$B35),"")</f>
        <v/>
      </c>
      <c r="O35" s="32" t="str">
        <f>IFERROR([1]!IntrinioBankFinancials(rssd_id,$R$2,O$6,O$5,$B35),"")</f>
        <v/>
      </c>
    </row>
    <row r="36" spans="1:15" s="22" customFormat="1" ht="14.25" x14ac:dyDescent="0.4">
      <c r="A36" s="34" t="s">
        <v>48</v>
      </c>
      <c r="B36" s="23" t="s">
        <v>359</v>
      </c>
      <c r="C36" s="32" t="str">
        <f>IFERROR([1]!IntrinioBankFinancials(rssd_id,$R$2,C$6,C$5,$B36),"")</f>
        <v/>
      </c>
      <c r="D36" s="32" t="str">
        <f>IFERROR([1]!IntrinioBankFinancials(rssd_id,$R$2,D$6,D$5,$B36),"")</f>
        <v/>
      </c>
      <c r="E36" s="32" t="str">
        <f>IFERROR([1]!IntrinioBankFinancials(rssd_id,$R$2,E$6,E$5,$B36),"")</f>
        <v/>
      </c>
      <c r="F36" s="32" t="str">
        <f>IFERROR([1]!IntrinioBankFinancials(rssd_id,$R$2,F$6,F$5,$B36),"")</f>
        <v/>
      </c>
      <c r="G36" s="32" t="str">
        <f>IFERROR([1]!IntrinioBankFinancials(rssd_id,$R$2,G$6,G$5,$B36),"")</f>
        <v/>
      </c>
      <c r="H36" s="32" t="str">
        <f>IFERROR([1]!IntrinioBankFinancials(rssd_id,$R$2,H$6,H$5,$B36),"")</f>
        <v/>
      </c>
      <c r="I36" s="32" t="str">
        <f>IFERROR([1]!IntrinioBankFinancials(rssd_id,$R$2,I$6,I$5,$B36),"")</f>
        <v/>
      </c>
      <c r="J36" s="32" t="str">
        <f>IFERROR([1]!IntrinioBankFinancials(rssd_id,$R$2,J$6,J$5,$B36),"")</f>
        <v/>
      </c>
      <c r="K36" s="32" t="str">
        <f>IFERROR([1]!IntrinioBankFinancials(rssd_id,$R$2,K$6,K$5,$B36),"")</f>
        <v/>
      </c>
      <c r="L36" s="32" t="str">
        <f>IFERROR([1]!IntrinioBankFinancials(rssd_id,$R$2,L$6,L$5,$B36),"")</f>
        <v/>
      </c>
      <c r="M36" s="32" t="str">
        <f>IFERROR([1]!IntrinioBankFinancials(rssd_id,$R$2,M$6,M$5,$B36),"")</f>
        <v/>
      </c>
      <c r="N36" s="32" t="str">
        <f>IFERROR([1]!IntrinioBankFinancials(rssd_id,$R$2,N$6,N$5,$B36),"")</f>
        <v/>
      </c>
      <c r="O36" s="32" t="str">
        <f>IFERROR([1]!IntrinioBankFinancials(rssd_id,$R$2,O$6,O$5,$B36),"")</f>
        <v/>
      </c>
    </row>
    <row r="37" spans="1:15" s="22" customFormat="1" ht="14.25" x14ac:dyDescent="0.4">
      <c r="A37" s="34" t="s">
        <v>49</v>
      </c>
      <c r="B37" s="23" t="s">
        <v>700</v>
      </c>
      <c r="C37" s="32" t="str">
        <f>IFERROR([1]!IntrinioBankFinancials(rssd_id,$R$2,C$6,C$5,$B37),"")</f>
        <v/>
      </c>
      <c r="D37" s="32" t="str">
        <f>IFERROR([1]!IntrinioBankFinancials(rssd_id,$R$2,D$6,D$5,$B37),"")</f>
        <v/>
      </c>
      <c r="E37" s="32" t="str">
        <f>IFERROR([1]!IntrinioBankFinancials(rssd_id,$R$2,E$6,E$5,$B37),"")</f>
        <v/>
      </c>
      <c r="F37" s="32" t="str">
        <f>IFERROR([1]!IntrinioBankFinancials(rssd_id,$R$2,F$6,F$5,$B37),"")</f>
        <v/>
      </c>
      <c r="G37" s="32" t="str">
        <f>IFERROR([1]!IntrinioBankFinancials(rssd_id,$R$2,G$6,G$5,$B37),"")</f>
        <v/>
      </c>
      <c r="H37" s="32" t="str">
        <f>IFERROR([1]!IntrinioBankFinancials(rssd_id,$R$2,H$6,H$5,$B37),"")</f>
        <v/>
      </c>
      <c r="I37" s="32" t="str">
        <f>IFERROR([1]!IntrinioBankFinancials(rssd_id,$R$2,I$6,I$5,$B37),"")</f>
        <v/>
      </c>
      <c r="J37" s="32" t="str">
        <f>IFERROR([1]!IntrinioBankFinancials(rssd_id,$R$2,J$6,J$5,$B37),"")</f>
        <v/>
      </c>
      <c r="K37" s="32" t="str">
        <f>IFERROR([1]!IntrinioBankFinancials(rssd_id,$R$2,K$6,K$5,$B37),"")</f>
        <v/>
      </c>
      <c r="L37" s="32" t="str">
        <f>IFERROR([1]!IntrinioBankFinancials(rssd_id,$R$2,L$6,L$5,$B37),"")</f>
        <v/>
      </c>
      <c r="M37" s="32" t="str">
        <f>IFERROR([1]!IntrinioBankFinancials(rssd_id,$R$2,M$6,M$5,$B37),"")</f>
        <v/>
      </c>
      <c r="N37" s="32" t="str">
        <f>IFERROR([1]!IntrinioBankFinancials(rssd_id,$R$2,N$6,N$5,$B37),"")</f>
        <v/>
      </c>
      <c r="O37" s="32" t="str">
        <f>IFERROR([1]!IntrinioBankFinancials(rssd_id,$R$2,O$6,O$5,$B37),"")</f>
        <v/>
      </c>
    </row>
    <row r="38" spans="1:15" s="22" customFormat="1" ht="14.25" x14ac:dyDescent="0.4">
      <c r="A38" s="34" t="s">
        <v>50</v>
      </c>
      <c r="B38" s="23" t="s">
        <v>701</v>
      </c>
      <c r="C38" s="32" t="str">
        <f>IFERROR([1]!IntrinioBankFinancials(rssd_id,$R$2,C$6,C$5,$B38),"")</f>
        <v/>
      </c>
      <c r="D38" s="32" t="str">
        <f>IFERROR([1]!IntrinioBankFinancials(rssd_id,$R$2,D$6,D$5,$B38),"")</f>
        <v/>
      </c>
      <c r="E38" s="32" t="str">
        <f>IFERROR([1]!IntrinioBankFinancials(rssd_id,$R$2,E$6,E$5,$B38),"")</f>
        <v/>
      </c>
      <c r="F38" s="32" t="str">
        <f>IFERROR([1]!IntrinioBankFinancials(rssd_id,$R$2,F$6,F$5,$B38),"")</f>
        <v/>
      </c>
      <c r="G38" s="32" t="str">
        <f>IFERROR([1]!IntrinioBankFinancials(rssd_id,$R$2,G$6,G$5,$B38),"")</f>
        <v/>
      </c>
      <c r="H38" s="32" t="str">
        <f>IFERROR([1]!IntrinioBankFinancials(rssd_id,$R$2,H$6,H$5,$B38),"")</f>
        <v/>
      </c>
      <c r="I38" s="32" t="str">
        <f>IFERROR([1]!IntrinioBankFinancials(rssd_id,$R$2,I$6,I$5,$B38),"")</f>
        <v/>
      </c>
      <c r="J38" s="32" t="str">
        <f>IFERROR([1]!IntrinioBankFinancials(rssd_id,$R$2,J$6,J$5,$B38),"")</f>
        <v/>
      </c>
      <c r="K38" s="32" t="str">
        <f>IFERROR([1]!IntrinioBankFinancials(rssd_id,$R$2,K$6,K$5,$B38),"")</f>
        <v/>
      </c>
      <c r="L38" s="32" t="str">
        <f>IFERROR([1]!IntrinioBankFinancials(rssd_id,$R$2,L$6,L$5,$B38),"")</f>
        <v/>
      </c>
      <c r="M38" s="32" t="str">
        <f>IFERROR([1]!IntrinioBankFinancials(rssd_id,$R$2,M$6,M$5,$B38),"")</f>
        <v/>
      </c>
      <c r="N38" s="32" t="str">
        <f>IFERROR([1]!IntrinioBankFinancials(rssd_id,$R$2,N$6,N$5,$B38),"")</f>
        <v/>
      </c>
      <c r="O38" s="32" t="str">
        <f>IFERROR([1]!IntrinioBankFinancials(rssd_id,$R$2,O$6,O$5,$B38),"")</f>
        <v/>
      </c>
    </row>
    <row r="39" spans="1:15" s="22" customFormat="1" ht="14.25" x14ac:dyDescent="0.4">
      <c r="A39" s="34" t="s">
        <v>51</v>
      </c>
      <c r="B39" s="23" t="s">
        <v>702</v>
      </c>
      <c r="C39" s="32" t="str">
        <f>IFERROR([1]!IntrinioBankFinancials(rssd_id,$R$2,C$6,C$5,$B39),"")</f>
        <v/>
      </c>
      <c r="D39" s="32" t="str">
        <f>IFERROR([1]!IntrinioBankFinancials(rssd_id,$R$2,D$6,D$5,$B39),"")</f>
        <v/>
      </c>
      <c r="E39" s="32" t="str">
        <f>IFERROR([1]!IntrinioBankFinancials(rssd_id,$R$2,E$6,E$5,$B39),"")</f>
        <v/>
      </c>
      <c r="F39" s="32" t="str">
        <f>IFERROR([1]!IntrinioBankFinancials(rssd_id,$R$2,F$6,F$5,$B39),"")</f>
        <v/>
      </c>
      <c r="G39" s="32" t="str">
        <f>IFERROR([1]!IntrinioBankFinancials(rssd_id,$R$2,G$6,G$5,$B39),"")</f>
        <v/>
      </c>
      <c r="H39" s="32" t="str">
        <f>IFERROR([1]!IntrinioBankFinancials(rssd_id,$R$2,H$6,H$5,$B39),"")</f>
        <v/>
      </c>
      <c r="I39" s="32" t="str">
        <f>IFERROR([1]!IntrinioBankFinancials(rssd_id,$R$2,I$6,I$5,$B39),"")</f>
        <v/>
      </c>
      <c r="J39" s="32" t="str">
        <f>IFERROR([1]!IntrinioBankFinancials(rssd_id,$R$2,J$6,J$5,$B39),"")</f>
        <v/>
      </c>
      <c r="K39" s="32" t="str">
        <f>IFERROR([1]!IntrinioBankFinancials(rssd_id,$R$2,K$6,K$5,$B39),"")</f>
        <v/>
      </c>
      <c r="L39" s="32" t="str">
        <f>IFERROR([1]!IntrinioBankFinancials(rssd_id,$R$2,L$6,L$5,$B39),"")</f>
        <v/>
      </c>
      <c r="M39" s="32" t="str">
        <f>IFERROR([1]!IntrinioBankFinancials(rssd_id,$R$2,M$6,M$5,$B39),"")</f>
        <v/>
      </c>
      <c r="N39" s="32" t="str">
        <f>IFERROR([1]!IntrinioBankFinancials(rssd_id,$R$2,N$6,N$5,$B39),"")</f>
        <v/>
      </c>
      <c r="O39" s="32" t="str">
        <f>IFERROR([1]!IntrinioBankFinancials(rssd_id,$R$2,O$6,O$5,$B39),"")</f>
        <v/>
      </c>
    </row>
    <row r="40" spans="1:15" s="22" customFormat="1" ht="14.25" x14ac:dyDescent="0.4">
      <c r="A40" s="34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</row>
    <row r="41" spans="1:15" s="22" customFormat="1" ht="14.25" x14ac:dyDescent="0.4">
      <c r="A41" s="33" t="s">
        <v>52</v>
      </c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  <row r="42" spans="1:15" s="22" customFormat="1" ht="14.25" x14ac:dyDescent="0.4">
      <c r="A42" s="34" t="s">
        <v>53</v>
      </c>
      <c r="B42" s="23" t="s">
        <v>815</v>
      </c>
      <c r="C42" s="32" t="str">
        <f>IFERROR([1]!IntrinioBankFinancials(rssd_id,$R$2,C$6,C$5,$B42),"")</f>
        <v/>
      </c>
      <c r="D42" s="32" t="str">
        <f>IFERROR([1]!IntrinioBankFinancials(rssd_id,$R$2,D$6,D$5,$B42),"")</f>
        <v/>
      </c>
      <c r="E42" s="32" t="str">
        <f>IFERROR([1]!IntrinioBankFinancials(rssd_id,$R$2,E$6,E$5,$B42),"")</f>
        <v/>
      </c>
      <c r="F42" s="32" t="str">
        <f>IFERROR([1]!IntrinioBankFinancials(rssd_id,$R$2,F$6,F$5,$B42),"")</f>
        <v/>
      </c>
      <c r="G42" s="32" t="str">
        <f>IFERROR([1]!IntrinioBankFinancials(rssd_id,$R$2,G$6,G$5,$B42),"")</f>
        <v/>
      </c>
      <c r="H42" s="32" t="str">
        <f>IFERROR([1]!IntrinioBankFinancials(rssd_id,$R$2,H$6,H$5,$B42),"")</f>
        <v/>
      </c>
      <c r="I42" s="32" t="str">
        <f>IFERROR([1]!IntrinioBankFinancials(rssd_id,$R$2,I$6,I$5,$B42),"")</f>
        <v/>
      </c>
      <c r="J42" s="32" t="str">
        <f>IFERROR([1]!IntrinioBankFinancials(rssd_id,$R$2,J$6,J$5,$B42),"")</f>
        <v/>
      </c>
      <c r="K42" s="32" t="str">
        <f>IFERROR([1]!IntrinioBankFinancials(rssd_id,$R$2,K$6,K$5,$B42),"")</f>
        <v/>
      </c>
      <c r="L42" s="32" t="str">
        <f>IFERROR([1]!IntrinioBankFinancials(rssd_id,$R$2,L$6,L$5,$B42),"")</f>
        <v/>
      </c>
      <c r="M42" s="32" t="str">
        <f>IFERROR([1]!IntrinioBankFinancials(rssd_id,$R$2,M$6,M$5,$B42),"")</f>
        <v/>
      </c>
      <c r="N42" s="32" t="str">
        <f>IFERROR([1]!IntrinioBankFinancials(rssd_id,$R$2,N$6,N$5,$B42),"")</f>
        <v/>
      </c>
      <c r="O42" s="32" t="str">
        <f>IFERROR([1]!IntrinioBankFinancials(rssd_id,$R$2,O$6,O$5,$B42),"")</f>
        <v/>
      </c>
    </row>
    <row r="43" spans="1:15" s="22" customFormat="1" ht="14.25" x14ac:dyDescent="0.4">
      <c r="A43" s="34" t="s">
        <v>54</v>
      </c>
      <c r="B43" s="23" t="s">
        <v>1217</v>
      </c>
      <c r="C43" s="32" t="str">
        <f>IFERROR([1]!IntrinioBankFinancials(rssd_id,$R$2,C$6,C$5,$B43),"")</f>
        <v/>
      </c>
      <c r="D43" s="32" t="str">
        <f>IFERROR([1]!IntrinioBankFinancials(rssd_id,$R$2,D$6,D$5,$B43),"")</f>
        <v/>
      </c>
      <c r="E43" s="32" t="str">
        <f>IFERROR([1]!IntrinioBankFinancials(rssd_id,$R$2,E$6,E$5,$B43),"")</f>
        <v/>
      </c>
      <c r="F43" s="32" t="str">
        <f>IFERROR([1]!IntrinioBankFinancials(rssd_id,$R$2,F$6,F$5,$B43),"")</f>
        <v/>
      </c>
      <c r="G43" s="32" t="str">
        <f>IFERROR([1]!IntrinioBankFinancials(rssd_id,$R$2,G$6,G$5,$B43),"")</f>
        <v/>
      </c>
      <c r="H43" s="32" t="str">
        <f>IFERROR([1]!IntrinioBankFinancials(rssd_id,$R$2,H$6,H$5,$B43),"")</f>
        <v/>
      </c>
      <c r="I43" s="32" t="str">
        <f>IFERROR([1]!IntrinioBankFinancials(rssd_id,$R$2,I$6,I$5,$B43),"")</f>
        <v/>
      </c>
      <c r="J43" s="32" t="str">
        <f>IFERROR([1]!IntrinioBankFinancials(rssd_id,$R$2,J$6,J$5,$B43),"")</f>
        <v/>
      </c>
      <c r="K43" s="32" t="str">
        <f>IFERROR([1]!IntrinioBankFinancials(rssd_id,$R$2,K$6,K$5,$B43),"")</f>
        <v/>
      </c>
      <c r="L43" s="32" t="str">
        <f>IFERROR([1]!IntrinioBankFinancials(rssd_id,$R$2,L$6,L$5,$B43),"")</f>
        <v/>
      </c>
      <c r="M43" s="32" t="str">
        <f>IFERROR([1]!IntrinioBankFinancials(rssd_id,$R$2,M$6,M$5,$B43),"")</f>
        <v/>
      </c>
      <c r="N43" s="32" t="str">
        <f>IFERROR([1]!IntrinioBankFinancials(rssd_id,$R$2,N$6,N$5,$B43),"")</f>
        <v/>
      </c>
      <c r="O43" s="32" t="str">
        <f>IFERROR([1]!IntrinioBankFinancials(rssd_id,$R$2,O$6,O$5,$B43),"")</f>
        <v/>
      </c>
    </row>
    <row r="44" spans="1:15" s="22" customFormat="1" ht="14.25" x14ac:dyDescent="0.4">
      <c r="A44" s="34"/>
      <c r="B44" s="20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</row>
    <row r="45" spans="1:15" s="22" customFormat="1" ht="14.25" x14ac:dyDescent="0.4">
      <c r="A45" s="33" t="s">
        <v>55</v>
      </c>
      <c r="B45" s="20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</row>
    <row r="46" spans="1:15" s="22" customFormat="1" ht="14.25" x14ac:dyDescent="0.4">
      <c r="A46" s="34" t="s">
        <v>56</v>
      </c>
      <c r="B46" s="23" t="s">
        <v>980</v>
      </c>
      <c r="C46" s="32" t="str">
        <f>IFERROR([1]!IntrinioBankFinancials(rssd_id,$R$2,C$6,C$5,$B46),"")</f>
        <v/>
      </c>
      <c r="D46" s="32" t="str">
        <f>IFERROR([1]!IntrinioBankFinancials(rssd_id,$R$2,D$6,D$5,$B46),"")</f>
        <v/>
      </c>
      <c r="E46" s="32" t="str">
        <f>IFERROR([1]!IntrinioBankFinancials(rssd_id,$R$2,E$6,E$5,$B46),"")</f>
        <v/>
      </c>
      <c r="F46" s="32" t="str">
        <f>IFERROR([1]!IntrinioBankFinancials(rssd_id,$R$2,F$6,F$5,$B46),"")</f>
        <v/>
      </c>
      <c r="G46" s="32" t="str">
        <f>IFERROR([1]!IntrinioBankFinancials(rssd_id,$R$2,G$6,G$5,$B46),"")</f>
        <v/>
      </c>
      <c r="H46" s="32" t="str">
        <f>IFERROR([1]!IntrinioBankFinancials(rssd_id,$R$2,H$6,H$5,$B46),"")</f>
        <v/>
      </c>
      <c r="I46" s="32" t="str">
        <f>IFERROR([1]!IntrinioBankFinancials(rssd_id,$R$2,I$6,I$5,$B46),"")</f>
        <v/>
      </c>
      <c r="J46" s="32" t="str">
        <f>IFERROR([1]!IntrinioBankFinancials(rssd_id,$R$2,J$6,J$5,$B46),"")</f>
        <v/>
      </c>
      <c r="K46" s="32" t="str">
        <f>IFERROR([1]!IntrinioBankFinancials(rssd_id,$R$2,K$6,K$5,$B46),"")</f>
        <v/>
      </c>
      <c r="L46" s="32" t="str">
        <f>IFERROR([1]!IntrinioBankFinancials(rssd_id,$R$2,L$6,L$5,$B46),"")</f>
        <v/>
      </c>
      <c r="M46" s="32" t="str">
        <f>IFERROR([1]!IntrinioBankFinancials(rssd_id,$R$2,M$6,M$5,$B46),"")</f>
        <v/>
      </c>
      <c r="N46" s="32" t="str">
        <f>IFERROR([1]!IntrinioBankFinancials(rssd_id,$R$2,N$6,N$5,$B46),"")</f>
        <v/>
      </c>
      <c r="O46" s="32" t="str">
        <f>IFERROR([1]!IntrinioBankFinancials(rssd_id,$R$2,O$6,O$5,$B46),"")</f>
        <v/>
      </c>
    </row>
    <row r="47" spans="1:15" s="22" customFormat="1" ht="14.25" x14ac:dyDescent="0.4">
      <c r="A47" s="34" t="s">
        <v>57</v>
      </c>
      <c r="B47" s="23" t="s">
        <v>1218</v>
      </c>
      <c r="C47" s="32" t="str">
        <f>IFERROR([1]!IntrinioBankFinancials(rssd_id,$R$2,C$6,C$5,$B47),"")</f>
        <v/>
      </c>
      <c r="D47" s="32" t="str">
        <f>IFERROR([1]!IntrinioBankFinancials(rssd_id,$R$2,D$6,D$5,$B47),"")</f>
        <v/>
      </c>
      <c r="E47" s="32" t="str">
        <f>IFERROR([1]!IntrinioBankFinancials(rssd_id,$R$2,E$6,E$5,$B47),"")</f>
        <v/>
      </c>
      <c r="F47" s="32" t="str">
        <f>IFERROR([1]!IntrinioBankFinancials(rssd_id,$R$2,F$6,F$5,$B47),"")</f>
        <v/>
      </c>
      <c r="G47" s="32" t="str">
        <f>IFERROR([1]!IntrinioBankFinancials(rssd_id,$R$2,G$6,G$5,$B47),"")</f>
        <v/>
      </c>
      <c r="H47" s="32" t="str">
        <f>IFERROR([1]!IntrinioBankFinancials(rssd_id,$R$2,H$6,H$5,$B47),"")</f>
        <v/>
      </c>
      <c r="I47" s="32" t="str">
        <f>IFERROR([1]!IntrinioBankFinancials(rssd_id,$R$2,I$6,I$5,$B47),"")</f>
        <v/>
      </c>
      <c r="J47" s="32" t="str">
        <f>IFERROR([1]!IntrinioBankFinancials(rssd_id,$R$2,J$6,J$5,$B47),"")</f>
        <v/>
      </c>
      <c r="K47" s="32" t="str">
        <f>IFERROR([1]!IntrinioBankFinancials(rssd_id,$R$2,K$6,K$5,$B47),"")</f>
        <v/>
      </c>
      <c r="L47" s="32" t="str">
        <f>IFERROR([1]!IntrinioBankFinancials(rssd_id,$R$2,L$6,L$5,$B47),"")</f>
        <v/>
      </c>
      <c r="M47" s="32" t="str">
        <f>IFERROR([1]!IntrinioBankFinancials(rssd_id,$R$2,M$6,M$5,$B47),"")</f>
        <v/>
      </c>
      <c r="N47" s="32" t="str">
        <f>IFERROR([1]!IntrinioBankFinancials(rssd_id,$R$2,N$6,N$5,$B47),"")</f>
        <v/>
      </c>
      <c r="O47" s="32" t="str">
        <f>IFERROR([1]!IntrinioBankFinancials(rssd_id,$R$2,O$6,O$5,$B47),"")</f>
        <v/>
      </c>
    </row>
    <row r="48" spans="1:15" s="22" customFormat="1" ht="14.25" x14ac:dyDescent="0.4">
      <c r="A48" s="34" t="s">
        <v>58</v>
      </c>
      <c r="B48" s="23" t="s">
        <v>961</v>
      </c>
      <c r="C48" s="32" t="str">
        <f>IFERROR([1]!IntrinioBankFinancials(rssd_id,$R$2,C$6,C$5,$B48),"")</f>
        <v/>
      </c>
      <c r="D48" s="32" t="str">
        <f>IFERROR([1]!IntrinioBankFinancials(rssd_id,$R$2,D$6,D$5,$B48),"")</f>
        <v/>
      </c>
      <c r="E48" s="32" t="str">
        <f>IFERROR([1]!IntrinioBankFinancials(rssd_id,$R$2,E$6,E$5,$B48),"")</f>
        <v/>
      </c>
      <c r="F48" s="32" t="str">
        <f>IFERROR([1]!IntrinioBankFinancials(rssd_id,$R$2,F$6,F$5,$B48),"")</f>
        <v/>
      </c>
      <c r="G48" s="32" t="str">
        <f>IFERROR([1]!IntrinioBankFinancials(rssd_id,$R$2,G$6,G$5,$B48),"")</f>
        <v/>
      </c>
      <c r="H48" s="32" t="str">
        <f>IFERROR([1]!IntrinioBankFinancials(rssd_id,$R$2,H$6,H$5,$B48),"")</f>
        <v/>
      </c>
      <c r="I48" s="32" t="str">
        <f>IFERROR([1]!IntrinioBankFinancials(rssd_id,$R$2,I$6,I$5,$B48),"")</f>
        <v/>
      </c>
      <c r="J48" s="32" t="str">
        <f>IFERROR([1]!IntrinioBankFinancials(rssd_id,$R$2,J$6,J$5,$B48),"")</f>
        <v/>
      </c>
      <c r="K48" s="32" t="str">
        <f>IFERROR([1]!IntrinioBankFinancials(rssd_id,$R$2,K$6,K$5,$B48),"")</f>
        <v/>
      </c>
      <c r="L48" s="32" t="str">
        <f>IFERROR([1]!IntrinioBankFinancials(rssd_id,$R$2,L$6,L$5,$B48),"")</f>
        <v/>
      </c>
      <c r="M48" s="32" t="str">
        <f>IFERROR([1]!IntrinioBankFinancials(rssd_id,$R$2,M$6,M$5,$B48),"")</f>
        <v/>
      </c>
      <c r="N48" s="32" t="str">
        <f>IFERROR([1]!IntrinioBankFinancials(rssd_id,$R$2,N$6,N$5,$B48),"")</f>
        <v/>
      </c>
      <c r="O48" s="32" t="str">
        <f>IFERROR([1]!IntrinioBankFinancials(rssd_id,$R$2,O$6,O$5,$B48),"")</f>
        <v/>
      </c>
    </row>
    <row r="49" spans="1:15" s="22" customFormat="1" ht="14.25" x14ac:dyDescent="0.4">
      <c r="A49" s="34" t="s">
        <v>59</v>
      </c>
      <c r="B49" s="23" t="s">
        <v>1219</v>
      </c>
      <c r="C49" s="32" t="str">
        <f>IFERROR([1]!IntrinioBankFinancials(rssd_id,$R$2,C$6,C$5,$B49),"")</f>
        <v/>
      </c>
      <c r="D49" s="32" t="str">
        <f>IFERROR([1]!IntrinioBankFinancials(rssd_id,$R$2,D$6,D$5,$B49),"")</f>
        <v/>
      </c>
      <c r="E49" s="32" t="str">
        <f>IFERROR([1]!IntrinioBankFinancials(rssd_id,$R$2,E$6,E$5,$B49),"")</f>
        <v/>
      </c>
      <c r="F49" s="32" t="str">
        <f>IFERROR([1]!IntrinioBankFinancials(rssd_id,$R$2,F$6,F$5,$B49),"")</f>
        <v/>
      </c>
      <c r="G49" s="32" t="str">
        <f>IFERROR([1]!IntrinioBankFinancials(rssd_id,$R$2,G$6,G$5,$B49),"")</f>
        <v/>
      </c>
      <c r="H49" s="32" t="str">
        <f>IFERROR([1]!IntrinioBankFinancials(rssd_id,$R$2,H$6,H$5,$B49),"")</f>
        <v/>
      </c>
      <c r="I49" s="32" t="str">
        <f>IFERROR([1]!IntrinioBankFinancials(rssd_id,$R$2,I$6,I$5,$B49),"")</f>
        <v/>
      </c>
      <c r="J49" s="32" t="str">
        <f>IFERROR([1]!IntrinioBankFinancials(rssd_id,$R$2,J$6,J$5,$B49),"")</f>
        <v/>
      </c>
      <c r="K49" s="32" t="str">
        <f>IFERROR([1]!IntrinioBankFinancials(rssd_id,$R$2,K$6,K$5,$B49),"")</f>
        <v/>
      </c>
      <c r="L49" s="32" t="str">
        <f>IFERROR([1]!IntrinioBankFinancials(rssd_id,$R$2,L$6,L$5,$B49),"")</f>
        <v/>
      </c>
      <c r="M49" s="32" t="str">
        <f>IFERROR([1]!IntrinioBankFinancials(rssd_id,$R$2,M$6,M$5,$B49),"")</f>
        <v/>
      </c>
      <c r="N49" s="32" t="str">
        <f>IFERROR([1]!IntrinioBankFinancials(rssd_id,$R$2,N$6,N$5,$B49),"")</f>
        <v/>
      </c>
      <c r="O49" s="32" t="str">
        <f>IFERROR([1]!IntrinioBankFinancials(rssd_id,$R$2,O$6,O$5,$B49),"")</f>
        <v/>
      </c>
    </row>
    <row r="50" spans="1:15" s="22" customFormat="1" ht="14.25" x14ac:dyDescent="0.4">
      <c r="A50" s="34"/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  <row r="51" spans="1:15" s="22" customFormat="1" ht="14.25" x14ac:dyDescent="0.4">
      <c r="A51" s="33" t="s">
        <v>60</v>
      </c>
      <c r="B51" s="20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</row>
    <row r="52" spans="1:15" s="22" customFormat="1" ht="14.25" x14ac:dyDescent="0.4">
      <c r="A52" s="34" t="s">
        <v>61</v>
      </c>
      <c r="B52" s="23" t="s">
        <v>1220</v>
      </c>
      <c r="C52" s="32" t="str">
        <f>IFERROR([1]!IntrinioBankFinancials(rssd_id,$R$2,C$6,C$5,$B52),"")</f>
        <v/>
      </c>
      <c r="D52" s="32" t="str">
        <f>IFERROR([1]!IntrinioBankFinancials(rssd_id,$R$2,D$6,D$5,$B52),"")</f>
        <v/>
      </c>
      <c r="E52" s="32" t="str">
        <f>IFERROR([1]!IntrinioBankFinancials(rssd_id,$R$2,E$6,E$5,$B52),"")</f>
        <v/>
      </c>
      <c r="F52" s="32" t="str">
        <f>IFERROR([1]!IntrinioBankFinancials(rssd_id,$R$2,F$6,F$5,$B52),"")</f>
        <v/>
      </c>
      <c r="G52" s="32" t="str">
        <f>IFERROR([1]!IntrinioBankFinancials(rssd_id,$R$2,G$6,G$5,$B52),"")</f>
        <v/>
      </c>
      <c r="H52" s="32" t="str">
        <f>IFERROR([1]!IntrinioBankFinancials(rssd_id,$R$2,H$6,H$5,$B52),"")</f>
        <v/>
      </c>
      <c r="I52" s="32" t="str">
        <f>IFERROR([1]!IntrinioBankFinancials(rssd_id,$R$2,I$6,I$5,$B52),"")</f>
        <v/>
      </c>
      <c r="J52" s="32" t="str">
        <f>IFERROR([1]!IntrinioBankFinancials(rssd_id,$R$2,J$6,J$5,$B52),"")</f>
        <v/>
      </c>
      <c r="K52" s="32" t="str">
        <f>IFERROR([1]!IntrinioBankFinancials(rssd_id,$R$2,K$6,K$5,$B52),"")</f>
        <v/>
      </c>
      <c r="L52" s="32" t="str">
        <f>IFERROR([1]!IntrinioBankFinancials(rssd_id,$R$2,L$6,L$5,$B52),"")</f>
        <v/>
      </c>
      <c r="M52" s="32" t="str">
        <f>IFERROR([1]!IntrinioBankFinancials(rssd_id,$R$2,M$6,M$5,$B52),"")</f>
        <v/>
      </c>
      <c r="N52" s="32" t="str">
        <f>IFERROR([1]!IntrinioBankFinancials(rssd_id,$R$2,N$6,N$5,$B52),"")</f>
        <v/>
      </c>
      <c r="O52" s="32" t="str">
        <f>IFERROR([1]!IntrinioBankFinancials(rssd_id,$R$2,O$6,O$5,$B52),"")</f>
        <v/>
      </c>
    </row>
    <row r="53" spans="1:15" s="22" customFormat="1" ht="14.25" x14ac:dyDescent="0.4">
      <c r="A53" s="34" t="s">
        <v>62</v>
      </c>
      <c r="B53" s="23" t="s">
        <v>1221</v>
      </c>
      <c r="C53" s="32" t="str">
        <f>IFERROR([1]!IntrinioBankFinancials(rssd_id,$R$2,C$6,C$5,$B53),"")</f>
        <v/>
      </c>
      <c r="D53" s="32" t="str">
        <f>IFERROR([1]!IntrinioBankFinancials(rssd_id,$R$2,D$6,D$5,$B53),"")</f>
        <v/>
      </c>
      <c r="E53" s="32" t="str">
        <f>IFERROR([1]!IntrinioBankFinancials(rssd_id,$R$2,E$6,E$5,$B53),"")</f>
        <v/>
      </c>
      <c r="F53" s="32" t="str">
        <f>IFERROR([1]!IntrinioBankFinancials(rssd_id,$R$2,F$6,F$5,$B53),"")</f>
        <v/>
      </c>
      <c r="G53" s="32" t="str">
        <f>IFERROR([1]!IntrinioBankFinancials(rssd_id,$R$2,G$6,G$5,$B53),"")</f>
        <v/>
      </c>
      <c r="H53" s="32" t="str">
        <f>IFERROR([1]!IntrinioBankFinancials(rssd_id,$R$2,H$6,H$5,$B53),"")</f>
        <v/>
      </c>
      <c r="I53" s="32" t="str">
        <f>IFERROR([1]!IntrinioBankFinancials(rssd_id,$R$2,I$6,I$5,$B53),"")</f>
        <v/>
      </c>
      <c r="J53" s="32" t="str">
        <f>IFERROR([1]!IntrinioBankFinancials(rssd_id,$R$2,J$6,J$5,$B53),"")</f>
        <v/>
      </c>
      <c r="K53" s="32" t="str">
        <f>IFERROR([1]!IntrinioBankFinancials(rssd_id,$R$2,K$6,K$5,$B53),"")</f>
        <v/>
      </c>
      <c r="L53" s="32" t="str">
        <f>IFERROR([1]!IntrinioBankFinancials(rssd_id,$R$2,L$6,L$5,$B53),"")</f>
        <v/>
      </c>
      <c r="M53" s="32" t="str">
        <f>IFERROR([1]!IntrinioBankFinancials(rssd_id,$R$2,M$6,M$5,$B53),"")</f>
        <v/>
      </c>
      <c r="N53" s="32" t="str">
        <f>IFERROR([1]!IntrinioBankFinancials(rssd_id,$R$2,N$6,N$5,$B53),"")</f>
        <v/>
      </c>
      <c r="O53" s="32" t="str">
        <f>IFERROR([1]!IntrinioBankFinancials(rssd_id,$R$2,O$6,O$5,$B53),"")</f>
        <v/>
      </c>
    </row>
    <row r="54" spans="1:15" s="22" customFormat="1" ht="14.25" x14ac:dyDescent="0.4">
      <c r="A54" s="34" t="s">
        <v>63</v>
      </c>
      <c r="B54" s="23" t="s">
        <v>1222</v>
      </c>
      <c r="C54" s="32" t="str">
        <f>IFERROR([1]!IntrinioBankFinancials(rssd_id,$R$2,C$6,C$5,$B54),"")</f>
        <v/>
      </c>
      <c r="D54" s="32" t="str">
        <f>IFERROR([1]!IntrinioBankFinancials(rssd_id,$R$2,D$6,D$5,$B54),"")</f>
        <v/>
      </c>
      <c r="E54" s="32" t="str">
        <f>IFERROR([1]!IntrinioBankFinancials(rssd_id,$R$2,E$6,E$5,$B54),"")</f>
        <v/>
      </c>
      <c r="F54" s="32" t="str">
        <f>IFERROR([1]!IntrinioBankFinancials(rssd_id,$R$2,F$6,F$5,$B54),"")</f>
        <v/>
      </c>
      <c r="G54" s="32" t="str">
        <f>IFERROR([1]!IntrinioBankFinancials(rssd_id,$R$2,G$6,G$5,$B54),"")</f>
        <v/>
      </c>
      <c r="H54" s="32" t="str">
        <f>IFERROR([1]!IntrinioBankFinancials(rssd_id,$R$2,H$6,H$5,$B54),"")</f>
        <v/>
      </c>
      <c r="I54" s="32" t="str">
        <f>IFERROR([1]!IntrinioBankFinancials(rssd_id,$R$2,I$6,I$5,$B54),"")</f>
        <v/>
      </c>
      <c r="J54" s="32" t="str">
        <f>IFERROR([1]!IntrinioBankFinancials(rssd_id,$R$2,J$6,J$5,$B54),"")</f>
        <v/>
      </c>
      <c r="K54" s="32" t="str">
        <f>IFERROR([1]!IntrinioBankFinancials(rssd_id,$R$2,K$6,K$5,$B54),"")</f>
        <v/>
      </c>
      <c r="L54" s="32" t="str">
        <f>IFERROR([1]!IntrinioBankFinancials(rssd_id,$R$2,L$6,L$5,$B54),"")</f>
        <v/>
      </c>
      <c r="M54" s="32" t="str">
        <f>IFERROR([1]!IntrinioBankFinancials(rssd_id,$R$2,M$6,M$5,$B54),"")</f>
        <v/>
      </c>
      <c r="N54" s="32" t="str">
        <f>IFERROR([1]!IntrinioBankFinancials(rssd_id,$R$2,N$6,N$5,$B54),"")</f>
        <v/>
      </c>
      <c r="O54" s="32" t="str">
        <f>IFERROR([1]!IntrinioBankFinancials(rssd_id,$R$2,O$6,O$5,$B54),"")</f>
        <v/>
      </c>
    </row>
    <row r="55" spans="1:15" s="22" customFormat="1" ht="14.25" x14ac:dyDescent="0.4">
      <c r="A55" s="34" t="s">
        <v>64</v>
      </c>
      <c r="B55" s="23" t="s">
        <v>1223</v>
      </c>
      <c r="C55" s="32" t="str">
        <f>IFERROR([1]!IntrinioBankFinancials(rssd_id,$R$2,C$6,C$5,$B55),"")</f>
        <v/>
      </c>
      <c r="D55" s="32" t="str">
        <f>IFERROR([1]!IntrinioBankFinancials(rssd_id,$R$2,D$6,D$5,$B55),"")</f>
        <v/>
      </c>
      <c r="E55" s="32" t="str">
        <f>IFERROR([1]!IntrinioBankFinancials(rssd_id,$R$2,E$6,E$5,$B55),"")</f>
        <v/>
      </c>
      <c r="F55" s="32" t="str">
        <f>IFERROR([1]!IntrinioBankFinancials(rssd_id,$R$2,F$6,F$5,$B55),"")</f>
        <v/>
      </c>
      <c r="G55" s="32" t="str">
        <f>IFERROR([1]!IntrinioBankFinancials(rssd_id,$R$2,G$6,G$5,$B55),"")</f>
        <v/>
      </c>
      <c r="H55" s="32" t="str">
        <f>IFERROR([1]!IntrinioBankFinancials(rssd_id,$R$2,H$6,H$5,$B55),"")</f>
        <v/>
      </c>
      <c r="I55" s="32" t="str">
        <f>IFERROR([1]!IntrinioBankFinancials(rssd_id,$R$2,I$6,I$5,$B55),"")</f>
        <v/>
      </c>
      <c r="J55" s="32" t="str">
        <f>IFERROR([1]!IntrinioBankFinancials(rssd_id,$R$2,J$6,J$5,$B55),"")</f>
        <v/>
      </c>
      <c r="K55" s="32" t="str">
        <f>IFERROR([1]!IntrinioBankFinancials(rssd_id,$R$2,K$6,K$5,$B55),"")</f>
        <v/>
      </c>
      <c r="L55" s="32" t="str">
        <f>IFERROR([1]!IntrinioBankFinancials(rssd_id,$R$2,L$6,L$5,$B55),"")</f>
        <v/>
      </c>
      <c r="M55" s="32" t="str">
        <f>IFERROR([1]!IntrinioBankFinancials(rssd_id,$R$2,M$6,M$5,$B55),"")</f>
        <v/>
      </c>
      <c r="N55" s="32" t="str">
        <f>IFERROR([1]!IntrinioBankFinancials(rssd_id,$R$2,N$6,N$5,$B55),"")</f>
        <v/>
      </c>
      <c r="O55" s="32" t="str">
        <f>IFERROR([1]!IntrinioBankFinancials(rssd_id,$R$2,O$6,O$5,$B55),"")</f>
        <v/>
      </c>
    </row>
    <row r="56" spans="1:15" s="22" customFormat="1" ht="14.25" x14ac:dyDescent="0.4">
      <c r="A56" s="34" t="s">
        <v>65</v>
      </c>
      <c r="B56" s="23" t="s">
        <v>1224</v>
      </c>
      <c r="C56" s="32" t="str">
        <f>IFERROR([1]!IntrinioBankFinancials(rssd_id,$R$2,C$6,C$5,$B56),"")</f>
        <v/>
      </c>
      <c r="D56" s="32" t="str">
        <f>IFERROR([1]!IntrinioBankFinancials(rssd_id,$R$2,D$6,D$5,$B56),"")</f>
        <v/>
      </c>
      <c r="E56" s="32" t="str">
        <f>IFERROR([1]!IntrinioBankFinancials(rssd_id,$R$2,E$6,E$5,$B56),"")</f>
        <v/>
      </c>
      <c r="F56" s="32" t="str">
        <f>IFERROR([1]!IntrinioBankFinancials(rssd_id,$R$2,F$6,F$5,$B56),"")</f>
        <v/>
      </c>
      <c r="G56" s="32" t="str">
        <f>IFERROR([1]!IntrinioBankFinancials(rssd_id,$R$2,G$6,G$5,$B56),"")</f>
        <v/>
      </c>
      <c r="H56" s="32" t="str">
        <f>IFERROR([1]!IntrinioBankFinancials(rssd_id,$R$2,H$6,H$5,$B56),"")</f>
        <v/>
      </c>
      <c r="I56" s="32" t="str">
        <f>IFERROR([1]!IntrinioBankFinancials(rssd_id,$R$2,I$6,I$5,$B56),"")</f>
        <v/>
      </c>
      <c r="J56" s="32" t="str">
        <f>IFERROR([1]!IntrinioBankFinancials(rssd_id,$R$2,J$6,J$5,$B56),"")</f>
        <v/>
      </c>
      <c r="K56" s="32" t="str">
        <f>IFERROR([1]!IntrinioBankFinancials(rssd_id,$R$2,K$6,K$5,$B56),"")</f>
        <v/>
      </c>
      <c r="L56" s="32" t="str">
        <f>IFERROR([1]!IntrinioBankFinancials(rssd_id,$R$2,L$6,L$5,$B56),"")</f>
        <v/>
      </c>
      <c r="M56" s="32" t="str">
        <f>IFERROR([1]!IntrinioBankFinancials(rssd_id,$R$2,M$6,M$5,$B56),"")</f>
        <v/>
      </c>
      <c r="N56" s="32" t="str">
        <f>IFERROR([1]!IntrinioBankFinancials(rssd_id,$R$2,N$6,N$5,$B56),"")</f>
        <v/>
      </c>
      <c r="O56" s="32" t="str">
        <f>IFERROR([1]!IntrinioBankFinancials(rssd_id,$R$2,O$6,O$5,$B56),"")</f>
        <v/>
      </c>
    </row>
    <row r="57" spans="1:15" s="22" customFormat="1" ht="14.25" x14ac:dyDescent="0.4">
      <c r="A57" s="34"/>
      <c r="B57" s="20"/>
      <c r="C57" s="21" t="str">
        <f>IFERROR([1]!IntrinioBankFinancials(rssd_id,$R$2,C$6,C$5,$B57),"")</f>
        <v/>
      </c>
      <c r="D57" s="21" t="str">
        <f>IFERROR([1]!IntrinioBankFinancials(rssd_id,$R$2,D$6,D$5,$B57),"")</f>
        <v/>
      </c>
      <c r="E57" s="21" t="str">
        <f>IFERROR([1]!IntrinioBankFinancials(rssd_id,$R$2,E$6,E$5,$B57),"")</f>
        <v/>
      </c>
      <c r="F57" s="21" t="str">
        <f>IFERROR([1]!IntrinioBankFinancials(rssd_id,$R$2,F$6,F$5,$B57),"")</f>
        <v/>
      </c>
      <c r="G57" s="21" t="str">
        <f>IFERROR([1]!IntrinioBankFinancials(rssd_id,$R$2,G$6,G$5,$B57),"")</f>
        <v/>
      </c>
      <c r="H57" s="21" t="str">
        <f>IFERROR([1]!IntrinioBankFinancials(rssd_id,$R$2,H$6,H$5,$B57),"")</f>
        <v/>
      </c>
      <c r="I57" s="21" t="str">
        <f>IFERROR([1]!IntrinioBankFinancials(rssd_id,$R$2,I$6,I$5,$B57),"")</f>
        <v/>
      </c>
      <c r="J57" s="21" t="str">
        <f>IFERROR([1]!IntrinioBankFinancials(rssd_id,$R$2,J$6,J$5,$B57),"")</f>
        <v/>
      </c>
      <c r="K57" s="21" t="str">
        <f>IFERROR([1]!IntrinioBankFinancials(rssd_id,$R$2,K$6,K$5,$B57),"")</f>
        <v/>
      </c>
      <c r="L57" s="21" t="str">
        <f>IFERROR([1]!IntrinioBankFinancials(rssd_id,$R$2,L$6,L$5,$B57),"")</f>
        <v/>
      </c>
      <c r="M57" s="21" t="str">
        <f>IFERROR([1]!IntrinioBankFinancials(rssd_id,$R$2,M$6,M$5,$B57),"")</f>
        <v/>
      </c>
      <c r="N57" s="21" t="str">
        <f>IFERROR([1]!IntrinioBankFinancials(rssd_id,$R$2,N$6,N$5,$B57),"")</f>
        <v/>
      </c>
      <c r="O57" s="21" t="str">
        <f>IFERROR([1]!IntrinioBankFinancials(rssd_id,$R$2,O$6,O$5,$B57),"")</f>
        <v/>
      </c>
    </row>
    <row r="58" spans="1:15" s="22" customFormat="1" ht="14.25" x14ac:dyDescent="0.4">
      <c r="A58" s="34" t="s">
        <v>66</v>
      </c>
      <c r="B58" s="23" t="s">
        <v>1225</v>
      </c>
      <c r="C58" s="24" t="str">
        <f>IFERROR([1]!IntrinioBankFinancials(rssd_id,$R$2,C$6,C$5,$B58,"K"),"")</f>
        <v/>
      </c>
      <c r="D58" s="24" t="str">
        <f>IFERROR([1]!IntrinioBankFinancials(rssd_id,$R$2,D$6,D$5,$B58,"K"),"")</f>
        <v/>
      </c>
      <c r="E58" s="24" t="str">
        <f>IFERROR([1]!IntrinioBankFinancials(rssd_id,$R$2,E$6,E$5,$B58,"K"),"")</f>
        <v/>
      </c>
      <c r="F58" s="24" t="str">
        <f>IFERROR([1]!IntrinioBankFinancials(rssd_id,$R$2,F$6,F$5,$B58,"K"),"")</f>
        <v/>
      </c>
      <c r="G58" s="24" t="str">
        <f>IFERROR([1]!IntrinioBankFinancials(rssd_id,$R$2,G$6,G$5,$B58,"K"),"")</f>
        <v/>
      </c>
      <c r="H58" s="24" t="str">
        <f>IFERROR([1]!IntrinioBankFinancials(rssd_id,$R$2,H$6,H$5,$B58,"K"),"")</f>
        <v/>
      </c>
      <c r="I58" s="24" t="str">
        <f>IFERROR([1]!IntrinioBankFinancials(rssd_id,$R$2,I$6,I$5,$B58,"K"),"")</f>
        <v/>
      </c>
      <c r="J58" s="24" t="str">
        <f>IFERROR([1]!IntrinioBankFinancials(rssd_id,$R$2,J$6,J$5,$B58,"K"),"")</f>
        <v/>
      </c>
      <c r="K58" s="24" t="str">
        <f>IFERROR([1]!IntrinioBankFinancials(rssd_id,$R$2,K$6,K$5,$B58,"K"),"")</f>
        <v/>
      </c>
      <c r="L58" s="24" t="str">
        <f>IFERROR([1]!IntrinioBankFinancials(rssd_id,$R$2,L$6,L$5,$B58,"K"),"")</f>
        <v/>
      </c>
      <c r="M58" s="24" t="str">
        <f>IFERROR([1]!IntrinioBankFinancials(rssd_id,$R$2,M$6,M$5,$B58,"K"),"")</f>
        <v/>
      </c>
      <c r="N58" s="24" t="str">
        <f>IFERROR([1]!IntrinioBankFinancials(rssd_id,$R$2,N$6,N$5,$B58,"K"),"")</f>
        <v/>
      </c>
      <c r="O58" s="24" t="str">
        <f>IFERROR([1]!IntrinioBankFinancials(rssd_id,$R$2,O$6,O$5,$B58,"K"),"")</f>
        <v/>
      </c>
    </row>
    <row r="59" spans="1:15" s="22" customFormat="1" ht="14.25" x14ac:dyDescent="0.4">
      <c r="A59" s="34" t="s">
        <v>67</v>
      </c>
      <c r="B59" s="23" t="s">
        <v>998</v>
      </c>
      <c r="C59" s="24" t="str">
        <f>IFERROR([1]!IntrinioBankFinancials(rssd_id,$R$2,C$6,C$5,$B59,"K"),"")</f>
        <v/>
      </c>
      <c r="D59" s="24" t="str">
        <f>IFERROR([1]!IntrinioBankFinancials(rssd_id,$R$2,D$6,D$5,$B59,"K"),"")</f>
        <v/>
      </c>
      <c r="E59" s="24" t="str">
        <f>IFERROR([1]!IntrinioBankFinancials(rssd_id,$R$2,E$6,E$5,$B59,"K"),"")</f>
        <v/>
      </c>
      <c r="F59" s="24" t="str">
        <f>IFERROR([1]!IntrinioBankFinancials(rssd_id,$R$2,F$6,F$5,$B59,"K"),"")</f>
        <v/>
      </c>
      <c r="G59" s="24" t="str">
        <f>IFERROR([1]!IntrinioBankFinancials(rssd_id,$R$2,G$6,G$5,$B59,"K"),"")</f>
        <v/>
      </c>
      <c r="H59" s="24" t="str">
        <f>IFERROR([1]!IntrinioBankFinancials(rssd_id,$R$2,H$6,H$5,$B59,"K"),"")</f>
        <v/>
      </c>
      <c r="I59" s="24" t="str">
        <f>IFERROR([1]!IntrinioBankFinancials(rssd_id,$R$2,I$6,I$5,$B59,"K"),"")</f>
        <v/>
      </c>
      <c r="J59" s="24" t="str">
        <f>IFERROR([1]!IntrinioBankFinancials(rssd_id,$R$2,J$6,J$5,$B59,"K"),"")</f>
        <v/>
      </c>
      <c r="K59" s="24" t="str">
        <f>IFERROR([1]!IntrinioBankFinancials(rssd_id,$R$2,K$6,K$5,$B59,"K"),"")</f>
        <v/>
      </c>
      <c r="L59" s="24" t="str">
        <f>IFERROR([1]!IntrinioBankFinancials(rssd_id,$R$2,L$6,L$5,$B59,"K"),"")</f>
        <v/>
      </c>
      <c r="M59" s="24" t="str">
        <f>IFERROR([1]!IntrinioBankFinancials(rssd_id,$R$2,M$6,M$5,$B59,"K"),"")</f>
        <v/>
      </c>
      <c r="N59" s="24" t="str">
        <f>IFERROR([1]!IntrinioBankFinancials(rssd_id,$R$2,N$6,N$5,$B59,"K"),"")</f>
        <v/>
      </c>
      <c r="O59" s="24" t="str">
        <f>IFERROR([1]!IntrinioBankFinancials(rssd_id,$R$2,O$6,O$5,$B59,"K"),"")</f>
        <v/>
      </c>
    </row>
    <row r="60" spans="1:15" s="22" customFormat="1" ht="14.25" x14ac:dyDescent="0.4">
      <c r="A60" s="34" t="s">
        <v>68</v>
      </c>
      <c r="B60" s="23" t="s">
        <v>1005</v>
      </c>
      <c r="C60" s="24" t="str">
        <f>IFERROR([1]!IntrinioBankFinancials(rssd_id,$R$2,C$6,C$5,$B60,"K"),"")</f>
        <v/>
      </c>
      <c r="D60" s="24" t="str">
        <f>IFERROR([1]!IntrinioBankFinancials(rssd_id,$R$2,D$6,D$5,$B60,"K"),"")</f>
        <v/>
      </c>
      <c r="E60" s="24" t="str">
        <f>IFERROR([1]!IntrinioBankFinancials(rssd_id,$R$2,E$6,E$5,$B60,"K"),"")</f>
        <v/>
      </c>
      <c r="F60" s="24" t="str">
        <f>IFERROR([1]!IntrinioBankFinancials(rssd_id,$R$2,F$6,F$5,$B60,"K"),"")</f>
        <v/>
      </c>
      <c r="G60" s="24" t="str">
        <f>IFERROR([1]!IntrinioBankFinancials(rssd_id,$R$2,G$6,G$5,$B60,"K"),"")</f>
        <v/>
      </c>
      <c r="H60" s="24" t="str">
        <f>IFERROR([1]!IntrinioBankFinancials(rssd_id,$R$2,H$6,H$5,$B60,"K"),"")</f>
        <v/>
      </c>
      <c r="I60" s="24" t="str">
        <f>IFERROR([1]!IntrinioBankFinancials(rssd_id,$R$2,I$6,I$5,$B60,"K"),"")</f>
        <v/>
      </c>
      <c r="J60" s="24" t="str">
        <f>IFERROR([1]!IntrinioBankFinancials(rssd_id,$R$2,J$6,J$5,$B60,"K"),"")</f>
        <v/>
      </c>
      <c r="K60" s="24" t="str">
        <f>IFERROR([1]!IntrinioBankFinancials(rssd_id,$R$2,K$6,K$5,$B60,"K"),"")</f>
        <v/>
      </c>
      <c r="L60" s="24" t="str">
        <f>IFERROR([1]!IntrinioBankFinancials(rssd_id,$R$2,L$6,L$5,$B60,"K"),"")</f>
        <v/>
      </c>
      <c r="M60" s="24" t="str">
        <f>IFERROR([1]!IntrinioBankFinancials(rssd_id,$R$2,M$6,M$5,$B60,"K"),"")</f>
        <v/>
      </c>
      <c r="N60" s="24" t="str">
        <f>IFERROR([1]!IntrinioBankFinancials(rssd_id,$R$2,N$6,N$5,$B60,"K"),"")</f>
        <v/>
      </c>
      <c r="O60" s="24" t="str">
        <f>IFERROR([1]!IntrinioBankFinancials(rssd_id,$R$2,O$6,O$5,$B60,"K"),"")</f>
        <v/>
      </c>
    </row>
  </sheetData>
  <pageMargins left="0.7" right="0.7" top="0.75" bottom="0.75" header="0.3" footer="0.3"/>
  <pageSetup scale="95" fitToHeight="2" orientation="landscape" r:id="rId1"/>
  <headerFooter>
    <oddFooter>&amp;L&amp;G&amp;R&amp;P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  <pageSetUpPr fitToPage="1"/>
  </sheetPr>
  <dimension ref="A1:R27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3.5" customHeight="1" x14ac:dyDescent="0.4">
      <c r="A2" s="9" t="s">
        <v>71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1226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/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1227</v>
      </c>
      <c r="B9" s="23" t="s">
        <v>1228</v>
      </c>
      <c r="C9" s="24" t="str">
        <f>IFERROR([1]!IntrinioBankFinancials(rssd_id,$R$2,C$6,C$5,$B9,"K"),"")</f>
        <v/>
      </c>
      <c r="D9" s="24" t="str">
        <f>IFERROR([1]!IntrinioBankFinancials(rssd_id,$R$2,D$6,D$5,$B9,"K"),"")</f>
        <v/>
      </c>
      <c r="E9" s="24" t="str">
        <f>IFERROR([1]!IntrinioBankFinancials(rssd_id,$R$2,E$6,E$5,$B9,"K"),"")</f>
        <v/>
      </c>
      <c r="F9" s="24" t="str">
        <f>IFERROR([1]!IntrinioBankFinancials(rssd_id,$R$2,F$6,F$5,$B9,"K"),"")</f>
        <v/>
      </c>
      <c r="G9" s="24" t="str">
        <f>IFERROR([1]!IntrinioBankFinancials(rssd_id,$R$2,G$6,G$5,$B9,"K"),"")</f>
        <v/>
      </c>
      <c r="H9" s="24" t="str">
        <f>IFERROR([1]!IntrinioBankFinancials(rssd_id,$R$2,H$6,H$5,$B9,"K"),"")</f>
        <v/>
      </c>
      <c r="I9" s="24" t="str">
        <f>IFERROR([1]!IntrinioBankFinancials(rssd_id,$R$2,I$6,I$5,$B9,"K"),"")</f>
        <v/>
      </c>
      <c r="J9" s="24" t="str">
        <f>IFERROR([1]!IntrinioBankFinancials(rssd_id,$R$2,J$6,J$5,$B9,"K"),"")</f>
        <v/>
      </c>
      <c r="K9" s="24" t="str">
        <f>IFERROR([1]!IntrinioBankFinancials(rssd_id,$R$2,K$6,K$5,$B9,"K"),"")</f>
        <v/>
      </c>
      <c r="L9" s="24" t="str">
        <f>IFERROR([1]!IntrinioBankFinancials(rssd_id,$R$2,L$6,L$5,$B9,"K"),"")</f>
        <v/>
      </c>
      <c r="M9" s="24" t="str">
        <f>IFERROR([1]!IntrinioBankFinancials(rssd_id,$R$2,M$6,M$5,$B9,"K"),"")</f>
        <v/>
      </c>
      <c r="N9" s="24" t="str">
        <f>IFERROR([1]!IntrinioBankFinancials(rssd_id,$R$2,N$6,N$5,$B9,"K"),"")</f>
        <v/>
      </c>
      <c r="O9" s="24" t="str">
        <f>IFERROR([1]!IntrinioBankFinancials(rssd_id,$R$2,O$6,O$5,$B9,"K"),"")</f>
        <v/>
      </c>
    </row>
    <row r="10" spans="1:18" s="22" customFormat="1" ht="13.5" customHeight="1" x14ac:dyDescent="0.4">
      <c r="A10" s="34" t="s">
        <v>1229</v>
      </c>
      <c r="B10" s="23" t="s">
        <v>1230</v>
      </c>
      <c r="C10" s="24" t="str">
        <f>IFERROR([1]!IntrinioBankFinancials(rssd_id,$R$2,C$6,C$5,$B10,"K"),"")</f>
        <v/>
      </c>
      <c r="D10" s="24" t="str">
        <f>IFERROR([1]!IntrinioBankFinancials(rssd_id,$R$2,D$6,D$5,$B10,"K"),"")</f>
        <v/>
      </c>
      <c r="E10" s="24" t="str">
        <f>IFERROR([1]!IntrinioBankFinancials(rssd_id,$R$2,E$6,E$5,$B10,"K"),"")</f>
        <v/>
      </c>
      <c r="F10" s="24" t="str">
        <f>IFERROR([1]!IntrinioBankFinancials(rssd_id,$R$2,F$6,F$5,$B10,"K"),"")</f>
        <v/>
      </c>
      <c r="G10" s="24" t="str">
        <f>IFERROR([1]!IntrinioBankFinancials(rssd_id,$R$2,G$6,G$5,$B10,"K"),"")</f>
        <v/>
      </c>
      <c r="H10" s="24" t="str">
        <f>IFERROR([1]!IntrinioBankFinancials(rssd_id,$R$2,H$6,H$5,$B10,"K"),"")</f>
        <v/>
      </c>
      <c r="I10" s="24" t="str">
        <f>IFERROR([1]!IntrinioBankFinancials(rssd_id,$R$2,I$6,I$5,$B10,"K"),"")</f>
        <v/>
      </c>
      <c r="J10" s="24" t="str">
        <f>IFERROR([1]!IntrinioBankFinancials(rssd_id,$R$2,J$6,J$5,$B10,"K"),"")</f>
        <v/>
      </c>
      <c r="K10" s="24" t="str">
        <f>IFERROR([1]!IntrinioBankFinancials(rssd_id,$R$2,K$6,K$5,$B10,"K"),"")</f>
        <v/>
      </c>
      <c r="L10" s="24" t="str">
        <f>IFERROR([1]!IntrinioBankFinancials(rssd_id,$R$2,L$6,L$5,$B10,"K"),"")</f>
        <v/>
      </c>
      <c r="M10" s="24" t="str">
        <f>IFERROR([1]!IntrinioBankFinancials(rssd_id,$R$2,M$6,M$5,$B10,"K"),"")</f>
        <v/>
      </c>
      <c r="N10" s="24" t="str">
        <f>IFERROR([1]!IntrinioBankFinancials(rssd_id,$R$2,N$6,N$5,$B10,"K"),"")</f>
        <v/>
      </c>
      <c r="O10" s="24" t="str">
        <f>IFERROR([1]!IntrinioBankFinancials(rssd_id,$R$2,O$6,O$5,$B10,"K"),"")</f>
        <v/>
      </c>
    </row>
    <row r="11" spans="1:18" s="22" customFormat="1" ht="13.5" customHeight="1" x14ac:dyDescent="0.4">
      <c r="A11" s="34" t="s">
        <v>1231</v>
      </c>
      <c r="B11" s="23" t="s">
        <v>1232</v>
      </c>
      <c r="C11" s="24" t="str">
        <f>IFERROR([1]!IntrinioBankFinancials(rssd_id,$R$2,C$6,C$5,$B11,"K"),"")</f>
        <v/>
      </c>
      <c r="D11" s="24" t="str">
        <f>IFERROR([1]!IntrinioBankFinancials(rssd_id,$R$2,D$6,D$5,$B11,"K"),"")</f>
        <v/>
      </c>
      <c r="E11" s="24" t="str">
        <f>IFERROR([1]!IntrinioBankFinancials(rssd_id,$R$2,E$6,E$5,$B11,"K"),"")</f>
        <v/>
      </c>
      <c r="F11" s="24" t="str">
        <f>IFERROR([1]!IntrinioBankFinancials(rssd_id,$R$2,F$6,F$5,$B11,"K"),"")</f>
        <v/>
      </c>
      <c r="G11" s="24" t="str">
        <f>IFERROR([1]!IntrinioBankFinancials(rssd_id,$R$2,G$6,G$5,$B11,"K"),"")</f>
        <v/>
      </c>
      <c r="H11" s="24" t="str">
        <f>IFERROR([1]!IntrinioBankFinancials(rssd_id,$R$2,H$6,H$5,$B11,"K"),"")</f>
        <v/>
      </c>
      <c r="I11" s="24" t="str">
        <f>IFERROR([1]!IntrinioBankFinancials(rssd_id,$R$2,I$6,I$5,$B11,"K"),"")</f>
        <v/>
      </c>
      <c r="J11" s="24" t="str">
        <f>IFERROR([1]!IntrinioBankFinancials(rssd_id,$R$2,J$6,J$5,$B11,"K"),"")</f>
        <v/>
      </c>
      <c r="K11" s="24" t="str">
        <f>IFERROR([1]!IntrinioBankFinancials(rssd_id,$R$2,K$6,K$5,$B11,"K"),"")</f>
        <v/>
      </c>
      <c r="L11" s="24" t="str">
        <f>IFERROR([1]!IntrinioBankFinancials(rssd_id,$R$2,L$6,L$5,$B11,"K"),"")</f>
        <v/>
      </c>
      <c r="M11" s="24" t="str">
        <f>IFERROR([1]!IntrinioBankFinancials(rssd_id,$R$2,M$6,M$5,$B11,"K"),"")</f>
        <v/>
      </c>
      <c r="N11" s="24" t="str">
        <f>IFERROR([1]!IntrinioBankFinancials(rssd_id,$R$2,N$6,N$5,$B11,"K"),"")</f>
        <v/>
      </c>
      <c r="O11" s="24" t="str">
        <f>IFERROR([1]!IntrinioBankFinancials(rssd_id,$R$2,O$6,O$5,$B11,"K"),"")</f>
        <v/>
      </c>
    </row>
    <row r="12" spans="1:18" s="22" customFormat="1" ht="13.5" customHeight="1" x14ac:dyDescent="0.4">
      <c r="A12" s="34" t="s">
        <v>1229</v>
      </c>
      <c r="B12" s="23" t="s">
        <v>1233</v>
      </c>
      <c r="C12" s="24" t="str">
        <f>IFERROR([1]!IntrinioBankFinancials(rssd_id,$R$2,C$6,C$5,$B12,"K"),"")</f>
        <v/>
      </c>
      <c r="D12" s="24" t="str">
        <f>IFERROR([1]!IntrinioBankFinancials(rssd_id,$R$2,D$6,D$5,$B12,"K"),"")</f>
        <v/>
      </c>
      <c r="E12" s="24" t="str">
        <f>IFERROR([1]!IntrinioBankFinancials(rssd_id,$R$2,E$6,E$5,$B12,"K"),"")</f>
        <v/>
      </c>
      <c r="F12" s="24" t="str">
        <f>IFERROR([1]!IntrinioBankFinancials(rssd_id,$R$2,F$6,F$5,$B12,"K"),"")</f>
        <v/>
      </c>
      <c r="G12" s="24" t="str">
        <f>IFERROR([1]!IntrinioBankFinancials(rssd_id,$R$2,G$6,G$5,$B12,"K"),"")</f>
        <v/>
      </c>
      <c r="H12" s="24" t="str">
        <f>IFERROR([1]!IntrinioBankFinancials(rssd_id,$R$2,H$6,H$5,$B12,"K"),"")</f>
        <v/>
      </c>
      <c r="I12" s="24" t="str">
        <f>IFERROR([1]!IntrinioBankFinancials(rssd_id,$R$2,I$6,I$5,$B12,"K"),"")</f>
        <v/>
      </c>
      <c r="J12" s="24" t="str">
        <f>IFERROR([1]!IntrinioBankFinancials(rssd_id,$R$2,J$6,J$5,$B12,"K"),"")</f>
        <v/>
      </c>
      <c r="K12" s="24" t="str">
        <f>IFERROR([1]!IntrinioBankFinancials(rssd_id,$R$2,K$6,K$5,$B12,"K"),"")</f>
        <v/>
      </c>
      <c r="L12" s="24" t="str">
        <f>IFERROR([1]!IntrinioBankFinancials(rssd_id,$R$2,L$6,L$5,$B12,"K"),"")</f>
        <v/>
      </c>
      <c r="M12" s="24" t="str">
        <f>IFERROR([1]!IntrinioBankFinancials(rssd_id,$R$2,M$6,M$5,$B12,"K"),"")</f>
        <v/>
      </c>
      <c r="N12" s="24" t="str">
        <f>IFERROR([1]!IntrinioBankFinancials(rssd_id,$R$2,N$6,N$5,$B12,"K"),"")</f>
        <v/>
      </c>
      <c r="O12" s="24" t="str">
        <f>IFERROR([1]!IntrinioBankFinancials(rssd_id,$R$2,O$6,O$5,$B12,"K"),"")</f>
        <v/>
      </c>
    </row>
    <row r="13" spans="1:18" s="22" customFormat="1" ht="13.5" customHeight="1" x14ac:dyDescent="0.4">
      <c r="A13" s="34" t="s">
        <v>1234</v>
      </c>
      <c r="B13" s="23" t="s">
        <v>1235</v>
      </c>
      <c r="C13" s="24" t="str">
        <f>IFERROR([1]!IntrinioBankFinancials(rssd_id,$R$2,C$6,C$5,$B13,"K"),"")</f>
        <v/>
      </c>
      <c r="D13" s="24" t="str">
        <f>IFERROR([1]!IntrinioBankFinancials(rssd_id,$R$2,D$6,D$5,$B13,"K"),"")</f>
        <v/>
      </c>
      <c r="E13" s="24" t="str">
        <f>IFERROR([1]!IntrinioBankFinancials(rssd_id,$R$2,E$6,E$5,$B13,"K"),"")</f>
        <v/>
      </c>
      <c r="F13" s="24" t="str">
        <f>IFERROR([1]!IntrinioBankFinancials(rssd_id,$R$2,F$6,F$5,$B13,"K"),"")</f>
        <v/>
      </c>
      <c r="G13" s="24" t="str">
        <f>IFERROR([1]!IntrinioBankFinancials(rssd_id,$R$2,G$6,G$5,$B13,"K"),"")</f>
        <v/>
      </c>
      <c r="H13" s="24" t="str">
        <f>IFERROR([1]!IntrinioBankFinancials(rssd_id,$R$2,H$6,H$5,$B13,"K"),"")</f>
        <v/>
      </c>
      <c r="I13" s="24" t="str">
        <f>IFERROR([1]!IntrinioBankFinancials(rssd_id,$R$2,I$6,I$5,$B13,"K"),"")</f>
        <v/>
      </c>
      <c r="J13" s="24" t="str">
        <f>IFERROR([1]!IntrinioBankFinancials(rssd_id,$R$2,J$6,J$5,$B13,"K"),"")</f>
        <v/>
      </c>
      <c r="K13" s="24" t="str">
        <f>IFERROR([1]!IntrinioBankFinancials(rssd_id,$R$2,K$6,K$5,$B13,"K"),"")</f>
        <v/>
      </c>
      <c r="L13" s="24" t="str">
        <f>IFERROR([1]!IntrinioBankFinancials(rssd_id,$R$2,L$6,L$5,$B13,"K"),"")</f>
        <v/>
      </c>
      <c r="M13" s="24" t="str">
        <f>IFERROR([1]!IntrinioBankFinancials(rssd_id,$R$2,M$6,M$5,$B13,"K"),"")</f>
        <v/>
      </c>
      <c r="N13" s="24" t="str">
        <f>IFERROR([1]!IntrinioBankFinancials(rssd_id,$R$2,N$6,N$5,$B13,"K"),"")</f>
        <v/>
      </c>
      <c r="O13" s="24" t="str">
        <f>IFERROR([1]!IntrinioBankFinancials(rssd_id,$R$2,O$6,O$5,$B13,"K"),"")</f>
        <v/>
      </c>
    </row>
    <row r="14" spans="1:18" s="22" customFormat="1" ht="13.5" customHeight="1" x14ac:dyDescent="0.4">
      <c r="A14" s="34" t="s">
        <v>1236</v>
      </c>
      <c r="B14" s="23" t="s">
        <v>1237</v>
      </c>
      <c r="C14" s="24" t="str">
        <f>IFERROR([1]!IntrinioBankFinancials(rssd_id,$R$2,C$6,C$5,$B14,"K"),"")</f>
        <v/>
      </c>
      <c r="D14" s="24" t="str">
        <f>IFERROR([1]!IntrinioBankFinancials(rssd_id,$R$2,D$6,D$5,$B14,"K"),"")</f>
        <v/>
      </c>
      <c r="E14" s="24" t="str">
        <f>IFERROR([1]!IntrinioBankFinancials(rssd_id,$R$2,E$6,E$5,$B14,"K"),"")</f>
        <v/>
      </c>
      <c r="F14" s="24" t="str">
        <f>IFERROR([1]!IntrinioBankFinancials(rssd_id,$R$2,F$6,F$5,$B14,"K"),"")</f>
        <v/>
      </c>
      <c r="G14" s="24" t="str">
        <f>IFERROR([1]!IntrinioBankFinancials(rssd_id,$R$2,G$6,G$5,$B14,"K"),"")</f>
        <v/>
      </c>
      <c r="H14" s="24" t="str">
        <f>IFERROR([1]!IntrinioBankFinancials(rssd_id,$R$2,H$6,H$5,$B14,"K"),"")</f>
        <v/>
      </c>
      <c r="I14" s="24" t="str">
        <f>IFERROR([1]!IntrinioBankFinancials(rssd_id,$R$2,I$6,I$5,$B14,"K"),"")</f>
        <v/>
      </c>
      <c r="J14" s="24" t="str">
        <f>IFERROR([1]!IntrinioBankFinancials(rssd_id,$R$2,J$6,J$5,$B14,"K"),"")</f>
        <v/>
      </c>
      <c r="K14" s="24" t="str">
        <f>IFERROR([1]!IntrinioBankFinancials(rssd_id,$R$2,K$6,K$5,$B14,"K"),"")</f>
        <v/>
      </c>
      <c r="L14" s="24" t="str">
        <f>IFERROR([1]!IntrinioBankFinancials(rssd_id,$R$2,L$6,L$5,$B14,"K"),"")</f>
        <v/>
      </c>
      <c r="M14" s="24" t="str">
        <f>IFERROR([1]!IntrinioBankFinancials(rssd_id,$R$2,M$6,M$5,$B14,"K"),"")</f>
        <v/>
      </c>
      <c r="N14" s="24" t="str">
        <f>IFERROR([1]!IntrinioBankFinancials(rssd_id,$R$2,N$6,N$5,$B14,"K"),"")</f>
        <v/>
      </c>
      <c r="O14" s="24" t="str">
        <f>IFERROR([1]!IntrinioBankFinancials(rssd_id,$R$2,O$6,O$5,$B14,"K"),"")</f>
        <v/>
      </c>
    </row>
    <row r="15" spans="1:18" s="22" customFormat="1" ht="13.5" customHeight="1" x14ac:dyDescent="0.4">
      <c r="A15" s="34" t="s">
        <v>1238</v>
      </c>
      <c r="B15" s="23" t="s">
        <v>1239</v>
      </c>
      <c r="C15" s="24" t="str">
        <f>IFERROR([1]!IntrinioBankFinancials(rssd_id,$R$2,C$6,C$5,$B15,"K"),"")</f>
        <v/>
      </c>
      <c r="D15" s="24" t="str">
        <f>IFERROR([1]!IntrinioBankFinancials(rssd_id,$R$2,D$6,D$5,$B15,"K"),"")</f>
        <v/>
      </c>
      <c r="E15" s="24" t="str">
        <f>IFERROR([1]!IntrinioBankFinancials(rssd_id,$R$2,E$6,E$5,$B15,"K"),"")</f>
        <v/>
      </c>
      <c r="F15" s="24" t="str">
        <f>IFERROR([1]!IntrinioBankFinancials(rssd_id,$R$2,F$6,F$5,$B15,"K"),"")</f>
        <v/>
      </c>
      <c r="G15" s="24" t="str">
        <f>IFERROR([1]!IntrinioBankFinancials(rssd_id,$R$2,G$6,G$5,$B15,"K"),"")</f>
        <v/>
      </c>
      <c r="H15" s="24" t="str">
        <f>IFERROR([1]!IntrinioBankFinancials(rssd_id,$R$2,H$6,H$5,$B15,"K"),"")</f>
        <v/>
      </c>
      <c r="I15" s="24" t="str">
        <f>IFERROR([1]!IntrinioBankFinancials(rssd_id,$R$2,I$6,I$5,$B15,"K"),"")</f>
        <v/>
      </c>
      <c r="J15" s="24" t="str">
        <f>IFERROR([1]!IntrinioBankFinancials(rssd_id,$R$2,J$6,J$5,$B15,"K"),"")</f>
        <v/>
      </c>
      <c r="K15" s="24" t="str">
        <f>IFERROR([1]!IntrinioBankFinancials(rssd_id,$R$2,K$6,K$5,$B15,"K"),"")</f>
        <v/>
      </c>
      <c r="L15" s="24" t="str">
        <f>IFERROR([1]!IntrinioBankFinancials(rssd_id,$R$2,L$6,L$5,$B15,"K"),"")</f>
        <v/>
      </c>
      <c r="M15" s="24" t="str">
        <f>IFERROR([1]!IntrinioBankFinancials(rssd_id,$R$2,M$6,M$5,$B15,"K"),"")</f>
        <v/>
      </c>
      <c r="N15" s="24" t="str">
        <f>IFERROR([1]!IntrinioBankFinancials(rssd_id,$R$2,N$6,N$5,$B15,"K"),"")</f>
        <v/>
      </c>
      <c r="O15" s="24" t="str">
        <f>IFERROR([1]!IntrinioBankFinancials(rssd_id,$R$2,O$6,O$5,$B15,"K"),"")</f>
        <v/>
      </c>
    </row>
    <row r="16" spans="1:18" s="22" customFormat="1" ht="13.5" customHeight="1" x14ac:dyDescent="0.4">
      <c r="A16" s="34" t="s">
        <v>1240</v>
      </c>
      <c r="B16" s="23" t="s">
        <v>1241</v>
      </c>
      <c r="C16" s="24" t="str">
        <f>IFERROR([1]!IntrinioBankFinancials(rssd_id,$R$2,C$6,C$5,$B16,"K"),"")</f>
        <v/>
      </c>
      <c r="D16" s="24" t="str">
        <f>IFERROR([1]!IntrinioBankFinancials(rssd_id,$R$2,D$6,D$5,$B16,"K"),"")</f>
        <v/>
      </c>
      <c r="E16" s="24" t="str">
        <f>IFERROR([1]!IntrinioBankFinancials(rssd_id,$R$2,E$6,E$5,$B16,"K"),"")</f>
        <v/>
      </c>
      <c r="F16" s="24" t="str">
        <f>IFERROR([1]!IntrinioBankFinancials(rssd_id,$R$2,F$6,F$5,$B16,"K"),"")</f>
        <v/>
      </c>
      <c r="G16" s="24" t="str">
        <f>IFERROR([1]!IntrinioBankFinancials(rssd_id,$R$2,G$6,G$5,$B16,"K"),"")</f>
        <v/>
      </c>
      <c r="H16" s="24" t="str">
        <f>IFERROR([1]!IntrinioBankFinancials(rssd_id,$R$2,H$6,H$5,$B16,"K"),"")</f>
        <v/>
      </c>
      <c r="I16" s="24" t="str">
        <f>IFERROR([1]!IntrinioBankFinancials(rssd_id,$R$2,I$6,I$5,$B16,"K"),"")</f>
        <v/>
      </c>
      <c r="J16" s="24" t="str">
        <f>IFERROR([1]!IntrinioBankFinancials(rssd_id,$R$2,J$6,J$5,$B16,"K"),"")</f>
        <v/>
      </c>
      <c r="K16" s="24" t="str">
        <f>IFERROR([1]!IntrinioBankFinancials(rssd_id,$R$2,K$6,K$5,$B16,"K"),"")</f>
        <v/>
      </c>
      <c r="L16" s="24" t="str">
        <f>IFERROR([1]!IntrinioBankFinancials(rssd_id,$R$2,L$6,L$5,$B16,"K"),"")</f>
        <v/>
      </c>
      <c r="M16" s="24" t="str">
        <f>IFERROR([1]!IntrinioBankFinancials(rssd_id,$R$2,M$6,M$5,$B16,"K"),"")</f>
        <v/>
      </c>
      <c r="N16" s="24" t="str">
        <f>IFERROR([1]!IntrinioBankFinancials(rssd_id,$R$2,N$6,N$5,$B16,"K"),"")</f>
        <v/>
      </c>
      <c r="O16" s="24" t="str">
        <f>IFERROR([1]!IntrinioBankFinancials(rssd_id,$R$2,O$6,O$5,$B16,"K"),"")</f>
        <v/>
      </c>
    </row>
    <row r="17" spans="1:15" s="22" customFormat="1" ht="13.5" customHeight="1" x14ac:dyDescent="0.4">
      <c r="A17" s="34" t="s">
        <v>1242</v>
      </c>
      <c r="B17" s="23" t="s">
        <v>1243</v>
      </c>
      <c r="C17" s="24" t="str">
        <f>IFERROR([1]!IntrinioBankFinancials(rssd_id,$R$2,C$6,C$5,$B17,"K"),"")</f>
        <v/>
      </c>
      <c r="D17" s="24" t="str">
        <f>IFERROR([1]!IntrinioBankFinancials(rssd_id,$R$2,D$6,D$5,$B17,"K"),"")</f>
        <v/>
      </c>
      <c r="E17" s="24" t="str">
        <f>IFERROR([1]!IntrinioBankFinancials(rssd_id,$R$2,E$6,E$5,$B17,"K"),"")</f>
        <v/>
      </c>
      <c r="F17" s="24" t="str">
        <f>IFERROR([1]!IntrinioBankFinancials(rssd_id,$R$2,F$6,F$5,$B17,"K"),"")</f>
        <v/>
      </c>
      <c r="G17" s="24" t="str">
        <f>IFERROR([1]!IntrinioBankFinancials(rssd_id,$R$2,G$6,G$5,$B17,"K"),"")</f>
        <v/>
      </c>
      <c r="H17" s="24" t="str">
        <f>IFERROR([1]!IntrinioBankFinancials(rssd_id,$R$2,H$6,H$5,$B17,"K"),"")</f>
        <v/>
      </c>
      <c r="I17" s="24" t="str">
        <f>IFERROR([1]!IntrinioBankFinancials(rssd_id,$R$2,I$6,I$5,$B17,"K"),"")</f>
        <v/>
      </c>
      <c r="J17" s="24" t="str">
        <f>IFERROR([1]!IntrinioBankFinancials(rssd_id,$R$2,J$6,J$5,$B17,"K"),"")</f>
        <v/>
      </c>
      <c r="K17" s="24" t="str">
        <f>IFERROR([1]!IntrinioBankFinancials(rssd_id,$R$2,K$6,K$5,$B17,"K"),"")</f>
        <v/>
      </c>
      <c r="L17" s="24" t="str">
        <f>IFERROR([1]!IntrinioBankFinancials(rssd_id,$R$2,L$6,L$5,$B17,"K"),"")</f>
        <v/>
      </c>
      <c r="M17" s="24" t="str">
        <f>IFERROR([1]!IntrinioBankFinancials(rssd_id,$R$2,M$6,M$5,$B17,"K"),"")</f>
        <v/>
      </c>
      <c r="N17" s="24" t="str">
        <f>IFERROR([1]!IntrinioBankFinancials(rssd_id,$R$2,N$6,N$5,$B17,"K"),"")</f>
        <v/>
      </c>
      <c r="O17" s="24" t="str">
        <f>IFERROR([1]!IntrinioBankFinancials(rssd_id,$R$2,O$6,O$5,$B17,"K"),"")</f>
        <v/>
      </c>
    </row>
    <row r="18" spans="1:15" s="22" customFormat="1" ht="13.5" customHeight="1" x14ac:dyDescent="0.4">
      <c r="A18" s="34" t="s">
        <v>1244</v>
      </c>
      <c r="B18" s="23" t="s">
        <v>1245</v>
      </c>
      <c r="C18" s="24" t="str">
        <f>IFERROR([1]!IntrinioBankFinancials(rssd_id,$R$2,C$6,C$5,$B18,"K"),"")</f>
        <v/>
      </c>
      <c r="D18" s="24" t="str">
        <f>IFERROR([1]!IntrinioBankFinancials(rssd_id,$R$2,D$6,D$5,$B18,"K"),"")</f>
        <v/>
      </c>
      <c r="E18" s="24" t="str">
        <f>IFERROR([1]!IntrinioBankFinancials(rssd_id,$R$2,E$6,E$5,$B18,"K"),"")</f>
        <v/>
      </c>
      <c r="F18" s="24" t="str">
        <f>IFERROR([1]!IntrinioBankFinancials(rssd_id,$R$2,F$6,F$5,$B18,"K"),"")</f>
        <v/>
      </c>
      <c r="G18" s="24" t="str">
        <f>IFERROR([1]!IntrinioBankFinancials(rssd_id,$R$2,G$6,G$5,$B18,"K"),"")</f>
        <v/>
      </c>
      <c r="H18" s="24" t="str">
        <f>IFERROR([1]!IntrinioBankFinancials(rssd_id,$R$2,H$6,H$5,$B18,"K"),"")</f>
        <v/>
      </c>
      <c r="I18" s="24" t="str">
        <f>IFERROR([1]!IntrinioBankFinancials(rssd_id,$R$2,I$6,I$5,$B18,"K"),"")</f>
        <v/>
      </c>
      <c r="J18" s="24" t="str">
        <f>IFERROR([1]!IntrinioBankFinancials(rssd_id,$R$2,J$6,J$5,$B18,"K"),"")</f>
        <v/>
      </c>
      <c r="K18" s="24" t="str">
        <f>IFERROR([1]!IntrinioBankFinancials(rssd_id,$R$2,K$6,K$5,$B18,"K"),"")</f>
        <v/>
      </c>
      <c r="L18" s="24" t="str">
        <f>IFERROR([1]!IntrinioBankFinancials(rssd_id,$R$2,L$6,L$5,$B18,"K"),"")</f>
        <v/>
      </c>
      <c r="M18" s="24" t="str">
        <f>IFERROR([1]!IntrinioBankFinancials(rssd_id,$R$2,M$6,M$5,$B18,"K"),"")</f>
        <v/>
      </c>
      <c r="N18" s="24" t="str">
        <f>IFERROR([1]!IntrinioBankFinancials(rssd_id,$R$2,N$6,N$5,$B18,"K"),"")</f>
        <v/>
      </c>
      <c r="O18" s="24" t="str">
        <f>IFERROR([1]!IntrinioBankFinancials(rssd_id,$R$2,O$6,O$5,$B18,"K"),"")</f>
        <v/>
      </c>
    </row>
    <row r="19" spans="1:15" s="22" customFormat="1" ht="13.5" customHeight="1" x14ac:dyDescent="0.4">
      <c r="A19" s="34" t="s">
        <v>1246</v>
      </c>
      <c r="B19" s="23" t="s">
        <v>1247</v>
      </c>
      <c r="C19" s="24" t="str">
        <f>IFERROR([1]!IntrinioBankFinancials(rssd_id,$R$2,C$6,C$5,$B19,"K"),"")</f>
        <v/>
      </c>
      <c r="D19" s="24" t="str">
        <f>IFERROR([1]!IntrinioBankFinancials(rssd_id,$R$2,D$6,D$5,$B19,"K"),"")</f>
        <v/>
      </c>
      <c r="E19" s="24" t="str">
        <f>IFERROR([1]!IntrinioBankFinancials(rssd_id,$R$2,E$6,E$5,$B19,"K"),"")</f>
        <v/>
      </c>
      <c r="F19" s="24" t="str">
        <f>IFERROR([1]!IntrinioBankFinancials(rssd_id,$R$2,F$6,F$5,$B19,"K"),"")</f>
        <v/>
      </c>
      <c r="G19" s="24" t="str">
        <f>IFERROR([1]!IntrinioBankFinancials(rssd_id,$R$2,G$6,G$5,$B19,"K"),"")</f>
        <v/>
      </c>
      <c r="H19" s="24" t="str">
        <f>IFERROR([1]!IntrinioBankFinancials(rssd_id,$R$2,H$6,H$5,$B19,"K"),"")</f>
        <v/>
      </c>
      <c r="I19" s="24" t="str">
        <f>IFERROR([1]!IntrinioBankFinancials(rssd_id,$R$2,I$6,I$5,$B19,"K"),"")</f>
        <v/>
      </c>
      <c r="J19" s="24" t="str">
        <f>IFERROR([1]!IntrinioBankFinancials(rssd_id,$R$2,J$6,J$5,$B19,"K"),"")</f>
        <v/>
      </c>
      <c r="K19" s="24" t="str">
        <f>IFERROR([1]!IntrinioBankFinancials(rssd_id,$R$2,K$6,K$5,$B19,"K"),"")</f>
        <v/>
      </c>
      <c r="L19" s="24" t="str">
        <f>IFERROR([1]!IntrinioBankFinancials(rssd_id,$R$2,L$6,L$5,$B19,"K"),"")</f>
        <v/>
      </c>
      <c r="M19" s="24" t="str">
        <f>IFERROR([1]!IntrinioBankFinancials(rssd_id,$R$2,M$6,M$5,$B19,"K"),"")</f>
        <v/>
      </c>
      <c r="N19" s="24" t="str">
        <f>IFERROR([1]!IntrinioBankFinancials(rssd_id,$R$2,N$6,N$5,$B19,"K"),"")</f>
        <v/>
      </c>
      <c r="O19" s="24" t="str">
        <f>IFERROR([1]!IntrinioBankFinancials(rssd_id,$R$2,O$6,O$5,$B19,"K"),"")</f>
        <v/>
      </c>
    </row>
    <row r="20" spans="1:15" s="22" customFormat="1" ht="13.5" customHeight="1" x14ac:dyDescent="0.4">
      <c r="A20" s="34" t="s">
        <v>1248</v>
      </c>
      <c r="B20" s="23" t="s">
        <v>1249</v>
      </c>
      <c r="C20" s="24" t="str">
        <f>IFERROR([1]!IntrinioBankFinancials(rssd_id,$R$2,C$6,C$5,$B20,"K"),"")</f>
        <v/>
      </c>
      <c r="D20" s="24" t="str">
        <f>IFERROR([1]!IntrinioBankFinancials(rssd_id,$R$2,D$6,D$5,$B20,"K"),"")</f>
        <v/>
      </c>
      <c r="E20" s="24" t="str">
        <f>IFERROR([1]!IntrinioBankFinancials(rssd_id,$R$2,E$6,E$5,$B20,"K"),"")</f>
        <v/>
      </c>
      <c r="F20" s="24" t="str">
        <f>IFERROR([1]!IntrinioBankFinancials(rssd_id,$R$2,F$6,F$5,$B20,"K"),"")</f>
        <v/>
      </c>
      <c r="G20" s="24" t="str">
        <f>IFERROR([1]!IntrinioBankFinancials(rssd_id,$R$2,G$6,G$5,$B20,"K"),"")</f>
        <v/>
      </c>
      <c r="H20" s="24" t="str">
        <f>IFERROR([1]!IntrinioBankFinancials(rssd_id,$R$2,H$6,H$5,$B20,"K"),"")</f>
        <v/>
      </c>
      <c r="I20" s="24" t="str">
        <f>IFERROR([1]!IntrinioBankFinancials(rssd_id,$R$2,I$6,I$5,$B20,"K"),"")</f>
        <v/>
      </c>
      <c r="J20" s="24" t="str">
        <f>IFERROR([1]!IntrinioBankFinancials(rssd_id,$R$2,J$6,J$5,$B20,"K"),"")</f>
        <v/>
      </c>
      <c r="K20" s="24" t="str">
        <f>IFERROR([1]!IntrinioBankFinancials(rssd_id,$R$2,K$6,K$5,$B20,"K"),"")</f>
        <v/>
      </c>
      <c r="L20" s="24" t="str">
        <f>IFERROR([1]!IntrinioBankFinancials(rssd_id,$R$2,L$6,L$5,$B20,"K"),"")</f>
        <v/>
      </c>
      <c r="M20" s="24" t="str">
        <f>IFERROR([1]!IntrinioBankFinancials(rssd_id,$R$2,M$6,M$5,$B20,"K"),"")</f>
        <v/>
      </c>
      <c r="N20" s="24" t="str">
        <f>IFERROR([1]!IntrinioBankFinancials(rssd_id,$R$2,N$6,N$5,$B20,"K"),"")</f>
        <v/>
      </c>
      <c r="O20" s="24" t="str">
        <f>IFERROR([1]!IntrinioBankFinancials(rssd_id,$R$2,O$6,O$5,$B20,"K"),"")</f>
        <v/>
      </c>
    </row>
    <row r="21" spans="1:15" s="22" customFormat="1" ht="13.5" customHeight="1" x14ac:dyDescent="0.4">
      <c r="A21" s="34" t="s">
        <v>1250</v>
      </c>
      <c r="B21" s="23" t="s">
        <v>1251</v>
      </c>
      <c r="C21" s="24" t="str">
        <f>IFERROR([1]!IntrinioBankFinancials(rssd_id,$R$2,C$6,C$5,$B21,"K"),"")</f>
        <v/>
      </c>
      <c r="D21" s="24" t="str">
        <f>IFERROR([1]!IntrinioBankFinancials(rssd_id,$R$2,D$6,D$5,$B21,"K"),"")</f>
        <v/>
      </c>
      <c r="E21" s="24" t="str">
        <f>IFERROR([1]!IntrinioBankFinancials(rssd_id,$R$2,E$6,E$5,$B21,"K"),"")</f>
        <v/>
      </c>
      <c r="F21" s="24" t="str">
        <f>IFERROR([1]!IntrinioBankFinancials(rssd_id,$R$2,F$6,F$5,$B21,"K"),"")</f>
        <v/>
      </c>
      <c r="G21" s="24" t="str">
        <f>IFERROR([1]!IntrinioBankFinancials(rssd_id,$R$2,G$6,G$5,$B21,"K"),"")</f>
        <v/>
      </c>
      <c r="H21" s="24" t="str">
        <f>IFERROR([1]!IntrinioBankFinancials(rssd_id,$R$2,H$6,H$5,$B21,"K"),"")</f>
        <v/>
      </c>
      <c r="I21" s="24" t="str">
        <f>IFERROR([1]!IntrinioBankFinancials(rssd_id,$R$2,I$6,I$5,$B21,"K"),"")</f>
        <v/>
      </c>
      <c r="J21" s="24" t="str">
        <f>IFERROR([1]!IntrinioBankFinancials(rssd_id,$R$2,J$6,J$5,$B21,"K"),"")</f>
        <v/>
      </c>
      <c r="K21" s="24" t="str">
        <f>IFERROR([1]!IntrinioBankFinancials(rssd_id,$R$2,K$6,K$5,$B21,"K"),"")</f>
        <v/>
      </c>
      <c r="L21" s="24" t="str">
        <f>IFERROR([1]!IntrinioBankFinancials(rssd_id,$R$2,L$6,L$5,$B21,"K"),"")</f>
        <v/>
      </c>
      <c r="M21" s="24" t="str">
        <f>IFERROR([1]!IntrinioBankFinancials(rssd_id,$R$2,M$6,M$5,$B21,"K"),"")</f>
        <v/>
      </c>
      <c r="N21" s="24" t="str">
        <f>IFERROR([1]!IntrinioBankFinancials(rssd_id,$R$2,N$6,N$5,$B21,"K"),"")</f>
        <v/>
      </c>
      <c r="O21" s="24" t="str">
        <f>IFERROR([1]!IntrinioBankFinancials(rssd_id,$R$2,O$6,O$5,$B21,"K"),"")</f>
        <v/>
      </c>
    </row>
    <row r="22" spans="1:15" s="22" customFormat="1" ht="13.5" customHeight="1" x14ac:dyDescent="0.4">
      <c r="A22" s="34" t="s">
        <v>1252</v>
      </c>
      <c r="B22" s="23" t="s">
        <v>1253</v>
      </c>
      <c r="C22" s="24" t="str">
        <f>IFERROR([1]!IntrinioBankFinancials(rssd_id,$R$2,C$6,C$5,$B22,"K"),"")</f>
        <v/>
      </c>
      <c r="D22" s="24" t="str">
        <f>IFERROR([1]!IntrinioBankFinancials(rssd_id,$R$2,D$6,D$5,$B22,"K"),"")</f>
        <v/>
      </c>
      <c r="E22" s="24" t="str">
        <f>IFERROR([1]!IntrinioBankFinancials(rssd_id,$R$2,E$6,E$5,$B22,"K"),"")</f>
        <v/>
      </c>
      <c r="F22" s="24" t="str">
        <f>IFERROR([1]!IntrinioBankFinancials(rssd_id,$R$2,F$6,F$5,$B22,"K"),"")</f>
        <v/>
      </c>
      <c r="G22" s="24" t="str">
        <f>IFERROR([1]!IntrinioBankFinancials(rssd_id,$R$2,G$6,G$5,$B22,"K"),"")</f>
        <v/>
      </c>
      <c r="H22" s="24" t="str">
        <f>IFERROR([1]!IntrinioBankFinancials(rssd_id,$R$2,H$6,H$5,$B22,"K"),"")</f>
        <v/>
      </c>
      <c r="I22" s="24" t="str">
        <f>IFERROR([1]!IntrinioBankFinancials(rssd_id,$R$2,I$6,I$5,$B22,"K"),"")</f>
        <v/>
      </c>
      <c r="J22" s="24" t="str">
        <f>IFERROR([1]!IntrinioBankFinancials(rssd_id,$R$2,J$6,J$5,$B22,"K"),"")</f>
        <v/>
      </c>
      <c r="K22" s="24" t="str">
        <f>IFERROR([1]!IntrinioBankFinancials(rssd_id,$R$2,K$6,K$5,$B22,"K"),"")</f>
        <v/>
      </c>
      <c r="L22" s="24" t="str">
        <f>IFERROR([1]!IntrinioBankFinancials(rssd_id,$R$2,L$6,L$5,$B22,"K"),"")</f>
        <v/>
      </c>
      <c r="M22" s="24" t="str">
        <f>IFERROR([1]!IntrinioBankFinancials(rssd_id,$R$2,M$6,M$5,$B22,"K"),"")</f>
        <v/>
      </c>
      <c r="N22" s="24" t="str">
        <f>IFERROR([1]!IntrinioBankFinancials(rssd_id,$R$2,N$6,N$5,$B22,"K"),"")</f>
        <v/>
      </c>
      <c r="O22" s="24" t="str">
        <f>IFERROR([1]!IntrinioBankFinancials(rssd_id,$R$2,O$6,O$5,$B22,"K"),"")</f>
        <v/>
      </c>
    </row>
    <row r="23" spans="1:15" s="22" customFormat="1" ht="13.5" customHeight="1" x14ac:dyDescent="0.4">
      <c r="A23" s="34" t="s">
        <v>1254</v>
      </c>
      <c r="B23" s="23" t="s">
        <v>1255</v>
      </c>
      <c r="C23" s="24" t="str">
        <f>IFERROR([1]!IntrinioBankFinancials(rssd_id,$R$2,C$6,C$5,$B23,"K"),"")</f>
        <v/>
      </c>
      <c r="D23" s="24" t="str">
        <f>IFERROR([1]!IntrinioBankFinancials(rssd_id,$R$2,D$6,D$5,$B23,"K"),"")</f>
        <v/>
      </c>
      <c r="E23" s="24" t="str">
        <f>IFERROR([1]!IntrinioBankFinancials(rssd_id,$R$2,E$6,E$5,$B23,"K"),"")</f>
        <v/>
      </c>
      <c r="F23" s="24" t="str">
        <f>IFERROR([1]!IntrinioBankFinancials(rssd_id,$R$2,F$6,F$5,$B23,"K"),"")</f>
        <v/>
      </c>
      <c r="G23" s="24" t="str">
        <f>IFERROR([1]!IntrinioBankFinancials(rssd_id,$R$2,G$6,G$5,$B23,"K"),"")</f>
        <v/>
      </c>
      <c r="H23" s="24" t="str">
        <f>IFERROR([1]!IntrinioBankFinancials(rssd_id,$R$2,H$6,H$5,$B23,"K"),"")</f>
        <v/>
      </c>
      <c r="I23" s="24" t="str">
        <f>IFERROR([1]!IntrinioBankFinancials(rssd_id,$R$2,I$6,I$5,$B23,"K"),"")</f>
        <v/>
      </c>
      <c r="J23" s="24" t="str">
        <f>IFERROR([1]!IntrinioBankFinancials(rssd_id,$R$2,J$6,J$5,$B23,"K"),"")</f>
        <v/>
      </c>
      <c r="K23" s="24" t="str">
        <f>IFERROR([1]!IntrinioBankFinancials(rssd_id,$R$2,K$6,K$5,$B23,"K"),"")</f>
        <v/>
      </c>
      <c r="L23" s="24" t="str">
        <f>IFERROR([1]!IntrinioBankFinancials(rssd_id,$R$2,L$6,L$5,$B23,"K"),"")</f>
        <v/>
      </c>
      <c r="M23" s="24" t="str">
        <f>IFERROR([1]!IntrinioBankFinancials(rssd_id,$R$2,M$6,M$5,$B23,"K"),"")</f>
        <v/>
      </c>
      <c r="N23" s="24" t="str">
        <f>IFERROR([1]!IntrinioBankFinancials(rssd_id,$R$2,N$6,N$5,$B23,"K"),"")</f>
        <v/>
      </c>
      <c r="O23" s="24" t="str">
        <f>IFERROR([1]!IntrinioBankFinancials(rssd_id,$R$2,O$6,O$5,$B23,"K"),"")</f>
        <v/>
      </c>
    </row>
    <row r="24" spans="1:15" s="22" customFormat="1" ht="13.5" customHeight="1" x14ac:dyDescent="0.4">
      <c r="A24" s="34" t="s">
        <v>68</v>
      </c>
      <c r="B24" s="23" t="s">
        <v>1005</v>
      </c>
      <c r="C24" s="24" t="str">
        <f>IFERROR([1]!IntrinioBankFinancials(rssd_id,$R$2,C$6,C$5,$B24,"K"),"")</f>
        <v/>
      </c>
      <c r="D24" s="24" t="str">
        <f>IFERROR([1]!IntrinioBankFinancials(rssd_id,$R$2,D$6,D$5,$B24,"K"),"")</f>
        <v/>
      </c>
      <c r="E24" s="24" t="str">
        <f>IFERROR([1]!IntrinioBankFinancials(rssd_id,$R$2,E$6,E$5,$B24,"K"),"")</f>
        <v/>
      </c>
      <c r="F24" s="24" t="str">
        <f>IFERROR([1]!IntrinioBankFinancials(rssd_id,$R$2,F$6,F$5,$B24,"K"),"")</f>
        <v/>
      </c>
      <c r="G24" s="24" t="str">
        <f>IFERROR([1]!IntrinioBankFinancials(rssd_id,$R$2,G$6,G$5,$B24,"K"),"")</f>
        <v/>
      </c>
      <c r="H24" s="24" t="str">
        <f>IFERROR([1]!IntrinioBankFinancials(rssd_id,$R$2,H$6,H$5,$B24,"K"),"")</f>
        <v/>
      </c>
      <c r="I24" s="24" t="str">
        <f>IFERROR([1]!IntrinioBankFinancials(rssd_id,$R$2,I$6,I$5,$B24,"K"),"")</f>
        <v/>
      </c>
      <c r="J24" s="24" t="str">
        <f>IFERROR([1]!IntrinioBankFinancials(rssd_id,$R$2,J$6,J$5,$B24,"K"),"")</f>
        <v/>
      </c>
      <c r="K24" s="24" t="str">
        <f>IFERROR([1]!IntrinioBankFinancials(rssd_id,$R$2,K$6,K$5,$B24,"K"),"")</f>
        <v/>
      </c>
      <c r="L24" s="24" t="str">
        <f>IFERROR([1]!IntrinioBankFinancials(rssd_id,$R$2,L$6,L$5,$B24,"K"),"")</f>
        <v/>
      </c>
      <c r="M24" s="24" t="str">
        <f>IFERROR([1]!IntrinioBankFinancials(rssd_id,$R$2,M$6,M$5,$B24,"K"),"")</f>
        <v/>
      </c>
      <c r="N24" s="24" t="str">
        <f>IFERROR([1]!IntrinioBankFinancials(rssd_id,$R$2,N$6,N$5,$B24,"K"),"")</f>
        <v/>
      </c>
      <c r="O24" s="24" t="str">
        <f>IFERROR([1]!IntrinioBankFinancials(rssd_id,$R$2,O$6,O$5,$B24,"K"),"")</f>
        <v/>
      </c>
    </row>
    <row r="25" spans="1:15" s="22" customFormat="1" ht="13.5" customHeight="1" x14ac:dyDescent="0.4">
      <c r="A25" s="34" t="s">
        <v>1256</v>
      </c>
      <c r="B25" s="23" t="s">
        <v>1007</v>
      </c>
      <c r="C25" s="24" t="str">
        <f>IFERROR([1]!IntrinioBankFinancials(rssd_id,$R$2,C$6,C$5,$B25,"K"),"")</f>
        <v/>
      </c>
      <c r="D25" s="24" t="str">
        <f>IFERROR([1]!IntrinioBankFinancials(rssd_id,$R$2,D$6,D$5,$B25,"K"),"")</f>
        <v/>
      </c>
      <c r="E25" s="24" t="str">
        <f>IFERROR([1]!IntrinioBankFinancials(rssd_id,$R$2,E$6,E$5,$B25,"K"),"")</f>
        <v/>
      </c>
      <c r="F25" s="24" t="str">
        <f>IFERROR([1]!IntrinioBankFinancials(rssd_id,$R$2,F$6,F$5,$B25,"K"),"")</f>
        <v/>
      </c>
      <c r="G25" s="24" t="str">
        <f>IFERROR([1]!IntrinioBankFinancials(rssd_id,$R$2,G$6,G$5,$B25,"K"),"")</f>
        <v/>
      </c>
      <c r="H25" s="24" t="str">
        <f>IFERROR([1]!IntrinioBankFinancials(rssd_id,$R$2,H$6,H$5,$B25,"K"),"")</f>
        <v/>
      </c>
      <c r="I25" s="24" t="str">
        <f>IFERROR([1]!IntrinioBankFinancials(rssd_id,$R$2,I$6,I$5,$B25,"K"),"")</f>
        <v/>
      </c>
      <c r="J25" s="24" t="str">
        <f>IFERROR([1]!IntrinioBankFinancials(rssd_id,$R$2,J$6,J$5,$B25,"K"),"")</f>
        <v/>
      </c>
      <c r="K25" s="24" t="str">
        <f>IFERROR([1]!IntrinioBankFinancials(rssd_id,$R$2,K$6,K$5,$B25,"K"),"")</f>
        <v/>
      </c>
      <c r="L25" s="24" t="str">
        <f>IFERROR([1]!IntrinioBankFinancials(rssd_id,$R$2,L$6,L$5,$B25,"K"),"")</f>
        <v/>
      </c>
      <c r="M25" s="24" t="str">
        <f>IFERROR([1]!IntrinioBankFinancials(rssd_id,$R$2,M$6,M$5,$B25,"K"),"")</f>
        <v/>
      </c>
      <c r="N25" s="24" t="str">
        <f>IFERROR([1]!IntrinioBankFinancials(rssd_id,$R$2,N$6,N$5,$B25,"K"),"")</f>
        <v/>
      </c>
      <c r="O25" s="24" t="str">
        <f>IFERROR([1]!IntrinioBankFinancials(rssd_id,$R$2,O$6,O$5,$B25,"K"),"")</f>
        <v/>
      </c>
    </row>
    <row r="26" spans="1:15" s="22" customFormat="1" ht="13.5" customHeight="1" x14ac:dyDescent="0.4">
      <c r="A26" s="34" t="s">
        <v>70</v>
      </c>
      <c r="B26" s="23" t="s">
        <v>1257</v>
      </c>
      <c r="C26" s="24" t="str">
        <f>IFERROR([1]!IntrinioBankFinancials(rssd_id,$R$2,C$6,C$5,$B26,"K"),"")</f>
        <v/>
      </c>
      <c r="D26" s="24" t="str">
        <f>IFERROR([1]!IntrinioBankFinancials(rssd_id,$R$2,D$6,D$5,$B26,"K"),"")</f>
        <v/>
      </c>
      <c r="E26" s="24" t="str">
        <f>IFERROR([1]!IntrinioBankFinancials(rssd_id,$R$2,E$6,E$5,$B26,"K"),"")</f>
        <v/>
      </c>
      <c r="F26" s="24" t="str">
        <f>IFERROR([1]!IntrinioBankFinancials(rssd_id,$R$2,F$6,F$5,$B26,"K"),"")</f>
        <v/>
      </c>
      <c r="G26" s="24" t="str">
        <f>IFERROR([1]!IntrinioBankFinancials(rssd_id,$R$2,G$6,G$5,$B26,"K"),"")</f>
        <v/>
      </c>
      <c r="H26" s="24" t="str">
        <f>IFERROR([1]!IntrinioBankFinancials(rssd_id,$R$2,H$6,H$5,$B26,"K"),"")</f>
        <v/>
      </c>
      <c r="I26" s="24" t="str">
        <f>IFERROR([1]!IntrinioBankFinancials(rssd_id,$R$2,I$6,I$5,$B26,"K"),"")</f>
        <v/>
      </c>
      <c r="J26" s="24" t="str">
        <f>IFERROR([1]!IntrinioBankFinancials(rssd_id,$R$2,J$6,J$5,$B26,"K"),"")</f>
        <v/>
      </c>
      <c r="K26" s="24" t="str">
        <f>IFERROR([1]!IntrinioBankFinancials(rssd_id,$R$2,K$6,K$5,$B26,"K"),"")</f>
        <v/>
      </c>
      <c r="L26" s="24" t="str">
        <f>IFERROR([1]!IntrinioBankFinancials(rssd_id,$R$2,L$6,L$5,$B26,"K"),"")</f>
        <v/>
      </c>
      <c r="M26" s="24" t="str">
        <f>IFERROR([1]!IntrinioBankFinancials(rssd_id,$R$2,M$6,M$5,$B26,"K"),"")</f>
        <v/>
      </c>
      <c r="N26" s="24" t="str">
        <f>IFERROR([1]!IntrinioBankFinancials(rssd_id,$R$2,N$6,N$5,$B26,"K"),"")</f>
        <v/>
      </c>
      <c r="O26" s="24" t="str">
        <f>IFERROR([1]!IntrinioBankFinancials(rssd_id,$R$2,O$6,O$5,$B26,"K"),"")</f>
        <v/>
      </c>
    </row>
    <row r="27" spans="1:15" s="22" customFormat="1" ht="13.5" customHeight="1" x14ac:dyDescent="0.4">
      <c r="A27" s="34" t="s">
        <v>1258</v>
      </c>
      <c r="B27" s="23" t="s">
        <v>1259</v>
      </c>
      <c r="C27" s="24" t="str">
        <f>IFERROR([1]!IntrinioBankFinancials(rssd_id,$R$2,C$6,C$5,$B27,"K"),"")</f>
        <v/>
      </c>
      <c r="D27" s="24" t="str">
        <f>IFERROR([1]!IntrinioBankFinancials(rssd_id,$R$2,D$6,D$5,$B27,"K"),"")</f>
        <v/>
      </c>
      <c r="E27" s="24" t="str">
        <f>IFERROR([1]!IntrinioBankFinancials(rssd_id,$R$2,E$6,E$5,$B27,"K"),"")</f>
        <v/>
      </c>
      <c r="F27" s="24" t="str">
        <f>IFERROR([1]!IntrinioBankFinancials(rssd_id,$R$2,F$6,F$5,$B27,"K"),"")</f>
        <v/>
      </c>
      <c r="G27" s="24" t="str">
        <f>IFERROR([1]!IntrinioBankFinancials(rssd_id,$R$2,G$6,G$5,$B27,"K"),"")</f>
        <v/>
      </c>
      <c r="H27" s="24" t="str">
        <f>IFERROR([1]!IntrinioBankFinancials(rssd_id,$R$2,H$6,H$5,$B27,"K"),"")</f>
        <v/>
      </c>
      <c r="I27" s="24" t="str">
        <f>IFERROR([1]!IntrinioBankFinancials(rssd_id,$R$2,I$6,I$5,$B27,"K"),"")</f>
        <v/>
      </c>
      <c r="J27" s="24" t="str">
        <f>IFERROR([1]!IntrinioBankFinancials(rssd_id,$R$2,J$6,J$5,$B27,"K"),"")</f>
        <v/>
      </c>
      <c r="K27" s="24" t="str">
        <f>IFERROR([1]!IntrinioBankFinancials(rssd_id,$R$2,K$6,K$5,$B27,"K"),"")</f>
        <v/>
      </c>
      <c r="L27" s="24" t="str">
        <f>IFERROR([1]!IntrinioBankFinancials(rssd_id,$R$2,L$6,L$5,$B27,"K"),"")</f>
        <v/>
      </c>
      <c r="M27" s="24" t="str">
        <f>IFERROR([1]!IntrinioBankFinancials(rssd_id,$R$2,M$6,M$5,$B27,"K"),"")</f>
        <v/>
      </c>
      <c r="N27" s="24" t="str">
        <f>IFERROR([1]!IntrinioBankFinancials(rssd_id,$R$2,N$6,N$5,$B27,"K"),"")</f>
        <v/>
      </c>
      <c r="O27" s="24" t="str">
        <f>IFERROR([1]!IntrinioBankFinancials(rssd_id,$R$2,O$6,O$5,$B27,"K"),"")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/>
    <pageSetUpPr fitToPage="1"/>
  </sheetPr>
  <dimension ref="A1:R51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76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72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73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1260</v>
      </c>
      <c r="B9" s="23" t="s">
        <v>1261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3.5" customHeight="1" x14ac:dyDescent="0.4">
      <c r="A10" s="34" t="s">
        <v>1262</v>
      </c>
      <c r="B10" s="23" t="s">
        <v>1263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3.5" customHeight="1" x14ac:dyDescent="0.4">
      <c r="A11" s="34" t="s">
        <v>1264</v>
      </c>
      <c r="B11" s="23" t="s">
        <v>1265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3.5" customHeight="1" x14ac:dyDescent="0.4">
      <c r="A12" s="34" t="s">
        <v>1266</v>
      </c>
      <c r="B12" s="23" t="s">
        <v>1203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3.5" customHeight="1" x14ac:dyDescent="0.4">
      <c r="A13" s="34" t="s">
        <v>1267</v>
      </c>
      <c r="B13" s="23" t="s">
        <v>1268</v>
      </c>
      <c r="C13" s="32" t="str">
        <f>IFERROR([1]!IntrinioBankFinancials(rssd_id,$R$2,C$6,C$5,$B13),"")</f>
        <v/>
      </c>
      <c r="D13" s="32" t="str">
        <f>IFERROR([1]!IntrinioBankFinancials(rssd_id,$R$2,D$6,D$5,$B13),"")</f>
        <v/>
      </c>
      <c r="E13" s="32" t="str">
        <f>IFERROR([1]!IntrinioBankFinancials(rssd_id,$R$2,E$6,E$5,$B13),"")</f>
        <v/>
      </c>
      <c r="F13" s="32" t="str">
        <f>IFERROR([1]!IntrinioBankFinancials(rssd_id,$R$2,F$6,F$5,$B13),"")</f>
        <v/>
      </c>
      <c r="G13" s="32" t="str">
        <f>IFERROR([1]!IntrinioBankFinancials(rssd_id,$R$2,G$6,G$5,$B13),"")</f>
        <v/>
      </c>
      <c r="H13" s="32" t="str">
        <f>IFERROR([1]!IntrinioBankFinancials(rssd_id,$R$2,H$6,H$5,$B13),"")</f>
        <v/>
      </c>
      <c r="I13" s="32" t="str">
        <f>IFERROR([1]!IntrinioBankFinancials(rssd_id,$R$2,I$6,I$5,$B13),"")</f>
        <v/>
      </c>
      <c r="J13" s="32" t="str">
        <f>IFERROR([1]!IntrinioBankFinancials(rssd_id,$R$2,J$6,J$5,$B13),"")</f>
        <v/>
      </c>
      <c r="K13" s="32" t="str">
        <f>IFERROR([1]!IntrinioBankFinancials(rssd_id,$R$2,K$6,K$5,$B13),"")</f>
        <v/>
      </c>
      <c r="L13" s="32" t="str">
        <f>IFERROR([1]!IntrinioBankFinancials(rssd_id,$R$2,L$6,L$5,$B13),"")</f>
        <v/>
      </c>
      <c r="M13" s="32" t="str">
        <f>IFERROR([1]!IntrinioBankFinancials(rssd_id,$R$2,M$6,M$5,$B13),"")</f>
        <v/>
      </c>
      <c r="N13" s="32" t="str">
        <f>IFERROR([1]!IntrinioBankFinancials(rssd_id,$R$2,N$6,N$5,$B13),"")</f>
        <v/>
      </c>
      <c r="O13" s="32" t="str">
        <f>IFERROR([1]!IntrinioBankFinancials(rssd_id,$R$2,O$6,O$5,$B13),"")</f>
        <v/>
      </c>
    </row>
    <row r="14" spans="1:18" s="22" customFormat="1" ht="13.5" customHeight="1" x14ac:dyDescent="0.4">
      <c r="A14" s="34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</row>
    <row r="15" spans="1:18" s="22" customFormat="1" ht="13.5" customHeight="1" x14ac:dyDescent="0.4">
      <c r="A15" s="33" t="s">
        <v>74</v>
      </c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</row>
    <row r="16" spans="1:18" s="22" customFormat="1" ht="13.5" customHeight="1" x14ac:dyDescent="0.4">
      <c r="A16" s="34" t="s">
        <v>1269</v>
      </c>
      <c r="B16" s="23" t="s">
        <v>1270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3.5" customHeight="1" x14ac:dyDescent="0.4">
      <c r="A17" s="34" t="s">
        <v>1271</v>
      </c>
      <c r="B17" s="23" t="s">
        <v>1272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3.5" customHeight="1" x14ac:dyDescent="0.4">
      <c r="A18" s="34" t="s">
        <v>1273</v>
      </c>
      <c r="B18" s="23" t="s">
        <v>1274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3.5" customHeight="1" x14ac:dyDescent="0.4">
      <c r="A19" s="34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</row>
    <row r="20" spans="1:15" s="22" customFormat="1" ht="13.5" customHeight="1" x14ac:dyDescent="0.4">
      <c r="A20" s="33" t="s">
        <v>75</v>
      </c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</row>
    <row r="21" spans="1:15" s="22" customFormat="1" ht="13.5" customHeight="1" x14ac:dyDescent="0.4">
      <c r="A21" s="34" t="s">
        <v>1275</v>
      </c>
      <c r="B21" s="23" t="s">
        <v>1276</v>
      </c>
      <c r="C21" s="32" t="str">
        <f>IFERROR([1]!IntrinioBankFinancials(rssd_id,$R$2,C$6,C$5,$B21),"")</f>
        <v/>
      </c>
      <c r="D21" s="32" t="str">
        <f>IFERROR([1]!IntrinioBankFinancials(rssd_id,$R$2,D$6,D$5,$B21),"")</f>
        <v/>
      </c>
      <c r="E21" s="32" t="str">
        <f>IFERROR([1]!IntrinioBankFinancials(rssd_id,$R$2,E$6,E$5,$B21),"")</f>
        <v/>
      </c>
      <c r="F21" s="32" t="str">
        <f>IFERROR([1]!IntrinioBankFinancials(rssd_id,$R$2,F$6,F$5,$B21),"")</f>
        <v/>
      </c>
      <c r="G21" s="32" t="str">
        <f>IFERROR([1]!IntrinioBankFinancials(rssd_id,$R$2,G$6,G$5,$B21),"")</f>
        <v/>
      </c>
      <c r="H21" s="32" t="str">
        <f>IFERROR([1]!IntrinioBankFinancials(rssd_id,$R$2,H$6,H$5,$B21),"")</f>
        <v/>
      </c>
      <c r="I21" s="32" t="str">
        <f>IFERROR([1]!IntrinioBankFinancials(rssd_id,$R$2,I$6,I$5,$B21),"")</f>
        <v/>
      </c>
      <c r="J21" s="32" t="str">
        <f>IFERROR([1]!IntrinioBankFinancials(rssd_id,$R$2,J$6,J$5,$B21),"")</f>
        <v/>
      </c>
      <c r="K21" s="32" t="str">
        <f>IFERROR([1]!IntrinioBankFinancials(rssd_id,$R$2,K$6,K$5,$B21),"")</f>
        <v/>
      </c>
      <c r="L21" s="32" t="str">
        <f>IFERROR([1]!IntrinioBankFinancials(rssd_id,$R$2,L$6,L$5,$B21),"")</f>
        <v/>
      </c>
      <c r="M21" s="32" t="str">
        <f>IFERROR([1]!IntrinioBankFinancials(rssd_id,$R$2,M$6,M$5,$B21),"")</f>
        <v/>
      </c>
      <c r="N21" s="32" t="str">
        <f>IFERROR([1]!IntrinioBankFinancials(rssd_id,$R$2,N$6,N$5,$B21),"")</f>
        <v/>
      </c>
      <c r="O21" s="32" t="str">
        <f>IFERROR([1]!IntrinioBankFinancials(rssd_id,$R$2,O$6,O$5,$B21),"")</f>
        <v/>
      </c>
    </row>
    <row r="22" spans="1:15" s="22" customFormat="1" ht="13.5" customHeight="1" x14ac:dyDescent="0.4">
      <c r="A22" s="34" t="s">
        <v>1277</v>
      </c>
      <c r="B22" s="23" t="s">
        <v>1278</v>
      </c>
      <c r="C22" s="32" t="str">
        <f>IFERROR([1]!IntrinioBankFinancials(rssd_id,$R$2,C$6,C$5,$B22),"")</f>
        <v/>
      </c>
      <c r="D22" s="32" t="str">
        <f>IFERROR([1]!IntrinioBankFinancials(rssd_id,$R$2,D$6,D$5,$B22),"")</f>
        <v/>
      </c>
      <c r="E22" s="32" t="str">
        <f>IFERROR([1]!IntrinioBankFinancials(rssd_id,$R$2,E$6,E$5,$B22),"")</f>
        <v/>
      </c>
      <c r="F22" s="32" t="str">
        <f>IFERROR([1]!IntrinioBankFinancials(rssd_id,$R$2,F$6,F$5,$B22),"")</f>
        <v/>
      </c>
      <c r="G22" s="32" t="str">
        <f>IFERROR([1]!IntrinioBankFinancials(rssd_id,$R$2,G$6,G$5,$B22),"")</f>
        <v/>
      </c>
      <c r="H22" s="32" t="str">
        <f>IFERROR([1]!IntrinioBankFinancials(rssd_id,$R$2,H$6,H$5,$B22),"")</f>
        <v/>
      </c>
      <c r="I22" s="32" t="str">
        <f>IFERROR([1]!IntrinioBankFinancials(rssd_id,$R$2,I$6,I$5,$B22),"")</f>
        <v/>
      </c>
      <c r="J22" s="32" t="str">
        <f>IFERROR([1]!IntrinioBankFinancials(rssd_id,$R$2,J$6,J$5,$B22),"")</f>
        <v/>
      </c>
      <c r="K22" s="32" t="str">
        <f>IFERROR([1]!IntrinioBankFinancials(rssd_id,$R$2,K$6,K$5,$B22),"")</f>
        <v/>
      </c>
      <c r="L22" s="32" t="str">
        <f>IFERROR([1]!IntrinioBankFinancials(rssd_id,$R$2,L$6,L$5,$B22),"")</f>
        <v/>
      </c>
      <c r="M22" s="32" t="str">
        <f>IFERROR([1]!IntrinioBankFinancials(rssd_id,$R$2,M$6,M$5,$B22),"")</f>
        <v/>
      </c>
      <c r="N22" s="32" t="str">
        <f>IFERROR([1]!IntrinioBankFinancials(rssd_id,$R$2,N$6,N$5,$B22),"")</f>
        <v/>
      </c>
      <c r="O22" s="32" t="str">
        <f>IFERROR([1]!IntrinioBankFinancials(rssd_id,$R$2,O$6,O$5,$B22),"")</f>
        <v/>
      </c>
    </row>
    <row r="23" spans="1:15" s="22" customFormat="1" ht="13.5" customHeight="1" x14ac:dyDescent="0.4">
      <c r="A23" s="34" t="s">
        <v>1279</v>
      </c>
      <c r="B23" s="23" t="s">
        <v>1280</v>
      </c>
      <c r="C23" s="32" t="str">
        <f>IFERROR([1]!IntrinioBankFinancials(rssd_id,$R$2,C$6,C$5,$B23),"")</f>
        <v/>
      </c>
      <c r="D23" s="32" t="str">
        <f>IFERROR([1]!IntrinioBankFinancials(rssd_id,$R$2,D$6,D$5,$B23),"")</f>
        <v/>
      </c>
      <c r="E23" s="32" t="str">
        <f>IFERROR([1]!IntrinioBankFinancials(rssd_id,$R$2,E$6,E$5,$B23),"")</f>
        <v/>
      </c>
      <c r="F23" s="32" t="str">
        <f>IFERROR([1]!IntrinioBankFinancials(rssd_id,$R$2,F$6,F$5,$B23),"")</f>
        <v/>
      </c>
      <c r="G23" s="32" t="str">
        <f>IFERROR([1]!IntrinioBankFinancials(rssd_id,$R$2,G$6,G$5,$B23),"")</f>
        <v/>
      </c>
      <c r="H23" s="32" t="str">
        <f>IFERROR([1]!IntrinioBankFinancials(rssd_id,$R$2,H$6,H$5,$B23),"")</f>
        <v/>
      </c>
      <c r="I23" s="32" t="str">
        <f>IFERROR([1]!IntrinioBankFinancials(rssd_id,$R$2,I$6,I$5,$B23),"")</f>
        <v/>
      </c>
      <c r="J23" s="32" t="str">
        <f>IFERROR([1]!IntrinioBankFinancials(rssd_id,$R$2,J$6,J$5,$B23),"")</f>
        <v/>
      </c>
      <c r="K23" s="32" t="str">
        <f>IFERROR([1]!IntrinioBankFinancials(rssd_id,$R$2,K$6,K$5,$B23),"")</f>
        <v/>
      </c>
      <c r="L23" s="32" t="str">
        <f>IFERROR([1]!IntrinioBankFinancials(rssd_id,$R$2,L$6,L$5,$B23),"")</f>
        <v/>
      </c>
      <c r="M23" s="32" t="str">
        <f>IFERROR([1]!IntrinioBankFinancials(rssd_id,$R$2,M$6,M$5,$B23),"")</f>
        <v/>
      </c>
      <c r="N23" s="32" t="str">
        <f>IFERROR([1]!IntrinioBankFinancials(rssd_id,$R$2,N$6,N$5,$B23),"")</f>
        <v/>
      </c>
      <c r="O23" s="32" t="str">
        <f>IFERROR([1]!IntrinioBankFinancials(rssd_id,$R$2,O$6,O$5,$B23),"")</f>
        <v/>
      </c>
    </row>
    <row r="24" spans="1:15" s="22" customFormat="1" ht="13.5" customHeight="1" x14ac:dyDescent="0.4">
      <c r="A24" s="34" t="s">
        <v>1281</v>
      </c>
      <c r="B24" s="23" t="s">
        <v>1282</v>
      </c>
      <c r="C24" s="32" t="str">
        <f>IFERROR([1]!IntrinioBankFinancials(rssd_id,$R$2,C$6,C$5,$B24),"")</f>
        <v/>
      </c>
      <c r="D24" s="32" t="str">
        <f>IFERROR([1]!IntrinioBankFinancials(rssd_id,$R$2,D$6,D$5,$B24),"")</f>
        <v/>
      </c>
      <c r="E24" s="32" t="str">
        <f>IFERROR([1]!IntrinioBankFinancials(rssd_id,$R$2,E$6,E$5,$B24),"")</f>
        <v/>
      </c>
      <c r="F24" s="32" t="str">
        <f>IFERROR([1]!IntrinioBankFinancials(rssd_id,$R$2,F$6,F$5,$B24),"")</f>
        <v/>
      </c>
      <c r="G24" s="32" t="str">
        <f>IFERROR([1]!IntrinioBankFinancials(rssd_id,$R$2,G$6,G$5,$B24),"")</f>
        <v/>
      </c>
      <c r="H24" s="32" t="str">
        <f>IFERROR([1]!IntrinioBankFinancials(rssd_id,$R$2,H$6,H$5,$B24),"")</f>
        <v/>
      </c>
      <c r="I24" s="32" t="str">
        <f>IFERROR([1]!IntrinioBankFinancials(rssd_id,$R$2,I$6,I$5,$B24),"")</f>
        <v/>
      </c>
      <c r="J24" s="32" t="str">
        <f>IFERROR([1]!IntrinioBankFinancials(rssd_id,$R$2,J$6,J$5,$B24),"")</f>
        <v/>
      </c>
      <c r="K24" s="32" t="str">
        <f>IFERROR([1]!IntrinioBankFinancials(rssd_id,$R$2,K$6,K$5,$B24),"")</f>
        <v/>
      </c>
      <c r="L24" s="32" t="str">
        <f>IFERROR([1]!IntrinioBankFinancials(rssd_id,$R$2,L$6,L$5,$B24),"")</f>
        <v/>
      </c>
      <c r="M24" s="32" t="str">
        <f>IFERROR([1]!IntrinioBankFinancials(rssd_id,$R$2,M$6,M$5,$B24),"")</f>
        <v/>
      </c>
      <c r="N24" s="32" t="str">
        <f>IFERROR([1]!IntrinioBankFinancials(rssd_id,$R$2,N$6,N$5,$B24),"")</f>
        <v/>
      </c>
      <c r="O24" s="32" t="str">
        <f>IFERROR([1]!IntrinioBankFinancials(rssd_id,$R$2,O$6,O$5,$B24),"")</f>
        <v/>
      </c>
    </row>
    <row r="25" spans="1:15" s="22" customFormat="1" ht="13.5" customHeight="1" x14ac:dyDescent="0.4">
      <c r="A25" s="34" t="s">
        <v>1283</v>
      </c>
      <c r="B25" s="23" t="s">
        <v>1284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3.5" customHeight="1" x14ac:dyDescent="0.4">
      <c r="A26" s="34" t="s">
        <v>1285</v>
      </c>
      <c r="B26" s="23" t="s">
        <v>1286</v>
      </c>
      <c r="C26" s="32" t="str">
        <f>IFERROR([1]!IntrinioBankFinancials(rssd_id,$R$2,C$6,C$5,$B26),"")</f>
        <v/>
      </c>
      <c r="D26" s="32" t="str">
        <f>IFERROR([1]!IntrinioBankFinancials(rssd_id,$R$2,D$6,D$5,$B26),"")</f>
        <v/>
      </c>
      <c r="E26" s="32" t="str">
        <f>IFERROR([1]!IntrinioBankFinancials(rssd_id,$R$2,E$6,E$5,$B26),"")</f>
        <v/>
      </c>
      <c r="F26" s="32" t="str">
        <f>IFERROR([1]!IntrinioBankFinancials(rssd_id,$R$2,F$6,F$5,$B26),"")</f>
        <v/>
      </c>
      <c r="G26" s="32" t="str">
        <f>IFERROR([1]!IntrinioBankFinancials(rssd_id,$R$2,G$6,G$5,$B26),"")</f>
        <v/>
      </c>
      <c r="H26" s="32" t="str">
        <f>IFERROR([1]!IntrinioBankFinancials(rssd_id,$R$2,H$6,H$5,$B26),"")</f>
        <v/>
      </c>
      <c r="I26" s="32" t="str">
        <f>IFERROR([1]!IntrinioBankFinancials(rssd_id,$R$2,I$6,I$5,$B26),"")</f>
        <v/>
      </c>
      <c r="J26" s="32" t="str">
        <f>IFERROR([1]!IntrinioBankFinancials(rssd_id,$R$2,J$6,J$5,$B26),"")</f>
        <v/>
      </c>
      <c r="K26" s="32" t="str">
        <f>IFERROR([1]!IntrinioBankFinancials(rssd_id,$R$2,K$6,K$5,$B26),"")</f>
        <v/>
      </c>
      <c r="L26" s="32" t="str">
        <f>IFERROR([1]!IntrinioBankFinancials(rssd_id,$R$2,L$6,L$5,$B26),"")</f>
        <v/>
      </c>
      <c r="M26" s="32" t="str">
        <f>IFERROR([1]!IntrinioBankFinancials(rssd_id,$R$2,M$6,M$5,$B26),"")</f>
        <v/>
      </c>
      <c r="N26" s="32" t="str">
        <f>IFERROR([1]!IntrinioBankFinancials(rssd_id,$R$2,N$6,N$5,$B26),"")</f>
        <v/>
      </c>
      <c r="O26" s="32" t="str">
        <f>IFERROR([1]!IntrinioBankFinancials(rssd_id,$R$2,O$6,O$5,$B26),"")</f>
        <v/>
      </c>
    </row>
    <row r="27" spans="1:15" s="22" customFormat="1" ht="13.5" customHeight="1" x14ac:dyDescent="0.4">
      <c r="A27" s="34" t="s">
        <v>1287</v>
      </c>
      <c r="B27" s="23" t="s">
        <v>1288</v>
      </c>
      <c r="C27" s="32" t="str">
        <f>IFERROR([1]!IntrinioBankFinancials(rssd_id,$R$2,C$6,C$5,$B27),"")</f>
        <v/>
      </c>
      <c r="D27" s="32" t="str">
        <f>IFERROR([1]!IntrinioBankFinancials(rssd_id,$R$2,D$6,D$5,$B27),"")</f>
        <v/>
      </c>
      <c r="E27" s="32" t="str">
        <f>IFERROR([1]!IntrinioBankFinancials(rssd_id,$R$2,E$6,E$5,$B27),"")</f>
        <v/>
      </c>
      <c r="F27" s="32" t="str">
        <f>IFERROR([1]!IntrinioBankFinancials(rssd_id,$R$2,F$6,F$5,$B27),"")</f>
        <v/>
      </c>
      <c r="G27" s="32" t="str">
        <f>IFERROR([1]!IntrinioBankFinancials(rssd_id,$R$2,G$6,G$5,$B27),"")</f>
        <v/>
      </c>
      <c r="H27" s="32" t="str">
        <f>IFERROR([1]!IntrinioBankFinancials(rssd_id,$R$2,H$6,H$5,$B27),"")</f>
        <v/>
      </c>
      <c r="I27" s="32" t="str">
        <f>IFERROR([1]!IntrinioBankFinancials(rssd_id,$R$2,I$6,I$5,$B27),"")</f>
        <v/>
      </c>
      <c r="J27" s="32" t="str">
        <f>IFERROR([1]!IntrinioBankFinancials(rssd_id,$R$2,J$6,J$5,$B27),"")</f>
        <v/>
      </c>
      <c r="K27" s="32" t="str">
        <f>IFERROR([1]!IntrinioBankFinancials(rssd_id,$R$2,K$6,K$5,$B27),"")</f>
        <v/>
      </c>
      <c r="L27" s="32" t="str">
        <f>IFERROR([1]!IntrinioBankFinancials(rssd_id,$R$2,L$6,L$5,$B27),"")</f>
        <v/>
      </c>
      <c r="M27" s="32" t="str">
        <f>IFERROR([1]!IntrinioBankFinancials(rssd_id,$R$2,M$6,M$5,$B27),"")</f>
        <v/>
      </c>
      <c r="N27" s="32" t="str">
        <f>IFERROR([1]!IntrinioBankFinancials(rssd_id,$R$2,N$6,N$5,$B27),"")</f>
        <v/>
      </c>
      <c r="O27" s="32" t="str">
        <f>IFERROR([1]!IntrinioBankFinancials(rssd_id,$R$2,O$6,O$5,$B27),"")</f>
        <v/>
      </c>
    </row>
    <row r="28" spans="1:15" s="22" customFormat="1" ht="13.5" customHeight="1" x14ac:dyDescent="0.4">
      <c r="A28" s="34" t="s">
        <v>1289</v>
      </c>
      <c r="B28" s="23" t="s">
        <v>1290</v>
      </c>
      <c r="C28" s="32" t="str">
        <f>IFERROR([1]!IntrinioBankFinancials(rssd_id,$R$2,C$6,C$5,$B28),"")</f>
        <v/>
      </c>
      <c r="D28" s="32" t="str">
        <f>IFERROR([1]!IntrinioBankFinancials(rssd_id,$R$2,D$6,D$5,$B28),"")</f>
        <v/>
      </c>
      <c r="E28" s="32" t="str">
        <f>IFERROR([1]!IntrinioBankFinancials(rssd_id,$R$2,E$6,E$5,$B28),"")</f>
        <v/>
      </c>
      <c r="F28" s="32" t="str">
        <f>IFERROR([1]!IntrinioBankFinancials(rssd_id,$R$2,F$6,F$5,$B28),"")</f>
        <v/>
      </c>
      <c r="G28" s="32" t="str">
        <f>IFERROR([1]!IntrinioBankFinancials(rssd_id,$R$2,G$6,G$5,$B28),"")</f>
        <v/>
      </c>
      <c r="H28" s="32" t="str">
        <f>IFERROR([1]!IntrinioBankFinancials(rssd_id,$R$2,H$6,H$5,$B28),"")</f>
        <v/>
      </c>
      <c r="I28" s="32" t="str">
        <f>IFERROR([1]!IntrinioBankFinancials(rssd_id,$R$2,I$6,I$5,$B28),"")</f>
        <v/>
      </c>
      <c r="J28" s="32" t="str">
        <f>IFERROR([1]!IntrinioBankFinancials(rssd_id,$R$2,J$6,J$5,$B28),"")</f>
        <v/>
      </c>
      <c r="K28" s="32" t="str">
        <f>IFERROR([1]!IntrinioBankFinancials(rssd_id,$R$2,K$6,K$5,$B28),"")</f>
        <v/>
      </c>
      <c r="L28" s="32" t="str">
        <f>IFERROR([1]!IntrinioBankFinancials(rssd_id,$R$2,L$6,L$5,$B28),"")</f>
        <v/>
      </c>
      <c r="M28" s="32" t="str">
        <f>IFERROR([1]!IntrinioBankFinancials(rssd_id,$R$2,M$6,M$5,$B28),"")</f>
        <v/>
      </c>
      <c r="N28" s="32" t="str">
        <f>IFERROR([1]!IntrinioBankFinancials(rssd_id,$R$2,N$6,N$5,$B28),"")</f>
        <v/>
      </c>
      <c r="O28" s="32" t="str">
        <f>IFERROR([1]!IntrinioBankFinancials(rssd_id,$R$2,O$6,O$5,$B28),"")</f>
        <v/>
      </c>
    </row>
    <row r="29" spans="1:15" s="22" customFormat="1" ht="13.5" customHeight="1" x14ac:dyDescent="0.4">
      <c r="A29" s="34" t="s">
        <v>1291</v>
      </c>
      <c r="B29" s="23" t="s">
        <v>1292</v>
      </c>
      <c r="C29" s="32" t="str">
        <f>IFERROR([1]!IntrinioBankFinancials(rssd_id,$R$2,C$6,C$5,$B29),"")</f>
        <v/>
      </c>
      <c r="D29" s="32" t="str">
        <f>IFERROR([1]!IntrinioBankFinancials(rssd_id,$R$2,D$6,D$5,$B29),"")</f>
        <v/>
      </c>
      <c r="E29" s="32" t="str">
        <f>IFERROR([1]!IntrinioBankFinancials(rssd_id,$R$2,E$6,E$5,$B29),"")</f>
        <v/>
      </c>
      <c r="F29" s="32" t="str">
        <f>IFERROR([1]!IntrinioBankFinancials(rssd_id,$R$2,F$6,F$5,$B29),"")</f>
        <v/>
      </c>
      <c r="G29" s="32" t="str">
        <f>IFERROR([1]!IntrinioBankFinancials(rssd_id,$R$2,G$6,G$5,$B29),"")</f>
        <v/>
      </c>
      <c r="H29" s="32" t="str">
        <f>IFERROR([1]!IntrinioBankFinancials(rssd_id,$R$2,H$6,H$5,$B29),"")</f>
        <v/>
      </c>
      <c r="I29" s="32" t="str">
        <f>IFERROR([1]!IntrinioBankFinancials(rssd_id,$R$2,I$6,I$5,$B29),"")</f>
        <v/>
      </c>
      <c r="J29" s="32" t="str">
        <f>IFERROR([1]!IntrinioBankFinancials(rssd_id,$R$2,J$6,J$5,$B29),"")</f>
        <v/>
      </c>
      <c r="K29" s="32" t="str">
        <f>IFERROR([1]!IntrinioBankFinancials(rssd_id,$R$2,K$6,K$5,$B29),"")</f>
        <v/>
      </c>
      <c r="L29" s="32" t="str">
        <f>IFERROR([1]!IntrinioBankFinancials(rssd_id,$R$2,L$6,L$5,$B29),"")</f>
        <v/>
      </c>
      <c r="M29" s="32" t="str">
        <f>IFERROR([1]!IntrinioBankFinancials(rssd_id,$R$2,M$6,M$5,$B29),"")</f>
        <v/>
      </c>
      <c r="N29" s="32" t="str">
        <f>IFERROR([1]!IntrinioBankFinancials(rssd_id,$R$2,N$6,N$5,$B29),"")</f>
        <v/>
      </c>
      <c r="O29" s="32" t="str">
        <f>IFERROR([1]!IntrinioBankFinancials(rssd_id,$R$2,O$6,O$5,$B29),"")</f>
        <v/>
      </c>
    </row>
    <row r="30" spans="1:15" s="22" customFormat="1" ht="13.5" customHeight="1" x14ac:dyDescent="0.4">
      <c r="A30" s="34" t="s">
        <v>1293</v>
      </c>
      <c r="B30" s="23" t="s">
        <v>1294</v>
      </c>
      <c r="C30" s="32" t="str">
        <f>IFERROR([1]!IntrinioBankFinancials(rssd_id,$R$2,C$6,C$5,$B30),"")</f>
        <v/>
      </c>
      <c r="D30" s="32" t="str">
        <f>IFERROR([1]!IntrinioBankFinancials(rssd_id,$R$2,D$6,D$5,$B30),"")</f>
        <v/>
      </c>
      <c r="E30" s="32" t="str">
        <f>IFERROR([1]!IntrinioBankFinancials(rssd_id,$R$2,E$6,E$5,$B30),"")</f>
        <v/>
      </c>
      <c r="F30" s="32" t="str">
        <f>IFERROR([1]!IntrinioBankFinancials(rssd_id,$R$2,F$6,F$5,$B30),"")</f>
        <v/>
      </c>
      <c r="G30" s="32" t="str">
        <f>IFERROR([1]!IntrinioBankFinancials(rssd_id,$R$2,G$6,G$5,$B30),"")</f>
        <v/>
      </c>
      <c r="H30" s="32" t="str">
        <f>IFERROR([1]!IntrinioBankFinancials(rssd_id,$R$2,H$6,H$5,$B30),"")</f>
        <v/>
      </c>
      <c r="I30" s="32" t="str">
        <f>IFERROR([1]!IntrinioBankFinancials(rssd_id,$R$2,I$6,I$5,$B30),"")</f>
        <v/>
      </c>
      <c r="J30" s="32" t="str">
        <f>IFERROR([1]!IntrinioBankFinancials(rssd_id,$R$2,J$6,J$5,$B30),"")</f>
        <v/>
      </c>
      <c r="K30" s="32" t="str">
        <f>IFERROR([1]!IntrinioBankFinancials(rssd_id,$R$2,K$6,K$5,$B30),"")</f>
        <v/>
      </c>
      <c r="L30" s="32" t="str">
        <f>IFERROR([1]!IntrinioBankFinancials(rssd_id,$R$2,L$6,L$5,$B30),"")</f>
        <v/>
      </c>
      <c r="M30" s="32" t="str">
        <f>IFERROR([1]!IntrinioBankFinancials(rssd_id,$R$2,M$6,M$5,$B30),"")</f>
        <v/>
      </c>
      <c r="N30" s="32" t="str">
        <f>IFERROR([1]!IntrinioBankFinancials(rssd_id,$R$2,N$6,N$5,$B30),"")</f>
        <v/>
      </c>
      <c r="O30" s="32" t="str">
        <f>IFERROR([1]!IntrinioBankFinancials(rssd_id,$R$2,O$6,O$5,$B30),"")</f>
        <v/>
      </c>
    </row>
    <row r="31" spans="1:15" s="22" customFormat="1" ht="13.5" customHeight="1" x14ac:dyDescent="0.4">
      <c r="A31" s="34" t="s">
        <v>1295</v>
      </c>
      <c r="B31" s="23" t="s">
        <v>1296</v>
      </c>
      <c r="C31" s="32" t="str">
        <f>IFERROR([1]!IntrinioBankFinancials(rssd_id,$R$2,C$6,C$5,$B31),"")</f>
        <v/>
      </c>
      <c r="D31" s="32" t="str">
        <f>IFERROR([1]!IntrinioBankFinancials(rssd_id,$R$2,D$6,D$5,$B31),"")</f>
        <v/>
      </c>
      <c r="E31" s="32" t="str">
        <f>IFERROR([1]!IntrinioBankFinancials(rssd_id,$R$2,E$6,E$5,$B31),"")</f>
        <v/>
      </c>
      <c r="F31" s="32" t="str">
        <f>IFERROR([1]!IntrinioBankFinancials(rssd_id,$R$2,F$6,F$5,$B31),"")</f>
        <v/>
      </c>
      <c r="G31" s="32" t="str">
        <f>IFERROR([1]!IntrinioBankFinancials(rssd_id,$R$2,G$6,G$5,$B31),"")</f>
        <v/>
      </c>
      <c r="H31" s="32" t="str">
        <f>IFERROR([1]!IntrinioBankFinancials(rssd_id,$R$2,H$6,H$5,$B31),"")</f>
        <v/>
      </c>
      <c r="I31" s="32" t="str">
        <f>IFERROR([1]!IntrinioBankFinancials(rssd_id,$R$2,I$6,I$5,$B31),"")</f>
        <v/>
      </c>
      <c r="J31" s="32" t="str">
        <f>IFERROR([1]!IntrinioBankFinancials(rssd_id,$R$2,J$6,J$5,$B31),"")</f>
        <v/>
      </c>
      <c r="K31" s="32" t="str">
        <f>IFERROR([1]!IntrinioBankFinancials(rssd_id,$R$2,K$6,K$5,$B31),"")</f>
        <v/>
      </c>
      <c r="L31" s="32" t="str">
        <f>IFERROR([1]!IntrinioBankFinancials(rssd_id,$R$2,L$6,L$5,$B31),"")</f>
        <v/>
      </c>
      <c r="M31" s="32" t="str">
        <f>IFERROR([1]!IntrinioBankFinancials(rssd_id,$R$2,M$6,M$5,$B31),"")</f>
        <v/>
      </c>
      <c r="N31" s="32" t="str">
        <f>IFERROR([1]!IntrinioBankFinancials(rssd_id,$R$2,N$6,N$5,$B31),"")</f>
        <v/>
      </c>
      <c r="O31" s="32" t="str">
        <f>IFERROR([1]!IntrinioBankFinancials(rssd_id,$R$2,O$6,O$5,$B31),"")</f>
        <v/>
      </c>
    </row>
    <row r="32" spans="1:15" s="22" customFormat="1" ht="13.5" customHeight="1" x14ac:dyDescent="0.4">
      <c r="A32" s="34" t="s">
        <v>1297</v>
      </c>
      <c r="B32" s="23" t="s">
        <v>1298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s="22" customFormat="1" ht="13.5" customHeight="1" x14ac:dyDescent="0.4">
      <c r="A33" s="34" t="s">
        <v>1299</v>
      </c>
      <c r="B33" s="23" t="s">
        <v>1300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s="22" customFormat="1" ht="13.5" customHeight="1" x14ac:dyDescent="0.4">
      <c r="A34" s="34" t="s">
        <v>1301</v>
      </c>
      <c r="B34" s="23" t="s">
        <v>1302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3.5" customHeight="1" x14ac:dyDescent="0.4">
      <c r="A35" s="34" t="s">
        <v>1303</v>
      </c>
      <c r="B35" s="23" t="s">
        <v>1304</v>
      </c>
      <c r="C35" s="32" t="str">
        <f>IFERROR([1]!IntrinioBankFinancials(rssd_id,$R$2,C$6,C$5,$B35),"")</f>
        <v/>
      </c>
      <c r="D35" s="32" t="str">
        <f>IFERROR([1]!IntrinioBankFinancials(rssd_id,$R$2,D$6,D$5,$B35),"")</f>
        <v/>
      </c>
      <c r="E35" s="32" t="str">
        <f>IFERROR([1]!IntrinioBankFinancials(rssd_id,$R$2,E$6,E$5,$B35),"")</f>
        <v/>
      </c>
      <c r="F35" s="32" t="str">
        <f>IFERROR([1]!IntrinioBankFinancials(rssd_id,$R$2,F$6,F$5,$B35),"")</f>
        <v/>
      </c>
      <c r="G35" s="32" t="str">
        <f>IFERROR([1]!IntrinioBankFinancials(rssd_id,$R$2,G$6,G$5,$B35),"")</f>
        <v/>
      </c>
      <c r="H35" s="32" t="str">
        <f>IFERROR([1]!IntrinioBankFinancials(rssd_id,$R$2,H$6,H$5,$B35),"")</f>
        <v/>
      </c>
      <c r="I35" s="32" t="str">
        <f>IFERROR([1]!IntrinioBankFinancials(rssd_id,$R$2,I$6,I$5,$B35),"")</f>
        <v/>
      </c>
      <c r="J35" s="32" t="str">
        <f>IFERROR([1]!IntrinioBankFinancials(rssd_id,$R$2,J$6,J$5,$B35),"")</f>
        <v/>
      </c>
      <c r="K35" s="32" t="str">
        <f>IFERROR([1]!IntrinioBankFinancials(rssd_id,$R$2,K$6,K$5,$B35),"")</f>
        <v/>
      </c>
      <c r="L35" s="32" t="str">
        <f>IFERROR([1]!IntrinioBankFinancials(rssd_id,$R$2,L$6,L$5,$B35),"")</f>
        <v/>
      </c>
      <c r="M35" s="32" t="str">
        <f>IFERROR([1]!IntrinioBankFinancials(rssd_id,$R$2,M$6,M$5,$B35),"")</f>
        <v/>
      </c>
      <c r="N35" s="32" t="str">
        <f>IFERROR([1]!IntrinioBankFinancials(rssd_id,$R$2,N$6,N$5,$B35),"")</f>
        <v/>
      </c>
      <c r="O35" s="32" t="str">
        <f>IFERROR([1]!IntrinioBankFinancials(rssd_id,$R$2,O$6,O$5,$B35),"")</f>
        <v/>
      </c>
    </row>
    <row r="36" spans="1:15" s="22" customFormat="1" ht="13.5" customHeight="1" x14ac:dyDescent="0.4">
      <c r="A36" s="34" t="s">
        <v>276</v>
      </c>
      <c r="B36" s="23" t="s">
        <v>1305</v>
      </c>
      <c r="C36" s="32" t="str">
        <f>IFERROR([1]!IntrinioBankFinancials(rssd_id,$R$2,C$6,C$5,$B36),"")</f>
        <v/>
      </c>
      <c r="D36" s="32" t="str">
        <f>IFERROR([1]!IntrinioBankFinancials(rssd_id,$R$2,D$6,D$5,$B36),"")</f>
        <v/>
      </c>
      <c r="E36" s="32" t="str">
        <f>IFERROR([1]!IntrinioBankFinancials(rssd_id,$R$2,E$6,E$5,$B36),"")</f>
        <v/>
      </c>
      <c r="F36" s="32" t="str">
        <f>IFERROR([1]!IntrinioBankFinancials(rssd_id,$R$2,F$6,F$5,$B36),"")</f>
        <v/>
      </c>
      <c r="G36" s="32" t="str">
        <f>IFERROR([1]!IntrinioBankFinancials(rssd_id,$R$2,G$6,G$5,$B36),"")</f>
        <v/>
      </c>
      <c r="H36" s="32" t="str">
        <f>IFERROR([1]!IntrinioBankFinancials(rssd_id,$R$2,H$6,H$5,$B36),"")</f>
        <v/>
      </c>
      <c r="I36" s="32" t="str">
        <f>IFERROR([1]!IntrinioBankFinancials(rssd_id,$R$2,I$6,I$5,$B36),"")</f>
        <v/>
      </c>
      <c r="J36" s="32" t="str">
        <f>IFERROR([1]!IntrinioBankFinancials(rssd_id,$R$2,J$6,J$5,$B36),"")</f>
        <v/>
      </c>
      <c r="K36" s="32" t="str">
        <f>IFERROR([1]!IntrinioBankFinancials(rssd_id,$R$2,K$6,K$5,$B36),"")</f>
        <v/>
      </c>
      <c r="L36" s="32" t="str">
        <f>IFERROR([1]!IntrinioBankFinancials(rssd_id,$R$2,L$6,L$5,$B36),"")</f>
        <v/>
      </c>
      <c r="M36" s="32" t="str">
        <f>IFERROR([1]!IntrinioBankFinancials(rssd_id,$R$2,M$6,M$5,$B36),"")</f>
        <v/>
      </c>
      <c r="N36" s="32" t="str">
        <f>IFERROR([1]!IntrinioBankFinancials(rssd_id,$R$2,N$6,N$5,$B36),"")</f>
        <v/>
      </c>
      <c r="O36" s="32" t="str">
        <f>IFERROR([1]!IntrinioBankFinancials(rssd_id,$R$2,O$6,O$5,$B36),"")</f>
        <v/>
      </c>
    </row>
    <row r="37" spans="1:15" s="22" customFormat="1" ht="13.5" customHeight="1" x14ac:dyDescent="0.4">
      <c r="A37" s="34" t="s">
        <v>278</v>
      </c>
      <c r="B37" s="23" t="s">
        <v>1306</v>
      </c>
      <c r="C37" s="32" t="str">
        <f>IFERROR([1]!IntrinioBankFinancials(rssd_id,$R$2,C$6,C$5,$B37),"")</f>
        <v/>
      </c>
      <c r="D37" s="32" t="str">
        <f>IFERROR([1]!IntrinioBankFinancials(rssd_id,$R$2,D$6,D$5,$B37),"")</f>
        <v/>
      </c>
      <c r="E37" s="32" t="str">
        <f>IFERROR([1]!IntrinioBankFinancials(rssd_id,$R$2,E$6,E$5,$B37),"")</f>
        <v/>
      </c>
      <c r="F37" s="32" t="str">
        <f>IFERROR([1]!IntrinioBankFinancials(rssd_id,$R$2,F$6,F$5,$B37),"")</f>
        <v/>
      </c>
      <c r="G37" s="32" t="str">
        <f>IFERROR([1]!IntrinioBankFinancials(rssd_id,$R$2,G$6,G$5,$B37),"")</f>
        <v/>
      </c>
      <c r="H37" s="32" t="str">
        <f>IFERROR([1]!IntrinioBankFinancials(rssd_id,$R$2,H$6,H$5,$B37),"")</f>
        <v/>
      </c>
      <c r="I37" s="32" t="str">
        <f>IFERROR([1]!IntrinioBankFinancials(rssd_id,$R$2,I$6,I$5,$B37),"")</f>
        <v/>
      </c>
      <c r="J37" s="32" t="str">
        <f>IFERROR([1]!IntrinioBankFinancials(rssd_id,$R$2,J$6,J$5,$B37),"")</f>
        <v/>
      </c>
      <c r="K37" s="32" t="str">
        <f>IFERROR([1]!IntrinioBankFinancials(rssd_id,$R$2,K$6,K$5,$B37),"")</f>
        <v/>
      </c>
      <c r="L37" s="32" t="str">
        <f>IFERROR([1]!IntrinioBankFinancials(rssd_id,$R$2,L$6,L$5,$B37),"")</f>
        <v/>
      </c>
      <c r="M37" s="32" t="str">
        <f>IFERROR([1]!IntrinioBankFinancials(rssd_id,$R$2,M$6,M$5,$B37),"")</f>
        <v/>
      </c>
      <c r="N37" s="32" t="str">
        <f>IFERROR([1]!IntrinioBankFinancials(rssd_id,$R$2,N$6,N$5,$B37),"")</f>
        <v/>
      </c>
      <c r="O37" s="32" t="str">
        <f>IFERROR([1]!IntrinioBankFinancials(rssd_id,$R$2,O$6,O$5,$B37),"")</f>
        <v/>
      </c>
    </row>
    <row r="38" spans="1:15" s="22" customFormat="1" ht="13.5" customHeight="1" x14ac:dyDescent="0.4">
      <c r="A38" s="34" t="s">
        <v>1307</v>
      </c>
      <c r="B38" s="23" t="s">
        <v>1308</v>
      </c>
      <c r="C38" s="32" t="str">
        <f>IFERROR([1]!IntrinioBankFinancials(rssd_id,$R$2,C$6,C$5,$B38),"")</f>
        <v/>
      </c>
      <c r="D38" s="32" t="str">
        <f>IFERROR([1]!IntrinioBankFinancials(rssd_id,$R$2,D$6,D$5,$B38),"")</f>
        <v/>
      </c>
      <c r="E38" s="32" t="str">
        <f>IFERROR([1]!IntrinioBankFinancials(rssd_id,$R$2,E$6,E$5,$B38),"")</f>
        <v/>
      </c>
      <c r="F38" s="32" t="str">
        <f>IFERROR([1]!IntrinioBankFinancials(rssd_id,$R$2,F$6,F$5,$B38),"")</f>
        <v/>
      </c>
      <c r="G38" s="32" t="str">
        <f>IFERROR([1]!IntrinioBankFinancials(rssd_id,$R$2,G$6,G$5,$B38),"")</f>
        <v/>
      </c>
      <c r="H38" s="32" t="str">
        <f>IFERROR([1]!IntrinioBankFinancials(rssd_id,$R$2,H$6,H$5,$B38),"")</f>
        <v/>
      </c>
      <c r="I38" s="32" t="str">
        <f>IFERROR([1]!IntrinioBankFinancials(rssd_id,$R$2,I$6,I$5,$B38),"")</f>
        <v/>
      </c>
      <c r="J38" s="32" t="str">
        <f>IFERROR([1]!IntrinioBankFinancials(rssd_id,$R$2,J$6,J$5,$B38),"")</f>
        <v/>
      </c>
      <c r="K38" s="32" t="str">
        <f>IFERROR([1]!IntrinioBankFinancials(rssd_id,$R$2,K$6,K$5,$B38),"")</f>
        <v/>
      </c>
      <c r="L38" s="32" t="str">
        <f>IFERROR([1]!IntrinioBankFinancials(rssd_id,$R$2,L$6,L$5,$B38),"")</f>
        <v/>
      </c>
      <c r="M38" s="32" t="str">
        <f>IFERROR([1]!IntrinioBankFinancials(rssd_id,$R$2,M$6,M$5,$B38),"")</f>
        <v/>
      </c>
      <c r="N38" s="32" t="str">
        <f>IFERROR([1]!IntrinioBankFinancials(rssd_id,$R$2,N$6,N$5,$B38),"")</f>
        <v/>
      </c>
      <c r="O38" s="32" t="str">
        <f>IFERROR([1]!IntrinioBankFinancials(rssd_id,$R$2,O$6,O$5,$B38),"")</f>
        <v/>
      </c>
    </row>
    <row r="39" spans="1:15" s="22" customFormat="1" ht="13.5" customHeight="1" x14ac:dyDescent="0.4">
      <c r="A39" s="34" t="s">
        <v>1309</v>
      </c>
      <c r="B39" s="23" t="s">
        <v>1310</v>
      </c>
      <c r="C39" s="32" t="str">
        <f>IFERROR([1]!IntrinioBankFinancials(rssd_id,$R$2,C$6,C$5,$B39),"")</f>
        <v/>
      </c>
      <c r="D39" s="32" t="str">
        <f>IFERROR([1]!IntrinioBankFinancials(rssd_id,$R$2,D$6,D$5,$B39),"")</f>
        <v/>
      </c>
      <c r="E39" s="32" t="str">
        <f>IFERROR([1]!IntrinioBankFinancials(rssd_id,$R$2,E$6,E$5,$B39),"")</f>
        <v/>
      </c>
      <c r="F39" s="32" t="str">
        <f>IFERROR([1]!IntrinioBankFinancials(rssd_id,$R$2,F$6,F$5,$B39),"")</f>
        <v/>
      </c>
      <c r="G39" s="32" t="str">
        <f>IFERROR([1]!IntrinioBankFinancials(rssd_id,$R$2,G$6,G$5,$B39),"")</f>
        <v/>
      </c>
      <c r="H39" s="32" t="str">
        <f>IFERROR([1]!IntrinioBankFinancials(rssd_id,$R$2,H$6,H$5,$B39),"")</f>
        <v/>
      </c>
      <c r="I39" s="32" t="str">
        <f>IFERROR([1]!IntrinioBankFinancials(rssd_id,$R$2,I$6,I$5,$B39),"")</f>
        <v/>
      </c>
      <c r="J39" s="32" t="str">
        <f>IFERROR([1]!IntrinioBankFinancials(rssd_id,$R$2,J$6,J$5,$B39),"")</f>
        <v/>
      </c>
      <c r="K39" s="32" t="str">
        <f>IFERROR([1]!IntrinioBankFinancials(rssd_id,$R$2,K$6,K$5,$B39),"")</f>
        <v/>
      </c>
      <c r="L39" s="32" t="str">
        <f>IFERROR([1]!IntrinioBankFinancials(rssd_id,$R$2,L$6,L$5,$B39),"")</f>
        <v/>
      </c>
      <c r="M39" s="32" t="str">
        <f>IFERROR([1]!IntrinioBankFinancials(rssd_id,$R$2,M$6,M$5,$B39),"")</f>
        <v/>
      </c>
      <c r="N39" s="32" t="str">
        <f>IFERROR([1]!IntrinioBankFinancials(rssd_id,$R$2,N$6,N$5,$B39),"")</f>
        <v/>
      </c>
      <c r="O39" s="32" t="str">
        <f>IFERROR([1]!IntrinioBankFinancials(rssd_id,$R$2,O$6,O$5,$B39),"")</f>
        <v/>
      </c>
    </row>
    <row r="40" spans="1:15" s="22" customFormat="1" ht="13.5" customHeight="1" x14ac:dyDescent="0.4">
      <c r="A40" s="34" t="s">
        <v>1311</v>
      </c>
      <c r="B40" s="23" t="s">
        <v>1312</v>
      </c>
      <c r="C40" s="32" t="str">
        <f>IFERROR([1]!IntrinioBankFinancials(rssd_id,$R$2,C$6,C$5,$B40),"")</f>
        <v/>
      </c>
      <c r="D40" s="32" t="str">
        <f>IFERROR([1]!IntrinioBankFinancials(rssd_id,$R$2,D$6,D$5,$B40),"")</f>
        <v/>
      </c>
      <c r="E40" s="32" t="str">
        <f>IFERROR([1]!IntrinioBankFinancials(rssd_id,$R$2,E$6,E$5,$B40),"")</f>
        <v/>
      </c>
      <c r="F40" s="32" t="str">
        <f>IFERROR([1]!IntrinioBankFinancials(rssd_id,$R$2,F$6,F$5,$B40),"")</f>
        <v/>
      </c>
      <c r="G40" s="32" t="str">
        <f>IFERROR([1]!IntrinioBankFinancials(rssd_id,$R$2,G$6,G$5,$B40),"")</f>
        <v/>
      </c>
      <c r="H40" s="32" t="str">
        <f>IFERROR([1]!IntrinioBankFinancials(rssd_id,$R$2,H$6,H$5,$B40),"")</f>
        <v/>
      </c>
      <c r="I40" s="32" t="str">
        <f>IFERROR([1]!IntrinioBankFinancials(rssd_id,$R$2,I$6,I$5,$B40),"")</f>
        <v/>
      </c>
      <c r="J40" s="32" t="str">
        <f>IFERROR([1]!IntrinioBankFinancials(rssd_id,$R$2,J$6,J$5,$B40),"")</f>
        <v/>
      </c>
      <c r="K40" s="32" t="str">
        <f>IFERROR([1]!IntrinioBankFinancials(rssd_id,$R$2,K$6,K$5,$B40),"")</f>
        <v/>
      </c>
      <c r="L40" s="32" t="str">
        <f>IFERROR([1]!IntrinioBankFinancials(rssd_id,$R$2,L$6,L$5,$B40),"")</f>
        <v/>
      </c>
      <c r="M40" s="32" t="str">
        <f>IFERROR([1]!IntrinioBankFinancials(rssd_id,$R$2,M$6,M$5,$B40),"")</f>
        <v/>
      </c>
      <c r="N40" s="32" t="str">
        <f>IFERROR([1]!IntrinioBankFinancials(rssd_id,$R$2,N$6,N$5,$B40),"")</f>
        <v/>
      </c>
      <c r="O40" s="32" t="str">
        <f>IFERROR([1]!IntrinioBankFinancials(rssd_id,$R$2,O$6,O$5,$B40),"")</f>
        <v/>
      </c>
    </row>
    <row r="41" spans="1:15" s="22" customFormat="1" ht="13.5" customHeight="1" x14ac:dyDescent="0.4">
      <c r="A41" s="34" t="s">
        <v>1313</v>
      </c>
      <c r="B41" s="23" t="s">
        <v>1314</v>
      </c>
      <c r="C41" s="32" t="str">
        <f>IFERROR([1]!IntrinioBankFinancials(rssd_id,$R$2,C$6,C$5,$B41),"")</f>
        <v/>
      </c>
      <c r="D41" s="32" t="str">
        <f>IFERROR([1]!IntrinioBankFinancials(rssd_id,$R$2,D$6,D$5,$B41),"")</f>
        <v/>
      </c>
      <c r="E41" s="32" t="str">
        <f>IFERROR([1]!IntrinioBankFinancials(rssd_id,$R$2,E$6,E$5,$B41),"")</f>
        <v/>
      </c>
      <c r="F41" s="32" t="str">
        <f>IFERROR([1]!IntrinioBankFinancials(rssd_id,$R$2,F$6,F$5,$B41),"")</f>
        <v/>
      </c>
      <c r="G41" s="32" t="str">
        <f>IFERROR([1]!IntrinioBankFinancials(rssd_id,$R$2,G$6,G$5,$B41),"")</f>
        <v/>
      </c>
      <c r="H41" s="32" t="str">
        <f>IFERROR([1]!IntrinioBankFinancials(rssd_id,$R$2,H$6,H$5,$B41),"")</f>
        <v/>
      </c>
      <c r="I41" s="32" t="str">
        <f>IFERROR([1]!IntrinioBankFinancials(rssd_id,$R$2,I$6,I$5,$B41),"")</f>
        <v/>
      </c>
      <c r="J41" s="32" t="str">
        <f>IFERROR([1]!IntrinioBankFinancials(rssd_id,$R$2,J$6,J$5,$B41),"")</f>
        <v/>
      </c>
      <c r="K41" s="32" t="str">
        <f>IFERROR([1]!IntrinioBankFinancials(rssd_id,$R$2,K$6,K$5,$B41),"")</f>
        <v/>
      </c>
      <c r="L41" s="32" t="str">
        <f>IFERROR([1]!IntrinioBankFinancials(rssd_id,$R$2,L$6,L$5,$B41),"")</f>
        <v/>
      </c>
      <c r="M41" s="32" t="str">
        <f>IFERROR([1]!IntrinioBankFinancials(rssd_id,$R$2,M$6,M$5,$B41),"")</f>
        <v/>
      </c>
      <c r="N41" s="32" t="str">
        <f>IFERROR([1]!IntrinioBankFinancials(rssd_id,$R$2,N$6,N$5,$B41),"")</f>
        <v/>
      </c>
      <c r="O41" s="32" t="str">
        <f>IFERROR([1]!IntrinioBankFinancials(rssd_id,$R$2,O$6,O$5,$B41),"")</f>
        <v/>
      </c>
    </row>
    <row r="42" spans="1:15" s="22" customFormat="1" ht="13.5" customHeight="1" x14ac:dyDescent="0.4">
      <c r="A42" s="34" t="s">
        <v>1315</v>
      </c>
      <c r="B42" s="23" t="s">
        <v>1316</v>
      </c>
      <c r="C42" s="32" t="str">
        <f>IFERROR([1]!IntrinioBankFinancials(rssd_id,$R$2,C$6,C$5,$B42),"")</f>
        <v/>
      </c>
      <c r="D42" s="32" t="str">
        <f>IFERROR([1]!IntrinioBankFinancials(rssd_id,$R$2,D$6,D$5,$B42),"")</f>
        <v/>
      </c>
      <c r="E42" s="32" t="str">
        <f>IFERROR([1]!IntrinioBankFinancials(rssd_id,$R$2,E$6,E$5,$B42),"")</f>
        <v/>
      </c>
      <c r="F42" s="32" t="str">
        <f>IFERROR([1]!IntrinioBankFinancials(rssd_id,$R$2,F$6,F$5,$B42),"")</f>
        <v/>
      </c>
      <c r="G42" s="32" t="str">
        <f>IFERROR([1]!IntrinioBankFinancials(rssd_id,$R$2,G$6,G$5,$B42),"")</f>
        <v/>
      </c>
      <c r="H42" s="32" t="str">
        <f>IFERROR([1]!IntrinioBankFinancials(rssd_id,$R$2,H$6,H$5,$B42),"")</f>
        <v/>
      </c>
      <c r="I42" s="32" t="str">
        <f>IFERROR([1]!IntrinioBankFinancials(rssd_id,$R$2,I$6,I$5,$B42),"")</f>
        <v/>
      </c>
      <c r="J42" s="32" t="str">
        <f>IFERROR([1]!IntrinioBankFinancials(rssd_id,$R$2,J$6,J$5,$B42),"")</f>
        <v/>
      </c>
      <c r="K42" s="32" t="str">
        <f>IFERROR([1]!IntrinioBankFinancials(rssd_id,$R$2,K$6,K$5,$B42),"")</f>
        <v/>
      </c>
      <c r="L42" s="32" t="str">
        <f>IFERROR([1]!IntrinioBankFinancials(rssd_id,$R$2,L$6,L$5,$B42),"")</f>
        <v/>
      </c>
      <c r="M42" s="32" t="str">
        <f>IFERROR([1]!IntrinioBankFinancials(rssd_id,$R$2,M$6,M$5,$B42),"")</f>
        <v/>
      </c>
      <c r="N42" s="32" t="str">
        <f>IFERROR([1]!IntrinioBankFinancials(rssd_id,$R$2,N$6,N$5,$B42),"")</f>
        <v/>
      </c>
      <c r="O42" s="32" t="str">
        <f>IFERROR([1]!IntrinioBankFinancials(rssd_id,$R$2,O$6,O$5,$B42),"")</f>
        <v/>
      </c>
    </row>
    <row r="43" spans="1:15" s="22" customFormat="1" ht="13.5" customHeight="1" x14ac:dyDescent="0.4">
      <c r="A43" s="34" t="s">
        <v>1317</v>
      </c>
      <c r="B43" s="23" t="s">
        <v>1318</v>
      </c>
      <c r="C43" s="32" t="str">
        <f>IFERROR([1]!IntrinioBankFinancials(rssd_id,$R$2,C$6,C$5,$B43),"")</f>
        <v/>
      </c>
      <c r="D43" s="32" t="str">
        <f>IFERROR([1]!IntrinioBankFinancials(rssd_id,$R$2,D$6,D$5,$B43),"")</f>
        <v/>
      </c>
      <c r="E43" s="32" t="str">
        <f>IFERROR([1]!IntrinioBankFinancials(rssd_id,$R$2,E$6,E$5,$B43),"")</f>
        <v/>
      </c>
      <c r="F43" s="32" t="str">
        <f>IFERROR([1]!IntrinioBankFinancials(rssd_id,$R$2,F$6,F$5,$B43),"")</f>
        <v/>
      </c>
      <c r="G43" s="32" t="str">
        <f>IFERROR([1]!IntrinioBankFinancials(rssd_id,$R$2,G$6,G$5,$B43),"")</f>
        <v/>
      </c>
      <c r="H43" s="32" t="str">
        <f>IFERROR([1]!IntrinioBankFinancials(rssd_id,$R$2,H$6,H$5,$B43),"")</f>
        <v/>
      </c>
      <c r="I43" s="32" t="str">
        <f>IFERROR([1]!IntrinioBankFinancials(rssd_id,$R$2,I$6,I$5,$B43),"")</f>
        <v/>
      </c>
      <c r="J43" s="32" t="str">
        <f>IFERROR([1]!IntrinioBankFinancials(rssd_id,$R$2,J$6,J$5,$B43),"")</f>
        <v/>
      </c>
      <c r="K43" s="32" t="str">
        <f>IFERROR([1]!IntrinioBankFinancials(rssd_id,$R$2,K$6,K$5,$B43),"")</f>
        <v/>
      </c>
      <c r="L43" s="32" t="str">
        <f>IFERROR([1]!IntrinioBankFinancials(rssd_id,$R$2,L$6,L$5,$B43),"")</f>
        <v/>
      </c>
      <c r="M43" s="32" t="str">
        <f>IFERROR([1]!IntrinioBankFinancials(rssd_id,$R$2,M$6,M$5,$B43),"")</f>
        <v/>
      </c>
      <c r="N43" s="32" t="str">
        <f>IFERROR([1]!IntrinioBankFinancials(rssd_id,$R$2,N$6,N$5,$B43),"")</f>
        <v/>
      </c>
      <c r="O43" s="32" t="str">
        <f>IFERROR([1]!IntrinioBankFinancials(rssd_id,$R$2,O$6,O$5,$B43),"")</f>
        <v/>
      </c>
    </row>
    <row r="44" spans="1:15" s="22" customFormat="1" ht="13.5" customHeight="1" x14ac:dyDescent="0.4">
      <c r="A44" s="34" t="s">
        <v>1319</v>
      </c>
      <c r="B44" s="23" t="s">
        <v>1320</v>
      </c>
      <c r="C44" s="32" t="str">
        <f>IFERROR([1]!IntrinioBankFinancials(rssd_id,$R$2,C$6,C$5,$B44),"")</f>
        <v/>
      </c>
      <c r="D44" s="32" t="str">
        <f>IFERROR([1]!IntrinioBankFinancials(rssd_id,$R$2,D$6,D$5,$B44),"")</f>
        <v/>
      </c>
      <c r="E44" s="32" t="str">
        <f>IFERROR([1]!IntrinioBankFinancials(rssd_id,$R$2,E$6,E$5,$B44),"")</f>
        <v/>
      </c>
      <c r="F44" s="32" t="str">
        <f>IFERROR([1]!IntrinioBankFinancials(rssd_id,$R$2,F$6,F$5,$B44),"")</f>
        <v/>
      </c>
      <c r="G44" s="32" t="str">
        <f>IFERROR([1]!IntrinioBankFinancials(rssd_id,$R$2,G$6,G$5,$B44),"")</f>
        <v/>
      </c>
      <c r="H44" s="32" t="str">
        <f>IFERROR([1]!IntrinioBankFinancials(rssd_id,$R$2,H$6,H$5,$B44),"")</f>
        <v/>
      </c>
      <c r="I44" s="32" t="str">
        <f>IFERROR([1]!IntrinioBankFinancials(rssd_id,$R$2,I$6,I$5,$B44),"")</f>
        <v/>
      </c>
      <c r="J44" s="32" t="str">
        <f>IFERROR([1]!IntrinioBankFinancials(rssd_id,$R$2,J$6,J$5,$B44),"")</f>
        <v/>
      </c>
      <c r="K44" s="32" t="str">
        <f>IFERROR([1]!IntrinioBankFinancials(rssd_id,$R$2,K$6,K$5,$B44),"")</f>
        <v/>
      </c>
      <c r="L44" s="32" t="str">
        <f>IFERROR([1]!IntrinioBankFinancials(rssd_id,$R$2,L$6,L$5,$B44),"")</f>
        <v/>
      </c>
      <c r="M44" s="32" t="str">
        <f>IFERROR([1]!IntrinioBankFinancials(rssd_id,$R$2,M$6,M$5,$B44),"")</f>
        <v/>
      </c>
      <c r="N44" s="32" t="str">
        <f>IFERROR([1]!IntrinioBankFinancials(rssd_id,$R$2,N$6,N$5,$B44),"")</f>
        <v/>
      </c>
      <c r="O44" s="32" t="str">
        <f>IFERROR([1]!IntrinioBankFinancials(rssd_id,$R$2,O$6,O$5,$B44),"")</f>
        <v/>
      </c>
    </row>
    <row r="45" spans="1:15" s="22" customFormat="1" ht="13.5" customHeight="1" x14ac:dyDescent="0.4">
      <c r="A45" s="34" t="s">
        <v>1321</v>
      </c>
      <c r="B45" s="23" t="s">
        <v>1322</v>
      </c>
      <c r="C45" s="32" t="str">
        <f>IFERROR([1]!IntrinioBankFinancials(rssd_id,$R$2,C$6,C$5,$B45),"")</f>
        <v/>
      </c>
      <c r="D45" s="32" t="str">
        <f>IFERROR([1]!IntrinioBankFinancials(rssd_id,$R$2,D$6,D$5,$B45),"")</f>
        <v/>
      </c>
      <c r="E45" s="32" t="str">
        <f>IFERROR([1]!IntrinioBankFinancials(rssd_id,$R$2,E$6,E$5,$B45),"")</f>
        <v/>
      </c>
      <c r="F45" s="32" t="str">
        <f>IFERROR([1]!IntrinioBankFinancials(rssd_id,$R$2,F$6,F$5,$B45),"")</f>
        <v/>
      </c>
      <c r="G45" s="32" t="str">
        <f>IFERROR([1]!IntrinioBankFinancials(rssd_id,$R$2,G$6,G$5,$B45),"")</f>
        <v/>
      </c>
      <c r="H45" s="32" t="str">
        <f>IFERROR([1]!IntrinioBankFinancials(rssd_id,$R$2,H$6,H$5,$B45),"")</f>
        <v/>
      </c>
      <c r="I45" s="32" t="str">
        <f>IFERROR([1]!IntrinioBankFinancials(rssd_id,$R$2,I$6,I$5,$B45),"")</f>
        <v/>
      </c>
      <c r="J45" s="32" t="str">
        <f>IFERROR([1]!IntrinioBankFinancials(rssd_id,$R$2,J$6,J$5,$B45),"")</f>
        <v/>
      </c>
      <c r="K45" s="32" t="str">
        <f>IFERROR([1]!IntrinioBankFinancials(rssd_id,$R$2,K$6,K$5,$B45),"")</f>
        <v/>
      </c>
      <c r="L45" s="32" t="str">
        <f>IFERROR([1]!IntrinioBankFinancials(rssd_id,$R$2,L$6,L$5,$B45),"")</f>
        <v/>
      </c>
      <c r="M45" s="32" t="str">
        <f>IFERROR([1]!IntrinioBankFinancials(rssd_id,$R$2,M$6,M$5,$B45),"")</f>
        <v/>
      </c>
      <c r="N45" s="32" t="str">
        <f>IFERROR([1]!IntrinioBankFinancials(rssd_id,$R$2,N$6,N$5,$B45),"")</f>
        <v/>
      </c>
      <c r="O45" s="32" t="str">
        <f>IFERROR([1]!IntrinioBankFinancials(rssd_id,$R$2,O$6,O$5,$B45),"")</f>
        <v/>
      </c>
    </row>
    <row r="46" spans="1:15" s="22" customFormat="1" ht="13.5" customHeight="1" x14ac:dyDescent="0.4">
      <c r="A46" s="34" t="s">
        <v>1323</v>
      </c>
      <c r="B46" s="23" t="s">
        <v>1324</v>
      </c>
      <c r="C46" s="32" t="str">
        <f>IFERROR([1]!IntrinioBankFinancials(rssd_id,$R$2,C$6,C$5,$B46),"")</f>
        <v/>
      </c>
      <c r="D46" s="32" t="str">
        <f>IFERROR([1]!IntrinioBankFinancials(rssd_id,$R$2,D$6,D$5,$B46),"")</f>
        <v/>
      </c>
      <c r="E46" s="32" t="str">
        <f>IFERROR([1]!IntrinioBankFinancials(rssd_id,$R$2,E$6,E$5,$B46),"")</f>
        <v/>
      </c>
      <c r="F46" s="32" t="str">
        <f>IFERROR([1]!IntrinioBankFinancials(rssd_id,$R$2,F$6,F$5,$B46),"")</f>
        <v/>
      </c>
      <c r="G46" s="32" t="str">
        <f>IFERROR([1]!IntrinioBankFinancials(rssd_id,$R$2,G$6,G$5,$B46),"")</f>
        <v/>
      </c>
      <c r="H46" s="32" t="str">
        <f>IFERROR([1]!IntrinioBankFinancials(rssd_id,$R$2,H$6,H$5,$B46),"")</f>
        <v/>
      </c>
      <c r="I46" s="32" t="str">
        <f>IFERROR([1]!IntrinioBankFinancials(rssd_id,$R$2,I$6,I$5,$B46),"")</f>
        <v/>
      </c>
      <c r="J46" s="32" t="str">
        <f>IFERROR([1]!IntrinioBankFinancials(rssd_id,$R$2,J$6,J$5,$B46),"")</f>
        <v/>
      </c>
      <c r="K46" s="32" t="str">
        <f>IFERROR([1]!IntrinioBankFinancials(rssd_id,$R$2,K$6,K$5,$B46),"")</f>
        <v/>
      </c>
      <c r="L46" s="32" t="str">
        <f>IFERROR([1]!IntrinioBankFinancials(rssd_id,$R$2,L$6,L$5,$B46),"")</f>
        <v/>
      </c>
      <c r="M46" s="32" t="str">
        <f>IFERROR([1]!IntrinioBankFinancials(rssd_id,$R$2,M$6,M$5,$B46),"")</f>
        <v/>
      </c>
      <c r="N46" s="32" t="str">
        <f>IFERROR([1]!IntrinioBankFinancials(rssd_id,$R$2,N$6,N$5,$B46),"")</f>
        <v/>
      </c>
      <c r="O46" s="32" t="str">
        <f>IFERROR([1]!IntrinioBankFinancials(rssd_id,$R$2,O$6,O$5,$B46),"")</f>
        <v/>
      </c>
    </row>
    <row r="47" spans="1:15" s="22" customFormat="1" ht="13.5" customHeight="1" x14ac:dyDescent="0.4">
      <c r="A47" s="34" t="s">
        <v>1325</v>
      </c>
      <c r="B47" s="23" t="s">
        <v>1326</v>
      </c>
      <c r="C47" s="32" t="str">
        <f>IFERROR([1]!IntrinioBankFinancials(rssd_id,$R$2,C$6,C$5,$B47),"")</f>
        <v/>
      </c>
      <c r="D47" s="32" t="str">
        <f>IFERROR([1]!IntrinioBankFinancials(rssd_id,$R$2,D$6,D$5,$B47),"")</f>
        <v/>
      </c>
      <c r="E47" s="32" t="str">
        <f>IFERROR([1]!IntrinioBankFinancials(rssd_id,$R$2,E$6,E$5,$B47),"")</f>
        <v/>
      </c>
      <c r="F47" s="32" t="str">
        <f>IFERROR([1]!IntrinioBankFinancials(rssd_id,$R$2,F$6,F$5,$B47),"")</f>
        <v/>
      </c>
      <c r="G47" s="32" t="str">
        <f>IFERROR([1]!IntrinioBankFinancials(rssd_id,$R$2,G$6,G$5,$B47),"")</f>
        <v/>
      </c>
      <c r="H47" s="32" t="str">
        <f>IFERROR([1]!IntrinioBankFinancials(rssd_id,$R$2,H$6,H$5,$B47),"")</f>
        <v/>
      </c>
      <c r="I47" s="32" t="str">
        <f>IFERROR([1]!IntrinioBankFinancials(rssd_id,$R$2,I$6,I$5,$B47),"")</f>
        <v/>
      </c>
      <c r="J47" s="32" t="str">
        <f>IFERROR([1]!IntrinioBankFinancials(rssd_id,$R$2,J$6,J$5,$B47),"")</f>
        <v/>
      </c>
      <c r="K47" s="32" t="str">
        <f>IFERROR([1]!IntrinioBankFinancials(rssd_id,$R$2,K$6,K$5,$B47),"")</f>
        <v/>
      </c>
      <c r="L47" s="32" t="str">
        <f>IFERROR([1]!IntrinioBankFinancials(rssd_id,$R$2,L$6,L$5,$B47),"")</f>
        <v/>
      </c>
      <c r="M47" s="32" t="str">
        <f>IFERROR([1]!IntrinioBankFinancials(rssd_id,$R$2,M$6,M$5,$B47),"")</f>
        <v/>
      </c>
      <c r="N47" s="32" t="str">
        <f>IFERROR([1]!IntrinioBankFinancials(rssd_id,$R$2,N$6,N$5,$B47),"")</f>
        <v/>
      </c>
      <c r="O47" s="32" t="str">
        <f>IFERROR([1]!IntrinioBankFinancials(rssd_id,$R$2,O$6,O$5,$B47),"")</f>
        <v/>
      </c>
    </row>
    <row r="48" spans="1:15" s="22" customFormat="1" ht="13.5" customHeight="1" x14ac:dyDescent="0.4">
      <c r="A48" s="34"/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</row>
    <row r="49" spans="1:15" s="22" customFormat="1" ht="13.5" customHeight="1" x14ac:dyDescent="0.4">
      <c r="A49" s="34" t="s">
        <v>1327</v>
      </c>
      <c r="B49" s="23" t="s">
        <v>1328</v>
      </c>
      <c r="C49" s="24" t="str">
        <f>IFERROR([1]!IntrinioBankFinancials(rssd_id,$R$2,C$6,C$5,$B49),"")</f>
        <v/>
      </c>
      <c r="D49" s="24" t="str">
        <f>IFERROR([1]!IntrinioBankFinancials(rssd_id,$R$2,D$6,D$5,$B49),"")</f>
        <v/>
      </c>
      <c r="E49" s="24" t="str">
        <f>IFERROR([1]!IntrinioBankFinancials(rssd_id,$R$2,E$6,E$5,$B49),"")</f>
        <v/>
      </c>
      <c r="F49" s="24" t="str">
        <f>IFERROR([1]!IntrinioBankFinancials(rssd_id,$R$2,F$6,F$5,$B49),"")</f>
        <v/>
      </c>
      <c r="G49" s="24" t="str">
        <f>IFERROR([1]!IntrinioBankFinancials(rssd_id,$R$2,G$6,G$5,$B49),"")</f>
        <v/>
      </c>
      <c r="H49" s="24" t="str">
        <f>IFERROR([1]!IntrinioBankFinancials(rssd_id,$R$2,H$6,H$5,$B49),"")</f>
        <v/>
      </c>
      <c r="I49" s="24" t="str">
        <f>IFERROR([1]!IntrinioBankFinancials(rssd_id,$R$2,I$6,I$5,$B49),"")</f>
        <v/>
      </c>
      <c r="J49" s="24" t="str">
        <f>IFERROR([1]!IntrinioBankFinancials(rssd_id,$R$2,J$6,J$5,$B49),"")</f>
        <v/>
      </c>
      <c r="K49" s="24" t="str">
        <f>IFERROR([1]!IntrinioBankFinancials(rssd_id,$R$2,K$6,K$5,$B49),"")</f>
        <v/>
      </c>
      <c r="L49" s="24" t="str">
        <f>IFERROR([1]!IntrinioBankFinancials(rssd_id,$R$2,L$6,L$5,$B49),"")</f>
        <v/>
      </c>
      <c r="M49" s="24" t="str">
        <f>IFERROR([1]!IntrinioBankFinancials(rssd_id,$R$2,M$6,M$5,$B49),"")</f>
        <v/>
      </c>
      <c r="N49" s="24" t="str">
        <f>IFERROR([1]!IntrinioBankFinancials(rssd_id,$R$2,N$6,N$5,$B49),"")</f>
        <v/>
      </c>
      <c r="O49" s="24" t="str">
        <f>IFERROR([1]!IntrinioBankFinancials(rssd_id,$R$2,O$6,O$5,$B49),"")</f>
        <v/>
      </c>
    </row>
    <row r="50" spans="1:15" s="22" customFormat="1" ht="13.5" customHeight="1" x14ac:dyDescent="0.4">
      <c r="A50" s="34" t="s">
        <v>1329</v>
      </c>
      <c r="B50" s="23" t="s">
        <v>1330</v>
      </c>
      <c r="C50" s="24" t="str">
        <f>IFERROR([1]!IntrinioBankFinancials(rssd_id,$R$2,C$6,C$5,$B50),"")</f>
        <v/>
      </c>
      <c r="D50" s="24" t="str">
        <f>IFERROR([1]!IntrinioBankFinancials(rssd_id,$R$2,D$6,D$5,$B50),"")</f>
        <v/>
      </c>
      <c r="E50" s="24" t="str">
        <f>IFERROR([1]!IntrinioBankFinancials(rssd_id,$R$2,E$6,E$5,$B50),"")</f>
        <v/>
      </c>
      <c r="F50" s="24" t="str">
        <f>IFERROR([1]!IntrinioBankFinancials(rssd_id,$R$2,F$6,F$5,$B50),"")</f>
        <v/>
      </c>
      <c r="G50" s="24" t="str">
        <f>IFERROR([1]!IntrinioBankFinancials(rssd_id,$R$2,G$6,G$5,$B50),"")</f>
        <v/>
      </c>
      <c r="H50" s="24" t="str">
        <f>IFERROR([1]!IntrinioBankFinancials(rssd_id,$R$2,H$6,H$5,$B50),"")</f>
        <v/>
      </c>
      <c r="I50" s="24" t="str">
        <f>IFERROR([1]!IntrinioBankFinancials(rssd_id,$R$2,I$6,I$5,$B50),"")</f>
        <v/>
      </c>
      <c r="J50" s="24" t="str">
        <f>IFERROR([1]!IntrinioBankFinancials(rssd_id,$R$2,J$6,J$5,$B50),"")</f>
        <v/>
      </c>
      <c r="K50" s="24" t="str">
        <f>IFERROR([1]!IntrinioBankFinancials(rssd_id,$R$2,K$6,K$5,$B50),"")</f>
        <v/>
      </c>
      <c r="L50" s="24" t="str">
        <f>IFERROR([1]!IntrinioBankFinancials(rssd_id,$R$2,L$6,L$5,$B50),"")</f>
        <v/>
      </c>
      <c r="M50" s="24" t="str">
        <f>IFERROR([1]!IntrinioBankFinancials(rssd_id,$R$2,M$6,M$5,$B50),"")</f>
        <v/>
      </c>
      <c r="N50" s="24" t="str">
        <f>IFERROR([1]!IntrinioBankFinancials(rssd_id,$R$2,N$6,N$5,$B50),"")</f>
        <v/>
      </c>
      <c r="O50" s="24" t="str">
        <f>IFERROR([1]!IntrinioBankFinancials(rssd_id,$R$2,O$6,O$5,$B50),"")</f>
        <v/>
      </c>
    </row>
    <row r="51" spans="1:15" s="22" customFormat="1" ht="13.5" customHeight="1" x14ac:dyDescent="0.4">
      <c r="A51" s="34" t="s">
        <v>1331</v>
      </c>
      <c r="B51" s="23" t="s">
        <v>1332</v>
      </c>
      <c r="C51" s="24" t="str">
        <f>IFERROR([1]!IntrinioBankFinancials(rssd_id,$R$2,C$6,C$5,$B51,"K"),"")</f>
        <v/>
      </c>
      <c r="D51" s="24" t="str">
        <f>IFERROR([1]!IntrinioBankFinancials(rssd_id,$R$2,D$6,D$5,$B51,"K"),"")</f>
        <v/>
      </c>
      <c r="E51" s="24" t="str">
        <f>IFERROR([1]!IntrinioBankFinancials(rssd_id,$R$2,E$6,E$5,$B51,"K"),"")</f>
        <v/>
      </c>
      <c r="F51" s="24" t="str">
        <f>IFERROR([1]!IntrinioBankFinancials(rssd_id,$R$2,F$6,F$5,$B51,"K"),"")</f>
        <v/>
      </c>
      <c r="G51" s="24" t="str">
        <f>IFERROR([1]!IntrinioBankFinancials(rssd_id,$R$2,G$6,G$5,$B51,"K"),"")</f>
        <v/>
      </c>
      <c r="H51" s="24" t="str">
        <f>IFERROR([1]!IntrinioBankFinancials(rssd_id,$R$2,H$6,H$5,$B51,"K"),"")</f>
        <v/>
      </c>
      <c r="I51" s="24" t="str">
        <f>IFERROR([1]!IntrinioBankFinancials(rssd_id,$R$2,I$6,I$5,$B51,"K"),"")</f>
        <v/>
      </c>
      <c r="J51" s="24" t="str">
        <f>IFERROR([1]!IntrinioBankFinancials(rssd_id,$R$2,J$6,J$5,$B51,"K"),"")</f>
        <v/>
      </c>
      <c r="K51" s="24" t="str">
        <f>IFERROR([1]!IntrinioBankFinancials(rssd_id,$R$2,K$6,K$5,$B51,"K"),"")</f>
        <v/>
      </c>
      <c r="L51" s="24" t="str">
        <f>IFERROR([1]!IntrinioBankFinancials(rssd_id,$R$2,L$6,L$5,$B51,"K"),"")</f>
        <v/>
      </c>
      <c r="M51" s="24" t="str">
        <f>IFERROR([1]!IntrinioBankFinancials(rssd_id,$R$2,M$6,M$5,$B51,"K"),"")</f>
        <v/>
      </c>
      <c r="N51" s="24" t="str">
        <f>IFERROR([1]!IntrinioBankFinancials(rssd_id,$R$2,N$6,N$5,$B51,"K"),"")</f>
        <v/>
      </c>
      <c r="O51" s="24" t="str">
        <f>IFERROR([1]!IntrinioBankFinancials(rssd_id,$R$2,O$6,O$5,$B51,"K"),"")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4"/>
    <pageSetUpPr fitToPage="1"/>
  </sheetPr>
  <dimension ref="A1:R60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4.35546875" style="8" bestFit="1" customWidth="1"/>
    <col min="2" max="2" width="11.640625" style="2" hidden="1" customWidth="1" outlineLevel="1"/>
    <col min="3" max="9" width="16" style="3" hidden="1" customWidth="1" outlineLevel="1"/>
    <col min="10" max="10" width="16" style="3" bestFit="1" customWidth="1" collapsed="1"/>
    <col min="11" max="15" width="16" style="3" bestFit="1" customWidth="1"/>
    <col min="16" max="16" width="12.640625" style="4"/>
    <col min="17" max="17" width="22.640625" style="4" bestFit="1" customWidth="1"/>
    <col min="18" max="18" width="18.85546875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77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1333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/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364</v>
      </c>
      <c r="B9" s="23" t="s">
        <v>1334</v>
      </c>
      <c r="C9" s="24" t="str">
        <f>IFERROR([1]!IntrinioBankFinancials(rssd_id,$R$2,C$6,C$5,$B9,"K"),"")</f>
        <v/>
      </c>
      <c r="D9" s="24" t="str">
        <f>IFERROR([1]!IntrinioBankFinancials(rssd_id,$R$2,D$6,D$5,$B9,"K"),"")</f>
        <v/>
      </c>
      <c r="E9" s="24" t="str">
        <f>IFERROR([1]!IntrinioBankFinancials(rssd_id,$R$2,E$6,E$5,$B9,"K"),"")</f>
        <v/>
      </c>
      <c r="F9" s="24" t="str">
        <f>IFERROR([1]!IntrinioBankFinancials(rssd_id,$R$2,F$6,F$5,$B9,"K"),"")</f>
        <v/>
      </c>
      <c r="G9" s="24" t="str">
        <f>IFERROR([1]!IntrinioBankFinancials(rssd_id,$R$2,G$6,G$5,$B9,"K"),"")</f>
        <v/>
      </c>
      <c r="H9" s="24" t="str">
        <f>IFERROR([1]!IntrinioBankFinancials(rssd_id,$R$2,H$6,H$5,$B9,"K"),"")</f>
        <v/>
      </c>
      <c r="I9" s="24" t="str">
        <f>IFERROR([1]!IntrinioBankFinancials(rssd_id,$R$2,I$6,I$5,$B9,"K"),"")</f>
        <v/>
      </c>
      <c r="J9" s="24" t="str">
        <f>IFERROR([1]!IntrinioBankFinancials(rssd_id,$R$2,J$6,J$5,$B9,"K"),"")</f>
        <v/>
      </c>
      <c r="K9" s="24" t="str">
        <f>IFERROR([1]!IntrinioBankFinancials(rssd_id,$R$2,K$6,K$5,$B9,"K"),"")</f>
        <v/>
      </c>
      <c r="L9" s="24" t="str">
        <f>IFERROR([1]!IntrinioBankFinancials(rssd_id,$R$2,L$6,L$5,$B9,"K"),"")</f>
        <v/>
      </c>
      <c r="M9" s="24" t="str">
        <f>IFERROR([1]!IntrinioBankFinancials(rssd_id,$R$2,M$6,M$5,$B9,"K"),"")</f>
        <v/>
      </c>
      <c r="N9" s="24" t="str">
        <f>IFERROR([1]!IntrinioBankFinancials(rssd_id,$R$2,N$6,N$5,$B9,"K"),"")</f>
        <v/>
      </c>
      <c r="O9" s="24" t="str">
        <f>IFERROR([1]!IntrinioBankFinancials(rssd_id,$R$2,O$6,O$5,$B9,"K"),"")</f>
        <v/>
      </c>
    </row>
    <row r="10" spans="1:18" ht="13.5" customHeight="1" x14ac:dyDescent="0.4">
      <c r="A10" s="34" t="s">
        <v>1335</v>
      </c>
      <c r="B10" s="23" t="s">
        <v>1336</v>
      </c>
      <c r="C10" s="24" t="str">
        <f>IFERROR([1]!IntrinioBankFinancials(rssd_id,$R$2,C$6,C$5,$B10,"K"),"")</f>
        <v/>
      </c>
      <c r="D10" s="24" t="str">
        <f>IFERROR([1]!IntrinioBankFinancials(rssd_id,$R$2,D$6,D$5,$B10,"K"),"")</f>
        <v/>
      </c>
      <c r="E10" s="24" t="str">
        <f>IFERROR([1]!IntrinioBankFinancials(rssd_id,$R$2,E$6,E$5,$B10,"K"),"")</f>
        <v/>
      </c>
      <c r="F10" s="24" t="str">
        <f>IFERROR([1]!IntrinioBankFinancials(rssd_id,$R$2,F$6,F$5,$B10,"K"),"")</f>
        <v/>
      </c>
      <c r="G10" s="24" t="str">
        <f>IFERROR([1]!IntrinioBankFinancials(rssd_id,$R$2,G$6,G$5,$B10,"K"),"")</f>
        <v/>
      </c>
      <c r="H10" s="24" t="str">
        <f>IFERROR([1]!IntrinioBankFinancials(rssd_id,$R$2,H$6,H$5,$B10,"K"),"")</f>
        <v/>
      </c>
      <c r="I10" s="24" t="str">
        <f>IFERROR([1]!IntrinioBankFinancials(rssd_id,$R$2,I$6,I$5,$B10,"K"),"")</f>
        <v/>
      </c>
      <c r="J10" s="24" t="str">
        <f>IFERROR([1]!IntrinioBankFinancials(rssd_id,$R$2,J$6,J$5,$B10,"K"),"")</f>
        <v/>
      </c>
      <c r="K10" s="24" t="str">
        <f>IFERROR([1]!IntrinioBankFinancials(rssd_id,$R$2,K$6,K$5,$B10,"K"),"")</f>
        <v/>
      </c>
      <c r="L10" s="24" t="str">
        <f>IFERROR([1]!IntrinioBankFinancials(rssd_id,$R$2,L$6,L$5,$B10,"K"),"")</f>
        <v/>
      </c>
      <c r="M10" s="24" t="str">
        <f>IFERROR([1]!IntrinioBankFinancials(rssd_id,$R$2,M$6,M$5,$B10,"K"),"")</f>
        <v/>
      </c>
      <c r="N10" s="24" t="str">
        <f>IFERROR([1]!IntrinioBankFinancials(rssd_id,$R$2,N$6,N$5,$B10,"K"),"")</f>
        <v/>
      </c>
      <c r="O10" s="24" t="str">
        <f>IFERROR([1]!IntrinioBankFinancials(rssd_id,$R$2,O$6,O$5,$B10,"K"),"")</f>
        <v/>
      </c>
    </row>
    <row r="11" spans="1:18" ht="13.5" customHeight="1" x14ac:dyDescent="0.4">
      <c r="A11" s="34" t="s">
        <v>1337</v>
      </c>
      <c r="B11" s="23" t="s">
        <v>1338</v>
      </c>
      <c r="C11" s="24" t="str">
        <f>IFERROR([1]!IntrinioBankFinancials(rssd_id,$R$2,C$6,C$5,$B11,"K"),"")</f>
        <v/>
      </c>
      <c r="D11" s="24" t="str">
        <f>IFERROR([1]!IntrinioBankFinancials(rssd_id,$R$2,D$6,D$5,$B11,"K"),"")</f>
        <v/>
      </c>
      <c r="E11" s="24" t="str">
        <f>IFERROR([1]!IntrinioBankFinancials(rssd_id,$R$2,E$6,E$5,$B11,"K"),"")</f>
        <v/>
      </c>
      <c r="F11" s="24" t="str">
        <f>IFERROR([1]!IntrinioBankFinancials(rssd_id,$R$2,F$6,F$5,$B11,"K"),"")</f>
        <v/>
      </c>
      <c r="G11" s="24" t="str">
        <f>IFERROR([1]!IntrinioBankFinancials(rssd_id,$R$2,G$6,G$5,$B11,"K"),"")</f>
        <v/>
      </c>
      <c r="H11" s="24" t="str">
        <f>IFERROR([1]!IntrinioBankFinancials(rssd_id,$R$2,H$6,H$5,$B11,"K"),"")</f>
        <v/>
      </c>
      <c r="I11" s="24" t="str">
        <f>IFERROR([1]!IntrinioBankFinancials(rssd_id,$R$2,I$6,I$5,$B11,"K"),"")</f>
        <v/>
      </c>
      <c r="J11" s="24" t="str">
        <f>IFERROR([1]!IntrinioBankFinancials(rssd_id,$R$2,J$6,J$5,$B11,"K"),"")</f>
        <v/>
      </c>
      <c r="K11" s="24" t="str">
        <f>IFERROR([1]!IntrinioBankFinancials(rssd_id,$R$2,K$6,K$5,$B11,"K"),"")</f>
        <v/>
      </c>
      <c r="L11" s="24" t="str">
        <f>IFERROR([1]!IntrinioBankFinancials(rssd_id,$R$2,L$6,L$5,$B11,"K"),"")</f>
        <v/>
      </c>
      <c r="M11" s="24" t="str">
        <f>IFERROR([1]!IntrinioBankFinancials(rssd_id,$R$2,M$6,M$5,$B11,"K"),"")</f>
        <v/>
      </c>
      <c r="N11" s="24" t="str">
        <f>IFERROR([1]!IntrinioBankFinancials(rssd_id,$R$2,N$6,N$5,$B11,"K"),"")</f>
        <v/>
      </c>
      <c r="O11" s="24" t="str">
        <f>IFERROR([1]!IntrinioBankFinancials(rssd_id,$R$2,O$6,O$5,$B11,"K"),"")</f>
        <v/>
      </c>
    </row>
    <row r="12" spans="1:18" ht="13.5" customHeight="1" x14ac:dyDescent="0.4">
      <c r="A12" s="34" t="s">
        <v>394</v>
      </c>
      <c r="B12" s="23" t="s">
        <v>1339</v>
      </c>
      <c r="C12" s="24" t="str">
        <f>IFERROR([1]!IntrinioBankFinancials(rssd_id,$R$2,C$6,C$5,$B12,"K"),"")</f>
        <v/>
      </c>
      <c r="D12" s="24" t="str">
        <f>IFERROR([1]!IntrinioBankFinancials(rssd_id,$R$2,D$6,D$5,$B12,"K"),"")</f>
        <v/>
      </c>
      <c r="E12" s="24" t="str">
        <f>IFERROR([1]!IntrinioBankFinancials(rssd_id,$R$2,E$6,E$5,$B12,"K"),"")</f>
        <v/>
      </c>
      <c r="F12" s="24" t="str">
        <f>IFERROR([1]!IntrinioBankFinancials(rssd_id,$R$2,F$6,F$5,$B12,"K"),"")</f>
        <v/>
      </c>
      <c r="G12" s="24" t="str">
        <f>IFERROR([1]!IntrinioBankFinancials(rssd_id,$R$2,G$6,G$5,$B12,"K"),"")</f>
        <v/>
      </c>
      <c r="H12" s="24" t="str">
        <f>IFERROR([1]!IntrinioBankFinancials(rssd_id,$R$2,H$6,H$5,$B12,"K"),"")</f>
        <v/>
      </c>
      <c r="I12" s="24" t="str">
        <f>IFERROR([1]!IntrinioBankFinancials(rssd_id,$R$2,I$6,I$5,$B12,"K"),"")</f>
        <v/>
      </c>
      <c r="J12" s="24" t="str">
        <f>IFERROR([1]!IntrinioBankFinancials(rssd_id,$R$2,J$6,J$5,$B12,"K"),"")</f>
        <v/>
      </c>
      <c r="K12" s="24" t="str">
        <f>IFERROR([1]!IntrinioBankFinancials(rssd_id,$R$2,K$6,K$5,$B12,"K"),"")</f>
        <v/>
      </c>
      <c r="L12" s="24" t="str">
        <f>IFERROR([1]!IntrinioBankFinancials(rssd_id,$R$2,L$6,L$5,$B12,"K"),"")</f>
        <v/>
      </c>
      <c r="M12" s="24" t="str">
        <f>IFERROR([1]!IntrinioBankFinancials(rssd_id,$R$2,M$6,M$5,$B12,"K"),"")</f>
        <v/>
      </c>
      <c r="N12" s="24" t="str">
        <f>IFERROR([1]!IntrinioBankFinancials(rssd_id,$R$2,N$6,N$5,$B12,"K"),"")</f>
        <v/>
      </c>
      <c r="O12" s="24" t="str">
        <f>IFERROR([1]!IntrinioBankFinancials(rssd_id,$R$2,O$6,O$5,$B12,"K"),"")</f>
        <v/>
      </c>
    </row>
    <row r="13" spans="1:18" ht="13.5" customHeight="1" x14ac:dyDescent="0.4">
      <c r="A13" s="34" t="s">
        <v>1340</v>
      </c>
      <c r="B13" s="23" t="s">
        <v>1341</v>
      </c>
      <c r="C13" s="24" t="str">
        <f>IFERROR([1]!IntrinioBankFinancials(rssd_id,$R$2,C$6,C$5,$B13,"K"),"")</f>
        <v/>
      </c>
      <c r="D13" s="24" t="str">
        <f>IFERROR([1]!IntrinioBankFinancials(rssd_id,$R$2,D$6,D$5,$B13,"K"),"")</f>
        <v/>
      </c>
      <c r="E13" s="24" t="str">
        <f>IFERROR([1]!IntrinioBankFinancials(rssd_id,$R$2,E$6,E$5,$B13,"K"),"")</f>
        <v/>
      </c>
      <c r="F13" s="24" t="str">
        <f>IFERROR([1]!IntrinioBankFinancials(rssd_id,$R$2,F$6,F$5,$B13,"K"),"")</f>
        <v/>
      </c>
      <c r="G13" s="24" t="str">
        <f>IFERROR([1]!IntrinioBankFinancials(rssd_id,$R$2,G$6,G$5,$B13,"K"),"")</f>
        <v/>
      </c>
      <c r="H13" s="24" t="str">
        <f>IFERROR([1]!IntrinioBankFinancials(rssd_id,$R$2,H$6,H$5,$B13,"K"),"")</f>
        <v/>
      </c>
      <c r="I13" s="24" t="str">
        <f>IFERROR([1]!IntrinioBankFinancials(rssd_id,$R$2,I$6,I$5,$B13,"K"),"")</f>
        <v/>
      </c>
      <c r="J13" s="24" t="str">
        <f>IFERROR([1]!IntrinioBankFinancials(rssd_id,$R$2,J$6,J$5,$B13,"K"),"")</f>
        <v/>
      </c>
      <c r="K13" s="24" t="str">
        <f>IFERROR([1]!IntrinioBankFinancials(rssd_id,$R$2,K$6,K$5,$B13,"K"),"")</f>
        <v/>
      </c>
      <c r="L13" s="24" t="str">
        <f>IFERROR([1]!IntrinioBankFinancials(rssd_id,$R$2,L$6,L$5,$B13,"K"),"")</f>
        <v/>
      </c>
      <c r="M13" s="24" t="str">
        <f>IFERROR([1]!IntrinioBankFinancials(rssd_id,$R$2,M$6,M$5,$B13,"K"),"")</f>
        <v/>
      </c>
      <c r="N13" s="24" t="str">
        <f>IFERROR([1]!IntrinioBankFinancials(rssd_id,$R$2,N$6,N$5,$B13,"K"),"")</f>
        <v/>
      </c>
      <c r="O13" s="24" t="str">
        <f>IFERROR([1]!IntrinioBankFinancials(rssd_id,$R$2,O$6,O$5,$B13,"K"),"")</f>
        <v/>
      </c>
    </row>
    <row r="14" spans="1:18" ht="13.5" customHeight="1" x14ac:dyDescent="0.4">
      <c r="A14" s="34" t="s">
        <v>424</v>
      </c>
      <c r="B14" s="23" t="s">
        <v>425</v>
      </c>
      <c r="C14" s="24" t="str">
        <f>IFERROR([1]!IntrinioBankFinancials(rssd_id,$R$2,C$6,C$5,$B14,"K"),"")</f>
        <v/>
      </c>
      <c r="D14" s="24" t="str">
        <f>IFERROR([1]!IntrinioBankFinancials(rssd_id,$R$2,D$6,D$5,$B14,"K"),"")</f>
        <v/>
      </c>
      <c r="E14" s="24" t="str">
        <f>IFERROR([1]!IntrinioBankFinancials(rssd_id,$R$2,E$6,E$5,$B14,"K"),"")</f>
        <v/>
      </c>
      <c r="F14" s="24" t="str">
        <f>IFERROR([1]!IntrinioBankFinancials(rssd_id,$R$2,F$6,F$5,$B14,"K"),"")</f>
        <v/>
      </c>
      <c r="G14" s="24" t="str">
        <f>IFERROR([1]!IntrinioBankFinancials(rssd_id,$R$2,G$6,G$5,$B14,"K"),"")</f>
        <v/>
      </c>
      <c r="H14" s="24" t="str">
        <f>IFERROR([1]!IntrinioBankFinancials(rssd_id,$R$2,H$6,H$5,$B14,"K"),"")</f>
        <v/>
      </c>
      <c r="I14" s="24" t="str">
        <f>IFERROR([1]!IntrinioBankFinancials(rssd_id,$R$2,I$6,I$5,$B14,"K"),"")</f>
        <v/>
      </c>
      <c r="J14" s="24" t="str">
        <f>IFERROR([1]!IntrinioBankFinancials(rssd_id,$R$2,J$6,J$5,$B14,"K"),"")</f>
        <v/>
      </c>
      <c r="K14" s="24" t="str">
        <f>IFERROR([1]!IntrinioBankFinancials(rssd_id,$R$2,K$6,K$5,$B14,"K"),"")</f>
        <v/>
      </c>
      <c r="L14" s="24" t="str">
        <f>IFERROR([1]!IntrinioBankFinancials(rssd_id,$R$2,L$6,L$5,$B14,"K"),"")</f>
        <v/>
      </c>
      <c r="M14" s="24" t="str">
        <f>IFERROR([1]!IntrinioBankFinancials(rssd_id,$R$2,M$6,M$5,$B14,"K"),"")</f>
        <v/>
      </c>
      <c r="N14" s="24" t="str">
        <f>IFERROR([1]!IntrinioBankFinancials(rssd_id,$R$2,N$6,N$5,$B14,"K"),"")</f>
        <v/>
      </c>
      <c r="O14" s="24" t="str">
        <f>IFERROR([1]!IntrinioBankFinancials(rssd_id,$R$2,O$6,O$5,$B14,"K"),"")</f>
        <v/>
      </c>
    </row>
    <row r="15" spans="1:18" ht="13.5" customHeight="1" x14ac:dyDescent="0.4">
      <c r="A15" s="34" t="s">
        <v>1342</v>
      </c>
      <c r="B15" s="23" t="s">
        <v>1343</v>
      </c>
      <c r="C15" s="24" t="str">
        <f>IFERROR([1]!IntrinioBankFinancials(rssd_id,$R$2,C$6,C$5,$B15,"K"),"")</f>
        <v/>
      </c>
      <c r="D15" s="24" t="str">
        <f>IFERROR([1]!IntrinioBankFinancials(rssd_id,$R$2,D$6,D$5,$B15,"K"),"")</f>
        <v/>
      </c>
      <c r="E15" s="24" t="str">
        <f>IFERROR([1]!IntrinioBankFinancials(rssd_id,$R$2,E$6,E$5,$B15,"K"),"")</f>
        <v/>
      </c>
      <c r="F15" s="24" t="str">
        <f>IFERROR([1]!IntrinioBankFinancials(rssd_id,$R$2,F$6,F$5,$B15,"K"),"")</f>
        <v/>
      </c>
      <c r="G15" s="24" t="str">
        <f>IFERROR([1]!IntrinioBankFinancials(rssd_id,$R$2,G$6,G$5,$B15,"K"),"")</f>
        <v/>
      </c>
      <c r="H15" s="24" t="str">
        <f>IFERROR([1]!IntrinioBankFinancials(rssd_id,$R$2,H$6,H$5,$B15,"K"),"")</f>
        <v/>
      </c>
      <c r="I15" s="24" t="str">
        <f>IFERROR([1]!IntrinioBankFinancials(rssd_id,$R$2,I$6,I$5,$B15,"K"),"")</f>
        <v/>
      </c>
      <c r="J15" s="24" t="str">
        <f>IFERROR([1]!IntrinioBankFinancials(rssd_id,$R$2,J$6,J$5,$B15,"K"),"")</f>
        <v/>
      </c>
      <c r="K15" s="24" t="str">
        <f>IFERROR([1]!IntrinioBankFinancials(rssd_id,$R$2,K$6,K$5,$B15,"K"),"")</f>
        <v/>
      </c>
      <c r="L15" s="24" t="str">
        <f>IFERROR([1]!IntrinioBankFinancials(rssd_id,$R$2,L$6,L$5,$B15,"K"),"")</f>
        <v/>
      </c>
      <c r="M15" s="24" t="str">
        <f>IFERROR([1]!IntrinioBankFinancials(rssd_id,$R$2,M$6,M$5,$B15,"K"),"")</f>
        <v/>
      </c>
      <c r="N15" s="24" t="str">
        <f>IFERROR([1]!IntrinioBankFinancials(rssd_id,$R$2,N$6,N$5,$B15,"K"),"")</f>
        <v/>
      </c>
      <c r="O15" s="24" t="str">
        <f>IFERROR([1]!IntrinioBankFinancials(rssd_id,$R$2,O$6,O$5,$B15,"K"),"")</f>
        <v/>
      </c>
    </row>
    <row r="16" spans="1:18" ht="13.5" customHeight="1" x14ac:dyDescent="0.4">
      <c r="A16" s="34" t="s">
        <v>1344</v>
      </c>
      <c r="B16" s="23" t="s">
        <v>1345</v>
      </c>
      <c r="C16" s="24" t="str">
        <f>IFERROR([1]!IntrinioBankFinancials(rssd_id,$R$2,C$6,C$5,$B16,"K"),"")</f>
        <v/>
      </c>
      <c r="D16" s="24" t="str">
        <f>IFERROR([1]!IntrinioBankFinancials(rssd_id,$R$2,D$6,D$5,$B16,"K"),"")</f>
        <v/>
      </c>
      <c r="E16" s="24" t="str">
        <f>IFERROR([1]!IntrinioBankFinancials(rssd_id,$R$2,E$6,E$5,$B16,"K"),"")</f>
        <v/>
      </c>
      <c r="F16" s="24" t="str">
        <f>IFERROR([1]!IntrinioBankFinancials(rssd_id,$R$2,F$6,F$5,$B16,"K"),"")</f>
        <v/>
      </c>
      <c r="G16" s="24" t="str">
        <f>IFERROR([1]!IntrinioBankFinancials(rssd_id,$R$2,G$6,G$5,$B16,"K"),"")</f>
        <v/>
      </c>
      <c r="H16" s="24" t="str">
        <f>IFERROR([1]!IntrinioBankFinancials(rssd_id,$R$2,H$6,H$5,$B16,"K"),"")</f>
        <v/>
      </c>
      <c r="I16" s="24" t="str">
        <f>IFERROR([1]!IntrinioBankFinancials(rssd_id,$R$2,I$6,I$5,$B16,"K"),"")</f>
        <v/>
      </c>
      <c r="J16" s="24" t="str">
        <f>IFERROR([1]!IntrinioBankFinancials(rssd_id,$R$2,J$6,J$5,$B16,"K"),"")</f>
        <v/>
      </c>
      <c r="K16" s="24" t="str">
        <f>IFERROR([1]!IntrinioBankFinancials(rssd_id,$R$2,K$6,K$5,$B16,"K"),"")</f>
        <v/>
      </c>
      <c r="L16" s="24" t="str">
        <f>IFERROR([1]!IntrinioBankFinancials(rssd_id,$R$2,L$6,L$5,$B16,"K"),"")</f>
        <v/>
      </c>
      <c r="M16" s="24" t="str">
        <f>IFERROR([1]!IntrinioBankFinancials(rssd_id,$R$2,M$6,M$5,$B16,"K"),"")</f>
        <v/>
      </c>
      <c r="N16" s="24" t="str">
        <f>IFERROR([1]!IntrinioBankFinancials(rssd_id,$R$2,N$6,N$5,$B16,"K"),"")</f>
        <v/>
      </c>
      <c r="O16" s="24" t="str">
        <f>IFERROR([1]!IntrinioBankFinancials(rssd_id,$R$2,O$6,O$5,$B16,"K"),"")</f>
        <v/>
      </c>
    </row>
    <row r="17" spans="1:15" ht="13.5" customHeight="1" x14ac:dyDescent="0.4">
      <c r="A17" s="34" t="s">
        <v>1346</v>
      </c>
      <c r="B17" s="23" t="s">
        <v>1347</v>
      </c>
      <c r="C17" s="24" t="str">
        <f>IFERROR([1]!IntrinioBankFinancials(rssd_id,$R$2,C$6,C$5,$B17,"K"),"")</f>
        <v/>
      </c>
      <c r="D17" s="24" t="str">
        <f>IFERROR([1]!IntrinioBankFinancials(rssd_id,$R$2,D$6,D$5,$B17,"K"),"")</f>
        <v/>
      </c>
      <c r="E17" s="24" t="str">
        <f>IFERROR([1]!IntrinioBankFinancials(rssd_id,$R$2,E$6,E$5,$B17,"K"),"")</f>
        <v/>
      </c>
      <c r="F17" s="24" t="str">
        <f>IFERROR([1]!IntrinioBankFinancials(rssd_id,$R$2,F$6,F$5,$B17,"K"),"")</f>
        <v/>
      </c>
      <c r="G17" s="24" t="str">
        <f>IFERROR([1]!IntrinioBankFinancials(rssd_id,$R$2,G$6,G$5,$B17,"K"),"")</f>
        <v/>
      </c>
      <c r="H17" s="24" t="str">
        <f>IFERROR([1]!IntrinioBankFinancials(rssd_id,$R$2,H$6,H$5,$B17,"K"),"")</f>
        <v/>
      </c>
      <c r="I17" s="24" t="str">
        <f>IFERROR([1]!IntrinioBankFinancials(rssd_id,$R$2,I$6,I$5,$B17,"K"),"")</f>
        <v/>
      </c>
      <c r="J17" s="24" t="str">
        <f>IFERROR([1]!IntrinioBankFinancials(rssd_id,$R$2,J$6,J$5,$B17,"K"),"")</f>
        <v/>
      </c>
      <c r="K17" s="24" t="str">
        <f>IFERROR([1]!IntrinioBankFinancials(rssd_id,$R$2,K$6,K$5,$B17,"K"),"")</f>
        <v/>
      </c>
      <c r="L17" s="24" t="str">
        <f>IFERROR([1]!IntrinioBankFinancials(rssd_id,$R$2,L$6,L$5,$B17,"K"),"")</f>
        <v/>
      </c>
      <c r="M17" s="24" t="str">
        <f>IFERROR([1]!IntrinioBankFinancials(rssd_id,$R$2,M$6,M$5,$B17,"K"),"")</f>
        <v/>
      </c>
      <c r="N17" s="24" t="str">
        <f>IFERROR([1]!IntrinioBankFinancials(rssd_id,$R$2,N$6,N$5,$B17,"K"),"")</f>
        <v/>
      </c>
      <c r="O17" s="24" t="str">
        <f>IFERROR([1]!IntrinioBankFinancials(rssd_id,$R$2,O$6,O$5,$B17,"K"),"")</f>
        <v/>
      </c>
    </row>
    <row r="18" spans="1:15" ht="13.5" customHeight="1" x14ac:dyDescent="0.4">
      <c r="A18" s="34" t="s">
        <v>1348</v>
      </c>
      <c r="B18" s="23" t="s">
        <v>1349</v>
      </c>
      <c r="C18" s="24" t="str">
        <f>IFERROR([1]!IntrinioBankFinancials(rssd_id,$R$2,C$6,C$5,$B18,"K"),"")</f>
        <v/>
      </c>
      <c r="D18" s="24" t="str">
        <f>IFERROR([1]!IntrinioBankFinancials(rssd_id,$R$2,D$6,D$5,$B18,"K"),"")</f>
        <v/>
      </c>
      <c r="E18" s="24" t="str">
        <f>IFERROR([1]!IntrinioBankFinancials(rssd_id,$R$2,E$6,E$5,$B18,"K"),"")</f>
        <v/>
      </c>
      <c r="F18" s="24" t="str">
        <f>IFERROR([1]!IntrinioBankFinancials(rssd_id,$R$2,F$6,F$5,$B18,"K"),"")</f>
        <v/>
      </c>
      <c r="G18" s="24" t="str">
        <f>IFERROR([1]!IntrinioBankFinancials(rssd_id,$R$2,G$6,G$5,$B18,"K"),"")</f>
        <v/>
      </c>
      <c r="H18" s="24" t="str">
        <f>IFERROR([1]!IntrinioBankFinancials(rssd_id,$R$2,H$6,H$5,$B18,"K"),"")</f>
        <v/>
      </c>
      <c r="I18" s="24" t="str">
        <f>IFERROR([1]!IntrinioBankFinancials(rssd_id,$R$2,I$6,I$5,$B18,"K"),"")</f>
        <v/>
      </c>
      <c r="J18" s="24" t="str">
        <f>IFERROR([1]!IntrinioBankFinancials(rssd_id,$R$2,J$6,J$5,$B18,"K"),"")</f>
        <v/>
      </c>
      <c r="K18" s="24" t="str">
        <f>IFERROR([1]!IntrinioBankFinancials(rssd_id,$R$2,K$6,K$5,$B18,"K"),"")</f>
        <v/>
      </c>
      <c r="L18" s="24" t="str">
        <f>IFERROR([1]!IntrinioBankFinancials(rssd_id,$R$2,L$6,L$5,$B18,"K"),"")</f>
        <v/>
      </c>
      <c r="M18" s="24" t="str">
        <f>IFERROR([1]!IntrinioBankFinancials(rssd_id,$R$2,M$6,M$5,$B18,"K"),"")</f>
        <v/>
      </c>
      <c r="N18" s="24" t="str">
        <f>IFERROR([1]!IntrinioBankFinancials(rssd_id,$R$2,N$6,N$5,$B18,"K"),"")</f>
        <v/>
      </c>
      <c r="O18" s="24" t="str">
        <f>IFERROR([1]!IntrinioBankFinancials(rssd_id,$R$2,O$6,O$5,$B18,"K"),"")</f>
        <v/>
      </c>
    </row>
    <row r="19" spans="1:15" ht="13.5" customHeight="1" x14ac:dyDescent="0.4">
      <c r="A19" s="34" t="s">
        <v>1350</v>
      </c>
      <c r="B19" s="23" t="s">
        <v>1351</v>
      </c>
      <c r="C19" s="24" t="str">
        <f>IFERROR([1]!IntrinioBankFinancials(rssd_id,$R$2,C$6,C$5,$B19,"K"),"")</f>
        <v/>
      </c>
      <c r="D19" s="24" t="str">
        <f>IFERROR([1]!IntrinioBankFinancials(rssd_id,$R$2,D$6,D$5,$B19,"K"),"")</f>
        <v/>
      </c>
      <c r="E19" s="24" t="str">
        <f>IFERROR([1]!IntrinioBankFinancials(rssd_id,$R$2,E$6,E$5,$B19,"K"),"")</f>
        <v/>
      </c>
      <c r="F19" s="24" t="str">
        <f>IFERROR([1]!IntrinioBankFinancials(rssd_id,$R$2,F$6,F$5,$B19,"K"),"")</f>
        <v/>
      </c>
      <c r="G19" s="24" t="str">
        <f>IFERROR([1]!IntrinioBankFinancials(rssd_id,$R$2,G$6,G$5,$B19,"K"),"")</f>
        <v/>
      </c>
      <c r="H19" s="24" t="str">
        <f>IFERROR([1]!IntrinioBankFinancials(rssd_id,$R$2,H$6,H$5,$B19,"K"),"")</f>
        <v/>
      </c>
      <c r="I19" s="24" t="str">
        <f>IFERROR([1]!IntrinioBankFinancials(rssd_id,$R$2,I$6,I$5,$B19,"K"),"")</f>
        <v/>
      </c>
      <c r="J19" s="24" t="str">
        <f>IFERROR([1]!IntrinioBankFinancials(rssd_id,$R$2,J$6,J$5,$B19,"K"),"")</f>
        <v/>
      </c>
      <c r="K19" s="24" t="str">
        <f>IFERROR([1]!IntrinioBankFinancials(rssd_id,$R$2,K$6,K$5,$B19,"K"),"")</f>
        <v/>
      </c>
      <c r="L19" s="24" t="str">
        <f>IFERROR([1]!IntrinioBankFinancials(rssd_id,$R$2,L$6,L$5,$B19,"K"),"")</f>
        <v/>
      </c>
      <c r="M19" s="24" t="str">
        <f>IFERROR([1]!IntrinioBankFinancials(rssd_id,$R$2,M$6,M$5,$B19,"K"),"")</f>
        <v/>
      </c>
      <c r="N19" s="24" t="str">
        <f>IFERROR([1]!IntrinioBankFinancials(rssd_id,$R$2,N$6,N$5,$B19,"K"),"")</f>
        <v/>
      </c>
      <c r="O19" s="24" t="str">
        <f>IFERROR([1]!IntrinioBankFinancials(rssd_id,$R$2,O$6,O$5,$B19,"K"),"")</f>
        <v/>
      </c>
    </row>
    <row r="20" spans="1:15" ht="13.5" customHeight="1" x14ac:dyDescent="0.4">
      <c r="A20" s="34" t="s">
        <v>1352</v>
      </c>
      <c r="B20" s="23" t="s">
        <v>1353</v>
      </c>
      <c r="C20" s="24" t="str">
        <f>IFERROR([1]!IntrinioBankFinancials(rssd_id,$R$2,C$6,C$5,$B20,"K"),"")</f>
        <v/>
      </c>
      <c r="D20" s="24" t="str">
        <f>IFERROR([1]!IntrinioBankFinancials(rssd_id,$R$2,D$6,D$5,$B20,"K"),"")</f>
        <v/>
      </c>
      <c r="E20" s="24" t="str">
        <f>IFERROR([1]!IntrinioBankFinancials(rssd_id,$R$2,E$6,E$5,$B20,"K"),"")</f>
        <v/>
      </c>
      <c r="F20" s="24" t="str">
        <f>IFERROR([1]!IntrinioBankFinancials(rssd_id,$R$2,F$6,F$5,$B20,"K"),"")</f>
        <v/>
      </c>
      <c r="G20" s="24" t="str">
        <f>IFERROR([1]!IntrinioBankFinancials(rssd_id,$R$2,G$6,G$5,$B20,"K"),"")</f>
        <v/>
      </c>
      <c r="H20" s="24" t="str">
        <f>IFERROR([1]!IntrinioBankFinancials(rssd_id,$R$2,H$6,H$5,$B20,"K"),"")</f>
        <v/>
      </c>
      <c r="I20" s="24" t="str">
        <f>IFERROR([1]!IntrinioBankFinancials(rssd_id,$R$2,I$6,I$5,$B20,"K"),"")</f>
        <v/>
      </c>
      <c r="J20" s="24" t="str">
        <f>IFERROR([1]!IntrinioBankFinancials(rssd_id,$R$2,J$6,J$5,$B20,"K"),"")</f>
        <v/>
      </c>
      <c r="K20" s="24" t="str">
        <f>IFERROR([1]!IntrinioBankFinancials(rssd_id,$R$2,K$6,K$5,$B20,"K"),"")</f>
        <v/>
      </c>
      <c r="L20" s="24" t="str">
        <f>IFERROR([1]!IntrinioBankFinancials(rssd_id,$R$2,L$6,L$5,$B20,"K"),"")</f>
        <v/>
      </c>
      <c r="M20" s="24" t="str">
        <f>IFERROR([1]!IntrinioBankFinancials(rssd_id,$R$2,M$6,M$5,$B20,"K"),"")</f>
        <v/>
      </c>
      <c r="N20" s="24" t="str">
        <f>IFERROR([1]!IntrinioBankFinancials(rssd_id,$R$2,N$6,N$5,$B20,"K"),"")</f>
        <v/>
      </c>
      <c r="O20" s="24" t="str">
        <f>IFERROR([1]!IntrinioBankFinancials(rssd_id,$R$2,O$6,O$5,$B20,"K"),"")</f>
        <v/>
      </c>
    </row>
    <row r="21" spans="1:15" ht="13.5" customHeight="1" x14ac:dyDescent="0.4">
      <c r="A21" s="34" t="s">
        <v>276</v>
      </c>
      <c r="B21" s="23" t="s">
        <v>1354</v>
      </c>
      <c r="C21" s="24" t="str">
        <f>IFERROR([1]!IntrinioBankFinancials(rssd_id,$R$2,C$6,C$5,$B21,"K"),"")</f>
        <v/>
      </c>
      <c r="D21" s="24" t="str">
        <f>IFERROR([1]!IntrinioBankFinancials(rssd_id,$R$2,D$6,D$5,$B21,"K"),"")</f>
        <v/>
      </c>
      <c r="E21" s="24" t="str">
        <f>IFERROR([1]!IntrinioBankFinancials(rssd_id,$R$2,E$6,E$5,$B21,"K"),"")</f>
        <v/>
      </c>
      <c r="F21" s="24" t="str">
        <f>IFERROR([1]!IntrinioBankFinancials(rssd_id,$R$2,F$6,F$5,$B21,"K"),"")</f>
        <v/>
      </c>
      <c r="G21" s="24" t="str">
        <f>IFERROR([1]!IntrinioBankFinancials(rssd_id,$R$2,G$6,G$5,$B21,"K"),"")</f>
        <v/>
      </c>
      <c r="H21" s="24" t="str">
        <f>IFERROR([1]!IntrinioBankFinancials(rssd_id,$R$2,H$6,H$5,$B21,"K"),"")</f>
        <v/>
      </c>
      <c r="I21" s="24" t="str">
        <f>IFERROR([1]!IntrinioBankFinancials(rssd_id,$R$2,I$6,I$5,$B21,"K"),"")</f>
        <v/>
      </c>
      <c r="J21" s="24" t="str">
        <f>IFERROR([1]!IntrinioBankFinancials(rssd_id,$R$2,J$6,J$5,$B21,"K"),"")</f>
        <v/>
      </c>
      <c r="K21" s="24" t="str">
        <f>IFERROR([1]!IntrinioBankFinancials(rssd_id,$R$2,K$6,K$5,$B21,"K"),"")</f>
        <v/>
      </c>
      <c r="L21" s="24" t="str">
        <f>IFERROR([1]!IntrinioBankFinancials(rssd_id,$R$2,L$6,L$5,$B21,"K"),"")</f>
        <v/>
      </c>
      <c r="M21" s="24" t="str">
        <f>IFERROR([1]!IntrinioBankFinancials(rssd_id,$R$2,M$6,M$5,$B21,"K"),"")</f>
        <v/>
      </c>
      <c r="N21" s="24" t="str">
        <f>IFERROR([1]!IntrinioBankFinancials(rssd_id,$R$2,N$6,N$5,$B21,"K"),"")</f>
        <v/>
      </c>
      <c r="O21" s="24" t="str">
        <f>IFERROR([1]!IntrinioBankFinancials(rssd_id,$R$2,O$6,O$5,$B21,"K"),"")</f>
        <v/>
      </c>
    </row>
    <row r="22" spans="1:15" ht="13.5" customHeight="1" x14ac:dyDescent="0.4">
      <c r="A22" s="34" t="s">
        <v>278</v>
      </c>
      <c r="B22" s="23" t="s">
        <v>1355</v>
      </c>
      <c r="C22" s="24" t="str">
        <f>IFERROR([1]!IntrinioBankFinancials(rssd_id,$R$2,C$6,C$5,$B22,"K"),"")</f>
        <v/>
      </c>
      <c r="D22" s="24" t="str">
        <f>IFERROR([1]!IntrinioBankFinancials(rssd_id,$R$2,D$6,D$5,$B22,"K"),"")</f>
        <v/>
      </c>
      <c r="E22" s="24" t="str">
        <f>IFERROR([1]!IntrinioBankFinancials(rssd_id,$R$2,E$6,E$5,$B22,"K"),"")</f>
        <v/>
      </c>
      <c r="F22" s="24" t="str">
        <f>IFERROR([1]!IntrinioBankFinancials(rssd_id,$R$2,F$6,F$5,$B22,"K"),"")</f>
        <v/>
      </c>
      <c r="G22" s="24" t="str">
        <f>IFERROR([1]!IntrinioBankFinancials(rssd_id,$R$2,G$6,G$5,$B22,"K"),"")</f>
        <v/>
      </c>
      <c r="H22" s="24" t="str">
        <f>IFERROR([1]!IntrinioBankFinancials(rssd_id,$R$2,H$6,H$5,$B22,"K"),"")</f>
        <v/>
      </c>
      <c r="I22" s="24" t="str">
        <f>IFERROR([1]!IntrinioBankFinancials(rssd_id,$R$2,I$6,I$5,$B22,"K"),"")</f>
        <v/>
      </c>
      <c r="J22" s="24" t="str">
        <f>IFERROR([1]!IntrinioBankFinancials(rssd_id,$R$2,J$6,J$5,$B22,"K"),"")</f>
        <v/>
      </c>
      <c r="K22" s="24" t="str">
        <f>IFERROR([1]!IntrinioBankFinancials(rssd_id,$R$2,K$6,K$5,$B22,"K"),"")</f>
        <v/>
      </c>
      <c r="L22" s="24" t="str">
        <f>IFERROR([1]!IntrinioBankFinancials(rssd_id,$R$2,L$6,L$5,$B22,"K"),"")</f>
        <v/>
      </c>
      <c r="M22" s="24" t="str">
        <f>IFERROR([1]!IntrinioBankFinancials(rssd_id,$R$2,M$6,M$5,$B22,"K"),"")</f>
        <v/>
      </c>
      <c r="N22" s="24" t="str">
        <f>IFERROR([1]!IntrinioBankFinancials(rssd_id,$R$2,N$6,N$5,$B22,"K"),"")</f>
        <v/>
      </c>
      <c r="O22" s="24" t="str">
        <f>IFERROR([1]!IntrinioBankFinancials(rssd_id,$R$2,O$6,O$5,$B22,"K"),"")</f>
        <v/>
      </c>
    </row>
    <row r="23" spans="1:15" ht="13.5" customHeight="1" x14ac:dyDescent="0.4">
      <c r="A23" s="34" t="s">
        <v>280</v>
      </c>
      <c r="B23" s="23" t="s">
        <v>1356</v>
      </c>
      <c r="C23" s="24" t="str">
        <f>IFERROR([1]!IntrinioBankFinancials(rssd_id,$R$2,C$6,C$5,$B23,"K"),"")</f>
        <v/>
      </c>
      <c r="D23" s="24" t="str">
        <f>IFERROR([1]!IntrinioBankFinancials(rssd_id,$R$2,D$6,D$5,$B23,"K"),"")</f>
        <v/>
      </c>
      <c r="E23" s="24" t="str">
        <f>IFERROR([1]!IntrinioBankFinancials(rssd_id,$R$2,E$6,E$5,$B23,"K"),"")</f>
        <v/>
      </c>
      <c r="F23" s="24" t="str">
        <f>IFERROR([1]!IntrinioBankFinancials(rssd_id,$R$2,F$6,F$5,$B23,"K"),"")</f>
        <v/>
      </c>
      <c r="G23" s="24" t="str">
        <f>IFERROR([1]!IntrinioBankFinancials(rssd_id,$R$2,G$6,G$5,$B23,"K"),"")</f>
        <v/>
      </c>
      <c r="H23" s="24" t="str">
        <f>IFERROR([1]!IntrinioBankFinancials(rssd_id,$R$2,H$6,H$5,$B23,"K"),"")</f>
        <v/>
      </c>
      <c r="I23" s="24" t="str">
        <f>IFERROR([1]!IntrinioBankFinancials(rssd_id,$R$2,I$6,I$5,$B23,"K"),"")</f>
        <v/>
      </c>
      <c r="J23" s="24" t="str">
        <f>IFERROR([1]!IntrinioBankFinancials(rssd_id,$R$2,J$6,J$5,$B23,"K"),"")</f>
        <v/>
      </c>
      <c r="K23" s="24" t="str">
        <f>IFERROR([1]!IntrinioBankFinancials(rssd_id,$R$2,K$6,K$5,$B23,"K"),"")</f>
        <v/>
      </c>
      <c r="L23" s="24" t="str">
        <f>IFERROR([1]!IntrinioBankFinancials(rssd_id,$R$2,L$6,L$5,$B23,"K"),"")</f>
        <v/>
      </c>
      <c r="M23" s="24" t="str">
        <f>IFERROR([1]!IntrinioBankFinancials(rssd_id,$R$2,M$6,M$5,$B23,"K"),"")</f>
        <v/>
      </c>
      <c r="N23" s="24" t="str">
        <f>IFERROR([1]!IntrinioBankFinancials(rssd_id,$R$2,N$6,N$5,$B23,"K"),"")</f>
        <v/>
      </c>
      <c r="O23" s="24" t="str">
        <f>IFERROR([1]!IntrinioBankFinancials(rssd_id,$R$2,O$6,O$5,$B23,"K"),"")</f>
        <v/>
      </c>
    </row>
    <row r="24" spans="1:15" ht="13.5" customHeight="1" x14ac:dyDescent="0.4">
      <c r="A24" s="34" t="s">
        <v>1357</v>
      </c>
      <c r="B24" s="23" t="s">
        <v>1358</v>
      </c>
      <c r="C24" s="24" t="str">
        <f>IFERROR([1]!IntrinioBankFinancials(rssd_id,$R$2,C$6,C$5,$B24,"K"),"")</f>
        <v/>
      </c>
      <c r="D24" s="24" t="str">
        <f>IFERROR([1]!IntrinioBankFinancials(rssd_id,$R$2,D$6,D$5,$B24,"K"),"")</f>
        <v/>
      </c>
      <c r="E24" s="24" t="str">
        <f>IFERROR([1]!IntrinioBankFinancials(rssd_id,$R$2,E$6,E$5,$B24,"K"),"")</f>
        <v/>
      </c>
      <c r="F24" s="24" t="str">
        <f>IFERROR([1]!IntrinioBankFinancials(rssd_id,$R$2,F$6,F$5,$B24,"K"),"")</f>
        <v/>
      </c>
      <c r="G24" s="24" t="str">
        <f>IFERROR([1]!IntrinioBankFinancials(rssd_id,$R$2,G$6,G$5,$B24,"K"),"")</f>
        <v/>
      </c>
      <c r="H24" s="24" t="str">
        <f>IFERROR([1]!IntrinioBankFinancials(rssd_id,$R$2,H$6,H$5,$B24,"K"),"")</f>
        <v/>
      </c>
      <c r="I24" s="24" t="str">
        <f>IFERROR([1]!IntrinioBankFinancials(rssd_id,$R$2,I$6,I$5,$B24,"K"),"")</f>
        <v/>
      </c>
      <c r="J24" s="24" t="str">
        <f>IFERROR([1]!IntrinioBankFinancials(rssd_id,$R$2,J$6,J$5,$B24,"K"),"")</f>
        <v/>
      </c>
      <c r="K24" s="24" t="str">
        <f>IFERROR([1]!IntrinioBankFinancials(rssd_id,$R$2,K$6,K$5,$B24,"K"),"")</f>
        <v/>
      </c>
      <c r="L24" s="24" t="str">
        <f>IFERROR([1]!IntrinioBankFinancials(rssd_id,$R$2,L$6,L$5,$B24,"K"),"")</f>
        <v/>
      </c>
      <c r="M24" s="24" t="str">
        <f>IFERROR([1]!IntrinioBankFinancials(rssd_id,$R$2,M$6,M$5,$B24,"K"),"")</f>
        <v/>
      </c>
      <c r="N24" s="24" t="str">
        <f>IFERROR([1]!IntrinioBankFinancials(rssd_id,$R$2,N$6,N$5,$B24,"K"),"")</f>
        <v/>
      </c>
      <c r="O24" s="24" t="str">
        <f>IFERROR([1]!IntrinioBankFinancials(rssd_id,$R$2,O$6,O$5,$B24,"K"),"")</f>
        <v/>
      </c>
    </row>
    <row r="25" spans="1:15" ht="13.5" customHeight="1" x14ac:dyDescent="0.4">
      <c r="A25" s="34" t="s">
        <v>1359</v>
      </c>
      <c r="B25" s="23" t="s">
        <v>1360</v>
      </c>
      <c r="C25" s="24" t="str">
        <f>IFERROR([1]!IntrinioBankFinancials(rssd_id,$R$2,C$6,C$5,$B25,"K"),"")</f>
        <v/>
      </c>
      <c r="D25" s="24" t="str">
        <f>IFERROR([1]!IntrinioBankFinancials(rssd_id,$R$2,D$6,D$5,$B25,"K"),"")</f>
        <v/>
      </c>
      <c r="E25" s="24" t="str">
        <f>IFERROR([1]!IntrinioBankFinancials(rssd_id,$R$2,E$6,E$5,$B25,"K"),"")</f>
        <v/>
      </c>
      <c r="F25" s="24" t="str">
        <f>IFERROR([1]!IntrinioBankFinancials(rssd_id,$R$2,F$6,F$5,$B25,"K"),"")</f>
        <v/>
      </c>
      <c r="G25" s="24" t="str">
        <f>IFERROR([1]!IntrinioBankFinancials(rssd_id,$R$2,G$6,G$5,$B25,"K"),"")</f>
        <v/>
      </c>
      <c r="H25" s="24" t="str">
        <f>IFERROR([1]!IntrinioBankFinancials(rssd_id,$R$2,H$6,H$5,$B25,"K"),"")</f>
        <v/>
      </c>
      <c r="I25" s="24" t="str">
        <f>IFERROR([1]!IntrinioBankFinancials(rssd_id,$R$2,I$6,I$5,$B25,"K"),"")</f>
        <v/>
      </c>
      <c r="J25" s="24" t="str">
        <f>IFERROR([1]!IntrinioBankFinancials(rssd_id,$R$2,J$6,J$5,$B25,"K"),"")</f>
        <v/>
      </c>
      <c r="K25" s="24" t="str">
        <f>IFERROR([1]!IntrinioBankFinancials(rssd_id,$R$2,K$6,K$5,$B25,"K"),"")</f>
        <v/>
      </c>
      <c r="L25" s="24" t="str">
        <f>IFERROR([1]!IntrinioBankFinancials(rssd_id,$R$2,L$6,L$5,$B25,"K"),"")</f>
        <v/>
      </c>
      <c r="M25" s="24" t="str">
        <f>IFERROR([1]!IntrinioBankFinancials(rssd_id,$R$2,M$6,M$5,$B25,"K"),"")</f>
        <v/>
      </c>
      <c r="N25" s="24" t="str">
        <f>IFERROR([1]!IntrinioBankFinancials(rssd_id,$R$2,N$6,N$5,$B25,"K"),"")</f>
        <v/>
      </c>
      <c r="O25" s="24" t="str">
        <f>IFERROR([1]!IntrinioBankFinancials(rssd_id,$R$2,O$6,O$5,$B25,"K"),"")</f>
        <v/>
      </c>
    </row>
    <row r="26" spans="1:15" ht="13.5" customHeight="1" x14ac:dyDescent="0.4">
      <c r="A26" s="34" t="s">
        <v>288</v>
      </c>
      <c r="B26" s="23" t="s">
        <v>1361</v>
      </c>
      <c r="C26" s="24" t="str">
        <f>IFERROR([1]!IntrinioBankFinancials(rssd_id,$R$2,C$6,C$5,$B26,"K"),"")</f>
        <v/>
      </c>
      <c r="D26" s="24" t="str">
        <f>IFERROR([1]!IntrinioBankFinancials(rssd_id,$R$2,D$6,D$5,$B26,"K"),"")</f>
        <v/>
      </c>
      <c r="E26" s="24" t="str">
        <f>IFERROR([1]!IntrinioBankFinancials(rssd_id,$R$2,E$6,E$5,$B26,"K"),"")</f>
        <v/>
      </c>
      <c r="F26" s="24" t="str">
        <f>IFERROR([1]!IntrinioBankFinancials(rssd_id,$R$2,F$6,F$5,$B26,"K"),"")</f>
        <v/>
      </c>
      <c r="G26" s="24" t="str">
        <f>IFERROR([1]!IntrinioBankFinancials(rssd_id,$R$2,G$6,G$5,$B26,"K"),"")</f>
        <v/>
      </c>
      <c r="H26" s="24" t="str">
        <f>IFERROR([1]!IntrinioBankFinancials(rssd_id,$R$2,H$6,H$5,$B26,"K"),"")</f>
        <v/>
      </c>
      <c r="I26" s="24" t="str">
        <f>IFERROR([1]!IntrinioBankFinancials(rssd_id,$R$2,I$6,I$5,$B26,"K"),"")</f>
        <v/>
      </c>
      <c r="J26" s="24" t="str">
        <f>IFERROR([1]!IntrinioBankFinancials(rssd_id,$R$2,J$6,J$5,$B26,"K"),"")</f>
        <v/>
      </c>
      <c r="K26" s="24" t="str">
        <f>IFERROR([1]!IntrinioBankFinancials(rssd_id,$R$2,K$6,K$5,$B26,"K"),"")</f>
        <v/>
      </c>
      <c r="L26" s="24" t="str">
        <f>IFERROR([1]!IntrinioBankFinancials(rssd_id,$R$2,L$6,L$5,$B26,"K"),"")</f>
        <v/>
      </c>
      <c r="M26" s="24" t="str">
        <f>IFERROR([1]!IntrinioBankFinancials(rssd_id,$R$2,M$6,M$5,$B26,"K"),"")</f>
        <v/>
      </c>
      <c r="N26" s="24" t="str">
        <f>IFERROR([1]!IntrinioBankFinancials(rssd_id,$R$2,N$6,N$5,$B26,"K"),"")</f>
        <v/>
      </c>
      <c r="O26" s="24" t="str">
        <f>IFERROR([1]!IntrinioBankFinancials(rssd_id,$R$2,O$6,O$5,$B26,"K"),"")</f>
        <v/>
      </c>
    </row>
    <row r="27" spans="1:15" ht="13.5" customHeight="1" x14ac:dyDescent="0.4">
      <c r="A27" s="34" t="s">
        <v>1362</v>
      </c>
      <c r="B27" s="23" t="s">
        <v>1363</v>
      </c>
      <c r="C27" s="24" t="str">
        <f>IFERROR([1]!IntrinioBankFinancials(rssd_id,$R$2,C$6,C$5,$B27,"K"),"")</f>
        <v/>
      </c>
      <c r="D27" s="24" t="str">
        <f>IFERROR([1]!IntrinioBankFinancials(rssd_id,$R$2,D$6,D$5,$B27,"K"),"")</f>
        <v/>
      </c>
      <c r="E27" s="24" t="str">
        <f>IFERROR([1]!IntrinioBankFinancials(rssd_id,$R$2,E$6,E$5,$B27,"K"),"")</f>
        <v/>
      </c>
      <c r="F27" s="24" t="str">
        <f>IFERROR([1]!IntrinioBankFinancials(rssd_id,$R$2,F$6,F$5,$B27,"K"),"")</f>
        <v/>
      </c>
      <c r="G27" s="24" t="str">
        <f>IFERROR([1]!IntrinioBankFinancials(rssd_id,$R$2,G$6,G$5,$B27,"K"),"")</f>
        <v/>
      </c>
      <c r="H27" s="24" t="str">
        <f>IFERROR([1]!IntrinioBankFinancials(rssd_id,$R$2,H$6,H$5,$B27,"K"),"")</f>
        <v/>
      </c>
      <c r="I27" s="24" t="str">
        <f>IFERROR([1]!IntrinioBankFinancials(rssd_id,$R$2,I$6,I$5,$B27,"K"),"")</f>
        <v/>
      </c>
      <c r="J27" s="24" t="str">
        <f>IFERROR([1]!IntrinioBankFinancials(rssd_id,$R$2,J$6,J$5,$B27,"K"),"")</f>
        <v/>
      </c>
      <c r="K27" s="24" t="str">
        <f>IFERROR([1]!IntrinioBankFinancials(rssd_id,$R$2,K$6,K$5,$B27,"K"),"")</f>
        <v/>
      </c>
      <c r="L27" s="24" t="str">
        <f>IFERROR([1]!IntrinioBankFinancials(rssd_id,$R$2,L$6,L$5,$B27,"K"),"")</f>
        <v/>
      </c>
      <c r="M27" s="24" t="str">
        <f>IFERROR([1]!IntrinioBankFinancials(rssd_id,$R$2,M$6,M$5,$B27,"K"),"")</f>
        <v/>
      </c>
      <c r="N27" s="24" t="str">
        <f>IFERROR([1]!IntrinioBankFinancials(rssd_id,$R$2,N$6,N$5,$B27,"K"),"")</f>
        <v/>
      </c>
      <c r="O27" s="24" t="str">
        <f>IFERROR([1]!IntrinioBankFinancials(rssd_id,$R$2,O$6,O$5,$B27,"K"),"")</f>
        <v/>
      </c>
    </row>
    <row r="28" spans="1:15" ht="13.5" customHeight="1" x14ac:dyDescent="0.4">
      <c r="A28" s="34" t="s">
        <v>292</v>
      </c>
      <c r="B28" s="23" t="s">
        <v>1364</v>
      </c>
      <c r="C28" s="24" t="str">
        <f>IFERROR([1]!IntrinioBankFinancials(rssd_id,$R$2,C$6,C$5,$B28,"K"),"")</f>
        <v/>
      </c>
      <c r="D28" s="24" t="str">
        <f>IFERROR([1]!IntrinioBankFinancials(rssd_id,$R$2,D$6,D$5,$B28,"K"),"")</f>
        <v/>
      </c>
      <c r="E28" s="24" t="str">
        <f>IFERROR([1]!IntrinioBankFinancials(rssd_id,$R$2,E$6,E$5,$B28,"K"),"")</f>
        <v/>
      </c>
      <c r="F28" s="24" t="str">
        <f>IFERROR([1]!IntrinioBankFinancials(rssd_id,$R$2,F$6,F$5,$B28,"K"),"")</f>
        <v/>
      </c>
      <c r="G28" s="24" t="str">
        <f>IFERROR([1]!IntrinioBankFinancials(rssd_id,$R$2,G$6,G$5,$B28,"K"),"")</f>
        <v/>
      </c>
      <c r="H28" s="24" t="str">
        <f>IFERROR([1]!IntrinioBankFinancials(rssd_id,$R$2,H$6,H$5,$B28,"K"),"")</f>
        <v/>
      </c>
      <c r="I28" s="24" t="str">
        <f>IFERROR([1]!IntrinioBankFinancials(rssd_id,$R$2,I$6,I$5,$B28,"K"),"")</f>
        <v/>
      </c>
      <c r="J28" s="24" t="str">
        <f>IFERROR([1]!IntrinioBankFinancials(rssd_id,$R$2,J$6,J$5,$B28,"K"),"")</f>
        <v/>
      </c>
      <c r="K28" s="24" t="str">
        <f>IFERROR([1]!IntrinioBankFinancials(rssd_id,$R$2,K$6,K$5,$B28,"K"),"")</f>
        <v/>
      </c>
      <c r="L28" s="24" t="str">
        <f>IFERROR([1]!IntrinioBankFinancials(rssd_id,$R$2,L$6,L$5,$B28,"K"),"")</f>
        <v/>
      </c>
      <c r="M28" s="24" t="str">
        <f>IFERROR([1]!IntrinioBankFinancials(rssd_id,$R$2,M$6,M$5,$B28,"K"),"")</f>
        <v/>
      </c>
      <c r="N28" s="24" t="str">
        <f>IFERROR([1]!IntrinioBankFinancials(rssd_id,$R$2,N$6,N$5,$B28,"K"),"")</f>
        <v/>
      </c>
      <c r="O28" s="24" t="str">
        <f>IFERROR([1]!IntrinioBankFinancials(rssd_id,$R$2,O$6,O$5,$B28,"K"),"")</f>
        <v/>
      </c>
    </row>
    <row r="29" spans="1:15" ht="13.5" customHeight="1" x14ac:dyDescent="0.4">
      <c r="A29" s="34" t="s">
        <v>294</v>
      </c>
      <c r="B29" s="23" t="s">
        <v>1365</v>
      </c>
      <c r="C29" s="24" t="str">
        <f>IFERROR([1]!IntrinioBankFinancials(rssd_id,$R$2,C$6,C$5,$B29,"K"),"")</f>
        <v/>
      </c>
      <c r="D29" s="24" t="str">
        <f>IFERROR([1]!IntrinioBankFinancials(rssd_id,$R$2,D$6,D$5,$B29,"K"),"")</f>
        <v/>
      </c>
      <c r="E29" s="24" t="str">
        <f>IFERROR([1]!IntrinioBankFinancials(rssd_id,$R$2,E$6,E$5,$B29,"K"),"")</f>
        <v/>
      </c>
      <c r="F29" s="24" t="str">
        <f>IFERROR([1]!IntrinioBankFinancials(rssd_id,$R$2,F$6,F$5,$B29,"K"),"")</f>
        <v/>
      </c>
      <c r="G29" s="24" t="str">
        <f>IFERROR([1]!IntrinioBankFinancials(rssd_id,$R$2,G$6,G$5,$B29,"K"),"")</f>
        <v/>
      </c>
      <c r="H29" s="24" t="str">
        <f>IFERROR([1]!IntrinioBankFinancials(rssd_id,$R$2,H$6,H$5,$B29,"K"),"")</f>
        <v/>
      </c>
      <c r="I29" s="24" t="str">
        <f>IFERROR([1]!IntrinioBankFinancials(rssd_id,$R$2,I$6,I$5,$B29,"K"),"")</f>
        <v/>
      </c>
      <c r="J29" s="24" t="str">
        <f>IFERROR([1]!IntrinioBankFinancials(rssd_id,$R$2,J$6,J$5,$B29,"K"),"")</f>
        <v/>
      </c>
      <c r="K29" s="24" t="str">
        <f>IFERROR([1]!IntrinioBankFinancials(rssd_id,$R$2,K$6,K$5,$B29,"K"),"")</f>
        <v/>
      </c>
      <c r="L29" s="24" t="str">
        <f>IFERROR([1]!IntrinioBankFinancials(rssd_id,$R$2,L$6,L$5,$B29,"K"),"")</f>
        <v/>
      </c>
      <c r="M29" s="24" t="str">
        <f>IFERROR([1]!IntrinioBankFinancials(rssd_id,$R$2,M$6,M$5,$B29,"K"),"")</f>
        <v/>
      </c>
      <c r="N29" s="24" t="str">
        <f>IFERROR([1]!IntrinioBankFinancials(rssd_id,$R$2,N$6,N$5,$B29,"K"),"")</f>
        <v/>
      </c>
      <c r="O29" s="24" t="str">
        <f>IFERROR([1]!IntrinioBankFinancials(rssd_id,$R$2,O$6,O$5,$B29,"K"),"")</f>
        <v/>
      </c>
    </row>
    <row r="30" spans="1:15" ht="13.5" customHeight="1" x14ac:dyDescent="0.4">
      <c r="A30" s="34" t="s">
        <v>296</v>
      </c>
      <c r="B30" s="23" t="s">
        <v>1366</v>
      </c>
      <c r="C30" s="24" t="str">
        <f>IFERROR([1]!IntrinioBankFinancials(rssd_id,$R$2,C$6,C$5,$B30,"K"),"")</f>
        <v/>
      </c>
      <c r="D30" s="24" t="str">
        <f>IFERROR([1]!IntrinioBankFinancials(rssd_id,$R$2,D$6,D$5,$B30,"K"),"")</f>
        <v/>
      </c>
      <c r="E30" s="24" t="str">
        <f>IFERROR([1]!IntrinioBankFinancials(rssd_id,$R$2,E$6,E$5,$B30,"K"),"")</f>
        <v/>
      </c>
      <c r="F30" s="24" t="str">
        <f>IFERROR([1]!IntrinioBankFinancials(rssd_id,$R$2,F$6,F$5,$B30,"K"),"")</f>
        <v/>
      </c>
      <c r="G30" s="24" t="str">
        <f>IFERROR([1]!IntrinioBankFinancials(rssd_id,$R$2,G$6,G$5,$B30,"K"),"")</f>
        <v/>
      </c>
      <c r="H30" s="24" t="str">
        <f>IFERROR([1]!IntrinioBankFinancials(rssd_id,$R$2,H$6,H$5,$B30,"K"),"")</f>
        <v/>
      </c>
      <c r="I30" s="24" t="str">
        <f>IFERROR([1]!IntrinioBankFinancials(rssd_id,$R$2,I$6,I$5,$B30,"K"),"")</f>
        <v/>
      </c>
      <c r="J30" s="24" t="str">
        <f>IFERROR([1]!IntrinioBankFinancials(rssd_id,$R$2,J$6,J$5,$B30,"K"),"")</f>
        <v/>
      </c>
      <c r="K30" s="24" t="str">
        <f>IFERROR([1]!IntrinioBankFinancials(rssd_id,$R$2,K$6,K$5,$B30,"K"),"")</f>
        <v/>
      </c>
      <c r="L30" s="24" t="str">
        <f>IFERROR([1]!IntrinioBankFinancials(rssd_id,$R$2,L$6,L$5,$B30,"K"),"")</f>
        <v/>
      </c>
      <c r="M30" s="24" t="str">
        <f>IFERROR([1]!IntrinioBankFinancials(rssd_id,$R$2,M$6,M$5,$B30,"K"),"")</f>
        <v/>
      </c>
      <c r="N30" s="24" t="str">
        <f>IFERROR([1]!IntrinioBankFinancials(rssd_id,$R$2,N$6,N$5,$B30,"K"),"")</f>
        <v/>
      </c>
      <c r="O30" s="24" t="str">
        <f>IFERROR([1]!IntrinioBankFinancials(rssd_id,$R$2,O$6,O$5,$B30,"K"),"")</f>
        <v/>
      </c>
    </row>
    <row r="31" spans="1:15" ht="13.5" customHeight="1" x14ac:dyDescent="0.4">
      <c r="A31" s="34" t="s">
        <v>1367</v>
      </c>
      <c r="B31" s="23" t="s">
        <v>1368</v>
      </c>
      <c r="C31" s="24" t="str">
        <f>IFERROR([1]!IntrinioBankFinancials(rssd_id,$R$2,C$6,C$5,$B31,"K"),"")</f>
        <v/>
      </c>
      <c r="D31" s="24" t="str">
        <f>IFERROR([1]!IntrinioBankFinancials(rssd_id,$R$2,D$6,D$5,$B31,"K"),"")</f>
        <v/>
      </c>
      <c r="E31" s="24" t="str">
        <f>IFERROR([1]!IntrinioBankFinancials(rssd_id,$R$2,E$6,E$5,$B31,"K"),"")</f>
        <v/>
      </c>
      <c r="F31" s="24" t="str">
        <f>IFERROR([1]!IntrinioBankFinancials(rssd_id,$R$2,F$6,F$5,$B31,"K"),"")</f>
        <v/>
      </c>
      <c r="G31" s="24" t="str">
        <f>IFERROR([1]!IntrinioBankFinancials(rssd_id,$R$2,G$6,G$5,$B31,"K"),"")</f>
        <v/>
      </c>
      <c r="H31" s="24" t="str">
        <f>IFERROR([1]!IntrinioBankFinancials(rssd_id,$R$2,H$6,H$5,$B31,"K"),"")</f>
        <v/>
      </c>
      <c r="I31" s="24" t="str">
        <f>IFERROR([1]!IntrinioBankFinancials(rssd_id,$R$2,I$6,I$5,$B31,"K"),"")</f>
        <v/>
      </c>
      <c r="J31" s="24" t="str">
        <f>IFERROR([1]!IntrinioBankFinancials(rssd_id,$R$2,J$6,J$5,$B31,"K"),"")</f>
        <v/>
      </c>
      <c r="K31" s="24" t="str">
        <f>IFERROR([1]!IntrinioBankFinancials(rssd_id,$R$2,K$6,K$5,$B31,"K"),"")</f>
        <v/>
      </c>
      <c r="L31" s="24" t="str">
        <f>IFERROR([1]!IntrinioBankFinancials(rssd_id,$R$2,L$6,L$5,$B31,"K"),"")</f>
        <v/>
      </c>
      <c r="M31" s="24" t="str">
        <f>IFERROR([1]!IntrinioBankFinancials(rssd_id,$R$2,M$6,M$5,$B31,"K"),"")</f>
        <v/>
      </c>
      <c r="N31" s="24" t="str">
        <f>IFERROR([1]!IntrinioBankFinancials(rssd_id,$R$2,N$6,N$5,$B31,"K"),"")</f>
        <v/>
      </c>
      <c r="O31" s="24" t="str">
        <f>IFERROR([1]!IntrinioBankFinancials(rssd_id,$R$2,O$6,O$5,$B31,"K"),"")</f>
        <v/>
      </c>
    </row>
    <row r="32" spans="1:15" ht="13.5" customHeight="1" x14ac:dyDescent="0.4">
      <c r="A32" s="34" t="s">
        <v>1369</v>
      </c>
      <c r="B32" s="23" t="s">
        <v>1370</v>
      </c>
      <c r="C32" s="24" t="str">
        <f>IFERROR([1]!IntrinioBankFinancials(rssd_id,$R$2,C$6,C$5,$B32,"K"),"")</f>
        <v/>
      </c>
      <c r="D32" s="24" t="str">
        <f>IFERROR([1]!IntrinioBankFinancials(rssd_id,$R$2,D$6,D$5,$B32,"K"),"")</f>
        <v/>
      </c>
      <c r="E32" s="24" t="str">
        <f>IFERROR([1]!IntrinioBankFinancials(rssd_id,$R$2,E$6,E$5,$B32,"K"),"")</f>
        <v/>
      </c>
      <c r="F32" s="24" t="str">
        <f>IFERROR([1]!IntrinioBankFinancials(rssd_id,$R$2,F$6,F$5,$B32,"K"),"")</f>
        <v/>
      </c>
      <c r="G32" s="24" t="str">
        <f>IFERROR([1]!IntrinioBankFinancials(rssd_id,$R$2,G$6,G$5,$B32,"K"),"")</f>
        <v/>
      </c>
      <c r="H32" s="24" t="str">
        <f>IFERROR([1]!IntrinioBankFinancials(rssd_id,$R$2,H$6,H$5,$B32,"K"),"")</f>
        <v/>
      </c>
      <c r="I32" s="24" t="str">
        <f>IFERROR([1]!IntrinioBankFinancials(rssd_id,$R$2,I$6,I$5,$B32,"K"),"")</f>
        <v/>
      </c>
      <c r="J32" s="24" t="str">
        <f>IFERROR([1]!IntrinioBankFinancials(rssd_id,$R$2,J$6,J$5,$B32,"K"),"")</f>
        <v/>
      </c>
      <c r="K32" s="24" t="str">
        <f>IFERROR([1]!IntrinioBankFinancials(rssd_id,$R$2,K$6,K$5,$B32,"K"),"")</f>
        <v/>
      </c>
      <c r="L32" s="24" t="str">
        <f>IFERROR([1]!IntrinioBankFinancials(rssd_id,$R$2,L$6,L$5,$B32,"K"),"")</f>
        <v/>
      </c>
      <c r="M32" s="24" t="str">
        <f>IFERROR([1]!IntrinioBankFinancials(rssd_id,$R$2,M$6,M$5,$B32,"K"),"")</f>
        <v/>
      </c>
      <c r="N32" s="24" t="str">
        <f>IFERROR([1]!IntrinioBankFinancials(rssd_id,$R$2,N$6,N$5,$B32,"K"),"")</f>
        <v/>
      </c>
      <c r="O32" s="24" t="str">
        <f>IFERROR([1]!IntrinioBankFinancials(rssd_id,$R$2,O$6,O$5,$B32,"K"),"")</f>
        <v/>
      </c>
    </row>
    <row r="33" spans="1:15" ht="13.5" customHeight="1" x14ac:dyDescent="0.4">
      <c r="A33" s="34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ht="13.5" customHeight="1" x14ac:dyDescent="0.4">
      <c r="A34" s="34" t="s">
        <v>1371</v>
      </c>
      <c r="B34" s="23" t="s">
        <v>1372</v>
      </c>
      <c r="C34" s="24" t="str">
        <f>IFERROR([1]!IntrinioBankFinancials(rssd_id,$R$2,C$6,C$5,$B34,"K"),"")</f>
        <v/>
      </c>
      <c r="D34" s="24" t="str">
        <f>IFERROR([1]!IntrinioBankFinancials(rssd_id,$R$2,D$6,D$5,$B34,"K"),"")</f>
        <v/>
      </c>
      <c r="E34" s="24" t="str">
        <f>IFERROR([1]!IntrinioBankFinancials(rssd_id,$R$2,E$6,E$5,$B34,"K"),"")</f>
        <v/>
      </c>
      <c r="F34" s="24" t="str">
        <f>IFERROR([1]!IntrinioBankFinancials(rssd_id,$R$2,F$6,F$5,$B34,"K"),"")</f>
        <v/>
      </c>
      <c r="G34" s="24" t="str">
        <f>IFERROR([1]!IntrinioBankFinancials(rssd_id,$R$2,G$6,G$5,$B34,"K"),"")</f>
        <v/>
      </c>
      <c r="H34" s="24" t="str">
        <f>IFERROR([1]!IntrinioBankFinancials(rssd_id,$R$2,H$6,H$5,$B34,"K"),"")</f>
        <v/>
      </c>
      <c r="I34" s="24" t="str">
        <f>IFERROR([1]!IntrinioBankFinancials(rssd_id,$R$2,I$6,I$5,$B34,"K"),"")</f>
        <v/>
      </c>
      <c r="J34" s="24" t="str">
        <f>IFERROR([1]!IntrinioBankFinancials(rssd_id,$R$2,J$6,J$5,$B34,"K"),"")</f>
        <v/>
      </c>
      <c r="K34" s="24" t="str">
        <f>IFERROR([1]!IntrinioBankFinancials(rssd_id,$R$2,K$6,K$5,$B34,"K"),"")</f>
        <v/>
      </c>
      <c r="L34" s="24" t="str">
        <f>IFERROR([1]!IntrinioBankFinancials(rssd_id,$R$2,L$6,L$5,$B34,"K"),"")</f>
        <v/>
      </c>
      <c r="M34" s="24" t="str">
        <f>IFERROR([1]!IntrinioBankFinancials(rssd_id,$R$2,M$6,M$5,$B34,"K"),"")</f>
        <v/>
      </c>
      <c r="N34" s="24" t="str">
        <f>IFERROR([1]!IntrinioBankFinancials(rssd_id,$R$2,N$6,N$5,$B34,"K"),"")</f>
        <v/>
      </c>
      <c r="O34" s="24" t="str">
        <f>IFERROR([1]!IntrinioBankFinancials(rssd_id,$R$2,O$6,O$5,$B34,"K"),"")</f>
        <v/>
      </c>
    </row>
    <row r="35" spans="1:15" ht="13.5" customHeight="1" x14ac:dyDescent="0.4">
      <c r="A35" s="34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</row>
    <row r="36" spans="1:15" ht="13.5" customHeight="1" x14ac:dyDescent="0.4">
      <c r="A36" s="34" t="s">
        <v>805</v>
      </c>
      <c r="B36" s="23" t="s">
        <v>848</v>
      </c>
      <c r="C36" s="24" t="str">
        <f>IFERROR([1]!IntrinioBankFinancials(rssd_id,$R$2,C$6,C$5,$B36,"K"),"")</f>
        <v/>
      </c>
      <c r="D36" s="24" t="str">
        <f>IFERROR([1]!IntrinioBankFinancials(rssd_id,$R$2,D$6,D$5,$B36,"K"),"")</f>
        <v/>
      </c>
      <c r="E36" s="24" t="str">
        <f>IFERROR([1]!IntrinioBankFinancials(rssd_id,$R$2,E$6,E$5,$B36,"K"),"")</f>
        <v/>
      </c>
      <c r="F36" s="24" t="str">
        <f>IFERROR([1]!IntrinioBankFinancials(rssd_id,$R$2,F$6,F$5,$B36,"K"),"")</f>
        <v/>
      </c>
      <c r="G36" s="24" t="str">
        <f>IFERROR([1]!IntrinioBankFinancials(rssd_id,$R$2,G$6,G$5,$B36,"K"),"")</f>
        <v/>
      </c>
      <c r="H36" s="24" t="str">
        <f>IFERROR([1]!IntrinioBankFinancials(rssd_id,$R$2,H$6,H$5,$B36,"K"),"")</f>
        <v/>
      </c>
      <c r="I36" s="24" t="str">
        <f>IFERROR([1]!IntrinioBankFinancials(rssd_id,$R$2,I$6,I$5,$B36,"K"),"")</f>
        <v/>
      </c>
      <c r="J36" s="24" t="str">
        <f>IFERROR([1]!IntrinioBankFinancials(rssd_id,$R$2,J$6,J$5,$B36,"K"),"")</f>
        <v/>
      </c>
      <c r="K36" s="24" t="str">
        <f>IFERROR([1]!IntrinioBankFinancials(rssd_id,$R$2,K$6,K$5,$B36,"K"),"")</f>
        <v/>
      </c>
      <c r="L36" s="24" t="str">
        <f>IFERROR([1]!IntrinioBankFinancials(rssd_id,$R$2,L$6,L$5,$B36,"K"),"")</f>
        <v/>
      </c>
      <c r="M36" s="24" t="str">
        <f>IFERROR([1]!IntrinioBankFinancials(rssd_id,$R$2,M$6,M$5,$B36,"K"),"")</f>
        <v/>
      </c>
      <c r="N36" s="24" t="str">
        <f>IFERROR([1]!IntrinioBankFinancials(rssd_id,$R$2,N$6,N$5,$B36,"K"),"")</f>
        <v/>
      </c>
      <c r="O36" s="24" t="str">
        <f>IFERROR([1]!IntrinioBankFinancials(rssd_id,$R$2,O$6,O$5,$B36,"K"),"")</f>
        <v/>
      </c>
    </row>
    <row r="37" spans="1:15" ht="13.5" customHeight="1" x14ac:dyDescent="0.4">
      <c r="A37" s="34" t="s">
        <v>1373</v>
      </c>
      <c r="B37" s="23" t="s">
        <v>1374</v>
      </c>
      <c r="C37" s="24" t="str">
        <f>IFERROR([1]!IntrinioBankFinancials(rssd_id,$R$2,C$6,C$5,$B37,"K"),"")</f>
        <v/>
      </c>
      <c r="D37" s="24" t="str">
        <f>IFERROR([1]!IntrinioBankFinancials(rssd_id,$R$2,D$6,D$5,$B37,"K"),"")</f>
        <v/>
      </c>
      <c r="E37" s="24" t="str">
        <f>IFERROR([1]!IntrinioBankFinancials(rssd_id,$R$2,E$6,E$5,$B37,"K"),"")</f>
        <v/>
      </c>
      <c r="F37" s="24" t="str">
        <f>IFERROR([1]!IntrinioBankFinancials(rssd_id,$R$2,F$6,F$5,$B37,"K"),"")</f>
        <v/>
      </c>
      <c r="G37" s="24" t="str">
        <f>IFERROR([1]!IntrinioBankFinancials(rssd_id,$R$2,G$6,G$5,$B37,"K"),"")</f>
        <v/>
      </c>
      <c r="H37" s="24" t="str">
        <f>IFERROR([1]!IntrinioBankFinancials(rssd_id,$R$2,H$6,H$5,$B37,"K"),"")</f>
        <v/>
      </c>
      <c r="I37" s="24" t="str">
        <f>IFERROR([1]!IntrinioBankFinancials(rssd_id,$R$2,I$6,I$5,$B37,"K"),"")</f>
        <v/>
      </c>
      <c r="J37" s="24" t="str">
        <f>IFERROR([1]!IntrinioBankFinancials(rssd_id,$R$2,J$6,J$5,$B37,"K"),"")</f>
        <v/>
      </c>
      <c r="K37" s="24" t="str">
        <f>IFERROR([1]!IntrinioBankFinancials(rssd_id,$R$2,K$6,K$5,$B37,"K"),"")</f>
        <v/>
      </c>
      <c r="L37" s="24" t="str">
        <f>IFERROR([1]!IntrinioBankFinancials(rssd_id,$R$2,L$6,L$5,$B37,"K"),"")</f>
        <v/>
      </c>
      <c r="M37" s="24" t="str">
        <f>IFERROR([1]!IntrinioBankFinancials(rssd_id,$R$2,M$6,M$5,$B37,"K"),"")</f>
        <v/>
      </c>
      <c r="N37" s="24" t="str">
        <f>IFERROR([1]!IntrinioBankFinancials(rssd_id,$R$2,N$6,N$5,$B37,"K"),"")</f>
        <v/>
      </c>
      <c r="O37" s="24" t="str">
        <f>IFERROR([1]!IntrinioBankFinancials(rssd_id,$R$2,O$6,O$5,$B37,"K"),"")</f>
        <v/>
      </c>
    </row>
    <row r="38" spans="1:15" ht="13.5" customHeight="1" x14ac:dyDescent="0.4">
      <c r="A38" s="34" t="s">
        <v>818</v>
      </c>
      <c r="B38" s="23" t="s">
        <v>857</v>
      </c>
      <c r="C38" s="24" t="str">
        <f>IFERROR([1]!IntrinioBankFinancials(rssd_id,$R$2,C$6,C$5,$B38,"K"),"")</f>
        <v/>
      </c>
      <c r="D38" s="24" t="str">
        <f>IFERROR([1]!IntrinioBankFinancials(rssd_id,$R$2,D$6,D$5,$B38,"K"),"")</f>
        <v/>
      </c>
      <c r="E38" s="24" t="str">
        <f>IFERROR([1]!IntrinioBankFinancials(rssd_id,$R$2,E$6,E$5,$B38,"K"),"")</f>
        <v/>
      </c>
      <c r="F38" s="24" t="str">
        <f>IFERROR([1]!IntrinioBankFinancials(rssd_id,$R$2,F$6,F$5,$B38,"K"),"")</f>
        <v/>
      </c>
      <c r="G38" s="24" t="str">
        <f>IFERROR([1]!IntrinioBankFinancials(rssd_id,$R$2,G$6,G$5,$B38,"K"),"")</f>
        <v/>
      </c>
      <c r="H38" s="24" t="str">
        <f>IFERROR([1]!IntrinioBankFinancials(rssd_id,$R$2,H$6,H$5,$B38,"K"),"")</f>
        <v/>
      </c>
      <c r="I38" s="24" t="str">
        <f>IFERROR([1]!IntrinioBankFinancials(rssd_id,$R$2,I$6,I$5,$B38,"K"),"")</f>
        <v/>
      </c>
      <c r="J38" s="24" t="str">
        <f>IFERROR([1]!IntrinioBankFinancials(rssd_id,$R$2,J$6,J$5,$B38,"K"),"")</f>
        <v/>
      </c>
      <c r="K38" s="24" t="str">
        <f>IFERROR([1]!IntrinioBankFinancials(rssd_id,$R$2,K$6,K$5,$B38,"K"),"")</f>
        <v/>
      </c>
      <c r="L38" s="24" t="str">
        <f>IFERROR([1]!IntrinioBankFinancials(rssd_id,$R$2,L$6,L$5,$B38,"K"),"")</f>
        <v/>
      </c>
      <c r="M38" s="24" t="str">
        <f>IFERROR([1]!IntrinioBankFinancials(rssd_id,$R$2,M$6,M$5,$B38,"K"),"")</f>
        <v/>
      </c>
      <c r="N38" s="24" t="str">
        <f>IFERROR([1]!IntrinioBankFinancials(rssd_id,$R$2,N$6,N$5,$B38,"K"),"")</f>
        <v/>
      </c>
      <c r="O38" s="24" t="str">
        <f>IFERROR([1]!IntrinioBankFinancials(rssd_id,$R$2,O$6,O$5,$B38,"K"),"")</f>
        <v/>
      </c>
    </row>
    <row r="39" spans="1:15" ht="13.5" customHeight="1" x14ac:dyDescent="0.4">
      <c r="A39" s="34" t="s">
        <v>317</v>
      </c>
      <c r="B39" s="23" t="s">
        <v>1375</v>
      </c>
      <c r="C39" s="24" t="str">
        <f>IFERROR([1]!IntrinioBankFinancials(rssd_id,$R$2,C$6,C$5,$B39,"K"),"")</f>
        <v/>
      </c>
      <c r="D39" s="24" t="str">
        <f>IFERROR([1]!IntrinioBankFinancials(rssd_id,$R$2,D$6,D$5,$B39,"K"),"")</f>
        <v/>
      </c>
      <c r="E39" s="24" t="str">
        <f>IFERROR([1]!IntrinioBankFinancials(rssd_id,$R$2,E$6,E$5,$B39,"K"),"")</f>
        <v/>
      </c>
      <c r="F39" s="24" t="str">
        <f>IFERROR([1]!IntrinioBankFinancials(rssd_id,$R$2,F$6,F$5,$B39,"K"),"")</f>
        <v/>
      </c>
      <c r="G39" s="24" t="str">
        <f>IFERROR([1]!IntrinioBankFinancials(rssd_id,$R$2,G$6,G$5,$B39,"K"),"")</f>
        <v/>
      </c>
      <c r="H39" s="24" t="str">
        <f>IFERROR([1]!IntrinioBankFinancials(rssd_id,$R$2,H$6,H$5,$B39,"K"),"")</f>
        <v/>
      </c>
      <c r="I39" s="24" t="str">
        <f>IFERROR([1]!IntrinioBankFinancials(rssd_id,$R$2,I$6,I$5,$B39,"K"),"")</f>
        <v/>
      </c>
      <c r="J39" s="24" t="str">
        <f>IFERROR([1]!IntrinioBankFinancials(rssd_id,$R$2,J$6,J$5,$B39,"K"),"")</f>
        <v/>
      </c>
      <c r="K39" s="24" t="str">
        <f>IFERROR([1]!IntrinioBankFinancials(rssd_id,$R$2,K$6,K$5,$B39,"K"),"")</f>
        <v/>
      </c>
      <c r="L39" s="24" t="str">
        <f>IFERROR([1]!IntrinioBankFinancials(rssd_id,$R$2,L$6,L$5,$B39,"K"),"")</f>
        <v/>
      </c>
      <c r="M39" s="24" t="str">
        <f>IFERROR([1]!IntrinioBankFinancials(rssd_id,$R$2,M$6,M$5,$B39,"K"),"")</f>
        <v/>
      </c>
      <c r="N39" s="24" t="str">
        <f>IFERROR([1]!IntrinioBankFinancials(rssd_id,$R$2,N$6,N$5,$B39,"K"),"")</f>
        <v/>
      </c>
      <c r="O39" s="24" t="str">
        <f>IFERROR([1]!IntrinioBankFinancials(rssd_id,$R$2,O$6,O$5,$B39,"K"),"")</f>
        <v/>
      </c>
    </row>
    <row r="40" spans="1:15" ht="13.5" customHeight="1" x14ac:dyDescent="0.4">
      <c r="A40" s="34" t="s">
        <v>319</v>
      </c>
      <c r="B40" s="23" t="s">
        <v>1376</v>
      </c>
      <c r="C40" s="24" t="str">
        <f>IFERROR([1]!IntrinioBankFinancials(rssd_id,$R$2,C$6,C$5,$B40,"K"),"")</f>
        <v/>
      </c>
      <c r="D40" s="24" t="str">
        <f>IFERROR([1]!IntrinioBankFinancials(rssd_id,$R$2,D$6,D$5,$B40,"K"),"")</f>
        <v/>
      </c>
      <c r="E40" s="24" t="str">
        <f>IFERROR([1]!IntrinioBankFinancials(rssd_id,$R$2,E$6,E$5,$B40,"K"),"")</f>
        <v/>
      </c>
      <c r="F40" s="24" t="str">
        <f>IFERROR([1]!IntrinioBankFinancials(rssd_id,$R$2,F$6,F$5,$B40,"K"),"")</f>
        <v/>
      </c>
      <c r="G40" s="24" t="str">
        <f>IFERROR([1]!IntrinioBankFinancials(rssd_id,$R$2,G$6,G$5,$B40,"K"),"")</f>
        <v/>
      </c>
      <c r="H40" s="24" t="str">
        <f>IFERROR([1]!IntrinioBankFinancials(rssd_id,$R$2,H$6,H$5,$B40,"K"),"")</f>
        <v/>
      </c>
      <c r="I40" s="24" t="str">
        <f>IFERROR([1]!IntrinioBankFinancials(rssd_id,$R$2,I$6,I$5,$B40,"K"),"")</f>
        <v/>
      </c>
      <c r="J40" s="24" t="str">
        <f>IFERROR([1]!IntrinioBankFinancials(rssd_id,$R$2,J$6,J$5,$B40,"K"),"")</f>
        <v/>
      </c>
      <c r="K40" s="24" t="str">
        <f>IFERROR([1]!IntrinioBankFinancials(rssd_id,$R$2,K$6,K$5,$B40,"K"),"")</f>
        <v/>
      </c>
      <c r="L40" s="24" t="str">
        <f>IFERROR([1]!IntrinioBankFinancials(rssd_id,$R$2,L$6,L$5,$B40,"K"),"")</f>
        <v/>
      </c>
      <c r="M40" s="24" t="str">
        <f>IFERROR([1]!IntrinioBankFinancials(rssd_id,$R$2,M$6,M$5,$B40,"K"),"")</f>
        <v/>
      </c>
      <c r="N40" s="24" t="str">
        <f>IFERROR([1]!IntrinioBankFinancials(rssd_id,$R$2,N$6,N$5,$B40,"K"),"")</f>
        <v/>
      </c>
      <c r="O40" s="24" t="str">
        <f>IFERROR([1]!IntrinioBankFinancials(rssd_id,$R$2,O$6,O$5,$B40,"K"),"")</f>
        <v/>
      </c>
    </row>
    <row r="41" spans="1:15" ht="13.5" customHeight="1" x14ac:dyDescent="0.4">
      <c r="A41" s="34" t="s">
        <v>321</v>
      </c>
      <c r="B41" s="23" t="s">
        <v>850</v>
      </c>
      <c r="C41" s="24" t="str">
        <f>IFERROR([1]!IntrinioBankFinancials(rssd_id,$R$2,C$6,C$5,$B41,"K"),"")</f>
        <v/>
      </c>
      <c r="D41" s="24" t="str">
        <f>IFERROR([1]!IntrinioBankFinancials(rssd_id,$R$2,D$6,D$5,$B41,"K"),"")</f>
        <v/>
      </c>
      <c r="E41" s="24" t="str">
        <f>IFERROR([1]!IntrinioBankFinancials(rssd_id,$R$2,E$6,E$5,$B41,"K"),"")</f>
        <v/>
      </c>
      <c r="F41" s="24" t="str">
        <f>IFERROR([1]!IntrinioBankFinancials(rssd_id,$R$2,F$6,F$5,$B41,"K"),"")</f>
        <v/>
      </c>
      <c r="G41" s="24" t="str">
        <f>IFERROR([1]!IntrinioBankFinancials(rssd_id,$R$2,G$6,G$5,$B41,"K"),"")</f>
        <v/>
      </c>
      <c r="H41" s="24" t="str">
        <f>IFERROR([1]!IntrinioBankFinancials(rssd_id,$R$2,H$6,H$5,$B41,"K"),"")</f>
        <v/>
      </c>
      <c r="I41" s="24" t="str">
        <f>IFERROR([1]!IntrinioBankFinancials(rssd_id,$R$2,I$6,I$5,$B41,"K"),"")</f>
        <v/>
      </c>
      <c r="J41" s="24" t="str">
        <f>IFERROR([1]!IntrinioBankFinancials(rssd_id,$R$2,J$6,J$5,$B41,"K"),"")</f>
        <v/>
      </c>
      <c r="K41" s="24" t="str">
        <f>IFERROR([1]!IntrinioBankFinancials(rssd_id,$R$2,K$6,K$5,$B41,"K"),"")</f>
        <v/>
      </c>
      <c r="L41" s="24" t="str">
        <f>IFERROR([1]!IntrinioBankFinancials(rssd_id,$R$2,L$6,L$5,$B41,"K"),"")</f>
        <v/>
      </c>
      <c r="M41" s="24" t="str">
        <f>IFERROR([1]!IntrinioBankFinancials(rssd_id,$R$2,M$6,M$5,$B41,"K"),"")</f>
        <v/>
      </c>
      <c r="N41" s="24" t="str">
        <f>IFERROR([1]!IntrinioBankFinancials(rssd_id,$R$2,N$6,N$5,$B41,"K"),"")</f>
        <v/>
      </c>
      <c r="O41" s="24" t="str">
        <f>IFERROR([1]!IntrinioBankFinancials(rssd_id,$R$2,O$6,O$5,$B41,"K"),"")</f>
        <v/>
      </c>
    </row>
    <row r="42" spans="1:15" ht="13.5" customHeight="1" x14ac:dyDescent="0.4">
      <c r="A42" s="34" t="s">
        <v>812</v>
      </c>
      <c r="B42" s="23" t="s">
        <v>851</v>
      </c>
      <c r="C42" s="24" t="str">
        <f>IFERROR([1]!IntrinioBankFinancials(rssd_id,$R$2,C$6,C$5,$B42,"K"),"")</f>
        <v/>
      </c>
      <c r="D42" s="24" t="str">
        <f>IFERROR([1]!IntrinioBankFinancials(rssd_id,$R$2,D$6,D$5,$B42,"K"),"")</f>
        <v/>
      </c>
      <c r="E42" s="24" t="str">
        <f>IFERROR([1]!IntrinioBankFinancials(rssd_id,$R$2,E$6,E$5,$B42,"K"),"")</f>
        <v/>
      </c>
      <c r="F42" s="24" t="str">
        <f>IFERROR([1]!IntrinioBankFinancials(rssd_id,$R$2,F$6,F$5,$B42,"K"),"")</f>
        <v/>
      </c>
      <c r="G42" s="24" t="str">
        <f>IFERROR([1]!IntrinioBankFinancials(rssd_id,$R$2,G$6,G$5,$B42,"K"),"")</f>
        <v/>
      </c>
      <c r="H42" s="24" t="str">
        <f>IFERROR([1]!IntrinioBankFinancials(rssd_id,$R$2,H$6,H$5,$B42,"K"),"")</f>
        <v/>
      </c>
      <c r="I42" s="24" t="str">
        <f>IFERROR([1]!IntrinioBankFinancials(rssd_id,$R$2,I$6,I$5,$B42,"K"),"")</f>
        <v/>
      </c>
      <c r="J42" s="24" t="str">
        <f>IFERROR([1]!IntrinioBankFinancials(rssd_id,$R$2,J$6,J$5,$B42,"K"),"")</f>
        <v/>
      </c>
      <c r="K42" s="24" t="str">
        <f>IFERROR([1]!IntrinioBankFinancials(rssd_id,$R$2,K$6,K$5,$B42,"K"),"")</f>
        <v/>
      </c>
      <c r="L42" s="24" t="str">
        <f>IFERROR([1]!IntrinioBankFinancials(rssd_id,$R$2,L$6,L$5,$B42,"K"),"")</f>
        <v/>
      </c>
      <c r="M42" s="24" t="str">
        <f>IFERROR([1]!IntrinioBankFinancials(rssd_id,$R$2,M$6,M$5,$B42,"K"),"")</f>
        <v/>
      </c>
      <c r="N42" s="24" t="str">
        <f>IFERROR([1]!IntrinioBankFinancials(rssd_id,$R$2,N$6,N$5,$B42,"K"),"")</f>
        <v/>
      </c>
      <c r="O42" s="24" t="str">
        <f>IFERROR([1]!IntrinioBankFinancials(rssd_id,$R$2,O$6,O$5,$B42,"K"),"")</f>
        <v/>
      </c>
    </row>
    <row r="43" spans="1:15" ht="13.5" customHeight="1" x14ac:dyDescent="0.4">
      <c r="A43" s="34" t="s">
        <v>1377</v>
      </c>
      <c r="B43" s="23" t="s">
        <v>1378</v>
      </c>
      <c r="C43" s="24" t="str">
        <f>IFERROR([1]!IntrinioBankFinancials(rssd_id,$R$2,C$6,C$5,$B43,"K"),"")</f>
        <v/>
      </c>
      <c r="D43" s="24" t="str">
        <f>IFERROR([1]!IntrinioBankFinancials(rssd_id,$R$2,D$6,D$5,$B43,"K"),"")</f>
        <v/>
      </c>
      <c r="E43" s="24" t="str">
        <f>IFERROR([1]!IntrinioBankFinancials(rssd_id,$R$2,E$6,E$5,$B43,"K"),"")</f>
        <v/>
      </c>
      <c r="F43" s="24" t="str">
        <f>IFERROR([1]!IntrinioBankFinancials(rssd_id,$R$2,F$6,F$5,$B43,"K"),"")</f>
        <v/>
      </c>
      <c r="G43" s="24" t="str">
        <f>IFERROR([1]!IntrinioBankFinancials(rssd_id,$R$2,G$6,G$5,$B43,"K"),"")</f>
        <v/>
      </c>
      <c r="H43" s="24" t="str">
        <f>IFERROR([1]!IntrinioBankFinancials(rssd_id,$R$2,H$6,H$5,$B43,"K"),"")</f>
        <v/>
      </c>
      <c r="I43" s="24" t="str">
        <f>IFERROR([1]!IntrinioBankFinancials(rssd_id,$R$2,I$6,I$5,$B43,"K"),"")</f>
        <v/>
      </c>
      <c r="J43" s="24" t="str">
        <f>IFERROR([1]!IntrinioBankFinancials(rssd_id,$R$2,J$6,J$5,$B43,"K"),"")</f>
        <v/>
      </c>
      <c r="K43" s="24" t="str">
        <f>IFERROR([1]!IntrinioBankFinancials(rssd_id,$R$2,K$6,K$5,$B43,"K"),"")</f>
        <v/>
      </c>
      <c r="L43" s="24" t="str">
        <f>IFERROR([1]!IntrinioBankFinancials(rssd_id,$R$2,L$6,L$5,$B43,"K"),"")</f>
        <v/>
      </c>
      <c r="M43" s="24" t="str">
        <f>IFERROR([1]!IntrinioBankFinancials(rssd_id,$R$2,M$6,M$5,$B43,"K"),"")</f>
        <v/>
      </c>
      <c r="N43" s="24" t="str">
        <f>IFERROR([1]!IntrinioBankFinancials(rssd_id,$R$2,N$6,N$5,$B43,"K"),"")</f>
        <v/>
      </c>
      <c r="O43" s="24" t="str">
        <f>IFERROR([1]!IntrinioBankFinancials(rssd_id,$R$2,O$6,O$5,$B43,"K"),"")</f>
        <v/>
      </c>
    </row>
    <row r="44" spans="1:15" ht="13.5" customHeight="1" x14ac:dyDescent="0.4">
      <c r="A44" s="34" t="s">
        <v>866</v>
      </c>
      <c r="B44" s="23" t="s">
        <v>867</v>
      </c>
      <c r="C44" s="24" t="str">
        <f>IFERROR([1]!IntrinioBankFinancials(rssd_id,$R$2,C$6,C$5,$B44,"K"),"")</f>
        <v/>
      </c>
      <c r="D44" s="24" t="str">
        <f>IFERROR([1]!IntrinioBankFinancials(rssd_id,$R$2,D$6,D$5,$B44,"K"),"")</f>
        <v/>
      </c>
      <c r="E44" s="24" t="str">
        <f>IFERROR([1]!IntrinioBankFinancials(rssd_id,$R$2,E$6,E$5,$B44,"K"),"")</f>
        <v/>
      </c>
      <c r="F44" s="24" t="str">
        <f>IFERROR([1]!IntrinioBankFinancials(rssd_id,$R$2,F$6,F$5,$B44,"K"),"")</f>
        <v/>
      </c>
      <c r="G44" s="24" t="str">
        <f>IFERROR([1]!IntrinioBankFinancials(rssd_id,$R$2,G$6,G$5,$B44,"K"),"")</f>
        <v/>
      </c>
      <c r="H44" s="24" t="str">
        <f>IFERROR([1]!IntrinioBankFinancials(rssd_id,$R$2,H$6,H$5,$B44,"K"),"")</f>
        <v/>
      </c>
      <c r="I44" s="24" t="str">
        <f>IFERROR([1]!IntrinioBankFinancials(rssd_id,$R$2,I$6,I$5,$B44,"K"),"")</f>
        <v/>
      </c>
      <c r="J44" s="24" t="str">
        <f>IFERROR([1]!IntrinioBankFinancials(rssd_id,$R$2,J$6,J$5,$B44,"K"),"")</f>
        <v/>
      </c>
      <c r="K44" s="24" t="str">
        <f>IFERROR([1]!IntrinioBankFinancials(rssd_id,$R$2,K$6,K$5,$B44,"K"),"")</f>
        <v/>
      </c>
      <c r="L44" s="24" t="str">
        <f>IFERROR([1]!IntrinioBankFinancials(rssd_id,$R$2,L$6,L$5,$B44,"K"),"")</f>
        <v/>
      </c>
      <c r="M44" s="24" t="str">
        <f>IFERROR([1]!IntrinioBankFinancials(rssd_id,$R$2,M$6,M$5,$B44,"K"),"")</f>
        <v/>
      </c>
      <c r="N44" s="24" t="str">
        <f>IFERROR([1]!IntrinioBankFinancials(rssd_id,$R$2,N$6,N$5,$B44,"K"),"")</f>
        <v/>
      </c>
      <c r="O44" s="24" t="str">
        <f>IFERROR([1]!IntrinioBankFinancials(rssd_id,$R$2,O$6,O$5,$B44,"K"),"")</f>
        <v/>
      </c>
    </row>
    <row r="45" spans="1:15" ht="13.5" customHeight="1" x14ac:dyDescent="0.4">
      <c r="A45" s="34" t="s">
        <v>868</v>
      </c>
      <c r="B45" s="23" t="s">
        <v>869</v>
      </c>
      <c r="C45" s="24" t="str">
        <f>IFERROR([1]!IntrinioBankFinancials(rssd_id,$R$2,C$6,C$5,$B45,"K"),"")</f>
        <v/>
      </c>
      <c r="D45" s="24" t="str">
        <f>IFERROR([1]!IntrinioBankFinancials(rssd_id,$R$2,D$6,D$5,$B45,"K"),"")</f>
        <v/>
      </c>
      <c r="E45" s="24" t="str">
        <f>IFERROR([1]!IntrinioBankFinancials(rssd_id,$R$2,E$6,E$5,$B45,"K"),"")</f>
        <v/>
      </c>
      <c r="F45" s="24" t="str">
        <f>IFERROR([1]!IntrinioBankFinancials(rssd_id,$R$2,F$6,F$5,$B45,"K"),"")</f>
        <v/>
      </c>
      <c r="G45" s="24" t="str">
        <f>IFERROR([1]!IntrinioBankFinancials(rssd_id,$R$2,G$6,G$5,$B45,"K"),"")</f>
        <v/>
      </c>
      <c r="H45" s="24" t="str">
        <f>IFERROR([1]!IntrinioBankFinancials(rssd_id,$R$2,H$6,H$5,$B45,"K"),"")</f>
        <v/>
      </c>
      <c r="I45" s="24" t="str">
        <f>IFERROR([1]!IntrinioBankFinancials(rssd_id,$R$2,I$6,I$5,$B45,"K"),"")</f>
        <v/>
      </c>
      <c r="J45" s="24" t="str">
        <f>IFERROR([1]!IntrinioBankFinancials(rssd_id,$R$2,J$6,J$5,$B45,"K"),"")</f>
        <v/>
      </c>
      <c r="K45" s="24" t="str">
        <f>IFERROR([1]!IntrinioBankFinancials(rssd_id,$R$2,K$6,K$5,$B45,"K"),"")</f>
        <v/>
      </c>
      <c r="L45" s="24" t="str">
        <f>IFERROR([1]!IntrinioBankFinancials(rssd_id,$R$2,L$6,L$5,$B45,"K"),"")</f>
        <v/>
      </c>
      <c r="M45" s="24" t="str">
        <f>IFERROR([1]!IntrinioBankFinancials(rssd_id,$R$2,M$6,M$5,$B45,"K"),"")</f>
        <v/>
      </c>
      <c r="N45" s="24" t="str">
        <f>IFERROR([1]!IntrinioBankFinancials(rssd_id,$R$2,N$6,N$5,$B45,"K"),"")</f>
        <v/>
      </c>
      <c r="O45" s="24" t="str">
        <f>IFERROR([1]!IntrinioBankFinancials(rssd_id,$R$2,O$6,O$5,$B45,"K"),"")</f>
        <v/>
      </c>
    </row>
    <row r="46" spans="1:15" ht="13.5" customHeight="1" x14ac:dyDescent="0.4">
      <c r="A46" s="34" t="s">
        <v>870</v>
      </c>
      <c r="B46" s="23" t="s">
        <v>871</v>
      </c>
      <c r="C46" s="24" t="str">
        <f>IFERROR([1]!IntrinioBankFinancials(rssd_id,$R$2,C$6,C$5,$B46,"K"),"")</f>
        <v/>
      </c>
      <c r="D46" s="24" t="str">
        <f>IFERROR([1]!IntrinioBankFinancials(rssd_id,$R$2,D$6,D$5,$B46,"K"),"")</f>
        <v/>
      </c>
      <c r="E46" s="24" t="str">
        <f>IFERROR([1]!IntrinioBankFinancials(rssd_id,$R$2,E$6,E$5,$B46,"K"),"")</f>
        <v/>
      </c>
      <c r="F46" s="24" t="str">
        <f>IFERROR([1]!IntrinioBankFinancials(rssd_id,$R$2,F$6,F$5,$B46,"K"),"")</f>
        <v/>
      </c>
      <c r="G46" s="24" t="str">
        <f>IFERROR([1]!IntrinioBankFinancials(rssd_id,$R$2,G$6,G$5,$B46,"K"),"")</f>
        <v/>
      </c>
      <c r="H46" s="24" t="str">
        <f>IFERROR([1]!IntrinioBankFinancials(rssd_id,$R$2,H$6,H$5,$B46,"K"),"")</f>
        <v/>
      </c>
      <c r="I46" s="24" t="str">
        <f>IFERROR([1]!IntrinioBankFinancials(rssd_id,$R$2,I$6,I$5,$B46,"K"),"")</f>
        <v/>
      </c>
      <c r="J46" s="24" t="str">
        <f>IFERROR([1]!IntrinioBankFinancials(rssd_id,$R$2,J$6,J$5,$B46,"K"),"")</f>
        <v/>
      </c>
      <c r="K46" s="24" t="str">
        <f>IFERROR([1]!IntrinioBankFinancials(rssd_id,$R$2,K$6,K$5,$B46,"K"),"")</f>
        <v/>
      </c>
      <c r="L46" s="24" t="str">
        <f>IFERROR([1]!IntrinioBankFinancials(rssd_id,$R$2,L$6,L$5,$B46,"K"),"")</f>
        <v/>
      </c>
      <c r="M46" s="24" t="str">
        <f>IFERROR([1]!IntrinioBankFinancials(rssd_id,$R$2,M$6,M$5,$B46,"K"),"")</f>
        <v/>
      </c>
      <c r="N46" s="24" t="str">
        <f>IFERROR([1]!IntrinioBankFinancials(rssd_id,$R$2,N$6,N$5,$B46,"K"),"")</f>
        <v/>
      </c>
      <c r="O46" s="24" t="str">
        <f>IFERROR([1]!IntrinioBankFinancials(rssd_id,$R$2,O$6,O$5,$B46,"K"),"")</f>
        <v/>
      </c>
    </row>
    <row r="47" spans="1:15" ht="13.5" customHeight="1" x14ac:dyDescent="0.4">
      <c r="A47" s="34" t="s">
        <v>872</v>
      </c>
      <c r="B47" s="23" t="s">
        <v>873</v>
      </c>
      <c r="C47" s="24" t="str">
        <f>IFERROR([1]!IntrinioBankFinancials(rssd_id,$R$2,C$6,C$5,$B47,"K"),"")</f>
        <v/>
      </c>
      <c r="D47" s="24" t="str">
        <f>IFERROR([1]!IntrinioBankFinancials(rssd_id,$R$2,D$6,D$5,$B47,"K"),"")</f>
        <v/>
      </c>
      <c r="E47" s="24" t="str">
        <f>IFERROR([1]!IntrinioBankFinancials(rssd_id,$R$2,E$6,E$5,$B47,"K"),"")</f>
        <v/>
      </c>
      <c r="F47" s="24" t="str">
        <f>IFERROR([1]!IntrinioBankFinancials(rssd_id,$R$2,F$6,F$5,$B47,"K"),"")</f>
        <v/>
      </c>
      <c r="G47" s="24" t="str">
        <f>IFERROR([1]!IntrinioBankFinancials(rssd_id,$R$2,G$6,G$5,$B47,"K"),"")</f>
        <v/>
      </c>
      <c r="H47" s="24" t="str">
        <f>IFERROR([1]!IntrinioBankFinancials(rssd_id,$R$2,H$6,H$5,$B47,"K"),"")</f>
        <v/>
      </c>
      <c r="I47" s="24" t="str">
        <f>IFERROR([1]!IntrinioBankFinancials(rssd_id,$R$2,I$6,I$5,$B47,"K"),"")</f>
        <v/>
      </c>
      <c r="J47" s="24" t="str">
        <f>IFERROR([1]!IntrinioBankFinancials(rssd_id,$R$2,J$6,J$5,$B47,"K"),"")</f>
        <v/>
      </c>
      <c r="K47" s="24" t="str">
        <f>IFERROR([1]!IntrinioBankFinancials(rssd_id,$R$2,K$6,K$5,$B47,"K"),"")</f>
        <v/>
      </c>
      <c r="L47" s="24" t="str">
        <f>IFERROR([1]!IntrinioBankFinancials(rssd_id,$R$2,L$6,L$5,$B47,"K"),"")</f>
        <v/>
      </c>
      <c r="M47" s="24" t="str">
        <f>IFERROR([1]!IntrinioBankFinancials(rssd_id,$R$2,M$6,M$5,$B47,"K"),"")</f>
        <v/>
      </c>
      <c r="N47" s="24" t="str">
        <f>IFERROR([1]!IntrinioBankFinancials(rssd_id,$R$2,N$6,N$5,$B47,"K"),"")</f>
        <v/>
      </c>
      <c r="O47" s="24" t="str">
        <f>IFERROR([1]!IntrinioBankFinancials(rssd_id,$R$2,O$6,O$5,$B47,"K"),"")</f>
        <v/>
      </c>
    </row>
    <row r="48" spans="1:15" ht="13.5" customHeight="1" x14ac:dyDescent="0.4">
      <c r="A48" s="34" t="s">
        <v>333</v>
      </c>
      <c r="B48" s="23" t="s">
        <v>1379</v>
      </c>
      <c r="C48" s="24" t="str">
        <f>IFERROR([1]!IntrinioBankFinancials(rssd_id,$R$2,C$6,C$5,$B48,"K"),"")</f>
        <v/>
      </c>
      <c r="D48" s="24" t="str">
        <f>IFERROR([1]!IntrinioBankFinancials(rssd_id,$R$2,D$6,D$5,$B48,"K"),"")</f>
        <v/>
      </c>
      <c r="E48" s="24" t="str">
        <f>IFERROR([1]!IntrinioBankFinancials(rssd_id,$R$2,E$6,E$5,$B48,"K"),"")</f>
        <v/>
      </c>
      <c r="F48" s="24" t="str">
        <f>IFERROR([1]!IntrinioBankFinancials(rssd_id,$R$2,F$6,F$5,$B48,"K"),"")</f>
        <v/>
      </c>
      <c r="G48" s="24" t="str">
        <f>IFERROR([1]!IntrinioBankFinancials(rssd_id,$R$2,G$6,G$5,$B48,"K"),"")</f>
        <v/>
      </c>
      <c r="H48" s="24" t="str">
        <f>IFERROR([1]!IntrinioBankFinancials(rssd_id,$R$2,H$6,H$5,$B48,"K"),"")</f>
        <v/>
      </c>
      <c r="I48" s="24" t="str">
        <f>IFERROR([1]!IntrinioBankFinancials(rssd_id,$R$2,I$6,I$5,$B48,"K"),"")</f>
        <v/>
      </c>
      <c r="J48" s="24" t="str">
        <f>IFERROR([1]!IntrinioBankFinancials(rssd_id,$R$2,J$6,J$5,$B48,"K"),"")</f>
        <v/>
      </c>
      <c r="K48" s="24" t="str">
        <f>IFERROR([1]!IntrinioBankFinancials(rssd_id,$R$2,K$6,K$5,$B48,"K"),"")</f>
        <v/>
      </c>
      <c r="L48" s="24" t="str">
        <f>IFERROR([1]!IntrinioBankFinancials(rssd_id,$R$2,L$6,L$5,$B48,"K"),"")</f>
        <v/>
      </c>
      <c r="M48" s="24" t="str">
        <f>IFERROR([1]!IntrinioBankFinancials(rssd_id,$R$2,M$6,M$5,$B48,"K"),"")</f>
        <v/>
      </c>
      <c r="N48" s="24" t="str">
        <f>IFERROR([1]!IntrinioBankFinancials(rssd_id,$R$2,N$6,N$5,$B48,"K"),"")</f>
        <v/>
      </c>
      <c r="O48" s="24" t="str">
        <f>IFERROR([1]!IntrinioBankFinancials(rssd_id,$R$2,O$6,O$5,$B48,"K"),"")</f>
        <v/>
      </c>
    </row>
    <row r="49" spans="1:15" ht="13.5" customHeight="1" x14ac:dyDescent="0.4">
      <c r="A49" s="34" t="s">
        <v>1380</v>
      </c>
      <c r="B49" s="23" t="s">
        <v>1381</v>
      </c>
      <c r="C49" s="24" t="str">
        <f>IFERROR([1]!IntrinioBankFinancials(rssd_id,$R$2,C$6,C$5,$B49,"K"),"")</f>
        <v/>
      </c>
      <c r="D49" s="24" t="str">
        <f>IFERROR([1]!IntrinioBankFinancials(rssd_id,$R$2,D$6,D$5,$B49,"K"),"")</f>
        <v/>
      </c>
      <c r="E49" s="24" t="str">
        <f>IFERROR([1]!IntrinioBankFinancials(rssd_id,$R$2,E$6,E$5,$B49,"K"),"")</f>
        <v/>
      </c>
      <c r="F49" s="24" t="str">
        <f>IFERROR([1]!IntrinioBankFinancials(rssd_id,$R$2,F$6,F$5,$B49,"K"),"")</f>
        <v/>
      </c>
      <c r="G49" s="24" t="str">
        <f>IFERROR([1]!IntrinioBankFinancials(rssd_id,$R$2,G$6,G$5,$B49,"K"),"")</f>
        <v/>
      </c>
      <c r="H49" s="24" t="str">
        <f>IFERROR([1]!IntrinioBankFinancials(rssd_id,$R$2,H$6,H$5,$B49,"K"),"")</f>
        <v/>
      </c>
      <c r="I49" s="24" t="str">
        <f>IFERROR([1]!IntrinioBankFinancials(rssd_id,$R$2,I$6,I$5,$B49,"K"),"")</f>
        <v/>
      </c>
      <c r="J49" s="24" t="str">
        <f>IFERROR([1]!IntrinioBankFinancials(rssd_id,$R$2,J$6,J$5,$B49,"K"),"")</f>
        <v/>
      </c>
      <c r="K49" s="24" t="str">
        <f>IFERROR([1]!IntrinioBankFinancials(rssd_id,$R$2,K$6,K$5,$B49,"K"),"")</f>
        <v/>
      </c>
      <c r="L49" s="24" t="str">
        <f>IFERROR([1]!IntrinioBankFinancials(rssd_id,$R$2,L$6,L$5,$B49,"K"),"")</f>
        <v/>
      </c>
      <c r="M49" s="24" t="str">
        <f>IFERROR([1]!IntrinioBankFinancials(rssd_id,$R$2,M$6,M$5,$B49,"K"),"")</f>
        <v/>
      </c>
      <c r="N49" s="24" t="str">
        <f>IFERROR([1]!IntrinioBankFinancials(rssd_id,$R$2,N$6,N$5,$B49,"K"),"")</f>
        <v/>
      </c>
      <c r="O49" s="24" t="str">
        <f>IFERROR([1]!IntrinioBankFinancials(rssd_id,$R$2,O$6,O$5,$B49,"K"),"")</f>
        <v/>
      </c>
    </row>
    <row r="50" spans="1:15" ht="13.5" customHeight="1" x14ac:dyDescent="0.4">
      <c r="A50" s="34" t="s">
        <v>337</v>
      </c>
      <c r="B50" s="23" t="s">
        <v>1002</v>
      </c>
      <c r="C50" s="24" t="str">
        <f>IFERROR([1]!IntrinioBankFinancials(rssd_id,$R$2,C$6,C$5,$B50,"K"),"")</f>
        <v/>
      </c>
      <c r="D50" s="24" t="str">
        <f>IFERROR([1]!IntrinioBankFinancials(rssd_id,$R$2,D$6,D$5,$B50,"K"),"")</f>
        <v/>
      </c>
      <c r="E50" s="24" t="str">
        <f>IFERROR([1]!IntrinioBankFinancials(rssd_id,$R$2,E$6,E$5,$B50,"K"),"")</f>
        <v/>
      </c>
      <c r="F50" s="24" t="str">
        <f>IFERROR([1]!IntrinioBankFinancials(rssd_id,$R$2,F$6,F$5,$B50,"K"),"")</f>
        <v/>
      </c>
      <c r="G50" s="24" t="str">
        <f>IFERROR([1]!IntrinioBankFinancials(rssd_id,$R$2,G$6,G$5,$B50,"K"),"")</f>
        <v/>
      </c>
      <c r="H50" s="24" t="str">
        <f>IFERROR([1]!IntrinioBankFinancials(rssd_id,$R$2,H$6,H$5,$B50,"K"),"")</f>
        <v/>
      </c>
      <c r="I50" s="24" t="str">
        <f>IFERROR([1]!IntrinioBankFinancials(rssd_id,$R$2,I$6,I$5,$B50,"K"),"")</f>
        <v/>
      </c>
      <c r="J50" s="24" t="str">
        <f>IFERROR([1]!IntrinioBankFinancials(rssd_id,$R$2,J$6,J$5,$B50,"K"),"")</f>
        <v/>
      </c>
      <c r="K50" s="24" t="str">
        <f>IFERROR([1]!IntrinioBankFinancials(rssd_id,$R$2,K$6,K$5,$B50,"K"),"")</f>
        <v/>
      </c>
      <c r="L50" s="24" t="str">
        <f>IFERROR([1]!IntrinioBankFinancials(rssd_id,$R$2,L$6,L$5,$B50,"K"),"")</f>
        <v/>
      </c>
      <c r="M50" s="24" t="str">
        <f>IFERROR([1]!IntrinioBankFinancials(rssd_id,$R$2,M$6,M$5,$B50,"K"),"")</f>
        <v/>
      </c>
      <c r="N50" s="24" t="str">
        <f>IFERROR([1]!IntrinioBankFinancials(rssd_id,$R$2,N$6,N$5,$B50,"K"),"")</f>
        <v/>
      </c>
      <c r="O50" s="24" t="str">
        <f>IFERROR([1]!IntrinioBankFinancials(rssd_id,$R$2,O$6,O$5,$B50,"K"),"")</f>
        <v/>
      </c>
    </row>
    <row r="51" spans="1:15" ht="13.5" customHeight="1" x14ac:dyDescent="0.4">
      <c r="A51" s="34" t="s">
        <v>339</v>
      </c>
      <c r="B51" s="23" t="s">
        <v>1001</v>
      </c>
      <c r="C51" s="24" t="str">
        <f>IFERROR([1]!IntrinioBankFinancials(rssd_id,$R$2,C$6,C$5,$B51,"K"),"")</f>
        <v/>
      </c>
      <c r="D51" s="24" t="str">
        <f>IFERROR([1]!IntrinioBankFinancials(rssd_id,$R$2,D$6,D$5,$B51,"K"),"")</f>
        <v/>
      </c>
      <c r="E51" s="24" t="str">
        <f>IFERROR([1]!IntrinioBankFinancials(rssd_id,$R$2,E$6,E$5,$B51,"K"),"")</f>
        <v/>
      </c>
      <c r="F51" s="24" t="str">
        <f>IFERROR([1]!IntrinioBankFinancials(rssd_id,$R$2,F$6,F$5,$B51,"K"),"")</f>
        <v/>
      </c>
      <c r="G51" s="24" t="str">
        <f>IFERROR([1]!IntrinioBankFinancials(rssd_id,$R$2,G$6,G$5,$B51,"K"),"")</f>
        <v/>
      </c>
      <c r="H51" s="24" t="str">
        <f>IFERROR([1]!IntrinioBankFinancials(rssd_id,$R$2,H$6,H$5,$B51,"K"),"")</f>
        <v/>
      </c>
      <c r="I51" s="24" t="str">
        <f>IFERROR([1]!IntrinioBankFinancials(rssd_id,$R$2,I$6,I$5,$B51,"K"),"")</f>
        <v/>
      </c>
      <c r="J51" s="24" t="str">
        <f>IFERROR([1]!IntrinioBankFinancials(rssd_id,$R$2,J$6,J$5,$B51,"K"),"")</f>
        <v/>
      </c>
      <c r="K51" s="24" t="str">
        <f>IFERROR([1]!IntrinioBankFinancials(rssd_id,$R$2,K$6,K$5,$B51,"K"),"")</f>
        <v/>
      </c>
      <c r="L51" s="24" t="str">
        <f>IFERROR([1]!IntrinioBankFinancials(rssd_id,$R$2,L$6,L$5,$B51,"K"),"")</f>
        <v/>
      </c>
      <c r="M51" s="24" t="str">
        <f>IFERROR([1]!IntrinioBankFinancials(rssd_id,$R$2,M$6,M$5,$B51,"K"),"")</f>
        <v/>
      </c>
      <c r="N51" s="24" t="str">
        <f>IFERROR([1]!IntrinioBankFinancials(rssd_id,$R$2,N$6,N$5,$B51,"K"),"")</f>
        <v/>
      </c>
      <c r="O51" s="24" t="str">
        <f>IFERROR([1]!IntrinioBankFinancials(rssd_id,$R$2,O$6,O$5,$B51,"K"),"")</f>
        <v/>
      </c>
    </row>
    <row r="52" spans="1:15" ht="13.5" customHeight="1" x14ac:dyDescent="0.4">
      <c r="A52" s="34" t="s">
        <v>1382</v>
      </c>
      <c r="B52" s="23" t="s">
        <v>1383</v>
      </c>
      <c r="C52" s="24" t="str">
        <f>IFERROR([1]!IntrinioBankFinancials(rssd_id,$R$2,C$6,C$5,$B52,"K"),"")</f>
        <v/>
      </c>
      <c r="D52" s="24" t="str">
        <f>IFERROR([1]!IntrinioBankFinancials(rssd_id,$R$2,D$6,D$5,$B52,"K"),"")</f>
        <v/>
      </c>
      <c r="E52" s="24" t="str">
        <f>IFERROR([1]!IntrinioBankFinancials(rssd_id,$R$2,E$6,E$5,$B52,"K"),"")</f>
        <v/>
      </c>
      <c r="F52" s="24" t="str">
        <f>IFERROR([1]!IntrinioBankFinancials(rssd_id,$R$2,F$6,F$5,$B52,"K"),"")</f>
        <v/>
      </c>
      <c r="G52" s="24" t="str">
        <f>IFERROR([1]!IntrinioBankFinancials(rssd_id,$R$2,G$6,G$5,$B52,"K"),"")</f>
        <v/>
      </c>
      <c r="H52" s="24" t="str">
        <f>IFERROR([1]!IntrinioBankFinancials(rssd_id,$R$2,H$6,H$5,$B52,"K"),"")</f>
        <v/>
      </c>
      <c r="I52" s="24" t="str">
        <f>IFERROR([1]!IntrinioBankFinancials(rssd_id,$R$2,I$6,I$5,$B52,"K"),"")</f>
        <v/>
      </c>
      <c r="J52" s="24" t="str">
        <f>IFERROR([1]!IntrinioBankFinancials(rssd_id,$R$2,J$6,J$5,$B52,"K"),"")</f>
        <v/>
      </c>
      <c r="K52" s="24" t="str">
        <f>IFERROR([1]!IntrinioBankFinancials(rssd_id,$R$2,K$6,K$5,$B52,"K"),"")</f>
        <v/>
      </c>
      <c r="L52" s="24" t="str">
        <f>IFERROR([1]!IntrinioBankFinancials(rssd_id,$R$2,L$6,L$5,$B52,"K"),"")</f>
        <v/>
      </c>
      <c r="M52" s="24" t="str">
        <f>IFERROR([1]!IntrinioBankFinancials(rssd_id,$R$2,M$6,M$5,$B52,"K"),"")</f>
        <v/>
      </c>
      <c r="N52" s="24" t="str">
        <f>IFERROR([1]!IntrinioBankFinancials(rssd_id,$R$2,N$6,N$5,$B52,"K"),"")</f>
        <v/>
      </c>
      <c r="O52" s="24" t="str">
        <f>IFERROR([1]!IntrinioBankFinancials(rssd_id,$R$2,O$6,O$5,$B52,"K"),"")</f>
        <v/>
      </c>
    </row>
    <row r="53" spans="1:15" ht="13.5" customHeight="1" x14ac:dyDescent="0.4">
      <c r="A53" s="34" t="s">
        <v>1384</v>
      </c>
      <c r="B53" s="23" t="s">
        <v>1385</v>
      </c>
      <c r="C53" s="24" t="str">
        <f>IFERROR([1]!IntrinioBankFinancials(rssd_id,$R$2,C$6,C$5,$B53,"K"),"")</f>
        <v/>
      </c>
      <c r="D53" s="24" t="str">
        <f>IFERROR([1]!IntrinioBankFinancials(rssd_id,$R$2,D$6,D$5,$B53,"K"),"")</f>
        <v/>
      </c>
      <c r="E53" s="24" t="str">
        <f>IFERROR([1]!IntrinioBankFinancials(rssd_id,$R$2,E$6,E$5,$B53,"K"),"")</f>
        <v/>
      </c>
      <c r="F53" s="24" t="str">
        <f>IFERROR([1]!IntrinioBankFinancials(rssd_id,$R$2,F$6,F$5,$B53,"K"),"")</f>
        <v/>
      </c>
      <c r="G53" s="24" t="str">
        <f>IFERROR([1]!IntrinioBankFinancials(rssd_id,$R$2,G$6,G$5,$B53,"K"),"")</f>
        <v/>
      </c>
      <c r="H53" s="24" t="str">
        <f>IFERROR([1]!IntrinioBankFinancials(rssd_id,$R$2,H$6,H$5,$B53,"K"),"")</f>
        <v/>
      </c>
      <c r="I53" s="24" t="str">
        <f>IFERROR([1]!IntrinioBankFinancials(rssd_id,$R$2,I$6,I$5,$B53,"K"),"")</f>
        <v/>
      </c>
      <c r="J53" s="24" t="str">
        <f>IFERROR([1]!IntrinioBankFinancials(rssd_id,$R$2,J$6,J$5,$B53,"K"),"")</f>
        <v/>
      </c>
      <c r="K53" s="24" t="str">
        <f>IFERROR([1]!IntrinioBankFinancials(rssd_id,$R$2,K$6,K$5,$B53,"K"),"")</f>
        <v/>
      </c>
      <c r="L53" s="24" t="str">
        <f>IFERROR([1]!IntrinioBankFinancials(rssd_id,$R$2,L$6,L$5,$B53,"K"),"")</f>
        <v/>
      </c>
      <c r="M53" s="24" t="str">
        <f>IFERROR([1]!IntrinioBankFinancials(rssd_id,$R$2,M$6,M$5,$B53,"K"),"")</f>
        <v/>
      </c>
      <c r="N53" s="24" t="str">
        <f>IFERROR([1]!IntrinioBankFinancials(rssd_id,$R$2,N$6,N$5,$B53,"K"),"")</f>
        <v/>
      </c>
      <c r="O53" s="24" t="str">
        <f>IFERROR([1]!IntrinioBankFinancials(rssd_id,$R$2,O$6,O$5,$B53,"K"),"")</f>
        <v/>
      </c>
    </row>
    <row r="54" spans="1:15" ht="13.5" customHeight="1" x14ac:dyDescent="0.4">
      <c r="A54" s="34" t="s">
        <v>1386</v>
      </c>
      <c r="B54" s="23" t="s">
        <v>1387</v>
      </c>
      <c r="C54" s="24" t="str">
        <f>IFERROR([1]!IntrinioBankFinancials(rssd_id,$R$2,C$6,C$5,$B54,"K"),"")</f>
        <v/>
      </c>
      <c r="D54" s="24" t="str">
        <f>IFERROR([1]!IntrinioBankFinancials(rssd_id,$R$2,D$6,D$5,$B54,"K"),"")</f>
        <v/>
      </c>
      <c r="E54" s="24" t="str">
        <f>IFERROR([1]!IntrinioBankFinancials(rssd_id,$R$2,E$6,E$5,$B54,"K"),"")</f>
        <v/>
      </c>
      <c r="F54" s="24" t="str">
        <f>IFERROR([1]!IntrinioBankFinancials(rssd_id,$R$2,F$6,F$5,$B54,"K"),"")</f>
        <v/>
      </c>
      <c r="G54" s="24" t="str">
        <f>IFERROR([1]!IntrinioBankFinancials(rssd_id,$R$2,G$6,G$5,$B54,"K"),"")</f>
        <v/>
      </c>
      <c r="H54" s="24" t="str">
        <f>IFERROR([1]!IntrinioBankFinancials(rssd_id,$R$2,H$6,H$5,$B54,"K"),"")</f>
        <v/>
      </c>
      <c r="I54" s="24" t="str">
        <f>IFERROR([1]!IntrinioBankFinancials(rssd_id,$R$2,I$6,I$5,$B54,"K"),"")</f>
        <v/>
      </c>
      <c r="J54" s="24" t="str">
        <f>IFERROR([1]!IntrinioBankFinancials(rssd_id,$R$2,J$6,J$5,$B54,"K"),"")</f>
        <v/>
      </c>
      <c r="K54" s="24" t="str">
        <f>IFERROR([1]!IntrinioBankFinancials(rssd_id,$R$2,K$6,K$5,$B54,"K"),"")</f>
        <v/>
      </c>
      <c r="L54" s="24" t="str">
        <f>IFERROR([1]!IntrinioBankFinancials(rssd_id,$R$2,L$6,L$5,$B54,"K"),"")</f>
        <v/>
      </c>
      <c r="M54" s="24" t="str">
        <f>IFERROR([1]!IntrinioBankFinancials(rssd_id,$R$2,M$6,M$5,$B54,"K"),"")</f>
        <v/>
      </c>
      <c r="N54" s="24" t="str">
        <f>IFERROR([1]!IntrinioBankFinancials(rssd_id,$R$2,N$6,N$5,$B54,"K"),"")</f>
        <v/>
      </c>
      <c r="O54" s="24" t="str">
        <f>IFERROR([1]!IntrinioBankFinancials(rssd_id,$R$2,O$6,O$5,$B54,"K"),"")</f>
        <v/>
      </c>
    </row>
    <row r="55" spans="1:15" ht="13.5" customHeight="1" x14ac:dyDescent="0.4">
      <c r="A55" s="34" t="s">
        <v>282</v>
      </c>
      <c r="B55" s="23" t="s">
        <v>1388</v>
      </c>
      <c r="C55" s="24" t="str">
        <f>IFERROR([1]!IntrinioBankFinancials(rssd_id,$R$2,C$6,C$5,$B55,"K"),"")</f>
        <v/>
      </c>
      <c r="D55" s="24" t="str">
        <f>IFERROR([1]!IntrinioBankFinancials(rssd_id,$R$2,D$6,D$5,$B55,"K"),"")</f>
        <v/>
      </c>
      <c r="E55" s="24" t="str">
        <f>IFERROR([1]!IntrinioBankFinancials(rssd_id,$R$2,E$6,E$5,$B55,"K"),"")</f>
        <v/>
      </c>
      <c r="F55" s="24" t="str">
        <f>IFERROR([1]!IntrinioBankFinancials(rssd_id,$R$2,F$6,F$5,$B55,"K"),"")</f>
        <v/>
      </c>
      <c r="G55" s="24" t="str">
        <f>IFERROR([1]!IntrinioBankFinancials(rssd_id,$R$2,G$6,G$5,$B55,"K"),"")</f>
        <v/>
      </c>
      <c r="H55" s="24" t="str">
        <f>IFERROR([1]!IntrinioBankFinancials(rssd_id,$R$2,H$6,H$5,$B55,"K"),"")</f>
        <v/>
      </c>
      <c r="I55" s="24" t="str">
        <f>IFERROR([1]!IntrinioBankFinancials(rssd_id,$R$2,I$6,I$5,$B55,"K"),"")</f>
        <v/>
      </c>
      <c r="J55" s="24" t="str">
        <f>IFERROR([1]!IntrinioBankFinancials(rssd_id,$R$2,J$6,J$5,$B55,"K"),"")</f>
        <v/>
      </c>
      <c r="K55" s="24" t="str">
        <f>IFERROR([1]!IntrinioBankFinancials(rssd_id,$R$2,K$6,K$5,$B55,"K"),"")</f>
        <v/>
      </c>
      <c r="L55" s="24" t="str">
        <f>IFERROR([1]!IntrinioBankFinancials(rssd_id,$R$2,L$6,L$5,$B55,"K"),"")</f>
        <v/>
      </c>
      <c r="M55" s="24" t="str">
        <f>IFERROR([1]!IntrinioBankFinancials(rssd_id,$R$2,M$6,M$5,$B55,"K"),"")</f>
        <v/>
      </c>
      <c r="N55" s="24" t="str">
        <f>IFERROR([1]!IntrinioBankFinancials(rssd_id,$R$2,N$6,N$5,$B55,"K"),"")</f>
        <v/>
      </c>
      <c r="O55" s="24" t="str">
        <f>IFERROR([1]!IntrinioBankFinancials(rssd_id,$R$2,O$6,O$5,$B55,"K"),"")</f>
        <v/>
      </c>
    </row>
    <row r="56" spans="1:15" ht="13.5" customHeight="1" x14ac:dyDescent="0.4">
      <c r="A56" s="34" t="s">
        <v>284</v>
      </c>
      <c r="B56" s="23" t="s">
        <v>1389</v>
      </c>
      <c r="C56" s="24" t="str">
        <f>IFERROR([1]!IntrinioBankFinancials(rssd_id,$R$2,C$6,C$5,$B56,"K"),"")</f>
        <v/>
      </c>
      <c r="D56" s="24" t="str">
        <f>IFERROR([1]!IntrinioBankFinancials(rssd_id,$R$2,D$6,D$5,$B56,"K"),"")</f>
        <v/>
      </c>
      <c r="E56" s="24" t="str">
        <f>IFERROR([1]!IntrinioBankFinancials(rssd_id,$R$2,E$6,E$5,$B56,"K"),"")</f>
        <v/>
      </c>
      <c r="F56" s="24" t="str">
        <f>IFERROR([1]!IntrinioBankFinancials(rssd_id,$R$2,F$6,F$5,$B56,"K"),"")</f>
        <v/>
      </c>
      <c r="G56" s="24" t="str">
        <f>IFERROR([1]!IntrinioBankFinancials(rssd_id,$R$2,G$6,G$5,$B56,"K"),"")</f>
        <v/>
      </c>
      <c r="H56" s="24" t="str">
        <f>IFERROR([1]!IntrinioBankFinancials(rssd_id,$R$2,H$6,H$5,$B56,"K"),"")</f>
        <v/>
      </c>
      <c r="I56" s="24" t="str">
        <f>IFERROR([1]!IntrinioBankFinancials(rssd_id,$R$2,I$6,I$5,$B56,"K"),"")</f>
        <v/>
      </c>
      <c r="J56" s="24" t="str">
        <f>IFERROR([1]!IntrinioBankFinancials(rssd_id,$R$2,J$6,J$5,$B56,"K"),"")</f>
        <v/>
      </c>
      <c r="K56" s="24" t="str">
        <f>IFERROR([1]!IntrinioBankFinancials(rssd_id,$R$2,K$6,K$5,$B56,"K"),"")</f>
        <v/>
      </c>
      <c r="L56" s="24" t="str">
        <f>IFERROR([1]!IntrinioBankFinancials(rssd_id,$R$2,L$6,L$5,$B56,"K"),"")</f>
        <v/>
      </c>
      <c r="M56" s="24" t="str">
        <f>IFERROR([1]!IntrinioBankFinancials(rssd_id,$R$2,M$6,M$5,$B56,"K"),"")</f>
        <v/>
      </c>
      <c r="N56" s="24" t="str">
        <f>IFERROR([1]!IntrinioBankFinancials(rssd_id,$R$2,N$6,N$5,$B56,"K"),"")</f>
        <v/>
      </c>
      <c r="O56" s="24" t="str">
        <f>IFERROR([1]!IntrinioBankFinancials(rssd_id,$R$2,O$6,O$5,$B56,"K"),"")</f>
        <v/>
      </c>
    </row>
    <row r="57" spans="1:15" ht="13.5" customHeight="1" x14ac:dyDescent="0.4">
      <c r="A57" s="34" t="s">
        <v>882</v>
      </c>
      <c r="B57" s="23" t="s">
        <v>883</v>
      </c>
      <c r="C57" s="24" t="str">
        <f>IFERROR([1]!IntrinioBankFinancials(rssd_id,$R$2,C$6,C$5,$B57,"K"),"")</f>
        <v/>
      </c>
      <c r="D57" s="24" t="str">
        <f>IFERROR([1]!IntrinioBankFinancials(rssd_id,$R$2,D$6,D$5,$B57,"K"),"")</f>
        <v/>
      </c>
      <c r="E57" s="24" t="str">
        <f>IFERROR([1]!IntrinioBankFinancials(rssd_id,$R$2,E$6,E$5,$B57,"K"),"")</f>
        <v/>
      </c>
      <c r="F57" s="24" t="str">
        <f>IFERROR([1]!IntrinioBankFinancials(rssd_id,$R$2,F$6,F$5,$B57,"K"),"")</f>
        <v/>
      </c>
      <c r="G57" s="24" t="str">
        <f>IFERROR([1]!IntrinioBankFinancials(rssd_id,$R$2,G$6,G$5,$B57,"K"),"")</f>
        <v/>
      </c>
      <c r="H57" s="24" t="str">
        <f>IFERROR([1]!IntrinioBankFinancials(rssd_id,$R$2,H$6,H$5,$B57,"K"),"")</f>
        <v/>
      </c>
      <c r="I57" s="24" t="str">
        <f>IFERROR([1]!IntrinioBankFinancials(rssd_id,$R$2,I$6,I$5,$B57,"K"),"")</f>
        <v/>
      </c>
      <c r="J57" s="24" t="str">
        <f>IFERROR([1]!IntrinioBankFinancials(rssd_id,$R$2,J$6,J$5,$B57,"K"),"")</f>
        <v/>
      </c>
      <c r="K57" s="24" t="str">
        <f>IFERROR([1]!IntrinioBankFinancials(rssd_id,$R$2,K$6,K$5,$B57,"K"),"")</f>
        <v/>
      </c>
      <c r="L57" s="24" t="str">
        <f>IFERROR([1]!IntrinioBankFinancials(rssd_id,$R$2,L$6,L$5,$B57,"K"),"")</f>
        <v/>
      </c>
      <c r="M57" s="24" t="str">
        <f>IFERROR([1]!IntrinioBankFinancials(rssd_id,$R$2,M$6,M$5,$B57,"K"),"")</f>
        <v/>
      </c>
      <c r="N57" s="24" t="str">
        <f>IFERROR([1]!IntrinioBankFinancials(rssd_id,$R$2,N$6,N$5,$B57,"K"),"")</f>
        <v/>
      </c>
      <c r="O57" s="24" t="str">
        <f>IFERROR([1]!IntrinioBankFinancials(rssd_id,$R$2,O$6,O$5,$B57,"K"),"")</f>
        <v/>
      </c>
    </row>
    <row r="58" spans="1:15" ht="13.5" customHeight="1" x14ac:dyDescent="0.4">
      <c r="A58" s="34" t="s">
        <v>1390</v>
      </c>
      <c r="B58" s="23" t="s">
        <v>1391</v>
      </c>
      <c r="C58" s="24" t="str">
        <f>IFERROR([1]!IntrinioBankFinancials(rssd_id,$R$2,C$6,C$5,$B58,"K"),"")</f>
        <v/>
      </c>
      <c r="D58" s="24" t="str">
        <f>IFERROR([1]!IntrinioBankFinancials(rssd_id,$R$2,D$6,D$5,$B58,"K"),"")</f>
        <v/>
      </c>
      <c r="E58" s="24" t="str">
        <f>IFERROR([1]!IntrinioBankFinancials(rssd_id,$R$2,E$6,E$5,$B58,"K"),"")</f>
        <v/>
      </c>
      <c r="F58" s="24" t="str">
        <f>IFERROR([1]!IntrinioBankFinancials(rssd_id,$R$2,F$6,F$5,$B58,"K"),"")</f>
        <v/>
      </c>
      <c r="G58" s="24" t="str">
        <f>IFERROR([1]!IntrinioBankFinancials(rssd_id,$R$2,G$6,G$5,$B58,"K"),"")</f>
        <v/>
      </c>
      <c r="H58" s="24" t="str">
        <f>IFERROR([1]!IntrinioBankFinancials(rssd_id,$R$2,H$6,H$5,$B58,"K"),"")</f>
        <v/>
      </c>
      <c r="I58" s="24" t="str">
        <f>IFERROR([1]!IntrinioBankFinancials(rssd_id,$R$2,I$6,I$5,$B58,"K"),"")</f>
        <v/>
      </c>
      <c r="J58" s="24" t="str">
        <f>IFERROR([1]!IntrinioBankFinancials(rssd_id,$R$2,J$6,J$5,$B58,"K"),"")</f>
        <v/>
      </c>
      <c r="K58" s="24" t="str">
        <f>IFERROR([1]!IntrinioBankFinancials(rssd_id,$R$2,K$6,K$5,$B58,"K"),"")</f>
        <v/>
      </c>
      <c r="L58" s="24" t="str">
        <f>IFERROR([1]!IntrinioBankFinancials(rssd_id,$R$2,L$6,L$5,$B58,"K"),"")</f>
        <v/>
      </c>
      <c r="M58" s="24" t="str">
        <f>IFERROR([1]!IntrinioBankFinancials(rssd_id,$R$2,M$6,M$5,$B58,"K"),"")</f>
        <v/>
      </c>
      <c r="N58" s="24" t="str">
        <f>IFERROR([1]!IntrinioBankFinancials(rssd_id,$R$2,N$6,N$5,$B58,"K"),"")</f>
        <v/>
      </c>
      <c r="O58" s="24" t="str">
        <f>IFERROR([1]!IntrinioBankFinancials(rssd_id,$R$2,O$6,O$5,$B58,"K"),"")</f>
        <v/>
      </c>
    </row>
    <row r="59" spans="1:15" ht="13.5" customHeight="1" x14ac:dyDescent="0.4">
      <c r="A59" s="34" t="s">
        <v>946</v>
      </c>
      <c r="B59" s="23" t="s">
        <v>947</v>
      </c>
      <c r="C59" s="24" t="str">
        <f>IFERROR([1]!IntrinioBankFinancials(rssd_id,$R$2,C$6,C$5,$B59,"K"),"")</f>
        <v/>
      </c>
      <c r="D59" s="24" t="str">
        <f>IFERROR([1]!IntrinioBankFinancials(rssd_id,$R$2,D$6,D$5,$B59,"K"),"")</f>
        <v/>
      </c>
      <c r="E59" s="24" t="str">
        <f>IFERROR([1]!IntrinioBankFinancials(rssd_id,$R$2,E$6,E$5,$B59,"K"),"")</f>
        <v/>
      </c>
      <c r="F59" s="24" t="str">
        <f>IFERROR([1]!IntrinioBankFinancials(rssd_id,$R$2,F$6,F$5,$B59,"K"),"")</f>
        <v/>
      </c>
      <c r="G59" s="24" t="str">
        <f>IFERROR([1]!IntrinioBankFinancials(rssd_id,$R$2,G$6,G$5,$B59,"K"),"")</f>
        <v/>
      </c>
      <c r="H59" s="24" t="str">
        <f>IFERROR([1]!IntrinioBankFinancials(rssd_id,$R$2,H$6,H$5,$B59,"K"),"")</f>
        <v/>
      </c>
      <c r="I59" s="24" t="str">
        <f>IFERROR([1]!IntrinioBankFinancials(rssd_id,$R$2,I$6,I$5,$B59,"K"),"")</f>
        <v/>
      </c>
      <c r="J59" s="24" t="str">
        <f>IFERROR([1]!IntrinioBankFinancials(rssd_id,$R$2,J$6,J$5,$B59,"K"),"")</f>
        <v/>
      </c>
      <c r="K59" s="24" t="str">
        <f>IFERROR([1]!IntrinioBankFinancials(rssd_id,$R$2,K$6,K$5,$B59,"K"),"")</f>
        <v/>
      </c>
      <c r="L59" s="24" t="str">
        <f>IFERROR([1]!IntrinioBankFinancials(rssd_id,$R$2,L$6,L$5,$B59,"K"),"")</f>
        <v/>
      </c>
      <c r="M59" s="24" t="str">
        <f>IFERROR([1]!IntrinioBankFinancials(rssd_id,$R$2,M$6,M$5,$B59,"K"),"")</f>
        <v/>
      </c>
      <c r="N59" s="24" t="str">
        <f>IFERROR([1]!IntrinioBankFinancials(rssd_id,$R$2,N$6,N$5,$B59,"K"),"")</f>
        <v/>
      </c>
      <c r="O59" s="24" t="str">
        <f>IFERROR([1]!IntrinioBankFinancials(rssd_id,$R$2,O$6,O$5,$B59,"K"),"")</f>
        <v/>
      </c>
    </row>
    <row r="60" spans="1:15" ht="13.5" customHeight="1" x14ac:dyDescent="0.4">
      <c r="A60" s="34" t="s">
        <v>1392</v>
      </c>
      <c r="B60" s="23" t="s">
        <v>1393</v>
      </c>
      <c r="C60" s="24" t="str">
        <f>IFERROR([1]!IntrinioBankFinancials(rssd_id,$R$2,C$6,C$5,$B60,"K"),"")</f>
        <v/>
      </c>
      <c r="D60" s="24" t="str">
        <f>IFERROR([1]!IntrinioBankFinancials(rssd_id,$R$2,D$6,D$5,$B60,"K"),"")</f>
        <v/>
      </c>
      <c r="E60" s="24" t="str">
        <f>IFERROR([1]!IntrinioBankFinancials(rssd_id,$R$2,E$6,E$5,$B60,"K"),"")</f>
        <v/>
      </c>
      <c r="F60" s="24" t="str">
        <f>IFERROR([1]!IntrinioBankFinancials(rssd_id,$R$2,F$6,F$5,$B60,"K"),"")</f>
        <v/>
      </c>
      <c r="G60" s="24" t="str">
        <f>IFERROR([1]!IntrinioBankFinancials(rssd_id,$R$2,G$6,G$5,$B60,"K"),"")</f>
        <v/>
      </c>
      <c r="H60" s="24" t="str">
        <f>IFERROR([1]!IntrinioBankFinancials(rssd_id,$R$2,H$6,H$5,$B60,"K"),"")</f>
        <v/>
      </c>
      <c r="I60" s="24" t="str">
        <f>IFERROR([1]!IntrinioBankFinancials(rssd_id,$R$2,I$6,I$5,$B60,"K"),"")</f>
        <v/>
      </c>
      <c r="J60" s="24" t="str">
        <f>IFERROR([1]!IntrinioBankFinancials(rssd_id,$R$2,J$6,J$5,$B60,"K"),"")</f>
        <v/>
      </c>
      <c r="K60" s="24" t="str">
        <f>IFERROR([1]!IntrinioBankFinancials(rssd_id,$R$2,K$6,K$5,$B60,"K"),"")</f>
        <v/>
      </c>
      <c r="L60" s="24" t="str">
        <f>IFERROR([1]!IntrinioBankFinancials(rssd_id,$R$2,L$6,L$5,$B60,"K"),"")</f>
        <v/>
      </c>
      <c r="M60" s="24" t="str">
        <f>IFERROR([1]!IntrinioBankFinancials(rssd_id,$R$2,M$6,M$5,$B60,"K"),"")</f>
        <v/>
      </c>
      <c r="N60" s="24" t="str">
        <f>IFERROR([1]!IntrinioBankFinancials(rssd_id,$R$2,N$6,N$5,$B60,"K"),"")</f>
        <v/>
      </c>
      <c r="O60" s="24" t="str">
        <f>IFERROR([1]!IntrinioBankFinancials(rssd_id,$R$2,O$6,O$5,$B60,"K"),"")</f>
        <v/>
      </c>
    </row>
  </sheetData>
  <pageMargins left="0.7" right="0.7" top="0.75" bottom="0.75" header="0.3" footer="0.3"/>
  <pageSetup scale="97" fitToHeight="2" orientation="landscape" r:id="rId1"/>
  <headerFooter>
    <oddFooter>&amp;L&amp;G&amp;R&amp;P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/>
    <pageSetUpPr fitToPage="1"/>
  </sheetPr>
  <dimension ref="A1:R46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135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1190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136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78</v>
      </c>
      <c r="B9" s="23" t="s">
        <v>79</v>
      </c>
      <c r="C9" s="31" t="str">
        <f>IFERROR([1]!IntrinioBankFinancials(rssd_id,$R$2,C$6,C$5,$B9),"")</f>
        <v/>
      </c>
      <c r="D9" s="31" t="str">
        <f>IFERROR([1]!IntrinioBankFinancials(rssd_id,$R$2,D$6,D$5,$B9),"")</f>
        <v/>
      </c>
      <c r="E9" s="31" t="str">
        <f>IFERROR([1]!IntrinioBankFinancials(rssd_id,$R$2,E$6,E$5,$B9),"")</f>
        <v/>
      </c>
      <c r="F9" s="31" t="str">
        <f>IFERROR([1]!IntrinioBankFinancials(rssd_id,$R$2,F$6,F$5,$B9),"")</f>
        <v/>
      </c>
      <c r="G9" s="31" t="str">
        <f>IFERROR([1]!IntrinioBankFinancials(rssd_id,$R$2,G$6,G$5,$B9),"")</f>
        <v/>
      </c>
      <c r="H9" s="31" t="str">
        <f>IFERROR([1]!IntrinioBankFinancials(rssd_id,$R$2,H$6,H$5,$B9),"")</f>
        <v/>
      </c>
      <c r="I9" s="31" t="str">
        <f>IFERROR([1]!IntrinioBankFinancials(rssd_id,$R$2,I$6,I$5,$B9),"")</f>
        <v/>
      </c>
      <c r="J9" s="31" t="str">
        <f>IFERROR([1]!IntrinioBankFinancials(rssd_id,$R$2,J$6,J$5,$B9),"")</f>
        <v/>
      </c>
      <c r="K9" s="31" t="str">
        <f>IFERROR([1]!IntrinioBankFinancials(rssd_id,$R$2,K$6,K$5,$B9),"")</f>
        <v/>
      </c>
      <c r="L9" s="31" t="str">
        <f>IFERROR([1]!IntrinioBankFinancials(rssd_id,$R$2,L$6,L$5,$B9),"")</f>
        <v/>
      </c>
      <c r="M9" s="31" t="str">
        <f>IFERROR([1]!IntrinioBankFinancials(rssd_id,$R$2,M$6,M$5,$B9),"")</f>
        <v/>
      </c>
      <c r="N9" s="31" t="str">
        <f>IFERROR([1]!IntrinioBankFinancials(rssd_id,$R$2,N$6,N$5,$B9),"")</f>
        <v/>
      </c>
      <c r="O9" s="31" t="str">
        <f>IFERROR([1]!IntrinioBankFinancials(rssd_id,$R$2,O$6,O$5,$B9),"")</f>
        <v/>
      </c>
    </row>
    <row r="10" spans="1:18" s="22" customFormat="1" ht="13.5" customHeight="1" x14ac:dyDescent="0.4">
      <c r="A10" s="34" t="s">
        <v>80</v>
      </c>
      <c r="B10" s="23" t="s">
        <v>81</v>
      </c>
      <c r="C10" s="31" t="str">
        <f>IFERROR([1]!IntrinioBankFinancials(rssd_id,$R$2,C$6,C$5,$B10),"")</f>
        <v/>
      </c>
      <c r="D10" s="31" t="str">
        <f>IFERROR([1]!IntrinioBankFinancials(rssd_id,$R$2,D$6,D$5,$B10),"")</f>
        <v/>
      </c>
      <c r="E10" s="31" t="str">
        <f>IFERROR([1]!IntrinioBankFinancials(rssd_id,$R$2,E$6,E$5,$B10),"")</f>
        <v/>
      </c>
      <c r="F10" s="31" t="str">
        <f>IFERROR([1]!IntrinioBankFinancials(rssd_id,$R$2,F$6,F$5,$B10),"")</f>
        <v/>
      </c>
      <c r="G10" s="31" t="str">
        <f>IFERROR([1]!IntrinioBankFinancials(rssd_id,$R$2,G$6,G$5,$B10),"")</f>
        <v/>
      </c>
      <c r="H10" s="31" t="str">
        <f>IFERROR([1]!IntrinioBankFinancials(rssd_id,$R$2,H$6,H$5,$B10),"")</f>
        <v/>
      </c>
      <c r="I10" s="31" t="str">
        <f>IFERROR([1]!IntrinioBankFinancials(rssd_id,$R$2,I$6,I$5,$B10),"")</f>
        <v/>
      </c>
      <c r="J10" s="31" t="str">
        <f>IFERROR([1]!IntrinioBankFinancials(rssd_id,$R$2,J$6,J$5,$B10),"")</f>
        <v/>
      </c>
      <c r="K10" s="31" t="str">
        <f>IFERROR([1]!IntrinioBankFinancials(rssd_id,$R$2,K$6,K$5,$B10),"")</f>
        <v/>
      </c>
      <c r="L10" s="31" t="str">
        <f>IFERROR([1]!IntrinioBankFinancials(rssd_id,$R$2,L$6,L$5,$B10),"")</f>
        <v/>
      </c>
      <c r="M10" s="31" t="str">
        <f>IFERROR([1]!IntrinioBankFinancials(rssd_id,$R$2,M$6,M$5,$B10),"")</f>
        <v/>
      </c>
      <c r="N10" s="31" t="str">
        <f>IFERROR([1]!IntrinioBankFinancials(rssd_id,$R$2,N$6,N$5,$B10),"")</f>
        <v/>
      </c>
      <c r="O10" s="31" t="str">
        <f>IFERROR([1]!IntrinioBankFinancials(rssd_id,$R$2,O$6,O$5,$B10),"")</f>
        <v/>
      </c>
    </row>
    <row r="11" spans="1:18" s="22" customFormat="1" ht="13.5" customHeight="1" x14ac:dyDescent="0.4">
      <c r="A11" s="34" t="s">
        <v>82</v>
      </c>
      <c r="B11" s="23" t="s">
        <v>83</v>
      </c>
      <c r="C11" s="31" t="str">
        <f>IFERROR([1]!IntrinioBankFinancials(rssd_id,$R$2,C$6,C$5,$B11),"")</f>
        <v/>
      </c>
      <c r="D11" s="31" t="str">
        <f>IFERROR([1]!IntrinioBankFinancials(rssd_id,$R$2,D$6,D$5,$B11),"")</f>
        <v/>
      </c>
      <c r="E11" s="31" t="str">
        <f>IFERROR([1]!IntrinioBankFinancials(rssd_id,$R$2,E$6,E$5,$B11),"")</f>
        <v/>
      </c>
      <c r="F11" s="31" t="str">
        <f>IFERROR([1]!IntrinioBankFinancials(rssd_id,$R$2,F$6,F$5,$B11),"")</f>
        <v/>
      </c>
      <c r="G11" s="31" t="str">
        <f>IFERROR([1]!IntrinioBankFinancials(rssd_id,$R$2,G$6,G$5,$B11),"")</f>
        <v/>
      </c>
      <c r="H11" s="31" t="str">
        <f>IFERROR([1]!IntrinioBankFinancials(rssd_id,$R$2,H$6,H$5,$B11),"")</f>
        <v/>
      </c>
      <c r="I11" s="31" t="str">
        <f>IFERROR([1]!IntrinioBankFinancials(rssd_id,$R$2,I$6,I$5,$B11),"")</f>
        <v/>
      </c>
      <c r="J11" s="31" t="str">
        <f>IFERROR([1]!IntrinioBankFinancials(rssd_id,$R$2,J$6,J$5,$B11),"")</f>
        <v/>
      </c>
      <c r="K11" s="31" t="str">
        <f>IFERROR([1]!IntrinioBankFinancials(rssd_id,$R$2,K$6,K$5,$B11),"")</f>
        <v/>
      </c>
      <c r="L11" s="31" t="str">
        <f>IFERROR([1]!IntrinioBankFinancials(rssd_id,$R$2,L$6,L$5,$B11),"")</f>
        <v/>
      </c>
      <c r="M11" s="31" t="str">
        <f>IFERROR([1]!IntrinioBankFinancials(rssd_id,$R$2,M$6,M$5,$B11),"")</f>
        <v/>
      </c>
      <c r="N11" s="31" t="str">
        <f>IFERROR([1]!IntrinioBankFinancials(rssd_id,$R$2,N$6,N$5,$B11),"")</f>
        <v/>
      </c>
      <c r="O11" s="31" t="str">
        <f>IFERROR([1]!IntrinioBankFinancials(rssd_id,$R$2,O$6,O$5,$B11),"")</f>
        <v/>
      </c>
    </row>
    <row r="12" spans="1:18" s="22" customFormat="1" ht="13.5" customHeight="1" x14ac:dyDescent="0.4">
      <c r="A12" s="34" t="s">
        <v>84</v>
      </c>
      <c r="B12" s="23" t="s">
        <v>85</v>
      </c>
      <c r="C12" s="31" t="str">
        <f>IFERROR([1]!IntrinioBankFinancials(rssd_id,$R$2,C$6,C$5,$B12),"")</f>
        <v/>
      </c>
      <c r="D12" s="31" t="str">
        <f>IFERROR([1]!IntrinioBankFinancials(rssd_id,$R$2,D$6,D$5,$B12),"")</f>
        <v/>
      </c>
      <c r="E12" s="31" t="str">
        <f>IFERROR([1]!IntrinioBankFinancials(rssd_id,$R$2,E$6,E$5,$B12),"")</f>
        <v/>
      </c>
      <c r="F12" s="31" t="str">
        <f>IFERROR([1]!IntrinioBankFinancials(rssd_id,$R$2,F$6,F$5,$B12),"")</f>
        <v/>
      </c>
      <c r="G12" s="31" t="str">
        <f>IFERROR([1]!IntrinioBankFinancials(rssd_id,$R$2,G$6,G$5,$B12),"")</f>
        <v/>
      </c>
      <c r="H12" s="31" t="str">
        <f>IFERROR([1]!IntrinioBankFinancials(rssd_id,$R$2,H$6,H$5,$B12),"")</f>
        <v/>
      </c>
      <c r="I12" s="31" t="str">
        <f>IFERROR([1]!IntrinioBankFinancials(rssd_id,$R$2,I$6,I$5,$B12),"")</f>
        <v/>
      </c>
      <c r="J12" s="31" t="str">
        <f>IFERROR([1]!IntrinioBankFinancials(rssd_id,$R$2,J$6,J$5,$B12),"")</f>
        <v/>
      </c>
      <c r="K12" s="31" t="str">
        <f>IFERROR([1]!IntrinioBankFinancials(rssd_id,$R$2,K$6,K$5,$B12),"")</f>
        <v/>
      </c>
      <c r="L12" s="31" t="str">
        <f>IFERROR([1]!IntrinioBankFinancials(rssd_id,$R$2,L$6,L$5,$B12),"")</f>
        <v/>
      </c>
      <c r="M12" s="31" t="str">
        <f>IFERROR([1]!IntrinioBankFinancials(rssd_id,$R$2,M$6,M$5,$B12),"")</f>
        <v/>
      </c>
      <c r="N12" s="31" t="str">
        <f>IFERROR([1]!IntrinioBankFinancials(rssd_id,$R$2,N$6,N$5,$B12),"")</f>
        <v/>
      </c>
      <c r="O12" s="31" t="str">
        <f>IFERROR([1]!IntrinioBankFinancials(rssd_id,$R$2,O$6,O$5,$B12),"")</f>
        <v/>
      </c>
    </row>
    <row r="13" spans="1:18" s="22" customFormat="1" ht="13.5" customHeight="1" x14ac:dyDescent="0.4">
      <c r="A13" s="34" t="s">
        <v>86</v>
      </c>
      <c r="B13" s="23" t="s">
        <v>87</v>
      </c>
      <c r="C13" s="31" t="str">
        <f>IFERROR([1]!IntrinioBankFinancials(rssd_id,$R$2,C$6,C$5,$B13),"")</f>
        <v/>
      </c>
      <c r="D13" s="31" t="str">
        <f>IFERROR([1]!IntrinioBankFinancials(rssd_id,$R$2,D$6,D$5,$B13),"")</f>
        <v/>
      </c>
      <c r="E13" s="31" t="str">
        <f>IFERROR([1]!IntrinioBankFinancials(rssd_id,$R$2,E$6,E$5,$B13),"")</f>
        <v/>
      </c>
      <c r="F13" s="31" t="str">
        <f>IFERROR([1]!IntrinioBankFinancials(rssd_id,$R$2,F$6,F$5,$B13),"")</f>
        <v/>
      </c>
      <c r="G13" s="31" t="str">
        <f>IFERROR([1]!IntrinioBankFinancials(rssd_id,$R$2,G$6,G$5,$B13),"")</f>
        <v/>
      </c>
      <c r="H13" s="31" t="str">
        <f>IFERROR([1]!IntrinioBankFinancials(rssd_id,$R$2,H$6,H$5,$B13),"")</f>
        <v/>
      </c>
      <c r="I13" s="31" t="str">
        <f>IFERROR([1]!IntrinioBankFinancials(rssd_id,$R$2,I$6,I$5,$B13),"")</f>
        <v/>
      </c>
      <c r="J13" s="31" t="str">
        <f>IFERROR([1]!IntrinioBankFinancials(rssd_id,$R$2,J$6,J$5,$B13),"")</f>
        <v/>
      </c>
      <c r="K13" s="31" t="str">
        <f>IFERROR([1]!IntrinioBankFinancials(rssd_id,$R$2,K$6,K$5,$B13),"")</f>
        <v/>
      </c>
      <c r="L13" s="31" t="str">
        <f>IFERROR([1]!IntrinioBankFinancials(rssd_id,$R$2,L$6,L$5,$B13),"")</f>
        <v/>
      </c>
      <c r="M13" s="31" t="str">
        <f>IFERROR([1]!IntrinioBankFinancials(rssd_id,$R$2,M$6,M$5,$B13),"")</f>
        <v/>
      </c>
      <c r="N13" s="31" t="str">
        <f>IFERROR([1]!IntrinioBankFinancials(rssd_id,$R$2,N$6,N$5,$B13),"")</f>
        <v/>
      </c>
      <c r="O13" s="31" t="str">
        <f>IFERROR([1]!IntrinioBankFinancials(rssd_id,$R$2,O$6,O$5,$B13),"")</f>
        <v/>
      </c>
    </row>
    <row r="14" spans="1:18" s="22" customFormat="1" ht="13.5" customHeight="1" x14ac:dyDescent="0.4">
      <c r="A14" s="34" t="s">
        <v>88</v>
      </c>
      <c r="B14" s="23" t="s">
        <v>89</v>
      </c>
      <c r="C14" s="31" t="str">
        <f>IFERROR([1]!IntrinioBankFinancials(rssd_id,$R$2,C$6,C$5,$B14),"")</f>
        <v/>
      </c>
      <c r="D14" s="31" t="str">
        <f>IFERROR([1]!IntrinioBankFinancials(rssd_id,$R$2,D$6,D$5,$B14),"")</f>
        <v/>
      </c>
      <c r="E14" s="31" t="str">
        <f>IFERROR([1]!IntrinioBankFinancials(rssd_id,$R$2,E$6,E$5,$B14),"")</f>
        <v/>
      </c>
      <c r="F14" s="31" t="str">
        <f>IFERROR([1]!IntrinioBankFinancials(rssd_id,$R$2,F$6,F$5,$B14),"")</f>
        <v/>
      </c>
      <c r="G14" s="31" t="str">
        <f>IFERROR([1]!IntrinioBankFinancials(rssd_id,$R$2,G$6,G$5,$B14),"")</f>
        <v/>
      </c>
      <c r="H14" s="31" t="str">
        <f>IFERROR([1]!IntrinioBankFinancials(rssd_id,$R$2,H$6,H$5,$B14),"")</f>
        <v/>
      </c>
      <c r="I14" s="31" t="str">
        <f>IFERROR([1]!IntrinioBankFinancials(rssd_id,$R$2,I$6,I$5,$B14),"")</f>
        <v/>
      </c>
      <c r="J14" s="31" t="str">
        <f>IFERROR([1]!IntrinioBankFinancials(rssd_id,$R$2,J$6,J$5,$B14),"")</f>
        <v/>
      </c>
      <c r="K14" s="31" t="str">
        <f>IFERROR([1]!IntrinioBankFinancials(rssd_id,$R$2,K$6,K$5,$B14),"")</f>
        <v/>
      </c>
      <c r="L14" s="31" t="str">
        <f>IFERROR([1]!IntrinioBankFinancials(rssd_id,$R$2,L$6,L$5,$B14),"")</f>
        <v/>
      </c>
      <c r="M14" s="31" t="str">
        <f>IFERROR([1]!IntrinioBankFinancials(rssd_id,$R$2,M$6,M$5,$B14),"")</f>
        <v/>
      </c>
      <c r="N14" s="31" t="str">
        <f>IFERROR([1]!IntrinioBankFinancials(rssd_id,$R$2,N$6,N$5,$B14),"")</f>
        <v/>
      </c>
      <c r="O14" s="31" t="str">
        <f>IFERROR([1]!IntrinioBankFinancials(rssd_id,$R$2,O$6,O$5,$B14),"")</f>
        <v/>
      </c>
    </row>
    <row r="15" spans="1:18" s="22" customFormat="1" ht="13.5" customHeight="1" x14ac:dyDescent="0.4">
      <c r="A15" s="34" t="s">
        <v>90</v>
      </c>
      <c r="B15" s="23" t="s">
        <v>91</v>
      </c>
      <c r="C15" s="31" t="str">
        <f>IFERROR([1]!IntrinioBankFinancials(rssd_id,$R$2,C$6,C$5,$B15),"")</f>
        <v/>
      </c>
      <c r="D15" s="31" t="str">
        <f>IFERROR([1]!IntrinioBankFinancials(rssd_id,$R$2,D$6,D$5,$B15),"")</f>
        <v/>
      </c>
      <c r="E15" s="31" t="str">
        <f>IFERROR([1]!IntrinioBankFinancials(rssd_id,$R$2,E$6,E$5,$B15),"")</f>
        <v/>
      </c>
      <c r="F15" s="31" t="str">
        <f>IFERROR([1]!IntrinioBankFinancials(rssd_id,$R$2,F$6,F$5,$B15),"")</f>
        <v/>
      </c>
      <c r="G15" s="31" t="str">
        <f>IFERROR([1]!IntrinioBankFinancials(rssd_id,$R$2,G$6,G$5,$B15),"")</f>
        <v/>
      </c>
      <c r="H15" s="31" t="str">
        <f>IFERROR([1]!IntrinioBankFinancials(rssd_id,$R$2,H$6,H$5,$B15),"")</f>
        <v/>
      </c>
      <c r="I15" s="31" t="str">
        <f>IFERROR([1]!IntrinioBankFinancials(rssd_id,$R$2,I$6,I$5,$B15),"")</f>
        <v/>
      </c>
      <c r="J15" s="31" t="str">
        <f>IFERROR([1]!IntrinioBankFinancials(rssd_id,$R$2,J$6,J$5,$B15),"")</f>
        <v/>
      </c>
      <c r="K15" s="31" t="str">
        <f>IFERROR([1]!IntrinioBankFinancials(rssd_id,$R$2,K$6,K$5,$B15),"")</f>
        <v/>
      </c>
      <c r="L15" s="31" t="str">
        <f>IFERROR([1]!IntrinioBankFinancials(rssd_id,$R$2,L$6,L$5,$B15),"")</f>
        <v/>
      </c>
      <c r="M15" s="31" t="str">
        <f>IFERROR([1]!IntrinioBankFinancials(rssd_id,$R$2,M$6,M$5,$B15),"")</f>
        <v/>
      </c>
      <c r="N15" s="31" t="str">
        <f>IFERROR([1]!IntrinioBankFinancials(rssd_id,$R$2,N$6,N$5,$B15),"")</f>
        <v/>
      </c>
      <c r="O15" s="31" t="str">
        <f>IFERROR([1]!IntrinioBankFinancials(rssd_id,$R$2,O$6,O$5,$B15),"")</f>
        <v/>
      </c>
    </row>
    <row r="16" spans="1:18" s="22" customFormat="1" ht="13.5" customHeight="1" x14ac:dyDescent="0.4">
      <c r="A16" s="34" t="s">
        <v>92</v>
      </c>
      <c r="B16" s="23" t="s">
        <v>93</v>
      </c>
      <c r="C16" s="31" t="str">
        <f>IFERROR([1]!IntrinioBankFinancials(rssd_id,$R$2,C$6,C$5,$B16),"")</f>
        <v/>
      </c>
      <c r="D16" s="31" t="str">
        <f>IFERROR([1]!IntrinioBankFinancials(rssd_id,$R$2,D$6,D$5,$B16),"")</f>
        <v/>
      </c>
      <c r="E16" s="31" t="str">
        <f>IFERROR([1]!IntrinioBankFinancials(rssd_id,$R$2,E$6,E$5,$B16),"")</f>
        <v/>
      </c>
      <c r="F16" s="31" t="str">
        <f>IFERROR([1]!IntrinioBankFinancials(rssd_id,$R$2,F$6,F$5,$B16),"")</f>
        <v/>
      </c>
      <c r="G16" s="31" t="str">
        <f>IFERROR([1]!IntrinioBankFinancials(rssd_id,$R$2,G$6,G$5,$B16),"")</f>
        <v/>
      </c>
      <c r="H16" s="31" t="str">
        <f>IFERROR([1]!IntrinioBankFinancials(rssd_id,$R$2,H$6,H$5,$B16),"")</f>
        <v/>
      </c>
      <c r="I16" s="31" t="str">
        <f>IFERROR([1]!IntrinioBankFinancials(rssd_id,$R$2,I$6,I$5,$B16),"")</f>
        <v/>
      </c>
      <c r="J16" s="31" t="str">
        <f>IFERROR([1]!IntrinioBankFinancials(rssd_id,$R$2,J$6,J$5,$B16),"")</f>
        <v/>
      </c>
      <c r="K16" s="31" t="str">
        <f>IFERROR([1]!IntrinioBankFinancials(rssd_id,$R$2,K$6,K$5,$B16),"")</f>
        <v/>
      </c>
      <c r="L16" s="31" t="str">
        <f>IFERROR([1]!IntrinioBankFinancials(rssd_id,$R$2,L$6,L$5,$B16),"")</f>
        <v/>
      </c>
      <c r="M16" s="31" t="str">
        <f>IFERROR([1]!IntrinioBankFinancials(rssd_id,$R$2,M$6,M$5,$B16),"")</f>
        <v/>
      </c>
      <c r="N16" s="31" t="str">
        <f>IFERROR([1]!IntrinioBankFinancials(rssd_id,$R$2,N$6,N$5,$B16),"")</f>
        <v/>
      </c>
      <c r="O16" s="31" t="str">
        <f>IFERROR([1]!IntrinioBankFinancials(rssd_id,$R$2,O$6,O$5,$B16),"")</f>
        <v/>
      </c>
    </row>
    <row r="17" spans="1:15" s="22" customFormat="1" ht="13.5" customHeight="1" x14ac:dyDescent="0.4">
      <c r="A17" s="34" t="s">
        <v>94</v>
      </c>
      <c r="B17" s="23" t="s">
        <v>95</v>
      </c>
      <c r="C17" s="31" t="str">
        <f>IFERROR([1]!IntrinioBankFinancials(rssd_id,$R$2,C$6,C$5,$B17),"")</f>
        <v/>
      </c>
      <c r="D17" s="31" t="str">
        <f>IFERROR([1]!IntrinioBankFinancials(rssd_id,$R$2,D$6,D$5,$B17),"")</f>
        <v/>
      </c>
      <c r="E17" s="31" t="str">
        <f>IFERROR([1]!IntrinioBankFinancials(rssd_id,$R$2,E$6,E$5,$B17),"")</f>
        <v/>
      </c>
      <c r="F17" s="31" t="str">
        <f>IFERROR([1]!IntrinioBankFinancials(rssd_id,$R$2,F$6,F$5,$B17),"")</f>
        <v/>
      </c>
      <c r="G17" s="31" t="str">
        <f>IFERROR([1]!IntrinioBankFinancials(rssd_id,$R$2,G$6,G$5,$B17),"")</f>
        <v/>
      </c>
      <c r="H17" s="31" t="str">
        <f>IFERROR([1]!IntrinioBankFinancials(rssd_id,$R$2,H$6,H$5,$B17),"")</f>
        <v/>
      </c>
      <c r="I17" s="31" t="str">
        <f>IFERROR([1]!IntrinioBankFinancials(rssd_id,$R$2,I$6,I$5,$B17),"")</f>
        <v/>
      </c>
      <c r="J17" s="31" t="str">
        <f>IFERROR([1]!IntrinioBankFinancials(rssd_id,$R$2,J$6,J$5,$B17),"")</f>
        <v/>
      </c>
      <c r="K17" s="31" t="str">
        <f>IFERROR([1]!IntrinioBankFinancials(rssd_id,$R$2,K$6,K$5,$B17),"")</f>
        <v/>
      </c>
      <c r="L17" s="31" t="str">
        <f>IFERROR([1]!IntrinioBankFinancials(rssd_id,$R$2,L$6,L$5,$B17),"")</f>
        <v/>
      </c>
      <c r="M17" s="31" t="str">
        <f>IFERROR([1]!IntrinioBankFinancials(rssd_id,$R$2,M$6,M$5,$B17),"")</f>
        <v/>
      </c>
      <c r="N17" s="31" t="str">
        <f>IFERROR([1]!IntrinioBankFinancials(rssd_id,$R$2,N$6,N$5,$B17),"")</f>
        <v/>
      </c>
      <c r="O17" s="31" t="str">
        <f>IFERROR([1]!IntrinioBankFinancials(rssd_id,$R$2,O$6,O$5,$B17),"")</f>
        <v/>
      </c>
    </row>
    <row r="18" spans="1:15" s="22" customFormat="1" ht="13.5" customHeight="1" x14ac:dyDescent="0.4">
      <c r="A18" s="34" t="s">
        <v>96</v>
      </c>
      <c r="B18" s="23" t="s">
        <v>97</v>
      </c>
      <c r="C18" s="31" t="str">
        <f>IFERROR([1]!IntrinioBankFinancials(rssd_id,$R$2,C$6,C$5,$B18),"")</f>
        <v/>
      </c>
      <c r="D18" s="31" t="str">
        <f>IFERROR([1]!IntrinioBankFinancials(rssd_id,$R$2,D$6,D$5,$B18),"")</f>
        <v/>
      </c>
      <c r="E18" s="31" t="str">
        <f>IFERROR([1]!IntrinioBankFinancials(rssd_id,$R$2,E$6,E$5,$B18),"")</f>
        <v/>
      </c>
      <c r="F18" s="31" t="str">
        <f>IFERROR([1]!IntrinioBankFinancials(rssd_id,$R$2,F$6,F$5,$B18),"")</f>
        <v/>
      </c>
      <c r="G18" s="31" t="str">
        <f>IFERROR([1]!IntrinioBankFinancials(rssd_id,$R$2,G$6,G$5,$B18),"")</f>
        <v/>
      </c>
      <c r="H18" s="31" t="str">
        <f>IFERROR([1]!IntrinioBankFinancials(rssd_id,$R$2,H$6,H$5,$B18),"")</f>
        <v/>
      </c>
      <c r="I18" s="31" t="str">
        <f>IFERROR([1]!IntrinioBankFinancials(rssd_id,$R$2,I$6,I$5,$B18),"")</f>
        <v/>
      </c>
      <c r="J18" s="31" t="str">
        <f>IFERROR([1]!IntrinioBankFinancials(rssd_id,$R$2,J$6,J$5,$B18),"")</f>
        <v/>
      </c>
      <c r="K18" s="31" t="str">
        <f>IFERROR([1]!IntrinioBankFinancials(rssd_id,$R$2,K$6,K$5,$B18),"")</f>
        <v/>
      </c>
      <c r="L18" s="31" t="str">
        <f>IFERROR([1]!IntrinioBankFinancials(rssd_id,$R$2,L$6,L$5,$B18),"")</f>
        <v/>
      </c>
      <c r="M18" s="31" t="str">
        <f>IFERROR([1]!IntrinioBankFinancials(rssd_id,$R$2,M$6,M$5,$B18),"")</f>
        <v/>
      </c>
      <c r="N18" s="31" t="str">
        <f>IFERROR([1]!IntrinioBankFinancials(rssd_id,$R$2,N$6,N$5,$B18),"")</f>
        <v/>
      </c>
      <c r="O18" s="31" t="str">
        <f>IFERROR([1]!IntrinioBankFinancials(rssd_id,$R$2,O$6,O$5,$B18),"")</f>
        <v/>
      </c>
    </row>
    <row r="19" spans="1:15" ht="13.5" customHeight="1" x14ac:dyDescent="0.4">
      <c r="A19" s="34" t="s">
        <v>98</v>
      </c>
      <c r="B19" s="23" t="s">
        <v>99</v>
      </c>
      <c r="C19" s="31" t="str">
        <f>IFERROR([1]!IntrinioBankFinancials(rssd_id,$R$2,C$6,C$5,$B19),"")</f>
        <v/>
      </c>
      <c r="D19" s="31" t="str">
        <f>IFERROR([1]!IntrinioBankFinancials(rssd_id,$R$2,D$6,D$5,$B19),"")</f>
        <v/>
      </c>
      <c r="E19" s="31" t="str">
        <f>IFERROR([1]!IntrinioBankFinancials(rssd_id,$R$2,E$6,E$5,$B19),"")</f>
        <v/>
      </c>
      <c r="F19" s="31" t="str">
        <f>IFERROR([1]!IntrinioBankFinancials(rssd_id,$R$2,F$6,F$5,$B19),"")</f>
        <v/>
      </c>
      <c r="G19" s="31" t="str">
        <f>IFERROR([1]!IntrinioBankFinancials(rssd_id,$R$2,G$6,G$5,$B19),"")</f>
        <v/>
      </c>
      <c r="H19" s="31" t="str">
        <f>IFERROR([1]!IntrinioBankFinancials(rssd_id,$R$2,H$6,H$5,$B19),"")</f>
        <v/>
      </c>
      <c r="I19" s="31" t="str">
        <f>IFERROR([1]!IntrinioBankFinancials(rssd_id,$R$2,I$6,I$5,$B19),"")</f>
        <v/>
      </c>
      <c r="J19" s="31" t="str">
        <f>IFERROR([1]!IntrinioBankFinancials(rssd_id,$R$2,J$6,J$5,$B19),"")</f>
        <v/>
      </c>
      <c r="K19" s="31" t="str">
        <f>IFERROR([1]!IntrinioBankFinancials(rssd_id,$R$2,K$6,K$5,$B19),"")</f>
        <v/>
      </c>
      <c r="L19" s="31" t="str">
        <f>IFERROR([1]!IntrinioBankFinancials(rssd_id,$R$2,L$6,L$5,$B19),"")</f>
        <v/>
      </c>
      <c r="M19" s="31" t="str">
        <f>IFERROR([1]!IntrinioBankFinancials(rssd_id,$R$2,M$6,M$5,$B19),"")</f>
        <v/>
      </c>
      <c r="N19" s="31" t="str">
        <f>IFERROR([1]!IntrinioBankFinancials(rssd_id,$R$2,N$6,N$5,$B19),"")</f>
        <v/>
      </c>
      <c r="O19" s="31" t="str">
        <f>IFERROR([1]!IntrinioBankFinancials(rssd_id,$R$2,O$6,O$5,$B19),"")</f>
        <v/>
      </c>
    </row>
    <row r="20" spans="1:15" ht="13.5" customHeight="1" x14ac:dyDescent="0.4">
      <c r="A20" s="34" t="s">
        <v>100</v>
      </c>
      <c r="B20" s="23" t="s">
        <v>101</v>
      </c>
      <c r="C20" s="31" t="str">
        <f>IFERROR([1]!IntrinioBankFinancials(rssd_id,$R$2,C$6,C$5,$B20),"")</f>
        <v/>
      </c>
      <c r="D20" s="31" t="str">
        <f>IFERROR([1]!IntrinioBankFinancials(rssd_id,$R$2,D$6,D$5,$B20),"")</f>
        <v/>
      </c>
      <c r="E20" s="31" t="str">
        <f>IFERROR([1]!IntrinioBankFinancials(rssd_id,$R$2,E$6,E$5,$B20),"")</f>
        <v/>
      </c>
      <c r="F20" s="31" t="str">
        <f>IFERROR([1]!IntrinioBankFinancials(rssd_id,$R$2,F$6,F$5,$B20),"")</f>
        <v/>
      </c>
      <c r="G20" s="31" t="str">
        <f>IFERROR([1]!IntrinioBankFinancials(rssd_id,$R$2,G$6,G$5,$B20),"")</f>
        <v/>
      </c>
      <c r="H20" s="31" t="str">
        <f>IFERROR([1]!IntrinioBankFinancials(rssd_id,$R$2,H$6,H$5,$B20),"")</f>
        <v/>
      </c>
      <c r="I20" s="31" t="str">
        <f>IFERROR([1]!IntrinioBankFinancials(rssd_id,$R$2,I$6,I$5,$B20),"")</f>
        <v/>
      </c>
      <c r="J20" s="31" t="str">
        <f>IFERROR([1]!IntrinioBankFinancials(rssd_id,$R$2,J$6,J$5,$B20),"")</f>
        <v/>
      </c>
      <c r="K20" s="31" t="str">
        <f>IFERROR([1]!IntrinioBankFinancials(rssd_id,$R$2,K$6,K$5,$B20),"")</f>
        <v/>
      </c>
      <c r="L20" s="31" t="str">
        <f>IFERROR([1]!IntrinioBankFinancials(rssd_id,$R$2,L$6,L$5,$B20),"")</f>
        <v/>
      </c>
      <c r="M20" s="31" t="str">
        <f>IFERROR([1]!IntrinioBankFinancials(rssd_id,$R$2,M$6,M$5,$B20),"")</f>
        <v/>
      </c>
      <c r="N20" s="31" t="str">
        <f>IFERROR([1]!IntrinioBankFinancials(rssd_id,$R$2,N$6,N$5,$B20),"")</f>
        <v/>
      </c>
      <c r="O20" s="31" t="str">
        <f>IFERROR([1]!IntrinioBankFinancials(rssd_id,$R$2,O$6,O$5,$B20),"")</f>
        <v/>
      </c>
    </row>
    <row r="21" spans="1:15" ht="13.5" customHeight="1" x14ac:dyDescent="0.4">
      <c r="A21" s="34" t="s">
        <v>102</v>
      </c>
      <c r="B21" s="23" t="s">
        <v>103</v>
      </c>
      <c r="C21" s="31" t="str">
        <f>IFERROR([1]!IntrinioBankFinancials(rssd_id,$R$2,C$6,C$5,$B21),"")</f>
        <v/>
      </c>
      <c r="D21" s="31" t="str">
        <f>IFERROR([1]!IntrinioBankFinancials(rssd_id,$R$2,D$6,D$5,$B21),"")</f>
        <v/>
      </c>
      <c r="E21" s="31" t="str">
        <f>IFERROR([1]!IntrinioBankFinancials(rssd_id,$R$2,E$6,E$5,$B21),"")</f>
        <v/>
      </c>
      <c r="F21" s="31" t="str">
        <f>IFERROR([1]!IntrinioBankFinancials(rssd_id,$R$2,F$6,F$5,$B21),"")</f>
        <v/>
      </c>
      <c r="G21" s="31" t="str">
        <f>IFERROR([1]!IntrinioBankFinancials(rssd_id,$R$2,G$6,G$5,$B21),"")</f>
        <v/>
      </c>
      <c r="H21" s="31" t="str">
        <f>IFERROR([1]!IntrinioBankFinancials(rssd_id,$R$2,H$6,H$5,$B21),"")</f>
        <v/>
      </c>
      <c r="I21" s="31" t="str">
        <f>IFERROR([1]!IntrinioBankFinancials(rssd_id,$R$2,I$6,I$5,$B21),"")</f>
        <v/>
      </c>
      <c r="J21" s="31" t="str">
        <f>IFERROR([1]!IntrinioBankFinancials(rssd_id,$R$2,J$6,J$5,$B21),"")</f>
        <v/>
      </c>
      <c r="K21" s="31" t="str">
        <f>IFERROR([1]!IntrinioBankFinancials(rssd_id,$R$2,K$6,K$5,$B21),"")</f>
        <v/>
      </c>
      <c r="L21" s="31" t="str">
        <f>IFERROR([1]!IntrinioBankFinancials(rssd_id,$R$2,L$6,L$5,$B21),"")</f>
        <v/>
      </c>
      <c r="M21" s="31" t="str">
        <f>IFERROR([1]!IntrinioBankFinancials(rssd_id,$R$2,M$6,M$5,$B21),"")</f>
        <v/>
      </c>
      <c r="N21" s="31" t="str">
        <f>IFERROR([1]!IntrinioBankFinancials(rssd_id,$R$2,N$6,N$5,$B21),"")</f>
        <v/>
      </c>
      <c r="O21" s="31" t="str">
        <f>IFERROR([1]!IntrinioBankFinancials(rssd_id,$R$2,O$6,O$5,$B21),"")</f>
        <v/>
      </c>
    </row>
    <row r="22" spans="1:15" ht="13.5" customHeight="1" x14ac:dyDescent="0.4">
      <c r="A22" s="34" t="s">
        <v>104</v>
      </c>
      <c r="B22" s="23" t="s">
        <v>105</v>
      </c>
      <c r="C22" s="31" t="str">
        <f>IFERROR([1]!IntrinioBankFinancials(rssd_id,$R$2,C$6,C$5,$B22),"")</f>
        <v/>
      </c>
      <c r="D22" s="31" t="str">
        <f>IFERROR([1]!IntrinioBankFinancials(rssd_id,$R$2,D$6,D$5,$B22),"")</f>
        <v/>
      </c>
      <c r="E22" s="31" t="str">
        <f>IFERROR([1]!IntrinioBankFinancials(rssd_id,$R$2,E$6,E$5,$B22),"")</f>
        <v/>
      </c>
      <c r="F22" s="31" t="str">
        <f>IFERROR([1]!IntrinioBankFinancials(rssd_id,$R$2,F$6,F$5,$B22),"")</f>
        <v/>
      </c>
      <c r="G22" s="31" t="str">
        <f>IFERROR([1]!IntrinioBankFinancials(rssd_id,$R$2,G$6,G$5,$B22),"")</f>
        <v/>
      </c>
      <c r="H22" s="31" t="str">
        <f>IFERROR([1]!IntrinioBankFinancials(rssd_id,$R$2,H$6,H$5,$B22),"")</f>
        <v/>
      </c>
      <c r="I22" s="31" t="str">
        <f>IFERROR([1]!IntrinioBankFinancials(rssd_id,$R$2,I$6,I$5,$B22),"")</f>
        <v/>
      </c>
      <c r="J22" s="31" t="str">
        <f>IFERROR([1]!IntrinioBankFinancials(rssd_id,$R$2,J$6,J$5,$B22),"")</f>
        <v/>
      </c>
      <c r="K22" s="31" t="str">
        <f>IFERROR([1]!IntrinioBankFinancials(rssd_id,$R$2,K$6,K$5,$B22),"")</f>
        <v/>
      </c>
      <c r="L22" s="31" t="str">
        <f>IFERROR([1]!IntrinioBankFinancials(rssd_id,$R$2,L$6,L$5,$B22),"")</f>
        <v/>
      </c>
      <c r="M22" s="31" t="str">
        <f>IFERROR([1]!IntrinioBankFinancials(rssd_id,$R$2,M$6,M$5,$B22),"")</f>
        <v/>
      </c>
      <c r="N22" s="31" t="str">
        <f>IFERROR([1]!IntrinioBankFinancials(rssd_id,$R$2,N$6,N$5,$B22),"")</f>
        <v/>
      </c>
      <c r="O22" s="31" t="str">
        <f>IFERROR([1]!IntrinioBankFinancials(rssd_id,$R$2,O$6,O$5,$B22),"")</f>
        <v/>
      </c>
    </row>
    <row r="23" spans="1:15" ht="13.5" customHeight="1" x14ac:dyDescent="0.4">
      <c r="A23" s="34" t="s">
        <v>106</v>
      </c>
      <c r="B23" s="23" t="s">
        <v>107</v>
      </c>
      <c r="C23" s="31" t="str">
        <f>IFERROR([1]!IntrinioBankFinancials(rssd_id,$R$2,C$6,C$5,$B23),"")</f>
        <v/>
      </c>
      <c r="D23" s="31" t="str">
        <f>IFERROR([1]!IntrinioBankFinancials(rssd_id,$R$2,D$6,D$5,$B23),"")</f>
        <v/>
      </c>
      <c r="E23" s="31" t="str">
        <f>IFERROR([1]!IntrinioBankFinancials(rssd_id,$R$2,E$6,E$5,$B23),"")</f>
        <v/>
      </c>
      <c r="F23" s="31" t="str">
        <f>IFERROR([1]!IntrinioBankFinancials(rssd_id,$R$2,F$6,F$5,$B23),"")</f>
        <v/>
      </c>
      <c r="G23" s="31" t="str">
        <f>IFERROR([1]!IntrinioBankFinancials(rssd_id,$R$2,G$6,G$5,$B23),"")</f>
        <v/>
      </c>
      <c r="H23" s="31" t="str">
        <f>IFERROR([1]!IntrinioBankFinancials(rssd_id,$R$2,H$6,H$5,$B23),"")</f>
        <v/>
      </c>
      <c r="I23" s="31" t="str">
        <f>IFERROR([1]!IntrinioBankFinancials(rssd_id,$R$2,I$6,I$5,$B23),"")</f>
        <v/>
      </c>
      <c r="J23" s="31" t="str">
        <f>IFERROR([1]!IntrinioBankFinancials(rssd_id,$R$2,J$6,J$5,$B23),"")</f>
        <v/>
      </c>
      <c r="K23" s="31" t="str">
        <f>IFERROR([1]!IntrinioBankFinancials(rssd_id,$R$2,K$6,K$5,$B23),"")</f>
        <v/>
      </c>
      <c r="L23" s="31" t="str">
        <f>IFERROR([1]!IntrinioBankFinancials(rssd_id,$R$2,L$6,L$5,$B23),"")</f>
        <v/>
      </c>
      <c r="M23" s="31" t="str">
        <f>IFERROR([1]!IntrinioBankFinancials(rssd_id,$R$2,M$6,M$5,$B23),"")</f>
        <v/>
      </c>
      <c r="N23" s="31" t="str">
        <f>IFERROR([1]!IntrinioBankFinancials(rssd_id,$R$2,N$6,N$5,$B23),"")</f>
        <v/>
      </c>
      <c r="O23" s="31" t="str">
        <f>IFERROR([1]!IntrinioBankFinancials(rssd_id,$R$2,O$6,O$5,$B23),"")</f>
        <v/>
      </c>
    </row>
    <row r="24" spans="1:15" ht="13.5" customHeight="1" x14ac:dyDescent="0.4">
      <c r="A24" s="34" t="s">
        <v>108</v>
      </c>
      <c r="B24" s="23" t="s">
        <v>109</v>
      </c>
      <c r="C24" s="31" t="str">
        <f>IFERROR([1]!IntrinioBankFinancials(rssd_id,$R$2,C$6,C$5,$B24),"")</f>
        <v/>
      </c>
      <c r="D24" s="31" t="str">
        <f>IFERROR([1]!IntrinioBankFinancials(rssd_id,$R$2,D$6,D$5,$B24),"")</f>
        <v/>
      </c>
      <c r="E24" s="31" t="str">
        <f>IFERROR([1]!IntrinioBankFinancials(rssd_id,$R$2,E$6,E$5,$B24),"")</f>
        <v/>
      </c>
      <c r="F24" s="31" t="str">
        <f>IFERROR([1]!IntrinioBankFinancials(rssd_id,$R$2,F$6,F$5,$B24),"")</f>
        <v/>
      </c>
      <c r="G24" s="31" t="str">
        <f>IFERROR([1]!IntrinioBankFinancials(rssd_id,$R$2,G$6,G$5,$B24),"")</f>
        <v/>
      </c>
      <c r="H24" s="31" t="str">
        <f>IFERROR([1]!IntrinioBankFinancials(rssd_id,$R$2,H$6,H$5,$B24),"")</f>
        <v/>
      </c>
      <c r="I24" s="31" t="str">
        <f>IFERROR([1]!IntrinioBankFinancials(rssd_id,$R$2,I$6,I$5,$B24),"")</f>
        <v/>
      </c>
      <c r="J24" s="31" t="str">
        <f>IFERROR([1]!IntrinioBankFinancials(rssd_id,$R$2,J$6,J$5,$B24),"")</f>
        <v/>
      </c>
      <c r="K24" s="31" t="str">
        <f>IFERROR([1]!IntrinioBankFinancials(rssd_id,$R$2,K$6,K$5,$B24),"")</f>
        <v/>
      </c>
      <c r="L24" s="31" t="str">
        <f>IFERROR([1]!IntrinioBankFinancials(rssd_id,$R$2,L$6,L$5,$B24),"")</f>
        <v/>
      </c>
      <c r="M24" s="31" t="str">
        <f>IFERROR([1]!IntrinioBankFinancials(rssd_id,$R$2,M$6,M$5,$B24),"")</f>
        <v/>
      </c>
      <c r="N24" s="31" t="str">
        <f>IFERROR([1]!IntrinioBankFinancials(rssd_id,$R$2,N$6,N$5,$B24),"")</f>
        <v/>
      </c>
      <c r="O24" s="31" t="str">
        <f>IFERROR([1]!IntrinioBankFinancials(rssd_id,$R$2,O$6,O$5,$B24),"")</f>
        <v/>
      </c>
    </row>
    <row r="25" spans="1:15" ht="13.5" customHeight="1" x14ac:dyDescent="0.4">
      <c r="A25" s="34" t="s">
        <v>110</v>
      </c>
      <c r="B25" s="23" t="s">
        <v>111</v>
      </c>
      <c r="C25" s="31" t="str">
        <f>IFERROR([1]!IntrinioBankFinancials(rssd_id,$R$2,C$6,C$5,$B25),"")</f>
        <v/>
      </c>
      <c r="D25" s="31" t="str">
        <f>IFERROR([1]!IntrinioBankFinancials(rssd_id,$R$2,D$6,D$5,$B25),"")</f>
        <v/>
      </c>
      <c r="E25" s="31" t="str">
        <f>IFERROR([1]!IntrinioBankFinancials(rssd_id,$R$2,E$6,E$5,$B25),"")</f>
        <v/>
      </c>
      <c r="F25" s="31" t="str">
        <f>IFERROR([1]!IntrinioBankFinancials(rssd_id,$R$2,F$6,F$5,$B25),"")</f>
        <v/>
      </c>
      <c r="G25" s="31" t="str">
        <f>IFERROR([1]!IntrinioBankFinancials(rssd_id,$R$2,G$6,G$5,$B25),"")</f>
        <v/>
      </c>
      <c r="H25" s="31" t="str">
        <f>IFERROR([1]!IntrinioBankFinancials(rssd_id,$R$2,H$6,H$5,$B25),"")</f>
        <v/>
      </c>
      <c r="I25" s="31" t="str">
        <f>IFERROR([1]!IntrinioBankFinancials(rssd_id,$R$2,I$6,I$5,$B25),"")</f>
        <v/>
      </c>
      <c r="J25" s="31" t="str">
        <f>IFERROR([1]!IntrinioBankFinancials(rssd_id,$R$2,J$6,J$5,$B25),"")</f>
        <v/>
      </c>
      <c r="K25" s="31" t="str">
        <f>IFERROR([1]!IntrinioBankFinancials(rssd_id,$R$2,K$6,K$5,$B25),"")</f>
        <v/>
      </c>
      <c r="L25" s="31" t="str">
        <f>IFERROR([1]!IntrinioBankFinancials(rssd_id,$R$2,L$6,L$5,$B25),"")</f>
        <v/>
      </c>
      <c r="M25" s="31" t="str">
        <f>IFERROR([1]!IntrinioBankFinancials(rssd_id,$R$2,M$6,M$5,$B25),"")</f>
        <v/>
      </c>
      <c r="N25" s="31" t="str">
        <f>IFERROR([1]!IntrinioBankFinancials(rssd_id,$R$2,N$6,N$5,$B25),"")</f>
        <v/>
      </c>
      <c r="O25" s="31" t="str">
        <f>IFERROR([1]!IntrinioBankFinancials(rssd_id,$R$2,O$6,O$5,$B25),"")</f>
        <v/>
      </c>
    </row>
    <row r="26" spans="1:15" ht="13.5" customHeight="1" x14ac:dyDescent="0.4">
      <c r="A26" s="34" t="s">
        <v>112</v>
      </c>
      <c r="B26" s="23" t="s">
        <v>113</v>
      </c>
      <c r="C26" s="31" t="str">
        <f>IFERROR([1]!IntrinioBankFinancials(rssd_id,$R$2,C$6,C$5,$B26),"")</f>
        <v/>
      </c>
      <c r="D26" s="31" t="str">
        <f>IFERROR([1]!IntrinioBankFinancials(rssd_id,$R$2,D$6,D$5,$B26),"")</f>
        <v/>
      </c>
      <c r="E26" s="31" t="str">
        <f>IFERROR([1]!IntrinioBankFinancials(rssd_id,$R$2,E$6,E$5,$B26),"")</f>
        <v/>
      </c>
      <c r="F26" s="31" t="str">
        <f>IFERROR([1]!IntrinioBankFinancials(rssd_id,$R$2,F$6,F$5,$B26),"")</f>
        <v/>
      </c>
      <c r="G26" s="31" t="str">
        <f>IFERROR([1]!IntrinioBankFinancials(rssd_id,$R$2,G$6,G$5,$B26),"")</f>
        <v/>
      </c>
      <c r="H26" s="31" t="str">
        <f>IFERROR([1]!IntrinioBankFinancials(rssd_id,$R$2,H$6,H$5,$B26),"")</f>
        <v/>
      </c>
      <c r="I26" s="31" t="str">
        <f>IFERROR([1]!IntrinioBankFinancials(rssd_id,$R$2,I$6,I$5,$B26),"")</f>
        <v/>
      </c>
      <c r="J26" s="31" t="str">
        <f>IFERROR([1]!IntrinioBankFinancials(rssd_id,$R$2,J$6,J$5,$B26),"")</f>
        <v/>
      </c>
      <c r="K26" s="31" t="str">
        <f>IFERROR([1]!IntrinioBankFinancials(rssd_id,$R$2,K$6,K$5,$B26),"")</f>
        <v/>
      </c>
      <c r="L26" s="31" t="str">
        <f>IFERROR([1]!IntrinioBankFinancials(rssd_id,$R$2,L$6,L$5,$B26),"")</f>
        <v/>
      </c>
      <c r="M26" s="31" t="str">
        <f>IFERROR([1]!IntrinioBankFinancials(rssd_id,$R$2,M$6,M$5,$B26),"")</f>
        <v/>
      </c>
      <c r="N26" s="31" t="str">
        <f>IFERROR([1]!IntrinioBankFinancials(rssd_id,$R$2,N$6,N$5,$B26),"")</f>
        <v/>
      </c>
      <c r="O26" s="31" t="str">
        <f>IFERROR([1]!IntrinioBankFinancials(rssd_id,$R$2,O$6,O$5,$B26),"")</f>
        <v/>
      </c>
    </row>
    <row r="27" spans="1:15" s="22" customFormat="1" ht="13.5" customHeight="1" x14ac:dyDescent="0.4">
      <c r="A27" s="33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</row>
    <row r="28" spans="1:15" ht="13.5" customHeight="1" x14ac:dyDescent="0.4">
      <c r="A28" s="33" t="s">
        <v>137</v>
      </c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</row>
    <row r="29" spans="1:15" s="22" customFormat="1" ht="13.5" customHeight="1" x14ac:dyDescent="0.4">
      <c r="A29" s="34" t="s">
        <v>78</v>
      </c>
      <c r="B29" s="23" t="s">
        <v>114</v>
      </c>
      <c r="C29" s="24" t="str">
        <f>IFERROR([1]!IntrinioBankFinancials(rssd_id,$R$2,C$6,C$5,$B29,"K"),"")</f>
        <v/>
      </c>
      <c r="D29" s="24" t="str">
        <f>IFERROR([1]!IntrinioBankFinancials(rssd_id,$R$2,D$6,D$5,$B29,"K"),"")</f>
        <v/>
      </c>
      <c r="E29" s="24" t="str">
        <f>IFERROR([1]!IntrinioBankFinancials(rssd_id,$R$2,E$6,E$5,$B29,"K"),"")</f>
        <v/>
      </c>
      <c r="F29" s="24" t="str">
        <f>IFERROR([1]!IntrinioBankFinancials(rssd_id,$R$2,F$6,F$5,$B29,"K"),"")</f>
        <v/>
      </c>
      <c r="G29" s="24" t="str">
        <f>IFERROR([1]!IntrinioBankFinancials(rssd_id,$R$2,G$6,G$5,$B29,"K"),"")</f>
        <v/>
      </c>
      <c r="H29" s="24" t="str">
        <f>IFERROR([1]!IntrinioBankFinancials(rssd_id,$R$2,H$6,H$5,$B29,"K"),"")</f>
        <v/>
      </c>
      <c r="I29" s="24" t="str">
        <f>IFERROR([1]!IntrinioBankFinancials(rssd_id,$R$2,I$6,I$5,$B29,"K"),"")</f>
        <v/>
      </c>
      <c r="J29" s="24" t="str">
        <f>IFERROR([1]!IntrinioBankFinancials(rssd_id,$R$2,J$6,J$5,$B29,"K"),"")</f>
        <v/>
      </c>
      <c r="K29" s="24" t="str">
        <f>IFERROR([1]!IntrinioBankFinancials(rssd_id,$R$2,K$6,K$5,$B29,"K"),"")</f>
        <v/>
      </c>
      <c r="L29" s="24" t="str">
        <f>IFERROR([1]!IntrinioBankFinancials(rssd_id,$R$2,L$6,L$5,$B29,"K"),"")</f>
        <v/>
      </c>
      <c r="M29" s="24" t="str">
        <f>IFERROR([1]!IntrinioBankFinancials(rssd_id,$R$2,M$6,M$5,$B29,"K"),"")</f>
        <v/>
      </c>
      <c r="N29" s="24" t="str">
        <f>IFERROR([1]!IntrinioBankFinancials(rssd_id,$R$2,N$6,N$5,$B29,"K"),"")</f>
        <v/>
      </c>
      <c r="O29" s="24" t="str">
        <f>IFERROR([1]!IntrinioBankFinancials(rssd_id,$R$2,O$6,O$5,$B29,"K"),"")</f>
        <v/>
      </c>
    </row>
    <row r="30" spans="1:15" s="22" customFormat="1" ht="13.5" customHeight="1" x14ac:dyDescent="0.4">
      <c r="A30" s="34" t="s">
        <v>80</v>
      </c>
      <c r="B30" s="23" t="s">
        <v>115</v>
      </c>
      <c r="C30" s="24" t="str">
        <f>IFERROR([1]!IntrinioBankFinancials(rssd_id,$R$2,C$6,C$5,$B30,"K"),"")</f>
        <v/>
      </c>
      <c r="D30" s="24" t="str">
        <f>IFERROR([1]!IntrinioBankFinancials(rssd_id,$R$2,D$6,D$5,$B30,"K"),"")</f>
        <v/>
      </c>
      <c r="E30" s="24" t="str">
        <f>IFERROR([1]!IntrinioBankFinancials(rssd_id,$R$2,E$6,E$5,$B30,"K"),"")</f>
        <v/>
      </c>
      <c r="F30" s="24" t="str">
        <f>IFERROR([1]!IntrinioBankFinancials(rssd_id,$R$2,F$6,F$5,$B30,"K"),"")</f>
        <v/>
      </c>
      <c r="G30" s="24" t="str">
        <f>IFERROR([1]!IntrinioBankFinancials(rssd_id,$R$2,G$6,G$5,$B30,"K"),"")</f>
        <v/>
      </c>
      <c r="H30" s="24" t="str">
        <f>IFERROR([1]!IntrinioBankFinancials(rssd_id,$R$2,H$6,H$5,$B30,"K"),"")</f>
        <v/>
      </c>
      <c r="I30" s="24" t="str">
        <f>IFERROR([1]!IntrinioBankFinancials(rssd_id,$R$2,I$6,I$5,$B30,"K"),"")</f>
        <v/>
      </c>
      <c r="J30" s="24" t="str">
        <f>IFERROR([1]!IntrinioBankFinancials(rssd_id,$R$2,J$6,J$5,$B30,"K"),"")</f>
        <v/>
      </c>
      <c r="K30" s="24" t="str">
        <f>IFERROR([1]!IntrinioBankFinancials(rssd_id,$R$2,K$6,K$5,$B30,"K"),"")</f>
        <v/>
      </c>
      <c r="L30" s="24" t="str">
        <f>IFERROR([1]!IntrinioBankFinancials(rssd_id,$R$2,L$6,L$5,$B30,"K"),"")</f>
        <v/>
      </c>
      <c r="M30" s="24" t="str">
        <f>IFERROR([1]!IntrinioBankFinancials(rssd_id,$R$2,M$6,M$5,$B30,"K"),"")</f>
        <v/>
      </c>
      <c r="N30" s="24" t="str">
        <f>IFERROR([1]!IntrinioBankFinancials(rssd_id,$R$2,N$6,N$5,$B30,"K"),"")</f>
        <v/>
      </c>
      <c r="O30" s="24" t="str">
        <f>IFERROR([1]!IntrinioBankFinancials(rssd_id,$R$2,O$6,O$5,$B30,"K"),"")</f>
        <v/>
      </c>
    </row>
    <row r="31" spans="1:15" s="22" customFormat="1" ht="13.5" customHeight="1" x14ac:dyDescent="0.4">
      <c r="A31" s="34" t="s">
        <v>82</v>
      </c>
      <c r="B31" s="23" t="s">
        <v>116</v>
      </c>
      <c r="C31" s="24" t="str">
        <f>IFERROR([1]!IntrinioBankFinancials(rssd_id,$R$2,C$6,C$5,$B31,"K"),"")</f>
        <v/>
      </c>
      <c r="D31" s="24" t="str">
        <f>IFERROR([1]!IntrinioBankFinancials(rssd_id,$R$2,D$6,D$5,$B31,"K"),"")</f>
        <v/>
      </c>
      <c r="E31" s="24" t="str">
        <f>IFERROR([1]!IntrinioBankFinancials(rssd_id,$R$2,E$6,E$5,$B31,"K"),"")</f>
        <v/>
      </c>
      <c r="F31" s="24" t="str">
        <f>IFERROR([1]!IntrinioBankFinancials(rssd_id,$R$2,F$6,F$5,$B31,"K"),"")</f>
        <v/>
      </c>
      <c r="G31" s="24" t="str">
        <f>IFERROR([1]!IntrinioBankFinancials(rssd_id,$R$2,G$6,G$5,$B31,"K"),"")</f>
        <v/>
      </c>
      <c r="H31" s="24" t="str">
        <f>IFERROR([1]!IntrinioBankFinancials(rssd_id,$R$2,H$6,H$5,$B31,"K"),"")</f>
        <v/>
      </c>
      <c r="I31" s="24" t="str">
        <f>IFERROR([1]!IntrinioBankFinancials(rssd_id,$R$2,I$6,I$5,$B31,"K"),"")</f>
        <v/>
      </c>
      <c r="J31" s="24" t="str">
        <f>IFERROR([1]!IntrinioBankFinancials(rssd_id,$R$2,J$6,J$5,$B31,"K"),"")</f>
        <v/>
      </c>
      <c r="K31" s="24" t="str">
        <f>IFERROR([1]!IntrinioBankFinancials(rssd_id,$R$2,K$6,K$5,$B31,"K"),"")</f>
        <v/>
      </c>
      <c r="L31" s="24" t="str">
        <f>IFERROR([1]!IntrinioBankFinancials(rssd_id,$R$2,L$6,L$5,$B31,"K"),"")</f>
        <v/>
      </c>
      <c r="M31" s="24" t="str">
        <f>IFERROR([1]!IntrinioBankFinancials(rssd_id,$R$2,M$6,M$5,$B31,"K"),"")</f>
        <v/>
      </c>
      <c r="N31" s="24" t="str">
        <f>IFERROR([1]!IntrinioBankFinancials(rssd_id,$R$2,N$6,N$5,$B31,"K"),"")</f>
        <v/>
      </c>
      <c r="O31" s="24" t="str">
        <f>IFERROR([1]!IntrinioBankFinancials(rssd_id,$R$2,O$6,O$5,$B31,"K"),"")</f>
        <v/>
      </c>
    </row>
    <row r="32" spans="1:15" s="22" customFormat="1" ht="13.5" customHeight="1" x14ac:dyDescent="0.4">
      <c r="A32" s="34" t="s">
        <v>84</v>
      </c>
      <c r="B32" s="23" t="s">
        <v>117</v>
      </c>
      <c r="C32" s="24" t="str">
        <f>IFERROR([1]!IntrinioBankFinancials(rssd_id,$R$2,C$6,C$5,$B32,"K"),"")</f>
        <v/>
      </c>
      <c r="D32" s="24" t="str">
        <f>IFERROR([1]!IntrinioBankFinancials(rssd_id,$R$2,D$6,D$5,$B32,"K"),"")</f>
        <v/>
      </c>
      <c r="E32" s="24" t="str">
        <f>IFERROR([1]!IntrinioBankFinancials(rssd_id,$R$2,E$6,E$5,$B32,"K"),"")</f>
        <v/>
      </c>
      <c r="F32" s="24" t="str">
        <f>IFERROR([1]!IntrinioBankFinancials(rssd_id,$R$2,F$6,F$5,$B32,"K"),"")</f>
        <v/>
      </c>
      <c r="G32" s="24" t="str">
        <f>IFERROR([1]!IntrinioBankFinancials(rssd_id,$R$2,G$6,G$5,$B32,"K"),"")</f>
        <v/>
      </c>
      <c r="H32" s="24" t="str">
        <f>IFERROR([1]!IntrinioBankFinancials(rssd_id,$R$2,H$6,H$5,$B32,"K"),"")</f>
        <v/>
      </c>
      <c r="I32" s="24" t="str">
        <f>IFERROR([1]!IntrinioBankFinancials(rssd_id,$R$2,I$6,I$5,$B32,"K"),"")</f>
        <v/>
      </c>
      <c r="J32" s="24" t="str">
        <f>IFERROR([1]!IntrinioBankFinancials(rssd_id,$R$2,J$6,J$5,$B32,"K"),"")</f>
        <v/>
      </c>
      <c r="K32" s="24" t="str">
        <f>IFERROR([1]!IntrinioBankFinancials(rssd_id,$R$2,K$6,K$5,$B32,"K"),"")</f>
        <v/>
      </c>
      <c r="L32" s="24" t="str">
        <f>IFERROR([1]!IntrinioBankFinancials(rssd_id,$R$2,L$6,L$5,$B32,"K"),"")</f>
        <v/>
      </c>
      <c r="M32" s="24" t="str">
        <f>IFERROR([1]!IntrinioBankFinancials(rssd_id,$R$2,M$6,M$5,$B32,"K"),"")</f>
        <v/>
      </c>
      <c r="N32" s="24" t="str">
        <f>IFERROR([1]!IntrinioBankFinancials(rssd_id,$R$2,N$6,N$5,$B32,"K"),"")</f>
        <v/>
      </c>
      <c r="O32" s="24" t="str">
        <f>IFERROR([1]!IntrinioBankFinancials(rssd_id,$R$2,O$6,O$5,$B32,"K"),"")</f>
        <v/>
      </c>
    </row>
    <row r="33" spans="1:15" s="22" customFormat="1" ht="13.5" customHeight="1" x14ac:dyDescent="0.4">
      <c r="A33" s="34" t="s">
        <v>118</v>
      </c>
      <c r="B33" s="23" t="s">
        <v>119</v>
      </c>
      <c r="C33" s="24" t="str">
        <f>IFERROR([1]!IntrinioBankFinancials(rssd_id,$R$2,C$6,C$5,$B33,"K"),"")</f>
        <v/>
      </c>
      <c r="D33" s="24" t="str">
        <f>IFERROR([1]!IntrinioBankFinancials(rssd_id,$R$2,D$6,D$5,$B33,"K"),"")</f>
        <v/>
      </c>
      <c r="E33" s="24" t="str">
        <f>IFERROR([1]!IntrinioBankFinancials(rssd_id,$R$2,E$6,E$5,$B33,"K"),"")</f>
        <v/>
      </c>
      <c r="F33" s="24" t="str">
        <f>IFERROR([1]!IntrinioBankFinancials(rssd_id,$R$2,F$6,F$5,$B33,"K"),"")</f>
        <v/>
      </c>
      <c r="G33" s="24" t="str">
        <f>IFERROR([1]!IntrinioBankFinancials(rssd_id,$R$2,G$6,G$5,$B33,"K"),"")</f>
        <v/>
      </c>
      <c r="H33" s="24" t="str">
        <f>IFERROR([1]!IntrinioBankFinancials(rssd_id,$R$2,H$6,H$5,$B33,"K"),"")</f>
        <v/>
      </c>
      <c r="I33" s="24" t="str">
        <f>IFERROR([1]!IntrinioBankFinancials(rssd_id,$R$2,I$6,I$5,$B33,"K"),"")</f>
        <v/>
      </c>
      <c r="J33" s="24" t="str">
        <f>IFERROR([1]!IntrinioBankFinancials(rssd_id,$R$2,J$6,J$5,$B33,"K"),"")</f>
        <v/>
      </c>
      <c r="K33" s="24" t="str">
        <f>IFERROR([1]!IntrinioBankFinancials(rssd_id,$R$2,K$6,K$5,$B33,"K"),"")</f>
        <v/>
      </c>
      <c r="L33" s="24" t="str">
        <f>IFERROR([1]!IntrinioBankFinancials(rssd_id,$R$2,L$6,L$5,$B33,"K"),"")</f>
        <v/>
      </c>
      <c r="M33" s="24" t="str">
        <f>IFERROR([1]!IntrinioBankFinancials(rssd_id,$R$2,M$6,M$5,$B33,"K"),"")</f>
        <v/>
      </c>
      <c r="N33" s="24" t="str">
        <f>IFERROR([1]!IntrinioBankFinancials(rssd_id,$R$2,N$6,N$5,$B33,"K"),"")</f>
        <v/>
      </c>
      <c r="O33" s="24" t="str">
        <f>IFERROR([1]!IntrinioBankFinancials(rssd_id,$R$2,O$6,O$5,$B33,"K"),"")</f>
        <v/>
      </c>
    </row>
    <row r="34" spans="1:15" s="22" customFormat="1" ht="13.5" customHeight="1" x14ac:dyDescent="0.4">
      <c r="A34" s="34" t="s">
        <v>88</v>
      </c>
      <c r="B34" s="23" t="s">
        <v>120</v>
      </c>
      <c r="C34" s="24" t="str">
        <f>IFERROR([1]!IntrinioBankFinancials(rssd_id,$R$2,C$6,C$5,$B34,"K"),"")</f>
        <v/>
      </c>
      <c r="D34" s="24" t="str">
        <f>IFERROR([1]!IntrinioBankFinancials(rssd_id,$R$2,D$6,D$5,$B34,"K"),"")</f>
        <v/>
      </c>
      <c r="E34" s="24" t="str">
        <f>IFERROR([1]!IntrinioBankFinancials(rssd_id,$R$2,E$6,E$5,$B34,"K"),"")</f>
        <v/>
      </c>
      <c r="F34" s="24" t="str">
        <f>IFERROR([1]!IntrinioBankFinancials(rssd_id,$R$2,F$6,F$5,$B34,"K"),"")</f>
        <v/>
      </c>
      <c r="G34" s="24" t="str">
        <f>IFERROR([1]!IntrinioBankFinancials(rssd_id,$R$2,G$6,G$5,$B34,"K"),"")</f>
        <v/>
      </c>
      <c r="H34" s="24" t="str">
        <f>IFERROR([1]!IntrinioBankFinancials(rssd_id,$R$2,H$6,H$5,$B34,"K"),"")</f>
        <v/>
      </c>
      <c r="I34" s="24" t="str">
        <f>IFERROR([1]!IntrinioBankFinancials(rssd_id,$R$2,I$6,I$5,$B34,"K"),"")</f>
        <v/>
      </c>
      <c r="J34" s="24" t="str">
        <f>IFERROR([1]!IntrinioBankFinancials(rssd_id,$R$2,J$6,J$5,$B34,"K"),"")</f>
        <v/>
      </c>
      <c r="K34" s="24" t="str">
        <f>IFERROR([1]!IntrinioBankFinancials(rssd_id,$R$2,K$6,K$5,$B34,"K"),"")</f>
        <v/>
      </c>
      <c r="L34" s="24" t="str">
        <f>IFERROR([1]!IntrinioBankFinancials(rssd_id,$R$2,L$6,L$5,$B34,"K"),"")</f>
        <v/>
      </c>
      <c r="M34" s="24" t="str">
        <f>IFERROR([1]!IntrinioBankFinancials(rssd_id,$R$2,M$6,M$5,$B34,"K"),"")</f>
        <v/>
      </c>
      <c r="N34" s="24" t="str">
        <f>IFERROR([1]!IntrinioBankFinancials(rssd_id,$R$2,N$6,N$5,$B34,"K"),"")</f>
        <v/>
      </c>
      <c r="O34" s="24" t="str">
        <f>IFERROR([1]!IntrinioBankFinancials(rssd_id,$R$2,O$6,O$5,$B34,"K"),"")</f>
        <v/>
      </c>
    </row>
    <row r="35" spans="1:15" s="22" customFormat="1" ht="13.5" customHeight="1" x14ac:dyDescent="0.4">
      <c r="A35" s="34" t="s">
        <v>90</v>
      </c>
      <c r="B35" s="23" t="s">
        <v>121</v>
      </c>
      <c r="C35" s="24" t="str">
        <f>IFERROR([1]!IntrinioBankFinancials(rssd_id,$R$2,C$6,C$5,$B35,"K"),"")</f>
        <v/>
      </c>
      <c r="D35" s="24" t="str">
        <f>IFERROR([1]!IntrinioBankFinancials(rssd_id,$R$2,D$6,D$5,$B35,"K"),"")</f>
        <v/>
      </c>
      <c r="E35" s="24" t="str">
        <f>IFERROR([1]!IntrinioBankFinancials(rssd_id,$R$2,E$6,E$5,$B35,"K"),"")</f>
        <v/>
      </c>
      <c r="F35" s="24" t="str">
        <f>IFERROR([1]!IntrinioBankFinancials(rssd_id,$R$2,F$6,F$5,$B35,"K"),"")</f>
        <v/>
      </c>
      <c r="G35" s="24" t="str">
        <f>IFERROR([1]!IntrinioBankFinancials(rssd_id,$R$2,G$6,G$5,$B35,"K"),"")</f>
        <v/>
      </c>
      <c r="H35" s="24" t="str">
        <f>IFERROR([1]!IntrinioBankFinancials(rssd_id,$R$2,H$6,H$5,$B35,"K"),"")</f>
        <v/>
      </c>
      <c r="I35" s="24" t="str">
        <f>IFERROR([1]!IntrinioBankFinancials(rssd_id,$R$2,I$6,I$5,$B35,"K"),"")</f>
        <v/>
      </c>
      <c r="J35" s="24" t="str">
        <f>IFERROR([1]!IntrinioBankFinancials(rssd_id,$R$2,J$6,J$5,$B35,"K"),"")</f>
        <v/>
      </c>
      <c r="K35" s="24" t="str">
        <f>IFERROR([1]!IntrinioBankFinancials(rssd_id,$R$2,K$6,K$5,$B35,"K"),"")</f>
        <v/>
      </c>
      <c r="L35" s="24" t="str">
        <f>IFERROR([1]!IntrinioBankFinancials(rssd_id,$R$2,L$6,L$5,$B35,"K"),"")</f>
        <v/>
      </c>
      <c r="M35" s="24" t="str">
        <f>IFERROR([1]!IntrinioBankFinancials(rssd_id,$R$2,M$6,M$5,$B35,"K"),"")</f>
        <v/>
      </c>
      <c r="N35" s="24" t="str">
        <f>IFERROR([1]!IntrinioBankFinancials(rssd_id,$R$2,N$6,N$5,$B35,"K"),"")</f>
        <v/>
      </c>
      <c r="O35" s="24" t="str">
        <f>IFERROR([1]!IntrinioBankFinancials(rssd_id,$R$2,O$6,O$5,$B35,"K"),"")</f>
        <v/>
      </c>
    </row>
    <row r="36" spans="1:15" s="22" customFormat="1" ht="13.5" customHeight="1" x14ac:dyDescent="0.4">
      <c r="A36" s="34" t="s">
        <v>94</v>
      </c>
      <c r="B36" s="23" t="s">
        <v>122</v>
      </c>
      <c r="C36" s="24" t="str">
        <f>IFERROR([1]!IntrinioBankFinancials(rssd_id,$R$2,C$6,C$5,$B36,"K"),"")</f>
        <v/>
      </c>
      <c r="D36" s="24" t="str">
        <f>IFERROR([1]!IntrinioBankFinancials(rssd_id,$R$2,D$6,D$5,$B36,"K"),"")</f>
        <v/>
      </c>
      <c r="E36" s="24" t="str">
        <f>IFERROR([1]!IntrinioBankFinancials(rssd_id,$R$2,E$6,E$5,$B36,"K"),"")</f>
        <v/>
      </c>
      <c r="F36" s="24" t="str">
        <f>IFERROR([1]!IntrinioBankFinancials(rssd_id,$R$2,F$6,F$5,$B36,"K"),"")</f>
        <v/>
      </c>
      <c r="G36" s="24" t="str">
        <f>IFERROR([1]!IntrinioBankFinancials(rssd_id,$R$2,G$6,G$5,$B36,"K"),"")</f>
        <v/>
      </c>
      <c r="H36" s="24" t="str">
        <f>IFERROR([1]!IntrinioBankFinancials(rssd_id,$R$2,H$6,H$5,$B36,"K"),"")</f>
        <v/>
      </c>
      <c r="I36" s="24" t="str">
        <f>IFERROR([1]!IntrinioBankFinancials(rssd_id,$R$2,I$6,I$5,$B36,"K"),"")</f>
        <v/>
      </c>
      <c r="J36" s="24" t="str">
        <f>IFERROR([1]!IntrinioBankFinancials(rssd_id,$R$2,J$6,J$5,$B36,"K"),"")</f>
        <v/>
      </c>
      <c r="K36" s="24" t="str">
        <f>IFERROR([1]!IntrinioBankFinancials(rssd_id,$R$2,K$6,K$5,$B36,"K"),"")</f>
        <v/>
      </c>
      <c r="L36" s="24" t="str">
        <f>IFERROR([1]!IntrinioBankFinancials(rssd_id,$R$2,L$6,L$5,$B36,"K"),"")</f>
        <v/>
      </c>
      <c r="M36" s="24" t="str">
        <f>IFERROR([1]!IntrinioBankFinancials(rssd_id,$R$2,M$6,M$5,$B36,"K"),"")</f>
        <v/>
      </c>
      <c r="N36" s="24" t="str">
        <f>IFERROR([1]!IntrinioBankFinancials(rssd_id,$R$2,N$6,N$5,$B36,"K"),"")</f>
        <v/>
      </c>
      <c r="O36" s="24" t="str">
        <f>IFERROR([1]!IntrinioBankFinancials(rssd_id,$R$2,O$6,O$5,$B36,"K"),"")</f>
        <v/>
      </c>
    </row>
    <row r="37" spans="1:15" s="22" customFormat="1" ht="13.5" customHeight="1" x14ac:dyDescent="0.4">
      <c r="A37" s="34" t="s">
        <v>123</v>
      </c>
      <c r="B37" s="23" t="s">
        <v>124</v>
      </c>
      <c r="C37" s="24" t="str">
        <f>IFERROR([1]!IntrinioBankFinancials(rssd_id,$R$2,C$6,C$5,$B37,"K"),"")</f>
        <v/>
      </c>
      <c r="D37" s="24" t="str">
        <f>IFERROR([1]!IntrinioBankFinancials(rssd_id,$R$2,D$6,D$5,$B37,"K"),"")</f>
        <v/>
      </c>
      <c r="E37" s="24" t="str">
        <f>IFERROR([1]!IntrinioBankFinancials(rssd_id,$R$2,E$6,E$5,$B37,"K"),"")</f>
        <v/>
      </c>
      <c r="F37" s="24" t="str">
        <f>IFERROR([1]!IntrinioBankFinancials(rssd_id,$R$2,F$6,F$5,$B37,"K"),"")</f>
        <v/>
      </c>
      <c r="G37" s="24" t="str">
        <f>IFERROR([1]!IntrinioBankFinancials(rssd_id,$R$2,G$6,G$5,$B37,"K"),"")</f>
        <v/>
      </c>
      <c r="H37" s="24" t="str">
        <f>IFERROR([1]!IntrinioBankFinancials(rssd_id,$R$2,H$6,H$5,$B37,"K"),"")</f>
        <v/>
      </c>
      <c r="I37" s="24" t="str">
        <f>IFERROR([1]!IntrinioBankFinancials(rssd_id,$R$2,I$6,I$5,$B37,"K"),"")</f>
        <v/>
      </c>
      <c r="J37" s="24" t="str">
        <f>IFERROR([1]!IntrinioBankFinancials(rssd_id,$R$2,J$6,J$5,$B37,"K"),"")</f>
        <v/>
      </c>
      <c r="K37" s="24" t="str">
        <f>IFERROR([1]!IntrinioBankFinancials(rssd_id,$R$2,K$6,K$5,$B37,"K"),"")</f>
        <v/>
      </c>
      <c r="L37" s="24" t="str">
        <f>IFERROR([1]!IntrinioBankFinancials(rssd_id,$R$2,L$6,L$5,$B37,"K"),"")</f>
        <v/>
      </c>
      <c r="M37" s="24" t="str">
        <f>IFERROR([1]!IntrinioBankFinancials(rssd_id,$R$2,M$6,M$5,$B37,"K"),"")</f>
        <v/>
      </c>
      <c r="N37" s="24" t="str">
        <f>IFERROR([1]!IntrinioBankFinancials(rssd_id,$R$2,N$6,N$5,$B37,"K"),"")</f>
        <v/>
      </c>
      <c r="O37" s="24" t="str">
        <f>IFERROR([1]!IntrinioBankFinancials(rssd_id,$R$2,O$6,O$5,$B37,"K"),"")</f>
        <v/>
      </c>
    </row>
    <row r="38" spans="1:15" s="22" customFormat="1" ht="13.5" customHeight="1" x14ac:dyDescent="0.4">
      <c r="A38" s="34" t="s">
        <v>96</v>
      </c>
      <c r="B38" s="23" t="s">
        <v>125</v>
      </c>
      <c r="C38" s="24" t="str">
        <f>IFERROR([1]!IntrinioBankFinancials(rssd_id,$R$2,C$6,C$5,$B38,"K"),"")</f>
        <v/>
      </c>
      <c r="D38" s="24" t="str">
        <f>IFERROR([1]!IntrinioBankFinancials(rssd_id,$R$2,D$6,D$5,$B38,"K"),"")</f>
        <v/>
      </c>
      <c r="E38" s="24" t="str">
        <f>IFERROR([1]!IntrinioBankFinancials(rssd_id,$R$2,E$6,E$5,$B38,"K"),"")</f>
        <v/>
      </c>
      <c r="F38" s="24" t="str">
        <f>IFERROR([1]!IntrinioBankFinancials(rssd_id,$R$2,F$6,F$5,$B38,"K"),"")</f>
        <v/>
      </c>
      <c r="G38" s="24" t="str">
        <f>IFERROR([1]!IntrinioBankFinancials(rssd_id,$R$2,G$6,G$5,$B38,"K"),"")</f>
        <v/>
      </c>
      <c r="H38" s="24" t="str">
        <f>IFERROR([1]!IntrinioBankFinancials(rssd_id,$R$2,H$6,H$5,$B38,"K"),"")</f>
        <v/>
      </c>
      <c r="I38" s="24" t="str">
        <f>IFERROR([1]!IntrinioBankFinancials(rssd_id,$R$2,I$6,I$5,$B38,"K"),"")</f>
        <v/>
      </c>
      <c r="J38" s="24" t="str">
        <f>IFERROR([1]!IntrinioBankFinancials(rssd_id,$R$2,J$6,J$5,$B38,"K"),"")</f>
        <v/>
      </c>
      <c r="K38" s="24" t="str">
        <f>IFERROR([1]!IntrinioBankFinancials(rssd_id,$R$2,K$6,K$5,$B38,"K"),"")</f>
        <v/>
      </c>
      <c r="L38" s="24" t="str">
        <f>IFERROR([1]!IntrinioBankFinancials(rssd_id,$R$2,L$6,L$5,$B38,"K"),"")</f>
        <v/>
      </c>
      <c r="M38" s="24" t="str">
        <f>IFERROR([1]!IntrinioBankFinancials(rssd_id,$R$2,M$6,M$5,$B38,"K"),"")</f>
        <v/>
      </c>
      <c r="N38" s="24" t="str">
        <f>IFERROR([1]!IntrinioBankFinancials(rssd_id,$R$2,N$6,N$5,$B38,"K"),"")</f>
        <v/>
      </c>
      <c r="O38" s="24" t="str">
        <f>IFERROR([1]!IntrinioBankFinancials(rssd_id,$R$2,O$6,O$5,$B38,"K"),"")</f>
        <v/>
      </c>
    </row>
    <row r="39" spans="1:15" s="22" customFormat="1" ht="13.5" customHeight="1" x14ac:dyDescent="0.4">
      <c r="A39" s="34" t="s">
        <v>98</v>
      </c>
      <c r="B39" s="23" t="s">
        <v>126</v>
      </c>
      <c r="C39" s="24" t="str">
        <f>IFERROR([1]!IntrinioBankFinancials(rssd_id,$R$2,C$6,C$5,$B39,"K"),"")</f>
        <v/>
      </c>
      <c r="D39" s="24" t="str">
        <f>IFERROR([1]!IntrinioBankFinancials(rssd_id,$R$2,D$6,D$5,$B39,"K"),"")</f>
        <v/>
      </c>
      <c r="E39" s="24" t="str">
        <f>IFERROR([1]!IntrinioBankFinancials(rssd_id,$R$2,E$6,E$5,$B39,"K"),"")</f>
        <v/>
      </c>
      <c r="F39" s="24" t="str">
        <f>IFERROR([1]!IntrinioBankFinancials(rssd_id,$R$2,F$6,F$5,$B39,"K"),"")</f>
        <v/>
      </c>
      <c r="G39" s="24" t="str">
        <f>IFERROR([1]!IntrinioBankFinancials(rssd_id,$R$2,G$6,G$5,$B39,"K"),"")</f>
        <v/>
      </c>
      <c r="H39" s="24" t="str">
        <f>IFERROR([1]!IntrinioBankFinancials(rssd_id,$R$2,H$6,H$5,$B39,"K"),"")</f>
        <v/>
      </c>
      <c r="I39" s="24" t="str">
        <f>IFERROR([1]!IntrinioBankFinancials(rssd_id,$R$2,I$6,I$5,$B39,"K"),"")</f>
        <v/>
      </c>
      <c r="J39" s="24" t="str">
        <f>IFERROR([1]!IntrinioBankFinancials(rssd_id,$R$2,J$6,J$5,$B39,"K"),"")</f>
        <v/>
      </c>
      <c r="K39" s="24" t="str">
        <f>IFERROR([1]!IntrinioBankFinancials(rssd_id,$R$2,K$6,K$5,$B39,"K"),"")</f>
        <v/>
      </c>
      <c r="L39" s="24" t="str">
        <f>IFERROR([1]!IntrinioBankFinancials(rssd_id,$R$2,L$6,L$5,$B39,"K"),"")</f>
        <v/>
      </c>
      <c r="M39" s="24" t="str">
        <f>IFERROR([1]!IntrinioBankFinancials(rssd_id,$R$2,M$6,M$5,$B39,"K"),"")</f>
        <v/>
      </c>
      <c r="N39" s="24" t="str">
        <f>IFERROR([1]!IntrinioBankFinancials(rssd_id,$R$2,N$6,N$5,$B39,"K"),"")</f>
        <v/>
      </c>
      <c r="O39" s="24" t="str">
        <f>IFERROR([1]!IntrinioBankFinancials(rssd_id,$R$2,O$6,O$5,$B39,"K"),"")</f>
        <v/>
      </c>
    </row>
    <row r="40" spans="1:15" s="22" customFormat="1" ht="13.5" customHeight="1" x14ac:dyDescent="0.4">
      <c r="A40" s="34" t="s">
        <v>100</v>
      </c>
      <c r="B40" s="23" t="s">
        <v>127</v>
      </c>
      <c r="C40" s="24" t="str">
        <f>IFERROR([1]!IntrinioBankFinancials(rssd_id,$R$2,C$6,C$5,$B40,"K"),"")</f>
        <v/>
      </c>
      <c r="D40" s="24" t="str">
        <f>IFERROR([1]!IntrinioBankFinancials(rssd_id,$R$2,D$6,D$5,$B40,"K"),"")</f>
        <v/>
      </c>
      <c r="E40" s="24" t="str">
        <f>IFERROR([1]!IntrinioBankFinancials(rssd_id,$R$2,E$6,E$5,$B40,"K"),"")</f>
        <v/>
      </c>
      <c r="F40" s="24" t="str">
        <f>IFERROR([1]!IntrinioBankFinancials(rssd_id,$R$2,F$6,F$5,$B40,"K"),"")</f>
        <v/>
      </c>
      <c r="G40" s="24" t="str">
        <f>IFERROR([1]!IntrinioBankFinancials(rssd_id,$R$2,G$6,G$5,$B40,"K"),"")</f>
        <v/>
      </c>
      <c r="H40" s="24" t="str">
        <f>IFERROR([1]!IntrinioBankFinancials(rssd_id,$R$2,H$6,H$5,$B40,"K"),"")</f>
        <v/>
      </c>
      <c r="I40" s="24" t="str">
        <f>IFERROR([1]!IntrinioBankFinancials(rssd_id,$R$2,I$6,I$5,$B40,"K"),"")</f>
        <v/>
      </c>
      <c r="J40" s="24" t="str">
        <f>IFERROR([1]!IntrinioBankFinancials(rssd_id,$R$2,J$6,J$5,$B40,"K"),"")</f>
        <v/>
      </c>
      <c r="K40" s="24" t="str">
        <f>IFERROR([1]!IntrinioBankFinancials(rssd_id,$R$2,K$6,K$5,$B40,"K"),"")</f>
        <v/>
      </c>
      <c r="L40" s="24" t="str">
        <f>IFERROR([1]!IntrinioBankFinancials(rssd_id,$R$2,L$6,L$5,$B40,"K"),"")</f>
        <v/>
      </c>
      <c r="M40" s="24" t="str">
        <f>IFERROR([1]!IntrinioBankFinancials(rssd_id,$R$2,M$6,M$5,$B40,"K"),"")</f>
        <v/>
      </c>
      <c r="N40" s="24" t="str">
        <f>IFERROR([1]!IntrinioBankFinancials(rssd_id,$R$2,N$6,N$5,$B40,"K"),"")</f>
        <v/>
      </c>
      <c r="O40" s="24" t="str">
        <f>IFERROR([1]!IntrinioBankFinancials(rssd_id,$R$2,O$6,O$5,$B40,"K"),"")</f>
        <v/>
      </c>
    </row>
    <row r="41" spans="1:15" s="22" customFormat="1" ht="13.5" customHeight="1" x14ac:dyDescent="0.4">
      <c r="A41" s="34" t="s">
        <v>128</v>
      </c>
      <c r="B41" s="23" t="s">
        <v>129</v>
      </c>
      <c r="C41" s="24" t="str">
        <f>IFERROR([1]!IntrinioBankFinancials(rssd_id,$R$2,C$6,C$5,$B41,"K"),"")</f>
        <v/>
      </c>
      <c r="D41" s="24" t="str">
        <f>IFERROR([1]!IntrinioBankFinancials(rssd_id,$R$2,D$6,D$5,$B41,"K"),"")</f>
        <v/>
      </c>
      <c r="E41" s="24" t="str">
        <f>IFERROR([1]!IntrinioBankFinancials(rssd_id,$R$2,E$6,E$5,$B41,"K"),"")</f>
        <v/>
      </c>
      <c r="F41" s="24" t="str">
        <f>IFERROR([1]!IntrinioBankFinancials(rssd_id,$R$2,F$6,F$5,$B41,"K"),"")</f>
        <v/>
      </c>
      <c r="G41" s="24" t="str">
        <f>IFERROR([1]!IntrinioBankFinancials(rssd_id,$R$2,G$6,G$5,$B41,"K"),"")</f>
        <v/>
      </c>
      <c r="H41" s="24" t="str">
        <f>IFERROR([1]!IntrinioBankFinancials(rssd_id,$R$2,H$6,H$5,$B41,"K"),"")</f>
        <v/>
      </c>
      <c r="I41" s="24" t="str">
        <f>IFERROR([1]!IntrinioBankFinancials(rssd_id,$R$2,I$6,I$5,$B41,"K"),"")</f>
        <v/>
      </c>
      <c r="J41" s="24" t="str">
        <f>IFERROR([1]!IntrinioBankFinancials(rssd_id,$R$2,J$6,J$5,$B41,"K"),"")</f>
        <v/>
      </c>
      <c r="K41" s="24" t="str">
        <f>IFERROR([1]!IntrinioBankFinancials(rssd_id,$R$2,K$6,K$5,$B41,"K"),"")</f>
        <v/>
      </c>
      <c r="L41" s="24" t="str">
        <f>IFERROR([1]!IntrinioBankFinancials(rssd_id,$R$2,L$6,L$5,$B41,"K"),"")</f>
        <v/>
      </c>
      <c r="M41" s="24" t="str">
        <f>IFERROR([1]!IntrinioBankFinancials(rssd_id,$R$2,M$6,M$5,$B41,"K"),"")</f>
        <v/>
      </c>
      <c r="N41" s="24" t="str">
        <f>IFERROR([1]!IntrinioBankFinancials(rssd_id,$R$2,N$6,N$5,$B41,"K"),"")</f>
        <v/>
      </c>
      <c r="O41" s="24" t="str">
        <f>IFERROR([1]!IntrinioBankFinancials(rssd_id,$R$2,O$6,O$5,$B41,"K"),"")</f>
        <v/>
      </c>
    </row>
    <row r="42" spans="1:15" s="22" customFormat="1" ht="13.5" customHeight="1" x14ac:dyDescent="0.4">
      <c r="A42" s="34" t="s">
        <v>104</v>
      </c>
      <c r="B42" s="23" t="s">
        <v>130</v>
      </c>
      <c r="C42" s="24" t="str">
        <f>IFERROR([1]!IntrinioBankFinancials(rssd_id,$R$2,C$6,C$5,$B42,"K"),"")</f>
        <v/>
      </c>
      <c r="D42" s="24" t="str">
        <f>IFERROR([1]!IntrinioBankFinancials(rssd_id,$R$2,D$6,D$5,$B42,"K"),"")</f>
        <v/>
      </c>
      <c r="E42" s="24" t="str">
        <f>IFERROR([1]!IntrinioBankFinancials(rssd_id,$R$2,E$6,E$5,$B42,"K"),"")</f>
        <v/>
      </c>
      <c r="F42" s="24" t="str">
        <f>IFERROR([1]!IntrinioBankFinancials(rssd_id,$R$2,F$6,F$5,$B42,"K"),"")</f>
        <v/>
      </c>
      <c r="G42" s="24" t="str">
        <f>IFERROR([1]!IntrinioBankFinancials(rssd_id,$R$2,G$6,G$5,$B42,"K"),"")</f>
        <v/>
      </c>
      <c r="H42" s="24" t="str">
        <f>IFERROR([1]!IntrinioBankFinancials(rssd_id,$R$2,H$6,H$5,$B42,"K"),"")</f>
        <v/>
      </c>
      <c r="I42" s="24" t="str">
        <f>IFERROR([1]!IntrinioBankFinancials(rssd_id,$R$2,I$6,I$5,$B42,"K"),"")</f>
        <v/>
      </c>
      <c r="J42" s="24" t="str">
        <f>IFERROR([1]!IntrinioBankFinancials(rssd_id,$R$2,J$6,J$5,$B42,"K"),"")</f>
        <v/>
      </c>
      <c r="K42" s="24" t="str">
        <f>IFERROR([1]!IntrinioBankFinancials(rssd_id,$R$2,K$6,K$5,$B42,"K"),"")</f>
        <v/>
      </c>
      <c r="L42" s="24" t="str">
        <f>IFERROR([1]!IntrinioBankFinancials(rssd_id,$R$2,L$6,L$5,$B42,"K"),"")</f>
        <v/>
      </c>
      <c r="M42" s="24" t="str">
        <f>IFERROR([1]!IntrinioBankFinancials(rssd_id,$R$2,M$6,M$5,$B42,"K"),"")</f>
        <v/>
      </c>
      <c r="N42" s="24" t="str">
        <f>IFERROR([1]!IntrinioBankFinancials(rssd_id,$R$2,N$6,N$5,$B42,"K"),"")</f>
        <v/>
      </c>
      <c r="O42" s="24" t="str">
        <f>IFERROR([1]!IntrinioBankFinancials(rssd_id,$R$2,O$6,O$5,$B42,"K"),"")</f>
        <v/>
      </c>
    </row>
    <row r="43" spans="1:15" s="22" customFormat="1" ht="13.5" customHeight="1" x14ac:dyDescent="0.4">
      <c r="A43" s="34" t="s">
        <v>106</v>
      </c>
      <c r="B43" s="23" t="s">
        <v>131</v>
      </c>
      <c r="C43" s="24" t="str">
        <f>IFERROR([1]!IntrinioBankFinancials(rssd_id,$R$2,C$6,C$5,$B43,"K"),"")</f>
        <v/>
      </c>
      <c r="D43" s="24" t="str">
        <f>IFERROR([1]!IntrinioBankFinancials(rssd_id,$R$2,D$6,D$5,$B43,"K"),"")</f>
        <v/>
      </c>
      <c r="E43" s="24" t="str">
        <f>IFERROR([1]!IntrinioBankFinancials(rssd_id,$R$2,E$6,E$5,$B43,"K"),"")</f>
        <v/>
      </c>
      <c r="F43" s="24" t="str">
        <f>IFERROR([1]!IntrinioBankFinancials(rssd_id,$R$2,F$6,F$5,$B43,"K"),"")</f>
        <v/>
      </c>
      <c r="G43" s="24" t="str">
        <f>IFERROR([1]!IntrinioBankFinancials(rssd_id,$R$2,G$6,G$5,$B43,"K"),"")</f>
        <v/>
      </c>
      <c r="H43" s="24" t="str">
        <f>IFERROR([1]!IntrinioBankFinancials(rssd_id,$R$2,H$6,H$5,$B43,"K"),"")</f>
        <v/>
      </c>
      <c r="I43" s="24" t="str">
        <f>IFERROR([1]!IntrinioBankFinancials(rssd_id,$R$2,I$6,I$5,$B43,"K"),"")</f>
        <v/>
      </c>
      <c r="J43" s="24" t="str">
        <f>IFERROR([1]!IntrinioBankFinancials(rssd_id,$R$2,J$6,J$5,$B43,"K"),"")</f>
        <v/>
      </c>
      <c r="K43" s="24" t="str">
        <f>IFERROR([1]!IntrinioBankFinancials(rssd_id,$R$2,K$6,K$5,$B43,"K"),"")</f>
        <v/>
      </c>
      <c r="L43" s="24" t="str">
        <f>IFERROR([1]!IntrinioBankFinancials(rssd_id,$R$2,L$6,L$5,$B43,"K"),"")</f>
        <v/>
      </c>
      <c r="M43" s="24" t="str">
        <f>IFERROR([1]!IntrinioBankFinancials(rssd_id,$R$2,M$6,M$5,$B43,"K"),"")</f>
        <v/>
      </c>
      <c r="N43" s="24" t="str">
        <f>IFERROR([1]!IntrinioBankFinancials(rssd_id,$R$2,N$6,N$5,$B43,"K"),"")</f>
        <v/>
      </c>
      <c r="O43" s="24" t="str">
        <f>IFERROR([1]!IntrinioBankFinancials(rssd_id,$R$2,O$6,O$5,$B43,"K"),"")</f>
        <v/>
      </c>
    </row>
    <row r="44" spans="1:15" s="22" customFormat="1" ht="13.5" customHeight="1" x14ac:dyDescent="0.4">
      <c r="A44" s="34" t="s">
        <v>108</v>
      </c>
      <c r="B44" s="23" t="s">
        <v>132</v>
      </c>
      <c r="C44" s="24" t="str">
        <f>IFERROR([1]!IntrinioBankFinancials(rssd_id,$R$2,C$6,C$5,$B44,"K"),"")</f>
        <v/>
      </c>
      <c r="D44" s="24" t="str">
        <f>IFERROR([1]!IntrinioBankFinancials(rssd_id,$R$2,D$6,D$5,$B44,"K"),"")</f>
        <v/>
      </c>
      <c r="E44" s="24" t="str">
        <f>IFERROR([1]!IntrinioBankFinancials(rssd_id,$R$2,E$6,E$5,$B44,"K"),"")</f>
        <v/>
      </c>
      <c r="F44" s="24" t="str">
        <f>IFERROR([1]!IntrinioBankFinancials(rssd_id,$R$2,F$6,F$5,$B44,"K"),"")</f>
        <v/>
      </c>
      <c r="G44" s="24" t="str">
        <f>IFERROR([1]!IntrinioBankFinancials(rssd_id,$R$2,G$6,G$5,$B44,"K"),"")</f>
        <v/>
      </c>
      <c r="H44" s="24" t="str">
        <f>IFERROR([1]!IntrinioBankFinancials(rssd_id,$R$2,H$6,H$5,$B44,"K"),"")</f>
        <v/>
      </c>
      <c r="I44" s="24" t="str">
        <f>IFERROR([1]!IntrinioBankFinancials(rssd_id,$R$2,I$6,I$5,$B44,"K"),"")</f>
        <v/>
      </c>
      <c r="J44" s="24" t="str">
        <f>IFERROR([1]!IntrinioBankFinancials(rssd_id,$R$2,J$6,J$5,$B44,"K"),"")</f>
        <v/>
      </c>
      <c r="K44" s="24" t="str">
        <f>IFERROR([1]!IntrinioBankFinancials(rssd_id,$R$2,K$6,K$5,$B44,"K"),"")</f>
        <v/>
      </c>
      <c r="L44" s="24" t="str">
        <f>IFERROR([1]!IntrinioBankFinancials(rssd_id,$R$2,L$6,L$5,$B44,"K"),"")</f>
        <v/>
      </c>
      <c r="M44" s="24" t="str">
        <f>IFERROR([1]!IntrinioBankFinancials(rssd_id,$R$2,M$6,M$5,$B44,"K"),"")</f>
        <v/>
      </c>
      <c r="N44" s="24" t="str">
        <f>IFERROR([1]!IntrinioBankFinancials(rssd_id,$R$2,N$6,N$5,$B44,"K"),"")</f>
        <v/>
      </c>
      <c r="O44" s="24" t="str">
        <f>IFERROR([1]!IntrinioBankFinancials(rssd_id,$R$2,O$6,O$5,$B44,"K"),"")</f>
        <v/>
      </c>
    </row>
    <row r="45" spans="1:15" s="22" customFormat="1" ht="13.5" customHeight="1" x14ac:dyDescent="0.4">
      <c r="A45" s="34" t="s">
        <v>110</v>
      </c>
      <c r="B45" s="23" t="s">
        <v>133</v>
      </c>
      <c r="C45" s="24" t="str">
        <f>IFERROR([1]!IntrinioBankFinancials(rssd_id,$R$2,C$6,C$5,$B45,"K"),"")</f>
        <v/>
      </c>
      <c r="D45" s="24" t="str">
        <f>IFERROR([1]!IntrinioBankFinancials(rssd_id,$R$2,D$6,D$5,$B45,"K"),"")</f>
        <v/>
      </c>
      <c r="E45" s="24" t="str">
        <f>IFERROR([1]!IntrinioBankFinancials(rssd_id,$R$2,E$6,E$5,$B45,"K"),"")</f>
        <v/>
      </c>
      <c r="F45" s="24" t="str">
        <f>IFERROR([1]!IntrinioBankFinancials(rssd_id,$R$2,F$6,F$5,$B45,"K"),"")</f>
        <v/>
      </c>
      <c r="G45" s="24" t="str">
        <f>IFERROR([1]!IntrinioBankFinancials(rssd_id,$R$2,G$6,G$5,$B45,"K"),"")</f>
        <v/>
      </c>
      <c r="H45" s="24" t="str">
        <f>IFERROR([1]!IntrinioBankFinancials(rssd_id,$R$2,H$6,H$5,$B45,"K"),"")</f>
        <v/>
      </c>
      <c r="I45" s="24" t="str">
        <f>IFERROR([1]!IntrinioBankFinancials(rssd_id,$R$2,I$6,I$5,$B45,"K"),"")</f>
        <v/>
      </c>
      <c r="J45" s="24" t="str">
        <f>IFERROR([1]!IntrinioBankFinancials(rssd_id,$R$2,J$6,J$5,$B45,"K"),"")</f>
        <v/>
      </c>
      <c r="K45" s="24" t="str">
        <f>IFERROR([1]!IntrinioBankFinancials(rssd_id,$R$2,K$6,K$5,$B45,"K"),"")</f>
        <v/>
      </c>
      <c r="L45" s="24" t="str">
        <f>IFERROR([1]!IntrinioBankFinancials(rssd_id,$R$2,L$6,L$5,$B45,"K"),"")</f>
        <v/>
      </c>
      <c r="M45" s="24" t="str">
        <f>IFERROR([1]!IntrinioBankFinancials(rssd_id,$R$2,M$6,M$5,$B45,"K"),"")</f>
        <v/>
      </c>
      <c r="N45" s="24" t="str">
        <f>IFERROR([1]!IntrinioBankFinancials(rssd_id,$R$2,N$6,N$5,$B45,"K"),"")</f>
        <v/>
      </c>
      <c r="O45" s="24" t="str">
        <f>IFERROR([1]!IntrinioBankFinancials(rssd_id,$R$2,O$6,O$5,$B45,"K"),"")</f>
        <v/>
      </c>
    </row>
    <row r="46" spans="1:15" s="22" customFormat="1" ht="13.5" customHeight="1" x14ac:dyDescent="0.4">
      <c r="A46" s="34" t="s">
        <v>112</v>
      </c>
      <c r="B46" s="23" t="s">
        <v>134</v>
      </c>
      <c r="C46" s="24" t="str">
        <f>IFERROR([1]!IntrinioBankFinancials(rssd_id,$R$2,C$6,C$5,$B46,"K"),"")</f>
        <v/>
      </c>
      <c r="D46" s="24" t="str">
        <f>IFERROR([1]!IntrinioBankFinancials(rssd_id,$R$2,D$6,D$5,$B46,"K"),"")</f>
        <v/>
      </c>
      <c r="E46" s="24" t="str">
        <f>IFERROR([1]!IntrinioBankFinancials(rssd_id,$R$2,E$6,E$5,$B46,"K"),"")</f>
        <v/>
      </c>
      <c r="F46" s="24" t="str">
        <f>IFERROR([1]!IntrinioBankFinancials(rssd_id,$R$2,F$6,F$5,$B46,"K"),"")</f>
        <v/>
      </c>
      <c r="G46" s="24" t="str">
        <f>IFERROR([1]!IntrinioBankFinancials(rssd_id,$R$2,G$6,G$5,$B46,"K"),"")</f>
        <v/>
      </c>
      <c r="H46" s="24" t="str">
        <f>IFERROR([1]!IntrinioBankFinancials(rssd_id,$R$2,H$6,H$5,$B46,"K"),"")</f>
        <v/>
      </c>
      <c r="I46" s="24" t="str">
        <f>IFERROR([1]!IntrinioBankFinancials(rssd_id,$R$2,I$6,I$5,$B46,"K"),"")</f>
        <v/>
      </c>
      <c r="J46" s="24" t="str">
        <f>IFERROR([1]!IntrinioBankFinancials(rssd_id,$R$2,J$6,J$5,$B46,"K"),"")</f>
        <v/>
      </c>
      <c r="K46" s="24" t="str">
        <f>IFERROR([1]!IntrinioBankFinancials(rssd_id,$R$2,K$6,K$5,$B46,"K"),"")</f>
        <v/>
      </c>
      <c r="L46" s="24" t="str">
        <f>IFERROR([1]!IntrinioBankFinancials(rssd_id,$R$2,L$6,L$5,$B46,"K"),"")</f>
        <v/>
      </c>
      <c r="M46" s="24" t="str">
        <f>IFERROR([1]!IntrinioBankFinancials(rssd_id,$R$2,M$6,M$5,$B46,"K"),"")</f>
        <v/>
      </c>
      <c r="N46" s="24" t="str">
        <f>IFERROR([1]!IntrinioBankFinancials(rssd_id,$R$2,N$6,N$5,$B46,"K"),"")</f>
        <v/>
      </c>
      <c r="O46" s="24" t="str">
        <f>IFERROR([1]!IntrinioBankFinancials(rssd_id,$R$2,O$6,O$5,$B46,"K"),"")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4"/>
    <pageSetUpPr fitToPage="1"/>
  </sheetPr>
  <dimension ref="A1:R50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138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1191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202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139</v>
      </c>
      <c r="B9" s="23" t="s">
        <v>140</v>
      </c>
      <c r="C9" s="24" t="str">
        <f>IFERROR([1]!IntrinioBankFinancials(rssd_id,$R$2,C$6,C$5,$B9,"K"),"")</f>
        <v/>
      </c>
      <c r="D9" s="24" t="str">
        <f>IFERROR([1]!IntrinioBankFinancials(rssd_id,$R$2,D$6,D$5,$B9,"K"),"")</f>
        <v/>
      </c>
      <c r="E9" s="24" t="str">
        <f>IFERROR([1]!IntrinioBankFinancials(rssd_id,$R$2,E$6,E$5,$B9,"K"),"")</f>
        <v/>
      </c>
      <c r="F9" s="24" t="str">
        <f>IFERROR([1]!IntrinioBankFinancials(rssd_id,$R$2,F$6,F$5,$B9,"K"),"")</f>
        <v/>
      </c>
      <c r="G9" s="24" t="str">
        <f>IFERROR([1]!IntrinioBankFinancials(rssd_id,$R$2,G$6,G$5,$B9,"K"),"")</f>
        <v/>
      </c>
      <c r="H9" s="24" t="str">
        <f>IFERROR([1]!IntrinioBankFinancials(rssd_id,$R$2,H$6,H$5,$B9,"K"),"")</f>
        <v/>
      </c>
      <c r="I9" s="24" t="str">
        <f>IFERROR([1]!IntrinioBankFinancials(rssd_id,$R$2,I$6,I$5,$B9,"K"),"")</f>
        <v/>
      </c>
      <c r="J9" s="24" t="str">
        <f>IFERROR([1]!IntrinioBankFinancials(rssd_id,$R$2,J$6,J$5,$B9,"K"),"")</f>
        <v/>
      </c>
      <c r="K9" s="24" t="str">
        <f>IFERROR([1]!IntrinioBankFinancials(rssd_id,$R$2,K$6,K$5,$B9,"K"),"")</f>
        <v/>
      </c>
      <c r="L9" s="24" t="str">
        <f>IFERROR([1]!IntrinioBankFinancials(rssd_id,$R$2,L$6,L$5,$B9,"K"),"")</f>
        <v/>
      </c>
      <c r="M9" s="24" t="str">
        <f>IFERROR([1]!IntrinioBankFinancials(rssd_id,$R$2,M$6,M$5,$B9,"K"),"")</f>
        <v/>
      </c>
      <c r="N9" s="24" t="str">
        <f>IFERROR([1]!IntrinioBankFinancials(rssd_id,$R$2,N$6,N$5,$B9,"K"),"")</f>
        <v/>
      </c>
      <c r="O9" s="24" t="str">
        <f>IFERROR([1]!IntrinioBankFinancials(rssd_id,$R$2,O$6,O$5,$B9,"K"),"")</f>
        <v/>
      </c>
    </row>
    <row r="10" spans="1:18" s="22" customFormat="1" ht="13.5" customHeight="1" x14ac:dyDescent="0.4">
      <c r="A10" s="34" t="s">
        <v>141</v>
      </c>
      <c r="B10" s="23" t="s">
        <v>142</v>
      </c>
      <c r="C10" s="24" t="str">
        <f>IFERROR([1]!IntrinioBankFinancials(rssd_id,$R$2,C$6,C$5,$B10,"K"),"")</f>
        <v/>
      </c>
      <c r="D10" s="24" t="str">
        <f>IFERROR([1]!IntrinioBankFinancials(rssd_id,$R$2,D$6,D$5,$B10,"K"),"")</f>
        <v/>
      </c>
      <c r="E10" s="24" t="str">
        <f>IFERROR([1]!IntrinioBankFinancials(rssd_id,$R$2,E$6,E$5,$B10,"K"),"")</f>
        <v/>
      </c>
      <c r="F10" s="24" t="str">
        <f>IFERROR([1]!IntrinioBankFinancials(rssd_id,$R$2,F$6,F$5,$B10,"K"),"")</f>
        <v/>
      </c>
      <c r="G10" s="24" t="str">
        <f>IFERROR([1]!IntrinioBankFinancials(rssd_id,$R$2,G$6,G$5,$B10,"K"),"")</f>
        <v/>
      </c>
      <c r="H10" s="24" t="str">
        <f>IFERROR([1]!IntrinioBankFinancials(rssd_id,$R$2,H$6,H$5,$B10,"K"),"")</f>
        <v/>
      </c>
      <c r="I10" s="24" t="str">
        <f>IFERROR([1]!IntrinioBankFinancials(rssd_id,$R$2,I$6,I$5,$B10,"K"),"")</f>
        <v/>
      </c>
      <c r="J10" s="24" t="str">
        <f>IFERROR([1]!IntrinioBankFinancials(rssd_id,$R$2,J$6,J$5,$B10,"K"),"")</f>
        <v/>
      </c>
      <c r="K10" s="24" t="str">
        <f>IFERROR([1]!IntrinioBankFinancials(rssd_id,$R$2,K$6,K$5,$B10,"K"),"")</f>
        <v/>
      </c>
      <c r="L10" s="24" t="str">
        <f>IFERROR([1]!IntrinioBankFinancials(rssd_id,$R$2,L$6,L$5,$B10,"K"),"")</f>
        <v/>
      </c>
      <c r="M10" s="24" t="str">
        <f>IFERROR([1]!IntrinioBankFinancials(rssd_id,$R$2,M$6,M$5,$B10,"K"),"")</f>
        <v/>
      </c>
      <c r="N10" s="24" t="str">
        <f>IFERROR([1]!IntrinioBankFinancials(rssd_id,$R$2,N$6,N$5,$B10,"K"),"")</f>
        <v/>
      </c>
      <c r="O10" s="24" t="str">
        <f>IFERROR([1]!IntrinioBankFinancials(rssd_id,$R$2,O$6,O$5,$B10,"K"),"")</f>
        <v/>
      </c>
    </row>
    <row r="11" spans="1:18" s="22" customFormat="1" ht="13.5" customHeight="1" x14ac:dyDescent="0.4">
      <c r="A11" s="34" t="s">
        <v>143</v>
      </c>
      <c r="B11" s="23" t="s">
        <v>144</v>
      </c>
      <c r="C11" s="24" t="str">
        <f>IFERROR([1]!IntrinioBankFinancials(rssd_id,$R$2,C$6,C$5,$B11,"K"),"")</f>
        <v/>
      </c>
      <c r="D11" s="24" t="str">
        <f>IFERROR([1]!IntrinioBankFinancials(rssd_id,$R$2,D$6,D$5,$B11,"K"),"")</f>
        <v/>
      </c>
      <c r="E11" s="24" t="str">
        <f>IFERROR([1]!IntrinioBankFinancials(rssd_id,$R$2,E$6,E$5,$B11,"K"),"")</f>
        <v/>
      </c>
      <c r="F11" s="24" t="str">
        <f>IFERROR([1]!IntrinioBankFinancials(rssd_id,$R$2,F$6,F$5,$B11,"K"),"")</f>
        <v/>
      </c>
      <c r="G11" s="24" t="str">
        <f>IFERROR([1]!IntrinioBankFinancials(rssd_id,$R$2,G$6,G$5,$B11,"K"),"")</f>
        <v/>
      </c>
      <c r="H11" s="24" t="str">
        <f>IFERROR([1]!IntrinioBankFinancials(rssd_id,$R$2,H$6,H$5,$B11,"K"),"")</f>
        <v/>
      </c>
      <c r="I11" s="24" t="str">
        <f>IFERROR([1]!IntrinioBankFinancials(rssd_id,$R$2,I$6,I$5,$B11,"K"),"")</f>
        <v/>
      </c>
      <c r="J11" s="24" t="str">
        <f>IFERROR([1]!IntrinioBankFinancials(rssd_id,$R$2,J$6,J$5,$B11,"K"),"")</f>
        <v/>
      </c>
      <c r="K11" s="24" t="str">
        <f>IFERROR([1]!IntrinioBankFinancials(rssd_id,$R$2,K$6,K$5,$B11,"K"),"")</f>
        <v/>
      </c>
      <c r="L11" s="24" t="str">
        <f>IFERROR([1]!IntrinioBankFinancials(rssd_id,$R$2,L$6,L$5,$B11,"K"),"")</f>
        <v/>
      </c>
      <c r="M11" s="24" t="str">
        <f>IFERROR([1]!IntrinioBankFinancials(rssd_id,$R$2,M$6,M$5,$B11,"K"),"")</f>
        <v/>
      </c>
      <c r="N11" s="24" t="str">
        <f>IFERROR([1]!IntrinioBankFinancials(rssd_id,$R$2,N$6,N$5,$B11,"K"),"")</f>
        <v/>
      </c>
      <c r="O11" s="24" t="str">
        <f>IFERROR([1]!IntrinioBankFinancials(rssd_id,$R$2,O$6,O$5,$B11,"K"),"")</f>
        <v/>
      </c>
    </row>
    <row r="12" spans="1:18" s="22" customFormat="1" ht="13.5" customHeight="1" x14ac:dyDescent="0.4">
      <c r="A12" s="34" t="s">
        <v>145</v>
      </c>
      <c r="B12" s="23" t="s">
        <v>146</v>
      </c>
      <c r="C12" s="24" t="str">
        <f>IFERROR([1]!IntrinioBankFinancials(rssd_id,$R$2,C$6,C$5,$B12,"K"),"")</f>
        <v/>
      </c>
      <c r="D12" s="24" t="str">
        <f>IFERROR([1]!IntrinioBankFinancials(rssd_id,$R$2,D$6,D$5,$B12,"K"),"")</f>
        <v/>
      </c>
      <c r="E12" s="24" t="str">
        <f>IFERROR([1]!IntrinioBankFinancials(rssd_id,$R$2,E$6,E$5,$B12,"K"),"")</f>
        <v/>
      </c>
      <c r="F12" s="24" t="str">
        <f>IFERROR([1]!IntrinioBankFinancials(rssd_id,$R$2,F$6,F$5,$B12,"K"),"")</f>
        <v/>
      </c>
      <c r="G12" s="24" t="str">
        <f>IFERROR([1]!IntrinioBankFinancials(rssd_id,$R$2,G$6,G$5,$B12,"K"),"")</f>
        <v/>
      </c>
      <c r="H12" s="24" t="str">
        <f>IFERROR([1]!IntrinioBankFinancials(rssd_id,$R$2,H$6,H$5,$B12,"K"),"")</f>
        <v/>
      </c>
      <c r="I12" s="24" t="str">
        <f>IFERROR([1]!IntrinioBankFinancials(rssd_id,$R$2,I$6,I$5,$B12,"K"),"")</f>
        <v/>
      </c>
      <c r="J12" s="24" t="str">
        <f>IFERROR([1]!IntrinioBankFinancials(rssd_id,$R$2,J$6,J$5,$B12,"K"),"")</f>
        <v/>
      </c>
      <c r="K12" s="24" t="str">
        <f>IFERROR([1]!IntrinioBankFinancials(rssd_id,$R$2,K$6,K$5,$B12,"K"),"")</f>
        <v/>
      </c>
      <c r="L12" s="24" t="str">
        <f>IFERROR([1]!IntrinioBankFinancials(rssd_id,$R$2,L$6,L$5,$B12,"K"),"")</f>
        <v/>
      </c>
      <c r="M12" s="24" t="str">
        <f>IFERROR([1]!IntrinioBankFinancials(rssd_id,$R$2,M$6,M$5,$B12,"K"),"")</f>
        <v/>
      </c>
      <c r="N12" s="24" t="str">
        <f>IFERROR([1]!IntrinioBankFinancials(rssd_id,$R$2,N$6,N$5,$B12,"K"),"")</f>
        <v/>
      </c>
      <c r="O12" s="24" t="str">
        <f>IFERROR([1]!IntrinioBankFinancials(rssd_id,$R$2,O$6,O$5,$B12,"K"),"")</f>
        <v/>
      </c>
    </row>
    <row r="13" spans="1:18" s="22" customFormat="1" ht="13.5" customHeight="1" x14ac:dyDescent="0.4">
      <c r="A13" s="33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</row>
    <row r="14" spans="1:18" s="22" customFormat="1" ht="13.5" customHeight="1" x14ac:dyDescent="0.4">
      <c r="A14" s="33" t="s">
        <v>203</v>
      </c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</row>
    <row r="15" spans="1:18" s="22" customFormat="1" ht="13.5" customHeight="1" x14ac:dyDescent="0.4">
      <c r="A15" s="34" t="s">
        <v>147</v>
      </c>
      <c r="B15" s="23" t="s">
        <v>148</v>
      </c>
      <c r="C15" s="24" t="str">
        <f>IFERROR([1]!IntrinioBankFinancials(rssd_id,$R$2,C$6,C$5,$B15,"K"),"")</f>
        <v/>
      </c>
      <c r="D15" s="24" t="str">
        <f>IFERROR([1]!IntrinioBankFinancials(rssd_id,$R$2,D$6,D$5,$B15,"K"),"")</f>
        <v/>
      </c>
      <c r="E15" s="24" t="str">
        <f>IFERROR([1]!IntrinioBankFinancials(rssd_id,$R$2,E$6,E$5,$B15,"K"),"")</f>
        <v/>
      </c>
      <c r="F15" s="24" t="str">
        <f>IFERROR([1]!IntrinioBankFinancials(rssd_id,$R$2,F$6,F$5,$B15,"K"),"")</f>
        <v/>
      </c>
      <c r="G15" s="24" t="str">
        <f>IFERROR([1]!IntrinioBankFinancials(rssd_id,$R$2,G$6,G$5,$B15,"K"),"")</f>
        <v/>
      </c>
      <c r="H15" s="24" t="str">
        <f>IFERROR([1]!IntrinioBankFinancials(rssd_id,$R$2,H$6,H$5,$B15,"K"),"")</f>
        <v/>
      </c>
      <c r="I15" s="24" t="str">
        <f>IFERROR([1]!IntrinioBankFinancials(rssd_id,$R$2,I$6,I$5,$B15,"K"),"")</f>
        <v/>
      </c>
      <c r="J15" s="24" t="str">
        <f>IFERROR([1]!IntrinioBankFinancials(rssd_id,$R$2,J$6,J$5,$B15,"K"),"")</f>
        <v/>
      </c>
      <c r="K15" s="24" t="str">
        <f>IFERROR([1]!IntrinioBankFinancials(rssd_id,$R$2,K$6,K$5,$B15,"K"),"")</f>
        <v/>
      </c>
      <c r="L15" s="24" t="str">
        <f>IFERROR([1]!IntrinioBankFinancials(rssd_id,$R$2,L$6,L$5,$B15,"K"),"")</f>
        <v/>
      </c>
      <c r="M15" s="24" t="str">
        <f>IFERROR([1]!IntrinioBankFinancials(rssd_id,$R$2,M$6,M$5,$B15,"K"),"")</f>
        <v/>
      </c>
      <c r="N15" s="24" t="str">
        <f>IFERROR([1]!IntrinioBankFinancials(rssd_id,$R$2,N$6,N$5,$B15,"K"),"")</f>
        <v/>
      </c>
      <c r="O15" s="24" t="str">
        <f>IFERROR([1]!IntrinioBankFinancials(rssd_id,$R$2,O$6,O$5,$B15,"K"),"")</f>
        <v/>
      </c>
    </row>
    <row r="16" spans="1:18" s="22" customFormat="1" ht="13.5" customHeight="1" x14ac:dyDescent="0.4">
      <c r="A16" s="34" t="s">
        <v>149</v>
      </c>
      <c r="B16" s="23" t="s">
        <v>150</v>
      </c>
      <c r="C16" s="24" t="str">
        <f>IFERROR([1]!IntrinioBankFinancials(rssd_id,$R$2,C$6,C$5,$B16,"K"),"")</f>
        <v/>
      </c>
      <c r="D16" s="24" t="str">
        <f>IFERROR([1]!IntrinioBankFinancials(rssd_id,$R$2,D$6,D$5,$B16,"K"),"")</f>
        <v/>
      </c>
      <c r="E16" s="24" t="str">
        <f>IFERROR([1]!IntrinioBankFinancials(rssd_id,$R$2,E$6,E$5,$B16,"K"),"")</f>
        <v/>
      </c>
      <c r="F16" s="24" t="str">
        <f>IFERROR([1]!IntrinioBankFinancials(rssd_id,$R$2,F$6,F$5,$B16,"K"),"")</f>
        <v/>
      </c>
      <c r="G16" s="24" t="str">
        <f>IFERROR([1]!IntrinioBankFinancials(rssd_id,$R$2,G$6,G$5,$B16,"K"),"")</f>
        <v/>
      </c>
      <c r="H16" s="24" t="str">
        <f>IFERROR([1]!IntrinioBankFinancials(rssd_id,$R$2,H$6,H$5,$B16,"K"),"")</f>
        <v/>
      </c>
      <c r="I16" s="24" t="str">
        <f>IFERROR([1]!IntrinioBankFinancials(rssd_id,$R$2,I$6,I$5,$B16,"K"),"")</f>
        <v/>
      </c>
      <c r="J16" s="24" t="str">
        <f>IFERROR([1]!IntrinioBankFinancials(rssd_id,$R$2,J$6,J$5,$B16,"K"),"")</f>
        <v/>
      </c>
      <c r="K16" s="24" t="str">
        <f>IFERROR([1]!IntrinioBankFinancials(rssd_id,$R$2,K$6,K$5,$B16,"K"),"")</f>
        <v/>
      </c>
      <c r="L16" s="24" t="str">
        <f>IFERROR([1]!IntrinioBankFinancials(rssd_id,$R$2,L$6,L$5,$B16,"K"),"")</f>
        <v/>
      </c>
      <c r="M16" s="24" t="str">
        <f>IFERROR([1]!IntrinioBankFinancials(rssd_id,$R$2,M$6,M$5,$B16,"K"),"")</f>
        <v/>
      </c>
      <c r="N16" s="24" t="str">
        <f>IFERROR([1]!IntrinioBankFinancials(rssd_id,$R$2,N$6,N$5,$B16,"K"),"")</f>
        <v/>
      </c>
      <c r="O16" s="24" t="str">
        <f>IFERROR([1]!IntrinioBankFinancials(rssd_id,$R$2,O$6,O$5,$B16,"K"),"")</f>
        <v/>
      </c>
    </row>
    <row r="17" spans="1:15" s="22" customFormat="1" ht="13.5" customHeight="1" x14ac:dyDescent="0.4">
      <c r="A17" s="34" t="s">
        <v>151</v>
      </c>
      <c r="B17" s="23" t="s">
        <v>152</v>
      </c>
      <c r="C17" s="24" t="str">
        <f>IFERROR([1]!IntrinioBankFinancials(rssd_id,$R$2,C$6,C$5,$B17,"K"),"")</f>
        <v/>
      </c>
      <c r="D17" s="24" t="str">
        <f>IFERROR([1]!IntrinioBankFinancials(rssd_id,$R$2,D$6,D$5,$B17,"K"),"")</f>
        <v/>
      </c>
      <c r="E17" s="24" t="str">
        <f>IFERROR([1]!IntrinioBankFinancials(rssd_id,$R$2,E$6,E$5,$B17,"K"),"")</f>
        <v/>
      </c>
      <c r="F17" s="24" t="str">
        <f>IFERROR([1]!IntrinioBankFinancials(rssd_id,$R$2,F$6,F$5,$B17,"K"),"")</f>
        <v/>
      </c>
      <c r="G17" s="24" t="str">
        <f>IFERROR([1]!IntrinioBankFinancials(rssd_id,$R$2,G$6,G$5,$B17,"K"),"")</f>
        <v/>
      </c>
      <c r="H17" s="24" t="str">
        <f>IFERROR([1]!IntrinioBankFinancials(rssd_id,$R$2,H$6,H$5,$B17,"K"),"")</f>
        <v/>
      </c>
      <c r="I17" s="24" t="str">
        <f>IFERROR([1]!IntrinioBankFinancials(rssd_id,$R$2,I$6,I$5,$B17,"K"),"")</f>
        <v/>
      </c>
      <c r="J17" s="24" t="str">
        <f>IFERROR([1]!IntrinioBankFinancials(rssd_id,$R$2,J$6,J$5,$B17,"K"),"")</f>
        <v/>
      </c>
      <c r="K17" s="24" t="str">
        <f>IFERROR([1]!IntrinioBankFinancials(rssd_id,$R$2,K$6,K$5,$B17,"K"),"")</f>
        <v/>
      </c>
      <c r="L17" s="24" t="str">
        <f>IFERROR([1]!IntrinioBankFinancials(rssd_id,$R$2,L$6,L$5,$B17,"K"),"")</f>
        <v/>
      </c>
      <c r="M17" s="24" t="str">
        <f>IFERROR([1]!IntrinioBankFinancials(rssd_id,$R$2,M$6,M$5,$B17,"K"),"")</f>
        <v/>
      </c>
      <c r="N17" s="24" t="str">
        <f>IFERROR([1]!IntrinioBankFinancials(rssd_id,$R$2,N$6,N$5,$B17,"K"),"")</f>
        <v/>
      </c>
      <c r="O17" s="24" t="str">
        <f>IFERROR([1]!IntrinioBankFinancials(rssd_id,$R$2,O$6,O$5,$B17,"K"),"")</f>
        <v/>
      </c>
    </row>
    <row r="18" spans="1:15" s="22" customFormat="1" ht="13.5" customHeight="1" x14ac:dyDescent="0.4">
      <c r="A18" s="34" t="s">
        <v>153</v>
      </c>
      <c r="B18" s="23" t="s">
        <v>154</v>
      </c>
      <c r="C18" s="24" t="str">
        <f>IFERROR([1]!IntrinioBankFinancials(rssd_id,$R$2,C$6,C$5,$B18,"K"),"")</f>
        <v/>
      </c>
      <c r="D18" s="24" t="str">
        <f>IFERROR([1]!IntrinioBankFinancials(rssd_id,$R$2,D$6,D$5,$B18,"K"),"")</f>
        <v/>
      </c>
      <c r="E18" s="24" t="str">
        <f>IFERROR([1]!IntrinioBankFinancials(rssd_id,$R$2,E$6,E$5,$B18,"K"),"")</f>
        <v/>
      </c>
      <c r="F18" s="24" t="str">
        <f>IFERROR([1]!IntrinioBankFinancials(rssd_id,$R$2,F$6,F$5,$B18,"K"),"")</f>
        <v/>
      </c>
      <c r="G18" s="24" t="str">
        <f>IFERROR([1]!IntrinioBankFinancials(rssd_id,$R$2,G$6,G$5,$B18,"K"),"")</f>
        <v/>
      </c>
      <c r="H18" s="24" t="str">
        <f>IFERROR([1]!IntrinioBankFinancials(rssd_id,$R$2,H$6,H$5,$B18,"K"),"")</f>
        <v/>
      </c>
      <c r="I18" s="24" t="str">
        <f>IFERROR([1]!IntrinioBankFinancials(rssd_id,$R$2,I$6,I$5,$B18,"K"),"")</f>
        <v/>
      </c>
      <c r="J18" s="24" t="str">
        <f>IFERROR([1]!IntrinioBankFinancials(rssd_id,$R$2,J$6,J$5,$B18,"K"),"")</f>
        <v/>
      </c>
      <c r="K18" s="24" t="str">
        <f>IFERROR([1]!IntrinioBankFinancials(rssd_id,$R$2,K$6,K$5,$B18,"K"),"")</f>
        <v/>
      </c>
      <c r="L18" s="24" t="str">
        <f>IFERROR([1]!IntrinioBankFinancials(rssd_id,$R$2,L$6,L$5,$B18,"K"),"")</f>
        <v/>
      </c>
      <c r="M18" s="24" t="str">
        <f>IFERROR([1]!IntrinioBankFinancials(rssd_id,$R$2,M$6,M$5,$B18,"K"),"")</f>
        <v/>
      </c>
      <c r="N18" s="24" t="str">
        <f>IFERROR([1]!IntrinioBankFinancials(rssd_id,$R$2,N$6,N$5,$B18,"K"),"")</f>
        <v/>
      </c>
      <c r="O18" s="24" t="str">
        <f>IFERROR([1]!IntrinioBankFinancials(rssd_id,$R$2,O$6,O$5,$B18,"K"),"")</f>
        <v/>
      </c>
    </row>
    <row r="19" spans="1:15" s="22" customFormat="1" ht="13.5" customHeight="1" x14ac:dyDescent="0.4">
      <c r="A19" s="34" t="s">
        <v>155</v>
      </c>
      <c r="B19" s="23" t="s">
        <v>156</v>
      </c>
      <c r="C19" s="24" t="str">
        <f>IFERROR([1]!IntrinioBankFinancials(rssd_id,$R$2,C$6,C$5,$B19,"K"),"")</f>
        <v/>
      </c>
      <c r="D19" s="24" t="str">
        <f>IFERROR([1]!IntrinioBankFinancials(rssd_id,$R$2,D$6,D$5,$B19,"K"),"")</f>
        <v/>
      </c>
      <c r="E19" s="24" t="str">
        <f>IFERROR([1]!IntrinioBankFinancials(rssd_id,$R$2,E$6,E$5,$B19,"K"),"")</f>
        <v/>
      </c>
      <c r="F19" s="24" t="str">
        <f>IFERROR([1]!IntrinioBankFinancials(rssd_id,$R$2,F$6,F$5,$B19,"K"),"")</f>
        <v/>
      </c>
      <c r="G19" s="24" t="str">
        <f>IFERROR([1]!IntrinioBankFinancials(rssd_id,$R$2,G$6,G$5,$B19,"K"),"")</f>
        <v/>
      </c>
      <c r="H19" s="24" t="str">
        <f>IFERROR([1]!IntrinioBankFinancials(rssd_id,$R$2,H$6,H$5,$B19,"K"),"")</f>
        <v/>
      </c>
      <c r="I19" s="24" t="str">
        <f>IFERROR([1]!IntrinioBankFinancials(rssd_id,$R$2,I$6,I$5,$B19,"K"),"")</f>
        <v/>
      </c>
      <c r="J19" s="24" t="str">
        <f>IFERROR([1]!IntrinioBankFinancials(rssd_id,$R$2,J$6,J$5,$B19,"K"),"")</f>
        <v/>
      </c>
      <c r="K19" s="24" t="str">
        <f>IFERROR([1]!IntrinioBankFinancials(rssd_id,$R$2,K$6,K$5,$B19,"K"),"")</f>
        <v/>
      </c>
      <c r="L19" s="24" t="str">
        <f>IFERROR([1]!IntrinioBankFinancials(rssd_id,$R$2,L$6,L$5,$B19,"K"),"")</f>
        <v/>
      </c>
      <c r="M19" s="24" t="str">
        <f>IFERROR([1]!IntrinioBankFinancials(rssd_id,$R$2,M$6,M$5,$B19,"K"),"")</f>
        <v/>
      </c>
      <c r="N19" s="24" t="str">
        <f>IFERROR([1]!IntrinioBankFinancials(rssd_id,$R$2,N$6,N$5,$B19,"K"),"")</f>
        <v/>
      </c>
      <c r="O19" s="24" t="str">
        <f>IFERROR([1]!IntrinioBankFinancials(rssd_id,$R$2,O$6,O$5,$B19,"K"),"")</f>
        <v/>
      </c>
    </row>
    <row r="20" spans="1:15" s="22" customFormat="1" ht="13.5" customHeight="1" x14ac:dyDescent="0.4">
      <c r="A20" s="34" t="s">
        <v>151</v>
      </c>
      <c r="B20" s="23" t="s">
        <v>157</v>
      </c>
      <c r="C20" s="24" t="str">
        <f>IFERROR([1]!IntrinioBankFinancials(rssd_id,$R$2,C$6,C$5,$B20,"K"),"")</f>
        <v/>
      </c>
      <c r="D20" s="24" t="str">
        <f>IFERROR([1]!IntrinioBankFinancials(rssd_id,$R$2,D$6,D$5,$B20,"K"),"")</f>
        <v/>
      </c>
      <c r="E20" s="24" t="str">
        <f>IFERROR([1]!IntrinioBankFinancials(rssd_id,$R$2,E$6,E$5,$B20,"K"),"")</f>
        <v/>
      </c>
      <c r="F20" s="24" t="str">
        <f>IFERROR([1]!IntrinioBankFinancials(rssd_id,$R$2,F$6,F$5,$B20,"K"),"")</f>
        <v/>
      </c>
      <c r="G20" s="24" t="str">
        <f>IFERROR([1]!IntrinioBankFinancials(rssd_id,$R$2,G$6,G$5,$B20,"K"),"")</f>
        <v/>
      </c>
      <c r="H20" s="24" t="str">
        <f>IFERROR([1]!IntrinioBankFinancials(rssd_id,$R$2,H$6,H$5,$B20,"K"),"")</f>
        <v/>
      </c>
      <c r="I20" s="24" t="str">
        <f>IFERROR([1]!IntrinioBankFinancials(rssd_id,$R$2,I$6,I$5,$B20,"K"),"")</f>
        <v/>
      </c>
      <c r="J20" s="24" t="str">
        <f>IFERROR([1]!IntrinioBankFinancials(rssd_id,$R$2,J$6,J$5,$B20,"K"),"")</f>
        <v/>
      </c>
      <c r="K20" s="24" t="str">
        <f>IFERROR([1]!IntrinioBankFinancials(rssd_id,$R$2,K$6,K$5,$B20,"K"),"")</f>
        <v/>
      </c>
      <c r="L20" s="24" t="str">
        <f>IFERROR([1]!IntrinioBankFinancials(rssd_id,$R$2,L$6,L$5,$B20,"K"),"")</f>
        <v/>
      </c>
      <c r="M20" s="24" t="str">
        <f>IFERROR([1]!IntrinioBankFinancials(rssd_id,$R$2,M$6,M$5,$B20,"K"),"")</f>
        <v/>
      </c>
      <c r="N20" s="24" t="str">
        <f>IFERROR([1]!IntrinioBankFinancials(rssd_id,$R$2,N$6,N$5,$B20,"K"),"")</f>
        <v/>
      </c>
      <c r="O20" s="24" t="str">
        <f>IFERROR([1]!IntrinioBankFinancials(rssd_id,$R$2,O$6,O$5,$B20,"K"),"")</f>
        <v/>
      </c>
    </row>
    <row r="21" spans="1:15" ht="13.5" customHeight="1" x14ac:dyDescent="0.4">
      <c r="A21" s="34" t="s">
        <v>153</v>
      </c>
      <c r="B21" s="23" t="s">
        <v>158</v>
      </c>
      <c r="C21" s="24" t="str">
        <f>IFERROR([1]!IntrinioBankFinancials(rssd_id,$R$2,C$6,C$5,$B21,"K"),"")</f>
        <v/>
      </c>
      <c r="D21" s="24" t="str">
        <f>IFERROR([1]!IntrinioBankFinancials(rssd_id,$R$2,D$6,D$5,$B21,"K"),"")</f>
        <v/>
      </c>
      <c r="E21" s="24" t="str">
        <f>IFERROR([1]!IntrinioBankFinancials(rssd_id,$R$2,E$6,E$5,$B21,"K"),"")</f>
        <v/>
      </c>
      <c r="F21" s="24" t="str">
        <f>IFERROR([1]!IntrinioBankFinancials(rssd_id,$R$2,F$6,F$5,$B21,"K"),"")</f>
        <v/>
      </c>
      <c r="G21" s="24" t="str">
        <f>IFERROR([1]!IntrinioBankFinancials(rssd_id,$R$2,G$6,G$5,$B21,"K"),"")</f>
        <v/>
      </c>
      <c r="H21" s="24" t="str">
        <f>IFERROR([1]!IntrinioBankFinancials(rssd_id,$R$2,H$6,H$5,$B21,"K"),"")</f>
        <v/>
      </c>
      <c r="I21" s="24" t="str">
        <f>IFERROR([1]!IntrinioBankFinancials(rssd_id,$R$2,I$6,I$5,$B21,"K"),"")</f>
        <v/>
      </c>
      <c r="J21" s="24" t="str">
        <f>IFERROR([1]!IntrinioBankFinancials(rssd_id,$R$2,J$6,J$5,$B21,"K"),"")</f>
        <v/>
      </c>
      <c r="K21" s="24" t="str">
        <f>IFERROR([1]!IntrinioBankFinancials(rssd_id,$R$2,K$6,K$5,$B21,"K"),"")</f>
        <v/>
      </c>
      <c r="L21" s="24" t="str">
        <f>IFERROR([1]!IntrinioBankFinancials(rssd_id,$R$2,L$6,L$5,$B21,"K"),"")</f>
        <v/>
      </c>
      <c r="M21" s="24" t="str">
        <f>IFERROR([1]!IntrinioBankFinancials(rssd_id,$R$2,M$6,M$5,$B21,"K"),"")</f>
        <v/>
      </c>
      <c r="N21" s="24" t="str">
        <f>IFERROR([1]!IntrinioBankFinancials(rssd_id,$R$2,N$6,N$5,$B21,"K"),"")</f>
        <v/>
      </c>
      <c r="O21" s="24" t="str">
        <f>IFERROR([1]!IntrinioBankFinancials(rssd_id,$R$2,O$6,O$5,$B21,"K"),"")</f>
        <v/>
      </c>
    </row>
    <row r="22" spans="1:15" ht="13.5" customHeight="1" x14ac:dyDescent="0.4">
      <c r="A22" s="34" t="s">
        <v>159</v>
      </c>
      <c r="B22" s="23" t="s">
        <v>160</v>
      </c>
      <c r="C22" s="24" t="str">
        <f>IFERROR([1]!IntrinioBankFinancials(rssd_id,$R$2,C$6,C$5,$B22,"K"),"")</f>
        <v/>
      </c>
      <c r="D22" s="24" t="str">
        <f>IFERROR([1]!IntrinioBankFinancials(rssd_id,$R$2,D$6,D$5,$B22,"K"),"")</f>
        <v/>
      </c>
      <c r="E22" s="24" t="str">
        <f>IFERROR([1]!IntrinioBankFinancials(rssd_id,$R$2,E$6,E$5,$B22,"K"),"")</f>
        <v/>
      </c>
      <c r="F22" s="24" t="str">
        <f>IFERROR([1]!IntrinioBankFinancials(rssd_id,$R$2,F$6,F$5,$B22,"K"),"")</f>
        <v/>
      </c>
      <c r="G22" s="24" t="str">
        <f>IFERROR([1]!IntrinioBankFinancials(rssd_id,$R$2,G$6,G$5,$B22,"K"),"")</f>
        <v/>
      </c>
      <c r="H22" s="24" t="str">
        <f>IFERROR([1]!IntrinioBankFinancials(rssd_id,$R$2,H$6,H$5,$B22,"K"),"")</f>
        <v/>
      </c>
      <c r="I22" s="24" t="str">
        <f>IFERROR([1]!IntrinioBankFinancials(rssd_id,$R$2,I$6,I$5,$B22,"K"),"")</f>
        <v/>
      </c>
      <c r="J22" s="24" t="str">
        <f>IFERROR([1]!IntrinioBankFinancials(rssd_id,$R$2,J$6,J$5,$B22,"K"),"")</f>
        <v/>
      </c>
      <c r="K22" s="24" t="str">
        <f>IFERROR([1]!IntrinioBankFinancials(rssd_id,$R$2,K$6,K$5,$B22,"K"),"")</f>
        <v/>
      </c>
      <c r="L22" s="24" t="str">
        <f>IFERROR([1]!IntrinioBankFinancials(rssd_id,$R$2,L$6,L$5,$B22,"K"),"")</f>
        <v/>
      </c>
      <c r="M22" s="24" t="str">
        <f>IFERROR([1]!IntrinioBankFinancials(rssd_id,$R$2,M$6,M$5,$B22,"K"),"")</f>
        <v/>
      </c>
      <c r="N22" s="24" t="str">
        <f>IFERROR([1]!IntrinioBankFinancials(rssd_id,$R$2,N$6,N$5,$B22,"K"),"")</f>
        <v/>
      </c>
      <c r="O22" s="24" t="str">
        <f>IFERROR([1]!IntrinioBankFinancials(rssd_id,$R$2,O$6,O$5,$B22,"K"),"")</f>
        <v/>
      </c>
    </row>
    <row r="23" spans="1:15" ht="13.5" customHeight="1" x14ac:dyDescent="0.4">
      <c r="A23" s="34" t="s">
        <v>161</v>
      </c>
      <c r="B23" s="23" t="s">
        <v>162</v>
      </c>
      <c r="C23" s="24" t="str">
        <f>IFERROR([1]!IntrinioBankFinancials(rssd_id,$R$2,C$6,C$5,$B23,"K"),"")</f>
        <v/>
      </c>
      <c r="D23" s="24" t="str">
        <f>IFERROR([1]!IntrinioBankFinancials(rssd_id,$R$2,D$6,D$5,$B23,"K"),"")</f>
        <v/>
      </c>
      <c r="E23" s="24" t="str">
        <f>IFERROR([1]!IntrinioBankFinancials(rssd_id,$R$2,E$6,E$5,$B23,"K"),"")</f>
        <v/>
      </c>
      <c r="F23" s="24" t="str">
        <f>IFERROR([1]!IntrinioBankFinancials(rssd_id,$R$2,F$6,F$5,$B23,"K"),"")</f>
        <v/>
      </c>
      <c r="G23" s="24" t="str">
        <f>IFERROR([1]!IntrinioBankFinancials(rssd_id,$R$2,G$6,G$5,$B23,"K"),"")</f>
        <v/>
      </c>
      <c r="H23" s="24" t="str">
        <f>IFERROR([1]!IntrinioBankFinancials(rssd_id,$R$2,H$6,H$5,$B23,"K"),"")</f>
        <v/>
      </c>
      <c r="I23" s="24" t="str">
        <f>IFERROR([1]!IntrinioBankFinancials(rssd_id,$R$2,I$6,I$5,$B23,"K"),"")</f>
        <v/>
      </c>
      <c r="J23" s="24" t="str">
        <f>IFERROR([1]!IntrinioBankFinancials(rssd_id,$R$2,J$6,J$5,$B23,"K"),"")</f>
        <v/>
      </c>
      <c r="K23" s="24" t="str">
        <f>IFERROR([1]!IntrinioBankFinancials(rssd_id,$R$2,K$6,K$5,$B23,"K"),"")</f>
        <v/>
      </c>
      <c r="L23" s="24" t="str">
        <f>IFERROR([1]!IntrinioBankFinancials(rssd_id,$R$2,L$6,L$5,$B23,"K"),"")</f>
        <v/>
      </c>
      <c r="M23" s="24" t="str">
        <f>IFERROR([1]!IntrinioBankFinancials(rssd_id,$R$2,M$6,M$5,$B23,"K"),"")</f>
        <v/>
      </c>
      <c r="N23" s="24" t="str">
        <f>IFERROR([1]!IntrinioBankFinancials(rssd_id,$R$2,N$6,N$5,$B23,"K"),"")</f>
        <v/>
      </c>
      <c r="O23" s="24" t="str">
        <f>IFERROR([1]!IntrinioBankFinancials(rssd_id,$R$2,O$6,O$5,$B23,"K"),"")</f>
        <v/>
      </c>
    </row>
    <row r="24" spans="1:15" ht="13.5" customHeight="1" x14ac:dyDescent="0.4">
      <c r="A24" s="34" t="s">
        <v>141</v>
      </c>
      <c r="B24" s="23" t="s">
        <v>163</v>
      </c>
      <c r="C24" s="24" t="str">
        <f>IFERROR([1]!IntrinioBankFinancials(rssd_id,$R$2,C$6,C$5,$B24,"K"),"")</f>
        <v/>
      </c>
      <c r="D24" s="24" t="str">
        <f>IFERROR([1]!IntrinioBankFinancials(rssd_id,$R$2,D$6,D$5,$B24,"K"),"")</f>
        <v/>
      </c>
      <c r="E24" s="24" t="str">
        <f>IFERROR([1]!IntrinioBankFinancials(rssd_id,$R$2,E$6,E$5,$B24,"K"),"")</f>
        <v/>
      </c>
      <c r="F24" s="24" t="str">
        <f>IFERROR([1]!IntrinioBankFinancials(rssd_id,$R$2,F$6,F$5,$B24,"K"),"")</f>
        <v/>
      </c>
      <c r="G24" s="24" t="str">
        <f>IFERROR([1]!IntrinioBankFinancials(rssd_id,$R$2,G$6,G$5,$B24,"K"),"")</f>
        <v/>
      </c>
      <c r="H24" s="24" t="str">
        <f>IFERROR([1]!IntrinioBankFinancials(rssd_id,$R$2,H$6,H$5,$B24,"K"),"")</f>
        <v/>
      </c>
      <c r="I24" s="24" t="str">
        <f>IFERROR([1]!IntrinioBankFinancials(rssd_id,$R$2,I$6,I$5,$B24,"K"),"")</f>
        <v/>
      </c>
      <c r="J24" s="24" t="str">
        <f>IFERROR([1]!IntrinioBankFinancials(rssd_id,$R$2,J$6,J$5,$B24,"K"),"")</f>
        <v/>
      </c>
      <c r="K24" s="24" t="str">
        <f>IFERROR([1]!IntrinioBankFinancials(rssd_id,$R$2,K$6,K$5,$B24,"K"),"")</f>
        <v/>
      </c>
      <c r="L24" s="24" t="str">
        <f>IFERROR([1]!IntrinioBankFinancials(rssd_id,$R$2,L$6,L$5,$B24,"K"),"")</f>
        <v/>
      </c>
      <c r="M24" s="24" t="str">
        <f>IFERROR([1]!IntrinioBankFinancials(rssd_id,$R$2,M$6,M$5,$B24,"K"),"")</f>
        <v/>
      </c>
      <c r="N24" s="24" t="str">
        <f>IFERROR([1]!IntrinioBankFinancials(rssd_id,$R$2,N$6,N$5,$B24,"K"),"")</f>
        <v/>
      </c>
      <c r="O24" s="24" t="str">
        <f>IFERROR([1]!IntrinioBankFinancials(rssd_id,$R$2,O$6,O$5,$B24,"K"),"")</f>
        <v/>
      </c>
    </row>
    <row r="25" spans="1:15" ht="13.5" customHeight="1" x14ac:dyDescent="0.4">
      <c r="A25" s="34" t="s">
        <v>143</v>
      </c>
      <c r="B25" s="23" t="s">
        <v>164</v>
      </c>
      <c r="C25" s="24" t="str">
        <f>IFERROR([1]!IntrinioBankFinancials(rssd_id,$R$2,C$6,C$5,$B25,"K"),"")</f>
        <v/>
      </c>
      <c r="D25" s="24" t="str">
        <f>IFERROR([1]!IntrinioBankFinancials(rssd_id,$R$2,D$6,D$5,$B25,"K"),"")</f>
        <v/>
      </c>
      <c r="E25" s="24" t="str">
        <f>IFERROR([1]!IntrinioBankFinancials(rssd_id,$R$2,E$6,E$5,$B25,"K"),"")</f>
        <v/>
      </c>
      <c r="F25" s="24" t="str">
        <f>IFERROR([1]!IntrinioBankFinancials(rssd_id,$R$2,F$6,F$5,$B25,"K"),"")</f>
        <v/>
      </c>
      <c r="G25" s="24" t="str">
        <f>IFERROR([1]!IntrinioBankFinancials(rssd_id,$R$2,G$6,G$5,$B25,"K"),"")</f>
        <v/>
      </c>
      <c r="H25" s="24" t="str">
        <f>IFERROR([1]!IntrinioBankFinancials(rssd_id,$R$2,H$6,H$5,$B25,"K"),"")</f>
        <v/>
      </c>
      <c r="I25" s="24" t="str">
        <f>IFERROR([1]!IntrinioBankFinancials(rssd_id,$R$2,I$6,I$5,$B25,"K"),"")</f>
        <v/>
      </c>
      <c r="J25" s="24" t="str">
        <f>IFERROR([1]!IntrinioBankFinancials(rssd_id,$R$2,J$6,J$5,$B25,"K"),"")</f>
        <v/>
      </c>
      <c r="K25" s="24" t="str">
        <f>IFERROR([1]!IntrinioBankFinancials(rssd_id,$R$2,K$6,K$5,$B25,"K"),"")</f>
        <v/>
      </c>
      <c r="L25" s="24" t="str">
        <f>IFERROR([1]!IntrinioBankFinancials(rssd_id,$R$2,L$6,L$5,$B25,"K"),"")</f>
        <v/>
      </c>
      <c r="M25" s="24" t="str">
        <f>IFERROR([1]!IntrinioBankFinancials(rssd_id,$R$2,M$6,M$5,$B25,"K"),"")</f>
        <v/>
      </c>
      <c r="N25" s="24" t="str">
        <f>IFERROR([1]!IntrinioBankFinancials(rssd_id,$R$2,N$6,N$5,$B25,"K"),"")</f>
        <v/>
      </c>
      <c r="O25" s="24" t="str">
        <f>IFERROR([1]!IntrinioBankFinancials(rssd_id,$R$2,O$6,O$5,$B25,"K"),"")</f>
        <v/>
      </c>
    </row>
    <row r="26" spans="1:15" ht="13.5" customHeight="1" x14ac:dyDescent="0.4">
      <c r="A26" s="34" t="s">
        <v>145</v>
      </c>
      <c r="B26" s="23" t="s">
        <v>165</v>
      </c>
      <c r="C26" s="24" t="str">
        <f>IFERROR([1]!IntrinioBankFinancials(rssd_id,$R$2,C$6,C$5,$B26,"K"),"")</f>
        <v/>
      </c>
      <c r="D26" s="24" t="str">
        <f>IFERROR([1]!IntrinioBankFinancials(rssd_id,$R$2,D$6,D$5,$B26,"K"),"")</f>
        <v/>
      </c>
      <c r="E26" s="24" t="str">
        <f>IFERROR([1]!IntrinioBankFinancials(rssd_id,$R$2,E$6,E$5,$B26,"K"),"")</f>
        <v/>
      </c>
      <c r="F26" s="24" t="str">
        <f>IFERROR([1]!IntrinioBankFinancials(rssd_id,$R$2,F$6,F$5,$B26,"K"),"")</f>
        <v/>
      </c>
      <c r="G26" s="24" t="str">
        <f>IFERROR([1]!IntrinioBankFinancials(rssd_id,$R$2,G$6,G$5,$B26,"K"),"")</f>
        <v/>
      </c>
      <c r="H26" s="24" t="str">
        <f>IFERROR([1]!IntrinioBankFinancials(rssd_id,$R$2,H$6,H$5,$B26,"K"),"")</f>
        <v/>
      </c>
      <c r="I26" s="24" t="str">
        <f>IFERROR([1]!IntrinioBankFinancials(rssd_id,$R$2,I$6,I$5,$B26,"K"),"")</f>
        <v/>
      </c>
      <c r="J26" s="24" t="str">
        <f>IFERROR([1]!IntrinioBankFinancials(rssd_id,$R$2,J$6,J$5,$B26,"K"),"")</f>
        <v/>
      </c>
      <c r="K26" s="24" t="str">
        <f>IFERROR([1]!IntrinioBankFinancials(rssd_id,$R$2,K$6,K$5,$B26,"K"),"")</f>
        <v/>
      </c>
      <c r="L26" s="24" t="str">
        <f>IFERROR([1]!IntrinioBankFinancials(rssd_id,$R$2,L$6,L$5,$B26,"K"),"")</f>
        <v/>
      </c>
      <c r="M26" s="24" t="str">
        <f>IFERROR([1]!IntrinioBankFinancials(rssd_id,$R$2,M$6,M$5,$B26,"K"),"")</f>
        <v/>
      </c>
      <c r="N26" s="24" t="str">
        <f>IFERROR([1]!IntrinioBankFinancials(rssd_id,$R$2,N$6,N$5,$B26,"K"),"")</f>
        <v/>
      </c>
      <c r="O26" s="24" t="str">
        <f>IFERROR([1]!IntrinioBankFinancials(rssd_id,$R$2,O$6,O$5,$B26,"K"),"")</f>
        <v/>
      </c>
    </row>
    <row r="27" spans="1:15" ht="13.5" customHeight="1" x14ac:dyDescent="0.4">
      <c r="A27" s="34" t="s">
        <v>166</v>
      </c>
      <c r="B27" s="23" t="s">
        <v>167</v>
      </c>
      <c r="C27" s="24" t="str">
        <f>IFERROR([1]!IntrinioBankFinancials(rssd_id,$R$2,C$6,C$5,$B27,"K"),"")</f>
        <v/>
      </c>
      <c r="D27" s="24" t="str">
        <f>IFERROR([1]!IntrinioBankFinancials(rssd_id,$R$2,D$6,D$5,$B27,"K"),"")</f>
        <v/>
      </c>
      <c r="E27" s="24" t="str">
        <f>IFERROR([1]!IntrinioBankFinancials(rssd_id,$R$2,E$6,E$5,$B27,"K"),"")</f>
        <v/>
      </c>
      <c r="F27" s="24" t="str">
        <f>IFERROR([1]!IntrinioBankFinancials(rssd_id,$R$2,F$6,F$5,$B27,"K"),"")</f>
        <v/>
      </c>
      <c r="G27" s="24" t="str">
        <f>IFERROR([1]!IntrinioBankFinancials(rssd_id,$R$2,G$6,G$5,$B27,"K"),"")</f>
        <v/>
      </c>
      <c r="H27" s="24" t="str">
        <f>IFERROR([1]!IntrinioBankFinancials(rssd_id,$R$2,H$6,H$5,$B27,"K"),"")</f>
        <v/>
      </c>
      <c r="I27" s="24" t="str">
        <f>IFERROR([1]!IntrinioBankFinancials(rssd_id,$R$2,I$6,I$5,$B27,"K"),"")</f>
        <v/>
      </c>
      <c r="J27" s="24" t="str">
        <f>IFERROR([1]!IntrinioBankFinancials(rssd_id,$R$2,J$6,J$5,$B27,"K"),"")</f>
        <v/>
      </c>
      <c r="K27" s="24" t="str">
        <f>IFERROR([1]!IntrinioBankFinancials(rssd_id,$R$2,K$6,K$5,$B27,"K"),"")</f>
        <v/>
      </c>
      <c r="L27" s="24" t="str">
        <f>IFERROR([1]!IntrinioBankFinancials(rssd_id,$R$2,L$6,L$5,$B27,"K"),"")</f>
        <v/>
      </c>
      <c r="M27" s="24" t="str">
        <f>IFERROR([1]!IntrinioBankFinancials(rssd_id,$R$2,M$6,M$5,$B27,"K"),"")</f>
        <v/>
      </c>
      <c r="N27" s="24" t="str">
        <f>IFERROR([1]!IntrinioBankFinancials(rssd_id,$R$2,N$6,N$5,$B27,"K"),"")</f>
        <v/>
      </c>
      <c r="O27" s="24" t="str">
        <f>IFERROR([1]!IntrinioBankFinancials(rssd_id,$R$2,O$6,O$5,$B27,"K"),"")</f>
        <v/>
      </c>
    </row>
    <row r="28" spans="1:15" ht="13.5" customHeight="1" x14ac:dyDescent="0.4">
      <c r="A28" s="34" t="s">
        <v>141</v>
      </c>
      <c r="B28" s="23" t="s">
        <v>168</v>
      </c>
      <c r="C28" s="24" t="str">
        <f>IFERROR([1]!IntrinioBankFinancials(rssd_id,$R$2,C$6,C$5,$B28,"K"),"")</f>
        <v/>
      </c>
      <c r="D28" s="24" t="str">
        <f>IFERROR([1]!IntrinioBankFinancials(rssd_id,$R$2,D$6,D$5,$B28,"K"),"")</f>
        <v/>
      </c>
      <c r="E28" s="24" t="str">
        <f>IFERROR([1]!IntrinioBankFinancials(rssd_id,$R$2,E$6,E$5,$B28,"K"),"")</f>
        <v/>
      </c>
      <c r="F28" s="24" t="str">
        <f>IFERROR([1]!IntrinioBankFinancials(rssd_id,$R$2,F$6,F$5,$B28,"K"),"")</f>
        <v/>
      </c>
      <c r="G28" s="24" t="str">
        <f>IFERROR([1]!IntrinioBankFinancials(rssd_id,$R$2,G$6,G$5,$B28,"K"),"")</f>
        <v/>
      </c>
      <c r="H28" s="24" t="str">
        <f>IFERROR([1]!IntrinioBankFinancials(rssd_id,$R$2,H$6,H$5,$B28,"K"),"")</f>
        <v/>
      </c>
      <c r="I28" s="24" t="str">
        <f>IFERROR([1]!IntrinioBankFinancials(rssd_id,$R$2,I$6,I$5,$B28,"K"),"")</f>
        <v/>
      </c>
      <c r="J28" s="24" t="str">
        <f>IFERROR([1]!IntrinioBankFinancials(rssd_id,$R$2,J$6,J$5,$B28,"K"),"")</f>
        <v/>
      </c>
      <c r="K28" s="24" t="str">
        <f>IFERROR([1]!IntrinioBankFinancials(rssd_id,$R$2,K$6,K$5,$B28,"K"),"")</f>
        <v/>
      </c>
      <c r="L28" s="24" t="str">
        <f>IFERROR([1]!IntrinioBankFinancials(rssd_id,$R$2,L$6,L$5,$B28,"K"),"")</f>
        <v/>
      </c>
      <c r="M28" s="24" t="str">
        <f>IFERROR([1]!IntrinioBankFinancials(rssd_id,$R$2,M$6,M$5,$B28,"K"),"")</f>
        <v/>
      </c>
      <c r="N28" s="24" t="str">
        <f>IFERROR([1]!IntrinioBankFinancials(rssd_id,$R$2,N$6,N$5,$B28,"K"),"")</f>
        <v/>
      </c>
      <c r="O28" s="24" t="str">
        <f>IFERROR([1]!IntrinioBankFinancials(rssd_id,$R$2,O$6,O$5,$B28,"K"),"")</f>
        <v/>
      </c>
    </row>
    <row r="29" spans="1:15" ht="13.5" customHeight="1" x14ac:dyDescent="0.4">
      <c r="A29" s="34" t="s">
        <v>143</v>
      </c>
      <c r="B29" s="23" t="s">
        <v>169</v>
      </c>
      <c r="C29" s="24" t="str">
        <f>IFERROR([1]!IntrinioBankFinancials(rssd_id,$R$2,C$6,C$5,$B29,"K"),"")</f>
        <v/>
      </c>
      <c r="D29" s="24" t="str">
        <f>IFERROR([1]!IntrinioBankFinancials(rssd_id,$R$2,D$6,D$5,$B29,"K"),"")</f>
        <v/>
      </c>
      <c r="E29" s="24" t="str">
        <f>IFERROR([1]!IntrinioBankFinancials(rssd_id,$R$2,E$6,E$5,$B29,"K"),"")</f>
        <v/>
      </c>
      <c r="F29" s="24" t="str">
        <f>IFERROR([1]!IntrinioBankFinancials(rssd_id,$R$2,F$6,F$5,$B29,"K"),"")</f>
        <v/>
      </c>
      <c r="G29" s="24" t="str">
        <f>IFERROR([1]!IntrinioBankFinancials(rssd_id,$R$2,G$6,G$5,$B29,"K"),"")</f>
        <v/>
      </c>
      <c r="H29" s="24" t="str">
        <f>IFERROR([1]!IntrinioBankFinancials(rssd_id,$R$2,H$6,H$5,$B29,"K"),"")</f>
        <v/>
      </c>
      <c r="I29" s="24" t="str">
        <f>IFERROR([1]!IntrinioBankFinancials(rssd_id,$R$2,I$6,I$5,$B29,"K"),"")</f>
        <v/>
      </c>
      <c r="J29" s="24" t="str">
        <f>IFERROR([1]!IntrinioBankFinancials(rssd_id,$R$2,J$6,J$5,$B29,"K"),"")</f>
        <v/>
      </c>
      <c r="K29" s="24" t="str">
        <f>IFERROR([1]!IntrinioBankFinancials(rssd_id,$R$2,K$6,K$5,$B29,"K"),"")</f>
        <v/>
      </c>
      <c r="L29" s="24" t="str">
        <f>IFERROR([1]!IntrinioBankFinancials(rssd_id,$R$2,L$6,L$5,$B29,"K"),"")</f>
        <v/>
      </c>
      <c r="M29" s="24" t="str">
        <f>IFERROR([1]!IntrinioBankFinancials(rssd_id,$R$2,M$6,M$5,$B29,"K"),"")</f>
        <v/>
      </c>
      <c r="N29" s="24" t="str">
        <f>IFERROR([1]!IntrinioBankFinancials(rssd_id,$R$2,N$6,N$5,$B29,"K"),"")</f>
        <v/>
      </c>
      <c r="O29" s="24" t="str">
        <f>IFERROR([1]!IntrinioBankFinancials(rssd_id,$R$2,O$6,O$5,$B29,"K"),"")</f>
        <v/>
      </c>
    </row>
    <row r="30" spans="1:15" ht="13.5" customHeight="1" x14ac:dyDescent="0.4">
      <c r="A30" s="34" t="s">
        <v>145</v>
      </c>
      <c r="B30" s="23" t="s">
        <v>170</v>
      </c>
      <c r="C30" s="24" t="str">
        <f>IFERROR([1]!IntrinioBankFinancials(rssd_id,$R$2,C$6,C$5,$B30,"K"),"")</f>
        <v/>
      </c>
      <c r="D30" s="24" t="str">
        <f>IFERROR([1]!IntrinioBankFinancials(rssd_id,$R$2,D$6,D$5,$B30,"K"),"")</f>
        <v/>
      </c>
      <c r="E30" s="24" t="str">
        <f>IFERROR([1]!IntrinioBankFinancials(rssd_id,$R$2,E$6,E$5,$B30,"K"),"")</f>
        <v/>
      </c>
      <c r="F30" s="24" t="str">
        <f>IFERROR([1]!IntrinioBankFinancials(rssd_id,$R$2,F$6,F$5,$B30,"K"),"")</f>
        <v/>
      </c>
      <c r="G30" s="24" t="str">
        <f>IFERROR([1]!IntrinioBankFinancials(rssd_id,$R$2,G$6,G$5,$B30,"K"),"")</f>
        <v/>
      </c>
      <c r="H30" s="24" t="str">
        <f>IFERROR([1]!IntrinioBankFinancials(rssd_id,$R$2,H$6,H$5,$B30,"K"),"")</f>
        <v/>
      </c>
      <c r="I30" s="24" t="str">
        <f>IFERROR([1]!IntrinioBankFinancials(rssd_id,$R$2,I$6,I$5,$B30,"K"),"")</f>
        <v/>
      </c>
      <c r="J30" s="24" t="str">
        <f>IFERROR([1]!IntrinioBankFinancials(rssd_id,$R$2,J$6,J$5,$B30,"K"),"")</f>
        <v/>
      </c>
      <c r="K30" s="24" t="str">
        <f>IFERROR([1]!IntrinioBankFinancials(rssd_id,$R$2,K$6,K$5,$B30,"K"),"")</f>
        <v/>
      </c>
      <c r="L30" s="24" t="str">
        <f>IFERROR([1]!IntrinioBankFinancials(rssd_id,$R$2,L$6,L$5,$B30,"K"),"")</f>
        <v/>
      </c>
      <c r="M30" s="24" t="str">
        <f>IFERROR([1]!IntrinioBankFinancials(rssd_id,$R$2,M$6,M$5,$B30,"K"),"")</f>
        <v/>
      </c>
      <c r="N30" s="24" t="str">
        <f>IFERROR([1]!IntrinioBankFinancials(rssd_id,$R$2,N$6,N$5,$B30,"K"),"")</f>
        <v/>
      </c>
      <c r="O30" s="24" t="str">
        <f>IFERROR([1]!IntrinioBankFinancials(rssd_id,$R$2,O$6,O$5,$B30,"K"),"")</f>
        <v/>
      </c>
    </row>
    <row r="31" spans="1:15" ht="13.5" customHeight="1" x14ac:dyDescent="0.4">
      <c r="A31" s="34" t="s">
        <v>171</v>
      </c>
      <c r="B31" s="23" t="s">
        <v>172</v>
      </c>
      <c r="C31" s="24" t="str">
        <f>IFERROR([1]!IntrinioBankFinancials(rssd_id,$R$2,C$6,C$5,$B31,"K"),"")</f>
        <v/>
      </c>
      <c r="D31" s="24" t="str">
        <f>IFERROR([1]!IntrinioBankFinancials(rssd_id,$R$2,D$6,D$5,$B31,"K"),"")</f>
        <v/>
      </c>
      <c r="E31" s="24" t="str">
        <f>IFERROR([1]!IntrinioBankFinancials(rssd_id,$R$2,E$6,E$5,$B31,"K"),"")</f>
        <v/>
      </c>
      <c r="F31" s="24" t="str">
        <f>IFERROR([1]!IntrinioBankFinancials(rssd_id,$R$2,F$6,F$5,$B31,"K"),"")</f>
        <v/>
      </c>
      <c r="G31" s="24" t="str">
        <f>IFERROR([1]!IntrinioBankFinancials(rssd_id,$R$2,G$6,G$5,$B31,"K"),"")</f>
        <v/>
      </c>
      <c r="H31" s="24" t="str">
        <f>IFERROR([1]!IntrinioBankFinancials(rssd_id,$R$2,H$6,H$5,$B31,"K"),"")</f>
        <v/>
      </c>
      <c r="I31" s="24" t="str">
        <f>IFERROR([1]!IntrinioBankFinancials(rssd_id,$R$2,I$6,I$5,$B31,"K"),"")</f>
        <v/>
      </c>
      <c r="J31" s="24" t="str">
        <f>IFERROR([1]!IntrinioBankFinancials(rssd_id,$R$2,J$6,J$5,$B31,"K"),"")</f>
        <v/>
      </c>
      <c r="K31" s="24" t="str">
        <f>IFERROR([1]!IntrinioBankFinancials(rssd_id,$R$2,K$6,K$5,$B31,"K"),"")</f>
        <v/>
      </c>
      <c r="L31" s="24" t="str">
        <f>IFERROR([1]!IntrinioBankFinancials(rssd_id,$R$2,L$6,L$5,$B31,"K"),"")</f>
        <v/>
      </c>
      <c r="M31" s="24" t="str">
        <f>IFERROR([1]!IntrinioBankFinancials(rssd_id,$R$2,M$6,M$5,$B31,"K"),"")</f>
        <v/>
      </c>
      <c r="N31" s="24" t="str">
        <f>IFERROR([1]!IntrinioBankFinancials(rssd_id,$R$2,N$6,N$5,$B31,"K"),"")</f>
        <v/>
      </c>
      <c r="O31" s="24" t="str">
        <f>IFERROR([1]!IntrinioBankFinancials(rssd_id,$R$2,O$6,O$5,$B31,"K"),"")</f>
        <v/>
      </c>
    </row>
    <row r="32" spans="1:15" ht="13.5" customHeight="1" x14ac:dyDescent="0.4">
      <c r="A32" s="34" t="s">
        <v>173</v>
      </c>
      <c r="B32" s="23" t="s">
        <v>174</v>
      </c>
      <c r="C32" s="24" t="str">
        <f>IFERROR([1]!IntrinioBankFinancials(rssd_id,$R$2,C$6,C$5,$B32,"K"),"")</f>
        <v/>
      </c>
      <c r="D32" s="24" t="str">
        <f>IFERROR([1]!IntrinioBankFinancials(rssd_id,$R$2,D$6,D$5,$B32,"K"),"")</f>
        <v/>
      </c>
      <c r="E32" s="24" t="str">
        <f>IFERROR([1]!IntrinioBankFinancials(rssd_id,$R$2,E$6,E$5,$B32,"K"),"")</f>
        <v/>
      </c>
      <c r="F32" s="24" t="str">
        <f>IFERROR([1]!IntrinioBankFinancials(rssd_id,$R$2,F$6,F$5,$B32,"K"),"")</f>
        <v/>
      </c>
      <c r="G32" s="24" t="str">
        <f>IFERROR([1]!IntrinioBankFinancials(rssd_id,$R$2,G$6,G$5,$B32,"K"),"")</f>
        <v/>
      </c>
      <c r="H32" s="24" t="str">
        <f>IFERROR([1]!IntrinioBankFinancials(rssd_id,$R$2,H$6,H$5,$B32,"K"),"")</f>
        <v/>
      </c>
      <c r="I32" s="24" t="str">
        <f>IFERROR([1]!IntrinioBankFinancials(rssd_id,$R$2,I$6,I$5,$B32,"K"),"")</f>
        <v/>
      </c>
      <c r="J32" s="24" t="str">
        <f>IFERROR([1]!IntrinioBankFinancials(rssd_id,$R$2,J$6,J$5,$B32,"K"),"")</f>
        <v/>
      </c>
      <c r="K32" s="24" t="str">
        <f>IFERROR([1]!IntrinioBankFinancials(rssd_id,$R$2,K$6,K$5,$B32,"K"),"")</f>
        <v/>
      </c>
      <c r="L32" s="24" t="str">
        <f>IFERROR([1]!IntrinioBankFinancials(rssd_id,$R$2,L$6,L$5,$B32,"K"),"")</f>
        <v/>
      </c>
      <c r="M32" s="24" t="str">
        <f>IFERROR([1]!IntrinioBankFinancials(rssd_id,$R$2,M$6,M$5,$B32,"K"),"")</f>
        <v/>
      </c>
      <c r="N32" s="24" t="str">
        <f>IFERROR([1]!IntrinioBankFinancials(rssd_id,$R$2,N$6,N$5,$B32,"K"),"")</f>
        <v/>
      </c>
      <c r="O32" s="24" t="str">
        <f>IFERROR([1]!IntrinioBankFinancials(rssd_id,$R$2,O$6,O$5,$B32,"K"),"")</f>
        <v/>
      </c>
    </row>
    <row r="33" spans="1:15" ht="13.5" customHeight="1" x14ac:dyDescent="0.4">
      <c r="A33" s="34" t="s">
        <v>175</v>
      </c>
      <c r="B33" s="23" t="s">
        <v>176</v>
      </c>
      <c r="C33" s="24" t="str">
        <f>IFERROR([1]!IntrinioBankFinancials(rssd_id,$R$2,C$6,C$5,$B33,"K"),"")</f>
        <v/>
      </c>
      <c r="D33" s="24" t="str">
        <f>IFERROR([1]!IntrinioBankFinancials(rssd_id,$R$2,D$6,D$5,$B33,"K"),"")</f>
        <v/>
      </c>
      <c r="E33" s="24" t="str">
        <f>IFERROR([1]!IntrinioBankFinancials(rssd_id,$R$2,E$6,E$5,$B33,"K"),"")</f>
        <v/>
      </c>
      <c r="F33" s="24" t="str">
        <f>IFERROR([1]!IntrinioBankFinancials(rssd_id,$R$2,F$6,F$5,$B33,"K"),"")</f>
        <v/>
      </c>
      <c r="G33" s="24" t="str">
        <f>IFERROR([1]!IntrinioBankFinancials(rssd_id,$R$2,G$6,G$5,$B33,"K"),"")</f>
        <v/>
      </c>
      <c r="H33" s="24" t="str">
        <f>IFERROR([1]!IntrinioBankFinancials(rssd_id,$R$2,H$6,H$5,$B33,"K"),"")</f>
        <v/>
      </c>
      <c r="I33" s="24" t="str">
        <f>IFERROR([1]!IntrinioBankFinancials(rssd_id,$R$2,I$6,I$5,$B33,"K"),"")</f>
        <v/>
      </c>
      <c r="J33" s="24" t="str">
        <f>IFERROR([1]!IntrinioBankFinancials(rssd_id,$R$2,J$6,J$5,$B33,"K"),"")</f>
        <v/>
      </c>
      <c r="K33" s="24" t="str">
        <f>IFERROR([1]!IntrinioBankFinancials(rssd_id,$R$2,K$6,K$5,$B33,"K"),"")</f>
        <v/>
      </c>
      <c r="L33" s="24" t="str">
        <f>IFERROR([1]!IntrinioBankFinancials(rssd_id,$R$2,L$6,L$5,$B33,"K"),"")</f>
        <v/>
      </c>
      <c r="M33" s="24" t="str">
        <f>IFERROR([1]!IntrinioBankFinancials(rssd_id,$R$2,M$6,M$5,$B33,"K"),"")</f>
        <v/>
      </c>
      <c r="N33" s="24" t="str">
        <f>IFERROR([1]!IntrinioBankFinancials(rssd_id,$R$2,N$6,N$5,$B33,"K"),"")</f>
        <v/>
      </c>
      <c r="O33" s="24" t="str">
        <f>IFERROR([1]!IntrinioBankFinancials(rssd_id,$R$2,O$6,O$5,$B33,"K"),"")</f>
        <v/>
      </c>
    </row>
    <row r="34" spans="1:15" ht="13.5" customHeight="1" x14ac:dyDescent="0.4">
      <c r="A34" s="34" t="s">
        <v>177</v>
      </c>
      <c r="B34" s="23" t="s">
        <v>178</v>
      </c>
      <c r="C34" s="24" t="str">
        <f>IFERROR([1]!IntrinioBankFinancials(rssd_id,$R$2,C$6,C$5,$B34,"K"),"")</f>
        <v/>
      </c>
      <c r="D34" s="24" t="str">
        <f>IFERROR([1]!IntrinioBankFinancials(rssd_id,$R$2,D$6,D$5,$B34,"K"),"")</f>
        <v/>
      </c>
      <c r="E34" s="24" t="str">
        <f>IFERROR([1]!IntrinioBankFinancials(rssd_id,$R$2,E$6,E$5,$B34,"K"),"")</f>
        <v/>
      </c>
      <c r="F34" s="24" t="str">
        <f>IFERROR([1]!IntrinioBankFinancials(rssd_id,$R$2,F$6,F$5,$B34,"K"),"")</f>
        <v/>
      </c>
      <c r="G34" s="24" t="str">
        <f>IFERROR([1]!IntrinioBankFinancials(rssd_id,$R$2,G$6,G$5,$B34,"K"),"")</f>
        <v/>
      </c>
      <c r="H34" s="24" t="str">
        <f>IFERROR([1]!IntrinioBankFinancials(rssd_id,$R$2,H$6,H$5,$B34,"K"),"")</f>
        <v/>
      </c>
      <c r="I34" s="24" t="str">
        <f>IFERROR([1]!IntrinioBankFinancials(rssd_id,$R$2,I$6,I$5,$B34,"K"),"")</f>
        <v/>
      </c>
      <c r="J34" s="24" t="str">
        <f>IFERROR([1]!IntrinioBankFinancials(rssd_id,$R$2,J$6,J$5,$B34,"K"),"")</f>
        <v/>
      </c>
      <c r="K34" s="24" t="str">
        <f>IFERROR([1]!IntrinioBankFinancials(rssd_id,$R$2,K$6,K$5,$B34,"K"),"")</f>
        <v/>
      </c>
      <c r="L34" s="24" t="str">
        <f>IFERROR([1]!IntrinioBankFinancials(rssd_id,$R$2,L$6,L$5,$B34,"K"),"")</f>
        <v/>
      </c>
      <c r="M34" s="24" t="str">
        <f>IFERROR([1]!IntrinioBankFinancials(rssd_id,$R$2,M$6,M$5,$B34,"K"),"")</f>
        <v/>
      </c>
      <c r="N34" s="24" t="str">
        <f>IFERROR([1]!IntrinioBankFinancials(rssd_id,$R$2,N$6,N$5,$B34,"K"),"")</f>
        <v/>
      </c>
      <c r="O34" s="24" t="str">
        <f>IFERROR([1]!IntrinioBankFinancials(rssd_id,$R$2,O$6,O$5,$B34,"K"),"")</f>
        <v/>
      </c>
    </row>
    <row r="35" spans="1:15" ht="13.5" customHeight="1" x14ac:dyDescent="0.4">
      <c r="A35" s="34" t="s">
        <v>179</v>
      </c>
      <c r="B35" s="23" t="s">
        <v>180</v>
      </c>
      <c r="C35" s="24" t="str">
        <f>IFERROR([1]!IntrinioBankFinancials(rssd_id,$R$2,C$6,C$5,$B35,"K"),"")</f>
        <v/>
      </c>
      <c r="D35" s="24" t="str">
        <f>IFERROR([1]!IntrinioBankFinancials(rssd_id,$R$2,D$6,D$5,$B35,"K"),"")</f>
        <v/>
      </c>
      <c r="E35" s="24" t="str">
        <f>IFERROR([1]!IntrinioBankFinancials(rssd_id,$R$2,E$6,E$5,$B35,"K"),"")</f>
        <v/>
      </c>
      <c r="F35" s="24" t="str">
        <f>IFERROR([1]!IntrinioBankFinancials(rssd_id,$R$2,F$6,F$5,$B35,"K"),"")</f>
        <v/>
      </c>
      <c r="G35" s="24" t="str">
        <f>IFERROR([1]!IntrinioBankFinancials(rssd_id,$R$2,G$6,G$5,$B35,"K"),"")</f>
        <v/>
      </c>
      <c r="H35" s="24" t="str">
        <f>IFERROR([1]!IntrinioBankFinancials(rssd_id,$R$2,H$6,H$5,$B35,"K"),"")</f>
        <v/>
      </c>
      <c r="I35" s="24" t="str">
        <f>IFERROR([1]!IntrinioBankFinancials(rssd_id,$R$2,I$6,I$5,$B35,"K"),"")</f>
        <v/>
      </c>
      <c r="J35" s="24" t="str">
        <f>IFERROR([1]!IntrinioBankFinancials(rssd_id,$R$2,J$6,J$5,$B35,"K"),"")</f>
        <v/>
      </c>
      <c r="K35" s="24" t="str">
        <f>IFERROR([1]!IntrinioBankFinancials(rssd_id,$R$2,K$6,K$5,$B35,"K"),"")</f>
        <v/>
      </c>
      <c r="L35" s="24" t="str">
        <f>IFERROR([1]!IntrinioBankFinancials(rssd_id,$R$2,L$6,L$5,$B35,"K"),"")</f>
        <v/>
      </c>
      <c r="M35" s="24" t="str">
        <f>IFERROR([1]!IntrinioBankFinancials(rssd_id,$R$2,M$6,M$5,$B35,"K"),"")</f>
        <v/>
      </c>
      <c r="N35" s="24" t="str">
        <f>IFERROR([1]!IntrinioBankFinancials(rssd_id,$R$2,N$6,N$5,$B35,"K"),"")</f>
        <v/>
      </c>
      <c r="O35" s="24" t="str">
        <f>IFERROR([1]!IntrinioBankFinancials(rssd_id,$R$2,O$6,O$5,$B35,"K"),"")</f>
        <v/>
      </c>
    </row>
    <row r="36" spans="1:15" ht="13.5" customHeight="1" x14ac:dyDescent="0.4">
      <c r="A36" s="34" t="s">
        <v>181</v>
      </c>
      <c r="B36" s="23" t="s">
        <v>182</v>
      </c>
      <c r="C36" s="24" t="str">
        <f>IFERROR([1]!IntrinioBankFinancials(rssd_id,$R$2,C$6,C$5,$B36,"K"),"")</f>
        <v/>
      </c>
      <c r="D36" s="24" t="str">
        <f>IFERROR([1]!IntrinioBankFinancials(rssd_id,$R$2,D$6,D$5,$B36,"K"),"")</f>
        <v/>
      </c>
      <c r="E36" s="24" t="str">
        <f>IFERROR([1]!IntrinioBankFinancials(rssd_id,$R$2,E$6,E$5,$B36,"K"),"")</f>
        <v/>
      </c>
      <c r="F36" s="24" t="str">
        <f>IFERROR([1]!IntrinioBankFinancials(rssd_id,$R$2,F$6,F$5,$B36,"K"),"")</f>
        <v/>
      </c>
      <c r="G36" s="24" t="str">
        <f>IFERROR([1]!IntrinioBankFinancials(rssd_id,$R$2,G$6,G$5,$B36,"K"),"")</f>
        <v/>
      </c>
      <c r="H36" s="24" t="str">
        <f>IFERROR([1]!IntrinioBankFinancials(rssd_id,$R$2,H$6,H$5,$B36,"K"),"")</f>
        <v/>
      </c>
      <c r="I36" s="24" t="str">
        <f>IFERROR([1]!IntrinioBankFinancials(rssd_id,$R$2,I$6,I$5,$B36,"K"),"")</f>
        <v/>
      </c>
      <c r="J36" s="24" t="str">
        <f>IFERROR([1]!IntrinioBankFinancials(rssd_id,$R$2,J$6,J$5,$B36,"K"),"")</f>
        <v/>
      </c>
      <c r="K36" s="24" t="str">
        <f>IFERROR([1]!IntrinioBankFinancials(rssd_id,$R$2,K$6,K$5,$B36,"K"),"")</f>
        <v/>
      </c>
      <c r="L36" s="24" t="str">
        <f>IFERROR([1]!IntrinioBankFinancials(rssd_id,$R$2,L$6,L$5,$B36,"K"),"")</f>
        <v/>
      </c>
      <c r="M36" s="24" t="str">
        <f>IFERROR([1]!IntrinioBankFinancials(rssd_id,$R$2,M$6,M$5,$B36,"K"),"")</f>
        <v/>
      </c>
      <c r="N36" s="24" t="str">
        <f>IFERROR([1]!IntrinioBankFinancials(rssd_id,$R$2,N$6,N$5,$B36,"K"),"")</f>
        <v/>
      </c>
      <c r="O36" s="24" t="str">
        <f>IFERROR([1]!IntrinioBankFinancials(rssd_id,$R$2,O$6,O$5,$B36,"K"),"")</f>
        <v/>
      </c>
    </row>
    <row r="37" spans="1:15" ht="13.5" customHeight="1" x14ac:dyDescent="0.4">
      <c r="A37" s="34" t="s">
        <v>183</v>
      </c>
      <c r="B37" s="23" t="s">
        <v>184</v>
      </c>
      <c r="C37" s="24" t="str">
        <f>IFERROR([1]!IntrinioBankFinancials(rssd_id,$R$2,C$6,C$5,$B37,"K"),"")</f>
        <v/>
      </c>
      <c r="D37" s="24" t="str">
        <f>IFERROR([1]!IntrinioBankFinancials(rssd_id,$R$2,D$6,D$5,$B37,"K"),"")</f>
        <v/>
      </c>
      <c r="E37" s="24" t="str">
        <f>IFERROR([1]!IntrinioBankFinancials(rssd_id,$R$2,E$6,E$5,$B37,"K"),"")</f>
        <v/>
      </c>
      <c r="F37" s="24" t="str">
        <f>IFERROR([1]!IntrinioBankFinancials(rssd_id,$R$2,F$6,F$5,$B37,"K"),"")</f>
        <v/>
      </c>
      <c r="G37" s="24" t="str">
        <f>IFERROR([1]!IntrinioBankFinancials(rssd_id,$R$2,G$6,G$5,$B37,"K"),"")</f>
        <v/>
      </c>
      <c r="H37" s="24" t="str">
        <f>IFERROR([1]!IntrinioBankFinancials(rssd_id,$R$2,H$6,H$5,$B37,"K"),"")</f>
        <v/>
      </c>
      <c r="I37" s="24" t="str">
        <f>IFERROR([1]!IntrinioBankFinancials(rssd_id,$R$2,I$6,I$5,$B37,"K"),"")</f>
        <v/>
      </c>
      <c r="J37" s="24" t="str">
        <f>IFERROR([1]!IntrinioBankFinancials(rssd_id,$R$2,J$6,J$5,$B37,"K"),"")</f>
        <v/>
      </c>
      <c r="K37" s="24" t="str">
        <f>IFERROR([1]!IntrinioBankFinancials(rssd_id,$R$2,K$6,K$5,$B37,"K"),"")</f>
        <v/>
      </c>
      <c r="L37" s="24" t="str">
        <f>IFERROR([1]!IntrinioBankFinancials(rssd_id,$R$2,L$6,L$5,$B37,"K"),"")</f>
        <v/>
      </c>
      <c r="M37" s="24" t="str">
        <f>IFERROR([1]!IntrinioBankFinancials(rssd_id,$R$2,M$6,M$5,$B37,"K"),"")</f>
        <v/>
      </c>
      <c r="N37" s="24" t="str">
        <f>IFERROR([1]!IntrinioBankFinancials(rssd_id,$R$2,N$6,N$5,$B37,"K"),"")</f>
        <v/>
      </c>
      <c r="O37" s="24" t="str">
        <f>IFERROR([1]!IntrinioBankFinancials(rssd_id,$R$2,O$6,O$5,$B37,"K"),"")</f>
        <v/>
      </c>
    </row>
    <row r="38" spans="1:15" ht="13.5" customHeight="1" x14ac:dyDescent="0.4">
      <c r="A38" s="34" t="s">
        <v>185</v>
      </c>
      <c r="B38" s="23" t="s">
        <v>186</v>
      </c>
      <c r="C38" s="24" t="str">
        <f>IFERROR([1]!IntrinioBankFinancials(rssd_id,$R$2,C$6,C$5,$B38,"K"),"")</f>
        <v/>
      </c>
      <c r="D38" s="24" t="str">
        <f>IFERROR([1]!IntrinioBankFinancials(rssd_id,$R$2,D$6,D$5,$B38,"K"),"")</f>
        <v/>
      </c>
      <c r="E38" s="24" t="str">
        <f>IFERROR([1]!IntrinioBankFinancials(rssd_id,$R$2,E$6,E$5,$B38,"K"),"")</f>
        <v/>
      </c>
      <c r="F38" s="24" t="str">
        <f>IFERROR([1]!IntrinioBankFinancials(rssd_id,$R$2,F$6,F$5,$B38,"K"),"")</f>
        <v/>
      </c>
      <c r="G38" s="24" t="str">
        <f>IFERROR([1]!IntrinioBankFinancials(rssd_id,$R$2,G$6,G$5,$B38,"K"),"")</f>
        <v/>
      </c>
      <c r="H38" s="24" t="str">
        <f>IFERROR([1]!IntrinioBankFinancials(rssd_id,$R$2,H$6,H$5,$B38,"K"),"")</f>
        <v/>
      </c>
      <c r="I38" s="24" t="str">
        <f>IFERROR([1]!IntrinioBankFinancials(rssd_id,$R$2,I$6,I$5,$B38,"K"),"")</f>
        <v/>
      </c>
      <c r="J38" s="24" t="str">
        <f>IFERROR([1]!IntrinioBankFinancials(rssd_id,$R$2,J$6,J$5,$B38,"K"),"")</f>
        <v/>
      </c>
      <c r="K38" s="24" t="str">
        <f>IFERROR([1]!IntrinioBankFinancials(rssd_id,$R$2,K$6,K$5,$B38,"K"),"")</f>
        <v/>
      </c>
      <c r="L38" s="24" t="str">
        <f>IFERROR([1]!IntrinioBankFinancials(rssd_id,$R$2,L$6,L$5,$B38,"K"),"")</f>
        <v/>
      </c>
      <c r="M38" s="24" t="str">
        <f>IFERROR([1]!IntrinioBankFinancials(rssd_id,$R$2,M$6,M$5,$B38,"K"),"")</f>
        <v/>
      </c>
      <c r="N38" s="24" t="str">
        <f>IFERROR([1]!IntrinioBankFinancials(rssd_id,$R$2,N$6,N$5,$B38,"K"),"")</f>
        <v/>
      </c>
      <c r="O38" s="24" t="str">
        <f>IFERROR([1]!IntrinioBankFinancials(rssd_id,$R$2,O$6,O$5,$B38,"K"),"")</f>
        <v/>
      </c>
    </row>
    <row r="39" spans="1:15" ht="13.5" customHeight="1" x14ac:dyDescent="0.4">
      <c r="A39" s="34" t="s">
        <v>187</v>
      </c>
      <c r="B39" s="23" t="s">
        <v>188</v>
      </c>
      <c r="C39" s="24" t="str">
        <f>IFERROR([1]!IntrinioBankFinancials(rssd_id,$R$2,C$6,C$5,$B39,"K"),"")</f>
        <v/>
      </c>
      <c r="D39" s="24" t="str">
        <f>IFERROR([1]!IntrinioBankFinancials(rssd_id,$R$2,D$6,D$5,$B39,"K"),"")</f>
        <v/>
      </c>
      <c r="E39" s="24" t="str">
        <f>IFERROR([1]!IntrinioBankFinancials(rssd_id,$R$2,E$6,E$5,$B39,"K"),"")</f>
        <v/>
      </c>
      <c r="F39" s="24" t="str">
        <f>IFERROR([1]!IntrinioBankFinancials(rssd_id,$R$2,F$6,F$5,$B39,"K"),"")</f>
        <v/>
      </c>
      <c r="G39" s="24" t="str">
        <f>IFERROR([1]!IntrinioBankFinancials(rssd_id,$R$2,G$6,G$5,$B39,"K"),"")</f>
        <v/>
      </c>
      <c r="H39" s="24" t="str">
        <f>IFERROR([1]!IntrinioBankFinancials(rssd_id,$R$2,H$6,H$5,$B39,"K"),"")</f>
        <v/>
      </c>
      <c r="I39" s="24" t="str">
        <f>IFERROR([1]!IntrinioBankFinancials(rssd_id,$R$2,I$6,I$5,$B39,"K"),"")</f>
        <v/>
      </c>
      <c r="J39" s="24" t="str">
        <f>IFERROR([1]!IntrinioBankFinancials(rssd_id,$R$2,J$6,J$5,$B39,"K"),"")</f>
        <v/>
      </c>
      <c r="K39" s="24" t="str">
        <f>IFERROR([1]!IntrinioBankFinancials(rssd_id,$R$2,K$6,K$5,$B39,"K"),"")</f>
        <v/>
      </c>
      <c r="L39" s="24" t="str">
        <f>IFERROR([1]!IntrinioBankFinancials(rssd_id,$R$2,L$6,L$5,$B39,"K"),"")</f>
        <v/>
      </c>
      <c r="M39" s="24" t="str">
        <f>IFERROR([1]!IntrinioBankFinancials(rssd_id,$R$2,M$6,M$5,$B39,"K"),"")</f>
        <v/>
      </c>
      <c r="N39" s="24" t="str">
        <f>IFERROR([1]!IntrinioBankFinancials(rssd_id,$R$2,N$6,N$5,$B39,"K"),"")</f>
        <v/>
      </c>
      <c r="O39" s="24" t="str">
        <f>IFERROR([1]!IntrinioBankFinancials(rssd_id,$R$2,O$6,O$5,$B39,"K"),"")</f>
        <v/>
      </c>
    </row>
    <row r="40" spans="1:15" ht="13.5" customHeight="1" x14ac:dyDescent="0.4">
      <c r="A40" s="34" t="s">
        <v>171</v>
      </c>
      <c r="B40" s="23" t="s">
        <v>189</v>
      </c>
      <c r="C40" s="24" t="str">
        <f>IFERROR([1]!IntrinioBankFinancials(rssd_id,$R$2,C$6,C$5,$B40,"K"),"")</f>
        <v/>
      </c>
      <c r="D40" s="24" t="str">
        <f>IFERROR([1]!IntrinioBankFinancials(rssd_id,$R$2,D$6,D$5,$B40,"K"),"")</f>
        <v/>
      </c>
      <c r="E40" s="24" t="str">
        <f>IFERROR([1]!IntrinioBankFinancials(rssd_id,$R$2,E$6,E$5,$B40,"K"),"")</f>
        <v/>
      </c>
      <c r="F40" s="24" t="str">
        <f>IFERROR([1]!IntrinioBankFinancials(rssd_id,$R$2,F$6,F$5,$B40,"K"),"")</f>
        <v/>
      </c>
      <c r="G40" s="24" t="str">
        <f>IFERROR([1]!IntrinioBankFinancials(rssd_id,$R$2,G$6,G$5,$B40,"K"),"")</f>
        <v/>
      </c>
      <c r="H40" s="24" t="str">
        <f>IFERROR([1]!IntrinioBankFinancials(rssd_id,$R$2,H$6,H$5,$B40,"K"),"")</f>
        <v/>
      </c>
      <c r="I40" s="24" t="str">
        <f>IFERROR([1]!IntrinioBankFinancials(rssd_id,$R$2,I$6,I$5,$B40,"K"),"")</f>
        <v/>
      </c>
      <c r="J40" s="24" t="str">
        <f>IFERROR([1]!IntrinioBankFinancials(rssd_id,$R$2,J$6,J$5,$B40,"K"),"")</f>
        <v/>
      </c>
      <c r="K40" s="24" t="str">
        <f>IFERROR([1]!IntrinioBankFinancials(rssd_id,$R$2,K$6,K$5,$B40,"K"),"")</f>
        <v/>
      </c>
      <c r="L40" s="24" t="str">
        <f>IFERROR([1]!IntrinioBankFinancials(rssd_id,$R$2,L$6,L$5,$B40,"K"),"")</f>
        <v/>
      </c>
      <c r="M40" s="24" t="str">
        <f>IFERROR([1]!IntrinioBankFinancials(rssd_id,$R$2,M$6,M$5,$B40,"K"),"")</f>
        <v/>
      </c>
      <c r="N40" s="24" t="str">
        <f>IFERROR([1]!IntrinioBankFinancials(rssd_id,$R$2,N$6,N$5,$B40,"K"),"")</f>
        <v/>
      </c>
      <c r="O40" s="24" t="str">
        <f>IFERROR([1]!IntrinioBankFinancials(rssd_id,$R$2,O$6,O$5,$B40,"K"),"")</f>
        <v/>
      </c>
    </row>
    <row r="41" spans="1:15" ht="13.5" customHeight="1" x14ac:dyDescent="0.4">
      <c r="A41" s="34" t="s">
        <v>190</v>
      </c>
      <c r="B41" s="23" t="s">
        <v>191</v>
      </c>
      <c r="C41" s="24" t="str">
        <f>IFERROR([1]!IntrinioBankFinancials(rssd_id,$R$2,C$6,C$5,$B41,"K"),"")</f>
        <v/>
      </c>
      <c r="D41" s="24" t="str">
        <f>IFERROR([1]!IntrinioBankFinancials(rssd_id,$R$2,D$6,D$5,$B41,"K"),"")</f>
        <v/>
      </c>
      <c r="E41" s="24" t="str">
        <f>IFERROR([1]!IntrinioBankFinancials(rssd_id,$R$2,E$6,E$5,$B41,"K"),"")</f>
        <v/>
      </c>
      <c r="F41" s="24" t="str">
        <f>IFERROR([1]!IntrinioBankFinancials(rssd_id,$R$2,F$6,F$5,$B41,"K"),"")</f>
        <v/>
      </c>
      <c r="G41" s="24" t="str">
        <f>IFERROR([1]!IntrinioBankFinancials(rssd_id,$R$2,G$6,G$5,$B41,"K"),"")</f>
        <v/>
      </c>
      <c r="H41" s="24" t="str">
        <f>IFERROR([1]!IntrinioBankFinancials(rssd_id,$R$2,H$6,H$5,$B41,"K"),"")</f>
        <v/>
      </c>
      <c r="I41" s="24" t="str">
        <f>IFERROR([1]!IntrinioBankFinancials(rssd_id,$R$2,I$6,I$5,$B41,"K"),"")</f>
        <v/>
      </c>
      <c r="J41" s="24" t="str">
        <f>IFERROR([1]!IntrinioBankFinancials(rssd_id,$R$2,J$6,J$5,$B41,"K"),"")</f>
        <v/>
      </c>
      <c r="K41" s="24" t="str">
        <f>IFERROR([1]!IntrinioBankFinancials(rssd_id,$R$2,K$6,K$5,$B41,"K"),"")</f>
        <v/>
      </c>
      <c r="L41" s="24" t="str">
        <f>IFERROR([1]!IntrinioBankFinancials(rssd_id,$R$2,L$6,L$5,$B41,"K"),"")</f>
        <v/>
      </c>
      <c r="M41" s="24" t="str">
        <f>IFERROR([1]!IntrinioBankFinancials(rssd_id,$R$2,M$6,M$5,$B41,"K"),"")</f>
        <v/>
      </c>
      <c r="N41" s="24" t="str">
        <f>IFERROR([1]!IntrinioBankFinancials(rssd_id,$R$2,N$6,N$5,$B41,"K"),"")</f>
        <v/>
      </c>
      <c r="O41" s="24" t="str">
        <f>IFERROR([1]!IntrinioBankFinancials(rssd_id,$R$2,O$6,O$5,$B41,"K"),"")</f>
        <v/>
      </c>
    </row>
    <row r="42" spans="1:15" ht="13.5" customHeight="1" x14ac:dyDescent="0.4">
      <c r="A42" s="34" t="s">
        <v>192</v>
      </c>
      <c r="B42" s="23" t="s">
        <v>193</v>
      </c>
      <c r="C42" s="24" t="str">
        <f>IFERROR([1]!IntrinioBankFinancials(rssd_id,$R$2,C$6,C$5,$B42,"K"),"")</f>
        <v/>
      </c>
      <c r="D42" s="24" t="str">
        <f>IFERROR([1]!IntrinioBankFinancials(rssd_id,$R$2,D$6,D$5,$B42,"K"),"")</f>
        <v/>
      </c>
      <c r="E42" s="24" t="str">
        <f>IFERROR([1]!IntrinioBankFinancials(rssd_id,$R$2,E$6,E$5,$B42,"K"),"")</f>
        <v/>
      </c>
      <c r="F42" s="24" t="str">
        <f>IFERROR([1]!IntrinioBankFinancials(rssd_id,$R$2,F$6,F$5,$B42,"K"),"")</f>
        <v/>
      </c>
      <c r="G42" s="24" t="str">
        <f>IFERROR([1]!IntrinioBankFinancials(rssd_id,$R$2,G$6,G$5,$B42,"K"),"")</f>
        <v/>
      </c>
      <c r="H42" s="24" t="str">
        <f>IFERROR([1]!IntrinioBankFinancials(rssd_id,$R$2,H$6,H$5,$B42,"K"),"")</f>
        <v/>
      </c>
      <c r="I42" s="24" t="str">
        <f>IFERROR([1]!IntrinioBankFinancials(rssd_id,$R$2,I$6,I$5,$B42,"K"),"")</f>
        <v/>
      </c>
      <c r="J42" s="24" t="str">
        <f>IFERROR([1]!IntrinioBankFinancials(rssd_id,$R$2,J$6,J$5,$B42,"K"),"")</f>
        <v/>
      </c>
      <c r="K42" s="24" t="str">
        <f>IFERROR([1]!IntrinioBankFinancials(rssd_id,$R$2,K$6,K$5,$B42,"K"),"")</f>
        <v/>
      </c>
      <c r="L42" s="24" t="str">
        <f>IFERROR([1]!IntrinioBankFinancials(rssd_id,$R$2,L$6,L$5,$B42,"K"),"")</f>
        <v/>
      </c>
      <c r="M42" s="24" t="str">
        <f>IFERROR([1]!IntrinioBankFinancials(rssd_id,$R$2,M$6,M$5,$B42,"K"),"")</f>
        <v/>
      </c>
      <c r="N42" s="24" t="str">
        <f>IFERROR([1]!IntrinioBankFinancials(rssd_id,$R$2,N$6,N$5,$B42,"K"),"")</f>
        <v/>
      </c>
      <c r="O42" s="24" t="str">
        <f>IFERROR([1]!IntrinioBankFinancials(rssd_id,$R$2,O$6,O$5,$B42,"K"),"")</f>
        <v/>
      </c>
    </row>
    <row r="43" spans="1:15" s="22" customFormat="1" ht="13.5" customHeight="1" x14ac:dyDescent="0.4">
      <c r="A43" s="34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s="22" customFormat="1" ht="13.5" customHeight="1" x14ac:dyDescent="0.4">
      <c r="A44" s="33" t="s">
        <v>204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</row>
    <row r="45" spans="1:15" ht="13.5" customHeight="1" x14ac:dyDescent="0.4">
      <c r="A45" s="34" t="s">
        <v>194</v>
      </c>
      <c r="B45" s="23" t="s">
        <v>195</v>
      </c>
      <c r="C45" s="24" t="str">
        <f>IFERROR([1]!IntrinioBankFinancials(rssd_id,$R$2,C$6,C$5,$B45,"K"),"")</f>
        <v/>
      </c>
      <c r="D45" s="24" t="str">
        <f>IFERROR([1]!IntrinioBankFinancials(rssd_id,$R$2,D$6,D$5,$B45,"K"),"")</f>
        <v/>
      </c>
      <c r="E45" s="24" t="str">
        <f>IFERROR([1]!IntrinioBankFinancials(rssd_id,$R$2,E$6,E$5,$B45,"K"),"")</f>
        <v/>
      </c>
      <c r="F45" s="24" t="str">
        <f>IFERROR([1]!IntrinioBankFinancials(rssd_id,$R$2,F$6,F$5,$B45,"K"),"")</f>
        <v/>
      </c>
      <c r="G45" s="24" t="str">
        <f>IFERROR([1]!IntrinioBankFinancials(rssd_id,$R$2,G$6,G$5,$B45,"K"),"")</f>
        <v/>
      </c>
      <c r="H45" s="24" t="str">
        <f>IFERROR([1]!IntrinioBankFinancials(rssd_id,$R$2,H$6,H$5,$B45,"K"),"")</f>
        <v/>
      </c>
      <c r="I45" s="24" t="str">
        <f>IFERROR([1]!IntrinioBankFinancials(rssd_id,$R$2,I$6,I$5,$B45,"K"),"")</f>
        <v/>
      </c>
      <c r="J45" s="24" t="str">
        <f>IFERROR([1]!IntrinioBankFinancials(rssd_id,$R$2,J$6,J$5,$B45,"K"),"")</f>
        <v/>
      </c>
      <c r="K45" s="24" t="str">
        <f>IFERROR([1]!IntrinioBankFinancials(rssd_id,$R$2,K$6,K$5,$B45,"K"),"")</f>
        <v/>
      </c>
      <c r="L45" s="24" t="str">
        <f>IFERROR([1]!IntrinioBankFinancials(rssd_id,$R$2,L$6,L$5,$B45,"K"),"")</f>
        <v/>
      </c>
      <c r="M45" s="24" t="str">
        <f>IFERROR([1]!IntrinioBankFinancials(rssd_id,$R$2,M$6,M$5,$B45,"K"),"")</f>
        <v/>
      </c>
      <c r="N45" s="24" t="str">
        <f>IFERROR([1]!IntrinioBankFinancials(rssd_id,$R$2,N$6,N$5,$B45,"K"),"")</f>
        <v/>
      </c>
      <c r="O45" s="24" t="str">
        <f>IFERROR([1]!IntrinioBankFinancials(rssd_id,$R$2,O$6,O$5,$B45,"K"),"")</f>
        <v/>
      </c>
    </row>
    <row r="46" spans="1:15" s="22" customFormat="1" ht="13.5" customHeight="1" x14ac:dyDescent="0.4">
      <c r="A46" s="34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</row>
    <row r="47" spans="1:15" s="22" customFormat="1" ht="13.5" customHeight="1" x14ac:dyDescent="0.4">
      <c r="A47" s="33" t="s">
        <v>205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</row>
    <row r="48" spans="1:15" ht="13.5" customHeight="1" x14ac:dyDescent="0.4">
      <c r="A48" s="34" t="s">
        <v>196</v>
      </c>
      <c r="B48" s="23" t="s">
        <v>197</v>
      </c>
      <c r="C48" s="24" t="str">
        <f>IFERROR([1]!IntrinioBankFinancials(rssd_id,$R$2,C$6,C$5,$B48,"K"),"")</f>
        <v/>
      </c>
      <c r="D48" s="24" t="str">
        <f>IFERROR([1]!IntrinioBankFinancials(rssd_id,$R$2,D$6,D$5,$B48,"K"),"")</f>
        <v/>
      </c>
      <c r="E48" s="24" t="str">
        <f>IFERROR([1]!IntrinioBankFinancials(rssd_id,$R$2,E$6,E$5,$B48,"K"),"")</f>
        <v/>
      </c>
      <c r="F48" s="24" t="str">
        <f>IFERROR([1]!IntrinioBankFinancials(rssd_id,$R$2,F$6,F$5,$B48,"K"),"")</f>
        <v/>
      </c>
      <c r="G48" s="24" t="str">
        <f>IFERROR([1]!IntrinioBankFinancials(rssd_id,$R$2,G$6,G$5,$B48,"K"),"")</f>
        <v/>
      </c>
      <c r="H48" s="24" t="str">
        <f>IFERROR([1]!IntrinioBankFinancials(rssd_id,$R$2,H$6,H$5,$B48,"K"),"")</f>
        <v/>
      </c>
      <c r="I48" s="24" t="str">
        <f>IFERROR([1]!IntrinioBankFinancials(rssd_id,$R$2,I$6,I$5,$B48,"K"),"")</f>
        <v/>
      </c>
      <c r="J48" s="24" t="str">
        <f>IFERROR([1]!IntrinioBankFinancials(rssd_id,$R$2,J$6,J$5,$B48,"K"),"")</f>
        <v/>
      </c>
      <c r="K48" s="24" t="str">
        <f>IFERROR([1]!IntrinioBankFinancials(rssd_id,$R$2,K$6,K$5,$B48,"K"),"")</f>
        <v/>
      </c>
      <c r="L48" s="24" t="str">
        <f>IFERROR([1]!IntrinioBankFinancials(rssd_id,$R$2,L$6,L$5,$B48,"K"),"")</f>
        <v/>
      </c>
      <c r="M48" s="24" t="str">
        <f>IFERROR([1]!IntrinioBankFinancials(rssd_id,$R$2,M$6,M$5,$B48,"K"),"")</f>
        <v/>
      </c>
      <c r="N48" s="24" t="str">
        <f>IFERROR([1]!IntrinioBankFinancials(rssd_id,$R$2,N$6,N$5,$B48,"K"),"")</f>
        <v/>
      </c>
      <c r="O48" s="24" t="str">
        <f>IFERROR([1]!IntrinioBankFinancials(rssd_id,$R$2,O$6,O$5,$B48,"K"),"")</f>
        <v/>
      </c>
    </row>
    <row r="49" spans="1:15" ht="13.5" customHeight="1" x14ac:dyDescent="0.4">
      <c r="A49" s="34" t="s">
        <v>198</v>
      </c>
      <c r="B49" s="23" t="s">
        <v>199</v>
      </c>
      <c r="C49" s="24" t="str">
        <f>IFERROR([1]!IntrinioBankFinancials(rssd_id,$R$2,C$6,C$5,$B49,"K"),"")</f>
        <v/>
      </c>
      <c r="D49" s="24" t="str">
        <f>IFERROR([1]!IntrinioBankFinancials(rssd_id,$R$2,D$6,D$5,$B49,"K"),"")</f>
        <v/>
      </c>
      <c r="E49" s="24" t="str">
        <f>IFERROR([1]!IntrinioBankFinancials(rssd_id,$R$2,E$6,E$5,$B49,"K"),"")</f>
        <v/>
      </c>
      <c r="F49" s="24" t="str">
        <f>IFERROR([1]!IntrinioBankFinancials(rssd_id,$R$2,F$6,F$5,$B49,"K"),"")</f>
        <v/>
      </c>
      <c r="G49" s="24" t="str">
        <f>IFERROR([1]!IntrinioBankFinancials(rssd_id,$R$2,G$6,G$5,$B49,"K"),"")</f>
        <v/>
      </c>
      <c r="H49" s="24" t="str">
        <f>IFERROR([1]!IntrinioBankFinancials(rssd_id,$R$2,H$6,H$5,$B49,"K"),"")</f>
        <v/>
      </c>
      <c r="I49" s="24" t="str">
        <f>IFERROR([1]!IntrinioBankFinancials(rssd_id,$R$2,I$6,I$5,$B49,"K"),"")</f>
        <v/>
      </c>
      <c r="J49" s="24" t="str">
        <f>IFERROR([1]!IntrinioBankFinancials(rssd_id,$R$2,J$6,J$5,$B49,"K"),"")</f>
        <v/>
      </c>
      <c r="K49" s="24" t="str">
        <f>IFERROR([1]!IntrinioBankFinancials(rssd_id,$R$2,K$6,K$5,$B49,"K"),"")</f>
        <v/>
      </c>
      <c r="L49" s="24" t="str">
        <f>IFERROR([1]!IntrinioBankFinancials(rssd_id,$R$2,L$6,L$5,$B49,"K"),"")</f>
        <v/>
      </c>
      <c r="M49" s="24" t="str">
        <f>IFERROR([1]!IntrinioBankFinancials(rssd_id,$R$2,M$6,M$5,$B49,"K"),"")</f>
        <v/>
      </c>
      <c r="N49" s="24" t="str">
        <f>IFERROR([1]!IntrinioBankFinancials(rssd_id,$R$2,N$6,N$5,$B49,"K"),"")</f>
        <v/>
      </c>
      <c r="O49" s="24" t="str">
        <f>IFERROR([1]!IntrinioBankFinancials(rssd_id,$R$2,O$6,O$5,$B49,"K"),"")</f>
        <v/>
      </c>
    </row>
    <row r="50" spans="1:15" ht="13.5" customHeight="1" x14ac:dyDescent="0.4">
      <c r="A50" s="34" t="s">
        <v>200</v>
      </c>
      <c r="B50" s="23" t="s">
        <v>201</v>
      </c>
      <c r="C50" s="24" t="str">
        <f>IFERROR([1]!IntrinioBankFinancials(rssd_id,$R$2,C$6,C$5,$B50,"K"),"")</f>
        <v/>
      </c>
      <c r="D50" s="24" t="str">
        <f>IFERROR([1]!IntrinioBankFinancials(rssd_id,$R$2,D$6,D$5,$B50,"K"),"")</f>
        <v/>
      </c>
      <c r="E50" s="24" t="str">
        <f>IFERROR([1]!IntrinioBankFinancials(rssd_id,$R$2,E$6,E$5,$B50,"K"),"")</f>
        <v/>
      </c>
      <c r="F50" s="24" t="str">
        <f>IFERROR([1]!IntrinioBankFinancials(rssd_id,$R$2,F$6,F$5,$B50,"K"),"")</f>
        <v/>
      </c>
      <c r="G50" s="24" t="str">
        <f>IFERROR([1]!IntrinioBankFinancials(rssd_id,$R$2,G$6,G$5,$B50,"K"),"")</f>
        <v/>
      </c>
      <c r="H50" s="24" t="str">
        <f>IFERROR([1]!IntrinioBankFinancials(rssd_id,$R$2,H$6,H$5,$B50,"K"),"")</f>
        <v/>
      </c>
      <c r="I50" s="24" t="str">
        <f>IFERROR([1]!IntrinioBankFinancials(rssd_id,$R$2,I$6,I$5,$B50,"K"),"")</f>
        <v/>
      </c>
      <c r="J50" s="24" t="str">
        <f>IFERROR([1]!IntrinioBankFinancials(rssd_id,$R$2,J$6,J$5,$B50,"K"),"")</f>
        <v/>
      </c>
      <c r="K50" s="24" t="str">
        <f>IFERROR([1]!IntrinioBankFinancials(rssd_id,$R$2,K$6,K$5,$B50,"K"),"")</f>
        <v/>
      </c>
      <c r="L50" s="24" t="str">
        <f>IFERROR([1]!IntrinioBankFinancials(rssd_id,$R$2,L$6,L$5,$B50,"K"),"")</f>
        <v/>
      </c>
      <c r="M50" s="24" t="str">
        <f>IFERROR([1]!IntrinioBankFinancials(rssd_id,$R$2,M$6,M$5,$B50,"K"),"")</f>
        <v/>
      </c>
      <c r="N50" s="24" t="str">
        <f>IFERROR([1]!IntrinioBankFinancials(rssd_id,$R$2,N$6,N$5,$B50,"K"),"")</f>
        <v/>
      </c>
      <c r="O50" s="24" t="str">
        <f>IFERROR([1]!IntrinioBankFinancials(rssd_id,$R$2,O$6,O$5,$B50,"K"),"")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4"/>
    <pageSetUpPr fitToPage="1"/>
  </sheetPr>
  <dimension ref="A1:R58"/>
  <sheetViews>
    <sheetView view="pageBreakPreview" zoomScaleNormal="100" zoomScaleSheetLayoutView="100" workbookViewId="0">
      <pane xSplit="1" ySplit="6" topLeftCell="J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206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1192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264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207</v>
      </c>
      <c r="B9" s="23" t="s">
        <v>208</v>
      </c>
      <c r="C9" s="31" t="str">
        <f>IFERROR([1]!IntrinioBankFinancials(rssd_id,$R$2,C$6,C$5,$B9),"")</f>
        <v/>
      </c>
      <c r="D9" s="31" t="str">
        <f>IFERROR([1]!IntrinioBankFinancials(rssd_id,$R$2,D$6,D$5,$B9),"")</f>
        <v/>
      </c>
      <c r="E9" s="31" t="str">
        <f>IFERROR([1]!IntrinioBankFinancials(rssd_id,$R$2,E$6,E$5,$B9),"")</f>
        <v/>
      </c>
      <c r="F9" s="31" t="str">
        <f>IFERROR([1]!IntrinioBankFinancials(rssd_id,$R$2,F$6,F$5,$B9),"")</f>
        <v/>
      </c>
      <c r="G9" s="31" t="str">
        <f>IFERROR([1]!IntrinioBankFinancials(rssd_id,$R$2,G$6,G$5,$B9),"")</f>
        <v/>
      </c>
      <c r="H9" s="31" t="str">
        <f>IFERROR([1]!IntrinioBankFinancials(rssd_id,$R$2,H$6,H$5,$B9),"")</f>
        <v/>
      </c>
      <c r="I9" s="31" t="str">
        <f>IFERROR([1]!IntrinioBankFinancials(rssd_id,$R$2,I$6,I$5,$B9),"")</f>
        <v/>
      </c>
      <c r="J9" s="31" t="str">
        <f>IFERROR([1]!IntrinioBankFinancials(rssd_id,$R$2,J$6,J$5,$B9),"")</f>
        <v/>
      </c>
      <c r="K9" s="31" t="str">
        <f>IFERROR([1]!IntrinioBankFinancials(rssd_id,$R$2,K$6,K$5,$B9),"")</f>
        <v/>
      </c>
      <c r="L9" s="31" t="str">
        <f>IFERROR([1]!IntrinioBankFinancials(rssd_id,$R$2,L$6,L$5,$B9),"")</f>
        <v/>
      </c>
      <c r="M9" s="31" t="str">
        <f>IFERROR([1]!IntrinioBankFinancials(rssd_id,$R$2,M$6,M$5,$B9),"")</f>
        <v/>
      </c>
      <c r="N9" s="31" t="str">
        <f>IFERROR([1]!IntrinioBankFinancials(rssd_id,$R$2,N$6,N$5,$B9),"")</f>
        <v/>
      </c>
      <c r="O9" s="31" t="str">
        <f>IFERROR([1]!IntrinioBankFinancials(rssd_id,$R$2,O$6,O$5,$B9),"")</f>
        <v/>
      </c>
    </row>
    <row r="10" spans="1:18" s="22" customFormat="1" ht="13.5" customHeight="1" x14ac:dyDescent="0.4">
      <c r="A10" s="34" t="s">
        <v>209</v>
      </c>
      <c r="B10" s="23" t="s">
        <v>210</v>
      </c>
      <c r="C10" s="31" t="str">
        <f>IFERROR([1]!IntrinioBankFinancials(rssd_id,$R$2,C$6,C$5,$B10),"")</f>
        <v/>
      </c>
      <c r="D10" s="31" t="str">
        <f>IFERROR([1]!IntrinioBankFinancials(rssd_id,$R$2,D$6,D$5,$B10),"")</f>
        <v/>
      </c>
      <c r="E10" s="31" t="str">
        <f>IFERROR([1]!IntrinioBankFinancials(rssd_id,$R$2,E$6,E$5,$B10),"")</f>
        <v/>
      </c>
      <c r="F10" s="31" t="str">
        <f>IFERROR([1]!IntrinioBankFinancials(rssd_id,$R$2,F$6,F$5,$B10),"")</f>
        <v/>
      </c>
      <c r="G10" s="31" t="str">
        <f>IFERROR([1]!IntrinioBankFinancials(rssd_id,$R$2,G$6,G$5,$B10),"")</f>
        <v/>
      </c>
      <c r="H10" s="31" t="str">
        <f>IFERROR([1]!IntrinioBankFinancials(rssd_id,$R$2,H$6,H$5,$B10),"")</f>
        <v/>
      </c>
      <c r="I10" s="31" t="str">
        <f>IFERROR([1]!IntrinioBankFinancials(rssd_id,$R$2,I$6,I$5,$B10),"")</f>
        <v/>
      </c>
      <c r="J10" s="31" t="str">
        <f>IFERROR([1]!IntrinioBankFinancials(rssd_id,$R$2,J$6,J$5,$B10),"")</f>
        <v/>
      </c>
      <c r="K10" s="31" t="str">
        <f>IFERROR([1]!IntrinioBankFinancials(rssd_id,$R$2,K$6,K$5,$B10),"")</f>
        <v/>
      </c>
      <c r="L10" s="31" t="str">
        <f>IFERROR([1]!IntrinioBankFinancials(rssd_id,$R$2,L$6,L$5,$B10),"")</f>
        <v/>
      </c>
      <c r="M10" s="31" t="str">
        <f>IFERROR([1]!IntrinioBankFinancials(rssd_id,$R$2,M$6,M$5,$B10),"")</f>
        <v/>
      </c>
      <c r="N10" s="31" t="str">
        <f>IFERROR([1]!IntrinioBankFinancials(rssd_id,$R$2,N$6,N$5,$B10),"")</f>
        <v/>
      </c>
      <c r="O10" s="31" t="str">
        <f>IFERROR([1]!IntrinioBankFinancials(rssd_id,$R$2,O$6,O$5,$B10),"")</f>
        <v/>
      </c>
    </row>
    <row r="11" spans="1:18" s="22" customFormat="1" ht="13.5" customHeight="1" x14ac:dyDescent="0.4">
      <c r="A11" s="34" t="s">
        <v>211</v>
      </c>
      <c r="B11" s="23" t="s">
        <v>212</v>
      </c>
      <c r="C11" s="31" t="str">
        <f>IFERROR([1]!IntrinioBankFinancials(rssd_id,$R$2,C$6,C$5,$B11),"")</f>
        <v/>
      </c>
      <c r="D11" s="31" t="str">
        <f>IFERROR([1]!IntrinioBankFinancials(rssd_id,$R$2,D$6,D$5,$B11),"")</f>
        <v/>
      </c>
      <c r="E11" s="31" t="str">
        <f>IFERROR([1]!IntrinioBankFinancials(rssd_id,$R$2,E$6,E$5,$B11),"")</f>
        <v/>
      </c>
      <c r="F11" s="31" t="str">
        <f>IFERROR([1]!IntrinioBankFinancials(rssd_id,$R$2,F$6,F$5,$B11),"")</f>
        <v/>
      </c>
      <c r="G11" s="31" t="str">
        <f>IFERROR([1]!IntrinioBankFinancials(rssd_id,$R$2,G$6,G$5,$B11),"")</f>
        <v/>
      </c>
      <c r="H11" s="31" t="str">
        <f>IFERROR([1]!IntrinioBankFinancials(rssd_id,$R$2,H$6,H$5,$B11),"")</f>
        <v/>
      </c>
      <c r="I11" s="31" t="str">
        <f>IFERROR([1]!IntrinioBankFinancials(rssd_id,$R$2,I$6,I$5,$B11),"")</f>
        <v/>
      </c>
      <c r="J11" s="31" t="str">
        <f>IFERROR([1]!IntrinioBankFinancials(rssd_id,$R$2,J$6,J$5,$B11),"")</f>
        <v/>
      </c>
      <c r="K11" s="31" t="str">
        <f>IFERROR([1]!IntrinioBankFinancials(rssd_id,$R$2,K$6,K$5,$B11),"")</f>
        <v/>
      </c>
      <c r="L11" s="31" t="str">
        <f>IFERROR([1]!IntrinioBankFinancials(rssd_id,$R$2,L$6,L$5,$B11),"")</f>
        <v/>
      </c>
      <c r="M11" s="31" t="str">
        <f>IFERROR([1]!IntrinioBankFinancials(rssd_id,$R$2,M$6,M$5,$B11),"")</f>
        <v/>
      </c>
      <c r="N11" s="31" t="str">
        <f>IFERROR([1]!IntrinioBankFinancials(rssd_id,$R$2,N$6,N$5,$B11),"")</f>
        <v/>
      </c>
      <c r="O11" s="31" t="str">
        <f>IFERROR([1]!IntrinioBankFinancials(rssd_id,$R$2,O$6,O$5,$B11),"")</f>
        <v/>
      </c>
    </row>
    <row r="12" spans="1:18" s="22" customFormat="1" ht="13.5" customHeight="1" x14ac:dyDescent="0.4">
      <c r="A12" s="33"/>
      <c r="B12" s="20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</row>
    <row r="13" spans="1:18" s="22" customFormat="1" ht="13.5" customHeight="1" x14ac:dyDescent="0.4">
      <c r="A13" s="33" t="s">
        <v>203</v>
      </c>
      <c r="B13" s="20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</row>
    <row r="14" spans="1:18" s="22" customFormat="1" ht="13.5" customHeight="1" x14ac:dyDescent="0.4">
      <c r="A14" s="34" t="s">
        <v>213</v>
      </c>
      <c r="B14" s="23" t="s">
        <v>214</v>
      </c>
      <c r="C14" s="31" t="str">
        <f>IFERROR([1]!IntrinioBankFinancials(rssd_id,$R$2,C$6,C$5,$B14),"")</f>
        <v/>
      </c>
      <c r="D14" s="31" t="str">
        <f>IFERROR([1]!IntrinioBankFinancials(rssd_id,$R$2,D$6,D$5,$B14),"")</f>
        <v/>
      </c>
      <c r="E14" s="31" t="str">
        <f>IFERROR([1]!IntrinioBankFinancials(rssd_id,$R$2,E$6,E$5,$B14),"")</f>
        <v/>
      </c>
      <c r="F14" s="31" t="str">
        <f>IFERROR([1]!IntrinioBankFinancials(rssd_id,$R$2,F$6,F$5,$B14),"")</f>
        <v/>
      </c>
      <c r="G14" s="31" t="str">
        <f>IFERROR([1]!IntrinioBankFinancials(rssd_id,$R$2,G$6,G$5,$B14),"")</f>
        <v/>
      </c>
      <c r="H14" s="31" t="str">
        <f>IFERROR([1]!IntrinioBankFinancials(rssd_id,$R$2,H$6,H$5,$B14),"")</f>
        <v/>
      </c>
      <c r="I14" s="31" t="str">
        <f>IFERROR([1]!IntrinioBankFinancials(rssd_id,$R$2,I$6,I$5,$B14),"")</f>
        <v/>
      </c>
      <c r="J14" s="31" t="str">
        <f>IFERROR([1]!IntrinioBankFinancials(rssd_id,$R$2,J$6,J$5,$B14),"")</f>
        <v/>
      </c>
      <c r="K14" s="31" t="str">
        <f>IFERROR([1]!IntrinioBankFinancials(rssd_id,$R$2,K$6,K$5,$B14),"")</f>
        <v/>
      </c>
      <c r="L14" s="31" t="str">
        <f>IFERROR([1]!IntrinioBankFinancials(rssd_id,$R$2,L$6,L$5,$B14),"")</f>
        <v/>
      </c>
      <c r="M14" s="31" t="str">
        <f>IFERROR([1]!IntrinioBankFinancials(rssd_id,$R$2,M$6,M$5,$B14),"")</f>
        <v/>
      </c>
      <c r="N14" s="31" t="str">
        <f>IFERROR([1]!IntrinioBankFinancials(rssd_id,$R$2,N$6,N$5,$B14),"")</f>
        <v/>
      </c>
      <c r="O14" s="31" t="str">
        <f>IFERROR([1]!IntrinioBankFinancials(rssd_id,$R$2,O$6,O$5,$B14),"")</f>
        <v/>
      </c>
    </row>
    <row r="15" spans="1:18" s="22" customFormat="1" ht="13.5" customHeight="1" x14ac:dyDescent="0.4">
      <c r="A15" s="34" t="s">
        <v>149</v>
      </c>
      <c r="B15" s="23" t="s">
        <v>215</v>
      </c>
      <c r="C15" s="31" t="str">
        <f>IFERROR([1]!IntrinioBankFinancials(rssd_id,$R$2,C$6,C$5,$B15),"")</f>
        <v/>
      </c>
      <c r="D15" s="31" t="str">
        <f>IFERROR([1]!IntrinioBankFinancials(rssd_id,$R$2,D$6,D$5,$B15),"")</f>
        <v/>
      </c>
      <c r="E15" s="31" t="str">
        <f>IFERROR([1]!IntrinioBankFinancials(rssd_id,$R$2,E$6,E$5,$B15),"")</f>
        <v/>
      </c>
      <c r="F15" s="31" t="str">
        <f>IFERROR([1]!IntrinioBankFinancials(rssd_id,$R$2,F$6,F$5,$B15),"")</f>
        <v/>
      </c>
      <c r="G15" s="31" t="str">
        <f>IFERROR([1]!IntrinioBankFinancials(rssd_id,$R$2,G$6,G$5,$B15),"")</f>
        <v/>
      </c>
      <c r="H15" s="31" t="str">
        <f>IFERROR([1]!IntrinioBankFinancials(rssd_id,$R$2,H$6,H$5,$B15),"")</f>
        <v/>
      </c>
      <c r="I15" s="31" t="str">
        <f>IFERROR([1]!IntrinioBankFinancials(rssd_id,$R$2,I$6,I$5,$B15),"")</f>
        <v/>
      </c>
      <c r="J15" s="31" t="str">
        <f>IFERROR([1]!IntrinioBankFinancials(rssd_id,$R$2,J$6,J$5,$B15),"")</f>
        <v/>
      </c>
      <c r="K15" s="31" t="str">
        <f>IFERROR([1]!IntrinioBankFinancials(rssd_id,$R$2,K$6,K$5,$B15),"")</f>
        <v/>
      </c>
      <c r="L15" s="31" t="str">
        <f>IFERROR([1]!IntrinioBankFinancials(rssd_id,$R$2,L$6,L$5,$B15),"")</f>
        <v/>
      </c>
      <c r="M15" s="31" t="str">
        <f>IFERROR([1]!IntrinioBankFinancials(rssd_id,$R$2,M$6,M$5,$B15),"")</f>
        <v/>
      </c>
      <c r="N15" s="31" t="str">
        <f>IFERROR([1]!IntrinioBankFinancials(rssd_id,$R$2,N$6,N$5,$B15),"")</f>
        <v/>
      </c>
      <c r="O15" s="31" t="str">
        <f>IFERROR([1]!IntrinioBankFinancials(rssd_id,$R$2,O$6,O$5,$B15),"")</f>
        <v/>
      </c>
    </row>
    <row r="16" spans="1:18" s="22" customFormat="1" ht="13.5" customHeight="1" x14ac:dyDescent="0.4">
      <c r="A16" s="34" t="s">
        <v>151</v>
      </c>
      <c r="B16" s="23" t="s">
        <v>216</v>
      </c>
      <c r="C16" s="31" t="str">
        <f>IFERROR([1]!IntrinioBankFinancials(rssd_id,$R$2,C$6,C$5,$B16),"")</f>
        <v/>
      </c>
      <c r="D16" s="31" t="str">
        <f>IFERROR([1]!IntrinioBankFinancials(rssd_id,$R$2,D$6,D$5,$B16),"")</f>
        <v/>
      </c>
      <c r="E16" s="31" t="str">
        <f>IFERROR([1]!IntrinioBankFinancials(rssd_id,$R$2,E$6,E$5,$B16),"")</f>
        <v/>
      </c>
      <c r="F16" s="31" t="str">
        <f>IFERROR([1]!IntrinioBankFinancials(rssd_id,$R$2,F$6,F$5,$B16),"")</f>
        <v/>
      </c>
      <c r="G16" s="31" t="str">
        <f>IFERROR([1]!IntrinioBankFinancials(rssd_id,$R$2,G$6,G$5,$B16),"")</f>
        <v/>
      </c>
      <c r="H16" s="31" t="str">
        <f>IFERROR([1]!IntrinioBankFinancials(rssd_id,$R$2,H$6,H$5,$B16),"")</f>
        <v/>
      </c>
      <c r="I16" s="31" t="str">
        <f>IFERROR([1]!IntrinioBankFinancials(rssd_id,$R$2,I$6,I$5,$B16),"")</f>
        <v/>
      </c>
      <c r="J16" s="31" t="str">
        <f>IFERROR([1]!IntrinioBankFinancials(rssd_id,$R$2,J$6,J$5,$B16),"")</f>
        <v/>
      </c>
      <c r="K16" s="31" t="str">
        <f>IFERROR([1]!IntrinioBankFinancials(rssd_id,$R$2,K$6,K$5,$B16),"")</f>
        <v/>
      </c>
      <c r="L16" s="31" t="str">
        <f>IFERROR([1]!IntrinioBankFinancials(rssd_id,$R$2,L$6,L$5,$B16),"")</f>
        <v/>
      </c>
      <c r="M16" s="31" t="str">
        <f>IFERROR([1]!IntrinioBankFinancials(rssd_id,$R$2,M$6,M$5,$B16),"")</f>
        <v/>
      </c>
      <c r="N16" s="31" t="str">
        <f>IFERROR([1]!IntrinioBankFinancials(rssd_id,$R$2,N$6,N$5,$B16),"")</f>
        <v/>
      </c>
      <c r="O16" s="31" t="str">
        <f>IFERROR([1]!IntrinioBankFinancials(rssd_id,$R$2,O$6,O$5,$B16),"")</f>
        <v/>
      </c>
    </row>
    <row r="17" spans="1:15" s="22" customFormat="1" ht="13.5" customHeight="1" x14ac:dyDescent="0.4">
      <c r="A17" s="34" t="s">
        <v>153</v>
      </c>
      <c r="B17" s="23" t="s">
        <v>217</v>
      </c>
      <c r="C17" s="31" t="str">
        <f>IFERROR([1]!IntrinioBankFinancials(rssd_id,$R$2,C$6,C$5,$B17),"")</f>
        <v/>
      </c>
      <c r="D17" s="31" t="str">
        <f>IFERROR([1]!IntrinioBankFinancials(rssd_id,$R$2,D$6,D$5,$B17),"")</f>
        <v/>
      </c>
      <c r="E17" s="31" t="str">
        <f>IFERROR([1]!IntrinioBankFinancials(rssd_id,$R$2,E$6,E$5,$B17),"")</f>
        <v/>
      </c>
      <c r="F17" s="31" t="str">
        <f>IFERROR([1]!IntrinioBankFinancials(rssd_id,$R$2,F$6,F$5,$B17),"")</f>
        <v/>
      </c>
      <c r="G17" s="31" t="str">
        <f>IFERROR([1]!IntrinioBankFinancials(rssd_id,$R$2,G$6,G$5,$B17),"")</f>
        <v/>
      </c>
      <c r="H17" s="31" t="str">
        <f>IFERROR([1]!IntrinioBankFinancials(rssd_id,$R$2,H$6,H$5,$B17),"")</f>
        <v/>
      </c>
      <c r="I17" s="31" t="str">
        <f>IFERROR([1]!IntrinioBankFinancials(rssd_id,$R$2,I$6,I$5,$B17),"")</f>
        <v/>
      </c>
      <c r="J17" s="31" t="str">
        <f>IFERROR([1]!IntrinioBankFinancials(rssd_id,$R$2,J$6,J$5,$B17),"")</f>
        <v/>
      </c>
      <c r="K17" s="31" t="str">
        <f>IFERROR([1]!IntrinioBankFinancials(rssd_id,$R$2,K$6,K$5,$B17),"")</f>
        <v/>
      </c>
      <c r="L17" s="31" t="str">
        <f>IFERROR([1]!IntrinioBankFinancials(rssd_id,$R$2,L$6,L$5,$B17),"")</f>
        <v/>
      </c>
      <c r="M17" s="31" t="str">
        <f>IFERROR([1]!IntrinioBankFinancials(rssd_id,$R$2,M$6,M$5,$B17),"")</f>
        <v/>
      </c>
      <c r="N17" s="31" t="str">
        <f>IFERROR([1]!IntrinioBankFinancials(rssd_id,$R$2,N$6,N$5,$B17),"")</f>
        <v/>
      </c>
      <c r="O17" s="31" t="str">
        <f>IFERROR([1]!IntrinioBankFinancials(rssd_id,$R$2,O$6,O$5,$B17),"")</f>
        <v/>
      </c>
    </row>
    <row r="18" spans="1:15" s="22" customFormat="1" ht="13.5" customHeight="1" x14ac:dyDescent="0.4">
      <c r="A18" s="34" t="s">
        <v>155</v>
      </c>
      <c r="B18" s="23" t="s">
        <v>218</v>
      </c>
      <c r="C18" s="31" t="str">
        <f>IFERROR([1]!IntrinioBankFinancials(rssd_id,$R$2,C$6,C$5,$B18),"")</f>
        <v/>
      </c>
      <c r="D18" s="31" t="str">
        <f>IFERROR([1]!IntrinioBankFinancials(rssd_id,$R$2,D$6,D$5,$B18),"")</f>
        <v/>
      </c>
      <c r="E18" s="31" t="str">
        <f>IFERROR([1]!IntrinioBankFinancials(rssd_id,$R$2,E$6,E$5,$B18),"")</f>
        <v/>
      </c>
      <c r="F18" s="31" t="str">
        <f>IFERROR([1]!IntrinioBankFinancials(rssd_id,$R$2,F$6,F$5,$B18),"")</f>
        <v/>
      </c>
      <c r="G18" s="31" t="str">
        <f>IFERROR([1]!IntrinioBankFinancials(rssd_id,$R$2,G$6,G$5,$B18),"")</f>
        <v/>
      </c>
      <c r="H18" s="31" t="str">
        <f>IFERROR([1]!IntrinioBankFinancials(rssd_id,$R$2,H$6,H$5,$B18),"")</f>
        <v/>
      </c>
      <c r="I18" s="31" t="str">
        <f>IFERROR([1]!IntrinioBankFinancials(rssd_id,$R$2,I$6,I$5,$B18),"")</f>
        <v/>
      </c>
      <c r="J18" s="31" t="str">
        <f>IFERROR([1]!IntrinioBankFinancials(rssd_id,$R$2,J$6,J$5,$B18),"")</f>
        <v/>
      </c>
      <c r="K18" s="31" t="str">
        <f>IFERROR([1]!IntrinioBankFinancials(rssd_id,$R$2,K$6,K$5,$B18),"")</f>
        <v/>
      </c>
      <c r="L18" s="31" t="str">
        <f>IFERROR([1]!IntrinioBankFinancials(rssd_id,$R$2,L$6,L$5,$B18),"")</f>
        <v/>
      </c>
      <c r="M18" s="31" t="str">
        <f>IFERROR([1]!IntrinioBankFinancials(rssd_id,$R$2,M$6,M$5,$B18),"")</f>
        <v/>
      </c>
      <c r="N18" s="31" t="str">
        <f>IFERROR([1]!IntrinioBankFinancials(rssd_id,$R$2,N$6,N$5,$B18),"")</f>
        <v/>
      </c>
      <c r="O18" s="31" t="str">
        <f>IFERROR([1]!IntrinioBankFinancials(rssd_id,$R$2,O$6,O$5,$B18),"")</f>
        <v/>
      </c>
    </row>
    <row r="19" spans="1:15" s="22" customFormat="1" ht="13.5" customHeight="1" x14ac:dyDescent="0.4">
      <c r="A19" s="34" t="s">
        <v>151</v>
      </c>
      <c r="B19" s="23" t="s">
        <v>219</v>
      </c>
      <c r="C19" s="31" t="str">
        <f>IFERROR([1]!IntrinioBankFinancials(rssd_id,$R$2,C$6,C$5,$B19),"")</f>
        <v/>
      </c>
      <c r="D19" s="31" t="str">
        <f>IFERROR([1]!IntrinioBankFinancials(rssd_id,$R$2,D$6,D$5,$B19),"")</f>
        <v/>
      </c>
      <c r="E19" s="31" t="str">
        <f>IFERROR([1]!IntrinioBankFinancials(rssd_id,$R$2,E$6,E$5,$B19),"")</f>
        <v/>
      </c>
      <c r="F19" s="31" t="str">
        <f>IFERROR([1]!IntrinioBankFinancials(rssd_id,$R$2,F$6,F$5,$B19),"")</f>
        <v/>
      </c>
      <c r="G19" s="31" t="str">
        <f>IFERROR([1]!IntrinioBankFinancials(rssd_id,$R$2,G$6,G$5,$B19),"")</f>
        <v/>
      </c>
      <c r="H19" s="31" t="str">
        <f>IFERROR([1]!IntrinioBankFinancials(rssd_id,$R$2,H$6,H$5,$B19),"")</f>
        <v/>
      </c>
      <c r="I19" s="31" t="str">
        <f>IFERROR([1]!IntrinioBankFinancials(rssd_id,$R$2,I$6,I$5,$B19),"")</f>
        <v/>
      </c>
      <c r="J19" s="31" t="str">
        <f>IFERROR([1]!IntrinioBankFinancials(rssd_id,$R$2,J$6,J$5,$B19),"")</f>
        <v/>
      </c>
      <c r="K19" s="31" t="str">
        <f>IFERROR([1]!IntrinioBankFinancials(rssd_id,$R$2,K$6,K$5,$B19),"")</f>
        <v/>
      </c>
      <c r="L19" s="31" t="str">
        <f>IFERROR([1]!IntrinioBankFinancials(rssd_id,$R$2,L$6,L$5,$B19),"")</f>
        <v/>
      </c>
      <c r="M19" s="31" t="str">
        <f>IFERROR([1]!IntrinioBankFinancials(rssd_id,$R$2,M$6,M$5,$B19),"")</f>
        <v/>
      </c>
      <c r="N19" s="31" t="str">
        <f>IFERROR([1]!IntrinioBankFinancials(rssd_id,$R$2,N$6,N$5,$B19),"")</f>
        <v/>
      </c>
      <c r="O19" s="31" t="str">
        <f>IFERROR([1]!IntrinioBankFinancials(rssd_id,$R$2,O$6,O$5,$B19),"")</f>
        <v/>
      </c>
    </row>
    <row r="20" spans="1:15" s="22" customFormat="1" ht="13.5" customHeight="1" x14ac:dyDescent="0.4">
      <c r="A20" s="34" t="s">
        <v>153</v>
      </c>
      <c r="B20" s="23" t="s">
        <v>220</v>
      </c>
      <c r="C20" s="31" t="str">
        <f>IFERROR([1]!IntrinioBankFinancials(rssd_id,$R$2,C$6,C$5,$B20),"")</f>
        <v/>
      </c>
      <c r="D20" s="31" t="str">
        <f>IFERROR([1]!IntrinioBankFinancials(rssd_id,$R$2,D$6,D$5,$B20),"")</f>
        <v/>
      </c>
      <c r="E20" s="31" t="str">
        <f>IFERROR([1]!IntrinioBankFinancials(rssd_id,$R$2,E$6,E$5,$B20),"")</f>
        <v/>
      </c>
      <c r="F20" s="31" t="str">
        <f>IFERROR([1]!IntrinioBankFinancials(rssd_id,$R$2,F$6,F$5,$B20),"")</f>
        <v/>
      </c>
      <c r="G20" s="31" t="str">
        <f>IFERROR([1]!IntrinioBankFinancials(rssd_id,$R$2,G$6,G$5,$B20),"")</f>
        <v/>
      </c>
      <c r="H20" s="31" t="str">
        <f>IFERROR([1]!IntrinioBankFinancials(rssd_id,$R$2,H$6,H$5,$B20),"")</f>
        <v/>
      </c>
      <c r="I20" s="31" t="str">
        <f>IFERROR([1]!IntrinioBankFinancials(rssd_id,$R$2,I$6,I$5,$B20),"")</f>
        <v/>
      </c>
      <c r="J20" s="31" t="str">
        <f>IFERROR([1]!IntrinioBankFinancials(rssd_id,$R$2,J$6,J$5,$B20),"")</f>
        <v/>
      </c>
      <c r="K20" s="31" t="str">
        <f>IFERROR([1]!IntrinioBankFinancials(rssd_id,$R$2,K$6,K$5,$B20),"")</f>
        <v/>
      </c>
      <c r="L20" s="31" t="str">
        <f>IFERROR([1]!IntrinioBankFinancials(rssd_id,$R$2,L$6,L$5,$B20),"")</f>
        <v/>
      </c>
      <c r="M20" s="31" t="str">
        <f>IFERROR([1]!IntrinioBankFinancials(rssd_id,$R$2,M$6,M$5,$B20),"")</f>
        <v/>
      </c>
      <c r="N20" s="31" t="str">
        <f>IFERROR([1]!IntrinioBankFinancials(rssd_id,$R$2,N$6,N$5,$B20),"")</f>
        <v/>
      </c>
      <c r="O20" s="31" t="str">
        <f>IFERROR([1]!IntrinioBankFinancials(rssd_id,$R$2,O$6,O$5,$B20),"")</f>
        <v/>
      </c>
    </row>
    <row r="21" spans="1:15" ht="13.5" customHeight="1" x14ac:dyDescent="0.4">
      <c r="A21" s="34" t="s">
        <v>159</v>
      </c>
      <c r="B21" s="23" t="s">
        <v>221</v>
      </c>
      <c r="C21" s="31" t="str">
        <f>IFERROR([1]!IntrinioBankFinancials(rssd_id,$R$2,C$6,C$5,$B21),"")</f>
        <v/>
      </c>
      <c r="D21" s="31" t="str">
        <f>IFERROR([1]!IntrinioBankFinancials(rssd_id,$R$2,D$6,D$5,$B21),"")</f>
        <v/>
      </c>
      <c r="E21" s="31" t="str">
        <f>IFERROR([1]!IntrinioBankFinancials(rssd_id,$R$2,E$6,E$5,$B21),"")</f>
        <v/>
      </c>
      <c r="F21" s="31" t="str">
        <f>IFERROR([1]!IntrinioBankFinancials(rssd_id,$R$2,F$6,F$5,$B21),"")</f>
        <v/>
      </c>
      <c r="G21" s="31" t="str">
        <f>IFERROR([1]!IntrinioBankFinancials(rssd_id,$R$2,G$6,G$5,$B21),"")</f>
        <v/>
      </c>
      <c r="H21" s="31" t="str">
        <f>IFERROR([1]!IntrinioBankFinancials(rssd_id,$R$2,H$6,H$5,$B21),"")</f>
        <v/>
      </c>
      <c r="I21" s="31" t="str">
        <f>IFERROR([1]!IntrinioBankFinancials(rssd_id,$R$2,I$6,I$5,$B21),"")</f>
        <v/>
      </c>
      <c r="J21" s="31" t="str">
        <f>IFERROR([1]!IntrinioBankFinancials(rssd_id,$R$2,J$6,J$5,$B21),"")</f>
        <v/>
      </c>
      <c r="K21" s="31" t="str">
        <f>IFERROR([1]!IntrinioBankFinancials(rssd_id,$R$2,K$6,K$5,$B21),"")</f>
        <v/>
      </c>
      <c r="L21" s="31" t="str">
        <f>IFERROR([1]!IntrinioBankFinancials(rssd_id,$R$2,L$6,L$5,$B21),"")</f>
        <v/>
      </c>
      <c r="M21" s="31" t="str">
        <f>IFERROR([1]!IntrinioBankFinancials(rssd_id,$R$2,M$6,M$5,$B21),"")</f>
        <v/>
      </c>
      <c r="N21" s="31" t="str">
        <f>IFERROR([1]!IntrinioBankFinancials(rssd_id,$R$2,N$6,N$5,$B21),"")</f>
        <v/>
      </c>
      <c r="O21" s="31" t="str">
        <f>IFERROR([1]!IntrinioBankFinancials(rssd_id,$R$2,O$6,O$5,$B21),"")</f>
        <v/>
      </c>
    </row>
    <row r="22" spans="1:15" ht="13.5" customHeight="1" x14ac:dyDescent="0.4">
      <c r="A22" s="34" t="s">
        <v>161</v>
      </c>
      <c r="B22" s="23" t="s">
        <v>222</v>
      </c>
      <c r="C22" s="31" t="str">
        <f>IFERROR([1]!IntrinioBankFinancials(rssd_id,$R$2,C$6,C$5,$B22),"")</f>
        <v/>
      </c>
      <c r="D22" s="31" t="str">
        <f>IFERROR([1]!IntrinioBankFinancials(rssd_id,$R$2,D$6,D$5,$B22),"")</f>
        <v/>
      </c>
      <c r="E22" s="31" t="str">
        <f>IFERROR([1]!IntrinioBankFinancials(rssd_id,$R$2,E$6,E$5,$B22),"")</f>
        <v/>
      </c>
      <c r="F22" s="31" t="str">
        <f>IFERROR([1]!IntrinioBankFinancials(rssd_id,$R$2,F$6,F$5,$B22),"")</f>
        <v/>
      </c>
      <c r="G22" s="31" t="str">
        <f>IFERROR([1]!IntrinioBankFinancials(rssd_id,$R$2,G$6,G$5,$B22),"")</f>
        <v/>
      </c>
      <c r="H22" s="31" t="str">
        <f>IFERROR([1]!IntrinioBankFinancials(rssd_id,$R$2,H$6,H$5,$B22),"")</f>
        <v/>
      </c>
      <c r="I22" s="31" t="str">
        <f>IFERROR([1]!IntrinioBankFinancials(rssd_id,$R$2,I$6,I$5,$B22),"")</f>
        <v/>
      </c>
      <c r="J22" s="31" t="str">
        <f>IFERROR([1]!IntrinioBankFinancials(rssd_id,$R$2,J$6,J$5,$B22),"")</f>
        <v/>
      </c>
      <c r="K22" s="31" t="str">
        <f>IFERROR([1]!IntrinioBankFinancials(rssd_id,$R$2,K$6,K$5,$B22),"")</f>
        <v/>
      </c>
      <c r="L22" s="31" t="str">
        <f>IFERROR([1]!IntrinioBankFinancials(rssd_id,$R$2,L$6,L$5,$B22),"")</f>
        <v/>
      </c>
      <c r="M22" s="31" t="str">
        <f>IFERROR([1]!IntrinioBankFinancials(rssd_id,$R$2,M$6,M$5,$B22),"")</f>
        <v/>
      </c>
      <c r="N22" s="31" t="str">
        <f>IFERROR([1]!IntrinioBankFinancials(rssd_id,$R$2,N$6,N$5,$B22),"")</f>
        <v/>
      </c>
      <c r="O22" s="31" t="str">
        <f>IFERROR([1]!IntrinioBankFinancials(rssd_id,$R$2,O$6,O$5,$B22),"")</f>
        <v/>
      </c>
    </row>
    <row r="23" spans="1:15" ht="13.5" customHeight="1" x14ac:dyDescent="0.4">
      <c r="A23" s="34" t="s">
        <v>141</v>
      </c>
      <c r="B23" s="23" t="s">
        <v>223</v>
      </c>
      <c r="C23" s="31" t="str">
        <f>IFERROR([1]!IntrinioBankFinancials(rssd_id,$R$2,C$6,C$5,$B23),"")</f>
        <v/>
      </c>
      <c r="D23" s="31" t="str">
        <f>IFERROR([1]!IntrinioBankFinancials(rssd_id,$R$2,D$6,D$5,$B23),"")</f>
        <v/>
      </c>
      <c r="E23" s="31" t="str">
        <f>IFERROR([1]!IntrinioBankFinancials(rssd_id,$R$2,E$6,E$5,$B23),"")</f>
        <v/>
      </c>
      <c r="F23" s="31" t="str">
        <f>IFERROR([1]!IntrinioBankFinancials(rssd_id,$R$2,F$6,F$5,$B23),"")</f>
        <v/>
      </c>
      <c r="G23" s="31" t="str">
        <f>IFERROR([1]!IntrinioBankFinancials(rssd_id,$R$2,G$6,G$5,$B23),"")</f>
        <v/>
      </c>
      <c r="H23" s="31" t="str">
        <f>IFERROR([1]!IntrinioBankFinancials(rssd_id,$R$2,H$6,H$5,$B23),"")</f>
        <v/>
      </c>
      <c r="I23" s="31" t="str">
        <f>IFERROR([1]!IntrinioBankFinancials(rssd_id,$R$2,I$6,I$5,$B23),"")</f>
        <v/>
      </c>
      <c r="J23" s="31" t="str">
        <f>IFERROR([1]!IntrinioBankFinancials(rssd_id,$R$2,J$6,J$5,$B23),"")</f>
        <v/>
      </c>
      <c r="K23" s="31" t="str">
        <f>IFERROR([1]!IntrinioBankFinancials(rssd_id,$R$2,K$6,K$5,$B23),"")</f>
        <v/>
      </c>
      <c r="L23" s="31" t="str">
        <f>IFERROR([1]!IntrinioBankFinancials(rssd_id,$R$2,L$6,L$5,$B23),"")</f>
        <v/>
      </c>
      <c r="M23" s="31" t="str">
        <f>IFERROR([1]!IntrinioBankFinancials(rssd_id,$R$2,M$6,M$5,$B23),"")</f>
        <v/>
      </c>
      <c r="N23" s="31" t="str">
        <f>IFERROR([1]!IntrinioBankFinancials(rssd_id,$R$2,N$6,N$5,$B23),"")</f>
        <v/>
      </c>
      <c r="O23" s="31" t="str">
        <f>IFERROR([1]!IntrinioBankFinancials(rssd_id,$R$2,O$6,O$5,$B23),"")</f>
        <v/>
      </c>
    </row>
    <row r="24" spans="1:15" ht="13.5" customHeight="1" x14ac:dyDescent="0.4">
      <c r="A24" s="34" t="s">
        <v>143</v>
      </c>
      <c r="B24" s="23" t="s">
        <v>224</v>
      </c>
      <c r="C24" s="31" t="str">
        <f>IFERROR([1]!IntrinioBankFinancials(rssd_id,$R$2,C$6,C$5,$B24),"")</f>
        <v/>
      </c>
      <c r="D24" s="31" t="str">
        <f>IFERROR([1]!IntrinioBankFinancials(rssd_id,$R$2,D$6,D$5,$B24),"")</f>
        <v/>
      </c>
      <c r="E24" s="31" t="str">
        <f>IFERROR([1]!IntrinioBankFinancials(rssd_id,$R$2,E$6,E$5,$B24),"")</f>
        <v/>
      </c>
      <c r="F24" s="31" t="str">
        <f>IFERROR([1]!IntrinioBankFinancials(rssd_id,$R$2,F$6,F$5,$B24),"")</f>
        <v/>
      </c>
      <c r="G24" s="31" t="str">
        <f>IFERROR([1]!IntrinioBankFinancials(rssd_id,$R$2,G$6,G$5,$B24),"")</f>
        <v/>
      </c>
      <c r="H24" s="31" t="str">
        <f>IFERROR([1]!IntrinioBankFinancials(rssd_id,$R$2,H$6,H$5,$B24),"")</f>
        <v/>
      </c>
      <c r="I24" s="31" t="str">
        <f>IFERROR([1]!IntrinioBankFinancials(rssd_id,$R$2,I$6,I$5,$B24),"")</f>
        <v/>
      </c>
      <c r="J24" s="31" t="str">
        <f>IFERROR([1]!IntrinioBankFinancials(rssd_id,$R$2,J$6,J$5,$B24),"")</f>
        <v/>
      </c>
      <c r="K24" s="31" t="str">
        <f>IFERROR([1]!IntrinioBankFinancials(rssd_id,$R$2,K$6,K$5,$B24),"")</f>
        <v/>
      </c>
      <c r="L24" s="31" t="str">
        <f>IFERROR([1]!IntrinioBankFinancials(rssd_id,$R$2,L$6,L$5,$B24),"")</f>
        <v/>
      </c>
      <c r="M24" s="31" t="str">
        <f>IFERROR([1]!IntrinioBankFinancials(rssd_id,$R$2,M$6,M$5,$B24),"")</f>
        <v/>
      </c>
      <c r="N24" s="31" t="str">
        <f>IFERROR([1]!IntrinioBankFinancials(rssd_id,$R$2,N$6,N$5,$B24),"")</f>
        <v/>
      </c>
      <c r="O24" s="31" t="str">
        <f>IFERROR([1]!IntrinioBankFinancials(rssd_id,$R$2,O$6,O$5,$B24),"")</f>
        <v/>
      </c>
    </row>
    <row r="25" spans="1:15" ht="13.5" customHeight="1" x14ac:dyDescent="0.4">
      <c r="A25" s="34" t="s">
        <v>145</v>
      </c>
      <c r="B25" s="23" t="s">
        <v>225</v>
      </c>
      <c r="C25" s="31" t="str">
        <f>IFERROR([1]!IntrinioBankFinancials(rssd_id,$R$2,C$6,C$5,$B25),"")</f>
        <v/>
      </c>
      <c r="D25" s="31" t="str">
        <f>IFERROR([1]!IntrinioBankFinancials(rssd_id,$R$2,D$6,D$5,$B25),"")</f>
        <v/>
      </c>
      <c r="E25" s="31" t="str">
        <f>IFERROR([1]!IntrinioBankFinancials(rssd_id,$R$2,E$6,E$5,$B25),"")</f>
        <v/>
      </c>
      <c r="F25" s="31" t="str">
        <f>IFERROR([1]!IntrinioBankFinancials(rssd_id,$R$2,F$6,F$5,$B25),"")</f>
        <v/>
      </c>
      <c r="G25" s="31" t="str">
        <f>IFERROR([1]!IntrinioBankFinancials(rssd_id,$R$2,G$6,G$5,$B25),"")</f>
        <v/>
      </c>
      <c r="H25" s="31" t="str">
        <f>IFERROR([1]!IntrinioBankFinancials(rssd_id,$R$2,H$6,H$5,$B25),"")</f>
        <v/>
      </c>
      <c r="I25" s="31" t="str">
        <f>IFERROR([1]!IntrinioBankFinancials(rssd_id,$R$2,I$6,I$5,$B25),"")</f>
        <v/>
      </c>
      <c r="J25" s="31" t="str">
        <f>IFERROR([1]!IntrinioBankFinancials(rssd_id,$R$2,J$6,J$5,$B25),"")</f>
        <v/>
      </c>
      <c r="K25" s="31" t="str">
        <f>IFERROR([1]!IntrinioBankFinancials(rssd_id,$R$2,K$6,K$5,$B25),"")</f>
        <v/>
      </c>
      <c r="L25" s="31" t="str">
        <f>IFERROR([1]!IntrinioBankFinancials(rssd_id,$R$2,L$6,L$5,$B25),"")</f>
        <v/>
      </c>
      <c r="M25" s="31" t="str">
        <f>IFERROR([1]!IntrinioBankFinancials(rssd_id,$R$2,M$6,M$5,$B25),"")</f>
        <v/>
      </c>
      <c r="N25" s="31" t="str">
        <f>IFERROR([1]!IntrinioBankFinancials(rssd_id,$R$2,N$6,N$5,$B25),"")</f>
        <v/>
      </c>
      <c r="O25" s="31" t="str">
        <f>IFERROR([1]!IntrinioBankFinancials(rssd_id,$R$2,O$6,O$5,$B25),"")</f>
        <v/>
      </c>
    </row>
    <row r="26" spans="1:15" ht="13.5" customHeight="1" x14ac:dyDescent="0.4">
      <c r="A26" s="34" t="s">
        <v>166</v>
      </c>
      <c r="B26" s="23" t="s">
        <v>226</v>
      </c>
      <c r="C26" s="31" t="str">
        <f>IFERROR([1]!IntrinioBankFinancials(rssd_id,$R$2,C$6,C$5,$B26),"")</f>
        <v/>
      </c>
      <c r="D26" s="31" t="str">
        <f>IFERROR([1]!IntrinioBankFinancials(rssd_id,$R$2,D$6,D$5,$B26),"")</f>
        <v/>
      </c>
      <c r="E26" s="31" t="str">
        <f>IFERROR([1]!IntrinioBankFinancials(rssd_id,$R$2,E$6,E$5,$B26),"")</f>
        <v/>
      </c>
      <c r="F26" s="31" t="str">
        <f>IFERROR([1]!IntrinioBankFinancials(rssd_id,$R$2,F$6,F$5,$B26),"")</f>
        <v/>
      </c>
      <c r="G26" s="31" t="str">
        <f>IFERROR([1]!IntrinioBankFinancials(rssd_id,$R$2,G$6,G$5,$B26),"")</f>
        <v/>
      </c>
      <c r="H26" s="31" t="str">
        <f>IFERROR([1]!IntrinioBankFinancials(rssd_id,$R$2,H$6,H$5,$B26),"")</f>
        <v/>
      </c>
      <c r="I26" s="31" t="str">
        <f>IFERROR([1]!IntrinioBankFinancials(rssd_id,$R$2,I$6,I$5,$B26),"")</f>
        <v/>
      </c>
      <c r="J26" s="31" t="str">
        <f>IFERROR([1]!IntrinioBankFinancials(rssd_id,$R$2,J$6,J$5,$B26),"")</f>
        <v/>
      </c>
      <c r="K26" s="31" t="str">
        <f>IFERROR([1]!IntrinioBankFinancials(rssd_id,$R$2,K$6,K$5,$B26),"")</f>
        <v/>
      </c>
      <c r="L26" s="31" t="str">
        <f>IFERROR([1]!IntrinioBankFinancials(rssd_id,$R$2,L$6,L$5,$B26),"")</f>
        <v/>
      </c>
      <c r="M26" s="31" t="str">
        <f>IFERROR([1]!IntrinioBankFinancials(rssd_id,$R$2,M$6,M$5,$B26),"")</f>
        <v/>
      </c>
      <c r="N26" s="31" t="str">
        <f>IFERROR([1]!IntrinioBankFinancials(rssd_id,$R$2,N$6,N$5,$B26),"")</f>
        <v/>
      </c>
      <c r="O26" s="31" t="str">
        <f>IFERROR([1]!IntrinioBankFinancials(rssd_id,$R$2,O$6,O$5,$B26),"")</f>
        <v/>
      </c>
    </row>
    <row r="27" spans="1:15" ht="13.5" customHeight="1" x14ac:dyDescent="0.4">
      <c r="A27" s="34" t="s">
        <v>141</v>
      </c>
      <c r="B27" s="23" t="s">
        <v>227</v>
      </c>
      <c r="C27" s="31" t="str">
        <f>IFERROR([1]!IntrinioBankFinancials(rssd_id,$R$2,C$6,C$5,$B27),"")</f>
        <v/>
      </c>
      <c r="D27" s="31" t="str">
        <f>IFERROR([1]!IntrinioBankFinancials(rssd_id,$R$2,D$6,D$5,$B27),"")</f>
        <v/>
      </c>
      <c r="E27" s="31" t="str">
        <f>IFERROR([1]!IntrinioBankFinancials(rssd_id,$R$2,E$6,E$5,$B27),"")</f>
        <v/>
      </c>
      <c r="F27" s="31" t="str">
        <f>IFERROR([1]!IntrinioBankFinancials(rssd_id,$R$2,F$6,F$5,$B27),"")</f>
        <v/>
      </c>
      <c r="G27" s="31" t="str">
        <f>IFERROR([1]!IntrinioBankFinancials(rssd_id,$R$2,G$6,G$5,$B27),"")</f>
        <v/>
      </c>
      <c r="H27" s="31" t="str">
        <f>IFERROR([1]!IntrinioBankFinancials(rssd_id,$R$2,H$6,H$5,$B27),"")</f>
        <v/>
      </c>
      <c r="I27" s="31" t="str">
        <f>IFERROR([1]!IntrinioBankFinancials(rssd_id,$R$2,I$6,I$5,$B27),"")</f>
        <v/>
      </c>
      <c r="J27" s="31" t="str">
        <f>IFERROR([1]!IntrinioBankFinancials(rssd_id,$R$2,J$6,J$5,$B27),"")</f>
        <v/>
      </c>
      <c r="K27" s="31" t="str">
        <f>IFERROR([1]!IntrinioBankFinancials(rssd_id,$R$2,K$6,K$5,$B27),"")</f>
        <v/>
      </c>
      <c r="L27" s="31" t="str">
        <f>IFERROR([1]!IntrinioBankFinancials(rssd_id,$R$2,L$6,L$5,$B27),"")</f>
        <v/>
      </c>
      <c r="M27" s="31" t="str">
        <f>IFERROR([1]!IntrinioBankFinancials(rssd_id,$R$2,M$6,M$5,$B27),"")</f>
        <v/>
      </c>
      <c r="N27" s="31" t="str">
        <f>IFERROR([1]!IntrinioBankFinancials(rssd_id,$R$2,N$6,N$5,$B27),"")</f>
        <v/>
      </c>
      <c r="O27" s="31" t="str">
        <f>IFERROR([1]!IntrinioBankFinancials(rssd_id,$R$2,O$6,O$5,$B27),"")</f>
        <v/>
      </c>
    </row>
    <row r="28" spans="1:15" ht="13.5" customHeight="1" x14ac:dyDescent="0.4">
      <c r="A28" s="34" t="s">
        <v>143</v>
      </c>
      <c r="B28" s="23" t="s">
        <v>228</v>
      </c>
      <c r="C28" s="31" t="str">
        <f>IFERROR([1]!IntrinioBankFinancials(rssd_id,$R$2,C$6,C$5,$B28),"")</f>
        <v/>
      </c>
      <c r="D28" s="31" t="str">
        <f>IFERROR([1]!IntrinioBankFinancials(rssd_id,$R$2,D$6,D$5,$B28),"")</f>
        <v/>
      </c>
      <c r="E28" s="31" t="str">
        <f>IFERROR([1]!IntrinioBankFinancials(rssd_id,$R$2,E$6,E$5,$B28),"")</f>
        <v/>
      </c>
      <c r="F28" s="31" t="str">
        <f>IFERROR([1]!IntrinioBankFinancials(rssd_id,$R$2,F$6,F$5,$B28),"")</f>
        <v/>
      </c>
      <c r="G28" s="31" t="str">
        <f>IFERROR([1]!IntrinioBankFinancials(rssd_id,$R$2,G$6,G$5,$B28),"")</f>
        <v/>
      </c>
      <c r="H28" s="31" t="str">
        <f>IFERROR([1]!IntrinioBankFinancials(rssd_id,$R$2,H$6,H$5,$B28),"")</f>
        <v/>
      </c>
      <c r="I28" s="31" t="str">
        <f>IFERROR([1]!IntrinioBankFinancials(rssd_id,$R$2,I$6,I$5,$B28),"")</f>
        <v/>
      </c>
      <c r="J28" s="31" t="str">
        <f>IFERROR([1]!IntrinioBankFinancials(rssd_id,$R$2,J$6,J$5,$B28),"")</f>
        <v/>
      </c>
      <c r="K28" s="31" t="str">
        <f>IFERROR([1]!IntrinioBankFinancials(rssd_id,$R$2,K$6,K$5,$B28),"")</f>
        <v/>
      </c>
      <c r="L28" s="31" t="str">
        <f>IFERROR([1]!IntrinioBankFinancials(rssd_id,$R$2,L$6,L$5,$B28),"")</f>
        <v/>
      </c>
      <c r="M28" s="31" t="str">
        <f>IFERROR([1]!IntrinioBankFinancials(rssd_id,$R$2,M$6,M$5,$B28),"")</f>
        <v/>
      </c>
      <c r="N28" s="31" t="str">
        <f>IFERROR([1]!IntrinioBankFinancials(rssd_id,$R$2,N$6,N$5,$B28),"")</f>
        <v/>
      </c>
      <c r="O28" s="31" t="str">
        <f>IFERROR([1]!IntrinioBankFinancials(rssd_id,$R$2,O$6,O$5,$B28),"")</f>
        <v/>
      </c>
    </row>
    <row r="29" spans="1:15" ht="13.5" customHeight="1" x14ac:dyDescent="0.4">
      <c r="A29" s="34" t="s">
        <v>145</v>
      </c>
      <c r="B29" s="23" t="s">
        <v>229</v>
      </c>
      <c r="C29" s="31" t="str">
        <f>IFERROR([1]!IntrinioBankFinancials(rssd_id,$R$2,C$6,C$5,$B29),"")</f>
        <v/>
      </c>
      <c r="D29" s="31" t="str">
        <f>IFERROR([1]!IntrinioBankFinancials(rssd_id,$R$2,D$6,D$5,$B29),"")</f>
        <v/>
      </c>
      <c r="E29" s="31" t="str">
        <f>IFERROR([1]!IntrinioBankFinancials(rssd_id,$R$2,E$6,E$5,$B29),"")</f>
        <v/>
      </c>
      <c r="F29" s="31" t="str">
        <f>IFERROR([1]!IntrinioBankFinancials(rssd_id,$R$2,F$6,F$5,$B29),"")</f>
        <v/>
      </c>
      <c r="G29" s="31" t="str">
        <f>IFERROR([1]!IntrinioBankFinancials(rssd_id,$R$2,G$6,G$5,$B29),"")</f>
        <v/>
      </c>
      <c r="H29" s="31" t="str">
        <f>IFERROR([1]!IntrinioBankFinancials(rssd_id,$R$2,H$6,H$5,$B29),"")</f>
        <v/>
      </c>
      <c r="I29" s="31" t="str">
        <f>IFERROR([1]!IntrinioBankFinancials(rssd_id,$R$2,I$6,I$5,$B29),"")</f>
        <v/>
      </c>
      <c r="J29" s="31" t="str">
        <f>IFERROR([1]!IntrinioBankFinancials(rssd_id,$R$2,J$6,J$5,$B29),"")</f>
        <v/>
      </c>
      <c r="K29" s="31" t="str">
        <f>IFERROR([1]!IntrinioBankFinancials(rssd_id,$R$2,K$6,K$5,$B29),"")</f>
        <v/>
      </c>
      <c r="L29" s="31" t="str">
        <f>IFERROR([1]!IntrinioBankFinancials(rssd_id,$R$2,L$6,L$5,$B29),"")</f>
        <v/>
      </c>
      <c r="M29" s="31" t="str">
        <f>IFERROR([1]!IntrinioBankFinancials(rssd_id,$R$2,M$6,M$5,$B29),"")</f>
        <v/>
      </c>
      <c r="N29" s="31" t="str">
        <f>IFERROR([1]!IntrinioBankFinancials(rssd_id,$R$2,N$6,N$5,$B29),"")</f>
        <v/>
      </c>
      <c r="O29" s="31" t="str">
        <f>IFERROR([1]!IntrinioBankFinancials(rssd_id,$R$2,O$6,O$5,$B29),"")</f>
        <v/>
      </c>
    </row>
    <row r="30" spans="1:15" ht="13.5" customHeight="1" x14ac:dyDescent="0.4">
      <c r="A30" s="34" t="s">
        <v>171</v>
      </c>
      <c r="B30" s="23" t="s">
        <v>230</v>
      </c>
      <c r="C30" s="31" t="str">
        <f>IFERROR([1]!IntrinioBankFinancials(rssd_id,$R$2,C$6,C$5,$B30),"")</f>
        <v/>
      </c>
      <c r="D30" s="31" t="str">
        <f>IFERROR([1]!IntrinioBankFinancials(rssd_id,$R$2,D$6,D$5,$B30),"")</f>
        <v/>
      </c>
      <c r="E30" s="31" t="str">
        <f>IFERROR([1]!IntrinioBankFinancials(rssd_id,$R$2,E$6,E$5,$B30),"")</f>
        <v/>
      </c>
      <c r="F30" s="31" t="str">
        <f>IFERROR([1]!IntrinioBankFinancials(rssd_id,$R$2,F$6,F$5,$B30),"")</f>
        <v/>
      </c>
      <c r="G30" s="31" t="str">
        <f>IFERROR([1]!IntrinioBankFinancials(rssd_id,$R$2,G$6,G$5,$B30),"")</f>
        <v/>
      </c>
      <c r="H30" s="31" t="str">
        <f>IFERROR([1]!IntrinioBankFinancials(rssd_id,$R$2,H$6,H$5,$B30),"")</f>
        <v/>
      </c>
      <c r="I30" s="31" t="str">
        <f>IFERROR([1]!IntrinioBankFinancials(rssd_id,$R$2,I$6,I$5,$B30),"")</f>
        <v/>
      </c>
      <c r="J30" s="31" t="str">
        <f>IFERROR([1]!IntrinioBankFinancials(rssd_id,$R$2,J$6,J$5,$B30),"")</f>
        <v/>
      </c>
      <c r="K30" s="31" t="str">
        <f>IFERROR([1]!IntrinioBankFinancials(rssd_id,$R$2,K$6,K$5,$B30),"")</f>
        <v/>
      </c>
      <c r="L30" s="31" t="str">
        <f>IFERROR([1]!IntrinioBankFinancials(rssd_id,$R$2,L$6,L$5,$B30),"")</f>
        <v/>
      </c>
      <c r="M30" s="31" t="str">
        <f>IFERROR([1]!IntrinioBankFinancials(rssd_id,$R$2,M$6,M$5,$B30),"")</f>
        <v/>
      </c>
      <c r="N30" s="31" t="str">
        <f>IFERROR([1]!IntrinioBankFinancials(rssd_id,$R$2,N$6,N$5,$B30),"")</f>
        <v/>
      </c>
      <c r="O30" s="31" t="str">
        <f>IFERROR([1]!IntrinioBankFinancials(rssd_id,$R$2,O$6,O$5,$B30),"")</f>
        <v/>
      </c>
    </row>
    <row r="31" spans="1:15" ht="13.5" customHeight="1" x14ac:dyDescent="0.4">
      <c r="A31" s="34" t="s">
        <v>173</v>
      </c>
      <c r="B31" s="23" t="s">
        <v>231</v>
      </c>
      <c r="C31" s="31" t="str">
        <f>IFERROR([1]!IntrinioBankFinancials(rssd_id,$R$2,C$6,C$5,$B31),"")</f>
        <v/>
      </c>
      <c r="D31" s="31" t="str">
        <f>IFERROR([1]!IntrinioBankFinancials(rssd_id,$R$2,D$6,D$5,$B31),"")</f>
        <v/>
      </c>
      <c r="E31" s="31" t="str">
        <f>IFERROR([1]!IntrinioBankFinancials(rssd_id,$R$2,E$6,E$5,$B31),"")</f>
        <v/>
      </c>
      <c r="F31" s="31" t="str">
        <f>IFERROR([1]!IntrinioBankFinancials(rssd_id,$R$2,F$6,F$5,$B31),"")</f>
        <v/>
      </c>
      <c r="G31" s="31" t="str">
        <f>IFERROR([1]!IntrinioBankFinancials(rssd_id,$R$2,G$6,G$5,$B31),"")</f>
        <v/>
      </c>
      <c r="H31" s="31" t="str">
        <f>IFERROR([1]!IntrinioBankFinancials(rssd_id,$R$2,H$6,H$5,$B31),"")</f>
        <v/>
      </c>
      <c r="I31" s="31" t="str">
        <f>IFERROR([1]!IntrinioBankFinancials(rssd_id,$R$2,I$6,I$5,$B31),"")</f>
        <v/>
      </c>
      <c r="J31" s="31" t="str">
        <f>IFERROR([1]!IntrinioBankFinancials(rssd_id,$R$2,J$6,J$5,$B31),"")</f>
        <v/>
      </c>
      <c r="K31" s="31" t="str">
        <f>IFERROR([1]!IntrinioBankFinancials(rssd_id,$R$2,K$6,K$5,$B31),"")</f>
        <v/>
      </c>
      <c r="L31" s="31" t="str">
        <f>IFERROR([1]!IntrinioBankFinancials(rssd_id,$R$2,L$6,L$5,$B31),"")</f>
        <v/>
      </c>
      <c r="M31" s="31" t="str">
        <f>IFERROR([1]!IntrinioBankFinancials(rssd_id,$R$2,M$6,M$5,$B31),"")</f>
        <v/>
      </c>
      <c r="N31" s="31" t="str">
        <f>IFERROR([1]!IntrinioBankFinancials(rssd_id,$R$2,N$6,N$5,$B31),"")</f>
        <v/>
      </c>
      <c r="O31" s="31" t="str">
        <f>IFERROR([1]!IntrinioBankFinancials(rssd_id,$R$2,O$6,O$5,$B31),"")</f>
        <v/>
      </c>
    </row>
    <row r="32" spans="1:15" ht="13.5" customHeight="1" x14ac:dyDescent="0.4">
      <c r="A32" s="34" t="s">
        <v>175</v>
      </c>
      <c r="B32" s="23" t="s">
        <v>232</v>
      </c>
      <c r="C32" s="31" t="str">
        <f>IFERROR([1]!IntrinioBankFinancials(rssd_id,$R$2,C$6,C$5,$B32),"")</f>
        <v/>
      </c>
      <c r="D32" s="31" t="str">
        <f>IFERROR([1]!IntrinioBankFinancials(rssd_id,$R$2,D$6,D$5,$B32),"")</f>
        <v/>
      </c>
      <c r="E32" s="31" t="str">
        <f>IFERROR([1]!IntrinioBankFinancials(rssd_id,$R$2,E$6,E$5,$B32),"")</f>
        <v/>
      </c>
      <c r="F32" s="31" t="str">
        <f>IFERROR([1]!IntrinioBankFinancials(rssd_id,$R$2,F$6,F$5,$B32),"")</f>
        <v/>
      </c>
      <c r="G32" s="31" t="str">
        <f>IFERROR([1]!IntrinioBankFinancials(rssd_id,$R$2,G$6,G$5,$B32),"")</f>
        <v/>
      </c>
      <c r="H32" s="31" t="str">
        <f>IFERROR([1]!IntrinioBankFinancials(rssd_id,$R$2,H$6,H$5,$B32),"")</f>
        <v/>
      </c>
      <c r="I32" s="31" t="str">
        <f>IFERROR([1]!IntrinioBankFinancials(rssd_id,$R$2,I$6,I$5,$B32),"")</f>
        <v/>
      </c>
      <c r="J32" s="31" t="str">
        <f>IFERROR([1]!IntrinioBankFinancials(rssd_id,$R$2,J$6,J$5,$B32),"")</f>
        <v/>
      </c>
      <c r="K32" s="31" t="str">
        <f>IFERROR([1]!IntrinioBankFinancials(rssd_id,$R$2,K$6,K$5,$B32),"")</f>
        <v/>
      </c>
      <c r="L32" s="31" t="str">
        <f>IFERROR([1]!IntrinioBankFinancials(rssd_id,$R$2,L$6,L$5,$B32),"")</f>
        <v/>
      </c>
      <c r="M32" s="31" t="str">
        <f>IFERROR([1]!IntrinioBankFinancials(rssd_id,$R$2,M$6,M$5,$B32),"")</f>
        <v/>
      </c>
      <c r="N32" s="31" t="str">
        <f>IFERROR([1]!IntrinioBankFinancials(rssd_id,$R$2,N$6,N$5,$B32),"")</f>
        <v/>
      </c>
      <c r="O32" s="31" t="str">
        <f>IFERROR([1]!IntrinioBankFinancials(rssd_id,$R$2,O$6,O$5,$B32),"")</f>
        <v/>
      </c>
    </row>
    <row r="33" spans="1:15" ht="13.5" customHeight="1" x14ac:dyDescent="0.4">
      <c r="A33" s="34" t="s">
        <v>177</v>
      </c>
      <c r="B33" s="23" t="s">
        <v>233</v>
      </c>
      <c r="C33" s="31" t="str">
        <f>IFERROR([1]!IntrinioBankFinancials(rssd_id,$R$2,C$6,C$5,$B33),"")</f>
        <v/>
      </c>
      <c r="D33" s="31" t="str">
        <f>IFERROR([1]!IntrinioBankFinancials(rssd_id,$R$2,D$6,D$5,$B33),"")</f>
        <v/>
      </c>
      <c r="E33" s="31" t="str">
        <f>IFERROR([1]!IntrinioBankFinancials(rssd_id,$R$2,E$6,E$5,$B33),"")</f>
        <v/>
      </c>
      <c r="F33" s="31" t="str">
        <f>IFERROR([1]!IntrinioBankFinancials(rssd_id,$R$2,F$6,F$5,$B33),"")</f>
        <v/>
      </c>
      <c r="G33" s="31" t="str">
        <f>IFERROR([1]!IntrinioBankFinancials(rssd_id,$R$2,G$6,G$5,$B33),"")</f>
        <v/>
      </c>
      <c r="H33" s="31" t="str">
        <f>IFERROR([1]!IntrinioBankFinancials(rssd_id,$R$2,H$6,H$5,$B33),"")</f>
        <v/>
      </c>
      <c r="I33" s="31" t="str">
        <f>IFERROR([1]!IntrinioBankFinancials(rssd_id,$R$2,I$6,I$5,$B33),"")</f>
        <v/>
      </c>
      <c r="J33" s="31" t="str">
        <f>IFERROR([1]!IntrinioBankFinancials(rssd_id,$R$2,J$6,J$5,$B33),"")</f>
        <v/>
      </c>
      <c r="K33" s="31" t="str">
        <f>IFERROR([1]!IntrinioBankFinancials(rssd_id,$R$2,K$6,K$5,$B33),"")</f>
        <v/>
      </c>
      <c r="L33" s="31" t="str">
        <f>IFERROR([1]!IntrinioBankFinancials(rssd_id,$R$2,L$6,L$5,$B33),"")</f>
        <v/>
      </c>
      <c r="M33" s="31" t="str">
        <f>IFERROR([1]!IntrinioBankFinancials(rssd_id,$R$2,M$6,M$5,$B33),"")</f>
        <v/>
      </c>
      <c r="N33" s="31" t="str">
        <f>IFERROR([1]!IntrinioBankFinancials(rssd_id,$R$2,N$6,N$5,$B33),"")</f>
        <v/>
      </c>
      <c r="O33" s="31" t="str">
        <f>IFERROR([1]!IntrinioBankFinancials(rssd_id,$R$2,O$6,O$5,$B33),"")</f>
        <v/>
      </c>
    </row>
    <row r="34" spans="1:15" ht="13.5" customHeight="1" x14ac:dyDescent="0.4">
      <c r="A34" s="34" t="s">
        <v>179</v>
      </c>
      <c r="B34" s="23" t="s">
        <v>234</v>
      </c>
      <c r="C34" s="31" t="str">
        <f>IFERROR([1]!IntrinioBankFinancials(rssd_id,$R$2,C$6,C$5,$B34),"")</f>
        <v/>
      </c>
      <c r="D34" s="31" t="str">
        <f>IFERROR([1]!IntrinioBankFinancials(rssd_id,$R$2,D$6,D$5,$B34),"")</f>
        <v/>
      </c>
      <c r="E34" s="31" t="str">
        <f>IFERROR([1]!IntrinioBankFinancials(rssd_id,$R$2,E$6,E$5,$B34),"")</f>
        <v/>
      </c>
      <c r="F34" s="31" t="str">
        <f>IFERROR([1]!IntrinioBankFinancials(rssd_id,$R$2,F$6,F$5,$B34),"")</f>
        <v/>
      </c>
      <c r="G34" s="31" t="str">
        <f>IFERROR([1]!IntrinioBankFinancials(rssd_id,$R$2,G$6,G$5,$B34),"")</f>
        <v/>
      </c>
      <c r="H34" s="31" t="str">
        <f>IFERROR([1]!IntrinioBankFinancials(rssd_id,$R$2,H$6,H$5,$B34),"")</f>
        <v/>
      </c>
      <c r="I34" s="31" t="str">
        <f>IFERROR([1]!IntrinioBankFinancials(rssd_id,$R$2,I$6,I$5,$B34),"")</f>
        <v/>
      </c>
      <c r="J34" s="31" t="str">
        <f>IFERROR([1]!IntrinioBankFinancials(rssd_id,$R$2,J$6,J$5,$B34),"")</f>
        <v/>
      </c>
      <c r="K34" s="31" t="str">
        <f>IFERROR([1]!IntrinioBankFinancials(rssd_id,$R$2,K$6,K$5,$B34),"")</f>
        <v/>
      </c>
      <c r="L34" s="31" t="str">
        <f>IFERROR([1]!IntrinioBankFinancials(rssd_id,$R$2,L$6,L$5,$B34),"")</f>
        <v/>
      </c>
      <c r="M34" s="31" t="str">
        <f>IFERROR([1]!IntrinioBankFinancials(rssd_id,$R$2,M$6,M$5,$B34),"")</f>
        <v/>
      </c>
      <c r="N34" s="31" t="str">
        <f>IFERROR([1]!IntrinioBankFinancials(rssd_id,$R$2,N$6,N$5,$B34),"")</f>
        <v/>
      </c>
      <c r="O34" s="31" t="str">
        <f>IFERROR([1]!IntrinioBankFinancials(rssd_id,$R$2,O$6,O$5,$B34),"")</f>
        <v/>
      </c>
    </row>
    <row r="35" spans="1:15" s="22" customFormat="1" ht="13.5" customHeight="1" x14ac:dyDescent="0.4">
      <c r="A35" s="33"/>
      <c r="B35" s="20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</row>
    <row r="36" spans="1:15" s="22" customFormat="1" ht="13.5" customHeight="1" x14ac:dyDescent="0.4">
      <c r="A36" s="33" t="s">
        <v>265</v>
      </c>
      <c r="B36" s="20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</row>
    <row r="37" spans="1:15" ht="13.5" customHeight="1" x14ac:dyDescent="0.4">
      <c r="A37" s="34" t="s">
        <v>181</v>
      </c>
      <c r="B37" s="23" t="s">
        <v>235</v>
      </c>
      <c r="C37" s="31" t="str">
        <f>IFERROR([1]!IntrinioBankFinancials(rssd_id,$R$2,C$6,C$5,$B37),"")</f>
        <v/>
      </c>
      <c r="D37" s="31" t="str">
        <f>IFERROR([1]!IntrinioBankFinancials(rssd_id,$R$2,D$6,D$5,$B37),"")</f>
        <v/>
      </c>
      <c r="E37" s="31" t="str">
        <f>IFERROR([1]!IntrinioBankFinancials(rssd_id,$R$2,E$6,E$5,$B37),"")</f>
        <v/>
      </c>
      <c r="F37" s="31" t="str">
        <f>IFERROR([1]!IntrinioBankFinancials(rssd_id,$R$2,F$6,F$5,$B37),"")</f>
        <v/>
      </c>
      <c r="G37" s="31" t="str">
        <f>IFERROR([1]!IntrinioBankFinancials(rssd_id,$R$2,G$6,G$5,$B37),"")</f>
        <v/>
      </c>
      <c r="H37" s="31" t="str">
        <f>IFERROR([1]!IntrinioBankFinancials(rssd_id,$R$2,H$6,H$5,$B37),"")</f>
        <v/>
      </c>
      <c r="I37" s="31" t="str">
        <f>IFERROR([1]!IntrinioBankFinancials(rssd_id,$R$2,I$6,I$5,$B37),"")</f>
        <v/>
      </c>
      <c r="J37" s="31" t="str">
        <f>IFERROR([1]!IntrinioBankFinancials(rssd_id,$R$2,J$6,J$5,$B37),"")</f>
        <v/>
      </c>
      <c r="K37" s="31" t="str">
        <f>IFERROR([1]!IntrinioBankFinancials(rssd_id,$R$2,K$6,K$5,$B37),"")</f>
        <v/>
      </c>
      <c r="L37" s="31" t="str">
        <f>IFERROR([1]!IntrinioBankFinancials(rssd_id,$R$2,L$6,L$5,$B37),"")</f>
        <v/>
      </c>
      <c r="M37" s="31" t="str">
        <f>IFERROR([1]!IntrinioBankFinancials(rssd_id,$R$2,M$6,M$5,$B37),"")</f>
        <v/>
      </c>
      <c r="N37" s="31" t="str">
        <f>IFERROR([1]!IntrinioBankFinancials(rssd_id,$R$2,N$6,N$5,$B37),"")</f>
        <v/>
      </c>
      <c r="O37" s="31" t="str">
        <f>IFERROR([1]!IntrinioBankFinancials(rssd_id,$R$2,O$6,O$5,$B37),"")</f>
        <v/>
      </c>
    </row>
    <row r="38" spans="1:15" ht="13.5" customHeight="1" x14ac:dyDescent="0.4">
      <c r="A38" s="34" t="s">
        <v>183</v>
      </c>
      <c r="B38" s="23" t="s">
        <v>236</v>
      </c>
      <c r="C38" s="31" t="str">
        <f>IFERROR([1]!IntrinioBankFinancials(rssd_id,$R$2,C$6,C$5,$B38),"")</f>
        <v/>
      </c>
      <c r="D38" s="31" t="str">
        <f>IFERROR([1]!IntrinioBankFinancials(rssd_id,$R$2,D$6,D$5,$B38),"")</f>
        <v/>
      </c>
      <c r="E38" s="31" t="str">
        <f>IFERROR([1]!IntrinioBankFinancials(rssd_id,$R$2,E$6,E$5,$B38),"")</f>
        <v/>
      </c>
      <c r="F38" s="31" t="str">
        <f>IFERROR([1]!IntrinioBankFinancials(rssd_id,$R$2,F$6,F$5,$B38),"")</f>
        <v/>
      </c>
      <c r="G38" s="31" t="str">
        <f>IFERROR([1]!IntrinioBankFinancials(rssd_id,$R$2,G$6,G$5,$B38),"")</f>
        <v/>
      </c>
      <c r="H38" s="31" t="str">
        <f>IFERROR([1]!IntrinioBankFinancials(rssd_id,$R$2,H$6,H$5,$B38),"")</f>
        <v/>
      </c>
      <c r="I38" s="31" t="str">
        <f>IFERROR([1]!IntrinioBankFinancials(rssd_id,$R$2,I$6,I$5,$B38),"")</f>
        <v/>
      </c>
      <c r="J38" s="31" t="str">
        <f>IFERROR([1]!IntrinioBankFinancials(rssd_id,$R$2,J$6,J$5,$B38),"")</f>
        <v/>
      </c>
      <c r="K38" s="31" t="str">
        <f>IFERROR([1]!IntrinioBankFinancials(rssd_id,$R$2,K$6,K$5,$B38),"")</f>
        <v/>
      </c>
      <c r="L38" s="31" t="str">
        <f>IFERROR([1]!IntrinioBankFinancials(rssd_id,$R$2,L$6,L$5,$B38),"")</f>
        <v/>
      </c>
      <c r="M38" s="31" t="str">
        <f>IFERROR([1]!IntrinioBankFinancials(rssd_id,$R$2,M$6,M$5,$B38),"")</f>
        <v/>
      </c>
      <c r="N38" s="31" t="str">
        <f>IFERROR([1]!IntrinioBankFinancials(rssd_id,$R$2,N$6,N$5,$B38),"")</f>
        <v/>
      </c>
      <c r="O38" s="31" t="str">
        <f>IFERROR([1]!IntrinioBankFinancials(rssd_id,$R$2,O$6,O$5,$B38),"")</f>
        <v/>
      </c>
    </row>
    <row r="39" spans="1:15" ht="13.5" customHeight="1" x14ac:dyDescent="0.4">
      <c r="A39" s="34" t="s">
        <v>237</v>
      </c>
      <c r="B39" s="23" t="s">
        <v>238</v>
      </c>
      <c r="C39" s="31" t="str">
        <f>IFERROR([1]!IntrinioBankFinancials(rssd_id,$R$2,C$6,C$5,$B39),"")</f>
        <v/>
      </c>
      <c r="D39" s="31" t="str">
        <f>IFERROR([1]!IntrinioBankFinancials(rssd_id,$R$2,D$6,D$5,$B39),"")</f>
        <v/>
      </c>
      <c r="E39" s="31" t="str">
        <f>IFERROR([1]!IntrinioBankFinancials(rssd_id,$R$2,E$6,E$5,$B39),"")</f>
        <v/>
      </c>
      <c r="F39" s="31" t="str">
        <f>IFERROR([1]!IntrinioBankFinancials(rssd_id,$R$2,F$6,F$5,$B39),"")</f>
        <v/>
      </c>
      <c r="G39" s="31" t="str">
        <f>IFERROR([1]!IntrinioBankFinancials(rssd_id,$R$2,G$6,G$5,$B39),"")</f>
        <v/>
      </c>
      <c r="H39" s="31" t="str">
        <f>IFERROR([1]!IntrinioBankFinancials(rssd_id,$R$2,H$6,H$5,$B39),"")</f>
        <v/>
      </c>
      <c r="I39" s="31" t="str">
        <f>IFERROR([1]!IntrinioBankFinancials(rssd_id,$R$2,I$6,I$5,$B39),"")</f>
        <v/>
      </c>
      <c r="J39" s="31" t="str">
        <f>IFERROR([1]!IntrinioBankFinancials(rssd_id,$R$2,J$6,J$5,$B39),"")</f>
        <v/>
      </c>
      <c r="K39" s="31" t="str">
        <f>IFERROR([1]!IntrinioBankFinancials(rssd_id,$R$2,K$6,K$5,$B39),"")</f>
        <v/>
      </c>
      <c r="L39" s="31" t="str">
        <f>IFERROR([1]!IntrinioBankFinancials(rssd_id,$R$2,L$6,L$5,$B39),"")</f>
        <v/>
      </c>
      <c r="M39" s="31" t="str">
        <f>IFERROR([1]!IntrinioBankFinancials(rssd_id,$R$2,M$6,M$5,$B39),"")</f>
        <v/>
      </c>
      <c r="N39" s="31" t="str">
        <f>IFERROR([1]!IntrinioBankFinancials(rssd_id,$R$2,N$6,N$5,$B39),"")</f>
        <v/>
      </c>
      <c r="O39" s="31" t="str">
        <f>IFERROR([1]!IntrinioBankFinancials(rssd_id,$R$2,O$6,O$5,$B39),"")</f>
        <v/>
      </c>
    </row>
    <row r="40" spans="1:15" ht="13.5" customHeight="1" x14ac:dyDescent="0.4">
      <c r="A40" s="34" t="s">
        <v>239</v>
      </c>
      <c r="B40" s="23" t="s">
        <v>240</v>
      </c>
      <c r="C40" s="31" t="str">
        <f>IFERROR([1]!IntrinioBankFinancials(rssd_id,$R$2,C$6,C$5,$B40),"")</f>
        <v/>
      </c>
      <c r="D40" s="31" t="str">
        <f>IFERROR([1]!IntrinioBankFinancials(rssd_id,$R$2,D$6,D$5,$B40),"")</f>
        <v/>
      </c>
      <c r="E40" s="31" t="str">
        <f>IFERROR([1]!IntrinioBankFinancials(rssd_id,$R$2,E$6,E$5,$B40),"")</f>
        <v/>
      </c>
      <c r="F40" s="31" t="str">
        <f>IFERROR([1]!IntrinioBankFinancials(rssd_id,$R$2,F$6,F$5,$B40),"")</f>
        <v/>
      </c>
      <c r="G40" s="31" t="str">
        <f>IFERROR([1]!IntrinioBankFinancials(rssd_id,$R$2,G$6,G$5,$B40),"")</f>
        <v/>
      </c>
      <c r="H40" s="31" t="str">
        <f>IFERROR([1]!IntrinioBankFinancials(rssd_id,$R$2,H$6,H$5,$B40),"")</f>
        <v/>
      </c>
      <c r="I40" s="31" t="str">
        <f>IFERROR([1]!IntrinioBankFinancials(rssd_id,$R$2,I$6,I$5,$B40),"")</f>
        <v/>
      </c>
      <c r="J40" s="31" t="str">
        <f>IFERROR([1]!IntrinioBankFinancials(rssd_id,$R$2,J$6,J$5,$B40),"")</f>
        <v/>
      </c>
      <c r="K40" s="31" t="str">
        <f>IFERROR([1]!IntrinioBankFinancials(rssd_id,$R$2,K$6,K$5,$B40),"")</f>
        <v/>
      </c>
      <c r="L40" s="31" t="str">
        <f>IFERROR([1]!IntrinioBankFinancials(rssd_id,$R$2,L$6,L$5,$B40),"")</f>
        <v/>
      </c>
      <c r="M40" s="31" t="str">
        <f>IFERROR([1]!IntrinioBankFinancials(rssd_id,$R$2,M$6,M$5,$B40),"")</f>
        <v/>
      </c>
      <c r="N40" s="31" t="str">
        <f>IFERROR([1]!IntrinioBankFinancials(rssd_id,$R$2,N$6,N$5,$B40),"")</f>
        <v/>
      </c>
      <c r="O40" s="31" t="str">
        <f>IFERROR([1]!IntrinioBankFinancials(rssd_id,$R$2,O$6,O$5,$B40),"")</f>
        <v/>
      </c>
    </row>
    <row r="41" spans="1:15" ht="13.5" customHeight="1" x14ac:dyDescent="0.4">
      <c r="A41" s="34" t="s">
        <v>241</v>
      </c>
      <c r="B41" s="23" t="s">
        <v>242</v>
      </c>
      <c r="C41" s="31" t="str">
        <f>IFERROR([1]!IntrinioBankFinancials(rssd_id,$R$2,C$6,C$5,$B41),"")</f>
        <v/>
      </c>
      <c r="D41" s="31" t="str">
        <f>IFERROR([1]!IntrinioBankFinancials(rssd_id,$R$2,D$6,D$5,$B41),"")</f>
        <v/>
      </c>
      <c r="E41" s="31" t="str">
        <f>IFERROR([1]!IntrinioBankFinancials(rssd_id,$R$2,E$6,E$5,$B41),"")</f>
        <v/>
      </c>
      <c r="F41" s="31" t="str">
        <f>IFERROR([1]!IntrinioBankFinancials(rssd_id,$R$2,F$6,F$5,$B41),"")</f>
        <v/>
      </c>
      <c r="G41" s="31" t="str">
        <f>IFERROR([1]!IntrinioBankFinancials(rssd_id,$R$2,G$6,G$5,$B41),"")</f>
        <v/>
      </c>
      <c r="H41" s="31" t="str">
        <f>IFERROR([1]!IntrinioBankFinancials(rssd_id,$R$2,H$6,H$5,$B41),"")</f>
        <v/>
      </c>
      <c r="I41" s="31" t="str">
        <f>IFERROR([1]!IntrinioBankFinancials(rssd_id,$R$2,I$6,I$5,$B41),"")</f>
        <v/>
      </c>
      <c r="J41" s="31" t="str">
        <f>IFERROR([1]!IntrinioBankFinancials(rssd_id,$R$2,J$6,J$5,$B41),"")</f>
        <v/>
      </c>
      <c r="K41" s="31" t="str">
        <f>IFERROR([1]!IntrinioBankFinancials(rssd_id,$R$2,K$6,K$5,$B41),"")</f>
        <v/>
      </c>
      <c r="L41" s="31" t="str">
        <f>IFERROR([1]!IntrinioBankFinancials(rssd_id,$R$2,L$6,L$5,$B41),"")</f>
        <v/>
      </c>
      <c r="M41" s="31" t="str">
        <f>IFERROR([1]!IntrinioBankFinancials(rssd_id,$R$2,M$6,M$5,$B41),"")</f>
        <v/>
      </c>
      <c r="N41" s="31" t="str">
        <f>IFERROR([1]!IntrinioBankFinancials(rssd_id,$R$2,N$6,N$5,$B41),"")</f>
        <v/>
      </c>
      <c r="O41" s="31" t="str">
        <f>IFERROR([1]!IntrinioBankFinancials(rssd_id,$R$2,O$6,O$5,$B41),"")</f>
        <v/>
      </c>
    </row>
    <row r="42" spans="1:15" ht="13.5" customHeight="1" x14ac:dyDescent="0.4">
      <c r="A42" s="34" t="s">
        <v>243</v>
      </c>
      <c r="B42" s="23" t="s">
        <v>244</v>
      </c>
      <c r="C42" s="31" t="str">
        <f>IFERROR([1]!IntrinioBankFinancials(rssd_id,$R$2,C$6,C$5,$B42),"")</f>
        <v/>
      </c>
      <c r="D42" s="31" t="str">
        <f>IFERROR([1]!IntrinioBankFinancials(rssd_id,$R$2,D$6,D$5,$B42),"")</f>
        <v/>
      </c>
      <c r="E42" s="31" t="str">
        <f>IFERROR([1]!IntrinioBankFinancials(rssd_id,$R$2,E$6,E$5,$B42),"")</f>
        <v/>
      </c>
      <c r="F42" s="31" t="str">
        <f>IFERROR([1]!IntrinioBankFinancials(rssd_id,$R$2,F$6,F$5,$B42),"")</f>
        <v/>
      </c>
      <c r="G42" s="31" t="str">
        <f>IFERROR([1]!IntrinioBankFinancials(rssd_id,$R$2,G$6,G$5,$B42),"")</f>
        <v/>
      </c>
      <c r="H42" s="31" t="str">
        <f>IFERROR([1]!IntrinioBankFinancials(rssd_id,$R$2,H$6,H$5,$B42),"")</f>
        <v/>
      </c>
      <c r="I42" s="31" t="str">
        <f>IFERROR([1]!IntrinioBankFinancials(rssd_id,$R$2,I$6,I$5,$B42),"")</f>
        <v/>
      </c>
      <c r="J42" s="31" t="str">
        <f>IFERROR([1]!IntrinioBankFinancials(rssd_id,$R$2,J$6,J$5,$B42),"")</f>
        <v/>
      </c>
      <c r="K42" s="31" t="str">
        <f>IFERROR([1]!IntrinioBankFinancials(rssd_id,$R$2,K$6,K$5,$B42),"")</f>
        <v/>
      </c>
      <c r="L42" s="31" t="str">
        <f>IFERROR([1]!IntrinioBankFinancials(rssd_id,$R$2,L$6,L$5,$B42),"")</f>
        <v/>
      </c>
      <c r="M42" s="31" t="str">
        <f>IFERROR([1]!IntrinioBankFinancials(rssd_id,$R$2,M$6,M$5,$B42),"")</f>
        <v/>
      </c>
      <c r="N42" s="31" t="str">
        <f>IFERROR([1]!IntrinioBankFinancials(rssd_id,$R$2,N$6,N$5,$B42),"")</f>
        <v/>
      </c>
      <c r="O42" s="31" t="str">
        <f>IFERROR([1]!IntrinioBankFinancials(rssd_id,$R$2,O$6,O$5,$B42),"")</f>
        <v/>
      </c>
    </row>
    <row r="43" spans="1:15" ht="13.5" customHeight="1" x14ac:dyDescent="0.4">
      <c r="A43" s="34" t="s">
        <v>245</v>
      </c>
      <c r="B43" s="23" t="s">
        <v>246</v>
      </c>
      <c r="C43" s="31" t="str">
        <f>IFERROR([1]!IntrinioBankFinancials(rssd_id,$R$2,C$6,C$5,$B43),"")</f>
        <v/>
      </c>
      <c r="D43" s="31" t="str">
        <f>IFERROR([1]!IntrinioBankFinancials(rssd_id,$R$2,D$6,D$5,$B43),"")</f>
        <v/>
      </c>
      <c r="E43" s="31" t="str">
        <f>IFERROR([1]!IntrinioBankFinancials(rssd_id,$R$2,E$6,E$5,$B43),"")</f>
        <v/>
      </c>
      <c r="F43" s="31" t="str">
        <f>IFERROR([1]!IntrinioBankFinancials(rssd_id,$R$2,F$6,F$5,$B43),"")</f>
        <v/>
      </c>
      <c r="G43" s="31" t="str">
        <f>IFERROR([1]!IntrinioBankFinancials(rssd_id,$R$2,G$6,G$5,$B43),"")</f>
        <v/>
      </c>
      <c r="H43" s="31" t="str">
        <f>IFERROR([1]!IntrinioBankFinancials(rssd_id,$R$2,H$6,H$5,$B43),"")</f>
        <v/>
      </c>
      <c r="I43" s="31" t="str">
        <f>IFERROR([1]!IntrinioBankFinancials(rssd_id,$R$2,I$6,I$5,$B43),"")</f>
        <v/>
      </c>
      <c r="J43" s="31" t="str">
        <f>IFERROR([1]!IntrinioBankFinancials(rssd_id,$R$2,J$6,J$5,$B43),"")</f>
        <v/>
      </c>
      <c r="K43" s="31" t="str">
        <f>IFERROR([1]!IntrinioBankFinancials(rssd_id,$R$2,K$6,K$5,$B43),"")</f>
        <v/>
      </c>
      <c r="L43" s="31" t="str">
        <f>IFERROR([1]!IntrinioBankFinancials(rssd_id,$R$2,L$6,L$5,$B43),"")</f>
        <v/>
      </c>
      <c r="M43" s="31" t="str">
        <f>IFERROR([1]!IntrinioBankFinancials(rssd_id,$R$2,M$6,M$5,$B43),"")</f>
        <v/>
      </c>
      <c r="N43" s="31" t="str">
        <f>IFERROR([1]!IntrinioBankFinancials(rssd_id,$R$2,N$6,N$5,$B43),"")</f>
        <v/>
      </c>
      <c r="O43" s="31" t="str">
        <f>IFERROR([1]!IntrinioBankFinancials(rssd_id,$R$2,O$6,O$5,$B43),"")</f>
        <v/>
      </c>
    </row>
    <row r="44" spans="1:15" ht="13.5" customHeight="1" x14ac:dyDescent="0.4">
      <c r="A44" s="34" t="s">
        <v>247</v>
      </c>
      <c r="B44" s="23" t="s">
        <v>248</v>
      </c>
      <c r="C44" s="31" t="str">
        <f>IFERROR([1]!IntrinioBankFinancials(rssd_id,$R$2,C$6,C$5,$B44),"")</f>
        <v/>
      </c>
      <c r="D44" s="31" t="str">
        <f>IFERROR([1]!IntrinioBankFinancials(rssd_id,$R$2,D$6,D$5,$B44),"")</f>
        <v/>
      </c>
      <c r="E44" s="31" t="str">
        <f>IFERROR([1]!IntrinioBankFinancials(rssd_id,$R$2,E$6,E$5,$B44),"")</f>
        <v/>
      </c>
      <c r="F44" s="31" t="str">
        <f>IFERROR([1]!IntrinioBankFinancials(rssd_id,$R$2,F$6,F$5,$B44),"")</f>
        <v/>
      </c>
      <c r="G44" s="31" t="str">
        <f>IFERROR([1]!IntrinioBankFinancials(rssd_id,$R$2,G$6,G$5,$B44),"")</f>
        <v/>
      </c>
      <c r="H44" s="31" t="str">
        <f>IFERROR([1]!IntrinioBankFinancials(rssd_id,$R$2,H$6,H$5,$B44),"")</f>
        <v/>
      </c>
      <c r="I44" s="31" t="str">
        <f>IFERROR([1]!IntrinioBankFinancials(rssd_id,$R$2,I$6,I$5,$B44),"")</f>
        <v/>
      </c>
      <c r="J44" s="31" t="str">
        <f>IFERROR([1]!IntrinioBankFinancials(rssd_id,$R$2,J$6,J$5,$B44),"")</f>
        <v/>
      </c>
      <c r="K44" s="31" t="str">
        <f>IFERROR([1]!IntrinioBankFinancials(rssd_id,$R$2,K$6,K$5,$B44),"")</f>
        <v/>
      </c>
      <c r="L44" s="31" t="str">
        <f>IFERROR([1]!IntrinioBankFinancials(rssd_id,$R$2,L$6,L$5,$B44),"")</f>
        <v/>
      </c>
      <c r="M44" s="31" t="str">
        <f>IFERROR([1]!IntrinioBankFinancials(rssd_id,$R$2,M$6,M$5,$B44),"")</f>
        <v/>
      </c>
      <c r="N44" s="31" t="str">
        <f>IFERROR([1]!IntrinioBankFinancials(rssd_id,$R$2,N$6,N$5,$B44),"")</f>
        <v/>
      </c>
      <c r="O44" s="31" t="str">
        <f>IFERROR([1]!IntrinioBankFinancials(rssd_id,$R$2,O$6,O$5,$B44),"")</f>
        <v/>
      </c>
    </row>
    <row r="45" spans="1:15" ht="13.5" customHeight="1" x14ac:dyDescent="0.4">
      <c r="A45" s="34" t="s">
        <v>249</v>
      </c>
      <c r="B45" s="23" t="s">
        <v>250</v>
      </c>
      <c r="C45" s="31" t="str">
        <f>IFERROR([1]!IntrinioBankFinancials(rssd_id,$R$2,C$6,C$5,$B45),"")</f>
        <v/>
      </c>
      <c r="D45" s="31" t="str">
        <f>IFERROR([1]!IntrinioBankFinancials(rssd_id,$R$2,D$6,D$5,$B45),"")</f>
        <v/>
      </c>
      <c r="E45" s="31" t="str">
        <f>IFERROR([1]!IntrinioBankFinancials(rssd_id,$R$2,E$6,E$5,$B45),"")</f>
        <v/>
      </c>
      <c r="F45" s="31" t="str">
        <f>IFERROR([1]!IntrinioBankFinancials(rssd_id,$R$2,F$6,F$5,$B45),"")</f>
        <v/>
      </c>
      <c r="G45" s="31" t="str">
        <f>IFERROR([1]!IntrinioBankFinancials(rssd_id,$R$2,G$6,G$5,$B45),"")</f>
        <v/>
      </c>
      <c r="H45" s="31" t="str">
        <f>IFERROR([1]!IntrinioBankFinancials(rssd_id,$R$2,H$6,H$5,$B45),"")</f>
        <v/>
      </c>
      <c r="I45" s="31" t="str">
        <f>IFERROR([1]!IntrinioBankFinancials(rssd_id,$R$2,I$6,I$5,$B45),"")</f>
        <v/>
      </c>
      <c r="J45" s="31" t="str">
        <f>IFERROR([1]!IntrinioBankFinancials(rssd_id,$R$2,J$6,J$5,$B45),"")</f>
        <v/>
      </c>
      <c r="K45" s="31" t="str">
        <f>IFERROR([1]!IntrinioBankFinancials(rssd_id,$R$2,K$6,K$5,$B45),"")</f>
        <v/>
      </c>
      <c r="L45" s="31" t="str">
        <f>IFERROR([1]!IntrinioBankFinancials(rssd_id,$R$2,L$6,L$5,$B45),"")</f>
        <v/>
      </c>
      <c r="M45" s="31" t="str">
        <f>IFERROR([1]!IntrinioBankFinancials(rssd_id,$R$2,M$6,M$5,$B45),"")</f>
        <v/>
      </c>
      <c r="N45" s="31" t="str">
        <f>IFERROR([1]!IntrinioBankFinancials(rssd_id,$R$2,N$6,N$5,$B45),"")</f>
        <v/>
      </c>
      <c r="O45" s="31" t="str">
        <f>IFERROR([1]!IntrinioBankFinancials(rssd_id,$R$2,O$6,O$5,$B45),"")</f>
        <v/>
      </c>
    </row>
    <row r="46" spans="1:15" s="22" customFormat="1" ht="13.5" customHeight="1" x14ac:dyDescent="0.4">
      <c r="A46" s="33"/>
      <c r="B46" s="20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</row>
    <row r="47" spans="1:15" s="22" customFormat="1" ht="13.5" customHeight="1" x14ac:dyDescent="0.4">
      <c r="A47" s="33" t="s">
        <v>266</v>
      </c>
      <c r="B47" s="20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</row>
    <row r="48" spans="1:15" ht="13.5" customHeight="1" x14ac:dyDescent="0.4">
      <c r="A48" s="34" t="s">
        <v>194</v>
      </c>
      <c r="B48" s="23" t="s">
        <v>251</v>
      </c>
      <c r="C48" s="31" t="str">
        <f>IFERROR([1]!IntrinioBankFinancials(rssd_id,$R$2,C$6,C$5,$B48),"")</f>
        <v/>
      </c>
      <c r="D48" s="31" t="str">
        <f>IFERROR([1]!IntrinioBankFinancials(rssd_id,$R$2,D$6,D$5,$B48),"")</f>
        <v/>
      </c>
      <c r="E48" s="31" t="str">
        <f>IFERROR([1]!IntrinioBankFinancials(rssd_id,$R$2,E$6,E$5,$B48),"")</f>
        <v/>
      </c>
      <c r="F48" s="31" t="str">
        <f>IFERROR([1]!IntrinioBankFinancials(rssd_id,$R$2,F$6,F$5,$B48),"")</f>
        <v/>
      </c>
      <c r="G48" s="31" t="str">
        <f>IFERROR([1]!IntrinioBankFinancials(rssd_id,$R$2,G$6,G$5,$B48),"")</f>
        <v/>
      </c>
      <c r="H48" s="31" t="str">
        <f>IFERROR([1]!IntrinioBankFinancials(rssd_id,$R$2,H$6,H$5,$B48),"")</f>
        <v/>
      </c>
      <c r="I48" s="31" t="str">
        <f>IFERROR([1]!IntrinioBankFinancials(rssd_id,$R$2,I$6,I$5,$B48),"")</f>
        <v/>
      </c>
      <c r="J48" s="31" t="str">
        <f>IFERROR([1]!IntrinioBankFinancials(rssd_id,$R$2,J$6,J$5,$B48),"")</f>
        <v/>
      </c>
      <c r="K48" s="31" t="str">
        <f>IFERROR([1]!IntrinioBankFinancials(rssd_id,$R$2,K$6,K$5,$B48),"")</f>
        <v/>
      </c>
      <c r="L48" s="31" t="str">
        <f>IFERROR([1]!IntrinioBankFinancials(rssd_id,$R$2,L$6,L$5,$B48),"")</f>
        <v/>
      </c>
      <c r="M48" s="31" t="str">
        <f>IFERROR([1]!IntrinioBankFinancials(rssd_id,$R$2,M$6,M$5,$B48),"")</f>
        <v/>
      </c>
      <c r="N48" s="31" t="str">
        <f>IFERROR([1]!IntrinioBankFinancials(rssd_id,$R$2,N$6,N$5,$B48),"")</f>
        <v/>
      </c>
      <c r="O48" s="31" t="str">
        <f>IFERROR([1]!IntrinioBankFinancials(rssd_id,$R$2,O$6,O$5,$B48),"")</f>
        <v/>
      </c>
    </row>
    <row r="49" spans="1:15" s="22" customFormat="1" ht="13.5" customHeight="1" x14ac:dyDescent="0.4">
      <c r="A49" s="33"/>
      <c r="B49" s="20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</row>
    <row r="50" spans="1:15" s="22" customFormat="1" ht="13.5" customHeight="1" x14ac:dyDescent="0.4">
      <c r="A50" s="33" t="s">
        <v>267</v>
      </c>
      <c r="B50" s="20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</row>
    <row r="51" spans="1:15" ht="13.5" customHeight="1" x14ac:dyDescent="0.4">
      <c r="A51" s="34" t="s">
        <v>252</v>
      </c>
      <c r="B51" s="23" t="s">
        <v>253</v>
      </c>
      <c r="C51" s="31" t="str">
        <f>IFERROR([1]!IntrinioBankFinancials(rssd_id,$R$2,C$6,C$5,$B51),"")</f>
        <v/>
      </c>
      <c r="D51" s="31" t="str">
        <f>IFERROR([1]!IntrinioBankFinancials(rssd_id,$R$2,D$6,D$5,$B51),"")</f>
        <v/>
      </c>
      <c r="E51" s="31" t="str">
        <f>IFERROR([1]!IntrinioBankFinancials(rssd_id,$R$2,E$6,E$5,$B51),"")</f>
        <v/>
      </c>
      <c r="F51" s="31" t="str">
        <f>IFERROR([1]!IntrinioBankFinancials(rssd_id,$R$2,F$6,F$5,$B51),"")</f>
        <v/>
      </c>
      <c r="G51" s="31" t="str">
        <f>IFERROR([1]!IntrinioBankFinancials(rssd_id,$R$2,G$6,G$5,$B51),"")</f>
        <v/>
      </c>
      <c r="H51" s="31" t="str">
        <f>IFERROR([1]!IntrinioBankFinancials(rssd_id,$R$2,H$6,H$5,$B51),"")</f>
        <v/>
      </c>
      <c r="I51" s="31" t="str">
        <f>IFERROR([1]!IntrinioBankFinancials(rssd_id,$R$2,I$6,I$5,$B51),"")</f>
        <v/>
      </c>
      <c r="J51" s="31" t="str">
        <f>IFERROR([1]!IntrinioBankFinancials(rssd_id,$R$2,J$6,J$5,$B51),"")</f>
        <v/>
      </c>
      <c r="K51" s="31" t="str">
        <f>IFERROR([1]!IntrinioBankFinancials(rssd_id,$R$2,K$6,K$5,$B51),"")</f>
        <v/>
      </c>
      <c r="L51" s="31" t="str">
        <f>IFERROR([1]!IntrinioBankFinancials(rssd_id,$R$2,L$6,L$5,$B51),"")</f>
        <v/>
      </c>
      <c r="M51" s="31" t="str">
        <f>IFERROR([1]!IntrinioBankFinancials(rssd_id,$R$2,M$6,M$5,$B51),"")</f>
        <v/>
      </c>
      <c r="N51" s="31" t="str">
        <f>IFERROR([1]!IntrinioBankFinancials(rssd_id,$R$2,N$6,N$5,$B51),"")</f>
        <v/>
      </c>
      <c r="O51" s="31" t="str">
        <f>IFERROR([1]!IntrinioBankFinancials(rssd_id,$R$2,O$6,O$5,$B51),"")</f>
        <v/>
      </c>
    </row>
    <row r="52" spans="1:15" ht="13.5" customHeight="1" x14ac:dyDescent="0.4">
      <c r="A52" s="34" t="s">
        <v>254</v>
      </c>
      <c r="B52" s="23" t="s">
        <v>255</v>
      </c>
      <c r="C52" s="31" t="str">
        <f>IFERROR([1]!IntrinioBankFinancials(rssd_id,$R$2,C$6,C$5,$B52),"")</f>
        <v/>
      </c>
      <c r="D52" s="31" t="str">
        <f>IFERROR([1]!IntrinioBankFinancials(rssd_id,$R$2,D$6,D$5,$B52),"")</f>
        <v/>
      </c>
      <c r="E52" s="31" t="str">
        <f>IFERROR([1]!IntrinioBankFinancials(rssd_id,$R$2,E$6,E$5,$B52),"")</f>
        <v/>
      </c>
      <c r="F52" s="31" t="str">
        <f>IFERROR([1]!IntrinioBankFinancials(rssd_id,$R$2,F$6,F$5,$B52),"")</f>
        <v/>
      </c>
      <c r="G52" s="31" t="str">
        <f>IFERROR([1]!IntrinioBankFinancials(rssd_id,$R$2,G$6,G$5,$B52),"")</f>
        <v/>
      </c>
      <c r="H52" s="31" t="str">
        <f>IFERROR([1]!IntrinioBankFinancials(rssd_id,$R$2,H$6,H$5,$B52),"")</f>
        <v/>
      </c>
      <c r="I52" s="31" t="str">
        <f>IFERROR([1]!IntrinioBankFinancials(rssd_id,$R$2,I$6,I$5,$B52),"")</f>
        <v/>
      </c>
      <c r="J52" s="31" t="str">
        <f>IFERROR([1]!IntrinioBankFinancials(rssd_id,$R$2,J$6,J$5,$B52),"")</f>
        <v/>
      </c>
      <c r="K52" s="31" t="str">
        <f>IFERROR([1]!IntrinioBankFinancials(rssd_id,$R$2,K$6,K$5,$B52),"")</f>
        <v/>
      </c>
      <c r="L52" s="31" t="str">
        <f>IFERROR([1]!IntrinioBankFinancials(rssd_id,$R$2,L$6,L$5,$B52),"")</f>
        <v/>
      </c>
      <c r="M52" s="31" t="str">
        <f>IFERROR([1]!IntrinioBankFinancials(rssd_id,$R$2,M$6,M$5,$B52),"")</f>
        <v/>
      </c>
      <c r="N52" s="31" t="str">
        <f>IFERROR([1]!IntrinioBankFinancials(rssd_id,$R$2,N$6,N$5,$B52),"")</f>
        <v/>
      </c>
      <c r="O52" s="31" t="str">
        <f>IFERROR([1]!IntrinioBankFinancials(rssd_id,$R$2,O$6,O$5,$B52),"")</f>
        <v/>
      </c>
    </row>
    <row r="53" spans="1:15" s="22" customFormat="1" ht="13.5" customHeight="1" x14ac:dyDescent="0.4">
      <c r="A53" s="33"/>
      <c r="B53" s="20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</row>
    <row r="54" spans="1:15" s="22" customFormat="1" ht="13.5" customHeight="1" x14ac:dyDescent="0.4">
      <c r="A54" s="33" t="s">
        <v>205</v>
      </c>
      <c r="B54" s="20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</row>
    <row r="55" spans="1:15" ht="13.5" customHeight="1" x14ac:dyDescent="0.4">
      <c r="A55" s="34" t="s">
        <v>256</v>
      </c>
      <c r="B55" s="23" t="s">
        <v>257</v>
      </c>
      <c r="C55" s="31" t="str">
        <f>IFERROR([1]!IntrinioBankFinancials(rssd_id,$R$2,C$6,C$5,$B55),"")</f>
        <v/>
      </c>
      <c r="D55" s="31" t="str">
        <f>IFERROR([1]!IntrinioBankFinancials(rssd_id,$R$2,D$6,D$5,$B55),"")</f>
        <v/>
      </c>
      <c r="E55" s="31" t="str">
        <f>IFERROR([1]!IntrinioBankFinancials(rssd_id,$R$2,E$6,E$5,$B55),"")</f>
        <v/>
      </c>
      <c r="F55" s="31" t="str">
        <f>IFERROR([1]!IntrinioBankFinancials(rssd_id,$R$2,F$6,F$5,$B55),"")</f>
        <v/>
      </c>
      <c r="G55" s="31" t="str">
        <f>IFERROR([1]!IntrinioBankFinancials(rssd_id,$R$2,G$6,G$5,$B55),"")</f>
        <v/>
      </c>
      <c r="H55" s="31" t="str">
        <f>IFERROR([1]!IntrinioBankFinancials(rssd_id,$R$2,H$6,H$5,$B55),"")</f>
        <v/>
      </c>
      <c r="I55" s="31" t="str">
        <f>IFERROR([1]!IntrinioBankFinancials(rssd_id,$R$2,I$6,I$5,$B55),"")</f>
        <v/>
      </c>
      <c r="J55" s="31" t="str">
        <f>IFERROR([1]!IntrinioBankFinancials(rssd_id,$R$2,J$6,J$5,$B55),"")</f>
        <v/>
      </c>
      <c r="K55" s="31" t="str">
        <f>IFERROR([1]!IntrinioBankFinancials(rssd_id,$R$2,K$6,K$5,$B55),"")</f>
        <v/>
      </c>
      <c r="L55" s="31" t="str">
        <f>IFERROR([1]!IntrinioBankFinancials(rssd_id,$R$2,L$6,L$5,$B55),"")</f>
        <v/>
      </c>
      <c r="M55" s="31" t="str">
        <f>IFERROR([1]!IntrinioBankFinancials(rssd_id,$R$2,M$6,M$5,$B55),"")</f>
        <v/>
      </c>
      <c r="N55" s="31" t="str">
        <f>IFERROR([1]!IntrinioBankFinancials(rssd_id,$R$2,N$6,N$5,$B55),"")</f>
        <v/>
      </c>
      <c r="O55" s="31" t="str">
        <f>IFERROR([1]!IntrinioBankFinancials(rssd_id,$R$2,O$6,O$5,$B55),"")</f>
        <v/>
      </c>
    </row>
    <row r="56" spans="1:15" ht="13.5" customHeight="1" x14ac:dyDescent="0.4">
      <c r="A56" s="34" t="s">
        <v>258</v>
      </c>
      <c r="B56" s="23" t="s">
        <v>259</v>
      </c>
      <c r="C56" s="31" t="str">
        <f>IFERROR([1]!IntrinioBankFinancials(rssd_id,$R$2,C$6,C$5,$B56),"")</f>
        <v/>
      </c>
      <c r="D56" s="31" t="str">
        <f>IFERROR([1]!IntrinioBankFinancials(rssd_id,$R$2,D$6,D$5,$B56),"")</f>
        <v/>
      </c>
      <c r="E56" s="31" t="str">
        <f>IFERROR([1]!IntrinioBankFinancials(rssd_id,$R$2,E$6,E$5,$B56),"")</f>
        <v/>
      </c>
      <c r="F56" s="31" t="str">
        <f>IFERROR([1]!IntrinioBankFinancials(rssd_id,$R$2,F$6,F$5,$B56),"")</f>
        <v/>
      </c>
      <c r="G56" s="31" t="str">
        <f>IFERROR([1]!IntrinioBankFinancials(rssd_id,$R$2,G$6,G$5,$B56),"")</f>
        <v/>
      </c>
      <c r="H56" s="31" t="str">
        <f>IFERROR([1]!IntrinioBankFinancials(rssd_id,$R$2,H$6,H$5,$B56),"")</f>
        <v/>
      </c>
      <c r="I56" s="31" t="str">
        <f>IFERROR([1]!IntrinioBankFinancials(rssd_id,$R$2,I$6,I$5,$B56),"")</f>
        <v/>
      </c>
      <c r="J56" s="31" t="str">
        <f>IFERROR([1]!IntrinioBankFinancials(rssd_id,$R$2,J$6,J$5,$B56),"")</f>
        <v/>
      </c>
      <c r="K56" s="31" t="str">
        <f>IFERROR([1]!IntrinioBankFinancials(rssd_id,$R$2,K$6,K$5,$B56),"")</f>
        <v/>
      </c>
      <c r="L56" s="31" t="str">
        <f>IFERROR([1]!IntrinioBankFinancials(rssd_id,$R$2,L$6,L$5,$B56),"")</f>
        <v/>
      </c>
      <c r="M56" s="31" t="str">
        <f>IFERROR([1]!IntrinioBankFinancials(rssd_id,$R$2,M$6,M$5,$B56),"")</f>
        <v/>
      </c>
      <c r="N56" s="31" t="str">
        <f>IFERROR([1]!IntrinioBankFinancials(rssd_id,$R$2,N$6,N$5,$B56),"")</f>
        <v/>
      </c>
      <c r="O56" s="31" t="str">
        <f>IFERROR([1]!IntrinioBankFinancials(rssd_id,$R$2,O$6,O$5,$B56),"")</f>
        <v/>
      </c>
    </row>
    <row r="57" spans="1:15" ht="13.5" customHeight="1" x14ac:dyDescent="0.4">
      <c r="A57" s="34" t="s">
        <v>260</v>
      </c>
      <c r="B57" s="23" t="s">
        <v>261</v>
      </c>
      <c r="C57" s="31" t="str">
        <f>IFERROR([1]!IntrinioBankFinancials(rssd_id,$R$2,C$6,C$5,$B57),"")</f>
        <v/>
      </c>
      <c r="D57" s="31" t="str">
        <f>IFERROR([1]!IntrinioBankFinancials(rssd_id,$R$2,D$6,D$5,$B57),"")</f>
        <v/>
      </c>
      <c r="E57" s="31" t="str">
        <f>IFERROR([1]!IntrinioBankFinancials(rssd_id,$R$2,E$6,E$5,$B57),"")</f>
        <v/>
      </c>
      <c r="F57" s="31" t="str">
        <f>IFERROR([1]!IntrinioBankFinancials(rssd_id,$R$2,F$6,F$5,$B57),"")</f>
        <v/>
      </c>
      <c r="G57" s="31" t="str">
        <f>IFERROR([1]!IntrinioBankFinancials(rssd_id,$R$2,G$6,G$5,$B57),"")</f>
        <v/>
      </c>
      <c r="H57" s="31" t="str">
        <f>IFERROR([1]!IntrinioBankFinancials(rssd_id,$R$2,H$6,H$5,$B57),"")</f>
        <v/>
      </c>
      <c r="I57" s="31" t="str">
        <f>IFERROR([1]!IntrinioBankFinancials(rssd_id,$R$2,I$6,I$5,$B57),"")</f>
        <v/>
      </c>
      <c r="J57" s="31" t="str">
        <f>IFERROR([1]!IntrinioBankFinancials(rssd_id,$R$2,J$6,J$5,$B57),"")</f>
        <v/>
      </c>
      <c r="K57" s="31" t="str">
        <f>IFERROR([1]!IntrinioBankFinancials(rssd_id,$R$2,K$6,K$5,$B57),"")</f>
        <v/>
      </c>
      <c r="L57" s="31" t="str">
        <f>IFERROR([1]!IntrinioBankFinancials(rssd_id,$R$2,L$6,L$5,$B57),"")</f>
        <v/>
      </c>
      <c r="M57" s="31" t="str">
        <f>IFERROR([1]!IntrinioBankFinancials(rssd_id,$R$2,M$6,M$5,$B57),"")</f>
        <v/>
      </c>
      <c r="N57" s="31" t="str">
        <f>IFERROR([1]!IntrinioBankFinancials(rssd_id,$R$2,N$6,N$5,$B57),"")</f>
        <v/>
      </c>
      <c r="O57" s="31" t="str">
        <f>IFERROR([1]!IntrinioBankFinancials(rssd_id,$R$2,O$6,O$5,$B57),"")</f>
        <v/>
      </c>
    </row>
    <row r="58" spans="1:15" ht="13.5" customHeight="1" x14ac:dyDescent="0.4">
      <c r="A58" s="34" t="s">
        <v>262</v>
      </c>
      <c r="B58" s="23" t="s">
        <v>263</v>
      </c>
      <c r="C58" s="31" t="str">
        <f>IFERROR([1]!IntrinioBankFinancials(rssd_id,$R$2,C$6,C$5,$B58),"")</f>
        <v/>
      </c>
      <c r="D58" s="31" t="str">
        <f>IFERROR([1]!IntrinioBankFinancials(rssd_id,$R$2,D$6,D$5,$B58),"")</f>
        <v/>
      </c>
      <c r="E58" s="31" t="str">
        <f>IFERROR([1]!IntrinioBankFinancials(rssd_id,$R$2,E$6,E$5,$B58),"")</f>
        <v/>
      </c>
      <c r="F58" s="31" t="str">
        <f>IFERROR([1]!IntrinioBankFinancials(rssd_id,$R$2,F$6,F$5,$B58),"")</f>
        <v/>
      </c>
      <c r="G58" s="31" t="str">
        <f>IFERROR([1]!IntrinioBankFinancials(rssd_id,$R$2,G$6,G$5,$B58),"")</f>
        <v/>
      </c>
      <c r="H58" s="31" t="str">
        <f>IFERROR([1]!IntrinioBankFinancials(rssd_id,$R$2,H$6,H$5,$B58),"")</f>
        <v/>
      </c>
      <c r="I58" s="31" t="str">
        <f>IFERROR([1]!IntrinioBankFinancials(rssd_id,$R$2,I$6,I$5,$B58),"")</f>
        <v/>
      </c>
      <c r="J58" s="31" t="str">
        <f>IFERROR([1]!IntrinioBankFinancials(rssd_id,$R$2,J$6,J$5,$B58),"")</f>
        <v/>
      </c>
      <c r="K58" s="31" t="str">
        <f>IFERROR([1]!IntrinioBankFinancials(rssd_id,$R$2,K$6,K$5,$B58),"")</f>
        <v/>
      </c>
      <c r="L58" s="31" t="str">
        <f>IFERROR([1]!IntrinioBankFinancials(rssd_id,$R$2,L$6,L$5,$B58),"")</f>
        <v/>
      </c>
      <c r="M58" s="31" t="str">
        <f>IFERROR([1]!IntrinioBankFinancials(rssd_id,$R$2,M$6,M$5,$B58),"")</f>
        <v/>
      </c>
      <c r="N58" s="31" t="str">
        <f>IFERROR([1]!IntrinioBankFinancials(rssd_id,$R$2,N$6,N$5,$B58),"")</f>
        <v/>
      </c>
      <c r="O58" s="31" t="str">
        <f>IFERROR([1]!IntrinioBankFinancials(rssd_id,$R$2,O$6,O$5,$B58),"")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4"/>
    <pageSetUpPr fitToPage="1"/>
  </sheetPr>
  <dimension ref="A1:R158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36" t="s">
        <v>513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1193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73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268</v>
      </c>
      <c r="B9" s="23" t="s">
        <v>269</v>
      </c>
      <c r="C9" s="31" t="str">
        <f>IFERROR([1]!IntrinioBankFinancials(rssd_id,$R$2,C$6,C$5,$B9),"")</f>
        <v/>
      </c>
      <c r="D9" s="31" t="str">
        <f>IFERROR([1]!IntrinioBankFinancials(rssd_id,$R$2,D$6,D$5,$B9),"")</f>
        <v/>
      </c>
      <c r="E9" s="31" t="str">
        <f>IFERROR([1]!IntrinioBankFinancials(rssd_id,$R$2,E$6,E$5,$B9),"")</f>
        <v/>
      </c>
      <c r="F9" s="31" t="str">
        <f>IFERROR([1]!IntrinioBankFinancials(rssd_id,$R$2,F$6,F$5,$B9),"")</f>
        <v/>
      </c>
      <c r="G9" s="31" t="str">
        <f>IFERROR([1]!IntrinioBankFinancials(rssd_id,$R$2,G$6,G$5,$B9),"")</f>
        <v/>
      </c>
      <c r="H9" s="31" t="str">
        <f>IFERROR([1]!IntrinioBankFinancials(rssd_id,$R$2,H$6,H$5,$B9),"")</f>
        <v/>
      </c>
      <c r="I9" s="31" t="str">
        <f>IFERROR([1]!IntrinioBankFinancials(rssd_id,$R$2,I$6,I$5,$B9),"")</f>
        <v/>
      </c>
      <c r="J9" s="31" t="str">
        <f>IFERROR([1]!IntrinioBankFinancials(rssd_id,$R$2,J$6,J$5,$B9),"")</f>
        <v/>
      </c>
      <c r="K9" s="31" t="str">
        <f>IFERROR([1]!IntrinioBankFinancials(rssd_id,$R$2,K$6,K$5,$B9),"")</f>
        <v/>
      </c>
      <c r="L9" s="31" t="str">
        <f>IFERROR([1]!IntrinioBankFinancials(rssd_id,$R$2,L$6,L$5,$B9),"")</f>
        <v/>
      </c>
      <c r="M9" s="31" t="str">
        <f>IFERROR([1]!IntrinioBankFinancials(rssd_id,$R$2,M$6,M$5,$B9),"")</f>
        <v/>
      </c>
      <c r="N9" s="31" t="str">
        <f>IFERROR([1]!IntrinioBankFinancials(rssd_id,$R$2,N$6,N$5,$B9),"")</f>
        <v/>
      </c>
      <c r="O9" s="31" t="str">
        <f>IFERROR([1]!IntrinioBankFinancials(rssd_id,$R$2,O$6,O$5,$B9),"")</f>
        <v/>
      </c>
    </row>
    <row r="10" spans="1:18" s="22" customFormat="1" ht="13.5" customHeight="1" x14ac:dyDescent="0.4">
      <c r="A10" s="34" t="s">
        <v>270</v>
      </c>
      <c r="B10" s="23" t="s">
        <v>271</v>
      </c>
      <c r="C10" s="31" t="str">
        <f>IFERROR([1]!IntrinioBankFinancials(rssd_id,$R$2,C$6,C$5,$B10),"")</f>
        <v/>
      </c>
      <c r="D10" s="31" t="str">
        <f>IFERROR([1]!IntrinioBankFinancials(rssd_id,$R$2,D$6,D$5,$B10),"")</f>
        <v/>
      </c>
      <c r="E10" s="31" t="str">
        <f>IFERROR([1]!IntrinioBankFinancials(rssd_id,$R$2,E$6,E$5,$B10),"")</f>
        <v/>
      </c>
      <c r="F10" s="31" t="str">
        <f>IFERROR([1]!IntrinioBankFinancials(rssd_id,$R$2,F$6,F$5,$B10),"")</f>
        <v/>
      </c>
      <c r="G10" s="31" t="str">
        <f>IFERROR([1]!IntrinioBankFinancials(rssd_id,$R$2,G$6,G$5,$B10),"")</f>
        <v/>
      </c>
      <c r="H10" s="31" t="str">
        <f>IFERROR([1]!IntrinioBankFinancials(rssd_id,$R$2,H$6,H$5,$B10),"")</f>
        <v/>
      </c>
      <c r="I10" s="31" t="str">
        <f>IFERROR([1]!IntrinioBankFinancials(rssd_id,$R$2,I$6,I$5,$B10),"")</f>
        <v/>
      </c>
      <c r="J10" s="31" t="str">
        <f>IFERROR([1]!IntrinioBankFinancials(rssd_id,$R$2,J$6,J$5,$B10),"")</f>
        <v/>
      </c>
      <c r="K10" s="31" t="str">
        <f>IFERROR([1]!IntrinioBankFinancials(rssd_id,$R$2,K$6,K$5,$B10),"")</f>
        <v/>
      </c>
      <c r="L10" s="31" t="str">
        <f>IFERROR([1]!IntrinioBankFinancials(rssd_id,$R$2,L$6,L$5,$B10),"")</f>
        <v/>
      </c>
      <c r="M10" s="31" t="str">
        <f>IFERROR([1]!IntrinioBankFinancials(rssd_id,$R$2,M$6,M$5,$B10),"")</f>
        <v/>
      </c>
      <c r="N10" s="31" t="str">
        <f>IFERROR([1]!IntrinioBankFinancials(rssd_id,$R$2,N$6,N$5,$B10),"")</f>
        <v/>
      </c>
      <c r="O10" s="31" t="str">
        <f>IFERROR([1]!IntrinioBankFinancials(rssd_id,$R$2,O$6,O$5,$B10),"")</f>
        <v/>
      </c>
    </row>
    <row r="11" spans="1:18" s="22" customFormat="1" ht="13.5" customHeight="1" x14ac:dyDescent="0.4">
      <c r="A11" s="34" t="s">
        <v>272</v>
      </c>
      <c r="B11" s="23" t="s">
        <v>273</v>
      </c>
      <c r="C11" s="31" t="str">
        <f>IFERROR([1]!IntrinioBankFinancials(rssd_id,$R$2,C$6,C$5,$B11),"")</f>
        <v/>
      </c>
      <c r="D11" s="31" t="str">
        <f>IFERROR([1]!IntrinioBankFinancials(rssd_id,$R$2,D$6,D$5,$B11),"")</f>
        <v/>
      </c>
      <c r="E11" s="31" t="str">
        <f>IFERROR([1]!IntrinioBankFinancials(rssd_id,$R$2,E$6,E$5,$B11),"")</f>
        <v/>
      </c>
      <c r="F11" s="31" t="str">
        <f>IFERROR([1]!IntrinioBankFinancials(rssd_id,$R$2,F$6,F$5,$B11),"")</f>
        <v/>
      </c>
      <c r="G11" s="31" t="str">
        <f>IFERROR([1]!IntrinioBankFinancials(rssd_id,$R$2,G$6,G$5,$B11),"")</f>
        <v/>
      </c>
      <c r="H11" s="31" t="str">
        <f>IFERROR([1]!IntrinioBankFinancials(rssd_id,$R$2,H$6,H$5,$B11),"")</f>
        <v/>
      </c>
      <c r="I11" s="31" t="str">
        <f>IFERROR([1]!IntrinioBankFinancials(rssd_id,$R$2,I$6,I$5,$B11),"")</f>
        <v/>
      </c>
      <c r="J11" s="31" t="str">
        <f>IFERROR([1]!IntrinioBankFinancials(rssd_id,$R$2,J$6,J$5,$B11),"")</f>
        <v/>
      </c>
      <c r="K11" s="31" t="str">
        <f>IFERROR([1]!IntrinioBankFinancials(rssd_id,$R$2,K$6,K$5,$B11),"")</f>
        <v/>
      </c>
      <c r="L11" s="31" t="str">
        <f>IFERROR([1]!IntrinioBankFinancials(rssd_id,$R$2,L$6,L$5,$B11),"")</f>
        <v/>
      </c>
      <c r="M11" s="31" t="str">
        <f>IFERROR([1]!IntrinioBankFinancials(rssd_id,$R$2,M$6,M$5,$B11),"")</f>
        <v/>
      </c>
      <c r="N11" s="31" t="str">
        <f>IFERROR([1]!IntrinioBankFinancials(rssd_id,$R$2,N$6,N$5,$B11),"")</f>
        <v/>
      </c>
      <c r="O11" s="31" t="str">
        <f>IFERROR([1]!IntrinioBankFinancials(rssd_id,$R$2,O$6,O$5,$B11),"")</f>
        <v/>
      </c>
    </row>
    <row r="12" spans="1:18" s="22" customFormat="1" ht="13.5" customHeight="1" x14ac:dyDescent="0.4">
      <c r="A12" s="34" t="s">
        <v>274</v>
      </c>
      <c r="B12" s="23" t="s">
        <v>275</v>
      </c>
      <c r="C12" s="31" t="str">
        <f>IFERROR([1]!IntrinioBankFinancials(rssd_id,$R$2,C$6,C$5,$B12),"")</f>
        <v/>
      </c>
      <c r="D12" s="31" t="str">
        <f>IFERROR([1]!IntrinioBankFinancials(rssd_id,$R$2,D$6,D$5,$B12),"")</f>
        <v/>
      </c>
      <c r="E12" s="31" t="str">
        <f>IFERROR([1]!IntrinioBankFinancials(rssd_id,$R$2,E$6,E$5,$B12),"")</f>
        <v/>
      </c>
      <c r="F12" s="31" t="str">
        <f>IFERROR([1]!IntrinioBankFinancials(rssd_id,$R$2,F$6,F$5,$B12),"")</f>
        <v/>
      </c>
      <c r="G12" s="31" t="str">
        <f>IFERROR([1]!IntrinioBankFinancials(rssd_id,$R$2,G$6,G$5,$B12),"")</f>
        <v/>
      </c>
      <c r="H12" s="31" t="str">
        <f>IFERROR([1]!IntrinioBankFinancials(rssd_id,$R$2,H$6,H$5,$B12),"")</f>
        <v/>
      </c>
      <c r="I12" s="31" t="str">
        <f>IFERROR([1]!IntrinioBankFinancials(rssd_id,$R$2,I$6,I$5,$B12),"")</f>
        <v/>
      </c>
      <c r="J12" s="31" t="str">
        <f>IFERROR([1]!IntrinioBankFinancials(rssd_id,$R$2,J$6,J$5,$B12),"")</f>
        <v/>
      </c>
      <c r="K12" s="31" t="str">
        <f>IFERROR([1]!IntrinioBankFinancials(rssd_id,$R$2,K$6,K$5,$B12),"")</f>
        <v/>
      </c>
      <c r="L12" s="31" t="str">
        <f>IFERROR([1]!IntrinioBankFinancials(rssd_id,$R$2,L$6,L$5,$B12),"")</f>
        <v/>
      </c>
      <c r="M12" s="31" t="str">
        <f>IFERROR([1]!IntrinioBankFinancials(rssd_id,$R$2,M$6,M$5,$B12),"")</f>
        <v/>
      </c>
      <c r="N12" s="31" t="str">
        <f>IFERROR([1]!IntrinioBankFinancials(rssd_id,$R$2,N$6,N$5,$B12),"")</f>
        <v/>
      </c>
      <c r="O12" s="31" t="str">
        <f>IFERROR([1]!IntrinioBankFinancials(rssd_id,$R$2,O$6,O$5,$B12),"")</f>
        <v/>
      </c>
    </row>
    <row r="13" spans="1:18" s="22" customFormat="1" ht="13.5" customHeight="1" x14ac:dyDescent="0.4">
      <c r="A13" s="34" t="s">
        <v>276</v>
      </c>
      <c r="B13" s="23" t="s">
        <v>277</v>
      </c>
      <c r="C13" s="31" t="str">
        <f>IFERROR([1]!IntrinioBankFinancials(rssd_id,$R$2,C$6,C$5,$B13),"")</f>
        <v/>
      </c>
      <c r="D13" s="31" t="str">
        <f>IFERROR([1]!IntrinioBankFinancials(rssd_id,$R$2,D$6,D$5,$B13),"")</f>
        <v/>
      </c>
      <c r="E13" s="31" t="str">
        <f>IFERROR([1]!IntrinioBankFinancials(rssd_id,$R$2,E$6,E$5,$B13),"")</f>
        <v/>
      </c>
      <c r="F13" s="31" t="str">
        <f>IFERROR([1]!IntrinioBankFinancials(rssd_id,$R$2,F$6,F$5,$B13),"")</f>
        <v/>
      </c>
      <c r="G13" s="31" t="str">
        <f>IFERROR([1]!IntrinioBankFinancials(rssd_id,$R$2,G$6,G$5,$B13),"")</f>
        <v/>
      </c>
      <c r="H13" s="31" t="str">
        <f>IFERROR([1]!IntrinioBankFinancials(rssd_id,$R$2,H$6,H$5,$B13),"")</f>
        <v/>
      </c>
      <c r="I13" s="31" t="str">
        <f>IFERROR([1]!IntrinioBankFinancials(rssd_id,$R$2,I$6,I$5,$B13),"")</f>
        <v/>
      </c>
      <c r="J13" s="31" t="str">
        <f>IFERROR([1]!IntrinioBankFinancials(rssd_id,$R$2,J$6,J$5,$B13),"")</f>
        <v/>
      </c>
      <c r="K13" s="31" t="str">
        <f>IFERROR([1]!IntrinioBankFinancials(rssd_id,$R$2,K$6,K$5,$B13),"")</f>
        <v/>
      </c>
      <c r="L13" s="31" t="str">
        <f>IFERROR([1]!IntrinioBankFinancials(rssd_id,$R$2,L$6,L$5,$B13),"")</f>
        <v/>
      </c>
      <c r="M13" s="31" t="str">
        <f>IFERROR([1]!IntrinioBankFinancials(rssd_id,$R$2,M$6,M$5,$B13),"")</f>
        <v/>
      </c>
      <c r="N13" s="31" t="str">
        <f>IFERROR([1]!IntrinioBankFinancials(rssd_id,$R$2,N$6,N$5,$B13),"")</f>
        <v/>
      </c>
      <c r="O13" s="31" t="str">
        <f>IFERROR([1]!IntrinioBankFinancials(rssd_id,$R$2,O$6,O$5,$B13),"")</f>
        <v/>
      </c>
    </row>
    <row r="14" spans="1:18" s="22" customFormat="1" ht="13.5" customHeight="1" x14ac:dyDescent="0.4">
      <c r="A14" s="34" t="s">
        <v>278</v>
      </c>
      <c r="B14" s="23" t="s">
        <v>279</v>
      </c>
      <c r="C14" s="31" t="str">
        <f>IFERROR([1]!IntrinioBankFinancials(rssd_id,$R$2,C$6,C$5,$B14),"")</f>
        <v/>
      </c>
      <c r="D14" s="31" t="str">
        <f>IFERROR([1]!IntrinioBankFinancials(rssd_id,$R$2,D$6,D$5,$B14),"")</f>
        <v/>
      </c>
      <c r="E14" s="31" t="str">
        <f>IFERROR([1]!IntrinioBankFinancials(rssd_id,$R$2,E$6,E$5,$B14),"")</f>
        <v/>
      </c>
      <c r="F14" s="31" t="str">
        <f>IFERROR([1]!IntrinioBankFinancials(rssd_id,$R$2,F$6,F$5,$B14),"")</f>
        <v/>
      </c>
      <c r="G14" s="31" t="str">
        <f>IFERROR([1]!IntrinioBankFinancials(rssd_id,$R$2,G$6,G$5,$B14),"")</f>
        <v/>
      </c>
      <c r="H14" s="31" t="str">
        <f>IFERROR([1]!IntrinioBankFinancials(rssd_id,$R$2,H$6,H$5,$B14),"")</f>
        <v/>
      </c>
      <c r="I14" s="31" t="str">
        <f>IFERROR([1]!IntrinioBankFinancials(rssd_id,$R$2,I$6,I$5,$B14),"")</f>
        <v/>
      </c>
      <c r="J14" s="31" t="str">
        <f>IFERROR([1]!IntrinioBankFinancials(rssd_id,$R$2,J$6,J$5,$B14),"")</f>
        <v/>
      </c>
      <c r="K14" s="31" t="str">
        <f>IFERROR([1]!IntrinioBankFinancials(rssd_id,$R$2,K$6,K$5,$B14),"")</f>
        <v/>
      </c>
      <c r="L14" s="31" t="str">
        <f>IFERROR([1]!IntrinioBankFinancials(rssd_id,$R$2,L$6,L$5,$B14),"")</f>
        <v/>
      </c>
      <c r="M14" s="31" t="str">
        <f>IFERROR([1]!IntrinioBankFinancials(rssd_id,$R$2,M$6,M$5,$B14),"")</f>
        <v/>
      </c>
      <c r="N14" s="31" t="str">
        <f>IFERROR([1]!IntrinioBankFinancials(rssd_id,$R$2,N$6,N$5,$B14),"")</f>
        <v/>
      </c>
      <c r="O14" s="31" t="str">
        <f>IFERROR([1]!IntrinioBankFinancials(rssd_id,$R$2,O$6,O$5,$B14),"")</f>
        <v/>
      </c>
    </row>
    <row r="15" spans="1:18" s="22" customFormat="1" ht="13.5" customHeight="1" x14ac:dyDescent="0.4">
      <c r="A15" s="34" t="s">
        <v>280</v>
      </c>
      <c r="B15" s="23" t="s">
        <v>281</v>
      </c>
      <c r="C15" s="31" t="str">
        <f>IFERROR([1]!IntrinioBankFinancials(rssd_id,$R$2,C$6,C$5,$B15),"")</f>
        <v/>
      </c>
      <c r="D15" s="31" t="str">
        <f>IFERROR([1]!IntrinioBankFinancials(rssd_id,$R$2,D$6,D$5,$B15),"")</f>
        <v/>
      </c>
      <c r="E15" s="31" t="str">
        <f>IFERROR([1]!IntrinioBankFinancials(rssd_id,$R$2,E$6,E$5,$B15),"")</f>
        <v/>
      </c>
      <c r="F15" s="31" t="str">
        <f>IFERROR([1]!IntrinioBankFinancials(rssd_id,$R$2,F$6,F$5,$B15),"")</f>
        <v/>
      </c>
      <c r="G15" s="31" t="str">
        <f>IFERROR([1]!IntrinioBankFinancials(rssd_id,$R$2,G$6,G$5,$B15),"")</f>
        <v/>
      </c>
      <c r="H15" s="31" t="str">
        <f>IFERROR([1]!IntrinioBankFinancials(rssd_id,$R$2,H$6,H$5,$B15),"")</f>
        <v/>
      </c>
      <c r="I15" s="31" t="str">
        <f>IFERROR([1]!IntrinioBankFinancials(rssd_id,$R$2,I$6,I$5,$B15),"")</f>
        <v/>
      </c>
      <c r="J15" s="31" t="str">
        <f>IFERROR([1]!IntrinioBankFinancials(rssd_id,$R$2,J$6,J$5,$B15),"")</f>
        <v/>
      </c>
      <c r="K15" s="31" t="str">
        <f>IFERROR([1]!IntrinioBankFinancials(rssd_id,$R$2,K$6,K$5,$B15),"")</f>
        <v/>
      </c>
      <c r="L15" s="31" t="str">
        <f>IFERROR([1]!IntrinioBankFinancials(rssd_id,$R$2,L$6,L$5,$B15),"")</f>
        <v/>
      </c>
      <c r="M15" s="31" t="str">
        <f>IFERROR([1]!IntrinioBankFinancials(rssd_id,$R$2,M$6,M$5,$B15),"")</f>
        <v/>
      </c>
      <c r="N15" s="31" t="str">
        <f>IFERROR([1]!IntrinioBankFinancials(rssd_id,$R$2,N$6,N$5,$B15),"")</f>
        <v/>
      </c>
      <c r="O15" s="31" t="str">
        <f>IFERROR([1]!IntrinioBankFinancials(rssd_id,$R$2,O$6,O$5,$B15),"")</f>
        <v/>
      </c>
    </row>
    <row r="16" spans="1:18" s="22" customFormat="1" ht="13.5" customHeight="1" x14ac:dyDescent="0.4">
      <c r="A16" s="34" t="s">
        <v>282</v>
      </c>
      <c r="B16" s="23" t="s">
        <v>283</v>
      </c>
      <c r="C16" s="31" t="str">
        <f>IFERROR([1]!IntrinioBankFinancials(rssd_id,$R$2,C$6,C$5,$B16),"")</f>
        <v/>
      </c>
      <c r="D16" s="31" t="str">
        <f>IFERROR([1]!IntrinioBankFinancials(rssd_id,$R$2,D$6,D$5,$B16),"")</f>
        <v/>
      </c>
      <c r="E16" s="31" t="str">
        <f>IFERROR([1]!IntrinioBankFinancials(rssd_id,$R$2,E$6,E$5,$B16),"")</f>
        <v/>
      </c>
      <c r="F16" s="31" t="str">
        <f>IFERROR([1]!IntrinioBankFinancials(rssd_id,$R$2,F$6,F$5,$B16),"")</f>
        <v/>
      </c>
      <c r="G16" s="31" t="str">
        <f>IFERROR([1]!IntrinioBankFinancials(rssd_id,$R$2,G$6,G$5,$B16),"")</f>
        <v/>
      </c>
      <c r="H16" s="31" t="str">
        <f>IFERROR([1]!IntrinioBankFinancials(rssd_id,$R$2,H$6,H$5,$B16),"")</f>
        <v/>
      </c>
      <c r="I16" s="31" t="str">
        <f>IFERROR([1]!IntrinioBankFinancials(rssd_id,$R$2,I$6,I$5,$B16),"")</f>
        <v/>
      </c>
      <c r="J16" s="31" t="str">
        <f>IFERROR([1]!IntrinioBankFinancials(rssd_id,$R$2,J$6,J$5,$B16),"")</f>
        <v/>
      </c>
      <c r="K16" s="31" t="str">
        <f>IFERROR([1]!IntrinioBankFinancials(rssd_id,$R$2,K$6,K$5,$B16),"")</f>
        <v/>
      </c>
      <c r="L16" s="31" t="str">
        <f>IFERROR([1]!IntrinioBankFinancials(rssd_id,$R$2,L$6,L$5,$B16),"")</f>
        <v/>
      </c>
      <c r="M16" s="31" t="str">
        <f>IFERROR([1]!IntrinioBankFinancials(rssd_id,$R$2,M$6,M$5,$B16),"")</f>
        <v/>
      </c>
      <c r="N16" s="31" t="str">
        <f>IFERROR([1]!IntrinioBankFinancials(rssd_id,$R$2,N$6,N$5,$B16),"")</f>
        <v/>
      </c>
      <c r="O16" s="31" t="str">
        <f>IFERROR([1]!IntrinioBankFinancials(rssd_id,$R$2,O$6,O$5,$B16),"")</f>
        <v/>
      </c>
    </row>
    <row r="17" spans="1:15" s="22" customFormat="1" ht="13.5" customHeight="1" x14ac:dyDescent="0.4">
      <c r="A17" s="34" t="s">
        <v>284</v>
      </c>
      <c r="B17" s="23" t="s">
        <v>285</v>
      </c>
      <c r="C17" s="31" t="str">
        <f>IFERROR([1]!IntrinioBankFinancials(rssd_id,$R$2,C$6,C$5,$B17),"")</f>
        <v/>
      </c>
      <c r="D17" s="31" t="str">
        <f>IFERROR([1]!IntrinioBankFinancials(rssd_id,$R$2,D$6,D$5,$B17),"")</f>
        <v/>
      </c>
      <c r="E17" s="31" t="str">
        <f>IFERROR([1]!IntrinioBankFinancials(rssd_id,$R$2,E$6,E$5,$B17),"")</f>
        <v/>
      </c>
      <c r="F17" s="31" t="str">
        <f>IFERROR([1]!IntrinioBankFinancials(rssd_id,$R$2,F$6,F$5,$B17),"")</f>
        <v/>
      </c>
      <c r="G17" s="31" t="str">
        <f>IFERROR([1]!IntrinioBankFinancials(rssd_id,$R$2,G$6,G$5,$B17),"")</f>
        <v/>
      </c>
      <c r="H17" s="31" t="str">
        <f>IFERROR([1]!IntrinioBankFinancials(rssd_id,$R$2,H$6,H$5,$B17),"")</f>
        <v/>
      </c>
      <c r="I17" s="31" t="str">
        <f>IFERROR([1]!IntrinioBankFinancials(rssd_id,$R$2,I$6,I$5,$B17),"")</f>
        <v/>
      </c>
      <c r="J17" s="31" t="str">
        <f>IFERROR([1]!IntrinioBankFinancials(rssd_id,$R$2,J$6,J$5,$B17),"")</f>
        <v/>
      </c>
      <c r="K17" s="31" t="str">
        <f>IFERROR([1]!IntrinioBankFinancials(rssd_id,$R$2,K$6,K$5,$B17),"")</f>
        <v/>
      </c>
      <c r="L17" s="31" t="str">
        <f>IFERROR([1]!IntrinioBankFinancials(rssd_id,$R$2,L$6,L$5,$B17),"")</f>
        <v/>
      </c>
      <c r="M17" s="31" t="str">
        <f>IFERROR([1]!IntrinioBankFinancials(rssd_id,$R$2,M$6,M$5,$B17),"")</f>
        <v/>
      </c>
      <c r="N17" s="31" t="str">
        <f>IFERROR([1]!IntrinioBankFinancials(rssd_id,$R$2,N$6,N$5,$B17),"")</f>
        <v/>
      </c>
      <c r="O17" s="31" t="str">
        <f>IFERROR([1]!IntrinioBankFinancials(rssd_id,$R$2,O$6,O$5,$B17),"")</f>
        <v/>
      </c>
    </row>
    <row r="18" spans="1:15" s="22" customFormat="1" ht="13.5" customHeight="1" x14ac:dyDescent="0.4">
      <c r="A18" s="34" t="s">
        <v>286</v>
      </c>
      <c r="B18" s="23" t="s">
        <v>287</v>
      </c>
      <c r="C18" s="31" t="str">
        <f>IFERROR([1]!IntrinioBankFinancials(rssd_id,$R$2,C$6,C$5,$B18),"")</f>
        <v/>
      </c>
      <c r="D18" s="31" t="str">
        <f>IFERROR([1]!IntrinioBankFinancials(rssd_id,$R$2,D$6,D$5,$B18),"")</f>
        <v/>
      </c>
      <c r="E18" s="31" t="str">
        <f>IFERROR([1]!IntrinioBankFinancials(rssd_id,$R$2,E$6,E$5,$B18),"")</f>
        <v/>
      </c>
      <c r="F18" s="31" t="str">
        <f>IFERROR([1]!IntrinioBankFinancials(rssd_id,$R$2,F$6,F$5,$B18),"")</f>
        <v/>
      </c>
      <c r="G18" s="31" t="str">
        <f>IFERROR([1]!IntrinioBankFinancials(rssd_id,$R$2,G$6,G$5,$B18),"")</f>
        <v/>
      </c>
      <c r="H18" s="31" t="str">
        <f>IFERROR([1]!IntrinioBankFinancials(rssd_id,$R$2,H$6,H$5,$B18),"")</f>
        <v/>
      </c>
      <c r="I18" s="31" t="str">
        <f>IFERROR([1]!IntrinioBankFinancials(rssd_id,$R$2,I$6,I$5,$B18),"")</f>
        <v/>
      </c>
      <c r="J18" s="31" t="str">
        <f>IFERROR([1]!IntrinioBankFinancials(rssd_id,$R$2,J$6,J$5,$B18),"")</f>
        <v/>
      </c>
      <c r="K18" s="31" t="str">
        <f>IFERROR([1]!IntrinioBankFinancials(rssd_id,$R$2,K$6,K$5,$B18),"")</f>
        <v/>
      </c>
      <c r="L18" s="31" t="str">
        <f>IFERROR([1]!IntrinioBankFinancials(rssd_id,$R$2,L$6,L$5,$B18),"")</f>
        <v/>
      </c>
      <c r="M18" s="31" t="str">
        <f>IFERROR([1]!IntrinioBankFinancials(rssd_id,$R$2,M$6,M$5,$B18),"")</f>
        <v/>
      </c>
      <c r="N18" s="31" t="str">
        <f>IFERROR([1]!IntrinioBankFinancials(rssd_id,$R$2,N$6,N$5,$B18),"")</f>
        <v/>
      </c>
      <c r="O18" s="31" t="str">
        <f>IFERROR([1]!IntrinioBankFinancials(rssd_id,$R$2,O$6,O$5,$B18),"")</f>
        <v/>
      </c>
    </row>
    <row r="19" spans="1:15" ht="13.5" customHeight="1" x14ac:dyDescent="0.4">
      <c r="A19" s="34" t="s">
        <v>288</v>
      </c>
      <c r="B19" s="23" t="s">
        <v>289</v>
      </c>
      <c r="C19" s="31" t="str">
        <f>IFERROR([1]!IntrinioBankFinancials(rssd_id,$R$2,C$6,C$5,$B19),"")</f>
        <v/>
      </c>
      <c r="D19" s="31" t="str">
        <f>IFERROR([1]!IntrinioBankFinancials(rssd_id,$R$2,D$6,D$5,$B19),"")</f>
        <v/>
      </c>
      <c r="E19" s="31" t="str">
        <f>IFERROR([1]!IntrinioBankFinancials(rssd_id,$R$2,E$6,E$5,$B19),"")</f>
        <v/>
      </c>
      <c r="F19" s="31" t="str">
        <f>IFERROR([1]!IntrinioBankFinancials(rssd_id,$R$2,F$6,F$5,$B19),"")</f>
        <v/>
      </c>
      <c r="G19" s="31" t="str">
        <f>IFERROR([1]!IntrinioBankFinancials(rssd_id,$R$2,G$6,G$5,$B19),"")</f>
        <v/>
      </c>
      <c r="H19" s="31" t="str">
        <f>IFERROR([1]!IntrinioBankFinancials(rssd_id,$R$2,H$6,H$5,$B19),"")</f>
        <v/>
      </c>
      <c r="I19" s="31" t="str">
        <f>IFERROR([1]!IntrinioBankFinancials(rssd_id,$R$2,I$6,I$5,$B19),"")</f>
        <v/>
      </c>
      <c r="J19" s="31" t="str">
        <f>IFERROR([1]!IntrinioBankFinancials(rssd_id,$R$2,J$6,J$5,$B19),"")</f>
        <v/>
      </c>
      <c r="K19" s="31" t="str">
        <f>IFERROR([1]!IntrinioBankFinancials(rssd_id,$R$2,K$6,K$5,$B19),"")</f>
        <v/>
      </c>
      <c r="L19" s="31" t="str">
        <f>IFERROR([1]!IntrinioBankFinancials(rssd_id,$R$2,L$6,L$5,$B19),"")</f>
        <v/>
      </c>
      <c r="M19" s="31" t="str">
        <f>IFERROR([1]!IntrinioBankFinancials(rssd_id,$R$2,M$6,M$5,$B19),"")</f>
        <v/>
      </c>
      <c r="N19" s="31" t="str">
        <f>IFERROR([1]!IntrinioBankFinancials(rssd_id,$R$2,N$6,N$5,$B19),"")</f>
        <v/>
      </c>
      <c r="O19" s="31" t="str">
        <f>IFERROR([1]!IntrinioBankFinancials(rssd_id,$R$2,O$6,O$5,$B19),"")</f>
        <v/>
      </c>
    </row>
    <row r="20" spans="1:15" ht="13.5" customHeight="1" x14ac:dyDescent="0.4">
      <c r="A20" s="34" t="s">
        <v>290</v>
      </c>
      <c r="B20" s="23" t="s">
        <v>291</v>
      </c>
      <c r="C20" s="31" t="str">
        <f>IFERROR([1]!IntrinioBankFinancials(rssd_id,$R$2,C$6,C$5,$B20),"")</f>
        <v/>
      </c>
      <c r="D20" s="31" t="str">
        <f>IFERROR([1]!IntrinioBankFinancials(rssd_id,$R$2,D$6,D$5,$B20),"")</f>
        <v/>
      </c>
      <c r="E20" s="31" t="str">
        <f>IFERROR([1]!IntrinioBankFinancials(rssd_id,$R$2,E$6,E$5,$B20),"")</f>
        <v/>
      </c>
      <c r="F20" s="31" t="str">
        <f>IFERROR([1]!IntrinioBankFinancials(rssd_id,$R$2,F$6,F$5,$B20),"")</f>
        <v/>
      </c>
      <c r="G20" s="31" t="str">
        <f>IFERROR([1]!IntrinioBankFinancials(rssd_id,$R$2,G$6,G$5,$B20),"")</f>
        <v/>
      </c>
      <c r="H20" s="31" t="str">
        <f>IFERROR([1]!IntrinioBankFinancials(rssd_id,$R$2,H$6,H$5,$B20),"")</f>
        <v/>
      </c>
      <c r="I20" s="31" t="str">
        <f>IFERROR([1]!IntrinioBankFinancials(rssd_id,$R$2,I$6,I$5,$B20),"")</f>
        <v/>
      </c>
      <c r="J20" s="31" t="str">
        <f>IFERROR([1]!IntrinioBankFinancials(rssd_id,$R$2,J$6,J$5,$B20),"")</f>
        <v/>
      </c>
      <c r="K20" s="31" t="str">
        <f>IFERROR([1]!IntrinioBankFinancials(rssd_id,$R$2,K$6,K$5,$B20),"")</f>
        <v/>
      </c>
      <c r="L20" s="31" t="str">
        <f>IFERROR([1]!IntrinioBankFinancials(rssd_id,$R$2,L$6,L$5,$B20),"")</f>
        <v/>
      </c>
      <c r="M20" s="31" t="str">
        <f>IFERROR([1]!IntrinioBankFinancials(rssd_id,$R$2,M$6,M$5,$B20),"")</f>
        <v/>
      </c>
      <c r="N20" s="31" t="str">
        <f>IFERROR([1]!IntrinioBankFinancials(rssd_id,$R$2,N$6,N$5,$B20),"")</f>
        <v/>
      </c>
      <c r="O20" s="31" t="str">
        <f>IFERROR([1]!IntrinioBankFinancials(rssd_id,$R$2,O$6,O$5,$B20),"")</f>
        <v/>
      </c>
    </row>
    <row r="21" spans="1:15" ht="13.5" customHeight="1" x14ac:dyDescent="0.4">
      <c r="A21" s="34" t="s">
        <v>292</v>
      </c>
      <c r="B21" s="23" t="s">
        <v>293</v>
      </c>
      <c r="C21" s="31" t="str">
        <f>IFERROR([1]!IntrinioBankFinancials(rssd_id,$R$2,C$6,C$5,$B21),"")</f>
        <v/>
      </c>
      <c r="D21" s="31" t="str">
        <f>IFERROR([1]!IntrinioBankFinancials(rssd_id,$R$2,D$6,D$5,$B21),"")</f>
        <v/>
      </c>
      <c r="E21" s="31" t="str">
        <f>IFERROR([1]!IntrinioBankFinancials(rssd_id,$R$2,E$6,E$5,$B21),"")</f>
        <v/>
      </c>
      <c r="F21" s="31" t="str">
        <f>IFERROR([1]!IntrinioBankFinancials(rssd_id,$R$2,F$6,F$5,$B21),"")</f>
        <v/>
      </c>
      <c r="G21" s="31" t="str">
        <f>IFERROR([1]!IntrinioBankFinancials(rssd_id,$R$2,G$6,G$5,$B21),"")</f>
        <v/>
      </c>
      <c r="H21" s="31" t="str">
        <f>IFERROR([1]!IntrinioBankFinancials(rssd_id,$R$2,H$6,H$5,$B21),"")</f>
        <v/>
      </c>
      <c r="I21" s="31" t="str">
        <f>IFERROR([1]!IntrinioBankFinancials(rssd_id,$R$2,I$6,I$5,$B21),"")</f>
        <v/>
      </c>
      <c r="J21" s="31" t="str">
        <f>IFERROR([1]!IntrinioBankFinancials(rssd_id,$R$2,J$6,J$5,$B21),"")</f>
        <v/>
      </c>
      <c r="K21" s="31" t="str">
        <f>IFERROR([1]!IntrinioBankFinancials(rssd_id,$R$2,K$6,K$5,$B21),"")</f>
        <v/>
      </c>
      <c r="L21" s="31" t="str">
        <f>IFERROR([1]!IntrinioBankFinancials(rssd_id,$R$2,L$6,L$5,$B21),"")</f>
        <v/>
      </c>
      <c r="M21" s="31" t="str">
        <f>IFERROR([1]!IntrinioBankFinancials(rssd_id,$R$2,M$6,M$5,$B21),"")</f>
        <v/>
      </c>
      <c r="N21" s="31" t="str">
        <f>IFERROR([1]!IntrinioBankFinancials(rssd_id,$R$2,N$6,N$5,$B21),"")</f>
        <v/>
      </c>
      <c r="O21" s="31" t="str">
        <f>IFERROR([1]!IntrinioBankFinancials(rssd_id,$R$2,O$6,O$5,$B21),"")</f>
        <v/>
      </c>
    </row>
    <row r="22" spans="1:15" ht="13.5" customHeight="1" x14ac:dyDescent="0.4">
      <c r="A22" s="34" t="s">
        <v>294</v>
      </c>
      <c r="B22" s="23" t="s">
        <v>295</v>
      </c>
      <c r="C22" s="31" t="str">
        <f>IFERROR([1]!IntrinioBankFinancials(rssd_id,$R$2,C$6,C$5,$B22),"")</f>
        <v/>
      </c>
      <c r="D22" s="31" t="str">
        <f>IFERROR([1]!IntrinioBankFinancials(rssd_id,$R$2,D$6,D$5,$B22),"")</f>
        <v/>
      </c>
      <c r="E22" s="31" t="str">
        <f>IFERROR([1]!IntrinioBankFinancials(rssd_id,$R$2,E$6,E$5,$B22),"")</f>
        <v/>
      </c>
      <c r="F22" s="31" t="str">
        <f>IFERROR([1]!IntrinioBankFinancials(rssd_id,$R$2,F$6,F$5,$B22),"")</f>
        <v/>
      </c>
      <c r="G22" s="31" t="str">
        <f>IFERROR([1]!IntrinioBankFinancials(rssd_id,$R$2,G$6,G$5,$B22),"")</f>
        <v/>
      </c>
      <c r="H22" s="31" t="str">
        <f>IFERROR([1]!IntrinioBankFinancials(rssd_id,$R$2,H$6,H$5,$B22),"")</f>
        <v/>
      </c>
      <c r="I22" s="31" t="str">
        <f>IFERROR([1]!IntrinioBankFinancials(rssd_id,$R$2,I$6,I$5,$B22),"")</f>
        <v/>
      </c>
      <c r="J22" s="31" t="str">
        <f>IFERROR([1]!IntrinioBankFinancials(rssd_id,$R$2,J$6,J$5,$B22),"")</f>
        <v/>
      </c>
      <c r="K22" s="31" t="str">
        <f>IFERROR([1]!IntrinioBankFinancials(rssd_id,$R$2,K$6,K$5,$B22),"")</f>
        <v/>
      </c>
      <c r="L22" s="31" t="str">
        <f>IFERROR([1]!IntrinioBankFinancials(rssd_id,$R$2,L$6,L$5,$B22),"")</f>
        <v/>
      </c>
      <c r="M22" s="31" t="str">
        <f>IFERROR([1]!IntrinioBankFinancials(rssd_id,$R$2,M$6,M$5,$B22),"")</f>
        <v/>
      </c>
      <c r="N22" s="31" t="str">
        <f>IFERROR([1]!IntrinioBankFinancials(rssd_id,$R$2,N$6,N$5,$B22),"")</f>
        <v/>
      </c>
      <c r="O22" s="31" t="str">
        <f>IFERROR([1]!IntrinioBankFinancials(rssd_id,$R$2,O$6,O$5,$B22),"")</f>
        <v/>
      </c>
    </row>
    <row r="23" spans="1:15" ht="13.5" customHeight="1" x14ac:dyDescent="0.4">
      <c r="A23" s="34" t="s">
        <v>296</v>
      </c>
      <c r="B23" s="23" t="s">
        <v>297</v>
      </c>
      <c r="C23" s="31" t="str">
        <f>IFERROR([1]!IntrinioBankFinancials(rssd_id,$R$2,C$6,C$5,$B23),"")</f>
        <v/>
      </c>
      <c r="D23" s="31" t="str">
        <f>IFERROR([1]!IntrinioBankFinancials(rssd_id,$R$2,D$6,D$5,$B23),"")</f>
        <v/>
      </c>
      <c r="E23" s="31" t="str">
        <f>IFERROR([1]!IntrinioBankFinancials(rssd_id,$R$2,E$6,E$5,$B23),"")</f>
        <v/>
      </c>
      <c r="F23" s="31" t="str">
        <f>IFERROR([1]!IntrinioBankFinancials(rssd_id,$R$2,F$6,F$5,$B23),"")</f>
        <v/>
      </c>
      <c r="G23" s="31" t="str">
        <f>IFERROR([1]!IntrinioBankFinancials(rssd_id,$R$2,G$6,G$5,$B23),"")</f>
        <v/>
      </c>
      <c r="H23" s="31" t="str">
        <f>IFERROR([1]!IntrinioBankFinancials(rssd_id,$R$2,H$6,H$5,$B23),"")</f>
        <v/>
      </c>
      <c r="I23" s="31" t="str">
        <f>IFERROR([1]!IntrinioBankFinancials(rssd_id,$R$2,I$6,I$5,$B23),"")</f>
        <v/>
      </c>
      <c r="J23" s="31" t="str">
        <f>IFERROR([1]!IntrinioBankFinancials(rssd_id,$R$2,J$6,J$5,$B23),"")</f>
        <v/>
      </c>
      <c r="K23" s="31" t="str">
        <f>IFERROR([1]!IntrinioBankFinancials(rssd_id,$R$2,K$6,K$5,$B23),"")</f>
        <v/>
      </c>
      <c r="L23" s="31" t="str">
        <f>IFERROR([1]!IntrinioBankFinancials(rssd_id,$R$2,L$6,L$5,$B23),"")</f>
        <v/>
      </c>
      <c r="M23" s="31" t="str">
        <f>IFERROR([1]!IntrinioBankFinancials(rssd_id,$R$2,M$6,M$5,$B23),"")</f>
        <v/>
      </c>
      <c r="N23" s="31" t="str">
        <f>IFERROR([1]!IntrinioBankFinancials(rssd_id,$R$2,N$6,N$5,$B23),"")</f>
        <v/>
      </c>
      <c r="O23" s="31" t="str">
        <f>IFERROR([1]!IntrinioBankFinancials(rssd_id,$R$2,O$6,O$5,$B23),"")</f>
        <v/>
      </c>
    </row>
    <row r="24" spans="1:15" ht="13.5" customHeight="1" x14ac:dyDescent="0.4">
      <c r="A24" s="34" t="s">
        <v>298</v>
      </c>
      <c r="B24" s="23" t="s">
        <v>299</v>
      </c>
      <c r="C24" s="31" t="str">
        <f>IFERROR([1]!IntrinioBankFinancials(rssd_id,$R$2,C$6,C$5,$B24),"")</f>
        <v/>
      </c>
      <c r="D24" s="31" t="str">
        <f>IFERROR([1]!IntrinioBankFinancials(rssd_id,$R$2,D$6,D$5,$B24),"")</f>
        <v/>
      </c>
      <c r="E24" s="31" t="str">
        <f>IFERROR([1]!IntrinioBankFinancials(rssd_id,$R$2,E$6,E$5,$B24),"")</f>
        <v/>
      </c>
      <c r="F24" s="31" t="str">
        <f>IFERROR([1]!IntrinioBankFinancials(rssd_id,$R$2,F$6,F$5,$B24),"")</f>
        <v/>
      </c>
      <c r="G24" s="31" t="str">
        <f>IFERROR([1]!IntrinioBankFinancials(rssd_id,$R$2,G$6,G$5,$B24),"")</f>
        <v/>
      </c>
      <c r="H24" s="31" t="str">
        <f>IFERROR([1]!IntrinioBankFinancials(rssd_id,$R$2,H$6,H$5,$B24),"")</f>
        <v/>
      </c>
      <c r="I24" s="31" t="str">
        <f>IFERROR([1]!IntrinioBankFinancials(rssd_id,$R$2,I$6,I$5,$B24),"")</f>
        <v/>
      </c>
      <c r="J24" s="31" t="str">
        <f>IFERROR([1]!IntrinioBankFinancials(rssd_id,$R$2,J$6,J$5,$B24),"")</f>
        <v/>
      </c>
      <c r="K24" s="31" t="str">
        <f>IFERROR([1]!IntrinioBankFinancials(rssd_id,$R$2,K$6,K$5,$B24),"")</f>
        <v/>
      </c>
      <c r="L24" s="31" t="str">
        <f>IFERROR([1]!IntrinioBankFinancials(rssd_id,$R$2,L$6,L$5,$B24),"")</f>
        <v/>
      </c>
      <c r="M24" s="31" t="str">
        <f>IFERROR([1]!IntrinioBankFinancials(rssd_id,$R$2,M$6,M$5,$B24),"")</f>
        <v/>
      </c>
      <c r="N24" s="31" t="str">
        <f>IFERROR([1]!IntrinioBankFinancials(rssd_id,$R$2,N$6,N$5,$B24),"")</f>
        <v/>
      </c>
      <c r="O24" s="31" t="str">
        <f>IFERROR([1]!IntrinioBankFinancials(rssd_id,$R$2,O$6,O$5,$B24),"")</f>
        <v/>
      </c>
    </row>
    <row r="25" spans="1:15" ht="13.5" customHeight="1" x14ac:dyDescent="0.4">
      <c r="A25" s="34" t="s">
        <v>300</v>
      </c>
      <c r="B25" s="23" t="s">
        <v>301</v>
      </c>
      <c r="C25" s="31" t="str">
        <f>IFERROR([1]!IntrinioBankFinancials(rssd_id,$R$2,C$6,C$5,$B25),"")</f>
        <v/>
      </c>
      <c r="D25" s="31" t="str">
        <f>IFERROR([1]!IntrinioBankFinancials(rssd_id,$R$2,D$6,D$5,$B25),"")</f>
        <v/>
      </c>
      <c r="E25" s="31" t="str">
        <f>IFERROR([1]!IntrinioBankFinancials(rssd_id,$R$2,E$6,E$5,$B25),"")</f>
        <v/>
      </c>
      <c r="F25" s="31" t="str">
        <f>IFERROR([1]!IntrinioBankFinancials(rssd_id,$R$2,F$6,F$5,$B25),"")</f>
        <v/>
      </c>
      <c r="G25" s="31" t="str">
        <f>IFERROR([1]!IntrinioBankFinancials(rssd_id,$R$2,G$6,G$5,$B25),"")</f>
        <v/>
      </c>
      <c r="H25" s="31" t="str">
        <f>IFERROR([1]!IntrinioBankFinancials(rssd_id,$R$2,H$6,H$5,$B25),"")</f>
        <v/>
      </c>
      <c r="I25" s="31" t="str">
        <f>IFERROR([1]!IntrinioBankFinancials(rssd_id,$R$2,I$6,I$5,$B25),"")</f>
        <v/>
      </c>
      <c r="J25" s="31" t="str">
        <f>IFERROR([1]!IntrinioBankFinancials(rssd_id,$R$2,J$6,J$5,$B25),"")</f>
        <v/>
      </c>
      <c r="K25" s="31" t="str">
        <f>IFERROR([1]!IntrinioBankFinancials(rssd_id,$R$2,K$6,K$5,$B25),"")</f>
        <v/>
      </c>
      <c r="L25" s="31" t="str">
        <f>IFERROR([1]!IntrinioBankFinancials(rssd_id,$R$2,L$6,L$5,$B25),"")</f>
        <v/>
      </c>
      <c r="M25" s="31" t="str">
        <f>IFERROR([1]!IntrinioBankFinancials(rssd_id,$R$2,M$6,M$5,$B25),"")</f>
        <v/>
      </c>
      <c r="N25" s="31" t="str">
        <f>IFERROR([1]!IntrinioBankFinancials(rssd_id,$R$2,N$6,N$5,$B25),"")</f>
        <v/>
      </c>
      <c r="O25" s="31" t="str">
        <f>IFERROR([1]!IntrinioBankFinancials(rssd_id,$R$2,O$6,O$5,$B25),"")</f>
        <v/>
      </c>
    </row>
    <row r="26" spans="1:15" ht="13.5" customHeight="1" x14ac:dyDescent="0.4">
      <c r="A26" s="34" t="s">
        <v>302</v>
      </c>
      <c r="B26" s="23" t="s">
        <v>303</v>
      </c>
      <c r="C26" s="31" t="str">
        <f>IFERROR([1]!IntrinioBankFinancials(rssd_id,$R$2,C$6,C$5,$B26),"")</f>
        <v/>
      </c>
      <c r="D26" s="31" t="str">
        <f>IFERROR([1]!IntrinioBankFinancials(rssd_id,$R$2,D$6,D$5,$B26),"")</f>
        <v/>
      </c>
      <c r="E26" s="31" t="str">
        <f>IFERROR([1]!IntrinioBankFinancials(rssd_id,$R$2,E$6,E$5,$B26),"")</f>
        <v/>
      </c>
      <c r="F26" s="31" t="str">
        <f>IFERROR([1]!IntrinioBankFinancials(rssd_id,$R$2,F$6,F$5,$B26),"")</f>
        <v/>
      </c>
      <c r="G26" s="31" t="str">
        <f>IFERROR([1]!IntrinioBankFinancials(rssd_id,$R$2,G$6,G$5,$B26),"")</f>
        <v/>
      </c>
      <c r="H26" s="31" t="str">
        <f>IFERROR([1]!IntrinioBankFinancials(rssd_id,$R$2,H$6,H$5,$B26),"")</f>
        <v/>
      </c>
      <c r="I26" s="31" t="str">
        <f>IFERROR([1]!IntrinioBankFinancials(rssd_id,$R$2,I$6,I$5,$B26),"")</f>
        <v/>
      </c>
      <c r="J26" s="31" t="str">
        <f>IFERROR([1]!IntrinioBankFinancials(rssd_id,$R$2,J$6,J$5,$B26),"")</f>
        <v/>
      </c>
      <c r="K26" s="31" t="str">
        <f>IFERROR([1]!IntrinioBankFinancials(rssd_id,$R$2,K$6,K$5,$B26),"")</f>
        <v/>
      </c>
      <c r="L26" s="31" t="str">
        <f>IFERROR([1]!IntrinioBankFinancials(rssd_id,$R$2,L$6,L$5,$B26),"")</f>
        <v/>
      </c>
      <c r="M26" s="31" t="str">
        <f>IFERROR([1]!IntrinioBankFinancials(rssd_id,$R$2,M$6,M$5,$B26),"")</f>
        <v/>
      </c>
      <c r="N26" s="31" t="str">
        <f>IFERROR([1]!IntrinioBankFinancials(rssd_id,$R$2,N$6,N$5,$B26),"")</f>
        <v/>
      </c>
      <c r="O26" s="31" t="str">
        <f>IFERROR([1]!IntrinioBankFinancials(rssd_id,$R$2,O$6,O$5,$B26),"")</f>
        <v/>
      </c>
    </row>
    <row r="27" spans="1:15" ht="13.5" customHeight="1" x14ac:dyDescent="0.4">
      <c r="A27" s="34" t="s">
        <v>96</v>
      </c>
      <c r="B27" s="23" t="s">
        <v>304</v>
      </c>
      <c r="C27" s="31" t="str">
        <f>IFERROR([1]!IntrinioBankFinancials(rssd_id,$R$2,C$6,C$5,$B27),"")</f>
        <v/>
      </c>
      <c r="D27" s="31" t="str">
        <f>IFERROR([1]!IntrinioBankFinancials(rssd_id,$R$2,D$6,D$5,$B27),"")</f>
        <v/>
      </c>
      <c r="E27" s="31" t="str">
        <f>IFERROR([1]!IntrinioBankFinancials(rssd_id,$R$2,E$6,E$5,$B27),"")</f>
        <v/>
      </c>
      <c r="F27" s="31" t="str">
        <f>IFERROR([1]!IntrinioBankFinancials(rssd_id,$R$2,F$6,F$5,$B27),"")</f>
        <v/>
      </c>
      <c r="G27" s="31" t="str">
        <f>IFERROR([1]!IntrinioBankFinancials(rssd_id,$R$2,G$6,G$5,$B27),"")</f>
        <v/>
      </c>
      <c r="H27" s="31" t="str">
        <f>IFERROR([1]!IntrinioBankFinancials(rssd_id,$R$2,H$6,H$5,$B27),"")</f>
        <v/>
      </c>
      <c r="I27" s="31" t="str">
        <f>IFERROR([1]!IntrinioBankFinancials(rssd_id,$R$2,I$6,I$5,$B27),"")</f>
        <v/>
      </c>
      <c r="J27" s="31" t="str">
        <f>IFERROR([1]!IntrinioBankFinancials(rssd_id,$R$2,J$6,J$5,$B27),"")</f>
        <v/>
      </c>
      <c r="K27" s="31" t="str">
        <f>IFERROR([1]!IntrinioBankFinancials(rssd_id,$R$2,K$6,K$5,$B27),"")</f>
        <v/>
      </c>
      <c r="L27" s="31" t="str">
        <f>IFERROR([1]!IntrinioBankFinancials(rssd_id,$R$2,L$6,L$5,$B27),"")</f>
        <v/>
      </c>
      <c r="M27" s="31" t="str">
        <f>IFERROR([1]!IntrinioBankFinancials(rssd_id,$R$2,M$6,M$5,$B27),"")</f>
        <v/>
      </c>
      <c r="N27" s="31" t="str">
        <f>IFERROR([1]!IntrinioBankFinancials(rssd_id,$R$2,N$6,N$5,$B27),"")</f>
        <v/>
      </c>
      <c r="O27" s="31" t="str">
        <f>IFERROR([1]!IntrinioBankFinancials(rssd_id,$R$2,O$6,O$5,$B27),"")</f>
        <v/>
      </c>
    </row>
    <row r="28" spans="1:15" s="22" customFormat="1" ht="13.5" customHeight="1" x14ac:dyDescent="0.4">
      <c r="A28" s="33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</row>
    <row r="29" spans="1:15" s="22" customFormat="1" ht="13.5" customHeight="1" x14ac:dyDescent="0.4">
      <c r="A29" s="33" t="s">
        <v>503</v>
      </c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</row>
    <row r="30" spans="1:15" ht="13.5" customHeight="1" x14ac:dyDescent="0.4">
      <c r="A30" s="34" t="s">
        <v>305</v>
      </c>
      <c r="B30" s="23" t="s">
        <v>306</v>
      </c>
      <c r="C30" s="31" t="str">
        <f>IFERROR([1]!IntrinioBankFinancials(rssd_id,$R$2,C$6,C$5,$B30),"")</f>
        <v/>
      </c>
      <c r="D30" s="31" t="str">
        <f>IFERROR([1]!IntrinioBankFinancials(rssd_id,$R$2,D$6,D$5,$B30),"")</f>
        <v/>
      </c>
      <c r="E30" s="31" t="str">
        <f>IFERROR([1]!IntrinioBankFinancials(rssd_id,$R$2,E$6,E$5,$B30),"")</f>
        <v/>
      </c>
      <c r="F30" s="31" t="str">
        <f>IFERROR([1]!IntrinioBankFinancials(rssd_id,$R$2,F$6,F$5,$B30),"")</f>
        <v/>
      </c>
      <c r="G30" s="31" t="str">
        <f>IFERROR([1]!IntrinioBankFinancials(rssd_id,$R$2,G$6,G$5,$B30),"")</f>
        <v/>
      </c>
      <c r="H30" s="31" t="str">
        <f>IFERROR([1]!IntrinioBankFinancials(rssd_id,$R$2,H$6,H$5,$B30),"")</f>
        <v/>
      </c>
      <c r="I30" s="31" t="str">
        <f>IFERROR([1]!IntrinioBankFinancials(rssd_id,$R$2,I$6,I$5,$B30),"")</f>
        <v/>
      </c>
      <c r="J30" s="31" t="str">
        <f>IFERROR([1]!IntrinioBankFinancials(rssd_id,$R$2,J$6,J$5,$B30),"")</f>
        <v/>
      </c>
      <c r="K30" s="31" t="str">
        <f>IFERROR([1]!IntrinioBankFinancials(rssd_id,$R$2,K$6,K$5,$B30),"")</f>
        <v/>
      </c>
      <c r="L30" s="31" t="str">
        <f>IFERROR([1]!IntrinioBankFinancials(rssd_id,$R$2,L$6,L$5,$B30),"")</f>
        <v/>
      </c>
      <c r="M30" s="31" t="str">
        <f>IFERROR([1]!IntrinioBankFinancials(rssd_id,$R$2,M$6,M$5,$B30),"")</f>
        <v/>
      </c>
      <c r="N30" s="31" t="str">
        <f>IFERROR([1]!IntrinioBankFinancials(rssd_id,$R$2,N$6,N$5,$B30),"")</f>
        <v/>
      </c>
      <c r="O30" s="31" t="str">
        <f>IFERROR([1]!IntrinioBankFinancials(rssd_id,$R$2,O$6,O$5,$B30),"")</f>
        <v/>
      </c>
    </row>
    <row r="31" spans="1:15" ht="13.5" customHeight="1" x14ac:dyDescent="0.4">
      <c r="A31" s="34" t="s">
        <v>307</v>
      </c>
      <c r="B31" s="23" t="s">
        <v>308</v>
      </c>
      <c r="C31" s="31" t="str">
        <f>IFERROR([1]!IntrinioBankFinancials(rssd_id,$R$2,C$6,C$5,$B31),"")</f>
        <v/>
      </c>
      <c r="D31" s="31" t="str">
        <f>IFERROR([1]!IntrinioBankFinancials(rssd_id,$R$2,D$6,D$5,$B31),"")</f>
        <v/>
      </c>
      <c r="E31" s="31" t="str">
        <f>IFERROR([1]!IntrinioBankFinancials(rssd_id,$R$2,E$6,E$5,$B31),"")</f>
        <v/>
      </c>
      <c r="F31" s="31" t="str">
        <f>IFERROR([1]!IntrinioBankFinancials(rssd_id,$R$2,F$6,F$5,$B31),"")</f>
        <v/>
      </c>
      <c r="G31" s="31" t="str">
        <f>IFERROR([1]!IntrinioBankFinancials(rssd_id,$R$2,G$6,G$5,$B31),"")</f>
        <v/>
      </c>
      <c r="H31" s="31" t="str">
        <f>IFERROR([1]!IntrinioBankFinancials(rssd_id,$R$2,H$6,H$5,$B31),"")</f>
        <v/>
      </c>
      <c r="I31" s="31" t="str">
        <f>IFERROR([1]!IntrinioBankFinancials(rssd_id,$R$2,I$6,I$5,$B31),"")</f>
        <v/>
      </c>
      <c r="J31" s="31" t="str">
        <f>IFERROR([1]!IntrinioBankFinancials(rssd_id,$R$2,J$6,J$5,$B31),"")</f>
        <v/>
      </c>
      <c r="K31" s="31" t="str">
        <f>IFERROR([1]!IntrinioBankFinancials(rssd_id,$R$2,K$6,K$5,$B31),"")</f>
        <v/>
      </c>
      <c r="L31" s="31" t="str">
        <f>IFERROR([1]!IntrinioBankFinancials(rssd_id,$R$2,L$6,L$5,$B31),"")</f>
        <v/>
      </c>
      <c r="M31" s="31" t="str">
        <f>IFERROR([1]!IntrinioBankFinancials(rssd_id,$R$2,M$6,M$5,$B31),"")</f>
        <v/>
      </c>
      <c r="N31" s="31" t="str">
        <f>IFERROR([1]!IntrinioBankFinancials(rssd_id,$R$2,N$6,N$5,$B31),"")</f>
        <v/>
      </c>
      <c r="O31" s="31" t="str">
        <f>IFERROR([1]!IntrinioBankFinancials(rssd_id,$R$2,O$6,O$5,$B31),"")</f>
        <v/>
      </c>
    </row>
    <row r="32" spans="1:15" ht="13.5" customHeight="1" x14ac:dyDescent="0.4">
      <c r="A32" s="34" t="s">
        <v>309</v>
      </c>
      <c r="B32" s="23" t="s">
        <v>310</v>
      </c>
      <c r="C32" s="31" t="str">
        <f>IFERROR([1]!IntrinioBankFinancials(rssd_id,$R$2,C$6,C$5,$B32),"")</f>
        <v/>
      </c>
      <c r="D32" s="31" t="str">
        <f>IFERROR([1]!IntrinioBankFinancials(rssd_id,$R$2,D$6,D$5,$B32),"")</f>
        <v/>
      </c>
      <c r="E32" s="31" t="str">
        <f>IFERROR([1]!IntrinioBankFinancials(rssd_id,$R$2,E$6,E$5,$B32),"")</f>
        <v/>
      </c>
      <c r="F32" s="31" t="str">
        <f>IFERROR([1]!IntrinioBankFinancials(rssd_id,$R$2,F$6,F$5,$B32),"")</f>
        <v/>
      </c>
      <c r="G32" s="31" t="str">
        <f>IFERROR([1]!IntrinioBankFinancials(rssd_id,$R$2,G$6,G$5,$B32),"")</f>
        <v/>
      </c>
      <c r="H32" s="31" t="str">
        <f>IFERROR([1]!IntrinioBankFinancials(rssd_id,$R$2,H$6,H$5,$B32),"")</f>
        <v/>
      </c>
      <c r="I32" s="31" t="str">
        <f>IFERROR([1]!IntrinioBankFinancials(rssd_id,$R$2,I$6,I$5,$B32),"")</f>
        <v/>
      </c>
      <c r="J32" s="31" t="str">
        <f>IFERROR([1]!IntrinioBankFinancials(rssd_id,$R$2,J$6,J$5,$B32),"")</f>
        <v/>
      </c>
      <c r="K32" s="31" t="str">
        <f>IFERROR([1]!IntrinioBankFinancials(rssd_id,$R$2,K$6,K$5,$B32),"")</f>
        <v/>
      </c>
      <c r="L32" s="31" t="str">
        <f>IFERROR([1]!IntrinioBankFinancials(rssd_id,$R$2,L$6,L$5,$B32),"")</f>
        <v/>
      </c>
      <c r="M32" s="31" t="str">
        <f>IFERROR([1]!IntrinioBankFinancials(rssd_id,$R$2,M$6,M$5,$B32),"")</f>
        <v/>
      </c>
      <c r="N32" s="31" t="str">
        <f>IFERROR([1]!IntrinioBankFinancials(rssd_id,$R$2,N$6,N$5,$B32),"")</f>
        <v/>
      </c>
      <c r="O32" s="31" t="str">
        <f>IFERROR([1]!IntrinioBankFinancials(rssd_id,$R$2,O$6,O$5,$B32),"")</f>
        <v/>
      </c>
    </row>
    <row r="33" spans="1:15" ht="13.5" customHeight="1" x14ac:dyDescent="0.4">
      <c r="A33" s="34" t="s">
        <v>311</v>
      </c>
      <c r="B33" s="23" t="s">
        <v>312</v>
      </c>
      <c r="C33" s="31" t="str">
        <f>IFERROR([1]!IntrinioBankFinancials(rssd_id,$R$2,C$6,C$5,$B33),"")</f>
        <v/>
      </c>
      <c r="D33" s="31" t="str">
        <f>IFERROR([1]!IntrinioBankFinancials(rssd_id,$R$2,D$6,D$5,$B33),"")</f>
        <v/>
      </c>
      <c r="E33" s="31" t="str">
        <f>IFERROR([1]!IntrinioBankFinancials(rssd_id,$R$2,E$6,E$5,$B33),"")</f>
        <v/>
      </c>
      <c r="F33" s="31" t="str">
        <f>IFERROR([1]!IntrinioBankFinancials(rssd_id,$R$2,F$6,F$5,$B33),"")</f>
        <v/>
      </c>
      <c r="G33" s="31" t="str">
        <f>IFERROR([1]!IntrinioBankFinancials(rssd_id,$R$2,G$6,G$5,$B33),"")</f>
        <v/>
      </c>
      <c r="H33" s="31" t="str">
        <f>IFERROR([1]!IntrinioBankFinancials(rssd_id,$R$2,H$6,H$5,$B33),"")</f>
        <v/>
      </c>
      <c r="I33" s="31" t="str">
        <f>IFERROR([1]!IntrinioBankFinancials(rssd_id,$R$2,I$6,I$5,$B33),"")</f>
        <v/>
      </c>
      <c r="J33" s="31" t="str">
        <f>IFERROR([1]!IntrinioBankFinancials(rssd_id,$R$2,J$6,J$5,$B33),"")</f>
        <v/>
      </c>
      <c r="K33" s="31" t="str">
        <f>IFERROR([1]!IntrinioBankFinancials(rssd_id,$R$2,K$6,K$5,$B33),"")</f>
        <v/>
      </c>
      <c r="L33" s="31" t="str">
        <f>IFERROR([1]!IntrinioBankFinancials(rssd_id,$R$2,L$6,L$5,$B33),"")</f>
        <v/>
      </c>
      <c r="M33" s="31" t="str">
        <f>IFERROR([1]!IntrinioBankFinancials(rssd_id,$R$2,M$6,M$5,$B33),"")</f>
        <v/>
      </c>
      <c r="N33" s="31" t="str">
        <f>IFERROR([1]!IntrinioBankFinancials(rssd_id,$R$2,N$6,N$5,$B33),"")</f>
        <v/>
      </c>
      <c r="O33" s="31" t="str">
        <f>IFERROR([1]!IntrinioBankFinancials(rssd_id,$R$2,O$6,O$5,$B33),"")</f>
        <v/>
      </c>
    </row>
    <row r="34" spans="1:15" ht="13.5" customHeight="1" x14ac:dyDescent="0.4">
      <c r="A34" s="34" t="s">
        <v>313</v>
      </c>
      <c r="B34" s="23" t="s">
        <v>314</v>
      </c>
      <c r="C34" s="31" t="str">
        <f>IFERROR([1]!IntrinioBankFinancials(rssd_id,$R$2,C$6,C$5,$B34),"")</f>
        <v/>
      </c>
      <c r="D34" s="31" t="str">
        <f>IFERROR([1]!IntrinioBankFinancials(rssd_id,$R$2,D$6,D$5,$B34),"")</f>
        <v/>
      </c>
      <c r="E34" s="31" t="str">
        <f>IFERROR([1]!IntrinioBankFinancials(rssd_id,$R$2,E$6,E$5,$B34),"")</f>
        <v/>
      </c>
      <c r="F34" s="31" t="str">
        <f>IFERROR([1]!IntrinioBankFinancials(rssd_id,$R$2,F$6,F$5,$B34),"")</f>
        <v/>
      </c>
      <c r="G34" s="31" t="str">
        <f>IFERROR([1]!IntrinioBankFinancials(rssd_id,$R$2,G$6,G$5,$B34),"")</f>
        <v/>
      </c>
      <c r="H34" s="31" t="str">
        <f>IFERROR([1]!IntrinioBankFinancials(rssd_id,$R$2,H$6,H$5,$B34),"")</f>
        <v/>
      </c>
      <c r="I34" s="31" t="str">
        <f>IFERROR([1]!IntrinioBankFinancials(rssd_id,$R$2,I$6,I$5,$B34),"")</f>
        <v/>
      </c>
      <c r="J34" s="31" t="str">
        <f>IFERROR([1]!IntrinioBankFinancials(rssd_id,$R$2,J$6,J$5,$B34),"")</f>
        <v/>
      </c>
      <c r="K34" s="31" t="str">
        <f>IFERROR([1]!IntrinioBankFinancials(rssd_id,$R$2,K$6,K$5,$B34),"")</f>
        <v/>
      </c>
      <c r="L34" s="31" t="str">
        <f>IFERROR([1]!IntrinioBankFinancials(rssd_id,$R$2,L$6,L$5,$B34),"")</f>
        <v/>
      </c>
      <c r="M34" s="31" t="str">
        <f>IFERROR([1]!IntrinioBankFinancials(rssd_id,$R$2,M$6,M$5,$B34),"")</f>
        <v/>
      </c>
      <c r="N34" s="31" t="str">
        <f>IFERROR([1]!IntrinioBankFinancials(rssd_id,$R$2,N$6,N$5,$B34),"")</f>
        <v/>
      </c>
      <c r="O34" s="31" t="str">
        <f>IFERROR([1]!IntrinioBankFinancials(rssd_id,$R$2,O$6,O$5,$B34),"")</f>
        <v/>
      </c>
    </row>
    <row r="35" spans="1:15" ht="13.5" customHeight="1" x14ac:dyDescent="0.4">
      <c r="A35" s="34" t="s">
        <v>315</v>
      </c>
      <c r="B35" s="23" t="s">
        <v>316</v>
      </c>
      <c r="C35" s="31" t="str">
        <f>IFERROR([1]!IntrinioBankFinancials(rssd_id,$R$2,C$6,C$5,$B35),"")</f>
        <v/>
      </c>
      <c r="D35" s="31" t="str">
        <f>IFERROR([1]!IntrinioBankFinancials(rssd_id,$R$2,D$6,D$5,$B35),"")</f>
        <v/>
      </c>
      <c r="E35" s="31" t="str">
        <f>IFERROR([1]!IntrinioBankFinancials(rssd_id,$R$2,E$6,E$5,$B35),"")</f>
        <v/>
      </c>
      <c r="F35" s="31" t="str">
        <f>IFERROR([1]!IntrinioBankFinancials(rssd_id,$R$2,F$6,F$5,$B35),"")</f>
        <v/>
      </c>
      <c r="G35" s="31" t="str">
        <f>IFERROR([1]!IntrinioBankFinancials(rssd_id,$R$2,G$6,G$5,$B35),"")</f>
        <v/>
      </c>
      <c r="H35" s="31" t="str">
        <f>IFERROR([1]!IntrinioBankFinancials(rssd_id,$R$2,H$6,H$5,$B35),"")</f>
        <v/>
      </c>
      <c r="I35" s="31" t="str">
        <f>IFERROR([1]!IntrinioBankFinancials(rssd_id,$R$2,I$6,I$5,$B35),"")</f>
        <v/>
      </c>
      <c r="J35" s="31" t="str">
        <f>IFERROR([1]!IntrinioBankFinancials(rssd_id,$R$2,J$6,J$5,$B35),"")</f>
        <v/>
      </c>
      <c r="K35" s="31" t="str">
        <f>IFERROR([1]!IntrinioBankFinancials(rssd_id,$R$2,K$6,K$5,$B35),"")</f>
        <v/>
      </c>
      <c r="L35" s="31" t="str">
        <f>IFERROR([1]!IntrinioBankFinancials(rssd_id,$R$2,L$6,L$5,$B35),"")</f>
        <v/>
      </c>
      <c r="M35" s="31" t="str">
        <f>IFERROR([1]!IntrinioBankFinancials(rssd_id,$R$2,M$6,M$5,$B35),"")</f>
        <v/>
      </c>
      <c r="N35" s="31" t="str">
        <f>IFERROR([1]!IntrinioBankFinancials(rssd_id,$R$2,N$6,N$5,$B35),"")</f>
        <v/>
      </c>
      <c r="O35" s="31" t="str">
        <f>IFERROR([1]!IntrinioBankFinancials(rssd_id,$R$2,O$6,O$5,$B35),"")</f>
        <v/>
      </c>
    </row>
    <row r="36" spans="1:15" ht="13.5" customHeight="1" x14ac:dyDescent="0.4">
      <c r="A36" s="34" t="s">
        <v>317</v>
      </c>
      <c r="B36" s="23" t="s">
        <v>318</v>
      </c>
      <c r="C36" s="31" t="str">
        <f>IFERROR([1]!IntrinioBankFinancials(rssd_id,$R$2,C$6,C$5,$B36),"")</f>
        <v/>
      </c>
      <c r="D36" s="31" t="str">
        <f>IFERROR([1]!IntrinioBankFinancials(rssd_id,$R$2,D$6,D$5,$B36),"")</f>
        <v/>
      </c>
      <c r="E36" s="31" t="str">
        <f>IFERROR([1]!IntrinioBankFinancials(rssd_id,$R$2,E$6,E$5,$B36),"")</f>
        <v/>
      </c>
      <c r="F36" s="31" t="str">
        <f>IFERROR([1]!IntrinioBankFinancials(rssd_id,$R$2,F$6,F$5,$B36),"")</f>
        <v/>
      </c>
      <c r="G36" s="31" t="str">
        <f>IFERROR([1]!IntrinioBankFinancials(rssd_id,$R$2,G$6,G$5,$B36),"")</f>
        <v/>
      </c>
      <c r="H36" s="31" t="str">
        <f>IFERROR([1]!IntrinioBankFinancials(rssd_id,$R$2,H$6,H$5,$B36),"")</f>
        <v/>
      </c>
      <c r="I36" s="31" t="str">
        <f>IFERROR([1]!IntrinioBankFinancials(rssd_id,$R$2,I$6,I$5,$B36),"")</f>
        <v/>
      </c>
      <c r="J36" s="31" t="str">
        <f>IFERROR([1]!IntrinioBankFinancials(rssd_id,$R$2,J$6,J$5,$B36),"")</f>
        <v/>
      </c>
      <c r="K36" s="31" t="str">
        <f>IFERROR([1]!IntrinioBankFinancials(rssd_id,$R$2,K$6,K$5,$B36),"")</f>
        <v/>
      </c>
      <c r="L36" s="31" t="str">
        <f>IFERROR([1]!IntrinioBankFinancials(rssd_id,$R$2,L$6,L$5,$B36),"")</f>
        <v/>
      </c>
      <c r="M36" s="31" t="str">
        <f>IFERROR([1]!IntrinioBankFinancials(rssd_id,$R$2,M$6,M$5,$B36),"")</f>
        <v/>
      </c>
      <c r="N36" s="31" t="str">
        <f>IFERROR([1]!IntrinioBankFinancials(rssd_id,$R$2,N$6,N$5,$B36),"")</f>
        <v/>
      </c>
      <c r="O36" s="31" t="str">
        <f>IFERROR([1]!IntrinioBankFinancials(rssd_id,$R$2,O$6,O$5,$B36),"")</f>
        <v/>
      </c>
    </row>
    <row r="37" spans="1:15" ht="13.5" customHeight="1" x14ac:dyDescent="0.4">
      <c r="A37" s="34" t="s">
        <v>319</v>
      </c>
      <c r="B37" s="23" t="s">
        <v>320</v>
      </c>
      <c r="C37" s="31" t="str">
        <f>IFERROR([1]!IntrinioBankFinancials(rssd_id,$R$2,C$6,C$5,$B37),"")</f>
        <v/>
      </c>
      <c r="D37" s="31" t="str">
        <f>IFERROR([1]!IntrinioBankFinancials(rssd_id,$R$2,D$6,D$5,$B37),"")</f>
        <v/>
      </c>
      <c r="E37" s="31" t="str">
        <f>IFERROR([1]!IntrinioBankFinancials(rssd_id,$R$2,E$6,E$5,$B37),"")</f>
        <v/>
      </c>
      <c r="F37" s="31" t="str">
        <f>IFERROR([1]!IntrinioBankFinancials(rssd_id,$R$2,F$6,F$5,$B37),"")</f>
        <v/>
      </c>
      <c r="G37" s="31" t="str">
        <f>IFERROR([1]!IntrinioBankFinancials(rssd_id,$R$2,G$6,G$5,$B37),"")</f>
        <v/>
      </c>
      <c r="H37" s="31" t="str">
        <f>IFERROR([1]!IntrinioBankFinancials(rssd_id,$R$2,H$6,H$5,$B37),"")</f>
        <v/>
      </c>
      <c r="I37" s="31" t="str">
        <f>IFERROR([1]!IntrinioBankFinancials(rssd_id,$R$2,I$6,I$5,$B37),"")</f>
        <v/>
      </c>
      <c r="J37" s="31" t="str">
        <f>IFERROR([1]!IntrinioBankFinancials(rssd_id,$R$2,J$6,J$5,$B37),"")</f>
        <v/>
      </c>
      <c r="K37" s="31" t="str">
        <f>IFERROR([1]!IntrinioBankFinancials(rssd_id,$R$2,K$6,K$5,$B37),"")</f>
        <v/>
      </c>
      <c r="L37" s="31" t="str">
        <f>IFERROR([1]!IntrinioBankFinancials(rssd_id,$R$2,L$6,L$5,$B37),"")</f>
        <v/>
      </c>
      <c r="M37" s="31" t="str">
        <f>IFERROR([1]!IntrinioBankFinancials(rssd_id,$R$2,M$6,M$5,$B37),"")</f>
        <v/>
      </c>
      <c r="N37" s="31" t="str">
        <f>IFERROR([1]!IntrinioBankFinancials(rssd_id,$R$2,N$6,N$5,$B37),"")</f>
        <v/>
      </c>
      <c r="O37" s="31" t="str">
        <f>IFERROR([1]!IntrinioBankFinancials(rssd_id,$R$2,O$6,O$5,$B37),"")</f>
        <v/>
      </c>
    </row>
    <row r="38" spans="1:15" ht="13.5" customHeight="1" x14ac:dyDescent="0.4">
      <c r="A38" s="34" t="s">
        <v>321</v>
      </c>
      <c r="B38" s="23" t="s">
        <v>322</v>
      </c>
      <c r="C38" s="31" t="str">
        <f>IFERROR([1]!IntrinioBankFinancials(rssd_id,$R$2,C$6,C$5,$B38),"")</f>
        <v/>
      </c>
      <c r="D38" s="31" t="str">
        <f>IFERROR([1]!IntrinioBankFinancials(rssd_id,$R$2,D$6,D$5,$B38),"")</f>
        <v/>
      </c>
      <c r="E38" s="31" t="str">
        <f>IFERROR([1]!IntrinioBankFinancials(rssd_id,$R$2,E$6,E$5,$B38),"")</f>
        <v/>
      </c>
      <c r="F38" s="31" t="str">
        <f>IFERROR([1]!IntrinioBankFinancials(rssd_id,$R$2,F$6,F$5,$B38),"")</f>
        <v/>
      </c>
      <c r="G38" s="31" t="str">
        <f>IFERROR([1]!IntrinioBankFinancials(rssd_id,$R$2,G$6,G$5,$B38),"")</f>
        <v/>
      </c>
      <c r="H38" s="31" t="str">
        <f>IFERROR([1]!IntrinioBankFinancials(rssd_id,$R$2,H$6,H$5,$B38),"")</f>
        <v/>
      </c>
      <c r="I38" s="31" t="str">
        <f>IFERROR([1]!IntrinioBankFinancials(rssd_id,$R$2,I$6,I$5,$B38),"")</f>
        <v/>
      </c>
      <c r="J38" s="31" t="str">
        <f>IFERROR([1]!IntrinioBankFinancials(rssd_id,$R$2,J$6,J$5,$B38),"")</f>
        <v/>
      </c>
      <c r="K38" s="31" t="str">
        <f>IFERROR([1]!IntrinioBankFinancials(rssd_id,$R$2,K$6,K$5,$B38),"")</f>
        <v/>
      </c>
      <c r="L38" s="31" t="str">
        <f>IFERROR([1]!IntrinioBankFinancials(rssd_id,$R$2,L$6,L$5,$B38),"")</f>
        <v/>
      </c>
      <c r="M38" s="31" t="str">
        <f>IFERROR([1]!IntrinioBankFinancials(rssd_id,$R$2,M$6,M$5,$B38),"")</f>
        <v/>
      </c>
      <c r="N38" s="31" t="str">
        <f>IFERROR([1]!IntrinioBankFinancials(rssd_id,$R$2,N$6,N$5,$B38),"")</f>
        <v/>
      </c>
      <c r="O38" s="31" t="str">
        <f>IFERROR([1]!IntrinioBankFinancials(rssd_id,$R$2,O$6,O$5,$B38),"")</f>
        <v/>
      </c>
    </row>
    <row r="39" spans="1:15" ht="13.5" customHeight="1" x14ac:dyDescent="0.4">
      <c r="A39" s="34" t="s">
        <v>323</v>
      </c>
      <c r="B39" s="23" t="s">
        <v>324</v>
      </c>
      <c r="C39" s="31" t="str">
        <f>IFERROR([1]!IntrinioBankFinancials(rssd_id,$R$2,C$6,C$5,$B39),"")</f>
        <v/>
      </c>
      <c r="D39" s="31" t="str">
        <f>IFERROR([1]!IntrinioBankFinancials(rssd_id,$R$2,D$6,D$5,$B39),"")</f>
        <v/>
      </c>
      <c r="E39" s="31" t="str">
        <f>IFERROR([1]!IntrinioBankFinancials(rssd_id,$R$2,E$6,E$5,$B39),"")</f>
        <v/>
      </c>
      <c r="F39" s="31" t="str">
        <f>IFERROR([1]!IntrinioBankFinancials(rssd_id,$R$2,F$6,F$5,$B39),"")</f>
        <v/>
      </c>
      <c r="G39" s="31" t="str">
        <f>IFERROR([1]!IntrinioBankFinancials(rssd_id,$R$2,G$6,G$5,$B39),"")</f>
        <v/>
      </c>
      <c r="H39" s="31" t="str">
        <f>IFERROR([1]!IntrinioBankFinancials(rssd_id,$R$2,H$6,H$5,$B39),"")</f>
        <v/>
      </c>
      <c r="I39" s="31" t="str">
        <f>IFERROR([1]!IntrinioBankFinancials(rssd_id,$R$2,I$6,I$5,$B39),"")</f>
        <v/>
      </c>
      <c r="J39" s="31" t="str">
        <f>IFERROR([1]!IntrinioBankFinancials(rssd_id,$R$2,J$6,J$5,$B39),"")</f>
        <v/>
      </c>
      <c r="K39" s="31" t="str">
        <f>IFERROR([1]!IntrinioBankFinancials(rssd_id,$R$2,K$6,K$5,$B39),"")</f>
        <v/>
      </c>
      <c r="L39" s="31" t="str">
        <f>IFERROR([1]!IntrinioBankFinancials(rssd_id,$R$2,L$6,L$5,$B39),"")</f>
        <v/>
      </c>
      <c r="M39" s="31" t="str">
        <f>IFERROR([1]!IntrinioBankFinancials(rssd_id,$R$2,M$6,M$5,$B39),"")</f>
        <v/>
      </c>
      <c r="N39" s="31" t="str">
        <f>IFERROR([1]!IntrinioBankFinancials(rssd_id,$R$2,N$6,N$5,$B39),"")</f>
        <v/>
      </c>
      <c r="O39" s="31" t="str">
        <f>IFERROR([1]!IntrinioBankFinancials(rssd_id,$R$2,O$6,O$5,$B39),"")</f>
        <v/>
      </c>
    </row>
    <row r="40" spans="1:15" ht="13.5" customHeight="1" x14ac:dyDescent="0.4">
      <c r="A40" s="34" t="s">
        <v>325</v>
      </c>
      <c r="B40" s="23" t="s">
        <v>326</v>
      </c>
      <c r="C40" s="31" t="str">
        <f>IFERROR([1]!IntrinioBankFinancials(rssd_id,$R$2,C$6,C$5,$B40),"")</f>
        <v/>
      </c>
      <c r="D40" s="31" t="str">
        <f>IFERROR([1]!IntrinioBankFinancials(rssd_id,$R$2,D$6,D$5,$B40),"")</f>
        <v/>
      </c>
      <c r="E40" s="31" t="str">
        <f>IFERROR([1]!IntrinioBankFinancials(rssd_id,$R$2,E$6,E$5,$B40),"")</f>
        <v/>
      </c>
      <c r="F40" s="31" t="str">
        <f>IFERROR([1]!IntrinioBankFinancials(rssd_id,$R$2,F$6,F$5,$B40),"")</f>
        <v/>
      </c>
      <c r="G40" s="31" t="str">
        <f>IFERROR([1]!IntrinioBankFinancials(rssd_id,$R$2,G$6,G$5,$B40),"")</f>
        <v/>
      </c>
      <c r="H40" s="31" t="str">
        <f>IFERROR([1]!IntrinioBankFinancials(rssd_id,$R$2,H$6,H$5,$B40),"")</f>
        <v/>
      </c>
      <c r="I40" s="31" t="str">
        <f>IFERROR([1]!IntrinioBankFinancials(rssd_id,$R$2,I$6,I$5,$B40),"")</f>
        <v/>
      </c>
      <c r="J40" s="31" t="str">
        <f>IFERROR([1]!IntrinioBankFinancials(rssd_id,$R$2,J$6,J$5,$B40),"")</f>
        <v/>
      </c>
      <c r="K40" s="31" t="str">
        <f>IFERROR([1]!IntrinioBankFinancials(rssd_id,$R$2,K$6,K$5,$B40),"")</f>
        <v/>
      </c>
      <c r="L40" s="31" t="str">
        <f>IFERROR([1]!IntrinioBankFinancials(rssd_id,$R$2,L$6,L$5,$B40),"")</f>
        <v/>
      </c>
      <c r="M40" s="31" t="str">
        <f>IFERROR([1]!IntrinioBankFinancials(rssd_id,$R$2,M$6,M$5,$B40),"")</f>
        <v/>
      </c>
      <c r="N40" s="31" t="str">
        <f>IFERROR([1]!IntrinioBankFinancials(rssd_id,$R$2,N$6,N$5,$B40),"")</f>
        <v/>
      </c>
      <c r="O40" s="31" t="str">
        <f>IFERROR([1]!IntrinioBankFinancials(rssd_id,$R$2,O$6,O$5,$B40),"")</f>
        <v/>
      </c>
    </row>
    <row r="41" spans="1:15" ht="13.5" customHeight="1" x14ac:dyDescent="0.4">
      <c r="A41" s="34" t="s">
        <v>327</v>
      </c>
      <c r="B41" s="23" t="s">
        <v>328</v>
      </c>
      <c r="C41" s="31" t="str">
        <f>IFERROR([1]!IntrinioBankFinancials(rssd_id,$R$2,C$6,C$5,$B41),"")</f>
        <v/>
      </c>
      <c r="D41" s="31" t="str">
        <f>IFERROR([1]!IntrinioBankFinancials(rssd_id,$R$2,D$6,D$5,$B41),"")</f>
        <v/>
      </c>
      <c r="E41" s="31" t="str">
        <f>IFERROR([1]!IntrinioBankFinancials(rssd_id,$R$2,E$6,E$5,$B41),"")</f>
        <v/>
      </c>
      <c r="F41" s="31" t="str">
        <f>IFERROR([1]!IntrinioBankFinancials(rssd_id,$R$2,F$6,F$5,$B41),"")</f>
        <v/>
      </c>
      <c r="G41" s="31" t="str">
        <f>IFERROR([1]!IntrinioBankFinancials(rssd_id,$R$2,G$6,G$5,$B41),"")</f>
        <v/>
      </c>
      <c r="H41" s="31" t="str">
        <f>IFERROR([1]!IntrinioBankFinancials(rssd_id,$R$2,H$6,H$5,$B41),"")</f>
        <v/>
      </c>
      <c r="I41" s="31" t="str">
        <f>IFERROR([1]!IntrinioBankFinancials(rssd_id,$R$2,I$6,I$5,$B41),"")</f>
        <v/>
      </c>
      <c r="J41" s="31" t="str">
        <f>IFERROR([1]!IntrinioBankFinancials(rssd_id,$R$2,J$6,J$5,$B41),"")</f>
        <v/>
      </c>
      <c r="K41" s="31" t="str">
        <f>IFERROR([1]!IntrinioBankFinancials(rssd_id,$R$2,K$6,K$5,$B41),"")</f>
        <v/>
      </c>
      <c r="L41" s="31" t="str">
        <f>IFERROR([1]!IntrinioBankFinancials(rssd_id,$R$2,L$6,L$5,$B41),"")</f>
        <v/>
      </c>
      <c r="M41" s="31" t="str">
        <f>IFERROR([1]!IntrinioBankFinancials(rssd_id,$R$2,M$6,M$5,$B41),"")</f>
        <v/>
      </c>
      <c r="N41" s="31" t="str">
        <f>IFERROR([1]!IntrinioBankFinancials(rssd_id,$R$2,N$6,N$5,$B41),"")</f>
        <v/>
      </c>
      <c r="O41" s="31" t="str">
        <f>IFERROR([1]!IntrinioBankFinancials(rssd_id,$R$2,O$6,O$5,$B41),"")</f>
        <v/>
      </c>
    </row>
    <row r="42" spans="1:15" ht="13.5" customHeight="1" x14ac:dyDescent="0.4">
      <c r="A42" s="34" t="s">
        <v>329</v>
      </c>
      <c r="B42" s="23" t="s">
        <v>330</v>
      </c>
      <c r="C42" s="31" t="str">
        <f>IFERROR([1]!IntrinioBankFinancials(rssd_id,$R$2,C$6,C$5,$B42),"")</f>
        <v/>
      </c>
      <c r="D42" s="31" t="str">
        <f>IFERROR([1]!IntrinioBankFinancials(rssd_id,$R$2,D$6,D$5,$B42),"")</f>
        <v/>
      </c>
      <c r="E42" s="31" t="str">
        <f>IFERROR([1]!IntrinioBankFinancials(rssd_id,$R$2,E$6,E$5,$B42),"")</f>
        <v/>
      </c>
      <c r="F42" s="31" t="str">
        <f>IFERROR([1]!IntrinioBankFinancials(rssd_id,$R$2,F$6,F$5,$B42),"")</f>
        <v/>
      </c>
      <c r="G42" s="31" t="str">
        <f>IFERROR([1]!IntrinioBankFinancials(rssd_id,$R$2,G$6,G$5,$B42),"")</f>
        <v/>
      </c>
      <c r="H42" s="31" t="str">
        <f>IFERROR([1]!IntrinioBankFinancials(rssd_id,$R$2,H$6,H$5,$B42),"")</f>
        <v/>
      </c>
      <c r="I42" s="31" t="str">
        <f>IFERROR([1]!IntrinioBankFinancials(rssd_id,$R$2,I$6,I$5,$B42),"")</f>
        <v/>
      </c>
      <c r="J42" s="31" t="str">
        <f>IFERROR([1]!IntrinioBankFinancials(rssd_id,$R$2,J$6,J$5,$B42),"")</f>
        <v/>
      </c>
      <c r="K42" s="31" t="str">
        <f>IFERROR([1]!IntrinioBankFinancials(rssd_id,$R$2,K$6,K$5,$B42),"")</f>
        <v/>
      </c>
      <c r="L42" s="31" t="str">
        <f>IFERROR([1]!IntrinioBankFinancials(rssd_id,$R$2,L$6,L$5,$B42),"")</f>
        <v/>
      </c>
      <c r="M42" s="31" t="str">
        <f>IFERROR([1]!IntrinioBankFinancials(rssd_id,$R$2,M$6,M$5,$B42),"")</f>
        <v/>
      </c>
      <c r="N42" s="31" t="str">
        <f>IFERROR([1]!IntrinioBankFinancials(rssd_id,$R$2,N$6,N$5,$B42),"")</f>
        <v/>
      </c>
      <c r="O42" s="31" t="str">
        <f>IFERROR([1]!IntrinioBankFinancials(rssd_id,$R$2,O$6,O$5,$B42),"")</f>
        <v/>
      </c>
    </row>
    <row r="43" spans="1:15" ht="13.5" customHeight="1" x14ac:dyDescent="0.4">
      <c r="A43" s="34" t="s">
        <v>331</v>
      </c>
      <c r="B43" s="23" t="s">
        <v>332</v>
      </c>
      <c r="C43" s="31" t="str">
        <f>IFERROR([1]!IntrinioBankFinancials(rssd_id,$R$2,C$6,C$5,$B43),"")</f>
        <v/>
      </c>
      <c r="D43" s="31" t="str">
        <f>IFERROR([1]!IntrinioBankFinancials(rssd_id,$R$2,D$6,D$5,$B43),"")</f>
        <v/>
      </c>
      <c r="E43" s="31" t="str">
        <f>IFERROR([1]!IntrinioBankFinancials(rssd_id,$R$2,E$6,E$5,$B43),"")</f>
        <v/>
      </c>
      <c r="F43" s="31" t="str">
        <f>IFERROR([1]!IntrinioBankFinancials(rssd_id,$R$2,F$6,F$5,$B43),"")</f>
        <v/>
      </c>
      <c r="G43" s="31" t="str">
        <f>IFERROR([1]!IntrinioBankFinancials(rssd_id,$R$2,G$6,G$5,$B43),"")</f>
        <v/>
      </c>
      <c r="H43" s="31" t="str">
        <f>IFERROR([1]!IntrinioBankFinancials(rssd_id,$R$2,H$6,H$5,$B43),"")</f>
        <v/>
      </c>
      <c r="I43" s="31" t="str">
        <f>IFERROR([1]!IntrinioBankFinancials(rssd_id,$R$2,I$6,I$5,$B43),"")</f>
        <v/>
      </c>
      <c r="J43" s="31" t="str">
        <f>IFERROR([1]!IntrinioBankFinancials(rssd_id,$R$2,J$6,J$5,$B43),"")</f>
        <v/>
      </c>
      <c r="K43" s="31" t="str">
        <f>IFERROR([1]!IntrinioBankFinancials(rssd_id,$R$2,K$6,K$5,$B43),"")</f>
        <v/>
      </c>
      <c r="L43" s="31" t="str">
        <f>IFERROR([1]!IntrinioBankFinancials(rssd_id,$R$2,L$6,L$5,$B43),"")</f>
        <v/>
      </c>
      <c r="M43" s="31" t="str">
        <f>IFERROR([1]!IntrinioBankFinancials(rssd_id,$R$2,M$6,M$5,$B43),"")</f>
        <v/>
      </c>
      <c r="N43" s="31" t="str">
        <f>IFERROR([1]!IntrinioBankFinancials(rssd_id,$R$2,N$6,N$5,$B43),"")</f>
        <v/>
      </c>
      <c r="O43" s="31" t="str">
        <f>IFERROR([1]!IntrinioBankFinancials(rssd_id,$R$2,O$6,O$5,$B43),"")</f>
        <v/>
      </c>
    </row>
    <row r="44" spans="1:15" ht="13.5" customHeight="1" x14ac:dyDescent="0.4">
      <c r="A44" s="34" t="s">
        <v>333</v>
      </c>
      <c r="B44" s="23" t="s">
        <v>334</v>
      </c>
      <c r="C44" s="31" t="str">
        <f>IFERROR([1]!IntrinioBankFinancials(rssd_id,$R$2,C$6,C$5,$B44),"")</f>
        <v/>
      </c>
      <c r="D44" s="31" t="str">
        <f>IFERROR([1]!IntrinioBankFinancials(rssd_id,$R$2,D$6,D$5,$B44),"")</f>
        <v/>
      </c>
      <c r="E44" s="31" t="str">
        <f>IFERROR([1]!IntrinioBankFinancials(rssd_id,$R$2,E$6,E$5,$B44),"")</f>
        <v/>
      </c>
      <c r="F44" s="31" t="str">
        <f>IFERROR([1]!IntrinioBankFinancials(rssd_id,$R$2,F$6,F$5,$B44),"")</f>
        <v/>
      </c>
      <c r="G44" s="31" t="str">
        <f>IFERROR([1]!IntrinioBankFinancials(rssd_id,$R$2,G$6,G$5,$B44),"")</f>
        <v/>
      </c>
      <c r="H44" s="31" t="str">
        <f>IFERROR([1]!IntrinioBankFinancials(rssd_id,$R$2,H$6,H$5,$B44),"")</f>
        <v/>
      </c>
      <c r="I44" s="31" t="str">
        <f>IFERROR([1]!IntrinioBankFinancials(rssd_id,$R$2,I$6,I$5,$B44),"")</f>
        <v/>
      </c>
      <c r="J44" s="31" t="str">
        <f>IFERROR([1]!IntrinioBankFinancials(rssd_id,$R$2,J$6,J$5,$B44),"")</f>
        <v/>
      </c>
      <c r="K44" s="31" t="str">
        <f>IFERROR([1]!IntrinioBankFinancials(rssd_id,$R$2,K$6,K$5,$B44),"")</f>
        <v/>
      </c>
      <c r="L44" s="31" t="str">
        <f>IFERROR([1]!IntrinioBankFinancials(rssd_id,$R$2,L$6,L$5,$B44),"")</f>
        <v/>
      </c>
      <c r="M44" s="31" t="str">
        <f>IFERROR([1]!IntrinioBankFinancials(rssd_id,$R$2,M$6,M$5,$B44),"")</f>
        <v/>
      </c>
      <c r="N44" s="31" t="str">
        <f>IFERROR([1]!IntrinioBankFinancials(rssd_id,$R$2,N$6,N$5,$B44),"")</f>
        <v/>
      </c>
      <c r="O44" s="31" t="str">
        <f>IFERROR([1]!IntrinioBankFinancials(rssd_id,$R$2,O$6,O$5,$B44),"")</f>
        <v/>
      </c>
    </row>
    <row r="45" spans="1:15" ht="13.5" customHeight="1" x14ac:dyDescent="0.4">
      <c r="A45" s="34" t="s">
        <v>335</v>
      </c>
      <c r="B45" s="23" t="s">
        <v>336</v>
      </c>
      <c r="C45" s="31" t="str">
        <f>IFERROR([1]!IntrinioBankFinancials(rssd_id,$R$2,C$6,C$5,$B45),"")</f>
        <v/>
      </c>
      <c r="D45" s="31" t="str">
        <f>IFERROR([1]!IntrinioBankFinancials(rssd_id,$R$2,D$6,D$5,$B45),"")</f>
        <v/>
      </c>
      <c r="E45" s="31" t="str">
        <f>IFERROR([1]!IntrinioBankFinancials(rssd_id,$R$2,E$6,E$5,$B45),"")</f>
        <v/>
      </c>
      <c r="F45" s="31" t="str">
        <f>IFERROR([1]!IntrinioBankFinancials(rssd_id,$R$2,F$6,F$5,$B45),"")</f>
        <v/>
      </c>
      <c r="G45" s="31" t="str">
        <f>IFERROR([1]!IntrinioBankFinancials(rssd_id,$R$2,G$6,G$5,$B45),"")</f>
        <v/>
      </c>
      <c r="H45" s="31" t="str">
        <f>IFERROR([1]!IntrinioBankFinancials(rssd_id,$R$2,H$6,H$5,$B45),"")</f>
        <v/>
      </c>
      <c r="I45" s="31" t="str">
        <f>IFERROR([1]!IntrinioBankFinancials(rssd_id,$R$2,I$6,I$5,$B45),"")</f>
        <v/>
      </c>
      <c r="J45" s="31" t="str">
        <f>IFERROR([1]!IntrinioBankFinancials(rssd_id,$R$2,J$6,J$5,$B45),"")</f>
        <v/>
      </c>
      <c r="K45" s="31" t="str">
        <f>IFERROR([1]!IntrinioBankFinancials(rssd_id,$R$2,K$6,K$5,$B45),"")</f>
        <v/>
      </c>
      <c r="L45" s="31" t="str">
        <f>IFERROR([1]!IntrinioBankFinancials(rssd_id,$R$2,L$6,L$5,$B45),"")</f>
        <v/>
      </c>
      <c r="M45" s="31" t="str">
        <f>IFERROR([1]!IntrinioBankFinancials(rssd_id,$R$2,M$6,M$5,$B45),"")</f>
        <v/>
      </c>
      <c r="N45" s="31" t="str">
        <f>IFERROR([1]!IntrinioBankFinancials(rssd_id,$R$2,N$6,N$5,$B45),"")</f>
        <v/>
      </c>
      <c r="O45" s="31" t="str">
        <f>IFERROR([1]!IntrinioBankFinancials(rssd_id,$R$2,O$6,O$5,$B45),"")</f>
        <v/>
      </c>
    </row>
    <row r="46" spans="1:15" ht="13.5" customHeight="1" x14ac:dyDescent="0.4">
      <c r="A46" s="34" t="s">
        <v>337</v>
      </c>
      <c r="B46" s="23" t="s">
        <v>338</v>
      </c>
      <c r="C46" s="31" t="str">
        <f>IFERROR([1]!IntrinioBankFinancials(rssd_id,$R$2,C$6,C$5,$B46),"")</f>
        <v/>
      </c>
      <c r="D46" s="31" t="str">
        <f>IFERROR([1]!IntrinioBankFinancials(rssd_id,$R$2,D$6,D$5,$B46),"")</f>
        <v/>
      </c>
      <c r="E46" s="31" t="str">
        <f>IFERROR([1]!IntrinioBankFinancials(rssd_id,$R$2,E$6,E$5,$B46),"")</f>
        <v/>
      </c>
      <c r="F46" s="31" t="str">
        <f>IFERROR([1]!IntrinioBankFinancials(rssd_id,$R$2,F$6,F$5,$B46),"")</f>
        <v/>
      </c>
      <c r="G46" s="31" t="str">
        <f>IFERROR([1]!IntrinioBankFinancials(rssd_id,$R$2,G$6,G$5,$B46),"")</f>
        <v/>
      </c>
      <c r="H46" s="31" t="str">
        <f>IFERROR([1]!IntrinioBankFinancials(rssd_id,$R$2,H$6,H$5,$B46),"")</f>
        <v/>
      </c>
      <c r="I46" s="31" t="str">
        <f>IFERROR([1]!IntrinioBankFinancials(rssd_id,$R$2,I$6,I$5,$B46),"")</f>
        <v/>
      </c>
      <c r="J46" s="31" t="str">
        <f>IFERROR([1]!IntrinioBankFinancials(rssd_id,$R$2,J$6,J$5,$B46),"")</f>
        <v/>
      </c>
      <c r="K46" s="31" t="str">
        <f>IFERROR([1]!IntrinioBankFinancials(rssd_id,$R$2,K$6,K$5,$B46),"")</f>
        <v/>
      </c>
      <c r="L46" s="31" t="str">
        <f>IFERROR([1]!IntrinioBankFinancials(rssd_id,$R$2,L$6,L$5,$B46),"")</f>
        <v/>
      </c>
      <c r="M46" s="31" t="str">
        <f>IFERROR([1]!IntrinioBankFinancials(rssd_id,$R$2,M$6,M$5,$B46),"")</f>
        <v/>
      </c>
      <c r="N46" s="31" t="str">
        <f>IFERROR([1]!IntrinioBankFinancials(rssd_id,$R$2,N$6,N$5,$B46),"")</f>
        <v/>
      </c>
      <c r="O46" s="31" t="str">
        <f>IFERROR([1]!IntrinioBankFinancials(rssd_id,$R$2,O$6,O$5,$B46),"")</f>
        <v/>
      </c>
    </row>
    <row r="47" spans="1:15" ht="13.5" customHeight="1" x14ac:dyDescent="0.4">
      <c r="A47" s="34" t="s">
        <v>339</v>
      </c>
      <c r="B47" s="23" t="s">
        <v>340</v>
      </c>
      <c r="C47" s="31" t="str">
        <f>IFERROR([1]!IntrinioBankFinancials(rssd_id,$R$2,C$6,C$5,$B47),"")</f>
        <v/>
      </c>
      <c r="D47" s="31" t="str">
        <f>IFERROR([1]!IntrinioBankFinancials(rssd_id,$R$2,D$6,D$5,$B47),"")</f>
        <v/>
      </c>
      <c r="E47" s="31" t="str">
        <f>IFERROR([1]!IntrinioBankFinancials(rssd_id,$R$2,E$6,E$5,$B47),"")</f>
        <v/>
      </c>
      <c r="F47" s="31" t="str">
        <f>IFERROR([1]!IntrinioBankFinancials(rssd_id,$R$2,F$6,F$5,$B47),"")</f>
        <v/>
      </c>
      <c r="G47" s="31" t="str">
        <f>IFERROR([1]!IntrinioBankFinancials(rssd_id,$R$2,G$6,G$5,$B47),"")</f>
        <v/>
      </c>
      <c r="H47" s="31" t="str">
        <f>IFERROR([1]!IntrinioBankFinancials(rssd_id,$R$2,H$6,H$5,$B47),"")</f>
        <v/>
      </c>
      <c r="I47" s="31" t="str">
        <f>IFERROR([1]!IntrinioBankFinancials(rssd_id,$R$2,I$6,I$5,$B47),"")</f>
        <v/>
      </c>
      <c r="J47" s="31" t="str">
        <f>IFERROR([1]!IntrinioBankFinancials(rssd_id,$R$2,J$6,J$5,$B47),"")</f>
        <v/>
      </c>
      <c r="K47" s="31" t="str">
        <f>IFERROR([1]!IntrinioBankFinancials(rssd_id,$R$2,K$6,K$5,$B47),"")</f>
        <v/>
      </c>
      <c r="L47" s="31" t="str">
        <f>IFERROR([1]!IntrinioBankFinancials(rssd_id,$R$2,L$6,L$5,$B47),"")</f>
        <v/>
      </c>
      <c r="M47" s="31" t="str">
        <f>IFERROR([1]!IntrinioBankFinancials(rssd_id,$R$2,M$6,M$5,$B47),"")</f>
        <v/>
      </c>
      <c r="N47" s="31" t="str">
        <f>IFERROR([1]!IntrinioBankFinancials(rssd_id,$R$2,N$6,N$5,$B47),"")</f>
        <v/>
      </c>
      <c r="O47" s="31" t="str">
        <f>IFERROR([1]!IntrinioBankFinancials(rssd_id,$R$2,O$6,O$5,$B47),"")</f>
        <v/>
      </c>
    </row>
    <row r="48" spans="1:15" ht="13.5" customHeight="1" x14ac:dyDescent="0.4">
      <c r="A48" s="34" t="s">
        <v>341</v>
      </c>
      <c r="B48" s="23" t="s">
        <v>342</v>
      </c>
      <c r="C48" s="31" t="str">
        <f>IFERROR([1]!IntrinioBankFinancials(rssd_id,$R$2,C$6,C$5,$B48),"")</f>
        <v/>
      </c>
      <c r="D48" s="31" t="str">
        <f>IFERROR([1]!IntrinioBankFinancials(rssd_id,$R$2,D$6,D$5,$B48),"")</f>
        <v/>
      </c>
      <c r="E48" s="31" t="str">
        <f>IFERROR([1]!IntrinioBankFinancials(rssd_id,$R$2,E$6,E$5,$B48),"")</f>
        <v/>
      </c>
      <c r="F48" s="31" t="str">
        <f>IFERROR([1]!IntrinioBankFinancials(rssd_id,$R$2,F$6,F$5,$B48),"")</f>
        <v/>
      </c>
      <c r="G48" s="31" t="str">
        <f>IFERROR([1]!IntrinioBankFinancials(rssd_id,$R$2,G$6,G$5,$B48),"")</f>
        <v/>
      </c>
      <c r="H48" s="31" t="str">
        <f>IFERROR([1]!IntrinioBankFinancials(rssd_id,$R$2,H$6,H$5,$B48),"")</f>
        <v/>
      </c>
      <c r="I48" s="31" t="str">
        <f>IFERROR([1]!IntrinioBankFinancials(rssd_id,$R$2,I$6,I$5,$B48),"")</f>
        <v/>
      </c>
      <c r="J48" s="31" t="str">
        <f>IFERROR([1]!IntrinioBankFinancials(rssd_id,$R$2,J$6,J$5,$B48),"")</f>
        <v/>
      </c>
      <c r="K48" s="31" t="str">
        <f>IFERROR([1]!IntrinioBankFinancials(rssd_id,$R$2,K$6,K$5,$B48),"")</f>
        <v/>
      </c>
      <c r="L48" s="31" t="str">
        <f>IFERROR([1]!IntrinioBankFinancials(rssd_id,$R$2,L$6,L$5,$B48),"")</f>
        <v/>
      </c>
      <c r="M48" s="31" t="str">
        <f>IFERROR([1]!IntrinioBankFinancials(rssd_id,$R$2,M$6,M$5,$B48),"")</f>
        <v/>
      </c>
      <c r="N48" s="31" t="str">
        <f>IFERROR([1]!IntrinioBankFinancials(rssd_id,$R$2,N$6,N$5,$B48),"")</f>
        <v/>
      </c>
      <c r="O48" s="31" t="str">
        <f>IFERROR([1]!IntrinioBankFinancials(rssd_id,$R$2,O$6,O$5,$B48),"")</f>
        <v/>
      </c>
    </row>
    <row r="49" spans="1:15" ht="13.5" customHeight="1" x14ac:dyDescent="0.4">
      <c r="A49" s="34" t="s">
        <v>343</v>
      </c>
      <c r="B49" s="23" t="s">
        <v>344</v>
      </c>
      <c r="C49" s="31" t="str">
        <f>IFERROR([1]!IntrinioBankFinancials(rssd_id,$R$2,C$6,C$5,$B49),"")</f>
        <v/>
      </c>
      <c r="D49" s="31" t="str">
        <f>IFERROR([1]!IntrinioBankFinancials(rssd_id,$R$2,D$6,D$5,$B49),"")</f>
        <v/>
      </c>
      <c r="E49" s="31" t="str">
        <f>IFERROR([1]!IntrinioBankFinancials(rssd_id,$R$2,E$6,E$5,$B49),"")</f>
        <v/>
      </c>
      <c r="F49" s="31" t="str">
        <f>IFERROR([1]!IntrinioBankFinancials(rssd_id,$R$2,F$6,F$5,$B49),"")</f>
        <v/>
      </c>
      <c r="G49" s="31" t="str">
        <f>IFERROR([1]!IntrinioBankFinancials(rssd_id,$R$2,G$6,G$5,$B49),"")</f>
        <v/>
      </c>
      <c r="H49" s="31" t="str">
        <f>IFERROR([1]!IntrinioBankFinancials(rssd_id,$R$2,H$6,H$5,$B49),"")</f>
        <v/>
      </c>
      <c r="I49" s="31" t="str">
        <f>IFERROR([1]!IntrinioBankFinancials(rssd_id,$R$2,I$6,I$5,$B49),"")</f>
        <v/>
      </c>
      <c r="J49" s="31" t="str">
        <f>IFERROR([1]!IntrinioBankFinancials(rssd_id,$R$2,J$6,J$5,$B49),"")</f>
        <v/>
      </c>
      <c r="K49" s="31" t="str">
        <f>IFERROR([1]!IntrinioBankFinancials(rssd_id,$R$2,K$6,K$5,$B49),"")</f>
        <v/>
      </c>
      <c r="L49" s="31" t="str">
        <f>IFERROR([1]!IntrinioBankFinancials(rssd_id,$R$2,L$6,L$5,$B49),"")</f>
        <v/>
      </c>
      <c r="M49" s="31" t="str">
        <f>IFERROR([1]!IntrinioBankFinancials(rssd_id,$R$2,M$6,M$5,$B49),"")</f>
        <v/>
      </c>
      <c r="N49" s="31" t="str">
        <f>IFERROR([1]!IntrinioBankFinancials(rssd_id,$R$2,N$6,N$5,$B49),"")</f>
        <v/>
      </c>
      <c r="O49" s="31" t="str">
        <f>IFERROR([1]!IntrinioBankFinancials(rssd_id,$R$2,O$6,O$5,$B49),"")</f>
        <v/>
      </c>
    </row>
    <row r="50" spans="1:15" ht="13.5" customHeight="1" x14ac:dyDescent="0.4">
      <c r="A50" s="34" t="s">
        <v>345</v>
      </c>
      <c r="B50" s="23" t="s">
        <v>346</v>
      </c>
      <c r="C50" s="31" t="str">
        <f>IFERROR([1]!IntrinioBankFinancials(rssd_id,$R$2,C$6,C$5,$B50),"")</f>
        <v/>
      </c>
      <c r="D50" s="31" t="str">
        <f>IFERROR([1]!IntrinioBankFinancials(rssd_id,$R$2,D$6,D$5,$B50),"")</f>
        <v/>
      </c>
      <c r="E50" s="31" t="str">
        <f>IFERROR([1]!IntrinioBankFinancials(rssd_id,$R$2,E$6,E$5,$B50),"")</f>
        <v/>
      </c>
      <c r="F50" s="31" t="str">
        <f>IFERROR([1]!IntrinioBankFinancials(rssd_id,$R$2,F$6,F$5,$B50),"")</f>
        <v/>
      </c>
      <c r="G50" s="31" t="str">
        <f>IFERROR([1]!IntrinioBankFinancials(rssd_id,$R$2,G$6,G$5,$B50),"")</f>
        <v/>
      </c>
      <c r="H50" s="31" t="str">
        <f>IFERROR([1]!IntrinioBankFinancials(rssd_id,$R$2,H$6,H$5,$B50),"")</f>
        <v/>
      </c>
      <c r="I50" s="31" t="str">
        <f>IFERROR([1]!IntrinioBankFinancials(rssd_id,$R$2,I$6,I$5,$B50),"")</f>
        <v/>
      </c>
      <c r="J50" s="31" t="str">
        <f>IFERROR([1]!IntrinioBankFinancials(rssd_id,$R$2,J$6,J$5,$B50),"")</f>
        <v/>
      </c>
      <c r="K50" s="31" t="str">
        <f>IFERROR([1]!IntrinioBankFinancials(rssd_id,$R$2,K$6,K$5,$B50),"")</f>
        <v/>
      </c>
      <c r="L50" s="31" t="str">
        <f>IFERROR([1]!IntrinioBankFinancials(rssd_id,$R$2,L$6,L$5,$B50),"")</f>
        <v/>
      </c>
      <c r="M50" s="31" t="str">
        <f>IFERROR([1]!IntrinioBankFinancials(rssd_id,$R$2,M$6,M$5,$B50),"")</f>
        <v/>
      </c>
      <c r="N50" s="31" t="str">
        <f>IFERROR([1]!IntrinioBankFinancials(rssd_id,$R$2,N$6,N$5,$B50),"")</f>
        <v/>
      </c>
      <c r="O50" s="31" t="str">
        <f>IFERROR([1]!IntrinioBankFinancials(rssd_id,$R$2,O$6,O$5,$B50),"")</f>
        <v/>
      </c>
    </row>
    <row r="51" spans="1:15" ht="13.5" customHeight="1" x14ac:dyDescent="0.4">
      <c r="A51" s="34" t="s">
        <v>347</v>
      </c>
      <c r="B51" s="23" t="s">
        <v>348</v>
      </c>
      <c r="C51" s="31" t="str">
        <f>IFERROR([1]!IntrinioBankFinancials(rssd_id,$R$2,C$6,C$5,$B51),"")</f>
        <v/>
      </c>
      <c r="D51" s="31" t="str">
        <f>IFERROR([1]!IntrinioBankFinancials(rssd_id,$R$2,D$6,D$5,$B51),"")</f>
        <v/>
      </c>
      <c r="E51" s="31" t="str">
        <f>IFERROR([1]!IntrinioBankFinancials(rssd_id,$R$2,E$6,E$5,$B51),"")</f>
        <v/>
      </c>
      <c r="F51" s="31" t="str">
        <f>IFERROR([1]!IntrinioBankFinancials(rssd_id,$R$2,F$6,F$5,$B51),"")</f>
        <v/>
      </c>
      <c r="G51" s="31" t="str">
        <f>IFERROR([1]!IntrinioBankFinancials(rssd_id,$R$2,G$6,G$5,$B51),"")</f>
        <v/>
      </c>
      <c r="H51" s="31" t="str">
        <f>IFERROR([1]!IntrinioBankFinancials(rssd_id,$R$2,H$6,H$5,$B51),"")</f>
        <v/>
      </c>
      <c r="I51" s="31" t="str">
        <f>IFERROR([1]!IntrinioBankFinancials(rssd_id,$R$2,I$6,I$5,$B51),"")</f>
        <v/>
      </c>
      <c r="J51" s="31" t="str">
        <f>IFERROR([1]!IntrinioBankFinancials(rssd_id,$R$2,J$6,J$5,$B51),"")</f>
        <v/>
      </c>
      <c r="K51" s="31" t="str">
        <f>IFERROR([1]!IntrinioBankFinancials(rssd_id,$R$2,K$6,K$5,$B51),"")</f>
        <v/>
      </c>
      <c r="L51" s="31" t="str">
        <f>IFERROR([1]!IntrinioBankFinancials(rssd_id,$R$2,L$6,L$5,$B51),"")</f>
        <v/>
      </c>
      <c r="M51" s="31" t="str">
        <f>IFERROR([1]!IntrinioBankFinancials(rssd_id,$R$2,M$6,M$5,$B51),"")</f>
        <v/>
      </c>
      <c r="N51" s="31" t="str">
        <f>IFERROR([1]!IntrinioBankFinancials(rssd_id,$R$2,N$6,N$5,$B51),"")</f>
        <v/>
      </c>
      <c r="O51" s="31" t="str">
        <f>IFERROR([1]!IntrinioBankFinancials(rssd_id,$R$2,O$6,O$5,$B51),"")</f>
        <v/>
      </c>
    </row>
    <row r="52" spans="1:15" s="22" customFormat="1" ht="13.5" customHeight="1" x14ac:dyDescent="0.4">
      <c r="A52" s="33"/>
      <c r="B52" s="20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</row>
    <row r="53" spans="1:15" s="22" customFormat="1" ht="13.5" customHeight="1" x14ac:dyDescent="0.4">
      <c r="A53" s="33" t="s">
        <v>504</v>
      </c>
      <c r="B53" s="20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</row>
    <row r="54" spans="1:15" ht="13.5" customHeight="1" x14ac:dyDescent="0.4">
      <c r="A54" s="34" t="s">
        <v>349</v>
      </c>
      <c r="B54" s="23" t="s">
        <v>350</v>
      </c>
      <c r="C54" s="31" t="str">
        <f>IFERROR([1]!IntrinioBankFinancials(rssd_id,$R$2,C$6,C$5,$B54),"")</f>
        <v/>
      </c>
      <c r="D54" s="31" t="str">
        <f>IFERROR([1]!IntrinioBankFinancials(rssd_id,$R$2,D$6,D$5,$B54),"")</f>
        <v/>
      </c>
      <c r="E54" s="31" t="str">
        <f>IFERROR([1]!IntrinioBankFinancials(rssd_id,$R$2,E$6,E$5,$B54),"")</f>
        <v/>
      </c>
      <c r="F54" s="31" t="str">
        <f>IFERROR([1]!IntrinioBankFinancials(rssd_id,$R$2,F$6,F$5,$B54),"")</f>
        <v/>
      </c>
      <c r="G54" s="31" t="str">
        <f>IFERROR([1]!IntrinioBankFinancials(rssd_id,$R$2,G$6,G$5,$B54),"")</f>
        <v/>
      </c>
      <c r="H54" s="31" t="str">
        <f>IFERROR([1]!IntrinioBankFinancials(rssd_id,$R$2,H$6,H$5,$B54),"")</f>
        <v/>
      </c>
      <c r="I54" s="31" t="str">
        <f>IFERROR([1]!IntrinioBankFinancials(rssd_id,$R$2,I$6,I$5,$B54),"")</f>
        <v/>
      </c>
      <c r="J54" s="31" t="str">
        <f>IFERROR([1]!IntrinioBankFinancials(rssd_id,$R$2,J$6,J$5,$B54),"")</f>
        <v/>
      </c>
      <c r="K54" s="31" t="str">
        <f>IFERROR([1]!IntrinioBankFinancials(rssd_id,$R$2,K$6,K$5,$B54),"")</f>
        <v/>
      </c>
      <c r="L54" s="31" t="str">
        <f>IFERROR([1]!IntrinioBankFinancials(rssd_id,$R$2,L$6,L$5,$B54),"")</f>
        <v/>
      </c>
      <c r="M54" s="31" t="str">
        <f>IFERROR([1]!IntrinioBankFinancials(rssd_id,$R$2,M$6,M$5,$B54),"")</f>
        <v/>
      </c>
      <c r="N54" s="31" t="str">
        <f>IFERROR([1]!IntrinioBankFinancials(rssd_id,$R$2,N$6,N$5,$B54),"")</f>
        <v/>
      </c>
      <c r="O54" s="31" t="str">
        <f>IFERROR([1]!IntrinioBankFinancials(rssd_id,$R$2,O$6,O$5,$B54),"")</f>
        <v/>
      </c>
    </row>
    <row r="55" spans="1:15" ht="13.5" customHeight="1" x14ac:dyDescent="0.4">
      <c r="A55" s="34" t="s">
        <v>351</v>
      </c>
      <c r="B55" s="23" t="s">
        <v>352</v>
      </c>
      <c r="C55" s="31" t="str">
        <f>IFERROR([1]!IntrinioBankFinancials(rssd_id,$R$2,C$6,C$5,$B55),"")</f>
        <v/>
      </c>
      <c r="D55" s="31" t="str">
        <f>IFERROR([1]!IntrinioBankFinancials(rssd_id,$R$2,D$6,D$5,$B55),"")</f>
        <v/>
      </c>
      <c r="E55" s="31" t="str">
        <f>IFERROR([1]!IntrinioBankFinancials(rssd_id,$R$2,E$6,E$5,$B55),"")</f>
        <v/>
      </c>
      <c r="F55" s="31" t="str">
        <f>IFERROR([1]!IntrinioBankFinancials(rssd_id,$R$2,F$6,F$5,$B55),"")</f>
        <v/>
      </c>
      <c r="G55" s="31" t="str">
        <f>IFERROR([1]!IntrinioBankFinancials(rssd_id,$R$2,G$6,G$5,$B55),"")</f>
        <v/>
      </c>
      <c r="H55" s="31" t="str">
        <f>IFERROR([1]!IntrinioBankFinancials(rssd_id,$R$2,H$6,H$5,$B55),"")</f>
        <v/>
      </c>
      <c r="I55" s="31" t="str">
        <f>IFERROR([1]!IntrinioBankFinancials(rssd_id,$R$2,I$6,I$5,$B55),"")</f>
        <v/>
      </c>
      <c r="J55" s="31" t="str">
        <f>IFERROR([1]!IntrinioBankFinancials(rssd_id,$R$2,J$6,J$5,$B55),"")</f>
        <v/>
      </c>
      <c r="K55" s="31" t="str">
        <f>IFERROR([1]!IntrinioBankFinancials(rssd_id,$R$2,K$6,K$5,$B55),"")</f>
        <v/>
      </c>
      <c r="L55" s="31" t="str">
        <f>IFERROR([1]!IntrinioBankFinancials(rssd_id,$R$2,L$6,L$5,$B55),"")</f>
        <v/>
      </c>
      <c r="M55" s="31" t="str">
        <f>IFERROR([1]!IntrinioBankFinancials(rssd_id,$R$2,M$6,M$5,$B55),"")</f>
        <v/>
      </c>
      <c r="N55" s="31" t="str">
        <f>IFERROR([1]!IntrinioBankFinancials(rssd_id,$R$2,N$6,N$5,$B55),"")</f>
        <v/>
      </c>
      <c r="O55" s="31" t="str">
        <f>IFERROR([1]!IntrinioBankFinancials(rssd_id,$R$2,O$6,O$5,$B55),"")</f>
        <v/>
      </c>
    </row>
    <row r="56" spans="1:15" ht="13.5" customHeight="1" x14ac:dyDescent="0.4">
      <c r="A56" s="34" t="s">
        <v>44</v>
      </c>
      <c r="B56" s="23" t="s">
        <v>353</v>
      </c>
      <c r="C56" s="31" t="str">
        <f>IFERROR([1]!IntrinioBankFinancials(rssd_id,$R$2,C$6,C$5,$B56),"")</f>
        <v/>
      </c>
      <c r="D56" s="31" t="str">
        <f>IFERROR([1]!IntrinioBankFinancials(rssd_id,$R$2,D$6,D$5,$B56),"")</f>
        <v/>
      </c>
      <c r="E56" s="31" t="str">
        <f>IFERROR([1]!IntrinioBankFinancials(rssd_id,$R$2,E$6,E$5,$B56),"")</f>
        <v/>
      </c>
      <c r="F56" s="31" t="str">
        <f>IFERROR([1]!IntrinioBankFinancials(rssd_id,$R$2,F$6,F$5,$B56),"")</f>
        <v/>
      </c>
      <c r="G56" s="31" t="str">
        <f>IFERROR([1]!IntrinioBankFinancials(rssd_id,$R$2,G$6,G$5,$B56),"")</f>
        <v/>
      </c>
      <c r="H56" s="31" t="str">
        <f>IFERROR([1]!IntrinioBankFinancials(rssd_id,$R$2,H$6,H$5,$B56),"")</f>
        <v/>
      </c>
      <c r="I56" s="31" t="str">
        <f>IFERROR([1]!IntrinioBankFinancials(rssd_id,$R$2,I$6,I$5,$B56),"")</f>
        <v/>
      </c>
      <c r="J56" s="31" t="str">
        <f>IFERROR([1]!IntrinioBankFinancials(rssd_id,$R$2,J$6,J$5,$B56),"")</f>
        <v/>
      </c>
      <c r="K56" s="31" t="str">
        <f>IFERROR([1]!IntrinioBankFinancials(rssd_id,$R$2,K$6,K$5,$B56),"")</f>
        <v/>
      </c>
      <c r="L56" s="31" t="str">
        <f>IFERROR([1]!IntrinioBankFinancials(rssd_id,$R$2,L$6,L$5,$B56),"")</f>
        <v/>
      </c>
      <c r="M56" s="31" t="str">
        <f>IFERROR([1]!IntrinioBankFinancials(rssd_id,$R$2,M$6,M$5,$B56),"")</f>
        <v/>
      </c>
      <c r="N56" s="31" t="str">
        <f>IFERROR([1]!IntrinioBankFinancials(rssd_id,$R$2,N$6,N$5,$B56),"")</f>
        <v/>
      </c>
      <c r="O56" s="31" t="str">
        <f>IFERROR([1]!IntrinioBankFinancials(rssd_id,$R$2,O$6,O$5,$B56),"")</f>
        <v/>
      </c>
    </row>
    <row r="57" spans="1:15" ht="13.5" customHeight="1" x14ac:dyDescent="0.4">
      <c r="A57" s="34" t="s">
        <v>354</v>
      </c>
      <c r="B57" s="23" t="s">
        <v>355</v>
      </c>
      <c r="C57" s="31" t="str">
        <f>IFERROR([1]!IntrinioBankFinancials(rssd_id,$R$2,C$6,C$5,$B57),"")</f>
        <v/>
      </c>
      <c r="D57" s="31" t="str">
        <f>IFERROR([1]!IntrinioBankFinancials(rssd_id,$R$2,D$6,D$5,$B57),"")</f>
        <v/>
      </c>
      <c r="E57" s="31" t="str">
        <f>IFERROR([1]!IntrinioBankFinancials(rssd_id,$R$2,E$6,E$5,$B57),"")</f>
        <v/>
      </c>
      <c r="F57" s="31" t="str">
        <f>IFERROR([1]!IntrinioBankFinancials(rssd_id,$R$2,F$6,F$5,$B57),"")</f>
        <v/>
      </c>
      <c r="G57" s="31" t="str">
        <f>IFERROR([1]!IntrinioBankFinancials(rssd_id,$R$2,G$6,G$5,$B57),"")</f>
        <v/>
      </c>
      <c r="H57" s="31" t="str">
        <f>IFERROR([1]!IntrinioBankFinancials(rssd_id,$R$2,H$6,H$5,$B57),"")</f>
        <v/>
      </c>
      <c r="I57" s="31" t="str">
        <f>IFERROR([1]!IntrinioBankFinancials(rssd_id,$R$2,I$6,I$5,$B57),"")</f>
        <v/>
      </c>
      <c r="J57" s="31" t="str">
        <f>IFERROR([1]!IntrinioBankFinancials(rssd_id,$R$2,J$6,J$5,$B57),"")</f>
        <v/>
      </c>
      <c r="K57" s="31" t="str">
        <f>IFERROR([1]!IntrinioBankFinancials(rssd_id,$R$2,K$6,K$5,$B57),"")</f>
        <v/>
      </c>
      <c r="L57" s="31" t="str">
        <f>IFERROR([1]!IntrinioBankFinancials(rssd_id,$R$2,L$6,L$5,$B57),"")</f>
        <v/>
      </c>
      <c r="M57" s="31" t="str">
        <f>IFERROR([1]!IntrinioBankFinancials(rssd_id,$R$2,M$6,M$5,$B57),"")</f>
        <v/>
      </c>
      <c r="N57" s="31" t="str">
        <f>IFERROR([1]!IntrinioBankFinancials(rssd_id,$R$2,N$6,N$5,$B57),"")</f>
        <v/>
      </c>
      <c r="O57" s="31" t="str">
        <f>IFERROR([1]!IntrinioBankFinancials(rssd_id,$R$2,O$6,O$5,$B57),"")</f>
        <v/>
      </c>
    </row>
    <row r="58" spans="1:15" ht="13.5" customHeight="1" x14ac:dyDescent="0.4">
      <c r="A58" s="34" t="s">
        <v>356</v>
      </c>
      <c r="B58" s="23" t="s">
        <v>357</v>
      </c>
      <c r="C58" s="31" t="str">
        <f>IFERROR([1]!IntrinioBankFinancials(rssd_id,$R$2,C$6,C$5,$B58),"")</f>
        <v/>
      </c>
      <c r="D58" s="31" t="str">
        <f>IFERROR([1]!IntrinioBankFinancials(rssd_id,$R$2,D$6,D$5,$B58),"")</f>
        <v/>
      </c>
      <c r="E58" s="31" t="str">
        <f>IFERROR([1]!IntrinioBankFinancials(rssd_id,$R$2,E$6,E$5,$B58),"")</f>
        <v/>
      </c>
      <c r="F58" s="31" t="str">
        <f>IFERROR([1]!IntrinioBankFinancials(rssd_id,$R$2,F$6,F$5,$B58),"")</f>
        <v/>
      </c>
      <c r="G58" s="31" t="str">
        <f>IFERROR([1]!IntrinioBankFinancials(rssd_id,$R$2,G$6,G$5,$B58),"")</f>
        <v/>
      </c>
      <c r="H58" s="31" t="str">
        <f>IFERROR([1]!IntrinioBankFinancials(rssd_id,$R$2,H$6,H$5,$B58),"")</f>
        <v/>
      </c>
      <c r="I58" s="31" t="str">
        <f>IFERROR([1]!IntrinioBankFinancials(rssd_id,$R$2,I$6,I$5,$B58),"")</f>
        <v/>
      </c>
      <c r="J58" s="31" t="str">
        <f>IFERROR([1]!IntrinioBankFinancials(rssd_id,$R$2,J$6,J$5,$B58),"")</f>
        <v/>
      </c>
      <c r="K58" s="31" t="str">
        <f>IFERROR([1]!IntrinioBankFinancials(rssd_id,$R$2,K$6,K$5,$B58),"")</f>
        <v/>
      </c>
      <c r="L58" s="31" t="str">
        <f>IFERROR([1]!IntrinioBankFinancials(rssd_id,$R$2,L$6,L$5,$B58),"")</f>
        <v/>
      </c>
      <c r="M58" s="31" t="str">
        <f>IFERROR([1]!IntrinioBankFinancials(rssd_id,$R$2,M$6,M$5,$B58),"")</f>
        <v/>
      </c>
      <c r="N58" s="31" t="str">
        <f>IFERROR([1]!IntrinioBankFinancials(rssd_id,$R$2,N$6,N$5,$B58),"")</f>
        <v/>
      </c>
      <c r="O58" s="31" t="str">
        <f>IFERROR([1]!IntrinioBankFinancials(rssd_id,$R$2,O$6,O$5,$B58),"")</f>
        <v/>
      </c>
    </row>
    <row r="59" spans="1:15" ht="13.5" customHeight="1" x14ac:dyDescent="0.4">
      <c r="A59" s="34" t="s">
        <v>46</v>
      </c>
      <c r="B59" s="23" t="s">
        <v>358</v>
      </c>
      <c r="C59" s="31" t="str">
        <f>IFERROR([1]!IntrinioBankFinancials(rssd_id,$R$2,C$6,C$5,$B59),"")</f>
        <v/>
      </c>
      <c r="D59" s="31" t="str">
        <f>IFERROR([1]!IntrinioBankFinancials(rssd_id,$R$2,D$6,D$5,$B59),"")</f>
        <v/>
      </c>
      <c r="E59" s="31" t="str">
        <f>IFERROR([1]!IntrinioBankFinancials(rssd_id,$R$2,E$6,E$5,$B59),"")</f>
        <v/>
      </c>
      <c r="F59" s="31" t="str">
        <f>IFERROR([1]!IntrinioBankFinancials(rssd_id,$R$2,F$6,F$5,$B59),"")</f>
        <v/>
      </c>
      <c r="G59" s="31" t="str">
        <f>IFERROR([1]!IntrinioBankFinancials(rssd_id,$R$2,G$6,G$5,$B59),"")</f>
        <v/>
      </c>
      <c r="H59" s="31" t="str">
        <f>IFERROR([1]!IntrinioBankFinancials(rssd_id,$R$2,H$6,H$5,$B59),"")</f>
        <v/>
      </c>
      <c r="I59" s="31" t="str">
        <f>IFERROR([1]!IntrinioBankFinancials(rssd_id,$R$2,I$6,I$5,$B59),"")</f>
        <v/>
      </c>
      <c r="J59" s="31" t="str">
        <f>IFERROR([1]!IntrinioBankFinancials(rssd_id,$R$2,J$6,J$5,$B59),"")</f>
        <v/>
      </c>
      <c r="K59" s="31" t="str">
        <f>IFERROR([1]!IntrinioBankFinancials(rssd_id,$R$2,K$6,K$5,$B59),"")</f>
        <v/>
      </c>
      <c r="L59" s="31" t="str">
        <f>IFERROR([1]!IntrinioBankFinancials(rssd_id,$R$2,L$6,L$5,$B59),"")</f>
        <v/>
      </c>
      <c r="M59" s="31" t="str">
        <f>IFERROR([1]!IntrinioBankFinancials(rssd_id,$R$2,M$6,M$5,$B59),"")</f>
        <v/>
      </c>
      <c r="N59" s="31" t="str">
        <f>IFERROR([1]!IntrinioBankFinancials(rssd_id,$R$2,N$6,N$5,$B59),"")</f>
        <v/>
      </c>
      <c r="O59" s="31" t="str">
        <f>IFERROR([1]!IntrinioBankFinancials(rssd_id,$R$2,O$6,O$5,$B59),"")</f>
        <v/>
      </c>
    </row>
    <row r="60" spans="1:15" ht="13.5" customHeight="1" x14ac:dyDescent="0.4">
      <c r="A60" s="34" t="s">
        <v>48</v>
      </c>
      <c r="B60" s="23" t="s">
        <v>359</v>
      </c>
      <c r="C60" s="31" t="str">
        <f>IFERROR([1]!IntrinioBankFinancials(rssd_id,$R$2,C$6,C$5,$B60),"")</f>
        <v/>
      </c>
      <c r="D60" s="31" t="str">
        <f>IFERROR([1]!IntrinioBankFinancials(rssd_id,$R$2,D$6,D$5,$B60),"")</f>
        <v/>
      </c>
      <c r="E60" s="31" t="str">
        <f>IFERROR([1]!IntrinioBankFinancials(rssd_id,$R$2,E$6,E$5,$B60),"")</f>
        <v/>
      </c>
      <c r="F60" s="31" t="str">
        <f>IFERROR([1]!IntrinioBankFinancials(rssd_id,$R$2,F$6,F$5,$B60),"")</f>
        <v/>
      </c>
      <c r="G60" s="31" t="str">
        <f>IFERROR([1]!IntrinioBankFinancials(rssd_id,$R$2,G$6,G$5,$B60),"")</f>
        <v/>
      </c>
      <c r="H60" s="31" t="str">
        <f>IFERROR([1]!IntrinioBankFinancials(rssd_id,$R$2,H$6,H$5,$B60),"")</f>
        <v/>
      </c>
      <c r="I60" s="31" t="str">
        <f>IFERROR([1]!IntrinioBankFinancials(rssd_id,$R$2,I$6,I$5,$B60),"")</f>
        <v/>
      </c>
      <c r="J60" s="31" t="str">
        <f>IFERROR([1]!IntrinioBankFinancials(rssd_id,$R$2,J$6,J$5,$B60),"")</f>
        <v/>
      </c>
      <c r="K60" s="31" t="str">
        <f>IFERROR([1]!IntrinioBankFinancials(rssd_id,$R$2,K$6,K$5,$B60),"")</f>
        <v/>
      </c>
      <c r="L60" s="31" t="str">
        <f>IFERROR([1]!IntrinioBankFinancials(rssd_id,$R$2,L$6,L$5,$B60),"")</f>
        <v/>
      </c>
      <c r="M60" s="31" t="str">
        <f>IFERROR([1]!IntrinioBankFinancials(rssd_id,$R$2,M$6,M$5,$B60),"")</f>
        <v/>
      </c>
      <c r="N60" s="31" t="str">
        <f>IFERROR([1]!IntrinioBankFinancials(rssd_id,$R$2,N$6,N$5,$B60),"")</f>
        <v/>
      </c>
      <c r="O60" s="31" t="str">
        <f>IFERROR([1]!IntrinioBankFinancials(rssd_id,$R$2,O$6,O$5,$B60),"")</f>
        <v/>
      </c>
    </row>
    <row r="61" spans="1:15" ht="13.5" customHeight="1" x14ac:dyDescent="0.4">
      <c r="A61" s="34" t="s">
        <v>47</v>
      </c>
      <c r="B61" s="23" t="s">
        <v>360</v>
      </c>
      <c r="C61" s="31" t="str">
        <f>IFERROR([1]!IntrinioBankFinancials(rssd_id,$R$2,C$6,C$5,$B61),"")</f>
        <v/>
      </c>
      <c r="D61" s="31" t="str">
        <f>IFERROR([1]!IntrinioBankFinancials(rssd_id,$R$2,D$6,D$5,$B61),"")</f>
        <v/>
      </c>
      <c r="E61" s="31" t="str">
        <f>IFERROR([1]!IntrinioBankFinancials(rssd_id,$R$2,E$6,E$5,$B61),"")</f>
        <v/>
      </c>
      <c r="F61" s="31" t="str">
        <f>IFERROR([1]!IntrinioBankFinancials(rssd_id,$R$2,F$6,F$5,$B61),"")</f>
        <v/>
      </c>
      <c r="G61" s="31" t="str">
        <f>IFERROR([1]!IntrinioBankFinancials(rssd_id,$R$2,G$6,G$5,$B61),"")</f>
        <v/>
      </c>
      <c r="H61" s="31" t="str">
        <f>IFERROR([1]!IntrinioBankFinancials(rssd_id,$R$2,H$6,H$5,$B61),"")</f>
        <v/>
      </c>
      <c r="I61" s="31" t="str">
        <f>IFERROR([1]!IntrinioBankFinancials(rssd_id,$R$2,I$6,I$5,$B61),"")</f>
        <v/>
      </c>
      <c r="J61" s="31" t="str">
        <f>IFERROR([1]!IntrinioBankFinancials(rssd_id,$R$2,J$6,J$5,$B61),"")</f>
        <v/>
      </c>
      <c r="K61" s="31" t="str">
        <f>IFERROR([1]!IntrinioBankFinancials(rssd_id,$R$2,K$6,K$5,$B61),"")</f>
        <v/>
      </c>
      <c r="L61" s="31" t="str">
        <f>IFERROR([1]!IntrinioBankFinancials(rssd_id,$R$2,L$6,L$5,$B61),"")</f>
        <v/>
      </c>
      <c r="M61" s="31" t="str">
        <f>IFERROR([1]!IntrinioBankFinancials(rssd_id,$R$2,M$6,M$5,$B61),"")</f>
        <v/>
      </c>
      <c r="N61" s="31" t="str">
        <f>IFERROR([1]!IntrinioBankFinancials(rssd_id,$R$2,N$6,N$5,$B61),"")</f>
        <v/>
      </c>
      <c r="O61" s="31" t="str">
        <f>IFERROR([1]!IntrinioBankFinancials(rssd_id,$R$2,O$6,O$5,$B61),"")</f>
        <v/>
      </c>
    </row>
    <row r="62" spans="1:15" ht="13.5" customHeight="1" x14ac:dyDescent="0.4">
      <c r="A62" s="34" t="s">
        <v>361</v>
      </c>
      <c r="B62" s="23" t="s">
        <v>362</v>
      </c>
      <c r="C62" s="31" t="str">
        <f>IFERROR([1]!IntrinioBankFinancials(rssd_id,$R$2,C$6,C$5,$B62),"")</f>
        <v/>
      </c>
      <c r="D62" s="31" t="str">
        <f>IFERROR([1]!IntrinioBankFinancials(rssd_id,$R$2,D$6,D$5,$B62),"")</f>
        <v/>
      </c>
      <c r="E62" s="31" t="str">
        <f>IFERROR([1]!IntrinioBankFinancials(rssd_id,$R$2,E$6,E$5,$B62),"")</f>
        <v/>
      </c>
      <c r="F62" s="31" t="str">
        <f>IFERROR([1]!IntrinioBankFinancials(rssd_id,$R$2,F$6,F$5,$B62),"")</f>
        <v/>
      </c>
      <c r="G62" s="31" t="str">
        <f>IFERROR([1]!IntrinioBankFinancials(rssd_id,$R$2,G$6,G$5,$B62),"")</f>
        <v/>
      </c>
      <c r="H62" s="31" t="str">
        <f>IFERROR([1]!IntrinioBankFinancials(rssd_id,$R$2,H$6,H$5,$B62),"")</f>
        <v/>
      </c>
      <c r="I62" s="31" t="str">
        <f>IFERROR([1]!IntrinioBankFinancials(rssd_id,$R$2,I$6,I$5,$B62),"")</f>
        <v/>
      </c>
      <c r="J62" s="31" t="str">
        <f>IFERROR([1]!IntrinioBankFinancials(rssd_id,$R$2,J$6,J$5,$B62),"")</f>
        <v/>
      </c>
      <c r="K62" s="31" t="str">
        <f>IFERROR([1]!IntrinioBankFinancials(rssd_id,$R$2,K$6,K$5,$B62),"")</f>
        <v/>
      </c>
      <c r="L62" s="31" t="str">
        <f>IFERROR([1]!IntrinioBankFinancials(rssd_id,$R$2,L$6,L$5,$B62),"")</f>
        <v/>
      </c>
      <c r="M62" s="31" t="str">
        <f>IFERROR([1]!IntrinioBankFinancials(rssd_id,$R$2,M$6,M$5,$B62),"")</f>
        <v/>
      </c>
      <c r="N62" s="31" t="str">
        <f>IFERROR([1]!IntrinioBankFinancials(rssd_id,$R$2,N$6,N$5,$B62),"")</f>
        <v/>
      </c>
      <c r="O62" s="31" t="str">
        <f>IFERROR([1]!IntrinioBankFinancials(rssd_id,$R$2,O$6,O$5,$B62),"")</f>
        <v/>
      </c>
    </row>
    <row r="63" spans="1:15" ht="13.5" customHeight="1" x14ac:dyDescent="0.4">
      <c r="A63" s="34" t="s">
        <v>45</v>
      </c>
      <c r="B63" s="23" t="s">
        <v>363</v>
      </c>
      <c r="C63" s="31" t="str">
        <f>IFERROR([1]!IntrinioBankFinancials(rssd_id,$R$2,C$6,C$5,$B63),"")</f>
        <v/>
      </c>
      <c r="D63" s="31" t="str">
        <f>IFERROR([1]!IntrinioBankFinancials(rssd_id,$R$2,D$6,D$5,$B63),"")</f>
        <v/>
      </c>
      <c r="E63" s="31" t="str">
        <f>IFERROR([1]!IntrinioBankFinancials(rssd_id,$R$2,E$6,E$5,$B63),"")</f>
        <v/>
      </c>
      <c r="F63" s="31" t="str">
        <f>IFERROR([1]!IntrinioBankFinancials(rssd_id,$R$2,F$6,F$5,$B63),"")</f>
        <v/>
      </c>
      <c r="G63" s="31" t="str">
        <f>IFERROR([1]!IntrinioBankFinancials(rssd_id,$R$2,G$6,G$5,$B63),"")</f>
        <v/>
      </c>
      <c r="H63" s="31" t="str">
        <f>IFERROR([1]!IntrinioBankFinancials(rssd_id,$R$2,H$6,H$5,$B63),"")</f>
        <v/>
      </c>
      <c r="I63" s="31" t="str">
        <f>IFERROR([1]!IntrinioBankFinancials(rssd_id,$R$2,I$6,I$5,$B63),"")</f>
        <v/>
      </c>
      <c r="J63" s="31" t="str">
        <f>IFERROR([1]!IntrinioBankFinancials(rssd_id,$R$2,J$6,J$5,$B63),"")</f>
        <v/>
      </c>
      <c r="K63" s="31" t="str">
        <f>IFERROR([1]!IntrinioBankFinancials(rssd_id,$R$2,K$6,K$5,$B63),"")</f>
        <v/>
      </c>
      <c r="L63" s="31" t="str">
        <f>IFERROR([1]!IntrinioBankFinancials(rssd_id,$R$2,L$6,L$5,$B63),"")</f>
        <v/>
      </c>
      <c r="M63" s="31" t="str">
        <f>IFERROR([1]!IntrinioBankFinancials(rssd_id,$R$2,M$6,M$5,$B63),"")</f>
        <v/>
      </c>
      <c r="N63" s="31" t="str">
        <f>IFERROR([1]!IntrinioBankFinancials(rssd_id,$R$2,N$6,N$5,$B63),"")</f>
        <v/>
      </c>
      <c r="O63" s="31" t="str">
        <f>IFERROR([1]!IntrinioBankFinancials(rssd_id,$R$2,O$6,O$5,$B63),"")</f>
        <v/>
      </c>
    </row>
    <row r="64" spans="1:15" s="22" customFormat="1" ht="13.5" customHeight="1" x14ac:dyDescent="0.4">
      <c r="A64" s="33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</row>
    <row r="65" spans="1:15" s="22" customFormat="1" ht="13.5" customHeight="1" x14ac:dyDescent="0.4">
      <c r="A65" s="33" t="s">
        <v>505</v>
      </c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</row>
    <row r="66" spans="1:15" ht="13.5" customHeight="1" x14ac:dyDescent="0.4">
      <c r="A66" s="34" t="s">
        <v>364</v>
      </c>
      <c r="B66" s="23" t="s">
        <v>365</v>
      </c>
      <c r="C66" s="31" t="str">
        <f>IFERROR([1]!IntrinioBankFinancials(rssd_id,$R$2,C$6,C$5,$B66),"")</f>
        <v/>
      </c>
      <c r="D66" s="31" t="str">
        <f>IFERROR([1]!IntrinioBankFinancials(rssd_id,$R$2,D$6,D$5,$B66),"")</f>
        <v/>
      </c>
      <c r="E66" s="31" t="str">
        <f>IFERROR([1]!IntrinioBankFinancials(rssd_id,$R$2,E$6,E$5,$B66),"")</f>
        <v/>
      </c>
      <c r="F66" s="31" t="str">
        <f>IFERROR([1]!IntrinioBankFinancials(rssd_id,$R$2,F$6,F$5,$B66),"")</f>
        <v/>
      </c>
      <c r="G66" s="31" t="str">
        <f>IFERROR([1]!IntrinioBankFinancials(rssd_id,$R$2,G$6,G$5,$B66),"")</f>
        <v/>
      </c>
      <c r="H66" s="31" t="str">
        <f>IFERROR([1]!IntrinioBankFinancials(rssd_id,$R$2,H$6,H$5,$B66),"")</f>
        <v/>
      </c>
      <c r="I66" s="31" t="str">
        <f>IFERROR([1]!IntrinioBankFinancials(rssd_id,$R$2,I$6,I$5,$B66),"")</f>
        <v/>
      </c>
      <c r="J66" s="31" t="str">
        <f>IFERROR([1]!IntrinioBankFinancials(rssd_id,$R$2,J$6,J$5,$B66),"")</f>
        <v/>
      </c>
      <c r="K66" s="31" t="str">
        <f>IFERROR([1]!IntrinioBankFinancials(rssd_id,$R$2,K$6,K$5,$B66),"")</f>
        <v/>
      </c>
      <c r="L66" s="31" t="str">
        <f>IFERROR([1]!IntrinioBankFinancials(rssd_id,$R$2,L$6,L$5,$B66),"")</f>
        <v/>
      </c>
      <c r="M66" s="31" t="str">
        <f>IFERROR([1]!IntrinioBankFinancials(rssd_id,$R$2,M$6,M$5,$B66),"")</f>
        <v/>
      </c>
      <c r="N66" s="31" t="str">
        <f>IFERROR([1]!IntrinioBankFinancials(rssd_id,$R$2,N$6,N$5,$B66),"")</f>
        <v/>
      </c>
      <c r="O66" s="31" t="str">
        <f>IFERROR([1]!IntrinioBankFinancials(rssd_id,$R$2,O$6,O$5,$B66),"")</f>
        <v/>
      </c>
    </row>
    <row r="67" spans="1:15" ht="13.5" customHeight="1" x14ac:dyDescent="0.4">
      <c r="A67" s="34" t="s">
        <v>366</v>
      </c>
      <c r="B67" s="23" t="s">
        <v>367</v>
      </c>
      <c r="C67" s="31" t="str">
        <f>IFERROR([1]!IntrinioBankFinancials(rssd_id,$R$2,C$6,C$5,$B67),"")</f>
        <v/>
      </c>
      <c r="D67" s="31" t="str">
        <f>IFERROR([1]!IntrinioBankFinancials(rssd_id,$R$2,D$6,D$5,$B67),"")</f>
        <v/>
      </c>
      <c r="E67" s="31" t="str">
        <f>IFERROR([1]!IntrinioBankFinancials(rssd_id,$R$2,E$6,E$5,$B67),"")</f>
        <v/>
      </c>
      <c r="F67" s="31" t="str">
        <f>IFERROR([1]!IntrinioBankFinancials(rssd_id,$R$2,F$6,F$5,$B67),"")</f>
        <v/>
      </c>
      <c r="G67" s="31" t="str">
        <f>IFERROR([1]!IntrinioBankFinancials(rssd_id,$R$2,G$6,G$5,$B67),"")</f>
        <v/>
      </c>
      <c r="H67" s="31" t="str">
        <f>IFERROR([1]!IntrinioBankFinancials(rssd_id,$R$2,H$6,H$5,$B67),"")</f>
        <v/>
      </c>
      <c r="I67" s="31" t="str">
        <f>IFERROR([1]!IntrinioBankFinancials(rssd_id,$R$2,I$6,I$5,$B67),"")</f>
        <v/>
      </c>
      <c r="J67" s="31" t="str">
        <f>IFERROR([1]!IntrinioBankFinancials(rssd_id,$R$2,J$6,J$5,$B67),"")</f>
        <v/>
      </c>
      <c r="K67" s="31" t="str">
        <f>IFERROR([1]!IntrinioBankFinancials(rssd_id,$R$2,K$6,K$5,$B67),"")</f>
        <v/>
      </c>
      <c r="L67" s="31" t="str">
        <f>IFERROR([1]!IntrinioBankFinancials(rssd_id,$R$2,L$6,L$5,$B67),"")</f>
        <v/>
      </c>
      <c r="M67" s="31" t="str">
        <f>IFERROR([1]!IntrinioBankFinancials(rssd_id,$R$2,M$6,M$5,$B67),"")</f>
        <v/>
      </c>
      <c r="N67" s="31" t="str">
        <f>IFERROR([1]!IntrinioBankFinancials(rssd_id,$R$2,N$6,N$5,$B67),"")</f>
        <v/>
      </c>
      <c r="O67" s="31" t="str">
        <f>IFERROR([1]!IntrinioBankFinancials(rssd_id,$R$2,O$6,O$5,$B67),"")</f>
        <v/>
      </c>
    </row>
    <row r="68" spans="1:15" ht="13.5" customHeight="1" x14ac:dyDescent="0.4">
      <c r="A68" s="34" t="s">
        <v>368</v>
      </c>
      <c r="B68" s="23" t="s">
        <v>369</v>
      </c>
      <c r="C68" s="31" t="str">
        <f>IFERROR([1]!IntrinioBankFinancials(rssd_id,$R$2,C$6,C$5,$B68),"")</f>
        <v/>
      </c>
      <c r="D68" s="31" t="str">
        <f>IFERROR([1]!IntrinioBankFinancials(rssd_id,$R$2,D$6,D$5,$B68),"")</f>
        <v/>
      </c>
      <c r="E68" s="31" t="str">
        <f>IFERROR([1]!IntrinioBankFinancials(rssd_id,$R$2,E$6,E$5,$B68),"")</f>
        <v/>
      </c>
      <c r="F68" s="31" t="str">
        <f>IFERROR([1]!IntrinioBankFinancials(rssd_id,$R$2,F$6,F$5,$B68),"")</f>
        <v/>
      </c>
      <c r="G68" s="31" t="str">
        <f>IFERROR([1]!IntrinioBankFinancials(rssd_id,$R$2,G$6,G$5,$B68),"")</f>
        <v/>
      </c>
      <c r="H68" s="31" t="str">
        <f>IFERROR([1]!IntrinioBankFinancials(rssd_id,$R$2,H$6,H$5,$B68),"")</f>
        <v/>
      </c>
      <c r="I68" s="31" t="str">
        <f>IFERROR([1]!IntrinioBankFinancials(rssd_id,$R$2,I$6,I$5,$B68),"")</f>
        <v/>
      </c>
      <c r="J68" s="31" t="str">
        <f>IFERROR([1]!IntrinioBankFinancials(rssd_id,$R$2,J$6,J$5,$B68),"")</f>
        <v/>
      </c>
      <c r="K68" s="31" t="str">
        <f>IFERROR([1]!IntrinioBankFinancials(rssd_id,$R$2,K$6,K$5,$B68),"")</f>
        <v/>
      </c>
      <c r="L68" s="31" t="str">
        <f>IFERROR([1]!IntrinioBankFinancials(rssd_id,$R$2,L$6,L$5,$B68),"")</f>
        <v/>
      </c>
      <c r="M68" s="31" t="str">
        <f>IFERROR([1]!IntrinioBankFinancials(rssd_id,$R$2,M$6,M$5,$B68),"")</f>
        <v/>
      </c>
      <c r="N68" s="31" t="str">
        <f>IFERROR([1]!IntrinioBankFinancials(rssd_id,$R$2,N$6,N$5,$B68),"")</f>
        <v/>
      </c>
      <c r="O68" s="31" t="str">
        <f>IFERROR([1]!IntrinioBankFinancials(rssd_id,$R$2,O$6,O$5,$B68),"")</f>
        <v/>
      </c>
    </row>
    <row r="69" spans="1:15" ht="13.5" customHeight="1" x14ac:dyDescent="0.4">
      <c r="A69" s="34" t="s">
        <v>370</v>
      </c>
      <c r="B69" s="23" t="s">
        <v>371</v>
      </c>
      <c r="C69" s="31" t="str">
        <f>IFERROR([1]!IntrinioBankFinancials(rssd_id,$R$2,C$6,C$5,$B69),"")</f>
        <v/>
      </c>
      <c r="D69" s="31" t="str">
        <f>IFERROR([1]!IntrinioBankFinancials(rssd_id,$R$2,D$6,D$5,$B69),"")</f>
        <v/>
      </c>
      <c r="E69" s="31" t="str">
        <f>IFERROR([1]!IntrinioBankFinancials(rssd_id,$R$2,E$6,E$5,$B69),"")</f>
        <v/>
      </c>
      <c r="F69" s="31" t="str">
        <f>IFERROR([1]!IntrinioBankFinancials(rssd_id,$R$2,F$6,F$5,$B69),"")</f>
        <v/>
      </c>
      <c r="G69" s="31" t="str">
        <f>IFERROR([1]!IntrinioBankFinancials(rssd_id,$R$2,G$6,G$5,$B69),"")</f>
        <v/>
      </c>
      <c r="H69" s="31" t="str">
        <f>IFERROR([1]!IntrinioBankFinancials(rssd_id,$R$2,H$6,H$5,$B69),"")</f>
        <v/>
      </c>
      <c r="I69" s="31" t="str">
        <f>IFERROR([1]!IntrinioBankFinancials(rssd_id,$R$2,I$6,I$5,$B69),"")</f>
        <v/>
      </c>
      <c r="J69" s="31" t="str">
        <f>IFERROR([1]!IntrinioBankFinancials(rssd_id,$R$2,J$6,J$5,$B69),"")</f>
        <v/>
      </c>
      <c r="K69" s="31" t="str">
        <f>IFERROR([1]!IntrinioBankFinancials(rssd_id,$R$2,K$6,K$5,$B69),"")</f>
        <v/>
      </c>
      <c r="L69" s="31" t="str">
        <f>IFERROR([1]!IntrinioBankFinancials(rssd_id,$R$2,L$6,L$5,$B69),"")</f>
        <v/>
      </c>
      <c r="M69" s="31" t="str">
        <f>IFERROR([1]!IntrinioBankFinancials(rssd_id,$R$2,M$6,M$5,$B69),"")</f>
        <v/>
      </c>
      <c r="N69" s="31" t="str">
        <f>IFERROR([1]!IntrinioBankFinancials(rssd_id,$R$2,N$6,N$5,$B69),"")</f>
        <v/>
      </c>
      <c r="O69" s="31" t="str">
        <f>IFERROR([1]!IntrinioBankFinancials(rssd_id,$R$2,O$6,O$5,$B69),"")</f>
        <v/>
      </c>
    </row>
    <row r="70" spans="1:15" ht="13.5" customHeight="1" x14ac:dyDescent="0.4">
      <c r="A70" s="34" t="s">
        <v>372</v>
      </c>
      <c r="B70" s="23" t="s">
        <v>373</v>
      </c>
      <c r="C70" s="31" t="str">
        <f>IFERROR([1]!IntrinioBankFinancials(rssd_id,$R$2,C$6,C$5,$B70),"")</f>
        <v/>
      </c>
      <c r="D70" s="31" t="str">
        <f>IFERROR([1]!IntrinioBankFinancials(rssd_id,$R$2,D$6,D$5,$B70),"")</f>
        <v/>
      </c>
      <c r="E70" s="31" t="str">
        <f>IFERROR([1]!IntrinioBankFinancials(rssd_id,$R$2,E$6,E$5,$B70),"")</f>
        <v/>
      </c>
      <c r="F70" s="31" t="str">
        <f>IFERROR([1]!IntrinioBankFinancials(rssd_id,$R$2,F$6,F$5,$B70),"")</f>
        <v/>
      </c>
      <c r="G70" s="31" t="str">
        <f>IFERROR([1]!IntrinioBankFinancials(rssd_id,$R$2,G$6,G$5,$B70),"")</f>
        <v/>
      </c>
      <c r="H70" s="31" t="str">
        <f>IFERROR([1]!IntrinioBankFinancials(rssd_id,$R$2,H$6,H$5,$B70),"")</f>
        <v/>
      </c>
      <c r="I70" s="31" t="str">
        <f>IFERROR([1]!IntrinioBankFinancials(rssd_id,$R$2,I$6,I$5,$B70),"")</f>
        <v/>
      </c>
      <c r="J70" s="31" t="str">
        <f>IFERROR([1]!IntrinioBankFinancials(rssd_id,$R$2,J$6,J$5,$B70),"")</f>
        <v/>
      </c>
      <c r="K70" s="31" t="str">
        <f>IFERROR([1]!IntrinioBankFinancials(rssd_id,$R$2,K$6,K$5,$B70),"")</f>
        <v/>
      </c>
      <c r="L70" s="31" t="str">
        <f>IFERROR([1]!IntrinioBankFinancials(rssd_id,$R$2,L$6,L$5,$B70),"")</f>
        <v/>
      </c>
      <c r="M70" s="31" t="str">
        <f>IFERROR([1]!IntrinioBankFinancials(rssd_id,$R$2,M$6,M$5,$B70),"")</f>
        <v/>
      </c>
      <c r="N70" s="31" t="str">
        <f>IFERROR([1]!IntrinioBankFinancials(rssd_id,$R$2,N$6,N$5,$B70),"")</f>
        <v/>
      </c>
      <c r="O70" s="31" t="str">
        <f>IFERROR([1]!IntrinioBankFinancials(rssd_id,$R$2,O$6,O$5,$B70),"")</f>
        <v/>
      </c>
    </row>
    <row r="71" spans="1:15" ht="13.5" customHeight="1" x14ac:dyDescent="0.4">
      <c r="A71" s="34" t="s">
        <v>374</v>
      </c>
      <c r="B71" s="23" t="s">
        <v>375</v>
      </c>
      <c r="C71" s="31" t="str">
        <f>IFERROR([1]!IntrinioBankFinancials(rssd_id,$R$2,C$6,C$5,$B71),"")</f>
        <v/>
      </c>
      <c r="D71" s="31" t="str">
        <f>IFERROR([1]!IntrinioBankFinancials(rssd_id,$R$2,D$6,D$5,$B71),"")</f>
        <v/>
      </c>
      <c r="E71" s="31" t="str">
        <f>IFERROR([1]!IntrinioBankFinancials(rssd_id,$R$2,E$6,E$5,$B71),"")</f>
        <v/>
      </c>
      <c r="F71" s="31" t="str">
        <f>IFERROR([1]!IntrinioBankFinancials(rssd_id,$R$2,F$6,F$5,$B71),"")</f>
        <v/>
      </c>
      <c r="G71" s="31" t="str">
        <f>IFERROR([1]!IntrinioBankFinancials(rssd_id,$R$2,G$6,G$5,$B71),"")</f>
        <v/>
      </c>
      <c r="H71" s="31" t="str">
        <f>IFERROR([1]!IntrinioBankFinancials(rssd_id,$R$2,H$6,H$5,$B71),"")</f>
        <v/>
      </c>
      <c r="I71" s="31" t="str">
        <f>IFERROR([1]!IntrinioBankFinancials(rssd_id,$R$2,I$6,I$5,$B71),"")</f>
        <v/>
      </c>
      <c r="J71" s="31" t="str">
        <f>IFERROR([1]!IntrinioBankFinancials(rssd_id,$R$2,J$6,J$5,$B71),"")</f>
        <v/>
      </c>
      <c r="K71" s="31" t="str">
        <f>IFERROR([1]!IntrinioBankFinancials(rssd_id,$R$2,K$6,K$5,$B71),"")</f>
        <v/>
      </c>
      <c r="L71" s="31" t="str">
        <f>IFERROR([1]!IntrinioBankFinancials(rssd_id,$R$2,L$6,L$5,$B71),"")</f>
        <v/>
      </c>
      <c r="M71" s="31" t="str">
        <f>IFERROR([1]!IntrinioBankFinancials(rssd_id,$R$2,M$6,M$5,$B71),"")</f>
        <v/>
      </c>
      <c r="N71" s="31" t="str">
        <f>IFERROR([1]!IntrinioBankFinancials(rssd_id,$R$2,N$6,N$5,$B71),"")</f>
        <v/>
      </c>
      <c r="O71" s="31" t="str">
        <f>IFERROR([1]!IntrinioBankFinancials(rssd_id,$R$2,O$6,O$5,$B71),"")</f>
        <v/>
      </c>
    </row>
    <row r="72" spans="1:15" ht="13.5" customHeight="1" x14ac:dyDescent="0.4">
      <c r="A72" s="34" t="s">
        <v>376</v>
      </c>
      <c r="B72" s="23" t="s">
        <v>377</v>
      </c>
      <c r="C72" s="31" t="str">
        <f>IFERROR([1]!IntrinioBankFinancials(rssd_id,$R$2,C$6,C$5,$B72),"")</f>
        <v/>
      </c>
      <c r="D72" s="31" t="str">
        <f>IFERROR([1]!IntrinioBankFinancials(rssd_id,$R$2,D$6,D$5,$B72),"")</f>
        <v/>
      </c>
      <c r="E72" s="31" t="str">
        <f>IFERROR([1]!IntrinioBankFinancials(rssd_id,$R$2,E$6,E$5,$B72),"")</f>
        <v/>
      </c>
      <c r="F72" s="31" t="str">
        <f>IFERROR([1]!IntrinioBankFinancials(rssd_id,$R$2,F$6,F$5,$B72),"")</f>
        <v/>
      </c>
      <c r="G72" s="31" t="str">
        <f>IFERROR([1]!IntrinioBankFinancials(rssd_id,$R$2,G$6,G$5,$B72),"")</f>
        <v/>
      </c>
      <c r="H72" s="31" t="str">
        <f>IFERROR([1]!IntrinioBankFinancials(rssd_id,$R$2,H$6,H$5,$B72),"")</f>
        <v/>
      </c>
      <c r="I72" s="31" t="str">
        <f>IFERROR([1]!IntrinioBankFinancials(rssd_id,$R$2,I$6,I$5,$B72),"")</f>
        <v/>
      </c>
      <c r="J72" s="31" t="str">
        <f>IFERROR([1]!IntrinioBankFinancials(rssd_id,$R$2,J$6,J$5,$B72),"")</f>
        <v/>
      </c>
      <c r="K72" s="31" t="str">
        <f>IFERROR([1]!IntrinioBankFinancials(rssd_id,$R$2,K$6,K$5,$B72),"")</f>
        <v/>
      </c>
      <c r="L72" s="31" t="str">
        <f>IFERROR([1]!IntrinioBankFinancials(rssd_id,$R$2,L$6,L$5,$B72),"")</f>
        <v/>
      </c>
      <c r="M72" s="31" t="str">
        <f>IFERROR([1]!IntrinioBankFinancials(rssd_id,$R$2,M$6,M$5,$B72),"")</f>
        <v/>
      </c>
      <c r="N72" s="31" t="str">
        <f>IFERROR([1]!IntrinioBankFinancials(rssd_id,$R$2,N$6,N$5,$B72),"")</f>
        <v/>
      </c>
      <c r="O72" s="31" t="str">
        <f>IFERROR([1]!IntrinioBankFinancials(rssd_id,$R$2,O$6,O$5,$B72),"")</f>
        <v/>
      </c>
    </row>
    <row r="73" spans="1:15" ht="13.5" customHeight="1" x14ac:dyDescent="0.4">
      <c r="A73" s="34" t="s">
        <v>378</v>
      </c>
      <c r="B73" s="23" t="s">
        <v>379</v>
      </c>
      <c r="C73" s="31" t="str">
        <f>IFERROR([1]!IntrinioBankFinancials(rssd_id,$R$2,C$6,C$5,$B73),"")</f>
        <v/>
      </c>
      <c r="D73" s="31" t="str">
        <f>IFERROR([1]!IntrinioBankFinancials(rssd_id,$R$2,D$6,D$5,$B73),"")</f>
        <v/>
      </c>
      <c r="E73" s="31" t="str">
        <f>IFERROR([1]!IntrinioBankFinancials(rssd_id,$R$2,E$6,E$5,$B73),"")</f>
        <v/>
      </c>
      <c r="F73" s="31" t="str">
        <f>IFERROR([1]!IntrinioBankFinancials(rssd_id,$R$2,F$6,F$5,$B73),"")</f>
        <v/>
      </c>
      <c r="G73" s="31" t="str">
        <f>IFERROR([1]!IntrinioBankFinancials(rssd_id,$R$2,G$6,G$5,$B73),"")</f>
        <v/>
      </c>
      <c r="H73" s="31" t="str">
        <f>IFERROR([1]!IntrinioBankFinancials(rssd_id,$R$2,H$6,H$5,$B73),"")</f>
        <v/>
      </c>
      <c r="I73" s="31" t="str">
        <f>IFERROR([1]!IntrinioBankFinancials(rssd_id,$R$2,I$6,I$5,$B73),"")</f>
        <v/>
      </c>
      <c r="J73" s="31" t="str">
        <f>IFERROR([1]!IntrinioBankFinancials(rssd_id,$R$2,J$6,J$5,$B73),"")</f>
        <v/>
      </c>
      <c r="K73" s="31" t="str">
        <f>IFERROR([1]!IntrinioBankFinancials(rssd_id,$R$2,K$6,K$5,$B73),"")</f>
        <v/>
      </c>
      <c r="L73" s="31" t="str">
        <f>IFERROR([1]!IntrinioBankFinancials(rssd_id,$R$2,L$6,L$5,$B73),"")</f>
        <v/>
      </c>
      <c r="M73" s="31" t="str">
        <f>IFERROR([1]!IntrinioBankFinancials(rssd_id,$R$2,M$6,M$5,$B73),"")</f>
        <v/>
      </c>
      <c r="N73" s="31" t="str">
        <f>IFERROR([1]!IntrinioBankFinancials(rssd_id,$R$2,N$6,N$5,$B73),"")</f>
        <v/>
      </c>
      <c r="O73" s="31" t="str">
        <f>IFERROR([1]!IntrinioBankFinancials(rssd_id,$R$2,O$6,O$5,$B73),"")</f>
        <v/>
      </c>
    </row>
    <row r="74" spans="1:15" ht="13.5" customHeight="1" x14ac:dyDescent="0.4">
      <c r="A74" s="34" t="s">
        <v>380</v>
      </c>
      <c r="B74" s="23" t="s">
        <v>381</v>
      </c>
      <c r="C74" s="31" t="str">
        <f>IFERROR([1]!IntrinioBankFinancials(rssd_id,$R$2,C$6,C$5,$B74),"")</f>
        <v/>
      </c>
      <c r="D74" s="31" t="str">
        <f>IFERROR([1]!IntrinioBankFinancials(rssd_id,$R$2,D$6,D$5,$B74),"")</f>
        <v/>
      </c>
      <c r="E74" s="31" t="str">
        <f>IFERROR([1]!IntrinioBankFinancials(rssd_id,$R$2,E$6,E$5,$B74),"")</f>
        <v/>
      </c>
      <c r="F74" s="31" t="str">
        <f>IFERROR([1]!IntrinioBankFinancials(rssd_id,$R$2,F$6,F$5,$B74),"")</f>
        <v/>
      </c>
      <c r="G74" s="31" t="str">
        <f>IFERROR([1]!IntrinioBankFinancials(rssd_id,$R$2,G$6,G$5,$B74),"")</f>
        <v/>
      </c>
      <c r="H74" s="31" t="str">
        <f>IFERROR([1]!IntrinioBankFinancials(rssd_id,$R$2,H$6,H$5,$B74),"")</f>
        <v/>
      </c>
      <c r="I74" s="31" t="str">
        <f>IFERROR([1]!IntrinioBankFinancials(rssd_id,$R$2,I$6,I$5,$B74),"")</f>
        <v/>
      </c>
      <c r="J74" s="31" t="str">
        <f>IFERROR([1]!IntrinioBankFinancials(rssd_id,$R$2,J$6,J$5,$B74),"")</f>
        <v/>
      </c>
      <c r="K74" s="31" t="str">
        <f>IFERROR([1]!IntrinioBankFinancials(rssd_id,$R$2,K$6,K$5,$B74),"")</f>
        <v/>
      </c>
      <c r="L74" s="31" t="str">
        <f>IFERROR([1]!IntrinioBankFinancials(rssd_id,$R$2,L$6,L$5,$B74),"")</f>
        <v/>
      </c>
      <c r="M74" s="31" t="str">
        <f>IFERROR([1]!IntrinioBankFinancials(rssd_id,$R$2,M$6,M$5,$B74),"")</f>
        <v/>
      </c>
      <c r="N74" s="31" t="str">
        <f>IFERROR([1]!IntrinioBankFinancials(rssd_id,$R$2,N$6,N$5,$B74),"")</f>
        <v/>
      </c>
      <c r="O74" s="31" t="str">
        <f>IFERROR([1]!IntrinioBankFinancials(rssd_id,$R$2,O$6,O$5,$B74),"")</f>
        <v/>
      </c>
    </row>
    <row r="75" spans="1:15" ht="13.5" customHeight="1" x14ac:dyDescent="0.4">
      <c r="A75" s="34" t="s">
        <v>382</v>
      </c>
      <c r="B75" s="23" t="s">
        <v>383</v>
      </c>
      <c r="C75" s="31" t="str">
        <f>IFERROR([1]!IntrinioBankFinancials(rssd_id,$R$2,C$6,C$5,$B75),"")</f>
        <v/>
      </c>
      <c r="D75" s="31" t="str">
        <f>IFERROR([1]!IntrinioBankFinancials(rssd_id,$R$2,D$6,D$5,$B75),"")</f>
        <v/>
      </c>
      <c r="E75" s="31" t="str">
        <f>IFERROR([1]!IntrinioBankFinancials(rssd_id,$R$2,E$6,E$5,$B75),"")</f>
        <v/>
      </c>
      <c r="F75" s="31" t="str">
        <f>IFERROR([1]!IntrinioBankFinancials(rssd_id,$R$2,F$6,F$5,$B75),"")</f>
        <v/>
      </c>
      <c r="G75" s="31" t="str">
        <f>IFERROR([1]!IntrinioBankFinancials(rssd_id,$R$2,G$6,G$5,$B75),"")</f>
        <v/>
      </c>
      <c r="H75" s="31" t="str">
        <f>IFERROR([1]!IntrinioBankFinancials(rssd_id,$R$2,H$6,H$5,$B75),"")</f>
        <v/>
      </c>
      <c r="I75" s="31" t="str">
        <f>IFERROR([1]!IntrinioBankFinancials(rssd_id,$R$2,I$6,I$5,$B75),"")</f>
        <v/>
      </c>
      <c r="J75" s="31" t="str">
        <f>IFERROR([1]!IntrinioBankFinancials(rssd_id,$R$2,J$6,J$5,$B75),"")</f>
        <v/>
      </c>
      <c r="K75" s="31" t="str">
        <f>IFERROR([1]!IntrinioBankFinancials(rssd_id,$R$2,K$6,K$5,$B75),"")</f>
        <v/>
      </c>
      <c r="L75" s="31" t="str">
        <f>IFERROR([1]!IntrinioBankFinancials(rssd_id,$R$2,L$6,L$5,$B75),"")</f>
        <v/>
      </c>
      <c r="M75" s="31" t="str">
        <f>IFERROR([1]!IntrinioBankFinancials(rssd_id,$R$2,M$6,M$5,$B75),"")</f>
        <v/>
      </c>
      <c r="N75" s="31" t="str">
        <f>IFERROR([1]!IntrinioBankFinancials(rssd_id,$R$2,N$6,N$5,$B75),"")</f>
        <v/>
      </c>
      <c r="O75" s="31" t="str">
        <f>IFERROR([1]!IntrinioBankFinancials(rssd_id,$R$2,O$6,O$5,$B75),"")</f>
        <v/>
      </c>
    </row>
    <row r="76" spans="1:15" ht="13.5" customHeight="1" x14ac:dyDescent="0.4">
      <c r="A76" s="34" t="s">
        <v>384</v>
      </c>
      <c r="B76" s="23" t="s">
        <v>385</v>
      </c>
      <c r="C76" s="31" t="str">
        <f>IFERROR([1]!IntrinioBankFinancials(rssd_id,$R$2,C$6,C$5,$B76),"")</f>
        <v/>
      </c>
      <c r="D76" s="31" t="str">
        <f>IFERROR([1]!IntrinioBankFinancials(rssd_id,$R$2,D$6,D$5,$B76),"")</f>
        <v/>
      </c>
      <c r="E76" s="31" t="str">
        <f>IFERROR([1]!IntrinioBankFinancials(rssd_id,$R$2,E$6,E$5,$B76),"")</f>
        <v/>
      </c>
      <c r="F76" s="31" t="str">
        <f>IFERROR([1]!IntrinioBankFinancials(rssd_id,$R$2,F$6,F$5,$B76),"")</f>
        <v/>
      </c>
      <c r="G76" s="31" t="str">
        <f>IFERROR([1]!IntrinioBankFinancials(rssd_id,$R$2,G$6,G$5,$B76),"")</f>
        <v/>
      </c>
      <c r="H76" s="31" t="str">
        <f>IFERROR([1]!IntrinioBankFinancials(rssd_id,$R$2,H$6,H$5,$B76),"")</f>
        <v/>
      </c>
      <c r="I76" s="31" t="str">
        <f>IFERROR([1]!IntrinioBankFinancials(rssd_id,$R$2,I$6,I$5,$B76),"")</f>
        <v/>
      </c>
      <c r="J76" s="31" t="str">
        <f>IFERROR([1]!IntrinioBankFinancials(rssd_id,$R$2,J$6,J$5,$B76),"")</f>
        <v/>
      </c>
      <c r="K76" s="31" t="str">
        <f>IFERROR([1]!IntrinioBankFinancials(rssd_id,$R$2,K$6,K$5,$B76),"")</f>
        <v/>
      </c>
      <c r="L76" s="31" t="str">
        <f>IFERROR([1]!IntrinioBankFinancials(rssd_id,$R$2,L$6,L$5,$B76),"")</f>
        <v/>
      </c>
      <c r="M76" s="31" t="str">
        <f>IFERROR([1]!IntrinioBankFinancials(rssd_id,$R$2,M$6,M$5,$B76),"")</f>
        <v/>
      </c>
      <c r="N76" s="31" t="str">
        <f>IFERROR([1]!IntrinioBankFinancials(rssd_id,$R$2,N$6,N$5,$B76),"")</f>
        <v/>
      </c>
      <c r="O76" s="31" t="str">
        <f>IFERROR([1]!IntrinioBankFinancials(rssd_id,$R$2,O$6,O$5,$B76),"")</f>
        <v/>
      </c>
    </row>
    <row r="77" spans="1:15" ht="13.5" customHeight="1" x14ac:dyDescent="0.4">
      <c r="A77" s="34" t="s">
        <v>386</v>
      </c>
      <c r="B77" s="23" t="s">
        <v>387</v>
      </c>
      <c r="C77" s="31" t="str">
        <f>IFERROR([1]!IntrinioBankFinancials(rssd_id,$R$2,C$6,C$5,$B77),"")</f>
        <v/>
      </c>
      <c r="D77" s="31" t="str">
        <f>IFERROR([1]!IntrinioBankFinancials(rssd_id,$R$2,D$6,D$5,$B77),"")</f>
        <v/>
      </c>
      <c r="E77" s="31" t="str">
        <f>IFERROR([1]!IntrinioBankFinancials(rssd_id,$R$2,E$6,E$5,$B77),"")</f>
        <v/>
      </c>
      <c r="F77" s="31" t="str">
        <f>IFERROR([1]!IntrinioBankFinancials(rssd_id,$R$2,F$6,F$5,$B77),"")</f>
        <v/>
      </c>
      <c r="G77" s="31" t="str">
        <f>IFERROR([1]!IntrinioBankFinancials(rssd_id,$R$2,G$6,G$5,$B77),"")</f>
        <v/>
      </c>
      <c r="H77" s="31" t="str">
        <f>IFERROR([1]!IntrinioBankFinancials(rssd_id,$R$2,H$6,H$5,$B77),"")</f>
        <v/>
      </c>
      <c r="I77" s="31" t="str">
        <f>IFERROR([1]!IntrinioBankFinancials(rssd_id,$R$2,I$6,I$5,$B77),"")</f>
        <v/>
      </c>
      <c r="J77" s="31" t="str">
        <f>IFERROR([1]!IntrinioBankFinancials(rssd_id,$R$2,J$6,J$5,$B77),"")</f>
        <v/>
      </c>
      <c r="K77" s="31" t="str">
        <f>IFERROR([1]!IntrinioBankFinancials(rssd_id,$R$2,K$6,K$5,$B77),"")</f>
        <v/>
      </c>
      <c r="L77" s="31" t="str">
        <f>IFERROR([1]!IntrinioBankFinancials(rssd_id,$R$2,L$6,L$5,$B77),"")</f>
        <v/>
      </c>
      <c r="M77" s="31" t="str">
        <f>IFERROR([1]!IntrinioBankFinancials(rssd_id,$R$2,M$6,M$5,$B77),"")</f>
        <v/>
      </c>
      <c r="N77" s="31" t="str">
        <f>IFERROR([1]!IntrinioBankFinancials(rssd_id,$R$2,N$6,N$5,$B77),"")</f>
        <v/>
      </c>
      <c r="O77" s="31" t="str">
        <f>IFERROR([1]!IntrinioBankFinancials(rssd_id,$R$2,O$6,O$5,$B77),"")</f>
        <v/>
      </c>
    </row>
    <row r="78" spans="1:15" ht="13.5" customHeight="1" x14ac:dyDescent="0.4">
      <c r="A78" s="34" t="s">
        <v>388</v>
      </c>
      <c r="B78" s="23" t="s">
        <v>389</v>
      </c>
      <c r="C78" s="31" t="str">
        <f>IFERROR([1]!IntrinioBankFinancials(rssd_id,$R$2,C$6,C$5,$B78),"")</f>
        <v/>
      </c>
      <c r="D78" s="31" t="str">
        <f>IFERROR([1]!IntrinioBankFinancials(rssd_id,$R$2,D$6,D$5,$B78),"")</f>
        <v/>
      </c>
      <c r="E78" s="31" t="str">
        <f>IFERROR([1]!IntrinioBankFinancials(rssd_id,$R$2,E$6,E$5,$B78),"")</f>
        <v/>
      </c>
      <c r="F78" s="31" t="str">
        <f>IFERROR([1]!IntrinioBankFinancials(rssd_id,$R$2,F$6,F$5,$B78),"")</f>
        <v/>
      </c>
      <c r="G78" s="31" t="str">
        <f>IFERROR([1]!IntrinioBankFinancials(rssd_id,$R$2,G$6,G$5,$B78),"")</f>
        <v/>
      </c>
      <c r="H78" s="31" t="str">
        <f>IFERROR([1]!IntrinioBankFinancials(rssd_id,$R$2,H$6,H$5,$B78),"")</f>
        <v/>
      </c>
      <c r="I78" s="31" t="str">
        <f>IFERROR([1]!IntrinioBankFinancials(rssd_id,$R$2,I$6,I$5,$B78),"")</f>
        <v/>
      </c>
      <c r="J78" s="31" t="str">
        <f>IFERROR([1]!IntrinioBankFinancials(rssd_id,$R$2,J$6,J$5,$B78),"")</f>
        <v/>
      </c>
      <c r="K78" s="31" t="str">
        <f>IFERROR([1]!IntrinioBankFinancials(rssd_id,$R$2,K$6,K$5,$B78),"")</f>
        <v/>
      </c>
      <c r="L78" s="31" t="str">
        <f>IFERROR([1]!IntrinioBankFinancials(rssd_id,$R$2,L$6,L$5,$B78),"")</f>
        <v/>
      </c>
      <c r="M78" s="31" t="str">
        <f>IFERROR([1]!IntrinioBankFinancials(rssd_id,$R$2,M$6,M$5,$B78),"")</f>
        <v/>
      </c>
      <c r="N78" s="31" t="str">
        <f>IFERROR([1]!IntrinioBankFinancials(rssd_id,$R$2,N$6,N$5,$B78),"")</f>
        <v/>
      </c>
      <c r="O78" s="31" t="str">
        <f>IFERROR([1]!IntrinioBankFinancials(rssd_id,$R$2,O$6,O$5,$B78),"")</f>
        <v/>
      </c>
    </row>
    <row r="79" spans="1:15" ht="13.5" customHeight="1" x14ac:dyDescent="0.4">
      <c r="A79" s="34" t="s">
        <v>390</v>
      </c>
      <c r="B79" s="23" t="s">
        <v>391</v>
      </c>
      <c r="C79" s="31" t="str">
        <f>IFERROR([1]!IntrinioBankFinancials(rssd_id,$R$2,C$6,C$5,$B79),"")</f>
        <v/>
      </c>
      <c r="D79" s="31" t="str">
        <f>IFERROR([1]!IntrinioBankFinancials(rssd_id,$R$2,D$6,D$5,$B79),"")</f>
        <v/>
      </c>
      <c r="E79" s="31" t="str">
        <f>IFERROR([1]!IntrinioBankFinancials(rssd_id,$R$2,E$6,E$5,$B79),"")</f>
        <v/>
      </c>
      <c r="F79" s="31" t="str">
        <f>IFERROR([1]!IntrinioBankFinancials(rssd_id,$R$2,F$6,F$5,$B79),"")</f>
        <v/>
      </c>
      <c r="G79" s="31" t="str">
        <f>IFERROR([1]!IntrinioBankFinancials(rssd_id,$R$2,G$6,G$5,$B79),"")</f>
        <v/>
      </c>
      <c r="H79" s="31" t="str">
        <f>IFERROR([1]!IntrinioBankFinancials(rssd_id,$R$2,H$6,H$5,$B79),"")</f>
        <v/>
      </c>
      <c r="I79" s="31" t="str">
        <f>IFERROR([1]!IntrinioBankFinancials(rssd_id,$R$2,I$6,I$5,$B79),"")</f>
        <v/>
      </c>
      <c r="J79" s="31" t="str">
        <f>IFERROR([1]!IntrinioBankFinancials(rssd_id,$R$2,J$6,J$5,$B79),"")</f>
        <v/>
      </c>
      <c r="K79" s="31" t="str">
        <f>IFERROR([1]!IntrinioBankFinancials(rssd_id,$R$2,K$6,K$5,$B79),"")</f>
        <v/>
      </c>
      <c r="L79" s="31" t="str">
        <f>IFERROR([1]!IntrinioBankFinancials(rssd_id,$R$2,L$6,L$5,$B79),"")</f>
        <v/>
      </c>
      <c r="M79" s="31" t="str">
        <f>IFERROR([1]!IntrinioBankFinancials(rssd_id,$R$2,M$6,M$5,$B79),"")</f>
        <v/>
      </c>
      <c r="N79" s="31" t="str">
        <f>IFERROR([1]!IntrinioBankFinancials(rssd_id,$R$2,N$6,N$5,$B79),"")</f>
        <v/>
      </c>
      <c r="O79" s="31" t="str">
        <f>IFERROR([1]!IntrinioBankFinancials(rssd_id,$R$2,O$6,O$5,$B79),"")</f>
        <v/>
      </c>
    </row>
    <row r="80" spans="1:15" ht="13.5" customHeight="1" x14ac:dyDescent="0.4">
      <c r="A80" s="34" t="s">
        <v>392</v>
      </c>
      <c r="B80" s="23" t="s">
        <v>393</v>
      </c>
      <c r="C80" s="31" t="str">
        <f>IFERROR([1]!IntrinioBankFinancials(rssd_id,$R$2,C$6,C$5,$B80),"")</f>
        <v/>
      </c>
      <c r="D80" s="31" t="str">
        <f>IFERROR([1]!IntrinioBankFinancials(rssd_id,$R$2,D$6,D$5,$B80),"")</f>
        <v/>
      </c>
      <c r="E80" s="31" t="str">
        <f>IFERROR([1]!IntrinioBankFinancials(rssd_id,$R$2,E$6,E$5,$B80),"")</f>
        <v/>
      </c>
      <c r="F80" s="31" t="str">
        <f>IFERROR([1]!IntrinioBankFinancials(rssd_id,$R$2,F$6,F$5,$B80),"")</f>
        <v/>
      </c>
      <c r="G80" s="31" t="str">
        <f>IFERROR([1]!IntrinioBankFinancials(rssd_id,$R$2,G$6,G$5,$B80),"")</f>
        <v/>
      </c>
      <c r="H80" s="31" t="str">
        <f>IFERROR([1]!IntrinioBankFinancials(rssd_id,$R$2,H$6,H$5,$B80),"")</f>
        <v/>
      </c>
      <c r="I80" s="31" t="str">
        <f>IFERROR([1]!IntrinioBankFinancials(rssd_id,$R$2,I$6,I$5,$B80),"")</f>
        <v/>
      </c>
      <c r="J80" s="31" t="str">
        <f>IFERROR([1]!IntrinioBankFinancials(rssd_id,$R$2,J$6,J$5,$B80),"")</f>
        <v/>
      </c>
      <c r="K80" s="31" t="str">
        <f>IFERROR([1]!IntrinioBankFinancials(rssd_id,$R$2,K$6,K$5,$B80),"")</f>
        <v/>
      </c>
      <c r="L80" s="31" t="str">
        <f>IFERROR([1]!IntrinioBankFinancials(rssd_id,$R$2,L$6,L$5,$B80),"")</f>
        <v/>
      </c>
      <c r="M80" s="31" t="str">
        <f>IFERROR([1]!IntrinioBankFinancials(rssd_id,$R$2,M$6,M$5,$B80),"")</f>
        <v/>
      </c>
      <c r="N80" s="31" t="str">
        <f>IFERROR([1]!IntrinioBankFinancials(rssd_id,$R$2,N$6,N$5,$B80),"")</f>
        <v/>
      </c>
      <c r="O80" s="31" t="str">
        <f>IFERROR([1]!IntrinioBankFinancials(rssd_id,$R$2,O$6,O$5,$B80),"")</f>
        <v/>
      </c>
    </row>
    <row r="81" spans="1:15" ht="13.5" customHeight="1" x14ac:dyDescent="0.4">
      <c r="A81" s="34" t="s">
        <v>394</v>
      </c>
      <c r="B81" s="23" t="s">
        <v>395</v>
      </c>
      <c r="C81" s="31" t="str">
        <f>IFERROR([1]!IntrinioBankFinancials(rssd_id,$R$2,C$6,C$5,$B81),"")</f>
        <v/>
      </c>
      <c r="D81" s="31" t="str">
        <f>IFERROR([1]!IntrinioBankFinancials(rssd_id,$R$2,D$6,D$5,$B81),"")</f>
        <v/>
      </c>
      <c r="E81" s="31" t="str">
        <f>IFERROR([1]!IntrinioBankFinancials(rssd_id,$R$2,E$6,E$5,$B81),"")</f>
        <v/>
      </c>
      <c r="F81" s="31" t="str">
        <f>IFERROR([1]!IntrinioBankFinancials(rssd_id,$R$2,F$6,F$5,$B81),"")</f>
        <v/>
      </c>
      <c r="G81" s="31" t="str">
        <f>IFERROR([1]!IntrinioBankFinancials(rssd_id,$R$2,G$6,G$5,$B81),"")</f>
        <v/>
      </c>
      <c r="H81" s="31" t="str">
        <f>IFERROR([1]!IntrinioBankFinancials(rssd_id,$R$2,H$6,H$5,$B81),"")</f>
        <v/>
      </c>
      <c r="I81" s="31" t="str">
        <f>IFERROR([1]!IntrinioBankFinancials(rssd_id,$R$2,I$6,I$5,$B81),"")</f>
        <v/>
      </c>
      <c r="J81" s="31" t="str">
        <f>IFERROR([1]!IntrinioBankFinancials(rssd_id,$R$2,J$6,J$5,$B81),"")</f>
        <v/>
      </c>
      <c r="K81" s="31" t="str">
        <f>IFERROR([1]!IntrinioBankFinancials(rssd_id,$R$2,K$6,K$5,$B81),"")</f>
        <v/>
      </c>
      <c r="L81" s="31" t="str">
        <f>IFERROR([1]!IntrinioBankFinancials(rssd_id,$R$2,L$6,L$5,$B81),"")</f>
        <v/>
      </c>
      <c r="M81" s="31" t="str">
        <f>IFERROR([1]!IntrinioBankFinancials(rssd_id,$R$2,M$6,M$5,$B81),"")</f>
        <v/>
      </c>
      <c r="N81" s="31" t="str">
        <f>IFERROR([1]!IntrinioBankFinancials(rssd_id,$R$2,N$6,N$5,$B81),"")</f>
        <v/>
      </c>
      <c r="O81" s="31" t="str">
        <f>IFERROR([1]!IntrinioBankFinancials(rssd_id,$R$2,O$6,O$5,$B81),"")</f>
        <v/>
      </c>
    </row>
    <row r="82" spans="1:15" ht="13.5" customHeight="1" x14ac:dyDescent="0.4">
      <c r="A82" s="34" t="s">
        <v>396</v>
      </c>
      <c r="B82" s="23" t="s">
        <v>397</v>
      </c>
      <c r="C82" s="31" t="str">
        <f>IFERROR([1]!IntrinioBankFinancials(rssd_id,$R$2,C$6,C$5,$B82),"")</f>
        <v/>
      </c>
      <c r="D82" s="31" t="str">
        <f>IFERROR([1]!IntrinioBankFinancials(rssd_id,$R$2,D$6,D$5,$B82),"")</f>
        <v/>
      </c>
      <c r="E82" s="31" t="str">
        <f>IFERROR([1]!IntrinioBankFinancials(rssd_id,$R$2,E$6,E$5,$B82),"")</f>
        <v/>
      </c>
      <c r="F82" s="31" t="str">
        <f>IFERROR([1]!IntrinioBankFinancials(rssd_id,$R$2,F$6,F$5,$B82),"")</f>
        <v/>
      </c>
      <c r="G82" s="31" t="str">
        <f>IFERROR([1]!IntrinioBankFinancials(rssd_id,$R$2,G$6,G$5,$B82),"")</f>
        <v/>
      </c>
      <c r="H82" s="31" t="str">
        <f>IFERROR([1]!IntrinioBankFinancials(rssd_id,$R$2,H$6,H$5,$B82),"")</f>
        <v/>
      </c>
      <c r="I82" s="31" t="str">
        <f>IFERROR([1]!IntrinioBankFinancials(rssd_id,$R$2,I$6,I$5,$B82),"")</f>
        <v/>
      </c>
      <c r="J82" s="31" t="str">
        <f>IFERROR([1]!IntrinioBankFinancials(rssd_id,$R$2,J$6,J$5,$B82),"")</f>
        <v/>
      </c>
      <c r="K82" s="31" t="str">
        <f>IFERROR([1]!IntrinioBankFinancials(rssd_id,$R$2,K$6,K$5,$B82),"")</f>
        <v/>
      </c>
      <c r="L82" s="31" t="str">
        <f>IFERROR([1]!IntrinioBankFinancials(rssd_id,$R$2,L$6,L$5,$B82),"")</f>
        <v/>
      </c>
      <c r="M82" s="31" t="str">
        <f>IFERROR([1]!IntrinioBankFinancials(rssd_id,$R$2,M$6,M$5,$B82),"")</f>
        <v/>
      </c>
      <c r="N82" s="31" t="str">
        <f>IFERROR([1]!IntrinioBankFinancials(rssd_id,$R$2,N$6,N$5,$B82),"")</f>
        <v/>
      </c>
      <c r="O82" s="31" t="str">
        <f>IFERROR([1]!IntrinioBankFinancials(rssd_id,$R$2,O$6,O$5,$B82),"")</f>
        <v/>
      </c>
    </row>
    <row r="83" spans="1:15" ht="13.5" customHeight="1" x14ac:dyDescent="0.4">
      <c r="A83" s="34" t="s">
        <v>398</v>
      </c>
      <c r="B83" s="23" t="s">
        <v>399</v>
      </c>
      <c r="C83" s="31" t="str">
        <f>IFERROR([1]!IntrinioBankFinancials(rssd_id,$R$2,C$6,C$5,$B83),"")</f>
        <v/>
      </c>
      <c r="D83" s="31" t="str">
        <f>IFERROR([1]!IntrinioBankFinancials(rssd_id,$R$2,D$6,D$5,$B83),"")</f>
        <v/>
      </c>
      <c r="E83" s="31" t="str">
        <f>IFERROR([1]!IntrinioBankFinancials(rssd_id,$R$2,E$6,E$5,$B83),"")</f>
        <v/>
      </c>
      <c r="F83" s="31" t="str">
        <f>IFERROR([1]!IntrinioBankFinancials(rssd_id,$R$2,F$6,F$5,$B83),"")</f>
        <v/>
      </c>
      <c r="G83" s="31" t="str">
        <f>IFERROR([1]!IntrinioBankFinancials(rssd_id,$R$2,G$6,G$5,$B83),"")</f>
        <v/>
      </c>
      <c r="H83" s="31" t="str">
        <f>IFERROR([1]!IntrinioBankFinancials(rssd_id,$R$2,H$6,H$5,$B83),"")</f>
        <v/>
      </c>
      <c r="I83" s="31" t="str">
        <f>IFERROR([1]!IntrinioBankFinancials(rssd_id,$R$2,I$6,I$5,$B83),"")</f>
        <v/>
      </c>
      <c r="J83" s="31" t="str">
        <f>IFERROR([1]!IntrinioBankFinancials(rssd_id,$R$2,J$6,J$5,$B83),"")</f>
        <v/>
      </c>
      <c r="K83" s="31" t="str">
        <f>IFERROR([1]!IntrinioBankFinancials(rssd_id,$R$2,K$6,K$5,$B83),"")</f>
        <v/>
      </c>
      <c r="L83" s="31" t="str">
        <f>IFERROR([1]!IntrinioBankFinancials(rssd_id,$R$2,L$6,L$5,$B83),"")</f>
        <v/>
      </c>
      <c r="M83" s="31" t="str">
        <f>IFERROR([1]!IntrinioBankFinancials(rssd_id,$R$2,M$6,M$5,$B83),"")</f>
        <v/>
      </c>
      <c r="N83" s="31" t="str">
        <f>IFERROR([1]!IntrinioBankFinancials(rssd_id,$R$2,N$6,N$5,$B83),"")</f>
        <v/>
      </c>
      <c r="O83" s="31" t="str">
        <f>IFERROR([1]!IntrinioBankFinancials(rssd_id,$R$2,O$6,O$5,$B83),"")</f>
        <v/>
      </c>
    </row>
    <row r="84" spans="1:15" ht="13.5" customHeight="1" x14ac:dyDescent="0.4">
      <c r="A84" s="34" t="s">
        <v>400</v>
      </c>
      <c r="B84" s="23" t="s">
        <v>401</v>
      </c>
      <c r="C84" s="31" t="str">
        <f>IFERROR([1]!IntrinioBankFinancials(rssd_id,$R$2,C$6,C$5,$B84),"")</f>
        <v/>
      </c>
      <c r="D84" s="31" t="str">
        <f>IFERROR([1]!IntrinioBankFinancials(rssd_id,$R$2,D$6,D$5,$B84),"")</f>
        <v/>
      </c>
      <c r="E84" s="31" t="str">
        <f>IFERROR([1]!IntrinioBankFinancials(rssd_id,$R$2,E$6,E$5,$B84),"")</f>
        <v/>
      </c>
      <c r="F84" s="31" t="str">
        <f>IFERROR([1]!IntrinioBankFinancials(rssd_id,$R$2,F$6,F$5,$B84),"")</f>
        <v/>
      </c>
      <c r="G84" s="31" t="str">
        <f>IFERROR([1]!IntrinioBankFinancials(rssd_id,$R$2,G$6,G$5,$B84),"")</f>
        <v/>
      </c>
      <c r="H84" s="31" t="str">
        <f>IFERROR([1]!IntrinioBankFinancials(rssd_id,$R$2,H$6,H$5,$B84),"")</f>
        <v/>
      </c>
      <c r="I84" s="31" t="str">
        <f>IFERROR([1]!IntrinioBankFinancials(rssd_id,$R$2,I$6,I$5,$B84),"")</f>
        <v/>
      </c>
      <c r="J84" s="31" t="str">
        <f>IFERROR([1]!IntrinioBankFinancials(rssd_id,$R$2,J$6,J$5,$B84),"")</f>
        <v/>
      </c>
      <c r="K84" s="31" t="str">
        <f>IFERROR([1]!IntrinioBankFinancials(rssd_id,$R$2,K$6,K$5,$B84),"")</f>
        <v/>
      </c>
      <c r="L84" s="31" t="str">
        <f>IFERROR([1]!IntrinioBankFinancials(rssd_id,$R$2,L$6,L$5,$B84),"")</f>
        <v/>
      </c>
      <c r="M84" s="31" t="str">
        <f>IFERROR([1]!IntrinioBankFinancials(rssd_id,$R$2,M$6,M$5,$B84),"")</f>
        <v/>
      </c>
      <c r="N84" s="31" t="str">
        <f>IFERROR([1]!IntrinioBankFinancials(rssd_id,$R$2,N$6,N$5,$B84),"")</f>
        <v/>
      </c>
      <c r="O84" s="31" t="str">
        <f>IFERROR([1]!IntrinioBankFinancials(rssd_id,$R$2,O$6,O$5,$B84),"")</f>
        <v/>
      </c>
    </row>
    <row r="85" spans="1:15" ht="13.5" customHeight="1" x14ac:dyDescent="0.4">
      <c r="A85" s="34" t="s">
        <v>402</v>
      </c>
      <c r="B85" s="23" t="s">
        <v>403</v>
      </c>
      <c r="C85" s="31" t="str">
        <f>IFERROR([1]!IntrinioBankFinancials(rssd_id,$R$2,C$6,C$5,$B85),"")</f>
        <v/>
      </c>
      <c r="D85" s="31" t="str">
        <f>IFERROR([1]!IntrinioBankFinancials(rssd_id,$R$2,D$6,D$5,$B85),"")</f>
        <v/>
      </c>
      <c r="E85" s="31" t="str">
        <f>IFERROR([1]!IntrinioBankFinancials(rssd_id,$R$2,E$6,E$5,$B85),"")</f>
        <v/>
      </c>
      <c r="F85" s="31" t="str">
        <f>IFERROR([1]!IntrinioBankFinancials(rssd_id,$R$2,F$6,F$5,$B85),"")</f>
        <v/>
      </c>
      <c r="G85" s="31" t="str">
        <f>IFERROR([1]!IntrinioBankFinancials(rssd_id,$R$2,G$6,G$5,$B85),"")</f>
        <v/>
      </c>
      <c r="H85" s="31" t="str">
        <f>IFERROR([1]!IntrinioBankFinancials(rssd_id,$R$2,H$6,H$5,$B85),"")</f>
        <v/>
      </c>
      <c r="I85" s="31" t="str">
        <f>IFERROR([1]!IntrinioBankFinancials(rssd_id,$R$2,I$6,I$5,$B85),"")</f>
        <v/>
      </c>
      <c r="J85" s="31" t="str">
        <f>IFERROR([1]!IntrinioBankFinancials(rssd_id,$R$2,J$6,J$5,$B85),"")</f>
        <v/>
      </c>
      <c r="K85" s="31" t="str">
        <f>IFERROR([1]!IntrinioBankFinancials(rssd_id,$R$2,K$6,K$5,$B85),"")</f>
        <v/>
      </c>
      <c r="L85" s="31" t="str">
        <f>IFERROR([1]!IntrinioBankFinancials(rssd_id,$R$2,L$6,L$5,$B85),"")</f>
        <v/>
      </c>
      <c r="M85" s="31" t="str">
        <f>IFERROR([1]!IntrinioBankFinancials(rssd_id,$R$2,M$6,M$5,$B85),"")</f>
        <v/>
      </c>
      <c r="N85" s="31" t="str">
        <f>IFERROR([1]!IntrinioBankFinancials(rssd_id,$R$2,N$6,N$5,$B85),"")</f>
        <v/>
      </c>
      <c r="O85" s="31" t="str">
        <f>IFERROR([1]!IntrinioBankFinancials(rssd_id,$R$2,O$6,O$5,$B85),"")</f>
        <v/>
      </c>
    </row>
    <row r="86" spans="1:15" ht="13.5" customHeight="1" x14ac:dyDescent="0.4">
      <c r="A86" s="34" t="s">
        <v>404</v>
      </c>
      <c r="B86" s="23" t="s">
        <v>405</v>
      </c>
      <c r="C86" s="31" t="str">
        <f>IFERROR([1]!IntrinioBankFinancials(rssd_id,$R$2,C$6,C$5,$B86),"")</f>
        <v/>
      </c>
      <c r="D86" s="31" t="str">
        <f>IFERROR([1]!IntrinioBankFinancials(rssd_id,$R$2,D$6,D$5,$B86),"")</f>
        <v/>
      </c>
      <c r="E86" s="31" t="str">
        <f>IFERROR([1]!IntrinioBankFinancials(rssd_id,$R$2,E$6,E$5,$B86),"")</f>
        <v/>
      </c>
      <c r="F86" s="31" t="str">
        <f>IFERROR([1]!IntrinioBankFinancials(rssd_id,$R$2,F$6,F$5,$B86),"")</f>
        <v/>
      </c>
      <c r="G86" s="31" t="str">
        <f>IFERROR([1]!IntrinioBankFinancials(rssd_id,$R$2,G$6,G$5,$B86),"")</f>
        <v/>
      </c>
      <c r="H86" s="31" t="str">
        <f>IFERROR([1]!IntrinioBankFinancials(rssd_id,$R$2,H$6,H$5,$B86),"")</f>
        <v/>
      </c>
      <c r="I86" s="31" t="str">
        <f>IFERROR([1]!IntrinioBankFinancials(rssd_id,$R$2,I$6,I$5,$B86),"")</f>
        <v/>
      </c>
      <c r="J86" s="31" t="str">
        <f>IFERROR([1]!IntrinioBankFinancials(rssd_id,$R$2,J$6,J$5,$B86),"")</f>
        <v/>
      </c>
      <c r="K86" s="31" t="str">
        <f>IFERROR([1]!IntrinioBankFinancials(rssd_id,$R$2,K$6,K$5,$B86),"")</f>
        <v/>
      </c>
      <c r="L86" s="31" t="str">
        <f>IFERROR([1]!IntrinioBankFinancials(rssd_id,$R$2,L$6,L$5,$B86),"")</f>
        <v/>
      </c>
      <c r="M86" s="31" t="str">
        <f>IFERROR([1]!IntrinioBankFinancials(rssd_id,$R$2,M$6,M$5,$B86),"")</f>
        <v/>
      </c>
      <c r="N86" s="31" t="str">
        <f>IFERROR([1]!IntrinioBankFinancials(rssd_id,$R$2,N$6,N$5,$B86),"")</f>
        <v/>
      </c>
      <c r="O86" s="31" t="str">
        <f>IFERROR([1]!IntrinioBankFinancials(rssd_id,$R$2,O$6,O$5,$B86),"")</f>
        <v/>
      </c>
    </row>
    <row r="87" spans="1:15" ht="13.5" customHeight="1" x14ac:dyDescent="0.4">
      <c r="A87" s="34" t="s">
        <v>406</v>
      </c>
      <c r="B87" s="23" t="s">
        <v>407</v>
      </c>
      <c r="C87" s="31" t="str">
        <f>IFERROR([1]!IntrinioBankFinancials(rssd_id,$R$2,C$6,C$5,$B87),"")</f>
        <v/>
      </c>
      <c r="D87" s="31" t="str">
        <f>IFERROR([1]!IntrinioBankFinancials(rssd_id,$R$2,D$6,D$5,$B87),"")</f>
        <v/>
      </c>
      <c r="E87" s="31" t="str">
        <f>IFERROR([1]!IntrinioBankFinancials(rssd_id,$R$2,E$6,E$5,$B87),"")</f>
        <v/>
      </c>
      <c r="F87" s="31" t="str">
        <f>IFERROR([1]!IntrinioBankFinancials(rssd_id,$R$2,F$6,F$5,$B87),"")</f>
        <v/>
      </c>
      <c r="G87" s="31" t="str">
        <f>IFERROR([1]!IntrinioBankFinancials(rssd_id,$R$2,G$6,G$5,$B87),"")</f>
        <v/>
      </c>
      <c r="H87" s="31" t="str">
        <f>IFERROR([1]!IntrinioBankFinancials(rssd_id,$R$2,H$6,H$5,$B87),"")</f>
        <v/>
      </c>
      <c r="I87" s="31" t="str">
        <f>IFERROR([1]!IntrinioBankFinancials(rssd_id,$R$2,I$6,I$5,$B87),"")</f>
        <v/>
      </c>
      <c r="J87" s="31" t="str">
        <f>IFERROR([1]!IntrinioBankFinancials(rssd_id,$R$2,J$6,J$5,$B87),"")</f>
        <v/>
      </c>
      <c r="K87" s="31" t="str">
        <f>IFERROR([1]!IntrinioBankFinancials(rssd_id,$R$2,K$6,K$5,$B87),"")</f>
        <v/>
      </c>
      <c r="L87" s="31" t="str">
        <f>IFERROR([1]!IntrinioBankFinancials(rssd_id,$R$2,L$6,L$5,$B87),"")</f>
        <v/>
      </c>
      <c r="M87" s="31" t="str">
        <f>IFERROR([1]!IntrinioBankFinancials(rssd_id,$R$2,M$6,M$5,$B87),"")</f>
        <v/>
      </c>
      <c r="N87" s="31" t="str">
        <f>IFERROR([1]!IntrinioBankFinancials(rssd_id,$R$2,N$6,N$5,$B87),"")</f>
        <v/>
      </c>
      <c r="O87" s="31" t="str">
        <f>IFERROR([1]!IntrinioBankFinancials(rssd_id,$R$2,O$6,O$5,$B87),"")</f>
        <v/>
      </c>
    </row>
    <row r="88" spans="1:15" ht="13.5" customHeight="1" x14ac:dyDescent="0.4">
      <c r="A88" s="34" t="s">
        <v>408</v>
      </c>
      <c r="B88" s="23" t="s">
        <v>409</v>
      </c>
      <c r="C88" s="31" t="str">
        <f>IFERROR([1]!IntrinioBankFinancials(rssd_id,$R$2,C$6,C$5,$B88),"")</f>
        <v/>
      </c>
      <c r="D88" s="31" t="str">
        <f>IFERROR([1]!IntrinioBankFinancials(rssd_id,$R$2,D$6,D$5,$B88),"")</f>
        <v/>
      </c>
      <c r="E88" s="31" t="str">
        <f>IFERROR([1]!IntrinioBankFinancials(rssd_id,$R$2,E$6,E$5,$B88),"")</f>
        <v/>
      </c>
      <c r="F88" s="31" t="str">
        <f>IFERROR([1]!IntrinioBankFinancials(rssd_id,$R$2,F$6,F$5,$B88),"")</f>
        <v/>
      </c>
      <c r="G88" s="31" t="str">
        <f>IFERROR([1]!IntrinioBankFinancials(rssd_id,$R$2,G$6,G$5,$B88),"")</f>
        <v/>
      </c>
      <c r="H88" s="31" t="str">
        <f>IFERROR([1]!IntrinioBankFinancials(rssd_id,$R$2,H$6,H$5,$B88),"")</f>
        <v/>
      </c>
      <c r="I88" s="31" t="str">
        <f>IFERROR([1]!IntrinioBankFinancials(rssd_id,$R$2,I$6,I$5,$B88),"")</f>
        <v/>
      </c>
      <c r="J88" s="31" t="str">
        <f>IFERROR([1]!IntrinioBankFinancials(rssd_id,$R$2,J$6,J$5,$B88),"")</f>
        <v/>
      </c>
      <c r="K88" s="31" t="str">
        <f>IFERROR([1]!IntrinioBankFinancials(rssd_id,$R$2,K$6,K$5,$B88),"")</f>
        <v/>
      </c>
      <c r="L88" s="31" t="str">
        <f>IFERROR([1]!IntrinioBankFinancials(rssd_id,$R$2,L$6,L$5,$B88),"")</f>
        <v/>
      </c>
      <c r="M88" s="31" t="str">
        <f>IFERROR([1]!IntrinioBankFinancials(rssd_id,$R$2,M$6,M$5,$B88),"")</f>
        <v/>
      </c>
      <c r="N88" s="31" t="str">
        <f>IFERROR([1]!IntrinioBankFinancials(rssd_id,$R$2,N$6,N$5,$B88),"")</f>
        <v/>
      </c>
      <c r="O88" s="31" t="str">
        <f>IFERROR([1]!IntrinioBankFinancials(rssd_id,$R$2,O$6,O$5,$B88),"")</f>
        <v/>
      </c>
    </row>
    <row r="89" spans="1:15" ht="13.5" customHeight="1" x14ac:dyDescent="0.4">
      <c r="A89" s="34" t="s">
        <v>410</v>
      </c>
      <c r="B89" s="23" t="s">
        <v>411</v>
      </c>
      <c r="C89" s="31" t="str">
        <f>IFERROR([1]!IntrinioBankFinancials(rssd_id,$R$2,C$6,C$5,$B89),"")</f>
        <v/>
      </c>
      <c r="D89" s="31" t="str">
        <f>IFERROR([1]!IntrinioBankFinancials(rssd_id,$R$2,D$6,D$5,$B89),"")</f>
        <v/>
      </c>
      <c r="E89" s="31" t="str">
        <f>IFERROR([1]!IntrinioBankFinancials(rssd_id,$R$2,E$6,E$5,$B89),"")</f>
        <v/>
      </c>
      <c r="F89" s="31" t="str">
        <f>IFERROR([1]!IntrinioBankFinancials(rssd_id,$R$2,F$6,F$5,$B89),"")</f>
        <v/>
      </c>
      <c r="G89" s="31" t="str">
        <f>IFERROR([1]!IntrinioBankFinancials(rssd_id,$R$2,G$6,G$5,$B89),"")</f>
        <v/>
      </c>
      <c r="H89" s="31" t="str">
        <f>IFERROR([1]!IntrinioBankFinancials(rssd_id,$R$2,H$6,H$5,$B89),"")</f>
        <v/>
      </c>
      <c r="I89" s="31" t="str">
        <f>IFERROR([1]!IntrinioBankFinancials(rssd_id,$R$2,I$6,I$5,$B89),"")</f>
        <v/>
      </c>
      <c r="J89" s="31" t="str">
        <f>IFERROR([1]!IntrinioBankFinancials(rssd_id,$R$2,J$6,J$5,$B89),"")</f>
        <v/>
      </c>
      <c r="K89" s="31" t="str">
        <f>IFERROR([1]!IntrinioBankFinancials(rssd_id,$R$2,K$6,K$5,$B89),"")</f>
        <v/>
      </c>
      <c r="L89" s="31" t="str">
        <f>IFERROR([1]!IntrinioBankFinancials(rssd_id,$R$2,L$6,L$5,$B89),"")</f>
        <v/>
      </c>
      <c r="M89" s="31" t="str">
        <f>IFERROR([1]!IntrinioBankFinancials(rssd_id,$R$2,M$6,M$5,$B89),"")</f>
        <v/>
      </c>
      <c r="N89" s="31" t="str">
        <f>IFERROR([1]!IntrinioBankFinancials(rssd_id,$R$2,N$6,N$5,$B89),"")</f>
        <v/>
      </c>
      <c r="O89" s="31" t="str">
        <f>IFERROR([1]!IntrinioBankFinancials(rssd_id,$R$2,O$6,O$5,$B89),"")</f>
        <v/>
      </c>
    </row>
    <row r="90" spans="1:15" ht="13.5" customHeight="1" x14ac:dyDescent="0.4">
      <c r="A90" s="34" t="s">
        <v>412</v>
      </c>
      <c r="B90" s="23" t="s">
        <v>413</v>
      </c>
      <c r="C90" s="31" t="str">
        <f>IFERROR([1]!IntrinioBankFinancials(rssd_id,$R$2,C$6,C$5,$B90),"")</f>
        <v/>
      </c>
      <c r="D90" s="31" t="str">
        <f>IFERROR([1]!IntrinioBankFinancials(rssd_id,$R$2,D$6,D$5,$B90),"")</f>
        <v/>
      </c>
      <c r="E90" s="31" t="str">
        <f>IFERROR([1]!IntrinioBankFinancials(rssd_id,$R$2,E$6,E$5,$B90),"")</f>
        <v/>
      </c>
      <c r="F90" s="31" t="str">
        <f>IFERROR([1]!IntrinioBankFinancials(rssd_id,$R$2,F$6,F$5,$B90),"")</f>
        <v/>
      </c>
      <c r="G90" s="31" t="str">
        <f>IFERROR([1]!IntrinioBankFinancials(rssd_id,$R$2,G$6,G$5,$B90),"")</f>
        <v/>
      </c>
      <c r="H90" s="31" t="str">
        <f>IFERROR([1]!IntrinioBankFinancials(rssd_id,$R$2,H$6,H$5,$B90),"")</f>
        <v/>
      </c>
      <c r="I90" s="31" t="str">
        <f>IFERROR([1]!IntrinioBankFinancials(rssd_id,$R$2,I$6,I$5,$B90),"")</f>
        <v/>
      </c>
      <c r="J90" s="31" t="str">
        <f>IFERROR([1]!IntrinioBankFinancials(rssd_id,$R$2,J$6,J$5,$B90),"")</f>
        <v/>
      </c>
      <c r="K90" s="31" t="str">
        <f>IFERROR([1]!IntrinioBankFinancials(rssd_id,$R$2,K$6,K$5,$B90),"")</f>
        <v/>
      </c>
      <c r="L90" s="31" t="str">
        <f>IFERROR([1]!IntrinioBankFinancials(rssd_id,$R$2,L$6,L$5,$B90),"")</f>
        <v/>
      </c>
      <c r="M90" s="31" t="str">
        <f>IFERROR([1]!IntrinioBankFinancials(rssd_id,$R$2,M$6,M$5,$B90),"")</f>
        <v/>
      </c>
      <c r="N90" s="31" t="str">
        <f>IFERROR([1]!IntrinioBankFinancials(rssd_id,$R$2,N$6,N$5,$B90),"")</f>
        <v/>
      </c>
      <c r="O90" s="31" t="str">
        <f>IFERROR([1]!IntrinioBankFinancials(rssd_id,$R$2,O$6,O$5,$B90),"")</f>
        <v/>
      </c>
    </row>
    <row r="91" spans="1:15" s="22" customFormat="1" ht="13.5" customHeight="1" x14ac:dyDescent="0.4">
      <c r="A91" s="33"/>
      <c r="B91" s="20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</row>
    <row r="92" spans="1:15" s="22" customFormat="1" ht="13.5" customHeight="1" x14ac:dyDescent="0.4">
      <c r="A92" s="33" t="s">
        <v>506</v>
      </c>
      <c r="B92" s="20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</row>
    <row r="93" spans="1:15" ht="13.5" customHeight="1" x14ac:dyDescent="0.4">
      <c r="A93" s="34" t="s">
        <v>414</v>
      </c>
      <c r="B93" s="23" t="s">
        <v>415</v>
      </c>
      <c r="C93" s="24" t="str">
        <f>IFERROR([1]!IntrinioBankFinancials(rssd_id,$R$2,C$6,C$5,$B93),"")</f>
        <v/>
      </c>
      <c r="D93" s="24" t="str">
        <f>IFERROR([1]!IntrinioBankFinancials(rssd_id,$R$2,D$6,D$5,$B93),"")</f>
        <v/>
      </c>
      <c r="E93" s="24" t="str">
        <f>IFERROR([1]!IntrinioBankFinancials(rssd_id,$R$2,E$6,E$5,$B93),"")</f>
        <v/>
      </c>
      <c r="F93" s="24" t="str">
        <f>IFERROR([1]!IntrinioBankFinancials(rssd_id,$R$2,F$6,F$5,$B93),"")</f>
        <v/>
      </c>
      <c r="G93" s="24" t="str">
        <f>IFERROR([1]!IntrinioBankFinancials(rssd_id,$R$2,G$6,G$5,$B93),"")</f>
        <v/>
      </c>
      <c r="H93" s="24" t="str">
        <f>IFERROR([1]!IntrinioBankFinancials(rssd_id,$R$2,H$6,H$5,$B93),"")</f>
        <v/>
      </c>
      <c r="I93" s="24" t="str">
        <f>IFERROR([1]!IntrinioBankFinancials(rssd_id,$R$2,I$6,I$5,$B93),"")</f>
        <v/>
      </c>
      <c r="J93" s="24" t="str">
        <f>IFERROR([1]!IntrinioBankFinancials(rssd_id,$R$2,J$6,J$5,$B93),"")</f>
        <v/>
      </c>
      <c r="K93" s="24" t="str">
        <f>IFERROR([1]!IntrinioBankFinancials(rssd_id,$R$2,K$6,K$5,$B93),"")</f>
        <v/>
      </c>
      <c r="L93" s="24" t="str">
        <f>IFERROR([1]!IntrinioBankFinancials(rssd_id,$R$2,L$6,L$5,$B93),"")</f>
        <v/>
      </c>
      <c r="M93" s="24" t="str">
        <f>IFERROR([1]!IntrinioBankFinancials(rssd_id,$R$2,M$6,M$5,$B93),"")</f>
        <v/>
      </c>
      <c r="N93" s="24" t="str">
        <f>IFERROR([1]!IntrinioBankFinancials(rssd_id,$R$2,N$6,N$5,$B93),"")</f>
        <v/>
      </c>
      <c r="O93" s="24" t="str">
        <f>IFERROR([1]!IntrinioBankFinancials(rssd_id,$R$2,O$6,O$5,$B93),"")</f>
        <v/>
      </c>
    </row>
    <row r="94" spans="1:15" s="22" customFormat="1" ht="13.5" customHeight="1" x14ac:dyDescent="0.4">
      <c r="A94" s="33"/>
      <c r="B94" s="20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</row>
    <row r="95" spans="1:15" s="22" customFormat="1" ht="13.5" customHeight="1" x14ac:dyDescent="0.4">
      <c r="A95" s="33" t="s">
        <v>507</v>
      </c>
      <c r="B95" s="20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</row>
    <row r="96" spans="1:15" ht="13.5" customHeight="1" x14ac:dyDescent="0.4">
      <c r="A96" s="34" t="s">
        <v>416</v>
      </c>
      <c r="B96" s="23" t="s">
        <v>417</v>
      </c>
      <c r="C96" s="24" t="str">
        <f>IFERROR([1]!IntrinioBankFinancials(rssd_id,$R$2,C$6,C$5,$B96,"K"),"")</f>
        <v/>
      </c>
      <c r="D96" s="24" t="str">
        <f>IFERROR([1]!IntrinioBankFinancials(rssd_id,$R$2,D$6,D$5,$B96,"K"),"")</f>
        <v/>
      </c>
      <c r="E96" s="24" t="str">
        <f>IFERROR([1]!IntrinioBankFinancials(rssd_id,$R$2,E$6,E$5,$B96,"K"),"")</f>
        <v/>
      </c>
      <c r="F96" s="24" t="str">
        <f>IFERROR([1]!IntrinioBankFinancials(rssd_id,$R$2,F$6,F$5,$B96,"K"),"")</f>
        <v/>
      </c>
      <c r="G96" s="24" t="str">
        <f>IFERROR([1]!IntrinioBankFinancials(rssd_id,$R$2,G$6,G$5,$B96,"K"),"")</f>
        <v/>
      </c>
      <c r="H96" s="24" t="str">
        <f>IFERROR([1]!IntrinioBankFinancials(rssd_id,$R$2,H$6,H$5,$B96,"K"),"")</f>
        <v/>
      </c>
      <c r="I96" s="24" t="str">
        <f>IFERROR([1]!IntrinioBankFinancials(rssd_id,$R$2,I$6,I$5,$B96,"K"),"")</f>
        <v/>
      </c>
      <c r="J96" s="24" t="str">
        <f>IFERROR([1]!IntrinioBankFinancials(rssd_id,$R$2,J$6,J$5,$B96,"K"),"")</f>
        <v/>
      </c>
      <c r="K96" s="24" t="str">
        <f>IFERROR([1]!IntrinioBankFinancials(rssd_id,$R$2,K$6,K$5,$B96,"K"),"")</f>
        <v/>
      </c>
      <c r="L96" s="24" t="str">
        <f>IFERROR([1]!IntrinioBankFinancials(rssd_id,$R$2,L$6,L$5,$B96,"K"),"")</f>
        <v/>
      </c>
      <c r="M96" s="24" t="str">
        <f>IFERROR([1]!IntrinioBankFinancials(rssd_id,$R$2,M$6,M$5,$B96,"K"),"")</f>
        <v/>
      </c>
      <c r="N96" s="24" t="str">
        <f>IFERROR([1]!IntrinioBankFinancials(rssd_id,$R$2,N$6,N$5,$B96,"K"),"")</f>
        <v/>
      </c>
      <c r="O96" s="24" t="str">
        <f>IFERROR([1]!IntrinioBankFinancials(rssd_id,$R$2,O$6,O$5,$B96,"K"),"")</f>
        <v/>
      </c>
    </row>
    <row r="97" spans="1:15" ht="13.5" customHeight="1" x14ac:dyDescent="0.4">
      <c r="A97" s="34" t="s">
        <v>418</v>
      </c>
      <c r="B97" s="23" t="s">
        <v>419</v>
      </c>
      <c r="C97" s="24" t="str">
        <f>IFERROR([1]!IntrinioBankFinancials(rssd_id,$R$2,C$6,C$5,$B97,"K"),"")</f>
        <v/>
      </c>
      <c r="D97" s="24" t="str">
        <f>IFERROR([1]!IntrinioBankFinancials(rssd_id,$R$2,D$6,D$5,$B97,"K"),"")</f>
        <v/>
      </c>
      <c r="E97" s="24" t="str">
        <f>IFERROR([1]!IntrinioBankFinancials(rssd_id,$R$2,E$6,E$5,$B97,"K"),"")</f>
        <v/>
      </c>
      <c r="F97" s="24" t="str">
        <f>IFERROR([1]!IntrinioBankFinancials(rssd_id,$R$2,F$6,F$5,$B97,"K"),"")</f>
        <v/>
      </c>
      <c r="G97" s="24" t="str">
        <f>IFERROR([1]!IntrinioBankFinancials(rssd_id,$R$2,G$6,G$5,$B97,"K"),"")</f>
        <v/>
      </c>
      <c r="H97" s="24" t="str">
        <f>IFERROR([1]!IntrinioBankFinancials(rssd_id,$R$2,H$6,H$5,$B97,"K"),"")</f>
        <v/>
      </c>
      <c r="I97" s="24" t="str">
        <f>IFERROR([1]!IntrinioBankFinancials(rssd_id,$R$2,I$6,I$5,$B97,"K"),"")</f>
        <v/>
      </c>
      <c r="J97" s="24" t="str">
        <f>IFERROR([1]!IntrinioBankFinancials(rssd_id,$R$2,J$6,J$5,$B97,"K"),"")</f>
        <v/>
      </c>
      <c r="K97" s="24" t="str">
        <f>IFERROR([1]!IntrinioBankFinancials(rssd_id,$R$2,K$6,K$5,$B97,"K"),"")</f>
        <v/>
      </c>
      <c r="L97" s="24" t="str">
        <f>IFERROR([1]!IntrinioBankFinancials(rssd_id,$R$2,L$6,L$5,$B97,"K"),"")</f>
        <v/>
      </c>
      <c r="M97" s="24" t="str">
        <f>IFERROR([1]!IntrinioBankFinancials(rssd_id,$R$2,M$6,M$5,$B97,"K"),"")</f>
        <v/>
      </c>
      <c r="N97" s="24" t="str">
        <f>IFERROR([1]!IntrinioBankFinancials(rssd_id,$R$2,N$6,N$5,$B97,"K"),"")</f>
        <v/>
      </c>
      <c r="O97" s="24" t="str">
        <f>IFERROR([1]!IntrinioBankFinancials(rssd_id,$R$2,O$6,O$5,$B97,"K"),"")</f>
        <v/>
      </c>
    </row>
    <row r="98" spans="1:15" ht="13.5" customHeight="1" x14ac:dyDescent="0.4">
      <c r="A98" s="34" t="s">
        <v>420</v>
      </c>
      <c r="B98" s="23" t="s">
        <v>421</v>
      </c>
      <c r="C98" s="24" t="str">
        <f>IFERROR([1]!IntrinioBankFinancials(rssd_id,$R$2,C$6,C$5,$B98,"K"),"")</f>
        <v/>
      </c>
      <c r="D98" s="24" t="str">
        <f>IFERROR([1]!IntrinioBankFinancials(rssd_id,$R$2,D$6,D$5,$B98,"K"),"")</f>
        <v/>
      </c>
      <c r="E98" s="24" t="str">
        <f>IFERROR([1]!IntrinioBankFinancials(rssd_id,$R$2,E$6,E$5,$B98,"K"),"")</f>
        <v/>
      </c>
      <c r="F98" s="24" t="str">
        <f>IFERROR([1]!IntrinioBankFinancials(rssd_id,$R$2,F$6,F$5,$B98,"K"),"")</f>
        <v/>
      </c>
      <c r="G98" s="24" t="str">
        <f>IFERROR([1]!IntrinioBankFinancials(rssd_id,$R$2,G$6,G$5,$B98,"K"),"")</f>
        <v/>
      </c>
      <c r="H98" s="24" t="str">
        <f>IFERROR([1]!IntrinioBankFinancials(rssd_id,$R$2,H$6,H$5,$B98,"K"),"")</f>
        <v/>
      </c>
      <c r="I98" s="24" t="str">
        <f>IFERROR([1]!IntrinioBankFinancials(rssd_id,$R$2,I$6,I$5,$B98,"K"),"")</f>
        <v/>
      </c>
      <c r="J98" s="24" t="str">
        <f>IFERROR([1]!IntrinioBankFinancials(rssd_id,$R$2,J$6,J$5,$B98,"K"),"")</f>
        <v/>
      </c>
      <c r="K98" s="24" t="str">
        <f>IFERROR([1]!IntrinioBankFinancials(rssd_id,$R$2,K$6,K$5,$B98,"K"),"")</f>
        <v/>
      </c>
      <c r="L98" s="24" t="str">
        <f>IFERROR([1]!IntrinioBankFinancials(rssd_id,$R$2,L$6,L$5,$B98,"K"),"")</f>
        <v/>
      </c>
      <c r="M98" s="24" t="str">
        <f>IFERROR([1]!IntrinioBankFinancials(rssd_id,$R$2,M$6,M$5,$B98,"K"),"")</f>
        <v/>
      </c>
      <c r="N98" s="24" t="str">
        <f>IFERROR([1]!IntrinioBankFinancials(rssd_id,$R$2,N$6,N$5,$B98,"K"),"")</f>
        <v/>
      </c>
      <c r="O98" s="24" t="str">
        <f>IFERROR([1]!IntrinioBankFinancials(rssd_id,$R$2,O$6,O$5,$B98,"K"),"")</f>
        <v/>
      </c>
    </row>
    <row r="99" spans="1:15" ht="13.5" customHeight="1" x14ac:dyDescent="0.4">
      <c r="A99" s="34" t="s">
        <v>422</v>
      </c>
      <c r="B99" s="23" t="s">
        <v>423</v>
      </c>
      <c r="C99" s="24" t="str">
        <f>IFERROR([1]!IntrinioBankFinancials(rssd_id,$R$2,C$6,C$5,$B99,"K"),"")</f>
        <v/>
      </c>
      <c r="D99" s="24" t="str">
        <f>IFERROR([1]!IntrinioBankFinancials(rssd_id,$R$2,D$6,D$5,$B99,"K"),"")</f>
        <v/>
      </c>
      <c r="E99" s="24" t="str">
        <f>IFERROR([1]!IntrinioBankFinancials(rssd_id,$R$2,E$6,E$5,$B99,"K"),"")</f>
        <v/>
      </c>
      <c r="F99" s="24" t="str">
        <f>IFERROR([1]!IntrinioBankFinancials(rssd_id,$R$2,F$6,F$5,$B99,"K"),"")</f>
        <v/>
      </c>
      <c r="G99" s="24" t="str">
        <f>IFERROR([1]!IntrinioBankFinancials(rssd_id,$R$2,G$6,G$5,$B99,"K"),"")</f>
        <v/>
      </c>
      <c r="H99" s="24" t="str">
        <f>IFERROR([1]!IntrinioBankFinancials(rssd_id,$R$2,H$6,H$5,$B99,"K"),"")</f>
        <v/>
      </c>
      <c r="I99" s="24" t="str">
        <f>IFERROR([1]!IntrinioBankFinancials(rssd_id,$R$2,I$6,I$5,$B99,"K"),"")</f>
        <v/>
      </c>
      <c r="J99" s="24" t="str">
        <f>IFERROR([1]!IntrinioBankFinancials(rssd_id,$R$2,J$6,J$5,$B99,"K"),"")</f>
        <v/>
      </c>
      <c r="K99" s="24" t="str">
        <f>IFERROR([1]!IntrinioBankFinancials(rssd_id,$R$2,K$6,K$5,$B99,"K"),"")</f>
        <v/>
      </c>
      <c r="L99" s="24" t="str">
        <f>IFERROR([1]!IntrinioBankFinancials(rssd_id,$R$2,L$6,L$5,$B99,"K"),"")</f>
        <v/>
      </c>
      <c r="M99" s="24" t="str">
        <f>IFERROR([1]!IntrinioBankFinancials(rssd_id,$R$2,M$6,M$5,$B99,"K"),"")</f>
        <v/>
      </c>
      <c r="N99" s="24" t="str">
        <f>IFERROR([1]!IntrinioBankFinancials(rssd_id,$R$2,N$6,N$5,$B99,"K"),"")</f>
        <v/>
      </c>
      <c r="O99" s="24" t="str">
        <f>IFERROR([1]!IntrinioBankFinancials(rssd_id,$R$2,O$6,O$5,$B99,"K"),"")</f>
        <v/>
      </c>
    </row>
    <row r="100" spans="1:15" ht="13.5" customHeight="1" x14ac:dyDescent="0.4">
      <c r="A100" s="34" t="s">
        <v>424</v>
      </c>
      <c r="B100" s="23" t="s">
        <v>425</v>
      </c>
      <c r="C100" s="24" t="str">
        <f>IFERROR([1]!IntrinioBankFinancials(rssd_id,$R$2,C$6,C$5,$B100,"K"),"")</f>
        <v/>
      </c>
      <c r="D100" s="24" t="str">
        <f>IFERROR([1]!IntrinioBankFinancials(rssd_id,$R$2,D$6,D$5,$B100,"K"),"")</f>
        <v/>
      </c>
      <c r="E100" s="24" t="str">
        <f>IFERROR([1]!IntrinioBankFinancials(rssd_id,$R$2,E$6,E$5,$B100,"K"),"")</f>
        <v/>
      </c>
      <c r="F100" s="24" t="str">
        <f>IFERROR([1]!IntrinioBankFinancials(rssd_id,$R$2,F$6,F$5,$B100,"K"),"")</f>
        <v/>
      </c>
      <c r="G100" s="24" t="str">
        <f>IFERROR([1]!IntrinioBankFinancials(rssd_id,$R$2,G$6,G$5,$B100,"K"),"")</f>
        <v/>
      </c>
      <c r="H100" s="24" t="str">
        <f>IFERROR([1]!IntrinioBankFinancials(rssd_id,$R$2,H$6,H$5,$B100,"K"),"")</f>
        <v/>
      </c>
      <c r="I100" s="24" t="str">
        <f>IFERROR([1]!IntrinioBankFinancials(rssd_id,$R$2,I$6,I$5,$B100,"K"),"")</f>
        <v/>
      </c>
      <c r="J100" s="24" t="str">
        <f>IFERROR([1]!IntrinioBankFinancials(rssd_id,$R$2,J$6,J$5,$B100,"K"),"")</f>
        <v/>
      </c>
      <c r="K100" s="24" t="str">
        <f>IFERROR([1]!IntrinioBankFinancials(rssd_id,$R$2,K$6,K$5,$B100,"K"),"")</f>
        <v/>
      </c>
      <c r="L100" s="24" t="str">
        <f>IFERROR([1]!IntrinioBankFinancials(rssd_id,$R$2,L$6,L$5,$B100,"K"),"")</f>
        <v/>
      </c>
      <c r="M100" s="24" t="str">
        <f>IFERROR([1]!IntrinioBankFinancials(rssd_id,$R$2,M$6,M$5,$B100,"K"),"")</f>
        <v/>
      </c>
      <c r="N100" s="24" t="str">
        <f>IFERROR([1]!IntrinioBankFinancials(rssd_id,$R$2,N$6,N$5,$B100,"K"),"")</f>
        <v/>
      </c>
      <c r="O100" s="24" t="str">
        <f>IFERROR([1]!IntrinioBankFinancials(rssd_id,$R$2,O$6,O$5,$B100,"K"),"")</f>
        <v/>
      </c>
    </row>
    <row r="101" spans="1:15" s="22" customFormat="1" ht="13.5" customHeight="1" x14ac:dyDescent="0.4">
      <c r="A101" s="33"/>
      <c r="B101" s="20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</row>
    <row r="102" spans="1:15" s="22" customFormat="1" ht="13.5" customHeight="1" x14ac:dyDescent="0.4">
      <c r="A102" s="33"/>
      <c r="B102" s="20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</row>
    <row r="103" spans="1:15" ht="13.5" customHeight="1" x14ac:dyDescent="0.4">
      <c r="A103" s="34" t="s">
        <v>426</v>
      </c>
      <c r="B103" s="23" t="s">
        <v>427</v>
      </c>
      <c r="C103" s="24" t="str">
        <f>IFERROR([1]!IntrinioBankFinancials(rssd_id,$R$2,C$6,C$5,$B103,"K"),"")</f>
        <v/>
      </c>
      <c r="D103" s="24" t="str">
        <f>IFERROR([1]!IntrinioBankFinancials(rssd_id,$R$2,D$6,D$5,$B103,"K"),"")</f>
        <v/>
      </c>
      <c r="E103" s="24" t="str">
        <f>IFERROR([1]!IntrinioBankFinancials(rssd_id,$R$2,E$6,E$5,$B103,"K"),"")</f>
        <v/>
      </c>
      <c r="F103" s="24" t="str">
        <f>IFERROR([1]!IntrinioBankFinancials(rssd_id,$R$2,F$6,F$5,$B103,"K"),"")</f>
        <v/>
      </c>
      <c r="G103" s="24" t="str">
        <f>IFERROR([1]!IntrinioBankFinancials(rssd_id,$R$2,G$6,G$5,$B103,"K"),"")</f>
        <v/>
      </c>
      <c r="H103" s="24" t="str">
        <f>IFERROR([1]!IntrinioBankFinancials(rssd_id,$R$2,H$6,H$5,$B103,"K"),"")</f>
        <v/>
      </c>
      <c r="I103" s="24" t="str">
        <f>IFERROR([1]!IntrinioBankFinancials(rssd_id,$R$2,I$6,I$5,$B103,"K"),"")</f>
        <v/>
      </c>
      <c r="J103" s="24" t="str">
        <f>IFERROR([1]!IntrinioBankFinancials(rssd_id,$R$2,J$6,J$5,$B103,"K"),"")</f>
        <v/>
      </c>
      <c r="K103" s="24" t="str">
        <f>IFERROR([1]!IntrinioBankFinancials(rssd_id,$R$2,K$6,K$5,$B103,"K"),"")</f>
        <v/>
      </c>
      <c r="L103" s="24" t="str">
        <f>IFERROR([1]!IntrinioBankFinancials(rssd_id,$R$2,L$6,L$5,$B103,"K"),"")</f>
        <v/>
      </c>
      <c r="M103" s="24" t="str">
        <f>IFERROR([1]!IntrinioBankFinancials(rssd_id,$R$2,M$6,M$5,$B103,"K"),"")</f>
        <v/>
      </c>
      <c r="N103" s="24" t="str">
        <f>IFERROR([1]!IntrinioBankFinancials(rssd_id,$R$2,N$6,N$5,$B103,"K"),"")</f>
        <v/>
      </c>
      <c r="O103" s="24" t="str">
        <f>IFERROR([1]!IntrinioBankFinancials(rssd_id,$R$2,O$6,O$5,$B103,"K"),"")</f>
        <v/>
      </c>
    </row>
    <row r="104" spans="1:15" s="22" customFormat="1" ht="13.5" customHeight="1" x14ac:dyDescent="0.4">
      <c r="A104" s="33"/>
      <c r="B104" s="20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</row>
    <row r="105" spans="1:15" s="22" customFormat="1" ht="13.5" customHeight="1" x14ac:dyDescent="0.4">
      <c r="A105" s="33" t="s">
        <v>508</v>
      </c>
      <c r="B105" s="20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 ht="13.5" customHeight="1" x14ac:dyDescent="0.4">
      <c r="A106" s="34" t="s">
        <v>364</v>
      </c>
      <c r="B106" s="23" t="s">
        <v>428</v>
      </c>
      <c r="C106" s="31" t="str">
        <f>IFERROR([1]!IntrinioBankFinancials(rssd_id,$R$2,C$6,C$5,$B106),"")</f>
        <v/>
      </c>
      <c r="D106" s="31" t="str">
        <f>IFERROR([1]!IntrinioBankFinancials(rssd_id,$R$2,D$6,D$5,$B106),"")</f>
        <v/>
      </c>
      <c r="E106" s="31" t="str">
        <f>IFERROR([1]!IntrinioBankFinancials(rssd_id,$R$2,E$6,E$5,$B106),"")</f>
        <v/>
      </c>
      <c r="F106" s="31" t="str">
        <f>IFERROR([1]!IntrinioBankFinancials(rssd_id,$R$2,F$6,F$5,$B106),"")</f>
        <v/>
      </c>
      <c r="G106" s="31" t="str">
        <f>IFERROR([1]!IntrinioBankFinancials(rssd_id,$R$2,G$6,G$5,$B106),"")</f>
        <v/>
      </c>
      <c r="H106" s="31" t="str">
        <f>IFERROR([1]!IntrinioBankFinancials(rssd_id,$R$2,H$6,H$5,$B106),"")</f>
        <v/>
      </c>
      <c r="I106" s="31" t="str">
        <f>IFERROR([1]!IntrinioBankFinancials(rssd_id,$R$2,I$6,I$5,$B106),"")</f>
        <v/>
      </c>
      <c r="J106" s="31" t="str">
        <f>IFERROR([1]!IntrinioBankFinancials(rssd_id,$R$2,J$6,J$5,$B106),"")</f>
        <v/>
      </c>
      <c r="K106" s="31" t="str">
        <f>IFERROR([1]!IntrinioBankFinancials(rssd_id,$R$2,K$6,K$5,$B106),"")</f>
        <v/>
      </c>
      <c r="L106" s="31" t="str">
        <f>IFERROR([1]!IntrinioBankFinancials(rssd_id,$R$2,L$6,L$5,$B106),"")</f>
        <v/>
      </c>
      <c r="M106" s="31" t="str">
        <f>IFERROR([1]!IntrinioBankFinancials(rssd_id,$R$2,M$6,M$5,$B106),"")</f>
        <v/>
      </c>
      <c r="N106" s="31" t="str">
        <f>IFERROR([1]!IntrinioBankFinancials(rssd_id,$R$2,N$6,N$5,$B106),"")</f>
        <v/>
      </c>
      <c r="O106" s="31" t="str">
        <f>IFERROR([1]!IntrinioBankFinancials(rssd_id,$R$2,O$6,O$5,$B106),"")</f>
        <v/>
      </c>
    </row>
    <row r="107" spans="1:15" ht="13.5" customHeight="1" x14ac:dyDescent="0.4">
      <c r="A107" s="34" t="s">
        <v>429</v>
      </c>
      <c r="B107" s="23" t="s">
        <v>430</v>
      </c>
      <c r="C107" s="31" t="str">
        <f>IFERROR([1]!IntrinioBankFinancials(rssd_id,$R$2,C$6,C$5,$B107),"")</f>
        <v/>
      </c>
      <c r="D107" s="31" t="str">
        <f>IFERROR([1]!IntrinioBankFinancials(rssd_id,$R$2,D$6,D$5,$B107),"")</f>
        <v/>
      </c>
      <c r="E107" s="31" t="str">
        <f>IFERROR([1]!IntrinioBankFinancials(rssd_id,$R$2,E$6,E$5,$B107),"")</f>
        <v/>
      </c>
      <c r="F107" s="31" t="str">
        <f>IFERROR([1]!IntrinioBankFinancials(rssd_id,$R$2,F$6,F$5,$B107),"")</f>
        <v/>
      </c>
      <c r="G107" s="31" t="str">
        <f>IFERROR([1]!IntrinioBankFinancials(rssd_id,$R$2,G$6,G$5,$B107),"")</f>
        <v/>
      </c>
      <c r="H107" s="31" t="str">
        <f>IFERROR([1]!IntrinioBankFinancials(rssd_id,$R$2,H$6,H$5,$B107),"")</f>
        <v/>
      </c>
      <c r="I107" s="31" t="str">
        <f>IFERROR([1]!IntrinioBankFinancials(rssd_id,$R$2,I$6,I$5,$B107),"")</f>
        <v/>
      </c>
      <c r="J107" s="31" t="str">
        <f>IFERROR([1]!IntrinioBankFinancials(rssd_id,$R$2,J$6,J$5,$B107),"")</f>
        <v/>
      </c>
      <c r="K107" s="31" t="str">
        <f>IFERROR([1]!IntrinioBankFinancials(rssd_id,$R$2,K$6,K$5,$B107),"")</f>
        <v/>
      </c>
      <c r="L107" s="31" t="str">
        <f>IFERROR([1]!IntrinioBankFinancials(rssd_id,$R$2,L$6,L$5,$B107),"")</f>
        <v/>
      </c>
      <c r="M107" s="31" t="str">
        <f>IFERROR([1]!IntrinioBankFinancials(rssd_id,$R$2,M$6,M$5,$B107),"")</f>
        <v/>
      </c>
      <c r="N107" s="31" t="str">
        <f>IFERROR([1]!IntrinioBankFinancials(rssd_id,$R$2,N$6,N$5,$B107),"")</f>
        <v/>
      </c>
      <c r="O107" s="31" t="str">
        <f>IFERROR([1]!IntrinioBankFinancials(rssd_id,$R$2,O$6,O$5,$B107),"")</f>
        <v/>
      </c>
    </row>
    <row r="108" spans="1:15" ht="13.5" customHeight="1" x14ac:dyDescent="0.4">
      <c r="A108" s="34" t="s">
        <v>431</v>
      </c>
      <c r="B108" s="23" t="s">
        <v>432</v>
      </c>
      <c r="C108" s="31" t="str">
        <f>IFERROR([1]!IntrinioBankFinancials(rssd_id,$R$2,C$6,C$5,$B108),"")</f>
        <v/>
      </c>
      <c r="D108" s="31" t="str">
        <f>IFERROR([1]!IntrinioBankFinancials(rssd_id,$R$2,D$6,D$5,$B108),"")</f>
        <v/>
      </c>
      <c r="E108" s="31" t="str">
        <f>IFERROR([1]!IntrinioBankFinancials(rssd_id,$R$2,E$6,E$5,$B108),"")</f>
        <v/>
      </c>
      <c r="F108" s="31" t="str">
        <f>IFERROR([1]!IntrinioBankFinancials(rssd_id,$R$2,F$6,F$5,$B108),"")</f>
        <v/>
      </c>
      <c r="G108" s="31" t="str">
        <f>IFERROR([1]!IntrinioBankFinancials(rssd_id,$R$2,G$6,G$5,$B108),"")</f>
        <v/>
      </c>
      <c r="H108" s="31" t="str">
        <f>IFERROR([1]!IntrinioBankFinancials(rssd_id,$R$2,H$6,H$5,$B108),"")</f>
        <v/>
      </c>
      <c r="I108" s="31" t="str">
        <f>IFERROR([1]!IntrinioBankFinancials(rssd_id,$R$2,I$6,I$5,$B108),"")</f>
        <v/>
      </c>
      <c r="J108" s="31" t="str">
        <f>IFERROR([1]!IntrinioBankFinancials(rssd_id,$R$2,J$6,J$5,$B108),"")</f>
        <v/>
      </c>
      <c r="K108" s="31" t="str">
        <f>IFERROR([1]!IntrinioBankFinancials(rssd_id,$R$2,K$6,K$5,$B108),"")</f>
        <v/>
      </c>
      <c r="L108" s="31" t="str">
        <f>IFERROR([1]!IntrinioBankFinancials(rssd_id,$R$2,L$6,L$5,$B108),"")</f>
        <v/>
      </c>
      <c r="M108" s="31" t="str">
        <f>IFERROR([1]!IntrinioBankFinancials(rssd_id,$R$2,M$6,M$5,$B108),"")</f>
        <v/>
      </c>
      <c r="N108" s="31" t="str">
        <f>IFERROR([1]!IntrinioBankFinancials(rssd_id,$R$2,N$6,N$5,$B108),"")</f>
        <v/>
      </c>
      <c r="O108" s="31" t="str">
        <f>IFERROR([1]!IntrinioBankFinancials(rssd_id,$R$2,O$6,O$5,$B108),"")</f>
        <v/>
      </c>
    </row>
    <row r="109" spans="1:15" ht="13.5" customHeight="1" x14ac:dyDescent="0.4">
      <c r="A109" s="34" t="s">
        <v>433</v>
      </c>
      <c r="B109" s="23" t="s">
        <v>434</v>
      </c>
      <c r="C109" s="31" t="str">
        <f>IFERROR([1]!IntrinioBankFinancials(rssd_id,$R$2,C$6,C$5,$B109),"")</f>
        <v/>
      </c>
      <c r="D109" s="31" t="str">
        <f>IFERROR([1]!IntrinioBankFinancials(rssd_id,$R$2,D$6,D$5,$B109),"")</f>
        <v/>
      </c>
      <c r="E109" s="31" t="str">
        <f>IFERROR([1]!IntrinioBankFinancials(rssd_id,$R$2,E$6,E$5,$B109),"")</f>
        <v/>
      </c>
      <c r="F109" s="31" t="str">
        <f>IFERROR([1]!IntrinioBankFinancials(rssd_id,$R$2,F$6,F$5,$B109),"")</f>
        <v/>
      </c>
      <c r="G109" s="31" t="str">
        <f>IFERROR([1]!IntrinioBankFinancials(rssd_id,$R$2,G$6,G$5,$B109),"")</f>
        <v/>
      </c>
      <c r="H109" s="31" t="str">
        <f>IFERROR([1]!IntrinioBankFinancials(rssd_id,$R$2,H$6,H$5,$B109),"")</f>
        <v/>
      </c>
      <c r="I109" s="31" t="str">
        <f>IFERROR([1]!IntrinioBankFinancials(rssd_id,$R$2,I$6,I$5,$B109),"")</f>
        <v/>
      </c>
      <c r="J109" s="31" t="str">
        <f>IFERROR([1]!IntrinioBankFinancials(rssd_id,$R$2,J$6,J$5,$B109),"")</f>
        <v/>
      </c>
      <c r="K109" s="31" t="str">
        <f>IFERROR([1]!IntrinioBankFinancials(rssd_id,$R$2,K$6,K$5,$B109),"")</f>
        <v/>
      </c>
      <c r="L109" s="31" t="str">
        <f>IFERROR([1]!IntrinioBankFinancials(rssd_id,$R$2,L$6,L$5,$B109),"")</f>
        <v/>
      </c>
      <c r="M109" s="31" t="str">
        <f>IFERROR([1]!IntrinioBankFinancials(rssd_id,$R$2,M$6,M$5,$B109),"")</f>
        <v/>
      </c>
      <c r="N109" s="31" t="str">
        <f>IFERROR([1]!IntrinioBankFinancials(rssd_id,$R$2,N$6,N$5,$B109),"")</f>
        <v/>
      </c>
      <c r="O109" s="31" t="str">
        <f>IFERROR([1]!IntrinioBankFinancials(rssd_id,$R$2,O$6,O$5,$B109),"")</f>
        <v/>
      </c>
    </row>
    <row r="110" spans="1:15" ht="13.5" customHeight="1" x14ac:dyDescent="0.4">
      <c r="A110" s="34" t="s">
        <v>435</v>
      </c>
      <c r="B110" s="23" t="s">
        <v>436</v>
      </c>
      <c r="C110" s="31" t="str">
        <f>IFERROR([1]!IntrinioBankFinancials(rssd_id,$R$2,C$6,C$5,$B110),"")</f>
        <v/>
      </c>
      <c r="D110" s="31" t="str">
        <f>IFERROR([1]!IntrinioBankFinancials(rssd_id,$R$2,D$6,D$5,$B110),"")</f>
        <v/>
      </c>
      <c r="E110" s="31" t="str">
        <f>IFERROR([1]!IntrinioBankFinancials(rssd_id,$R$2,E$6,E$5,$B110),"")</f>
        <v/>
      </c>
      <c r="F110" s="31" t="str">
        <f>IFERROR([1]!IntrinioBankFinancials(rssd_id,$R$2,F$6,F$5,$B110),"")</f>
        <v/>
      </c>
      <c r="G110" s="31" t="str">
        <f>IFERROR([1]!IntrinioBankFinancials(rssd_id,$R$2,G$6,G$5,$B110),"")</f>
        <v/>
      </c>
      <c r="H110" s="31" t="str">
        <f>IFERROR([1]!IntrinioBankFinancials(rssd_id,$R$2,H$6,H$5,$B110),"")</f>
        <v/>
      </c>
      <c r="I110" s="31" t="str">
        <f>IFERROR([1]!IntrinioBankFinancials(rssd_id,$R$2,I$6,I$5,$B110),"")</f>
        <v/>
      </c>
      <c r="J110" s="31" t="str">
        <f>IFERROR([1]!IntrinioBankFinancials(rssd_id,$R$2,J$6,J$5,$B110),"")</f>
        <v/>
      </c>
      <c r="K110" s="31" t="str">
        <f>IFERROR([1]!IntrinioBankFinancials(rssd_id,$R$2,K$6,K$5,$B110),"")</f>
        <v/>
      </c>
      <c r="L110" s="31" t="str">
        <f>IFERROR([1]!IntrinioBankFinancials(rssd_id,$R$2,L$6,L$5,$B110),"")</f>
        <v/>
      </c>
      <c r="M110" s="31" t="str">
        <f>IFERROR([1]!IntrinioBankFinancials(rssd_id,$R$2,M$6,M$5,$B110),"")</f>
        <v/>
      </c>
      <c r="N110" s="31" t="str">
        <f>IFERROR([1]!IntrinioBankFinancials(rssd_id,$R$2,N$6,N$5,$B110),"")</f>
        <v/>
      </c>
      <c r="O110" s="31" t="str">
        <f>IFERROR([1]!IntrinioBankFinancials(rssd_id,$R$2,O$6,O$5,$B110),"")</f>
        <v/>
      </c>
    </row>
    <row r="111" spans="1:15" ht="13.5" customHeight="1" x14ac:dyDescent="0.4">
      <c r="A111" s="34" t="s">
        <v>437</v>
      </c>
      <c r="B111" s="23" t="s">
        <v>438</v>
      </c>
      <c r="C111" s="31" t="str">
        <f>IFERROR([1]!IntrinioBankFinancials(rssd_id,$R$2,C$6,C$5,$B111),"")</f>
        <v/>
      </c>
      <c r="D111" s="31" t="str">
        <f>IFERROR([1]!IntrinioBankFinancials(rssd_id,$R$2,D$6,D$5,$B111),"")</f>
        <v/>
      </c>
      <c r="E111" s="31" t="str">
        <f>IFERROR([1]!IntrinioBankFinancials(rssd_id,$R$2,E$6,E$5,$B111),"")</f>
        <v/>
      </c>
      <c r="F111" s="31" t="str">
        <f>IFERROR([1]!IntrinioBankFinancials(rssd_id,$R$2,F$6,F$5,$B111),"")</f>
        <v/>
      </c>
      <c r="G111" s="31" t="str">
        <f>IFERROR([1]!IntrinioBankFinancials(rssd_id,$R$2,G$6,G$5,$B111),"")</f>
        <v/>
      </c>
      <c r="H111" s="31" t="str">
        <f>IFERROR([1]!IntrinioBankFinancials(rssd_id,$R$2,H$6,H$5,$B111),"")</f>
        <v/>
      </c>
      <c r="I111" s="31" t="str">
        <f>IFERROR([1]!IntrinioBankFinancials(rssd_id,$R$2,I$6,I$5,$B111),"")</f>
        <v/>
      </c>
      <c r="J111" s="31" t="str">
        <f>IFERROR([1]!IntrinioBankFinancials(rssd_id,$R$2,J$6,J$5,$B111),"")</f>
        <v/>
      </c>
      <c r="K111" s="31" t="str">
        <f>IFERROR([1]!IntrinioBankFinancials(rssd_id,$R$2,K$6,K$5,$B111),"")</f>
        <v/>
      </c>
      <c r="L111" s="31" t="str">
        <f>IFERROR([1]!IntrinioBankFinancials(rssd_id,$R$2,L$6,L$5,$B111),"")</f>
        <v/>
      </c>
      <c r="M111" s="31" t="str">
        <f>IFERROR([1]!IntrinioBankFinancials(rssd_id,$R$2,M$6,M$5,$B111),"")</f>
        <v/>
      </c>
      <c r="N111" s="31" t="str">
        <f>IFERROR([1]!IntrinioBankFinancials(rssd_id,$R$2,N$6,N$5,$B111),"")</f>
        <v/>
      </c>
      <c r="O111" s="31" t="str">
        <f>IFERROR([1]!IntrinioBankFinancials(rssd_id,$R$2,O$6,O$5,$B111),"")</f>
        <v/>
      </c>
    </row>
    <row r="112" spans="1:15" ht="13.5" customHeight="1" x14ac:dyDescent="0.4">
      <c r="A112" s="34" t="s">
        <v>376</v>
      </c>
      <c r="B112" s="23" t="s">
        <v>439</v>
      </c>
      <c r="C112" s="31" t="str">
        <f>IFERROR([1]!IntrinioBankFinancials(rssd_id,$R$2,C$6,C$5,$B112),"")</f>
        <v/>
      </c>
      <c r="D112" s="31" t="str">
        <f>IFERROR([1]!IntrinioBankFinancials(rssd_id,$R$2,D$6,D$5,$B112),"")</f>
        <v/>
      </c>
      <c r="E112" s="31" t="str">
        <f>IFERROR([1]!IntrinioBankFinancials(rssd_id,$R$2,E$6,E$5,$B112),"")</f>
        <v/>
      </c>
      <c r="F112" s="31" t="str">
        <f>IFERROR([1]!IntrinioBankFinancials(rssd_id,$R$2,F$6,F$5,$B112),"")</f>
        <v/>
      </c>
      <c r="G112" s="31" t="str">
        <f>IFERROR([1]!IntrinioBankFinancials(rssd_id,$R$2,G$6,G$5,$B112),"")</f>
        <v/>
      </c>
      <c r="H112" s="31" t="str">
        <f>IFERROR([1]!IntrinioBankFinancials(rssd_id,$R$2,H$6,H$5,$B112),"")</f>
        <v/>
      </c>
      <c r="I112" s="31" t="str">
        <f>IFERROR([1]!IntrinioBankFinancials(rssd_id,$R$2,I$6,I$5,$B112),"")</f>
        <v/>
      </c>
      <c r="J112" s="31" t="str">
        <f>IFERROR([1]!IntrinioBankFinancials(rssd_id,$R$2,J$6,J$5,$B112),"")</f>
        <v/>
      </c>
      <c r="K112" s="31" t="str">
        <f>IFERROR([1]!IntrinioBankFinancials(rssd_id,$R$2,K$6,K$5,$B112),"")</f>
        <v/>
      </c>
      <c r="L112" s="31" t="str">
        <f>IFERROR([1]!IntrinioBankFinancials(rssd_id,$R$2,L$6,L$5,$B112),"")</f>
        <v/>
      </c>
      <c r="M112" s="31" t="str">
        <f>IFERROR([1]!IntrinioBankFinancials(rssd_id,$R$2,M$6,M$5,$B112),"")</f>
        <v/>
      </c>
      <c r="N112" s="31" t="str">
        <f>IFERROR([1]!IntrinioBankFinancials(rssd_id,$R$2,N$6,N$5,$B112),"")</f>
        <v/>
      </c>
      <c r="O112" s="31" t="str">
        <f>IFERROR([1]!IntrinioBankFinancials(rssd_id,$R$2,O$6,O$5,$B112),"")</f>
        <v/>
      </c>
    </row>
    <row r="113" spans="1:15" ht="13.5" customHeight="1" x14ac:dyDescent="0.4">
      <c r="A113" s="34" t="s">
        <v>440</v>
      </c>
      <c r="B113" s="23" t="s">
        <v>441</v>
      </c>
      <c r="C113" s="31" t="str">
        <f>IFERROR([1]!IntrinioBankFinancials(rssd_id,$R$2,C$6,C$5,$B113),"")</f>
        <v/>
      </c>
      <c r="D113" s="31" t="str">
        <f>IFERROR([1]!IntrinioBankFinancials(rssd_id,$R$2,D$6,D$5,$B113),"")</f>
        <v/>
      </c>
      <c r="E113" s="31" t="str">
        <f>IFERROR([1]!IntrinioBankFinancials(rssd_id,$R$2,E$6,E$5,$B113),"")</f>
        <v/>
      </c>
      <c r="F113" s="31" t="str">
        <f>IFERROR([1]!IntrinioBankFinancials(rssd_id,$R$2,F$6,F$5,$B113),"")</f>
        <v/>
      </c>
      <c r="G113" s="31" t="str">
        <f>IFERROR([1]!IntrinioBankFinancials(rssd_id,$R$2,G$6,G$5,$B113),"")</f>
        <v/>
      </c>
      <c r="H113" s="31" t="str">
        <f>IFERROR([1]!IntrinioBankFinancials(rssd_id,$R$2,H$6,H$5,$B113),"")</f>
        <v/>
      </c>
      <c r="I113" s="31" t="str">
        <f>IFERROR([1]!IntrinioBankFinancials(rssd_id,$R$2,I$6,I$5,$B113),"")</f>
        <v/>
      </c>
      <c r="J113" s="31" t="str">
        <f>IFERROR([1]!IntrinioBankFinancials(rssd_id,$R$2,J$6,J$5,$B113),"")</f>
        <v/>
      </c>
      <c r="K113" s="31" t="str">
        <f>IFERROR([1]!IntrinioBankFinancials(rssd_id,$R$2,K$6,K$5,$B113),"")</f>
        <v/>
      </c>
      <c r="L113" s="31" t="str">
        <f>IFERROR([1]!IntrinioBankFinancials(rssd_id,$R$2,L$6,L$5,$B113),"")</f>
        <v/>
      </c>
      <c r="M113" s="31" t="str">
        <f>IFERROR([1]!IntrinioBankFinancials(rssd_id,$R$2,M$6,M$5,$B113),"")</f>
        <v/>
      </c>
      <c r="N113" s="31" t="str">
        <f>IFERROR([1]!IntrinioBankFinancials(rssd_id,$R$2,N$6,N$5,$B113),"")</f>
        <v/>
      </c>
      <c r="O113" s="31" t="str">
        <f>IFERROR([1]!IntrinioBankFinancials(rssd_id,$R$2,O$6,O$5,$B113),"")</f>
        <v/>
      </c>
    </row>
    <row r="114" spans="1:15" ht="13.5" customHeight="1" x14ac:dyDescent="0.4">
      <c r="A114" s="34" t="s">
        <v>380</v>
      </c>
      <c r="B114" s="23" t="s">
        <v>442</v>
      </c>
      <c r="C114" s="31" t="str">
        <f>IFERROR([1]!IntrinioBankFinancials(rssd_id,$R$2,C$6,C$5,$B114),"")</f>
        <v/>
      </c>
      <c r="D114" s="31" t="str">
        <f>IFERROR([1]!IntrinioBankFinancials(rssd_id,$R$2,D$6,D$5,$B114),"")</f>
        <v/>
      </c>
      <c r="E114" s="31" t="str">
        <f>IFERROR([1]!IntrinioBankFinancials(rssd_id,$R$2,E$6,E$5,$B114),"")</f>
        <v/>
      </c>
      <c r="F114" s="31" t="str">
        <f>IFERROR([1]!IntrinioBankFinancials(rssd_id,$R$2,F$6,F$5,$B114),"")</f>
        <v/>
      </c>
      <c r="G114" s="31" t="str">
        <f>IFERROR([1]!IntrinioBankFinancials(rssd_id,$R$2,G$6,G$5,$B114),"")</f>
        <v/>
      </c>
      <c r="H114" s="31" t="str">
        <f>IFERROR([1]!IntrinioBankFinancials(rssd_id,$R$2,H$6,H$5,$B114),"")</f>
        <v/>
      </c>
      <c r="I114" s="31" t="str">
        <f>IFERROR([1]!IntrinioBankFinancials(rssd_id,$R$2,I$6,I$5,$B114),"")</f>
        <v/>
      </c>
      <c r="J114" s="31" t="str">
        <f>IFERROR([1]!IntrinioBankFinancials(rssd_id,$R$2,J$6,J$5,$B114),"")</f>
        <v/>
      </c>
      <c r="K114" s="31" t="str">
        <f>IFERROR([1]!IntrinioBankFinancials(rssd_id,$R$2,K$6,K$5,$B114),"")</f>
        <v/>
      </c>
      <c r="L114" s="31" t="str">
        <f>IFERROR([1]!IntrinioBankFinancials(rssd_id,$R$2,L$6,L$5,$B114),"")</f>
        <v/>
      </c>
      <c r="M114" s="31" t="str">
        <f>IFERROR([1]!IntrinioBankFinancials(rssd_id,$R$2,M$6,M$5,$B114),"")</f>
        <v/>
      </c>
      <c r="N114" s="31" t="str">
        <f>IFERROR([1]!IntrinioBankFinancials(rssd_id,$R$2,N$6,N$5,$B114),"")</f>
        <v/>
      </c>
      <c r="O114" s="31" t="str">
        <f>IFERROR([1]!IntrinioBankFinancials(rssd_id,$R$2,O$6,O$5,$B114),"")</f>
        <v/>
      </c>
    </row>
    <row r="115" spans="1:15" ht="13.5" customHeight="1" x14ac:dyDescent="0.4">
      <c r="A115" s="34" t="s">
        <v>443</v>
      </c>
      <c r="B115" s="23" t="s">
        <v>444</v>
      </c>
      <c r="C115" s="31" t="str">
        <f>IFERROR([1]!IntrinioBankFinancials(rssd_id,$R$2,C$6,C$5,$B115),"")</f>
        <v/>
      </c>
      <c r="D115" s="31" t="str">
        <f>IFERROR([1]!IntrinioBankFinancials(rssd_id,$R$2,D$6,D$5,$B115),"")</f>
        <v/>
      </c>
      <c r="E115" s="31" t="str">
        <f>IFERROR([1]!IntrinioBankFinancials(rssd_id,$R$2,E$6,E$5,$B115),"")</f>
        <v/>
      </c>
      <c r="F115" s="31" t="str">
        <f>IFERROR([1]!IntrinioBankFinancials(rssd_id,$R$2,F$6,F$5,$B115),"")</f>
        <v/>
      </c>
      <c r="G115" s="31" t="str">
        <f>IFERROR([1]!IntrinioBankFinancials(rssd_id,$R$2,G$6,G$5,$B115),"")</f>
        <v/>
      </c>
      <c r="H115" s="31" t="str">
        <f>IFERROR([1]!IntrinioBankFinancials(rssd_id,$R$2,H$6,H$5,$B115),"")</f>
        <v/>
      </c>
      <c r="I115" s="31" t="str">
        <f>IFERROR([1]!IntrinioBankFinancials(rssd_id,$R$2,I$6,I$5,$B115),"")</f>
        <v/>
      </c>
      <c r="J115" s="31" t="str">
        <f>IFERROR([1]!IntrinioBankFinancials(rssd_id,$R$2,J$6,J$5,$B115),"")</f>
        <v/>
      </c>
      <c r="K115" s="31" t="str">
        <f>IFERROR([1]!IntrinioBankFinancials(rssd_id,$R$2,K$6,K$5,$B115),"")</f>
        <v/>
      </c>
      <c r="L115" s="31" t="str">
        <f>IFERROR([1]!IntrinioBankFinancials(rssd_id,$R$2,L$6,L$5,$B115),"")</f>
        <v/>
      </c>
      <c r="M115" s="31" t="str">
        <f>IFERROR([1]!IntrinioBankFinancials(rssd_id,$R$2,M$6,M$5,$B115),"")</f>
        <v/>
      </c>
      <c r="N115" s="31" t="str">
        <f>IFERROR([1]!IntrinioBankFinancials(rssd_id,$R$2,N$6,N$5,$B115),"")</f>
        <v/>
      </c>
      <c r="O115" s="31" t="str">
        <f>IFERROR([1]!IntrinioBankFinancials(rssd_id,$R$2,O$6,O$5,$B115),"")</f>
        <v/>
      </c>
    </row>
    <row r="116" spans="1:15" ht="13.5" customHeight="1" x14ac:dyDescent="0.4">
      <c r="A116" s="34" t="s">
        <v>445</v>
      </c>
      <c r="B116" s="23" t="s">
        <v>446</v>
      </c>
      <c r="C116" s="31" t="str">
        <f>IFERROR([1]!IntrinioBankFinancials(rssd_id,$R$2,C$6,C$5,$B116),"")</f>
        <v/>
      </c>
      <c r="D116" s="31" t="str">
        <f>IFERROR([1]!IntrinioBankFinancials(rssd_id,$R$2,D$6,D$5,$B116),"")</f>
        <v/>
      </c>
      <c r="E116" s="31" t="str">
        <f>IFERROR([1]!IntrinioBankFinancials(rssd_id,$R$2,E$6,E$5,$B116),"")</f>
        <v/>
      </c>
      <c r="F116" s="31" t="str">
        <f>IFERROR([1]!IntrinioBankFinancials(rssd_id,$R$2,F$6,F$5,$B116),"")</f>
        <v/>
      </c>
      <c r="G116" s="31" t="str">
        <f>IFERROR([1]!IntrinioBankFinancials(rssd_id,$R$2,G$6,G$5,$B116),"")</f>
        <v/>
      </c>
      <c r="H116" s="31" t="str">
        <f>IFERROR([1]!IntrinioBankFinancials(rssd_id,$R$2,H$6,H$5,$B116),"")</f>
        <v/>
      </c>
      <c r="I116" s="31" t="str">
        <f>IFERROR([1]!IntrinioBankFinancials(rssd_id,$R$2,I$6,I$5,$B116),"")</f>
        <v/>
      </c>
      <c r="J116" s="31" t="str">
        <f>IFERROR([1]!IntrinioBankFinancials(rssd_id,$R$2,J$6,J$5,$B116),"")</f>
        <v/>
      </c>
      <c r="K116" s="31" t="str">
        <f>IFERROR([1]!IntrinioBankFinancials(rssd_id,$R$2,K$6,K$5,$B116),"")</f>
        <v/>
      </c>
      <c r="L116" s="31" t="str">
        <f>IFERROR([1]!IntrinioBankFinancials(rssd_id,$R$2,L$6,L$5,$B116),"")</f>
        <v/>
      </c>
      <c r="M116" s="31" t="str">
        <f>IFERROR([1]!IntrinioBankFinancials(rssd_id,$R$2,M$6,M$5,$B116),"")</f>
        <v/>
      </c>
      <c r="N116" s="31" t="str">
        <f>IFERROR([1]!IntrinioBankFinancials(rssd_id,$R$2,N$6,N$5,$B116),"")</f>
        <v/>
      </c>
      <c r="O116" s="31" t="str">
        <f>IFERROR([1]!IntrinioBankFinancials(rssd_id,$R$2,O$6,O$5,$B116),"")</f>
        <v/>
      </c>
    </row>
    <row r="117" spans="1:15" ht="13.5" customHeight="1" x14ac:dyDescent="0.4">
      <c r="A117" s="34" t="s">
        <v>447</v>
      </c>
      <c r="B117" s="23" t="s">
        <v>448</v>
      </c>
      <c r="C117" s="31" t="str">
        <f>IFERROR([1]!IntrinioBankFinancials(rssd_id,$R$2,C$6,C$5,$B117),"")</f>
        <v/>
      </c>
      <c r="D117" s="31" t="str">
        <f>IFERROR([1]!IntrinioBankFinancials(rssd_id,$R$2,D$6,D$5,$B117),"")</f>
        <v/>
      </c>
      <c r="E117" s="31" t="str">
        <f>IFERROR([1]!IntrinioBankFinancials(rssd_id,$R$2,E$6,E$5,$B117),"")</f>
        <v/>
      </c>
      <c r="F117" s="31" t="str">
        <f>IFERROR([1]!IntrinioBankFinancials(rssd_id,$R$2,F$6,F$5,$B117),"")</f>
        <v/>
      </c>
      <c r="G117" s="31" t="str">
        <f>IFERROR([1]!IntrinioBankFinancials(rssd_id,$R$2,G$6,G$5,$B117),"")</f>
        <v/>
      </c>
      <c r="H117" s="31" t="str">
        <f>IFERROR([1]!IntrinioBankFinancials(rssd_id,$R$2,H$6,H$5,$B117),"")</f>
        <v/>
      </c>
      <c r="I117" s="31" t="str">
        <f>IFERROR([1]!IntrinioBankFinancials(rssd_id,$R$2,I$6,I$5,$B117),"")</f>
        <v/>
      </c>
      <c r="J117" s="31" t="str">
        <f>IFERROR([1]!IntrinioBankFinancials(rssd_id,$R$2,J$6,J$5,$B117),"")</f>
        <v/>
      </c>
      <c r="K117" s="31" t="str">
        <f>IFERROR([1]!IntrinioBankFinancials(rssd_id,$R$2,K$6,K$5,$B117),"")</f>
        <v/>
      </c>
      <c r="L117" s="31" t="str">
        <f>IFERROR([1]!IntrinioBankFinancials(rssd_id,$R$2,L$6,L$5,$B117),"")</f>
        <v/>
      </c>
      <c r="M117" s="31" t="str">
        <f>IFERROR([1]!IntrinioBankFinancials(rssd_id,$R$2,M$6,M$5,$B117),"")</f>
        <v/>
      </c>
      <c r="N117" s="31" t="str">
        <f>IFERROR([1]!IntrinioBankFinancials(rssd_id,$R$2,N$6,N$5,$B117),"")</f>
        <v/>
      </c>
      <c r="O117" s="31" t="str">
        <f>IFERROR([1]!IntrinioBankFinancials(rssd_id,$R$2,O$6,O$5,$B117),"")</f>
        <v/>
      </c>
    </row>
    <row r="118" spans="1:15" ht="13.5" customHeight="1" x14ac:dyDescent="0.4">
      <c r="A118" s="34" t="s">
        <v>449</v>
      </c>
      <c r="B118" s="23" t="s">
        <v>450</v>
      </c>
      <c r="C118" s="31" t="str">
        <f>IFERROR([1]!IntrinioBankFinancials(rssd_id,$R$2,C$6,C$5,$B118),"")</f>
        <v/>
      </c>
      <c r="D118" s="31" t="str">
        <f>IFERROR([1]!IntrinioBankFinancials(rssd_id,$R$2,D$6,D$5,$B118),"")</f>
        <v/>
      </c>
      <c r="E118" s="31" t="str">
        <f>IFERROR([1]!IntrinioBankFinancials(rssd_id,$R$2,E$6,E$5,$B118),"")</f>
        <v/>
      </c>
      <c r="F118" s="31" t="str">
        <f>IFERROR([1]!IntrinioBankFinancials(rssd_id,$R$2,F$6,F$5,$B118),"")</f>
        <v/>
      </c>
      <c r="G118" s="31" t="str">
        <f>IFERROR([1]!IntrinioBankFinancials(rssd_id,$R$2,G$6,G$5,$B118),"")</f>
        <v/>
      </c>
      <c r="H118" s="31" t="str">
        <f>IFERROR([1]!IntrinioBankFinancials(rssd_id,$R$2,H$6,H$5,$B118),"")</f>
        <v/>
      </c>
      <c r="I118" s="31" t="str">
        <f>IFERROR([1]!IntrinioBankFinancials(rssd_id,$R$2,I$6,I$5,$B118),"")</f>
        <v/>
      </c>
      <c r="J118" s="31" t="str">
        <f>IFERROR([1]!IntrinioBankFinancials(rssd_id,$R$2,J$6,J$5,$B118),"")</f>
        <v/>
      </c>
      <c r="K118" s="31" t="str">
        <f>IFERROR([1]!IntrinioBankFinancials(rssd_id,$R$2,K$6,K$5,$B118),"")</f>
        <v/>
      </c>
      <c r="L118" s="31" t="str">
        <f>IFERROR([1]!IntrinioBankFinancials(rssd_id,$R$2,L$6,L$5,$B118),"")</f>
        <v/>
      </c>
      <c r="M118" s="31" t="str">
        <f>IFERROR([1]!IntrinioBankFinancials(rssd_id,$R$2,M$6,M$5,$B118),"")</f>
        <v/>
      </c>
      <c r="N118" s="31" t="str">
        <f>IFERROR([1]!IntrinioBankFinancials(rssd_id,$R$2,N$6,N$5,$B118),"")</f>
        <v/>
      </c>
      <c r="O118" s="31" t="str">
        <f>IFERROR([1]!IntrinioBankFinancials(rssd_id,$R$2,O$6,O$5,$B118),"")</f>
        <v/>
      </c>
    </row>
    <row r="119" spans="1:15" ht="13.5" customHeight="1" x14ac:dyDescent="0.4">
      <c r="A119" s="34" t="s">
        <v>390</v>
      </c>
      <c r="B119" s="23" t="s">
        <v>451</v>
      </c>
      <c r="C119" s="31" t="str">
        <f>IFERROR([1]!IntrinioBankFinancials(rssd_id,$R$2,C$6,C$5,$B119),"")</f>
        <v/>
      </c>
      <c r="D119" s="31" t="str">
        <f>IFERROR([1]!IntrinioBankFinancials(rssd_id,$R$2,D$6,D$5,$B119),"")</f>
        <v/>
      </c>
      <c r="E119" s="31" t="str">
        <f>IFERROR([1]!IntrinioBankFinancials(rssd_id,$R$2,E$6,E$5,$B119),"")</f>
        <v/>
      </c>
      <c r="F119" s="31" t="str">
        <f>IFERROR([1]!IntrinioBankFinancials(rssd_id,$R$2,F$6,F$5,$B119),"")</f>
        <v/>
      </c>
      <c r="G119" s="31" t="str">
        <f>IFERROR([1]!IntrinioBankFinancials(rssd_id,$R$2,G$6,G$5,$B119),"")</f>
        <v/>
      </c>
      <c r="H119" s="31" t="str">
        <f>IFERROR([1]!IntrinioBankFinancials(rssd_id,$R$2,H$6,H$5,$B119),"")</f>
        <v/>
      </c>
      <c r="I119" s="31" t="str">
        <f>IFERROR([1]!IntrinioBankFinancials(rssd_id,$R$2,I$6,I$5,$B119),"")</f>
        <v/>
      </c>
      <c r="J119" s="31" t="str">
        <f>IFERROR([1]!IntrinioBankFinancials(rssd_id,$R$2,J$6,J$5,$B119),"")</f>
        <v/>
      </c>
      <c r="K119" s="31" t="str">
        <f>IFERROR([1]!IntrinioBankFinancials(rssd_id,$R$2,K$6,K$5,$B119),"")</f>
        <v/>
      </c>
      <c r="L119" s="31" t="str">
        <f>IFERROR([1]!IntrinioBankFinancials(rssd_id,$R$2,L$6,L$5,$B119),"")</f>
        <v/>
      </c>
      <c r="M119" s="31" t="str">
        <f>IFERROR([1]!IntrinioBankFinancials(rssd_id,$R$2,M$6,M$5,$B119),"")</f>
        <v/>
      </c>
      <c r="N119" s="31" t="str">
        <f>IFERROR([1]!IntrinioBankFinancials(rssd_id,$R$2,N$6,N$5,$B119),"")</f>
        <v/>
      </c>
      <c r="O119" s="31" t="str">
        <f>IFERROR([1]!IntrinioBankFinancials(rssd_id,$R$2,O$6,O$5,$B119),"")</f>
        <v/>
      </c>
    </row>
    <row r="120" spans="1:15" ht="13.5" customHeight="1" x14ac:dyDescent="0.4">
      <c r="A120" s="34" t="s">
        <v>392</v>
      </c>
      <c r="B120" s="23" t="s">
        <v>452</v>
      </c>
      <c r="C120" s="31" t="str">
        <f>IFERROR([1]!IntrinioBankFinancials(rssd_id,$R$2,C$6,C$5,$B120),"")</f>
        <v/>
      </c>
      <c r="D120" s="31" t="str">
        <f>IFERROR([1]!IntrinioBankFinancials(rssd_id,$R$2,D$6,D$5,$B120),"")</f>
        <v/>
      </c>
      <c r="E120" s="31" t="str">
        <f>IFERROR([1]!IntrinioBankFinancials(rssd_id,$R$2,E$6,E$5,$B120),"")</f>
        <v/>
      </c>
      <c r="F120" s="31" t="str">
        <f>IFERROR([1]!IntrinioBankFinancials(rssd_id,$R$2,F$6,F$5,$B120),"")</f>
        <v/>
      </c>
      <c r="G120" s="31" t="str">
        <f>IFERROR([1]!IntrinioBankFinancials(rssd_id,$R$2,G$6,G$5,$B120),"")</f>
        <v/>
      </c>
      <c r="H120" s="31" t="str">
        <f>IFERROR([1]!IntrinioBankFinancials(rssd_id,$R$2,H$6,H$5,$B120),"")</f>
        <v/>
      </c>
      <c r="I120" s="31" t="str">
        <f>IFERROR([1]!IntrinioBankFinancials(rssd_id,$R$2,I$6,I$5,$B120),"")</f>
        <v/>
      </c>
      <c r="J120" s="31" t="str">
        <f>IFERROR([1]!IntrinioBankFinancials(rssd_id,$R$2,J$6,J$5,$B120),"")</f>
        <v/>
      </c>
      <c r="K120" s="31" t="str">
        <f>IFERROR([1]!IntrinioBankFinancials(rssd_id,$R$2,K$6,K$5,$B120),"")</f>
        <v/>
      </c>
      <c r="L120" s="31" t="str">
        <f>IFERROR([1]!IntrinioBankFinancials(rssd_id,$R$2,L$6,L$5,$B120),"")</f>
        <v/>
      </c>
      <c r="M120" s="31" t="str">
        <f>IFERROR([1]!IntrinioBankFinancials(rssd_id,$R$2,M$6,M$5,$B120),"")</f>
        <v/>
      </c>
      <c r="N120" s="31" t="str">
        <f>IFERROR([1]!IntrinioBankFinancials(rssd_id,$R$2,N$6,N$5,$B120),"")</f>
        <v/>
      </c>
      <c r="O120" s="31" t="str">
        <f>IFERROR([1]!IntrinioBankFinancials(rssd_id,$R$2,O$6,O$5,$B120),"")</f>
        <v/>
      </c>
    </row>
    <row r="121" spans="1:15" ht="13.5" customHeight="1" x14ac:dyDescent="0.4">
      <c r="A121" s="34" t="s">
        <v>394</v>
      </c>
      <c r="B121" s="23" t="s">
        <v>453</v>
      </c>
      <c r="C121" s="31" t="str">
        <f>IFERROR([1]!IntrinioBankFinancials(rssd_id,$R$2,C$6,C$5,$B121),"")</f>
        <v/>
      </c>
      <c r="D121" s="31" t="str">
        <f>IFERROR([1]!IntrinioBankFinancials(rssd_id,$R$2,D$6,D$5,$B121),"")</f>
        <v/>
      </c>
      <c r="E121" s="31" t="str">
        <f>IFERROR([1]!IntrinioBankFinancials(rssd_id,$R$2,E$6,E$5,$B121),"")</f>
        <v/>
      </c>
      <c r="F121" s="31" t="str">
        <f>IFERROR([1]!IntrinioBankFinancials(rssd_id,$R$2,F$6,F$5,$B121),"")</f>
        <v/>
      </c>
      <c r="G121" s="31" t="str">
        <f>IFERROR([1]!IntrinioBankFinancials(rssd_id,$R$2,G$6,G$5,$B121),"")</f>
        <v/>
      </c>
      <c r="H121" s="31" t="str">
        <f>IFERROR([1]!IntrinioBankFinancials(rssd_id,$R$2,H$6,H$5,$B121),"")</f>
        <v/>
      </c>
      <c r="I121" s="31" t="str">
        <f>IFERROR([1]!IntrinioBankFinancials(rssd_id,$R$2,I$6,I$5,$B121),"")</f>
        <v/>
      </c>
      <c r="J121" s="31" t="str">
        <f>IFERROR([1]!IntrinioBankFinancials(rssd_id,$R$2,J$6,J$5,$B121),"")</f>
        <v/>
      </c>
      <c r="K121" s="31" t="str">
        <f>IFERROR([1]!IntrinioBankFinancials(rssd_id,$R$2,K$6,K$5,$B121),"")</f>
        <v/>
      </c>
      <c r="L121" s="31" t="str">
        <f>IFERROR([1]!IntrinioBankFinancials(rssd_id,$R$2,L$6,L$5,$B121),"")</f>
        <v/>
      </c>
      <c r="M121" s="31" t="str">
        <f>IFERROR([1]!IntrinioBankFinancials(rssd_id,$R$2,M$6,M$5,$B121),"")</f>
        <v/>
      </c>
      <c r="N121" s="31" t="str">
        <f>IFERROR([1]!IntrinioBankFinancials(rssd_id,$R$2,N$6,N$5,$B121),"")</f>
        <v/>
      </c>
      <c r="O121" s="31" t="str">
        <f>IFERROR([1]!IntrinioBankFinancials(rssd_id,$R$2,O$6,O$5,$B121),"")</f>
        <v/>
      </c>
    </row>
    <row r="122" spans="1:15" ht="13.5" customHeight="1" x14ac:dyDescent="0.4">
      <c r="A122" s="34" t="s">
        <v>454</v>
      </c>
      <c r="B122" s="23" t="s">
        <v>455</v>
      </c>
      <c r="C122" s="31" t="str">
        <f>IFERROR([1]!IntrinioBankFinancials(rssd_id,$R$2,C$6,C$5,$B122),"")</f>
        <v/>
      </c>
      <c r="D122" s="31" t="str">
        <f>IFERROR([1]!IntrinioBankFinancials(rssd_id,$R$2,D$6,D$5,$B122),"")</f>
        <v/>
      </c>
      <c r="E122" s="31" t="str">
        <f>IFERROR([1]!IntrinioBankFinancials(rssd_id,$R$2,E$6,E$5,$B122),"")</f>
        <v/>
      </c>
      <c r="F122" s="31" t="str">
        <f>IFERROR([1]!IntrinioBankFinancials(rssd_id,$R$2,F$6,F$5,$B122),"")</f>
        <v/>
      </c>
      <c r="G122" s="31" t="str">
        <f>IFERROR([1]!IntrinioBankFinancials(rssd_id,$R$2,G$6,G$5,$B122),"")</f>
        <v/>
      </c>
      <c r="H122" s="31" t="str">
        <f>IFERROR([1]!IntrinioBankFinancials(rssd_id,$R$2,H$6,H$5,$B122),"")</f>
        <v/>
      </c>
      <c r="I122" s="31" t="str">
        <f>IFERROR([1]!IntrinioBankFinancials(rssd_id,$R$2,I$6,I$5,$B122),"")</f>
        <v/>
      </c>
      <c r="J122" s="31" t="str">
        <f>IFERROR([1]!IntrinioBankFinancials(rssd_id,$R$2,J$6,J$5,$B122),"")</f>
        <v/>
      </c>
      <c r="K122" s="31" t="str">
        <f>IFERROR([1]!IntrinioBankFinancials(rssd_id,$R$2,K$6,K$5,$B122),"")</f>
        <v/>
      </c>
      <c r="L122" s="31" t="str">
        <f>IFERROR([1]!IntrinioBankFinancials(rssd_id,$R$2,L$6,L$5,$B122),"")</f>
        <v/>
      </c>
      <c r="M122" s="31" t="str">
        <f>IFERROR([1]!IntrinioBankFinancials(rssd_id,$R$2,M$6,M$5,$B122),"")</f>
        <v/>
      </c>
      <c r="N122" s="31" t="str">
        <f>IFERROR([1]!IntrinioBankFinancials(rssd_id,$R$2,N$6,N$5,$B122),"")</f>
        <v/>
      </c>
      <c r="O122" s="31" t="str">
        <f>IFERROR([1]!IntrinioBankFinancials(rssd_id,$R$2,O$6,O$5,$B122),"")</f>
        <v/>
      </c>
    </row>
    <row r="123" spans="1:15" ht="13.5" customHeight="1" x14ac:dyDescent="0.4">
      <c r="A123" s="34" t="s">
        <v>398</v>
      </c>
      <c r="B123" s="23" t="s">
        <v>456</v>
      </c>
      <c r="C123" s="31" t="str">
        <f>IFERROR([1]!IntrinioBankFinancials(rssd_id,$R$2,C$6,C$5,$B123),"")</f>
        <v/>
      </c>
      <c r="D123" s="31" t="str">
        <f>IFERROR([1]!IntrinioBankFinancials(rssd_id,$R$2,D$6,D$5,$B123),"")</f>
        <v/>
      </c>
      <c r="E123" s="31" t="str">
        <f>IFERROR([1]!IntrinioBankFinancials(rssd_id,$R$2,E$6,E$5,$B123),"")</f>
        <v/>
      </c>
      <c r="F123" s="31" t="str">
        <f>IFERROR([1]!IntrinioBankFinancials(rssd_id,$R$2,F$6,F$5,$B123),"")</f>
        <v/>
      </c>
      <c r="G123" s="31" t="str">
        <f>IFERROR([1]!IntrinioBankFinancials(rssd_id,$R$2,G$6,G$5,$B123),"")</f>
        <v/>
      </c>
      <c r="H123" s="31" t="str">
        <f>IFERROR([1]!IntrinioBankFinancials(rssd_id,$R$2,H$6,H$5,$B123),"")</f>
        <v/>
      </c>
      <c r="I123" s="31" t="str">
        <f>IFERROR([1]!IntrinioBankFinancials(rssd_id,$R$2,I$6,I$5,$B123),"")</f>
        <v/>
      </c>
      <c r="J123" s="31" t="str">
        <f>IFERROR([1]!IntrinioBankFinancials(rssd_id,$R$2,J$6,J$5,$B123),"")</f>
        <v/>
      </c>
      <c r="K123" s="31" t="str">
        <f>IFERROR([1]!IntrinioBankFinancials(rssd_id,$R$2,K$6,K$5,$B123),"")</f>
        <v/>
      </c>
      <c r="L123" s="31" t="str">
        <f>IFERROR([1]!IntrinioBankFinancials(rssd_id,$R$2,L$6,L$5,$B123),"")</f>
        <v/>
      </c>
      <c r="M123" s="31" t="str">
        <f>IFERROR([1]!IntrinioBankFinancials(rssd_id,$R$2,M$6,M$5,$B123),"")</f>
        <v/>
      </c>
      <c r="N123" s="31" t="str">
        <f>IFERROR([1]!IntrinioBankFinancials(rssd_id,$R$2,N$6,N$5,$B123),"")</f>
        <v/>
      </c>
      <c r="O123" s="31" t="str">
        <f>IFERROR([1]!IntrinioBankFinancials(rssd_id,$R$2,O$6,O$5,$B123),"")</f>
        <v/>
      </c>
    </row>
    <row r="124" spans="1:15" ht="13.5" customHeight="1" x14ac:dyDescent="0.4">
      <c r="A124" s="34" t="s">
        <v>457</v>
      </c>
      <c r="B124" s="23" t="s">
        <v>458</v>
      </c>
      <c r="C124" s="31" t="str">
        <f>IFERROR([1]!IntrinioBankFinancials(rssd_id,$R$2,C$6,C$5,$B124),"")</f>
        <v/>
      </c>
      <c r="D124" s="31" t="str">
        <f>IFERROR([1]!IntrinioBankFinancials(rssd_id,$R$2,D$6,D$5,$B124),"")</f>
        <v/>
      </c>
      <c r="E124" s="31" t="str">
        <f>IFERROR([1]!IntrinioBankFinancials(rssd_id,$R$2,E$6,E$5,$B124),"")</f>
        <v/>
      </c>
      <c r="F124" s="31" t="str">
        <f>IFERROR([1]!IntrinioBankFinancials(rssd_id,$R$2,F$6,F$5,$B124),"")</f>
        <v/>
      </c>
      <c r="G124" s="31" t="str">
        <f>IFERROR([1]!IntrinioBankFinancials(rssd_id,$R$2,G$6,G$5,$B124),"")</f>
        <v/>
      </c>
      <c r="H124" s="31" t="str">
        <f>IFERROR([1]!IntrinioBankFinancials(rssd_id,$R$2,H$6,H$5,$B124),"")</f>
        <v/>
      </c>
      <c r="I124" s="31" t="str">
        <f>IFERROR([1]!IntrinioBankFinancials(rssd_id,$R$2,I$6,I$5,$B124),"")</f>
        <v/>
      </c>
      <c r="J124" s="31" t="str">
        <f>IFERROR([1]!IntrinioBankFinancials(rssd_id,$R$2,J$6,J$5,$B124),"")</f>
        <v/>
      </c>
      <c r="K124" s="31" t="str">
        <f>IFERROR([1]!IntrinioBankFinancials(rssd_id,$R$2,K$6,K$5,$B124),"")</f>
        <v/>
      </c>
      <c r="L124" s="31" t="str">
        <f>IFERROR([1]!IntrinioBankFinancials(rssd_id,$R$2,L$6,L$5,$B124),"")</f>
        <v/>
      </c>
      <c r="M124" s="31" t="str">
        <f>IFERROR([1]!IntrinioBankFinancials(rssd_id,$R$2,M$6,M$5,$B124),"")</f>
        <v/>
      </c>
      <c r="N124" s="31" t="str">
        <f>IFERROR([1]!IntrinioBankFinancials(rssd_id,$R$2,N$6,N$5,$B124),"")</f>
        <v/>
      </c>
      <c r="O124" s="31" t="str">
        <f>IFERROR([1]!IntrinioBankFinancials(rssd_id,$R$2,O$6,O$5,$B124),"")</f>
        <v/>
      </c>
    </row>
    <row r="125" spans="1:15" ht="13.5" customHeight="1" x14ac:dyDescent="0.4">
      <c r="A125" s="34" t="s">
        <v>402</v>
      </c>
      <c r="B125" s="23" t="s">
        <v>459</v>
      </c>
      <c r="C125" s="31" t="str">
        <f>IFERROR([1]!IntrinioBankFinancials(rssd_id,$R$2,C$6,C$5,$B125),"")</f>
        <v/>
      </c>
      <c r="D125" s="31" t="str">
        <f>IFERROR([1]!IntrinioBankFinancials(rssd_id,$R$2,D$6,D$5,$B125),"")</f>
        <v/>
      </c>
      <c r="E125" s="31" t="str">
        <f>IFERROR([1]!IntrinioBankFinancials(rssd_id,$R$2,E$6,E$5,$B125),"")</f>
        <v/>
      </c>
      <c r="F125" s="31" t="str">
        <f>IFERROR([1]!IntrinioBankFinancials(rssd_id,$R$2,F$6,F$5,$B125),"")</f>
        <v/>
      </c>
      <c r="G125" s="31" t="str">
        <f>IFERROR([1]!IntrinioBankFinancials(rssd_id,$R$2,G$6,G$5,$B125),"")</f>
        <v/>
      </c>
      <c r="H125" s="31" t="str">
        <f>IFERROR([1]!IntrinioBankFinancials(rssd_id,$R$2,H$6,H$5,$B125),"")</f>
        <v/>
      </c>
      <c r="I125" s="31" t="str">
        <f>IFERROR([1]!IntrinioBankFinancials(rssd_id,$R$2,I$6,I$5,$B125),"")</f>
        <v/>
      </c>
      <c r="J125" s="31" t="str">
        <f>IFERROR([1]!IntrinioBankFinancials(rssd_id,$R$2,J$6,J$5,$B125),"")</f>
        <v/>
      </c>
      <c r="K125" s="31" t="str">
        <f>IFERROR([1]!IntrinioBankFinancials(rssd_id,$R$2,K$6,K$5,$B125),"")</f>
        <v/>
      </c>
      <c r="L125" s="31" t="str">
        <f>IFERROR([1]!IntrinioBankFinancials(rssd_id,$R$2,L$6,L$5,$B125),"")</f>
        <v/>
      </c>
      <c r="M125" s="31" t="str">
        <f>IFERROR([1]!IntrinioBankFinancials(rssd_id,$R$2,M$6,M$5,$B125),"")</f>
        <v/>
      </c>
      <c r="N125" s="31" t="str">
        <f>IFERROR([1]!IntrinioBankFinancials(rssd_id,$R$2,N$6,N$5,$B125),"")</f>
        <v/>
      </c>
      <c r="O125" s="31" t="str">
        <f>IFERROR([1]!IntrinioBankFinancials(rssd_id,$R$2,O$6,O$5,$B125),"")</f>
        <v/>
      </c>
    </row>
    <row r="126" spans="1:15" ht="13.5" customHeight="1" x14ac:dyDescent="0.4">
      <c r="A126" s="34" t="s">
        <v>460</v>
      </c>
      <c r="B126" s="23" t="s">
        <v>461</v>
      </c>
      <c r="C126" s="31" t="str">
        <f>IFERROR([1]!IntrinioBankFinancials(rssd_id,$R$2,C$6,C$5,$B126),"")</f>
        <v/>
      </c>
      <c r="D126" s="31" t="str">
        <f>IFERROR([1]!IntrinioBankFinancials(rssd_id,$R$2,D$6,D$5,$B126),"")</f>
        <v/>
      </c>
      <c r="E126" s="31" t="str">
        <f>IFERROR([1]!IntrinioBankFinancials(rssd_id,$R$2,E$6,E$5,$B126),"")</f>
        <v/>
      </c>
      <c r="F126" s="31" t="str">
        <f>IFERROR([1]!IntrinioBankFinancials(rssd_id,$R$2,F$6,F$5,$B126),"")</f>
        <v/>
      </c>
      <c r="G126" s="31" t="str">
        <f>IFERROR([1]!IntrinioBankFinancials(rssd_id,$R$2,G$6,G$5,$B126),"")</f>
        <v/>
      </c>
      <c r="H126" s="31" t="str">
        <f>IFERROR([1]!IntrinioBankFinancials(rssd_id,$R$2,H$6,H$5,$B126),"")</f>
        <v/>
      </c>
      <c r="I126" s="31" t="str">
        <f>IFERROR([1]!IntrinioBankFinancials(rssd_id,$R$2,I$6,I$5,$B126),"")</f>
        <v/>
      </c>
      <c r="J126" s="31" t="str">
        <f>IFERROR([1]!IntrinioBankFinancials(rssd_id,$R$2,J$6,J$5,$B126),"")</f>
        <v/>
      </c>
      <c r="K126" s="31" t="str">
        <f>IFERROR([1]!IntrinioBankFinancials(rssd_id,$R$2,K$6,K$5,$B126),"")</f>
        <v/>
      </c>
      <c r="L126" s="31" t="str">
        <f>IFERROR([1]!IntrinioBankFinancials(rssd_id,$R$2,L$6,L$5,$B126),"")</f>
        <v/>
      </c>
      <c r="M126" s="31" t="str">
        <f>IFERROR([1]!IntrinioBankFinancials(rssd_id,$R$2,M$6,M$5,$B126),"")</f>
        <v/>
      </c>
      <c r="N126" s="31" t="str">
        <f>IFERROR([1]!IntrinioBankFinancials(rssd_id,$R$2,N$6,N$5,$B126),"")</f>
        <v/>
      </c>
      <c r="O126" s="31" t="str">
        <f>IFERROR([1]!IntrinioBankFinancials(rssd_id,$R$2,O$6,O$5,$B126),"")</f>
        <v/>
      </c>
    </row>
    <row r="127" spans="1:15" ht="13.5" customHeight="1" x14ac:dyDescent="0.4">
      <c r="A127" s="34" t="s">
        <v>462</v>
      </c>
      <c r="B127" s="23" t="s">
        <v>463</v>
      </c>
      <c r="C127" s="31" t="str">
        <f>IFERROR([1]!IntrinioBankFinancials(rssd_id,$R$2,C$6,C$5,$B127),"")</f>
        <v/>
      </c>
      <c r="D127" s="31" t="str">
        <f>IFERROR([1]!IntrinioBankFinancials(rssd_id,$R$2,D$6,D$5,$B127),"")</f>
        <v/>
      </c>
      <c r="E127" s="31" t="str">
        <f>IFERROR([1]!IntrinioBankFinancials(rssd_id,$R$2,E$6,E$5,$B127),"")</f>
        <v/>
      </c>
      <c r="F127" s="31" t="str">
        <f>IFERROR([1]!IntrinioBankFinancials(rssd_id,$R$2,F$6,F$5,$B127),"")</f>
        <v/>
      </c>
      <c r="G127" s="31" t="str">
        <f>IFERROR([1]!IntrinioBankFinancials(rssd_id,$R$2,G$6,G$5,$B127),"")</f>
        <v/>
      </c>
      <c r="H127" s="31" t="str">
        <f>IFERROR([1]!IntrinioBankFinancials(rssd_id,$R$2,H$6,H$5,$B127),"")</f>
        <v/>
      </c>
      <c r="I127" s="31" t="str">
        <f>IFERROR([1]!IntrinioBankFinancials(rssd_id,$R$2,I$6,I$5,$B127),"")</f>
        <v/>
      </c>
      <c r="J127" s="31" t="str">
        <f>IFERROR([1]!IntrinioBankFinancials(rssd_id,$R$2,J$6,J$5,$B127),"")</f>
        <v/>
      </c>
      <c r="K127" s="31" t="str">
        <f>IFERROR([1]!IntrinioBankFinancials(rssd_id,$R$2,K$6,K$5,$B127),"")</f>
        <v/>
      </c>
      <c r="L127" s="31" t="str">
        <f>IFERROR([1]!IntrinioBankFinancials(rssd_id,$R$2,L$6,L$5,$B127),"")</f>
        <v/>
      </c>
      <c r="M127" s="31" t="str">
        <f>IFERROR([1]!IntrinioBankFinancials(rssd_id,$R$2,M$6,M$5,$B127),"")</f>
        <v/>
      </c>
      <c r="N127" s="31" t="str">
        <f>IFERROR([1]!IntrinioBankFinancials(rssd_id,$R$2,N$6,N$5,$B127),"")</f>
        <v/>
      </c>
      <c r="O127" s="31" t="str">
        <f>IFERROR([1]!IntrinioBankFinancials(rssd_id,$R$2,O$6,O$5,$B127),"")</f>
        <v/>
      </c>
    </row>
    <row r="128" spans="1:15" ht="13.5" customHeight="1" x14ac:dyDescent="0.4">
      <c r="A128" s="34" t="s">
        <v>406</v>
      </c>
      <c r="B128" s="23" t="s">
        <v>464</v>
      </c>
      <c r="C128" s="31" t="str">
        <f>IFERROR([1]!IntrinioBankFinancials(rssd_id,$R$2,C$6,C$5,$B128),"")</f>
        <v/>
      </c>
      <c r="D128" s="31" t="str">
        <f>IFERROR([1]!IntrinioBankFinancials(rssd_id,$R$2,D$6,D$5,$B128),"")</f>
        <v/>
      </c>
      <c r="E128" s="31" t="str">
        <f>IFERROR([1]!IntrinioBankFinancials(rssd_id,$R$2,E$6,E$5,$B128),"")</f>
        <v/>
      </c>
      <c r="F128" s="31" t="str">
        <f>IFERROR([1]!IntrinioBankFinancials(rssd_id,$R$2,F$6,F$5,$B128),"")</f>
        <v/>
      </c>
      <c r="G128" s="31" t="str">
        <f>IFERROR([1]!IntrinioBankFinancials(rssd_id,$R$2,G$6,G$5,$B128),"")</f>
        <v/>
      </c>
      <c r="H128" s="31" t="str">
        <f>IFERROR([1]!IntrinioBankFinancials(rssd_id,$R$2,H$6,H$5,$B128),"")</f>
        <v/>
      </c>
      <c r="I128" s="31" t="str">
        <f>IFERROR([1]!IntrinioBankFinancials(rssd_id,$R$2,I$6,I$5,$B128),"")</f>
        <v/>
      </c>
      <c r="J128" s="31" t="str">
        <f>IFERROR([1]!IntrinioBankFinancials(rssd_id,$R$2,J$6,J$5,$B128),"")</f>
        <v/>
      </c>
      <c r="K128" s="31" t="str">
        <f>IFERROR([1]!IntrinioBankFinancials(rssd_id,$R$2,K$6,K$5,$B128),"")</f>
        <v/>
      </c>
      <c r="L128" s="31" t="str">
        <f>IFERROR([1]!IntrinioBankFinancials(rssd_id,$R$2,L$6,L$5,$B128),"")</f>
        <v/>
      </c>
      <c r="M128" s="31" t="str">
        <f>IFERROR([1]!IntrinioBankFinancials(rssd_id,$R$2,M$6,M$5,$B128),"")</f>
        <v/>
      </c>
      <c r="N128" s="31" t="str">
        <f>IFERROR([1]!IntrinioBankFinancials(rssd_id,$R$2,N$6,N$5,$B128),"")</f>
        <v/>
      </c>
      <c r="O128" s="31" t="str">
        <f>IFERROR([1]!IntrinioBankFinancials(rssd_id,$R$2,O$6,O$5,$B128),"")</f>
        <v/>
      </c>
    </row>
    <row r="129" spans="1:15" ht="13.5" customHeight="1" x14ac:dyDescent="0.4">
      <c r="A129" s="34" t="s">
        <v>465</v>
      </c>
      <c r="B129" s="23" t="s">
        <v>466</v>
      </c>
      <c r="C129" s="31" t="str">
        <f>IFERROR([1]!IntrinioBankFinancials(rssd_id,$R$2,C$6,C$5,$B129),"")</f>
        <v/>
      </c>
      <c r="D129" s="31" t="str">
        <f>IFERROR([1]!IntrinioBankFinancials(rssd_id,$R$2,D$6,D$5,$B129),"")</f>
        <v/>
      </c>
      <c r="E129" s="31" t="str">
        <f>IFERROR([1]!IntrinioBankFinancials(rssd_id,$R$2,E$6,E$5,$B129),"")</f>
        <v/>
      </c>
      <c r="F129" s="31" t="str">
        <f>IFERROR([1]!IntrinioBankFinancials(rssd_id,$R$2,F$6,F$5,$B129),"")</f>
        <v/>
      </c>
      <c r="G129" s="31" t="str">
        <f>IFERROR([1]!IntrinioBankFinancials(rssd_id,$R$2,G$6,G$5,$B129),"")</f>
        <v/>
      </c>
      <c r="H129" s="31" t="str">
        <f>IFERROR([1]!IntrinioBankFinancials(rssd_id,$R$2,H$6,H$5,$B129),"")</f>
        <v/>
      </c>
      <c r="I129" s="31" t="str">
        <f>IFERROR([1]!IntrinioBankFinancials(rssd_id,$R$2,I$6,I$5,$B129),"")</f>
        <v/>
      </c>
      <c r="J129" s="31" t="str">
        <f>IFERROR([1]!IntrinioBankFinancials(rssd_id,$R$2,J$6,J$5,$B129),"")</f>
        <v/>
      </c>
      <c r="K129" s="31" t="str">
        <f>IFERROR([1]!IntrinioBankFinancials(rssd_id,$R$2,K$6,K$5,$B129),"")</f>
        <v/>
      </c>
      <c r="L129" s="31" t="str">
        <f>IFERROR([1]!IntrinioBankFinancials(rssd_id,$R$2,L$6,L$5,$B129),"")</f>
        <v/>
      </c>
      <c r="M129" s="31" t="str">
        <f>IFERROR([1]!IntrinioBankFinancials(rssd_id,$R$2,M$6,M$5,$B129),"")</f>
        <v/>
      </c>
      <c r="N129" s="31" t="str">
        <f>IFERROR([1]!IntrinioBankFinancials(rssd_id,$R$2,N$6,N$5,$B129),"")</f>
        <v/>
      </c>
      <c r="O129" s="31" t="str">
        <f>IFERROR([1]!IntrinioBankFinancials(rssd_id,$R$2,O$6,O$5,$B129),"")</f>
        <v/>
      </c>
    </row>
    <row r="130" spans="1:15" ht="13.5" customHeight="1" x14ac:dyDescent="0.4">
      <c r="A130" s="34" t="s">
        <v>410</v>
      </c>
      <c r="B130" s="23" t="s">
        <v>467</v>
      </c>
      <c r="C130" s="31" t="str">
        <f>IFERROR([1]!IntrinioBankFinancials(rssd_id,$R$2,C$6,C$5,$B130),"")</f>
        <v/>
      </c>
      <c r="D130" s="31" t="str">
        <f>IFERROR([1]!IntrinioBankFinancials(rssd_id,$R$2,D$6,D$5,$B130),"")</f>
        <v/>
      </c>
      <c r="E130" s="31" t="str">
        <f>IFERROR([1]!IntrinioBankFinancials(rssd_id,$R$2,E$6,E$5,$B130),"")</f>
        <v/>
      </c>
      <c r="F130" s="31" t="str">
        <f>IFERROR([1]!IntrinioBankFinancials(rssd_id,$R$2,F$6,F$5,$B130),"")</f>
        <v/>
      </c>
      <c r="G130" s="31" t="str">
        <f>IFERROR([1]!IntrinioBankFinancials(rssd_id,$R$2,G$6,G$5,$B130),"")</f>
        <v/>
      </c>
      <c r="H130" s="31" t="str">
        <f>IFERROR([1]!IntrinioBankFinancials(rssd_id,$R$2,H$6,H$5,$B130),"")</f>
        <v/>
      </c>
      <c r="I130" s="31" t="str">
        <f>IFERROR([1]!IntrinioBankFinancials(rssd_id,$R$2,I$6,I$5,$B130),"")</f>
        <v/>
      </c>
      <c r="J130" s="31" t="str">
        <f>IFERROR([1]!IntrinioBankFinancials(rssd_id,$R$2,J$6,J$5,$B130),"")</f>
        <v/>
      </c>
      <c r="K130" s="31" t="str">
        <f>IFERROR([1]!IntrinioBankFinancials(rssd_id,$R$2,K$6,K$5,$B130),"")</f>
        <v/>
      </c>
      <c r="L130" s="31" t="str">
        <f>IFERROR([1]!IntrinioBankFinancials(rssd_id,$R$2,L$6,L$5,$B130),"")</f>
        <v/>
      </c>
      <c r="M130" s="31" t="str">
        <f>IFERROR([1]!IntrinioBankFinancials(rssd_id,$R$2,M$6,M$5,$B130),"")</f>
        <v/>
      </c>
      <c r="N130" s="31" t="str">
        <f>IFERROR([1]!IntrinioBankFinancials(rssd_id,$R$2,N$6,N$5,$B130),"")</f>
        <v/>
      </c>
      <c r="O130" s="31" t="str">
        <f>IFERROR([1]!IntrinioBankFinancials(rssd_id,$R$2,O$6,O$5,$B130),"")</f>
        <v/>
      </c>
    </row>
    <row r="131" spans="1:15" ht="13.5" customHeight="1" x14ac:dyDescent="0.4">
      <c r="A131" s="34" t="s">
        <v>412</v>
      </c>
      <c r="B131" s="23" t="s">
        <v>468</v>
      </c>
      <c r="C131" s="31" t="str">
        <f>IFERROR([1]!IntrinioBankFinancials(rssd_id,$R$2,C$6,C$5,$B131),"")</f>
        <v/>
      </c>
      <c r="D131" s="31" t="str">
        <f>IFERROR([1]!IntrinioBankFinancials(rssd_id,$R$2,D$6,D$5,$B131),"")</f>
        <v/>
      </c>
      <c r="E131" s="31" t="str">
        <f>IFERROR([1]!IntrinioBankFinancials(rssd_id,$R$2,E$6,E$5,$B131),"")</f>
        <v/>
      </c>
      <c r="F131" s="31" t="str">
        <f>IFERROR([1]!IntrinioBankFinancials(rssd_id,$R$2,F$6,F$5,$B131),"")</f>
        <v/>
      </c>
      <c r="G131" s="31" t="str">
        <f>IFERROR([1]!IntrinioBankFinancials(rssd_id,$R$2,G$6,G$5,$B131),"")</f>
        <v/>
      </c>
      <c r="H131" s="31" t="str">
        <f>IFERROR([1]!IntrinioBankFinancials(rssd_id,$R$2,H$6,H$5,$B131),"")</f>
        <v/>
      </c>
      <c r="I131" s="31" t="str">
        <f>IFERROR([1]!IntrinioBankFinancials(rssd_id,$R$2,I$6,I$5,$B131),"")</f>
        <v/>
      </c>
      <c r="J131" s="31" t="str">
        <f>IFERROR([1]!IntrinioBankFinancials(rssd_id,$R$2,J$6,J$5,$B131),"")</f>
        <v/>
      </c>
      <c r="K131" s="31" t="str">
        <f>IFERROR([1]!IntrinioBankFinancials(rssd_id,$R$2,K$6,K$5,$B131),"")</f>
        <v/>
      </c>
      <c r="L131" s="31" t="str">
        <f>IFERROR([1]!IntrinioBankFinancials(rssd_id,$R$2,L$6,L$5,$B131),"")</f>
        <v/>
      </c>
      <c r="M131" s="31" t="str">
        <f>IFERROR([1]!IntrinioBankFinancials(rssd_id,$R$2,M$6,M$5,$B131),"")</f>
        <v/>
      </c>
      <c r="N131" s="31" t="str">
        <f>IFERROR([1]!IntrinioBankFinancials(rssd_id,$R$2,N$6,N$5,$B131),"")</f>
        <v/>
      </c>
      <c r="O131" s="31" t="str">
        <f>IFERROR([1]!IntrinioBankFinancials(rssd_id,$R$2,O$6,O$5,$B131),"")</f>
        <v/>
      </c>
    </row>
    <row r="132" spans="1:15" s="22" customFormat="1" ht="13.5" customHeight="1" x14ac:dyDescent="0.4">
      <c r="A132" s="33"/>
      <c r="B132" s="20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 s="22" customFormat="1" ht="13.5" customHeight="1" x14ac:dyDescent="0.4">
      <c r="A133" s="33" t="s">
        <v>506</v>
      </c>
      <c r="B133" s="20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</row>
    <row r="134" spans="1:15" ht="13.5" customHeight="1" x14ac:dyDescent="0.4">
      <c r="A134" s="34" t="s">
        <v>469</v>
      </c>
      <c r="B134" s="23" t="s">
        <v>470</v>
      </c>
      <c r="C134" s="31" t="str">
        <f>IFERROR([1]!IntrinioBankFinancials(rssd_id,$R$2,C$6,C$5,$B134),"")</f>
        <v/>
      </c>
      <c r="D134" s="31" t="str">
        <f>IFERROR([1]!IntrinioBankFinancials(rssd_id,$R$2,D$6,D$5,$B134),"")</f>
        <v/>
      </c>
      <c r="E134" s="31" t="str">
        <f>IFERROR([1]!IntrinioBankFinancials(rssd_id,$R$2,E$6,E$5,$B134),"")</f>
        <v/>
      </c>
      <c r="F134" s="31" t="str">
        <f>IFERROR([1]!IntrinioBankFinancials(rssd_id,$R$2,F$6,F$5,$B134),"")</f>
        <v/>
      </c>
      <c r="G134" s="31" t="str">
        <f>IFERROR([1]!IntrinioBankFinancials(rssd_id,$R$2,G$6,G$5,$B134),"")</f>
        <v/>
      </c>
      <c r="H134" s="31" t="str">
        <f>IFERROR([1]!IntrinioBankFinancials(rssd_id,$R$2,H$6,H$5,$B134),"")</f>
        <v/>
      </c>
      <c r="I134" s="31" t="str">
        <f>IFERROR([1]!IntrinioBankFinancials(rssd_id,$R$2,I$6,I$5,$B134),"")</f>
        <v/>
      </c>
      <c r="J134" s="31" t="str">
        <f>IFERROR([1]!IntrinioBankFinancials(rssd_id,$R$2,J$6,J$5,$B134),"")</f>
        <v/>
      </c>
      <c r="K134" s="31" t="str">
        <f>IFERROR([1]!IntrinioBankFinancials(rssd_id,$R$2,K$6,K$5,$B134),"")</f>
        <v/>
      </c>
      <c r="L134" s="31" t="str">
        <f>IFERROR([1]!IntrinioBankFinancials(rssd_id,$R$2,L$6,L$5,$B134),"")</f>
        <v/>
      </c>
      <c r="M134" s="31" t="str">
        <f>IFERROR([1]!IntrinioBankFinancials(rssd_id,$R$2,M$6,M$5,$B134),"")</f>
        <v/>
      </c>
      <c r="N134" s="31" t="str">
        <f>IFERROR([1]!IntrinioBankFinancials(rssd_id,$R$2,N$6,N$5,$B134),"")</f>
        <v/>
      </c>
      <c r="O134" s="31" t="str">
        <f>IFERROR([1]!IntrinioBankFinancials(rssd_id,$R$2,O$6,O$5,$B134),"")</f>
        <v/>
      </c>
    </row>
    <row r="135" spans="1:15" ht="13.5" customHeight="1" x14ac:dyDescent="0.4">
      <c r="A135" s="34" t="s">
        <v>471</v>
      </c>
      <c r="B135" s="23" t="s">
        <v>472</v>
      </c>
      <c r="C135" s="31" t="str">
        <f>IFERROR([1]!IntrinioBankFinancials(rssd_id,$R$2,C$6,C$5,$B135),"")</f>
        <v/>
      </c>
      <c r="D135" s="31" t="str">
        <f>IFERROR([1]!IntrinioBankFinancials(rssd_id,$R$2,D$6,D$5,$B135),"")</f>
        <v/>
      </c>
      <c r="E135" s="31" t="str">
        <f>IFERROR([1]!IntrinioBankFinancials(rssd_id,$R$2,E$6,E$5,$B135),"")</f>
        <v/>
      </c>
      <c r="F135" s="31" t="str">
        <f>IFERROR([1]!IntrinioBankFinancials(rssd_id,$R$2,F$6,F$5,$B135),"")</f>
        <v/>
      </c>
      <c r="G135" s="31" t="str">
        <f>IFERROR([1]!IntrinioBankFinancials(rssd_id,$R$2,G$6,G$5,$B135),"")</f>
        <v/>
      </c>
      <c r="H135" s="31" t="str">
        <f>IFERROR([1]!IntrinioBankFinancials(rssd_id,$R$2,H$6,H$5,$B135),"")</f>
        <v/>
      </c>
      <c r="I135" s="31" t="str">
        <f>IFERROR([1]!IntrinioBankFinancials(rssd_id,$R$2,I$6,I$5,$B135),"")</f>
        <v/>
      </c>
      <c r="J135" s="31" t="str">
        <f>IFERROR([1]!IntrinioBankFinancials(rssd_id,$R$2,J$6,J$5,$B135),"")</f>
        <v/>
      </c>
      <c r="K135" s="31" t="str">
        <f>IFERROR([1]!IntrinioBankFinancials(rssd_id,$R$2,K$6,K$5,$B135),"")</f>
        <v/>
      </c>
      <c r="L135" s="31" t="str">
        <f>IFERROR([1]!IntrinioBankFinancials(rssd_id,$R$2,L$6,L$5,$B135),"")</f>
        <v/>
      </c>
      <c r="M135" s="31" t="str">
        <f>IFERROR([1]!IntrinioBankFinancials(rssd_id,$R$2,M$6,M$5,$B135),"")</f>
        <v/>
      </c>
      <c r="N135" s="31" t="str">
        <f>IFERROR([1]!IntrinioBankFinancials(rssd_id,$R$2,N$6,N$5,$B135),"")</f>
        <v/>
      </c>
      <c r="O135" s="31" t="str">
        <f>IFERROR([1]!IntrinioBankFinancials(rssd_id,$R$2,O$6,O$5,$B135),"")</f>
        <v/>
      </c>
    </row>
    <row r="136" spans="1:15" s="22" customFormat="1" ht="13.5" customHeight="1" x14ac:dyDescent="0.4">
      <c r="A136" s="33"/>
      <c r="B136" s="20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</row>
    <row r="137" spans="1:15" s="22" customFormat="1" ht="13.5" customHeight="1" x14ac:dyDescent="0.4">
      <c r="A137" s="33" t="s">
        <v>511</v>
      </c>
      <c r="B137" s="20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</row>
    <row r="138" spans="1:15" ht="13.5" customHeight="1" x14ac:dyDescent="0.4">
      <c r="A138" s="34" t="s">
        <v>473</v>
      </c>
      <c r="B138" s="23" t="s">
        <v>474</v>
      </c>
      <c r="C138" s="31" t="str">
        <f>IFERROR([1]!IntrinioBankFinancials(rssd_id,$R$2,C$6,C$5,$B138),"")</f>
        <v/>
      </c>
      <c r="D138" s="31" t="str">
        <f>IFERROR([1]!IntrinioBankFinancials(rssd_id,$R$2,D$6,D$5,$B138),"")</f>
        <v/>
      </c>
      <c r="E138" s="31" t="str">
        <f>IFERROR([1]!IntrinioBankFinancials(rssd_id,$R$2,E$6,E$5,$B138),"")</f>
        <v/>
      </c>
      <c r="F138" s="31" t="str">
        <f>IFERROR([1]!IntrinioBankFinancials(rssd_id,$R$2,F$6,F$5,$B138),"")</f>
        <v/>
      </c>
      <c r="G138" s="31" t="str">
        <f>IFERROR([1]!IntrinioBankFinancials(rssd_id,$R$2,G$6,G$5,$B138),"")</f>
        <v/>
      </c>
      <c r="H138" s="31" t="str">
        <f>IFERROR([1]!IntrinioBankFinancials(rssd_id,$R$2,H$6,H$5,$B138),"")</f>
        <v/>
      </c>
      <c r="I138" s="31" t="str">
        <f>IFERROR([1]!IntrinioBankFinancials(rssd_id,$R$2,I$6,I$5,$B138),"")</f>
        <v/>
      </c>
      <c r="J138" s="31" t="str">
        <f>IFERROR([1]!IntrinioBankFinancials(rssd_id,$R$2,J$6,J$5,$B138),"")</f>
        <v/>
      </c>
      <c r="K138" s="31" t="str">
        <f>IFERROR([1]!IntrinioBankFinancials(rssd_id,$R$2,K$6,K$5,$B138),"")</f>
        <v/>
      </c>
      <c r="L138" s="31" t="str">
        <f>IFERROR([1]!IntrinioBankFinancials(rssd_id,$R$2,L$6,L$5,$B138),"")</f>
        <v/>
      </c>
      <c r="M138" s="31" t="str">
        <f>IFERROR([1]!IntrinioBankFinancials(rssd_id,$R$2,M$6,M$5,$B138),"")</f>
        <v/>
      </c>
      <c r="N138" s="31" t="str">
        <f>IFERROR([1]!IntrinioBankFinancials(rssd_id,$R$2,N$6,N$5,$B138),"")</f>
        <v/>
      </c>
      <c r="O138" s="31" t="str">
        <f>IFERROR([1]!IntrinioBankFinancials(rssd_id,$R$2,O$6,O$5,$B138),"")</f>
        <v/>
      </c>
    </row>
    <row r="139" spans="1:15" ht="13.5" customHeight="1" x14ac:dyDescent="0.4">
      <c r="A139" s="34" t="s">
        <v>475</v>
      </c>
      <c r="B139" s="23" t="s">
        <v>476</v>
      </c>
      <c r="C139" s="31" t="str">
        <f>IFERROR([1]!IntrinioBankFinancials(rssd_id,$R$2,C$6,C$5,$B139),"")</f>
        <v/>
      </c>
      <c r="D139" s="31" t="str">
        <f>IFERROR([1]!IntrinioBankFinancials(rssd_id,$R$2,D$6,D$5,$B139),"")</f>
        <v/>
      </c>
      <c r="E139" s="31" t="str">
        <f>IFERROR([1]!IntrinioBankFinancials(rssd_id,$R$2,E$6,E$5,$B139),"")</f>
        <v/>
      </c>
      <c r="F139" s="31" t="str">
        <f>IFERROR([1]!IntrinioBankFinancials(rssd_id,$R$2,F$6,F$5,$B139),"")</f>
        <v/>
      </c>
      <c r="G139" s="31" t="str">
        <f>IFERROR([1]!IntrinioBankFinancials(rssd_id,$R$2,G$6,G$5,$B139),"")</f>
        <v/>
      </c>
      <c r="H139" s="31" t="str">
        <f>IFERROR([1]!IntrinioBankFinancials(rssd_id,$R$2,H$6,H$5,$B139),"")</f>
        <v/>
      </c>
      <c r="I139" s="31" t="str">
        <f>IFERROR([1]!IntrinioBankFinancials(rssd_id,$R$2,I$6,I$5,$B139),"")</f>
        <v/>
      </c>
      <c r="J139" s="31" t="str">
        <f>IFERROR([1]!IntrinioBankFinancials(rssd_id,$R$2,J$6,J$5,$B139),"")</f>
        <v/>
      </c>
      <c r="K139" s="31" t="str">
        <f>IFERROR([1]!IntrinioBankFinancials(rssd_id,$R$2,K$6,K$5,$B139),"")</f>
        <v/>
      </c>
      <c r="L139" s="31" t="str">
        <f>IFERROR([1]!IntrinioBankFinancials(rssd_id,$R$2,L$6,L$5,$B139),"")</f>
        <v/>
      </c>
      <c r="M139" s="31" t="str">
        <f>IFERROR([1]!IntrinioBankFinancials(rssd_id,$R$2,M$6,M$5,$B139),"")</f>
        <v/>
      </c>
      <c r="N139" s="31" t="str">
        <f>IFERROR([1]!IntrinioBankFinancials(rssd_id,$R$2,N$6,N$5,$B139),"")</f>
        <v/>
      </c>
      <c r="O139" s="31" t="str">
        <f>IFERROR([1]!IntrinioBankFinancials(rssd_id,$R$2,O$6,O$5,$B139),"")</f>
        <v/>
      </c>
    </row>
    <row r="140" spans="1:15" ht="13.5" customHeight="1" x14ac:dyDescent="0.4">
      <c r="A140" s="34" t="s">
        <v>477</v>
      </c>
      <c r="B140" s="23" t="s">
        <v>478</v>
      </c>
      <c r="C140" s="31" t="str">
        <f>IFERROR([1]!IntrinioBankFinancials(rssd_id,$R$2,C$6,C$5,$B140),"")</f>
        <v/>
      </c>
      <c r="D140" s="31" t="str">
        <f>IFERROR([1]!IntrinioBankFinancials(rssd_id,$R$2,D$6,D$5,$B140),"")</f>
        <v/>
      </c>
      <c r="E140" s="31" t="str">
        <f>IFERROR([1]!IntrinioBankFinancials(rssd_id,$R$2,E$6,E$5,$B140),"")</f>
        <v/>
      </c>
      <c r="F140" s="31" t="str">
        <f>IFERROR([1]!IntrinioBankFinancials(rssd_id,$R$2,F$6,F$5,$B140),"")</f>
        <v/>
      </c>
      <c r="G140" s="31" t="str">
        <f>IFERROR([1]!IntrinioBankFinancials(rssd_id,$R$2,G$6,G$5,$B140),"")</f>
        <v/>
      </c>
      <c r="H140" s="31" t="str">
        <f>IFERROR([1]!IntrinioBankFinancials(rssd_id,$R$2,H$6,H$5,$B140),"")</f>
        <v/>
      </c>
      <c r="I140" s="31" t="str">
        <f>IFERROR([1]!IntrinioBankFinancials(rssd_id,$R$2,I$6,I$5,$B140),"")</f>
        <v/>
      </c>
      <c r="J140" s="31" t="str">
        <f>IFERROR([1]!IntrinioBankFinancials(rssd_id,$R$2,J$6,J$5,$B140),"")</f>
        <v/>
      </c>
      <c r="K140" s="31" t="str">
        <f>IFERROR([1]!IntrinioBankFinancials(rssd_id,$R$2,K$6,K$5,$B140),"")</f>
        <v/>
      </c>
      <c r="L140" s="31" t="str">
        <f>IFERROR([1]!IntrinioBankFinancials(rssd_id,$R$2,L$6,L$5,$B140),"")</f>
        <v/>
      </c>
      <c r="M140" s="31" t="str">
        <f>IFERROR([1]!IntrinioBankFinancials(rssd_id,$R$2,M$6,M$5,$B140),"")</f>
        <v/>
      </c>
      <c r="N140" s="31" t="str">
        <f>IFERROR([1]!IntrinioBankFinancials(rssd_id,$R$2,N$6,N$5,$B140),"")</f>
        <v/>
      </c>
      <c r="O140" s="31" t="str">
        <f>IFERROR([1]!IntrinioBankFinancials(rssd_id,$R$2,O$6,O$5,$B140),"")</f>
        <v/>
      </c>
    </row>
    <row r="141" spans="1:15" s="22" customFormat="1" ht="13.5" customHeight="1" x14ac:dyDescent="0.4">
      <c r="A141" s="33"/>
      <c r="B141" s="20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 s="22" customFormat="1" ht="13.5" customHeight="1" x14ac:dyDescent="0.4">
      <c r="A142" s="33" t="s">
        <v>510</v>
      </c>
      <c r="B142" s="20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</row>
    <row r="143" spans="1:15" ht="13.5" customHeight="1" x14ac:dyDescent="0.4">
      <c r="A143" s="34" t="s">
        <v>366</v>
      </c>
      <c r="B143" s="23" t="s">
        <v>479</v>
      </c>
      <c r="C143" s="31" t="str">
        <f>IFERROR([1]!IntrinioBankFinancials(rssd_id,$R$2,C$6,C$5,$B143),"")</f>
        <v/>
      </c>
      <c r="D143" s="31" t="str">
        <f>IFERROR([1]!IntrinioBankFinancials(rssd_id,$R$2,D$6,D$5,$B143),"")</f>
        <v/>
      </c>
      <c r="E143" s="31" t="str">
        <f>IFERROR([1]!IntrinioBankFinancials(rssd_id,$R$2,E$6,E$5,$B143),"")</f>
        <v/>
      </c>
      <c r="F143" s="31" t="str">
        <f>IFERROR([1]!IntrinioBankFinancials(rssd_id,$R$2,F$6,F$5,$B143),"")</f>
        <v/>
      </c>
      <c r="G143" s="31" t="str">
        <f>IFERROR([1]!IntrinioBankFinancials(rssd_id,$R$2,G$6,G$5,$B143),"")</f>
        <v/>
      </c>
      <c r="H143" s="31" t="str">
        <f>IFERROR([1]!IntrinioBankFinancials(rssd_id,$R$2,H$6,H$5,$B143),"")</f>
        <v/>
      </c>
      <c r="I143" s="31" t="str">
        <f>IFERROR([1]!IntrinioBankFinancials(rssd_id,$R$2,I$6,I$5,$B143),"")</f>
        <v/>
      </c>
      <c r="J143" s="31" t="str">
        <f>IFERROR([1]!IntrinioBankFinancials(rssd_id,$R$2,J$6,J$5,$B143),"")</f>
        <v/>
      </c>
      <c r="K143" s="31" t="str">
        <f>IFERROR([1]!IntrinioBankFinancials(rssd_id,$R$2,K$6,K$5,$B143),"")</f>
        <v/>
      </c>
      <c r="L143" s="31" t="str">
        <f>IFERROR([1]!IntrinioBankFinancials(rssd_id,$R$2,L$6,L$5,$B143),"")</f>
        <v/>
      </c>
      <c r="M143" s="31" t="str">
        <f>IFERROR([1]!IntrinioBankFinancials(rssd_id,$R$2,M$6,M$5,$B143),"")</f>
        <v/>
      </c>
      <c r="N143" s="31" t="str">
        <f>IFERROR([1]!IntrinioBankFinancials(rssd_id,$R$2,N$6,N$5,$B143),"")</f>
        <v/>
      </c>
      <c r="O143" s="31" t="str">
        <f>IFERROR([1]!IntrinioBankFinancials(rssd_id,$R$2,O$6,O$5,$B143),"")</f>
        <v/>
      </c>
    </row>
    <row r="144" spans="1:15" ht="13.5" customHeight="1" x14ac:dyDescent="0.4">
      <c r="A144" s="34" t="s">
        <v>480</v>
      </c>
      <c r="B144" s="23" t="s">
        <v>481</v>
      </c>
      <c r="C144" s="31" t="str">
        <f>IFERROR([1]!IntrinioBankFinancials(rssd_id,$R$2,C$6,C$5,$B144),"")</f>
        <v/>
      </c>
      <c r="D144" s="31" t="str">
        <f>IFERROR([1]!IntrinioBankFinancials(rssd_id,$R$2,D$6,D$5,$B144),"")</f>
        <v/>
      </c>
      <c r="E144" s="31" t="str">
        <f>IFERROR([1]!IntrinioBankFinancials(rssd_id,$R$2,E$6,E$5,$B144),"")</f>
        <v/>
      </c>
      <c r="F144" s="31" t="str">
        <f>IFERROR([1]!IntrinioBankFinancials(rssd_id,$R$2,F$6,F$5,$B144),"")</f>
        <v/>
      </c>
      <c r="G144" s="31" t="str">
        <f>IFERROR([1]!IntrinioBankFinancials(rssd_id,$R$2,G$6,G$5,$B144),"")</f>
        <v/>
      </c>
      <c r="H144" s="31" t="str">
        <f>IFERROR([1]!IntrinioBankFinancials(rssd_id,$R$2,H$6,H$5,$B144),"")</f>
        <v/>
      </c>
      <c r="I144" s="31" t="str">
        <f>IFERROR([1]!IntrinioBankFinancials(rssd_id,$R$2,I$6,I$5,$B144),"")</f>
        <v/>
      </c>
      <c r="J144" s="31" t="str">
        <f>IFERROR([1]!IntrinioBankFinancials(rssd_id,$R$2,J$6,J$5,$B144),"")</f>
        <v/>
      </c>
      <c r="K144" s="31" t="str">
        <f>IFERROR([1]!IntrinioBankFinancials(rssd_id,$R$2,K$6,K$5,$B144),"")</f>
        <v/>
      </c>
      <c r="L144" s="31" t="str">
        <f>IFERROR([1]!IntrinioBankFinancials(rssd_id,$R$2,L$6,L$5,$B144),"")</f>
        <v/>
      </c>
      <c r="M144" s="31" t="str">
        <f>IFERROR([1]!IntrinioBankFinancials(rssd_id,$R$2,M$6,M$5,$B144),"")</f>
        <v/>
      </c>
      <c r="N144" s="31" t="str">
        <f>IFERROR([1]!IntrinioBankFinancials(rssd_id,$R$2,N$6,N$5,$B144),"")</f>
        <v/>
      </c>
      <c r="O144" s="31" t="str">
        <f>IFERROR([1]!IntrinioBankFinancials(rssd_id,$R$2,O$6,O$5,$B144),"")</f>
        <v/>
      </c>
    </row>
    <row r="145" spans="1:15" ht="13.5" customHeight="1" x14ac:dyDescent="0.4">
      <c r="A145" s="34" t="s">
        <v>482</v>
      </c>
      <c r="B145" s="23" t="s">
        <v>483</v>
      </c>
      <c r="C145" s="31" t="str">
        <f>IFERROR([1]!IntrinioBankFinancials(rssd_id,$R$2,C$6,C$5,$B145),"")</f>
        <v/>
      </c>
      <c r="D145" s="31" t="str">
        <f>IFERROR([1]!IntrinioBankFinancials(rssd_id,$R$2,D$6,D$5,$B145),"")</f>
        <v/>
      </c>
      <c r="E145" s="31" t="str">
        <f>IFERROR([1]!IntrinioBankFinancials(rssd_id,$R$2,E$6,E$5,$B145),"")</f>
        <v/>
      </c>
      <c r="F145" s="31" t="str">
        <f>IFERROR([1]!IntrinioBankFinancials(rssd_id,$R$2,F$6,F$5,$B145),"")</f>
        <v/>
      </c>
      <c r="G145" s="31" t="str">
        <f>IFERROR([1]!IntrinioBankFinancials(rssd_id,$R$2,G$6,G$5,$B145),"")</f>
        <v/>
      </c>
      <c r="H145" s="31" t="str">
        <f>IFERROR([1]!IntrinioBankFinancials(rssd_id,$R$2,H$6,H$5,$B145),"")</f>
        <v/>
      </c>
      <c r="I145" s="31" t="str">
        <f>IFERROR([1]!IntrinioBankFinancials(rssd_id,$R$2,I$6,I$5,$B145),"")</f>
        <v/>
      </c>
      <c r="J145" s="31" t="str">
        <f>IFERROR([1]!IntrinioBankFinancials(rssd_id,$R$2,J$6,J$5,$B145),"")</f>
        <v/>
      </c>
      <c r="K145" s="31" t="str">
        <f>IFERROR([1]!IntrinioBankFinancials(rssd_id,$R$2,K$6,K$5,$B145),"")</f>
        <v/>
      </c>
      <c r="L145" s="31" t="str">
        <f>IFERROR([1]!IntrinioBankFinancials(rssd_id,$R$2,L$6,L$5,$B145),"")</f>
        <v/>
      </c>
      <c r="M145" s="31" t="str">
        <f>IFERROR([1]!IntrinioBankFinancials(rssd_id,$R$2,M$6,M$5,$B145),"")</f>
        <v/>
      </c>
      <c r="N145" s="31" t="str">
        <f>IFERROR([1]!IntrinioBankFinancials(rssd_id,$R$2,N$6,N$5,$B145),"")</f>
        <v/>
      </c>
      <c r="O145" s="31" t="str">
        <f>IFERROR([1]!IntrinioBankFinancials(rssd_id,$R$2,O$6,O$5,$B145),"")</f>
        <v/>
      </c>
    </row>
    <row r="146" spans="1:15" ht="13.5" customHeight="1" x14ac:dyDescent="0.4">
      <c r="A146" s="34" t="s">
        <v>443</v>
      </c>
      <c r="B146" s="23" t="s">
        <v>484</v>
      </c>
      <c r="C146" s="31" t="str">
        <f>IFERROR([1]!IntrinioBankFinancials(rssd_id,$R$2,C$6,C$5,$B146),"")</f>
        <v/>
      </c>
      <c r="D146" s="31" t="str">
        <f>IFERROR([1]!IntrinioBankFinancials(rssd_id,$R$2,D$6,D$5,$B146),"")</f>
        <v/>
      </c>
      <c r="E146" s="31" t="str">
        <f>IFERROR([1]!IntrinioBankFinancials(rssd_id,$R$2,E$6,E$5,$B146),"")</f>
        <v/>
      </c>
      <c r="F146" s="31" t="str">
        <f>IFERROR([1]!IntrinioBankFinancials(rssd_id,$R$2,F$6,F$5,$B146),"")</f>
        <v/>
      </c>
      <c r="G146" s="31" t="str">
        <f>IFERROR([1]!IntrinioBankFinancials(rssd_id,$R$2,G$6,G$5,$B146),"")</f>
        <v/>
      </c>
      <c r="H146" s="31" t="str">
        <f>IFERROR([1]!IntrinioBankFinancials(rssd_id,$R$2,H$6,H$5,$B146),"")</f>
        <v/>
      </c>
      <c r="I146" s="31" t="str">
        <f>IFERROR([1]!IntrinioBankFinancials(rssd_id,$R$2,I$6,I$5,$B146),"")</f>
        <v/>
      </c>
      <c r="J146" s="31" t="str">
        <f>IFERROR([1]!IntrinioBankFinancials(rssd_id,$R$2,J$6,J$5,$B146),"")</f>
        <v/>
      </c>
      <c r="K146" s="31" t="str">
        <f>IFERROR([1]!IntrinioBankFinancials(rssd_id,$R$2,K$6,K$5,$B146),"")</f>
        <v/>
      </c>
      <c r="L146" s="31" t="str">
        <f>IFERROR([1]!IntrinioBankFinancials(rssd_id,$R$2,L$6,L$5,$B146),"")</f>
        <v/>
      </c>
      <c r="M146" s="31" t="str">
        <f>IFERROR([1]!IntrinioBankFinancials(rssd_id,$R$2,M$6,M$5,$B146),"")</f>
        <v/>
      </c>
      <c r="N146" s="31" t="str">
        <f>IFERROR([1]!IntrinioBankFinancials(rssd_id,$R$2,N$6,N$5,$B146),"")</f>
        <v/>
      </c>
      <c r="O146" s="31" t="str">
        <f>IFERROR([1]!IntrinioBankFinancials(rssd_id,$R$2,O$6,O$5,$B146),"")</f>
        <v/>
      </c>
    </row>
    <row r="147" spans="1:15" ht="13.5" customHeight="1" x14ac:dyDescent="0.4">
      <c r="A147" s="34" t="s">
        <v>445</v>
      </c>
      <c r="B147" s="23" t="s">
        <v>485</v>
      </c>
      <c r="C147" s="31" t="str">
        <f>IFERROR([1]!IntrinioBankFinancials(rssd_id,$R$2,C$6,C$5,$B147),"")</f>
        <v/>
      </c>
      <c r="D147" s="31" t="str">
        <f>IFERROR([1]!IntrinioBankFinancials(rssd_id,$R$2,D$6,D$5,$B147),"")</f>
        <v/>
      </c>
      <c r="E147" s="31" t="str">
        <f>IFERROR([1]!IntrinioBankFinancials(rssd_id,$R$2,E$6,E$5,$B147),"")</f>
        <v/>
      </c>
      <c r="F147" s="31" t="str">
        <f>IFERROR([1]!IntrinioBankFinancials(rssd_id,$R$2,F$6,F$5,$B147),"")</f>
        <v/>
      </c>
      <c r="G147" s="31" t="str">
        <f>IFERROR([1]!IntrinioBankFinancials(rssd_id,$R$2,G$6,G$5,$B147),"")</f>
        <v/>
      </c>
      <c r="H147" s="31" t="str">
        <f>IFERROR([1]!IntrinioBankFinancials(rssd_id,$R$2,H$6,H$5,$B147),"")</f>
        <v/>
      </c>
      <c r="I147" s="31" t="str">
        <f>IFERROR([1]!IntrinioBankFinancials(rssd_id,$R$2,I$6,I$5,$B147),"")</f>
        <v/>
      </c>
      <c r="J147" s="31" t="str">
        <f>IFERROR([1]!IntrinioBankFinancials(rssd_id,$R$2,J$6,J$5,$B147),"")</f>
        <v/>
      </c>
      <c r="K147" s="31" t="str">
        <f>IFERROR([1]!IntrinioBankFinancials(rssd_id,$R$2,K$6,K$5,$B147),"")</f>
        <v/>
      </c>
      <c r="L147" s="31" t="str">
        <f>IFERROR([1]!IntrinioBankFinancials(rssd_id,$R$2,L$6,L$5,$B147),"")</f>
        <v/>
      </c>
      <c r="M147" s="31" t="str">
        <f>IFERROR([1]!IntrinioBankFinancials(rssd_id,$R$2,M$6,M$5,$B147),"")</f>
        <v/>
      </c>
      <c r="N147" s="31" t="str">
        <f>IFERROR([1]!IntrinioBankFinancials(rssd_id,$R$2,N$6,N$5,$B147),"")</f>
        <v/>
      </c>
      <c r="O147" s="31" t="str">
        <f>IFERROR([1]!IntrinioBankFinancials(rssd_id,$R$2,O$6,O$5,$B147),"")</f>
        <v/>
      </c>
    </row>
    <row r="148" spans="1:15" ht="13.5" customHeight="1" x14ac:dyDescent="0.4">
      <c r="A148" s="34" t="s">
        <v>486</v>
      </c>
      <c r="B148" s="23" t="s">
        <v>487</v>
      </c>
      <c r="C148" s="31" t="str">
        <f>IFERROR([1]!IntrinioBankFinancials(rssd_id,$R$2,C$6,C$5,$B148),"")</f>
        <v/>
      </c>
      <c r="D148" s="31" t="str">
        <f>IFERROR([1]!IntrinioBankFinancials(rssd_id,$R$2,D$6,D$5,$B148),"")</f>
        <v/>
      </c>
      <c r="E148" s="31" t="str">
        <f>IFERROR([1]!IntrinioBankFinancials(rssd_id,$R$2,E$6,E$5,$B148),"")</f>
        <v/>
      </c>
      <c r="F148" s="31" t="str">
        <f>IFERROR([1]!IntrinioBankFinancials(rssd_id,$R$2,F$6,F$5,$B148),"")</f>
        <v/>
      </c>
      <c r="G148" s="31" t="str">
        <f>IFERROR([1]!IntrinioBankFinancials(rssd_id,$R$2,G$6,G$5,$B148),"")</f>
        <v/>
      </c>
      <c r="H148" s="31" t="str">
        <f>IFERROR([1]!IntrinioBankFinancials(rssd_id,$R$2,H$6,H$5,$B148),"")</f>
        <v/>
      </c>
      <c r="I148" s="31" t="str">
        <f>IFERROR([1]!IntrinioBankFinancials(rssd_id,$R$2,I$6,I$5,$B148),"")</f>
        <v/>
      </c>
      <c r="J148" s="31" t="str">
        <f>IFERROR([1]!IntrinioBankFinancials(rssd_id,$R$2,J$6,J$5,$B148),"")</f>
        <v/>
      </c>
      <c r="K148" s="31" t="str">
        <f>IFERROR([1]!IntrinioBankFinancials(rssd_id,$R$2,K$6,K$5,$B148),"")</f>
        <v/>
      </c>
      <c r="L148" s="31" t="str">
        <f>IFERROR([1]!IntrinioBankFinancials(rssd_id,$R$2,L$6,L$5,$B148),"")</f>
        <v/>
      </c>
      <c r="M148" s="31" t="str">
        <f>IFERROR([1]!IntrinioBankFinancials(rssd_id,$R$2,M$6,M$5,$B148),"")</f>
        <v/>
      </c>
      <c r="N148" s="31" t="str">
        <f>IFERROR([1]!IntrinioBankFinancials(rssd_id,$R$2,N$6,N$5,$B148),"")</f>
        <v/>
      </c>
      <c r="O148" s="31" t="str">
        <f>IFERROR([1]!IntrinioBankFinancials(rssd_id,$R$2,O$6,O$5,$B148),"")</f>
        <v/>
      </c>
    </row>
    <row r="149" spans="1:15" ht="13.5" customHeight="1" x14ac:dyDescent="0.4">
      <c r="A149" s="34" t="s">
        <v>488</v>
      </c>
      <c r="B149" s="23" t="s">
        <v>489</v>
      </c>
      <c r="C149" s="31" t="str">
        <f>IFERROR([1]!IntrinioBankFinancials(rssd_id,$R$2,C$6,C$5,$B149),"")</f>
        <v/>
      </c>
      <c r="D149" s="31" t="str">
        <f>IFERROR([1]!IntrinioBankFinancials(rssd_id,$R$2,D$6,D$5,$B149),"")</f>
        <v/>
      </c>
      <c r="E149" s="31" t="str">
        <f>IFERROR([1]!IntrinioBankFinancials(rssd_id,$R$2,E$6,E$5,$B149),"")</f>
        <v/>
      </c>
      <c r="F149" s="31" t="str">
        <f>IFERROR([1]!IntrinioBankFinancials(rssd_id,$R$2,F$6,F$5,$B149),"")</f>
        <v/>
      </c>
      <c r="G149" s="31" t="str">
        <f>IFERROR([1]!IntrinioBankFinancials(rssd_id,$R$2,G$6,G$5,$B149),"")</f>
        <v/>
      </c>
      <c r="H149" s="31" t="str">
        <f>IFERROR([1]!IntrinioBankFinancials(rssd_id,$R$2,H$6,H$5,$B149),"")</f>
        <v/>
      </c>
      <c r="I149" s="31" t="str">
        <f>IFERROR([1]!IntrinioBankFinancials(rssd_id,$R$2,I$6,I$5,$B149),"")</f>
        <v/>
      </c>
      <c r="J149" s="31" t="str">
        <f>IFERROR([1]!IntrinioBankFinancials(rssd_id,$R$2,J$6,J$5,$B149),"")</f>
        <v/>
      </c>
      <c r="K149" s="31" t="str">
        <f>IFERROR([1]!IntrinioBankFinancials(rssd_id,$R$2,K$6,K$5,$B149),"")</f>
        <v/>
      </c>
      <c r="L149" s="31" t="str">
        <f>IFERROR([1]!IntrinioBankFinancials(rssd_id,$R$2,L$6,L$5,$B149),"")</f>
        <v/>
      </c>
      <c r="M149" s="31" t="str">
        <f>IFERROR([1]!IntrinioBankFinancials(rssd_id,$R$2,M$6,M$5,$B149),"")</f>
        <v/>
      </c>
      <c r="N149" s="31" t="str">
        <f>IFERROR([1]!IntrinioBankFinancials(rssd_id,$R$2,N$6,N$5,$B149),"")</f>
        <v/>
      </c>
      <c r="O149" s="31" t="str">
        <f>IFERROR([1]!IntrinioBankFinancials(rssd_id,$R$2,O$6,O$5,$B149),"")</f>
        <v/>
      </c>
    </row>
    <row r="150" spans="1:15" ht="13.5" customHeight="1" x14ac:dyDescent="0.4">
      <c r="A150" s="34" t="s">
        <v>490</v>
      </c>
      <c r="B150" s="23" t="s">
        <v>491</v>
      </c>
      <c r="C150" s="31" t="str">
        <f>IFERROR([1]!IntrinioBankFinancials(rssd_id,$R$2,C$6,C$5,$B150),"")</f>
        <v/>
      </c>
      <c r="D150" s="31" t="str">
        <f>IFERROR([1]!IntrinioBankFinancials(rssd_id,$R$2,D$6,D$5,$B150),"")</f>
        <v/>
      </c>
      <c r="E150" s="31" t="str">
        <f>IFERROR([1]!IntrinioBankFinancials(rssd_id,$R$2,E$6,E$5,$B150),"")</f>
        <v/>
      </c>
      <c r="F150" s="31" t="str">
        <f>IFERROR([1]!IntrinioBankFinancials(rssd_id,$R$2,F$6,F$5,$B150),"")</f>
        <v/>
      </c>
      <c r="G150" s="31" t="str">
        <f>IFERROR([1]!IntrinioBankFinancials(rssd_id,$R$2,G$6,G$5,$B150),"")</f>
        <v/>
      </c>
      <c r="H150" s="31" t="str">
        <f>IFERROR([1]!IntrinioBankFinancials(rssd_id,$R$2,H$6,H$5,$B150),"")</f>
        <v/>
      </c>
      <c r="I150" s="31" t="str">
        <f>IFERROR([1]!IntrinioBankFinancials(rssd_id,$R$2,I$6,I$5,$B150),"")</f>
        <v/>
      </c>
      <c r="J150" s="31" t="str">
        <f>IFERROR([1]!IntrinioBankFinancials(rssd_id,$R$2,J$6,J$5,$B150),"")</f>
        <v/>
      </c>
      <c r="K150" s="31" t="str">
        <f>IFERROR([1]!IntrinioBankFinancials(rssd_id,$R$2,K$6,K$5,$B150),"")</f>
        <v/>
      </c>
      <c r="L150" s="31" t="str">
        <f>IFERROR([1]!IntrinioBankFinancials(rssd_id,$R$2,L$6,L$5,$B150),"")</f>
        <v/>
      </c>
      <c r="M150" s="31" t="str">
        <f>IFERROR([1]!IntrinioBankFinancials(rssd_id,$R$2,M$6,M$5,$B150),"")</f>
        <v/>
      </c>
      <c r="N150" s="31" t="str">
        <f>IFERROR([1]!IntrinioBankFinancials(rssd_id,$R$2,N$6,N$5,$B150),"")</f>
        <v/>
      </c>
      <c r="O150" s="31" t="str">
        <f>IFERROR([1]!IntrinioBankFinancials(rssd_id,$R$2,O$6,O$5,$B150),"")</f>
        <v/>
      </c>
    </row>
    <row r="151" spans="1:15" ht="13.5" customHeight="1" x14ac:dyDescent="0.4">
      <c r="A151" s="34" t="s">
        <v>492</v>
      </c>
      <c r="B151" s="23" t="s">
        <v>493</v>
      </c>
      <c r="C151" s="31" t="str">
        <f>IFERROR([1]!IntrinioBankFinancials(rssd_id,$R$2,C$6,C$5,$B151),"")</f>
        <v/>
      </c>
      <c r="D151" s="31" t="str">
        <f>IFERROR([1]!IntrinioBankFinancials(rssd_id,$R$2,D$6,D$5,$B151),"")</f>
        <v/>
      </c>
      <c r="E151" s="31" t="str">
        <f>IFERROR([1]!IntrinioBankFinancials(rssd_id,$R$2,E$6,E$5,$B151),"")</f>
        <v/>
      </c>
      <c r="F151" s="31" t="str">
        <f>IFERROR([1]!IntrinioBankFinancials(rssd_id,$R$2,F$6,F$5,$B151),"")</f>
        <v/>
      </c>
      <c r="G151" s="31" t="str">
        <f>IFERROR([1]!IntrinioBankFinancials(rssd_id,$R$2,G$6,G$5,$B151),"")</f>
        <v/>
      </c>
      <c r="H151" s="31" t="str">
        <f>IFERROR([1]!IntrinioBankFinancials(rssd_id,$R$2,H$6,H$5,$B151),"")</f>
        <v/>
      </c>
      <c r="I151" s="31" t="str">
        <f>IFERROR([1]!IntrinioBankFinancials(rssd_id,$R$2,I$6,I$5,$B151),"")</f>
        <v/>
      </c>
      <c r="J151" s="31" t="str">
        <f>IFERROR([1]!IntrinioBankFinancials(rssd_id,$R$2,J$6,J$5,$B151),"")</f>
        <v/>
      </c>
      <c r="K151" s="31" t="str">
        <f>IFERROR([1]!IntrinioBankFinancials(rssd_id,$R$2,K$6,K$5,$B151),"")</f>
        <v/>
      </c>
      <c r="L151" s="31" t="str">
        <f>IFERROR([1]!IntrinioBankFinancials(rssd_id,$R$2,L$6,L$5,$B151),"")</f>
        <v/>
      </c>
      <c r="M151" s="31" t="str">
        <f>IFERROR([1]!IntrinioBankFinancials(rssd_id,$R$2,M$6,M$5,$B151),"")</f>
        <v/>
      </c>
      <c r="N151" s="31" t="str">
        <f>IFERROR([1]!IntrinioBankFinancials(rssd_id,$R$2,N$6,N$5,$B151),"")</f>
        <v/>
      </c>
      <c r="O151" s="31" t="str">
        <f>IFERROR([1]!IntrinioBankFinancials(rssd_id,$R$2,O$6,O$5,$B151),"")</f>
        <v/>
      </c>
    </row>
    <row r="152" spans="1:15" ht="13.5" customHeight="1" x14ac:dyDescent="0.4">
      <c r="A152" s="34" t="s">
        <v>494</v>
      </c>
      <c r="B152" s="23" t="s">
        <v>495</v>
      </c>
      <c r="C152" s="31" t="str">
        <f>IFERROR([1]!IntrinioBankFinancials(rssd_id,$R$2,C$6,C$5,$B152),"")</f>
        <v/>
      </c>
      <c r="D152" s="31" t="str">
        <f>IFERROR([1]!IntrinioBankFinancials(rssd_id,$R$2,D$6,D$5,$B152),"")</f>
        <v/>
      </c>
      <c r="E152" s="31" t="str">
        <f>IFERROR([1]!IntrinioBankFinancials(rssd_id,$R$2,E$6,E$5,$B152),"")</f>
        <v/>
      </c>
      <c r="F152" s="31" t="str">
        <f>IFERROR([1]!IntrinioBankFinancials(rssd_id,$R$2,F$6,F$5,$B152),"")</f>
        <v/>
      </c>
      <c r="G152" s="31" t="str">
        <f>IFERROR([1]!IntrinioBankFinancials(rssd_id,$R$2,G$6,G$5,$B152),"")</f>
        <v/>
      </c>
      <c r="H152" s="31" t="str">
        <f>IFERROR([1]!IntrinioBankFinancials(rssd_id,$R$2,H$6,H$5,$B152),"")</f>
        <v/>
      </c>
      <c r="I152" s="31" t="str">
        <f>IFERROR([1]!IntrinioBankFinancials(rssd_id,$R$2,I$6,I$5,$B152),"")</f>
        <v/>
      </c>
      <c r="J152" s="31" t="str">
        <f>IFERROR([1]!IntrinioBankFinancials(rssd_id,$R$2,J$6,J$5,$B152),"")</f>
        <v/>
      </c>
      <c r="K152" s="31" t="str">
        <f>IFERROR([1]!IntrinioBankFinancials(rssd_id,$R$2,K$6,K$5,$B152),"")</f>
        <v/>
      </c>
      <c r="L152" s="31" t="str">
        <f>IFERROR([1]!IntrinioBankFinancials(rssd_id,$R$2,L$6,L$5,$B152),"")</f>
        <v/>
      </c>
      <c r="M152" s="31" t="str">
        <f>IFERROR([1]!IntrinioBankFinancials(rssd_id,$R$2,M$6,M$5,$B152),"")</f>
        <v/>
      </c>
      <c r="N152" s="31" t="str">
        <f>IFERROR([1]!IntrinioBankFinancials(rssd_id,$R$2,N$6,N$5,$B152),"")</f>
        <v/>
      </c>
      <c r="O152" s="31" t="str">
        <f>IFERROR([1]!IntrinioBankFinancials(rssd_id,$R$2,O$6,O$5,$B152),"")</f>
        <v/>
      </c>
    </row>
    <row r="153" spans="1:15" s="22" customFormat="1" ht="13.5" customHeight="1" x14ac:dyDescent="0.4">
      <c r="A153" s="33"/>
      <c r="B153" s="20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 s="22" customFormat="1" ht="13.5" customHeight="1" x14ac:dyDescent="0.4">
      <c r="A154" s="33" t="s">
        <v>509</v>
      </c>
      <c r="B154" s="20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</row>
    <row r="155" spans="1:15" ht="13.5" customHeight="1" x14ac:dyDescent="0.4">
      <c r="A155" s="34" t="s">
        <v>496</v>
      </c>
      <c r="B155" s="23" t="s">
        <v>497</v>
      </c>
      <c r="C155" s="31" t="str">
        <f>IFERROR([1]!IntrinioBankFinancials(rssd_id,$R$2,C$6,C$5,$B155),"")</f>
        <v/>
      </c>
      <c r="D155" s="31" t="str">
        <f>IFERROR([1]!IntrinioBankFinancials(rssd_id,$R$2,D$6,D$5,$B155),"")</f>
        <v/>
      </c>
      <c r="E155" s="31" t="str">
        <f>IFERROR([1]!IntrinioBankFinancials(rssd_id,$R$2,E$6,E$5,$B155),"")</f>
        <v/>
      </c>
      <c r="F155" s="31" t="str">
        <f>IFERROR([1]!IntrinioBankFinancials(rssd_id,$R$2,F$6,F$5,$B155),"")</f>
        <v/>
      </c>
      <c r="G155" s="31" t="str">
        <f>IFERROR([1]!IntrinioBankFinancials(rssd_id,$R$2,G$6,G$5,$B155),"")</f>
        <v/>
      </c>
      <c r="H155" s="31" t="str">
        <f>IFERROR([1]!IntrinioBankFinancials(rssd_id,$R$2,H$6,H$5,$B155),"")</f>
        <v/>
      </c>
      <c r="I155" s="31" t="str">
        <f>IFERROR([1]!IntrinioBankFinancials(rssd_id,$R$2,I$6,I$5,$B155),"")</f>
        <v/>
      </c>
      <c r="J155" s="31" t="str">
        <f>IFERROR([1]!IntrinioBankFinancials(rssd_id,$R$2,J$6,J$5,$B155),"")</f>
        <v/>
      </c>
      <c r="K155" s="31" t="str">
        <f>IFERROR([1]!IntrinioBankFinancials(rssd_id,$R$2,K$6,K$5,$B155),"")</f>
        <v/>
      </c>
      <c r="L155" s="31" t="str">
        <f>IFERROR([1]!IntrinioBankFinancials(rssd_id,$R$2,L$6,L$5,$B155),"")</f>
        <v/>
      </c>
      <c r="M155" s="31" t="str">
        <f>IFERROR([1]!IntrinioBankFinancials(rssd_id,$R$2,M$6,M$5,$B155),"")</f>
        <v/>
      </c>
      <c r="N155" s="31" t="str">
        <f>IFERROR([1]!IntrinioBankFinancials(rssd_id,$R$2,N$6,N$5,$B155),"")</f>
        <v/>
      </c>
      <c r="O155" s="31" t="str">
        <f>IFERROR([1]!IntrinioBankFinancials(rssd_id,$R$2,O$6,O$5,$B155),"")</f>
        <v/>
      </c>
    </row>
    <row r="156" spans="1:15" ht="13.5" customHeight="1" x14ac:dyDescent="0.4">
      <c r="A156" s="34" t="s">
        <v>498</v>
      </c>
      <c r="B156" s="23" t="s">
        <v>499</v>
      </c>
      <c r="C156" s="31" t="str">
        <f>IFERROR([1]!IntrinioBankFinancials(rssd_id,$R$2,C$6,C$5,$B156),"")</f>
        <v/>
      </c>
      <c r="D156" s="31" t="str">
        <f>IFERROR([1]!IntrinioBankFinancials(rssd_id,$R$2,D$6,D$5,$B156),"")</f>
        <v/>
      </c>
      <c r="E156" s="31" t="str">
        <f>IFERROR([1]!IntrinioBankFinancials(rssd_id,$R$2,E$6,E$5,$B156),"")</f>
        <v/>
      </c>
      <c r="F156" s="31" t="str">
        <f>IFERROR([1]!IntrinioBankFinancials(rssd_id,$R$2,F$6,F$5,$B156),"")</f>
        <v/>
      </c>
      <c r="G156" s="31" t="str">
        <f>IFERROR([1]!IntrinioBankFinancials(rssd_id,$R$2,G$6,G$5,$B156),"")</f>
        <v/>
      </c>
      <c r="H156" s="31" t="str">
        <f>IFERROR([1]!IntrinioBankFinancials(rssd_id,$R$2,H$6,H$5,$B156),"")</f>
        <v/>
      </c>
      <c r="I156" s="31" t="str">
        <f>IFERROR([1]!IntrinioBankFinancials(rssd_id,$R$2,I$6,I$5,$B156),"")</f>
        <v/>
      </c>
      <c r="J156" s="31" t="str">
        <f>IFERROR([1]!IntrinioBankFinancials(rssd_id,$R$2,J$6,J$5,$B156),"")</f>
        <v/>
      </c>
      <c r="K156" s="31" t="str">
        <f>IFERROR([1]!IntrinioBankFinancials(rssd_id,$R$2,K$6,K$5,$B156),"")</f>
        <v/>
      </c>
      <c r="L156" s="31" t="str">
        <f>IFERROR([1]!IntrinioBankFinancials(rssd_id,$R$2,L$6,L$5,$B156),"")</f>
        <v/>
      </c>
      <c r="M156" s="31" t="str">
        <f>IFERROR([1]!IntrinioBankFinancials(rssd_id,$R$2,M$6,M$5,$B156),"")</f>
        <v/>
      </c>
      <c r="N156" s="31" t="str">
        <f>IFERROR([1]!IntrinioBankFinancials(rssd_id,$R$2,N$6,N$5,$B156),"")</f>
        <v/>
      </c>
      <c r="O156" s="31" t="str">
        <f>IFERROR([1]!IntrinioBankFinancials(rssd_id,$R$2,O$6,O$5,$B156),"")</f>
        <v/>
      </c>
    </row>
    <row r="157" spans="1:15" ht="13.5" customHeight="1" x14ac:dyDescent="0.4">
      <c r="A157" s="34" t="s">
        <v>500</v>
      </c>
      <c r="B157" s="23" t="s">
        <v>501</v>
      </c>
      <c r="C157" s="31" t="str">
        <f>IFERROR([1]!IntrinioBankFinancials(rssd_id,$R$2,C$6,C$5,$B157),"")</f>
        <v/>
      </c>
      <c r="D157" s="31" t="str">
        <f>IFERROR([1]!IntrinioBankFinancials(rssd_id,$R$2,D$6,D$5,$B157),"")</f>
        <v/>
      </c>
      <c r="E157" s="31" t="str">
        <f>IFERROR([1]!IntrinioBankFinancials(rssd_id,$R$2,E$6,E$5,$B157),"")</f>
        <v/>
      </c>
      <c r="F157" s="31" t="str">
        <f>IFERROR([1]!IntrinioBankFinancials(rssd_id,$R$2,F$6,F$5,$B157),"")</f>
        <v/>
      </c>
      <c r="G157" s="31" t="str">
        <f>IFERROR([1]!IntrinioBankFinancials(rssd_id,$R$2,G$6,G$5,$B157),"")</f>
        <v/>
      </c>
      <c r="H157" s="31" t="str">
        <f>IFERROR([1]!IntrinioBankFinancials(rssd_id,$R$2,H$6,H$5,$B157),"")</f>
        <v/>
      </c>
      <c r="I157" s="31" t="str">
        <f>IFERROR([1]!IntrinioBankFinancials(rssd_id,$R$2,I$6,I$5,$B157),"")</f>
        <v/>
      </c>
      <c r="J157" s="31" t="str">
        <f>IFERROR([1]!IntrinioBankFinancials(rssd_id,$R$2,J$6,J$5,$B157),"")</f>
        <v/>
      </c>
      <c r="K157" s="31" t="str">
        <f>IFERROR([1]!IntrinioBankFinancials(rssd_id,$R$2,K$6,K$5,$B157),"")</f>
        <v/>
      </c>
      <c r="L157" s="31" t="str">
        <f>IFERROR([1]!IntrinioBankFinancials(rssd_id,$R$2,L$6,L$5,$B157),"")</f>
        <v/>
      </c>
      <c r="M157" s="31" t="str">
        <f>IFERROR([1]!IntrinioBankFinancials(rssd_id,$R$2,M$6,M$5,$B157),"")</f>
        <v/>
      </c>
      <c r="N157" s="31" t="str">
        <f>IFERROR([1]!IntrinioBankFinancials(rssd_id,$R$2,N$6,N$5,$B157),"")</f>
        <v/>
      </c>
      <c r="O157" s="31" t="str">
        <f>IFERROR([1]!IntrinioBankFinancials(rssd_id,$R$2,O$6,O$5,$B157),"")</f>
        <v/>
      </c>
    </row>
    <row r="158" spans="1:15" ht="13.5" customHeight="1" x14ac:dyDescent="0.4">
      <c r="A158" s="34" t="s">
        <v>494</v>
      </c>
      <c r="B158" s="23" t="s">
        <v>502</v>
      </c>
      <c r="C158" s="31" t="str">
        <f>IFERROR([1]!IntrinioBankFinancials(rssd_id,$R$2,C$6,C$5,$B158),"")</f>
        <v/>
      </c>
      <c r="D158" s="31" t="str">
        <f>IFERROR([1]!IntrinioBankFinancials(rssd_id,$R$2,D$6,D$5,$B158),"")</f>
        <v/>
      </c>
      <c r="E158" s="31" t="str">
        <f>IFERROR([1]!IntrinioBankFinancials(rssd_id,$R$2,E$6,E$5,$B158),"")</f>
        <v/>
      </c>
      <c r="F158" s="31" t="str">
        <f>IFERROR([1]!IntrinioBankFinancials(rssd_id,$R$2,F$6,F$5,$B158),"")</f>
        <v/>
      </c>
      <c r="G158" s="31" t="str">
        <f>IFERROR([1]!IntrinioBankFinancials(rssd_id,$R$2,G$6,G$5,$B158),"")</f>
        <v/>
      </c>
      <c r="H158" s="31" t="str">
        <f>IFERROR([1]!IntrinioBankFinancials(rssd_id,$R$2,H$6,H$5,$B158),"")</f>
        <v/>
      </c>
      <c r="I158" s="31" t="str">
        <f>IFERROR([1]!IntrinioBankFinancials(rssd_id,$R$2,I$6,I$5,$B158),"")</f>
        <v/>
      </c>
      <c r="J158" s="31" t="str">
        <f>IFERROR([1]!IntrinioBankFinancials(rssd_id,$R$2,J$6,J$5,$B158),"")</f>
        <v/>
      </c>
      <c r="K158" s="31" t="str">
        <f>IFERROR([1]!IntrinioBankFinancials(rssd_id,$R$2,K$6,K$5,$B158),"")</f>
        <v/>
      </c>
      <c r="L158" s="31" t="str">
        <f>IFERROR([1]!IntrinioBankFinancials(rssd_id,$R$2,L$6,L$5,$B158),"")</f>
        <v/>
      </c>
      <c r="M158" s="31" t="str">
        <f>IFERROR([1]!IntrinioBankFinancials(rssd_id,$R$2,M$6,M$5,$B158),"")</f>
        <v/>
      </c>
      <c r="N158" s="31" t="str">
        <f>IFERROR([1]!IntrinioBankFinancials(rssd_id,$R$2,N$6,N$5,$B158),"")</f>
        <v/>
      </c>
      <c r="O158" s="31" t="str">
        <f>IFERROR([1]!IntrinioBankFinancials(rssd_id,$R$2,O$6,O$5,$B158),"")</f>
        <v/>
      </c>
    </row>
  </sheetData>
  <pageMargins left="0.7" right="0.7" top="0.75" bottom="0.75" header="0.3" footer="0.3"/>
  <pageSetup scale="44" fitToHeight="2" orientation="landscape" r:id="rId1"/>
  <headerFooter>
    <oddFooter>&amp;L&amp;G&amp;R&amp;P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4"/>
    <pageSetUpPr fitToPage="1"/>
  </sheetPr>
  <dimension ref="A1:R185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732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1194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726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364</v>
      </c>
      <c r="B9" s="23" t="s">
        <v>514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3.5" customHeight="1" x14ac:dyDescent="0.4">
      <c r="A10" s="34" t="s">
        <v>429</v>
      </c>
      <c r="B10" s="23" t="s">
        <v>515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3.5" customHeight="1" x14ac:dyDescent="0.4">
      <c r="A11" s="34" t="s">
        <v>368</v>
      </c>
      <c r="B11" s="23" t="s">
        <v>516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3.5" customHeight="1" x14ac:dyDescent="0.4">
      <c r="A12" s="34" t="s">
        <v>433</v>
      </c>
      <c r="B12" s="23" t="s">
        <v>517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3.5" customHeight="1" x14ac:dyDescent="0.4">
      <c r="A13" s="34" t="s">
        <v>372</v>
      </c>
      <c r="B13" s="23" t="s">
        <v>518</v>
      </c>
      <c r="C13" s="32" t="str">
        <f>IFERROR([1]!IntrinioBankFinancials(rssd_id,$R$2,C$6,C$5,$B13),"")</f>
        <v/>
      </c>
      <c r="D13" s="32" t="str">
        <f>IFERROR([1]!IntrinioBankFinancials(rssd_id,$R$2,D$6,D$5,$B13),"")</f>
        <v/>
      </c>
      <c r="E13" s="32" t="str">
        <f>IFERROR([1]!IntrinioBankFinancials(rssd_id,$R$2,E$6,E$5,$B13),"")</f>
        <v/>
      </c>
      <c r="F13" s="32" t="str">
        <f>IFERROR([1]!IntrinioBankFinancials(rssd_id,$R$2,F$6,F$5,$B13),"")</f>
        <v/>
      </c>
      <c r="G13" s="32" t="str">
        <f>IFERROR([1]!IntrinioBankFinancials(rssd_id,$R$2,G$6,G$5,$B13),"")</f>
        <v/>
      </c>
      <c r="H13" s="32" t="str">
        <f>IFERROR([1]!IntrinioBankFinancials(rssd_id,$R$2,H$6,H$5,$B13),"")</f>
        <v/>
      </c>
      <c r="I13" s="32" t="str">
        <f>IFERROR([1]!IntrinioBankFinancials(rssd_id,$R$2,I$6,I$5,$B13),"")</f>
        <v/>
      </c>
      <c r="J13" s="32" t="str">
        <f>IFERROR([1]!IntrinioBankFinancials(rssd_id,$R$2,J$6,J$5,$B13),"")</f>
        <v/>
      </c>
      <c r="K13" s="32" t="str">
        <f>IFERROR([1]!IntrinioBankFinancials(rssd_id,$R$2,K$6,K$5,$B13),"")</f>
        <v/>
      </c>
      <c r="L13" s="32" t="str">
        <f>IFERROR([1]!IntrinioBankFinancials(rssd_id,$R$2,L$6,L$5,$B13),"")</f>
        <v/>
      </c>
      <c r="M13" s="32" t="str">
        <f>IFERROR([1]!IntrinioBankFinancials(rssd_id,$R$2,M$6,M$5,$B13),"")</f>
        <v/>
      </c>
      <c r="N13" s="32" t="str">
        <f>IFERROR([1]!IntrinioBankFinancials(rssd_id,$R$2,N$6,N$5,$B13),"")</f>
        <v/>
      </c>
      <c r="O13" s="32" t="str">
        <f>IFERROR([1]!IntrinioBankFinancials(rssd_id,$R$2,O$6,O$5,$B13),"")</f>
        <v/>
      </c>
    </row>
    <row r="14" spans="1:18" s="22" customFormat="1" ht="13.5" customHeight="1" x14ac:dyDescent="0.4">
      <c r="A14" s="34" t="s">
        <v>437</v>
      </c>
      <c r="B14" s="23" t="s">
        <v>519</v>
      </c>
      <c r="C14" s="32" t="str">
        <f>IFERROR([1]!IntrinioBankFinancials(rssd_id,$R$2,C$6,C$5,$B14),"")</f>
        <v/>
      </c>
      <c r="D14" s="32" t="str">
        <f>IFERROR([1]!IntrinioBankFinancials(rssd_id,$R$2,D$6,D$5,$B14),"")</f>
        <v/>
      </c>
      <c r="E14" s="32" t="str">
        <f>IFERROR([1]!IntrinioBankFinancials(rssd_id,$R$2,E$6,E$5,$B14),"")</f>
        <v/>
      </c>
      <c r="F14" s="32" t="str">
        <f>IFERROR([1]!IntrinioBankFinancials(rssd_id,$R$2,F$6,F$5,$B14),"")</f>
        <v/>
      </c>
      <c r="G14" s="32" t="str">
        <f>IFERROR([1]!IntrinioBankFinancials(rssd_id,$R$2,G$6,G$5,$B14),"")</f>
        <v/>
      </c>
      <c r="H14" s="32" t="str">
        <f>IFERROR([1]!IntrinioBankFinancials(rssd_id,$R$2,H$6,H$5,$B14),"")</f>
        <v/>
      </c>
      <c r="I14" s="32" t="str">
        <f>IFERROR([1]!IntrinioBankFinancials(rssd_id,$R$2,I$6,I$5,$B14),"")</f>
        <v/>
      </c>
      <c r="J14" s="32" t="str">
        <f>IFERROR([1]!IntrinioBankFinancials(rssd_id,$R$2,J$6,J$5,$B14),"")</f>
        <v/>
      </c>
      <c r="K14" s="32" t="str">
        <f>IFERROR([1]!IntrinioBankFinancials(rssd_id,$R$2,K$6,K$5,$B14),"")</f>
        <v/>
      </c>
      <c r="L14" s="32" t="str">
        <f>IFERROR([1]!IntrinioBankFinancials(rssd_id,$R$2,L$6,L$5,$B14),"")</f>
        <v/>
      </c>
      <c r="M14" s="32" t="str">
        <f>IFERROR([1]!IntrinioBankFinancials(rssd_id,$R$2,M$6,M$5,$B14),"")</f>
        <v/>
      </c>
      <c r="N14" s="32" t="str">
        <f>IFERROR([1]!IntrinioBankFinancials(rssd_id,$R$2,N$6,N$5,$B14),"")</f>
        <v/>
      </c>
      <c r="O14" s="32" t="str">
        <f>IFERROR([1]!IntrinioBankFinancials(rssd_id,$R$2,O$6,O$5,$B14),"")</f>
        <v/>
      </c>
    </row>
    <row r="15" spans="1:18" s="22" customFormat="1" ht="13.5" customHeight="1" x14ac:dyDescent="0.4">
      <c r="A15" s="34" t="s">
        <v>376</v>
      </c>
      <c r="B15" s="23" t="s">
        <v>520</v>
      </c>
      <c r="C15" s="32" t="str">
        <f>IFERROR([1]!IntrinioBankFinancials(rssd_id,$R$2,C$6,C$5,$B15),"")</f>
        <v/>
      </c>
      <c r="D15" s="32" t="str">
        <f>IFERROR([1]!IntrinioBankFinancials(rssd_id,$R$2,D$6,D$5,$B15),"")</f>
        <v/>
      </c>
      <c r="E15" s="32" t="str">
        <f>IFERROR([1]!IntrinioBankFinancials(rssd_id,$R$2,E$6,E$5,$B15),"")</f>
        <v/>
      </c>
      <c r="F15" s="32" t="str">
        <f>IFERROR([1]!IntrinioBankFinancials(rssd_id,$R$2,F$6,F$5,$B15),"")</f>
        <v/>
      </c>
      <c r="G15" s="32" t="str">
        <f>IFERROR([1]!IntrinioBankFinancials(rssd_id,$R$2,G$6,G$5,$B15),"")</f>
        <v/>
      </c>
      <c r="H15" s="32" t="str">
        <f>IFERROR([1]!IntrinioBankFinancials(rssd_id,$R$2,H$6,H$5,$B15),"")</f>
        <v/>
      </c>
      <c r="I15" s="32" t="str">
        <f>IFERROR([1]!IntrinioBankFinancials(rssd_id,$R$2,I$6,I$5,$B15),"")</f>
        <v/>
      </c>
      <c r="J15" s="32" t="str">
        <f>IFERROR([1]!IntrinioBankFinancials(rssd_id,$R$2,J$6,J$5,$B15),"")</f>
        <v/>
      </c>
      <c r="K15" s="32" t="str">
        <f>IFERROR([1]!IntrinioBankFinancials(rssd_id,$R$2,K$6,K$5,$B15),"")</f>
        <v/>
      </c>
      <c r="L15" s="32" t="str">
        <f>IFERROR([1]!IntrinioBankFinancials(rssd_id,$R$2,L$6,L$5,$B15),"")</f>
        <v/>
      </c>
      <c r="M15" s="32" t="str">
        <f>IFERROR([1]!IntrinioBankFinancials(rssd_id,$R$2,M$6,M$5,$B15),"")</f>
        <v/>
      </c>
      <c r="N15" s="32" t="str">
        <f>IFERROR([1]!IntrinioBankFinancials(rssd_id,$R$2,N$6,N$5,$B15),"")</f>
        <v/>
      </c>
      <c r="O15" s="32" t="str">
        <f>IFERROR([1]!IntrinioBankFinancials(rssd_id,$R$2,O$6,O$5,$B15),"")</f>
        <v/>
      </c>
    </row>
    <row r="16" spans="1:18" s="22" customFormat="1" ht="13.5" customHeight="1" x14ac:dyDescent="0.4">
      <c r="A16" s="34" t="s">
        <v>440</v>
      </c>
      <c r="B16" s="23" t="s">
        <v>521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3.5" customHeight="1" x14ac:dyDescent="0.4">
      <c r="A17" s="34" t="s">
        <v>380</v>
      </c>
      <c r="B17" s="23" t="s">
        <v>522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3.5" customHeight="1" x14ac:dyDescent="0.4">
      <c r="A18" s="34" t="s">
        <v>443</v>
      </c>
      <c r="B18" s="23" t="s">
        <v>523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3.5" customHeight="1" x14ac:dyDescent="0.4">
      <c r="A19" s="34" t="s">
        <v>445</v>
      </c>
      <c r="B19" s="23" t="s">
        <v>524</v>
      </c>
      <c r="C19" s="32" t="str">
        <f>IFERROR([1]!IntrinioBankFinancials(rssd_id,$R$2,C$6,C$5,$B19),"")</f>
        <v/>
      </c>
      <c r="D19" s="32" t="str">
        <f>IFERROR([1]!IntrinioBankFinancials(rssd_id,$R$2,D$6,D$5,$B19),"")</f>
        <v/>
      </c>
      <c r="E19" s="32" t="str">
        <f>IFERROR([1]!IntrinioBankFinancials(rssd_id,$R$2,E$6,E$5,$B19),"")</f>
        <v/>
      </c>
      <c r="F19" s="32" t="str">
        <f>IFERROR([1]!IntrinioBankFinancials(rssd_id,$R$2,F$6,F$5,$B19),"")</f>
        <v/>
      </c>
      <c r="G19" s="32" t="str">
        <f>IFERROR([1]!IntrinioBankFinancials(rssd_id,$R$2,G$6,G$5,$B19),"")</f>
        <v/>
      </c>
      <c r="H19" s="32" t="str">
        <f>IFERROR([1]!IntrinioBankFinancials(rssd_id,$R$2,H$6,H$5,$B19),"")</f>
        <v/>
      </c>
      <c r="I19" s="32" t="str">
        <f>IFERROR([1]!IntrinioBankFinancials(rssd_id,$R$2,I$6,I$5,$B19),"")</f>
        <v/>
      </c>
      <c r="J19" s="32" t="str">
        <f>IFERROR([1]!IntrinioBankFinancials(rssd_id,$R$2,J$6,J$5,$B19),"")</f>
        <v/>
      </c>
      <c r="K19" s="32" t="str">
        <f>IFERROR([1]!IntrinioBankFinancials(rssd_id,$R$2,K$6,K$5,$B19),"")</f>
        <v/>
      </c>
      <c r="L19" s="32" t="str">
        <f>IFERROR([1]!IntrinioBankFinancials(rssd_id,$R$2,L$6,L$5,$B19),"")</f>
        <v/>
      </c>
      <c r="M19" s="32" t="str">
        <f>IFERROR([1]!IntrinioBankFinancials(rssd_id,$R$2,M$6,M$5,$B19),"")</f>
        <v/>
      </c>
      <c r="N19" s="32" t="str">
        <f>IFERROR([1]!IntrinioBankFinancials(rssd_id,$R$2,N$6,N$5,$B19),"")</f>
        <v/>
      </c>
      <c r="O19" s="32" t="str">
        <f>IFERROR([1]!IntrinioBankFinancials(rssd_id,$R$2,O$6,O$5,$B19),"")</f>
        <v/>
      </c>
    </row>
    <row r="20" spans="1:15" s="22" customFormat="1" ht="13.5" customHeight="1" x14ac:dyDescent="0.4">
      <c r="A20" s="34" t="s">
        <v>447</v>
      </c>
      <c r="B20" s="23" t="s">
        <v>525</v>
      </c>
      <c r="C20" s="32" t="str">
        <f>IFERROR([1]!IntrinioBankFinancials(rssd_id,$R$2,C$6,C$5,$B20),"")</f>
        <v/>
      </c>
      <c r="D20" s="32" t="str">
        <f>IFERROR([1]!IntrinioBankFinancials(rssd_id,$R$2,D$6,D$5,$B20),"")</f>
        <v/>
      </c>
      <c r="E20" s="32" t="str">
        <f>IFERROR([1]!IntrinioBankFinancials(rssd_id,$R$2,E$6,E$5,$B20),"")</f>
        <v/>
      </c>
      <c r="F20" s="32" t="str">
        <f>IFERROR([1]!IntrinioBankFinancials(rssd_id,$R$2,F$6,F$5,$B20),"")</f>
        <v/>
      </c>
      <c r="G20" s="32" t="str">
        <f>IFERROR([1]!IntrinioBankFinancials(rssd_id,$R$2,G$6,G$5,$B20),"")</f>
        <v/>
      </c>
      <c r="H20" s="32" t="str">
        <f>IFERROR([1]!IntrinioBankFinancials(rssd_id,$R$2,H$6,H$5,$B20),"")</f>
        <v/>
      </c>
      <c r="I20" s="32" t="str">
        <f>IFERROR([1]!IntrinioBankFinancials(rssd_id,$R$2,I$6,I$5,$B20),"")</f>
        <v/>
      </c>
      <c r="J20" s="32" t="str">
        <f>IFERROR([1]!IntrinioBankFinancials(rssd_id,$R$2,J$6,J$5,$B20),"")</f>
        <v/>
      </c>
      <c r="K20" s="32" t="str">
        <f>IFERROR([1]!IntrinioBankFinancials(rssd_id,$R$2,K$6,K$5,$B20),"")</f>
        <v/>
      </c>
      <c r="L20" s="32" t="str">
        <f>IFERROR([1]!IntrinioBankFinancials(rssd_id,$R$2,L$6,L$5,$B20),"")</f>
        <v/>
      </c>
      <c r="M20" s="32" t="str">
        <f>IFERROR([1]!IntrinioBankFinancials(rssd_id,$R$2,M$6,M$5,$B20),"")</f>
        <v/>
      </c>
      <c r="N20" s="32" t="str">
        <f>IFERROR([1]!IntrinioBankFinancials(rssd_id,$R$2,N$6,N$5,$B20),"")</f>
        <v/>
      </c>
      <c r="O20" s="32" t="str">
        <f>IFERROR([1]!IntrinioBankFinancials(rssd_id,$R$2,O$6,O$5,$B20),"")</f>
        <v/>
      </c>
    </row>
    <row r="21" spans="1:15" s="22" customFormat="1" ht="13.5" customHeight="1" x14ac:dyDescent="0.4">
      <c r="A21" s="34" t="s">
        <v>449</v>
      </c>
      <c r="B21" s="23" t="s">
        <v>526</v>
      </c>
      <c r="C21" s="32" t="str">
        <f>IFERROR([1]!IntrinioBankFinancials(rssd_id,$R$2,C$6,C$5,$B21),"")</f>
        <v/>
      </c>
      <c r="D21" s="32" t="str">
        <f>IFERROR([1]!IntrinioBankFinancials(rssd_id,$R$2,D$6,D$5,$B21),"")</f>
        <v/>
      </c>
      <c r="E21" s="32" t="str">
        <f>IFERROR([1]!IntrinioBankFinancials(rssd_id,$R$2,E$6,E$5,$B21),"")</f>
        <v/>
      </c>
      <c r="F21" s="32" t="str">
        <f>IFERROR([1]!IntrinioBankFinancials(rssd_id,$R$2,F$6,F$5,$B21),"")</f>
        <v/>
      </c>
      <c r="G21" s="32" t="str">
        <f>IFERROR([1]!IntrinioBankFinancials(rssd_id,$R$2,G$6,G$5,$B21),"")</f>
        <v/>
      </c>
      <c r="H21" s="32" t="str">
        <f>IFERROR([1]!IntrinioBankFinancials(rssd_id,$R$2,H$6,H$5,$B21),"")</f>
        <v/>
      </c>
      <c r="I21" s="32" t="str">
        <f>IFERROR([1]!IntrinioBankFinancials(rssd_id,$R$2,I$6,I$5,$B21),"")</f>
        <v/>
      </c>
      <c r="J21" s="32" t="str">
        <f>IFERROR([1]!IntrinioBankFinancials(rssd_id,$R$2,J$6,J$5,$B21),"")</f>
        <v/>
      </c>
      <c r="K21" s="32" t="str">
        <f>IFERROR([1]!IntrinioBankFinancials(rssd_id,$R$2,K$6,K$5,$B21),"")</f>
        <v/>
      </c>
      <c r="L21" s="32" t="str">
        <f>IFERROR([1]!IntrinioBankFinancials(rssd_id,$R$2,L$6,L$5,$B21),"")</f>
        <v/>
      </c>
      <c r="M21" s="32" t="str">
        <f>IFERROR([1]!IntrinioBankFinancials(rssd_id,$R$2,M$6,M$5,$B21),"")</f>
        <v/>
      </c>
      <c r="N21" s="32" t="str">
        <f>IFERROR([1]!IntrinioBankFinancials(rssd_id,$R$2,N$6,N$5,$B21),"")</f>
        <v/>
      </c>
      <c r="O21" s="32" t="str">
        <f>IFERROR([1]!IntrinioBankFinancials(rssd_id,$R$2,O$6,O$5,$B21),"")</f>
        <v/>
      </c>
    </row>
    <row r="22" spans="1:15" s="22" customFormat="1" ht="13.5" customHeight="1" x14ac:dyDescent="0.4">
      <c r="A22" s="34" t="s">
        <v>390</v>
      </c>
      <c r="B22" s="23" t="s">
        <v>527</v>
      </c>
      <c r="C22" s="32" t="str">
        <f>IFERROR([1]!IntrinioBankFinancials(rssd_id,$R$2,C$6,C$5,$B22),"")</f>
        <v/>
      </c>
      <c r="D22" s="32" t="str">
        <f>IFERROR([1]!IntrinioBankFinancials(rssd_id,$R$2,D$6,D$5,$B22),"")</f>
        <v/>
      </c>
      <c r="E22" s="32" t="str">
        <f>IFERROR([1]!IntrinioBankFinancials(rssd_id,$R$2,E$6,E$5,$B22),"")</f>
        <v/>
      </c>
      <c r="F22" s="32" t="str">
        <f>IFERROR([1]!IntrinioBankFinancials(rssd_id,$R$2,F$6,F$5,$B22),"")</f>
        <v/>
      </c>
      <c r="G22" s="32" t="str">
        <f>IFERROR([1]!IntrinioBankFinancials(rssd_id,$R$2,G$6,G$5,$B22),"")</f>
        <v/>
      </c>
      <c r="H22" s="32" t="str">
        <f>IFERROR([1]!IntrinioBankFinancials(rssd_id,$R$2,H$6,H$5,$B22),"")</f>
        <v/>
      </c>
      <c r="I22" s="32" t="str">
        <f>IFERROR([1]!IntrinioBankFinancials(rssd_id,$R$2,I$6,I$5,$B22),"")</f>
        <v/>
      </c>
      <c r="J22" s="32" t="str">
        <f>IFERROR([1]!IntrinioBankFinancials(rssd_id,$R$2,J$6,J$5,$B22),"")</f>
        <v/>
      </c>
      <c r="K22" s="32" t="str">
        <f>IFERROR([1]!IntrinioBankFinancials(rssd_id,$R$2,K$6,K$5,$B22),"")</f>
        <v/>
      </c>
      <c r="L22" s="32" t="str">
        <f>IFERROR([1]!IntrinioBankFinancials(rssd_id,$R$2,L$6,L$5,$B22),"")</f>
        <v/>
      </c>
      <c r="M22" s="32" t="str">
        <f>IFERROR([1]!IntrinioBankFinancials(rssd_id,$R$2,M$6,M$5,$B22),"")</f>
        <v/>
      </c>
      <c r="N22" s="32" t="str">
        <f>IFERROR([1]!IntrinioBankFinancials(rssd_id,$R$2,N$6,N$5,$B22),"")</f>
        <v/>
      </c>
      <c r="O22" s="32" t="str">
        <f>IFERROR([1]!IntrinioBankFinancials(rssd_id,$R$2,O$6,O$5,$B22),"")</f>
        <v/>
      </c>
    </row>
    <row r="23" spans="1:15" s="22" customFormat="1" ht="13.5" customHeight="1" x14ac:dyDescent="0.4">
      <c r="A23" s="34" t="s">
        <v>392</v>
      </c>
      <c r="B23" s="23" t="s">
        <v>528</v>
      </c>
      <c r="C23" s="32" t="str">
        <f>IFERROR([1]!IntrinioBankFinancials(rssd_id,$R$2,C$6,C$5,$B23),"")</f>
        <v/>
      </c>
      <c r="D23" s="32" t="str">
        <f>IFERROR([1]!IntrinioBankFinancials(rssd_id,$R$2,D$6,D$5,$B23),"")</f>
        <v/>
      </c>
      <c r="E23" s="32" t="str">
        <f>IFERROR([1]!IntrinioBankFinancials(rssd_id,$R$2,E$6,E$5,$B23),"")</f>
        <v/>
      </c>
      <c r="F23" s="32" t="str">
        <f>IFERROR([1]!IntrinioBankFinancials(rssd_id,$R$2,F$6,F$5,$B23),"")</f>
        <v/>
      </c>
      <c r="G23" s="32" t="str">
        <f>IFERROR([1]!IntrinioBankFinancials(rssd_id,$R$2,G$6,G$5,$B23),"")</f>
        <v/>
      </c>
      <c r="H23" s="32" t="str">
        <f>IFERROR([1]!IntrinioBankFinancials(rssd_id,$R$2,H$6,H$5,$B23),"")</f>
        <v/>
      </c>
      <c r="I23" s="32" t="str">
        <f>IFERROR([1]!IntrinioBankFinancials(rssd_id,$R$2,I$6,I$5,$B23),"")</f>
        <v/>
      </c>
      <c r="J23" s="32" t="str">
        <f>IFERROR([1]!IntrinioBankFinancials(rssd_id,$R$2,J$6,J$5,$B23),"")</f>
        <v/>
      </c>
      <c r="K23" s="32" t="str">
        <f>IFERROR([1]!IntrinioBankFinancials(rssd_id,$R$2,K$6,K$5,$B23),"")</f>
        <v/>
      </c>
      <c r="L23" s="32" t="str">
        <f>IFERROR([1]!IntrinioBankFinancials(rssd_id,$R$2,L$6,L$5,$B23),"")</f>
        <v/>
      </c>
      <c r="M23" s="32" t="str">
        <f>IFERROR([1]!IntrinioBankFinancials(rssd_id,$R$2,M$6,M$5,$B23),"")</f>
        <v/>
      </c>
      <c r="N23" s="32" t="str">
        <f>IFERROR([1]!IntrinioBankFinancials(rssd_id,$R$2,N$6,N$5,$B23),"")</f>
        <v/>
      </c>
      <c r="O23" s="32" t="str">
        <f>IFERROR([1]!IntrinioBankFinancials(rssd_id,$R$2,O$6,O$5,$B23),"")</f>
        <v/>
      </c>
    </row>
    <row r="24" spans="1:15" s="22" customFormat="1" ht="13.5" customHeight="1" x14ac:dyDescent="0.4">
      <c r="A24" s="34" t="s">
        <v>394</v>
      </c>
      <c r="B24" s="23" t="s">
        <v>529</v>
      </c>
      <c r="C24" s="32" t="str">
        <f>IFERROR([1]!IntrinioBankFinancials(rssd_id,$R$2,C$6,C$5,$B24),"")</f>
        <v/>
      </c>
      <c r="D24" s="32" t="str">
        <f>IFERROR([1]!IntrinioBankFinancials(rssd_id,$R$2,D$6,D$5,$B24),"")</f>
        <v/>
      </c>
      <c r="E24" s="32" t="str">
        <f>IFERROR([1]!IntrinioBankFinancials(rssd_id,$R$2,E$6,E$5,$B24),"")</f>
        <v/>
      </c>
      <c r="F24" s="32" t="str">
        <f>IFERROR([1]!IntrinioBankFinancials(rssd_id,$R$2,F$6,F$5,$B24),"")</f>
        <v/>
      </c>
      <c r="G24" s="32" t="str">
        <f>IFERROR([1]!IntrinioBankFinancials(rssd_id,$R$2,G$6,G$5,$B24),"")</f>
        <v/>
      </c>
      <c r="H24" s="32" t="str">
        <f>IFERROR([1]!IntrinioBankFinancials(rssd_id,$R$2,H$6,H$5,$B24),"")</f>
        <v/>
      </c>
      <c r="I24" s="32" t="str">
        <f>IFERROR([1]!IntrinioBankFinancials(rssd_id,$R$2,I$6,I$5,$B24),"")</f>
        <v/>
      </c>
      <c r="J24" s="32" t="str">
        <f>IFERROR([1]!IntrinioBankFinancials(rssd_id,$R$2,J$6,J$5,$B24),"")</f>
        <v/>
      </c>
      <c r="K24" s="32" t="str">
        <f>IFERROR([1]!IntrinioBankFinancials(rssd_id,$R$2,K$6,K$5,$B24),"")</f>
        <v/>
      </c>
      <c r="L24" s="32" t="str">
        <f>IFERROR([1]!IntrinioBankFinancials(rssd_id,$R$2,L$6,L$5,$B24),"")</f>
        <v/>
      </c>
      <c r="M24" s="32" t="str">
        <f>IFERROR([1]!IntrinioBankFinancials(rssd_id,$R$2,M$6,M$5,$B24),"")</f>
        <v/>
      </c>
      <c r="N24" s="32" t="str">
        <f>IFERROR([1]!IntrinioBankFinancials(rssd_id,$R$2,N$6,N$5,$B24),"")</f>
        <v/>
      </c>
      <c r="O24" s="32" t="str">
        <f>IFERROR([1]!IntrinioBankFinancials(rssd_id,$R$2,O$6,O$5,$B24),"")</f>
        <v/>
      </c>
    </row>
    <row r="25" spans="1:15" s="22" customFormat="1" ht="13.5" customHeight="1" x14ac:dyDescent="0.4">
      <c r="A25" s="34" t="s">
        <v>454</v>
      </c>
      <c r="B25" s="23" t="s">
        <v>530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3.5" customHeight="1" x14ac:dyDescent="0.4">
      <c r="A26" s="34" t="s">
        <v>398</v>
      </c>
      <c r="B26" s="23" t="s">
        <v>531</v>
      </c>
      <c r="C26" s="32" t="str">
        <f>IFERROR([1]!IntrinioBankFinancials(rssd_id,$R$2,C$6,C$5,$B26),"")</f>
        <v/>
      </c>
      <c r="D26" s="32" t="str">
        <f>IFERROR([1]!IntrinioBankFinancials(rssd_id,$R$2,D$6,D$5,$B26),"")</f>
        <v/>
      </c>
      <c r="E26" s="32" t="str">
        <f>IFERROR([1]!IntrinioBankFinancials(rssd_id,$R$2,E$6,E$5,$B26),"")</f>
        <v/>
      </c>
      <c r="F26" s="32" t="str">
        <f>IFERROR([1]!IntrinioBankFinancials(rssd_id,$R$2,F$6,F$5,$B26),"")</f>
        <v/>
      </c>
      <c r="G26" s="32" t="str">
        <f>IFERROR([1]!IntrinioBankFinancials(rssd_id,$R$2,G$6,G$5,$B26),"")</f>
        <v/>
      </c>
      <c r="H26" s="32" t="str">
        <f>IFERROR([1]!IntrinioBankFinancials(rssd_id,$R$2,H$6,H$5,$B26),"")</f>
        <v/>
      </c>
      <c r="I26" s="32" t="str">
        <f>IFERROR([1]!IntrinioBankFinancials(rssd_id,$R$2,I$6,I$5,$B26),"")</f>
        <v/>
      </c>
      <c r="J26" s="32" t="str">
        <f>IFERROR([1]!IntrinioBankFinancials(rssd_id,$R$2,J$6,J$5,$B26),"")</f>
        <v/>
      </c>
      <c r="K26" s="32" t="str">
        <f>IFERROR([1]!IntrinioBankFinancials(rssd_id,$R$2,K$6,K$5,$B26),"")</f>
        <v/>
      </c>
      <c r="L26" s="32" t="str">
        <f>IFERROR([1]!IntrinioBankFinancials(rssd_id,$R$2,L$6,L$5,$B26),"")</f>
        <v/>
      </c>
      <c r="M26" s="32" t="str">
        <f>IFERROR([1]!IntrinioBankFinancials(rssd_id,$R$2,M$6,M$5,$B26),"")</f>
        <v/>
      </c>
      <c r="N26" s="32" t="str">
        <f>IFERROR([1]!IntrinioBankFinancials(rssd_id,$R$2,N$6,N$5,$B26),"")</f>
        <v/>
      </c>
      <c r="O26" s="32" t="str">
        <f>IFERROR([1]!IntrinioBankFinancials(rssd_id,$R$2,O$6,O$5,$B26),"")</f>
        <v/>
      </c>
    </row>
    <row r="27" spans="1:15" s="22" customFormat="1" ht="13.5" customHeight="1" x14ac:dyDescent="0.4">
      <c r="A27" s="34" t="s">
        <v>457</v>
      </c>
      <c r="B27" s="23" t="s">
        <v>532</v>
      </c>
      <c r="C27" s="32" t="str">
        <f>IFERROR([1]!IntrinioBankFinancials(rssd_id,$R$2,C$6,C$5,$B27),"")</f>
        <v/>
      </c>
      <c r="D27" s="32" t="str">
        <f>IFERROR([1]!IntrinioBankFinancials(rssd_id,$R$2,D$6,D$5,$B27),"")</f>
        <v/>
      </c>
      <c r="E27" s="32" t="str">
        <f>IFERROR([1]!IntrinioBankFinancials(rssd_id,$R$2,E$6,E$5,$B27),"")</f>
        <v/>
      </c>
      <c r="F27" s="32" t="str">
        <f>IFERROR([1]!IntrinioBankFinancials(rssd_id,$R$2,F$6,F$5,$B27),"")</f>
        <v/>
      </c>
      <c r="G27" s="32" t="str">
        <f>IFERROR([1]!IntrinioBankFinancials(rssd_id,$R$2,G$6,G$5,$B27),"")</f>
        <v/>
      </c>
      <c r="H27" s="32" t="str">
        <f>IFERROR([1]!IntrinioBankFinancials(rssd_id,$R$2,H$6,H$5,$B27),"")</f>
        <v/>
      </c>
      <c r="I27" s="32" t="str">
        <f>IFERROR([1]!IntrinioBankFinancials(rssd_id,$R$2,I$6,I$5,$B27),"")</f>
        <v/>
      </c>
      <c r="J27" s="32" t="str">
        <f>IFERROR([1]!IntrinioBankFinancials(rssd_id,$R$2,J$6,J$5,$B27),"")</f>
        <v/>
      </c>
      <c r="K27" s="32" t="str">
        <f>IFERROR([1]!IntrinioBankFinancials(rssd_id,$R$2,K$6,K$5,$B27),"")</f>
        <v/>
      </c>
      <c r="L27" s="32" t="str">
        <f>IFERROR([1]!IntrinioBankFinancials(rssd_id,$R$2,L$6,L$5,$B27),"")</f>
        <v/>
      </c>
      <c r="M27" s="32" t="str">
        <f>IFERROR([1]!IntrinioBankFinancials(rssd_id,$R$2,M$6,M$5,$B27),"")</f>
        <v/>
      </c>
      <c r="N27" s="32" t="str">
        <f>IFERROR([1]!IntrinioBankFinancials(rssd_id,$R$2,N$6,N$5,$B27),"")</f>
        <v/>
      </c>
      <c r="O27" s="32" t="str">
        <f>IFERROR([1]!IntrinioBankFinancials(rssd_id,$R$2,O$6,O$5,$B27),"")</f>
        <v/>
      </c>
    </row>
    <row r="28" spans="1:15" s="22" customFormat="1" ht="13.5" customHeight="1" x14ac:dyDescent="0.4">
      <c r="A28" s="34" t="s">
        <v>402</v>
      </c>
      <c r="B28" s="23" t="s">
        <v>533</v>
      </c>
      <c r="C28" s="32" t="str">
        <f>IFERROR([1]!IntrinioBankFinancials(rssd_id,$R$2,C$6,C$5,$B28),"")</f>
        <v/>
      </c>
      <c r="D28" s="32" t="str">
        <f>IFERROR([1]!IntrinioBankFinancials(rssd_id,$R$2,D$6,D$5,$B28),"")</f>
        <v/>
      </c>
      <c r="E28" s="32" t="str">
        <f>IFERROR([1]!IntrinioBankFinancials(rssd_id,$R$2,E$6,E$5,$B28),"")</f>
        <v/>
      </c>
      <c r="F28" s="32" t="str">
        <f>IFERROR([1]!IntrinioBankFinancials(rssd_id,$R$2,F$6,F$5,$B28),"")</f>
        <v/>
      </c>
      <c r="G28" s="32" t="str">
        <f>IFERROR([1]!IntrinioBankFinancials(rssd_id,$R$2,G$6,G$5,$B28),"")</f>
        <v/>
      </c>
      <c r="H28" s="32" t="str">
        <f>IFERROR([1]!IntrinioBankFinancials(rssd_id,$R$2,H$6,H$5,$B28),"")</f>
        <v/>
      </c>
      <c r="I28" s="32" t="str">
        <f>IFERROR([1]!IntrinioBankFinancials(rssd_id,$R$2,I$6,I$5,$B28),"")</f>
        <v/>
      </c>
      <c r="J28" s="32" t="str">
        <f>IFERROR([1]!IntrinioBankFinancials(rssd_id,$R$2,J$6,J$5,$B28),"")</f>
        <v/>
      </c>
      <c r="K28" s="32" t="str">
        <f>IFERROR([1]!IntrinioBankFinancials(rssd_id,$R$2,K$6,K$5,$B28),"")</f>
        <v/>
      </c>
      <c r="L28" s="32" t="str">
        <f>IFERROR([1]!IntrinioBankFinancials(rssd_id,$R$2,L$6,L$5,$B28),"")</f>
        <v/>
      </c>
      <c r="M28" s="32" t="str">
        <f>IFERROR([1]!IntrinioBankFinancials(rssd_id,$R$2,M$6,M$5,$B28),"")</f>
        <v/>
      </c>
      <c r="N28" s="32" t="str">
        <f>IFERROR([1]!IntrinioBankFinancials(rssd_id,$R$2,N$6,N$5,$B28),"")</f>
        <v/>
      </c>
      <c r="O28" s="32" t="str">
        <f>IFERROR([1]!IntrinioBankFinancials(rssd_id,$R$2,O$6,O$5,$B28),"")</f>
        <v/>
      </c>
    </row>
    <row r="29" spans="1:15" s="22" customFormat="1" ht="13.5" customHeight="1" x14ac:dyDescent="0.4">
      <c r="A29" s="34" t="s">
        <v>460</v>
      </c>
      <c r="B29" s="23" t="s">
        <v>534</v>
      </c>
      <c r="C29" s="32" t="str">
        <f>IFERROR([1]!IntrinioBankFinancials(rssd_id,$R$2,C$6,C$5,$B29),"")</f>
        <v/>
      </c>
      <c r="D29" s="32" t="str">
        <f>IFERROR([1]!IntrinioBankFinancials(rssd_id,$R$2,D$6,D$5,$B29),"")</f>
        <v/>
      </c>
      <c r="E29" s="32" t="str">
        <f>IFERROR([1]!IntrinioBankFinancials(rssd_id,$R$2,E$6,E$5,$B29),"")</f>
        <v/>
      </c>
      <c r="F29" s="32" t="str">
        <f>IFERROR([1]!IntrinioBankFinancials(rssd_id,$R$2,F$6,F$5,$B29),"")</f>
        <v/>
      </c>
      <c r="G29" s="32" t="str">
        <f>IFERROR([1]!IntrinioBankFinancials(rssd_id,$R$2,G$6,G$5,$B29),"")</f>
        <v/>
      </c>
      <c r="H29" s="32" t="str">
        <f>IFERROR([1]!IntrinioBankFinancials(rssd_id,$R$2,H$6,H$5,$B29),"")</f>
        <v/>
      </c>
      <c r="I29" s="32" t="str">
        <f>IFERROR([1]!IntrinioBankFinancials(rssd_id,$R$2,I$6,I$5,$B29),"")</f>
        <v/>
      </c>
      <c r="J29" s="32" t="str">
        <f>IFERROR([1]!IntrinioBankFinancials(rssd_id,$R$2,J$6,J$5,$B29),"")</f>
        <v/>
      </c>
      <c r="K29" s="32" t="str">
        <f>IFERROR([1]!IntrinioBankFinancials(rssd_id,$R$2,K$6,K$5,$B29),"")</f>
        <v/>
      </c>
      <c r="L29" s="32" t="str">
        <f>IFERROR([1]!IntrinioBankFinancials(rssd_id,$R$2,L$6,L$5,$B29),"")</f>
        <v/>
      </c>
      <c r="M29" s="32" t="str">
        <f>IFERROR([1]!IntrinioBankFinancials(rssd_id,$R$2,M$6,M$5,$B29),"")</f>
        <v/>
      </c>
      <c r="N29" s="32" t="str">
        <f>IFERROR([1]!IntrinioBankFinancials(rssd_id,$R$2,N$6,N$5,$B29),"")</f>
        <v/>
      </c>
      <c r="O29" s="32" t="str">
        <f>IFERROR([1]!IntrinioBankFinancials(rssd_id,$R$2,O$6,O$5,$B29),"")</f>
        <v/>
      </c>
    </row>
    <row r="30" spans="1:15" s="22" customFormat="1" ht="13.5" customHeight="1" x14ac:dyDescent="0.4">
      <c r="A30" s="34" t="s">
        <v>462</v>
      </c>
      <c r="B30" s="23" t="s">
        <v>535</v>
      </c>
      <c r="C30" s="32" t="str">
        <f>IFERROR([1]!IntrinioBankFinancials(rssd_id,$R$2,C$6,C$5,$B30),"")</f>
        <v/>
      </c>
      <c r="D30" s="32" t="str">
        <f>IFERROR([1]!IntrinioBankFinancials(rssd_id,$R$2,D$6,D$5,$B30),"")</f>
        <v/>
      </c>
      <c r="E30" s="32" t="str">
        <f>IFERROR([1]!IntrinioBankFinancials(rssd_id,$R$2,E$6,E$5,$B30),"")</f>
        <v/>
      </c>
      <c r="F30" s="32" t="str">
        <f>IFERROR([1]!IntrinioBankFinancials(rssd_id,$R$2,F$6,F$5,$B30),"")</f>
        <v/>
      </c>
      <c r="G30" s="32" t="str">
        <f>IFERROR([1]!IntrinioBankFinancials(rssd_id,$R$2,G$6,G$5,$B30),"")</f>
        <v/>
      </c>
      <c r="H30" s="32" t="str">
        <f>IFERROR([1]!IntrinioBankFinancials(rssd_id,$R$2,H$6,H$5,$B30),"")</f>
        <v/>
      </c>
      <c r="I30" s="32" t="str">
        <f>IFERROR([1]!IntrinioBankFinancials(rssd_id,$R$2,I$6,I$5,$B30),"")</f>
        <v/>
      </c>
      <c r="J30" s="32" t="str">
        <f>IFERROR([1]!IntrinioBankFinancials(rssd_id,$R$2,J$6,J$5,$B30),"")</f>
        <v/>
      </c>
      <c r="K30" s="32" t="str">
        <f>IFERROR([1]!IntrinioBankFinancials(rssd_id,$R$2,K$6,K$5,$B30),"")</f>
        <v/>
      </c>
      <c r="L30" s="32" t="str">
        <f>IFERROR([1]!IntrinioBankFinancials(rssd_id,$R$2,L$6,L$5,$B30),"")</f>
        <v/>
      </c>
      <c r="M30" s="32" t="str">
        <f>IFERROR([1]!IntrinioBankFinancials(rssd_id,$R$2,M$6,M$5,$B30),"")</f>
        <v/>
      </c>
      <c r="N30" s="32" t="str">
        <f>IFERROR([1]!IntrinioBankFinancials(rssd_id,$R$2,N$6,N$5,$B30),"")</f>
        <v/>
      </c>
      <c r="O30" s="32" t="str">
        <f>IFERROR([1]!IntrinioBankFinancials(rssd_id,$R$2,O$6,O$5,$B30),"")</f>
        <v/>
      </c>
    </row>
    <row r="31" spans="1:15" s="22" customFormat="1" ht="13.5" customHeight="1" x14ac:dyDescent="0.4">
      <c r="A31" s="34" t="s">
        <v>406</v>
      </c>
      <c r="B31" s="23" t="s">
        <v>536</v>
      </c>
      <c r="C31" s="32" t="str">
        <f>IFERROR([1]!IntrinioBankFinancials(rssd_id,$R$2,C$6,C$5,$B31),"")</f>
        <v/>
      </c>
      <c r="D31" s="32" t="str">
        <f>IFERROR([1]!IntrinioBankFinancials(rssd_id,$R$2,D$6,D$5,$B31),"")</f>
        <v/>
      </c>
      <c r="E31" s="32" t="str">
        <f>IFERROR([1]!IntrinioBankFinancials(rssd_id,$R$2,E$6,E$5,$B31),"")</f>
        <v/>
      </c>
      <c r="F31" s="32" t="str">
        <f>IFERROR([1]!IntrinioBankFinancials(rssd_id,$R$2,F$6,F$5,$B31),"")</f>
        <v/>
      </c>
      <c r="G31" s="32" t="str">
        <f>IFERROR([1]!IntrinioBankFinancials(rssd_id,$R$2,G$6,G$5,$B31),"")</f>
        <v/>
      </c>
      <c r="H31" s="32" t="str">
        <f>IFERROR([1]!IntrinioBankFinancials(rssd_id,$R$2,H$6,H$5,$B31),"")</f>
        <v/>
      </c>
      <c r="I31" s="32" t="str">
        <f>IFERROR([1]!IntrinioBankFinancials(rssd_id,$R$2,I$6,I$5,$B31),"")</f>
        <v/>
      </c>
      <c r="J31" s="32" t="str">
        <f>IFERROR([1]!IntrinioBankFinancials(rssd_id,$R$2,J$6,J$5,$B31),"")</f>
        <v/>
      </c>
      <c r="K31" s="32" t="str">
        <f>IFERROR([1]!IntrinioBankFinancials(rssd_id,$R$2,K$6,K$5,$B31),"")</f>
        <v/>
      </c>
      <c r="L31" s="32" t="str">
        <f>IFERROR([1]!IntrinioBankFinancials(rssd_id,$R$2,L$6,L$5,$B31),"")</f>
        <v/>
      </c>
      <c r="M31" s="32" t="str">
        <f>IFERROR([1]!IntrinioBankFinancials(rssd_id,$R$2,M$6,M$5,$B31),"")</f>
        <v/>
      </c>
      <c r="N31" s="32" t="str">
        <f>IFERROR([1]!IntrinioBankFinancials(rssd_id,$R$2,N$6,N$5,$B31),"")</f>
        <v/>
      </c>
      <c r="O31" s="32" t="str">
        <f>IFERROR([1]!IntrinioBankFinancials(rssd_id,$R$2,O$6,O$5,$B31),"")</f>
        <v/>
      </c>
    </row>
    <row r="32" spans="1:15" s="22" customFormat="1" ht="13.5" customHeight="1" x14ac:dyDescent="0.4">
      <c r="A32" s="34" t="s">
        <v>465</v>
      </c>
      <c r="B32" s="23" t="s">
        <v>537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s="22" customFormat="1" ht="13.5" customHeight="1" x14ac:dyDescent="0.4">
      <c r="A33" s="34" t="s">
        <v>410</v>
      </c>
      <c r="B33" s="23" t="s">
        <v>538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s="22" customFormat="1" ht="13.5" customHeight="1" x14ac:dyDescent="0.4">
      <c r="A34" s="34" t="s">
        <v>412</v>
      </c>
      <c r="B34" s="23" t="s">
        <v>539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3.5" customHeight="1" x14ac:dyDescent="0.4">
      <c r="A35" s="33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</row>
    <row r="36" spans="1:15" s="22" customFormat="1" ht="13.5" customHeight="1" x14ac:dyDescent="0.4">
      <c r="A36" s="33" t="s">
        <v>506</v>
      </c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</row>
    <row r="37" spans="1:15" s="22" customFormat="1" ht="13.5" customHeight="1" x14ac:dyDescent="0.4">
      <c r="A37" s="34" t="s">
        <v>540</v>
      </c>
      <c r="B37" s="23" t="s">
        <v>541</v>
      </c>
      <c r="C37" s="32" t="str">
        <f>IFERROR([1]!IntrinioBankFinancials(rssd_id,$R$2,C$6,C$5,$B37),"")</f>
        <v/>
      </c>
      <c r="D37" s="32" t="str">
        <f>IFERROR([1]!IntrinioBankFinancials(rssd_id,$R$2,D$6,D$5,$B37),"")</f>
        <v/>
      </c>
      <c r="E37" s="32" t="str">
        <f>IFERROR([1]!IntrinioBankFinancials(rssd_id,$R$2,E$6,E$5,$B37),"")</f>
        <v/>
      </c>
      <c r="F37" s="32" t="str">
        <f>IFERROR([1]!IntrinioBankFinancials(rssd_id,$R$2,F$6,F$5,$B37),"")</f>
        <v/>
      </c>
      <c r="G37" s="32" t="str">
        <f>IFERROR([1]!IntrinioBankFinancials(rssd_id,$R$2,G$6,G$5,$B37),"")</f>
        <v/>
      </c>
      <c r="H37" s="32" t="str">
        <f>IFERROR([1]!IntrinioBankFinancials(rssd_id,$R$2,H$6,H$5,$B37),"")</f>
        <v/>
      </c>
      <c r="I37" s="32" t="str">
        <f>IFERROR([1]!IntrinioBankFinancials(rssd_id,$R$2,I$6,I$5,$B37),"")</f>
        <v/>
      </c>
      <c r="J37" s="32" t="str">
        <f>IFERROR([1]!IntrinioBankFinancials(rssd_id,$R$2,J$6,J$5,$B37),"")</f>
        <v/>
      </c>
      <c r="K37" s="32" t="str">
        <f>IFERROR([1]!IntrinioBankFinancials(rssd_id,$R$2,K$6,K$5,$B37),"")</f>
        <v/>
      </c>
      <c r="L37" s="32" t="str">
        <f>IFERROR([1]!IntrinioBankFinancials(rssd_id,$R$2,L$6,L$5,$B37),"")</f>
        <v/>
      </c>
      <c r="M37" s="32" t="str">
        <f>IFERROR([1]!IntrinioBankFinancials(rssd_id,$R$2,M$6,M$5,$B37),"")</f>
        <v/>
      </c>
      <c r="N37" s="32" t="str">
        <f>IFERROR([1]!IntrinioBankFinancials(rssd_id,$R$2,N$6,N$5,$B37),"")</f>
        <v/>
      </c>
      <c r="O37" s="32" t="str">
        <f>IFERROR([1]!IntrinioBankFinancials(rssd_id,$R$2,O$6,O$5,$B37),"")</f>
        <v/>
      </c>
    </row>
    <row r="38" spans="1:15" s="22" customFormat="1" ht="13.5" customHeight="1" x14ac:dyDescent="0.4">
      <c r="A38" s="34" t="s">
        <v>471</v>
      </c>
      <c r="B38" s="23" t="s">
        <v>542</v>
      </c>
      <c r="C38" s="32" t="str">
        <f>IFERROR([1]!IntrinioBankFinancials(rssd_id,$R$2,C$6,C$5,$B38),"")</f>
        <v/>
      </c>
      <c r="D38" s="32" t="str">
        <f>IFERROR([1]!IntrinioBankFinancials(rssd_id,$R$2,D$6,D$5,$B38),"")</f>
        <v/>
      </c>
      <c r="E38" s="32" t="str">
        <f>IFERROR([1]!IntrinioBankFinancials(rssd_id,$R$2,E$6,E$5,$B38),"")</f>
        <v/>
      </c>
      <c r="F38" s="32" t="str">
        <f>IFERROR([1]!IntrinioBankFinancials(rssd_id,$R$2,F$6,F$5,$B38),"")</f>
        <v/>
      </c>
      <c r="G38" s="32" t="str">
        <f>IFERROR([1]!IntrinioBankFinancials(rssd_id,$R$2,G$6,G$5,$B38),"")</f>
        <v/>
      </c>
      <c r="H38" s="32" t="str">
        <f>IFERROR([1]!IntrinioBankFinancials(rssd_id,$R$2,H$6,H$5,$B38),"")</f>
        <v/>
      </c>
      <c r="I38" s="32" t="str">
        <f>IFERROR([1]!IntrinioBankFinancials(rssd_id,$R$2,I$6,I$5,$B38),"")</f>
        <v/>
      </c>
      <c r="J38" s="32" t="str">
        <f>IFERROR([1]!IntrinioBankFinancials(rssd_id,$R$2,J$6,J$5,$B38),"")</f>
        <v/>
      </c>
      <c r="K38" s="32" t="str">
        <f>IFERROR([1]!IntrinioBankFinancials(rssd_id,$R$2,K$6,K$5,$B38),"")</f>
        <v/>
      </c>
      <c r="L38" s="32" t="str">
        <f>IFERROR([1]!IntrinioBankFinancials(rssd_id,$R$2,L$6,L$5,$B38),"")</f>
        <v/>
      </c>
      <c r="M38" s="32" t="str">
        <f>IFERROR([1]!IntrinioBankFinancials(rssd_id,$R$2,M$6,M$5,$B38),"")</f>
        <v/>
      </c>
      <c r="N38" s="32" t="str">
        <f>IFERROR([1]!IntrinioBankFinancials(rssd_id,$R$2,N$6,N$5,$B38),"")</f>
        <v/>
      </c>
      <c r="O38" s="32" t="str">
        <f>IFERROR([1]!IntrinioBankFinancials(rssd_id,$R$2,O$6,O$5,$B38),"")</f>
        <v/>
      </c>
    </row>
    <row r="39" spans="1:15" s="22" customFormat="1" ht="13.5" customHeight="1" x14ac:dyDescent="0.4">
      <c r="A39" s="33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</row>
    <row r="40" spans="1:15" s="22" customFormat="1" ht="13.5" customHeight="1" x14ac:dyDescent="0.4">
      <c r="A40" s="33" t="s">
        <v>727</v>
      </c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</row>
    <row r="41" spans="1:15" s="22" customFormat="1" ht="13.5" customHeight="1" x14ac:dyDescent="0.4">
      <c r="A41" s="34" t="s">
        <v>543</v>
      </c>
      <c r="B41" s="23" t="s">
        <v>544</v>
      </c>
      <c r="C41" s="32" t="str">
        <f>IFERROR([1]!IntrinioBankFinancials(rssd_id,$R$2,C$6,C$5,$B41),"")</f>
        <v/>
      </c>
      <c r="D41" s="32" t="str">
        <f>IFERROR([1]!IntrinioBankFinancials(rssd_id,$R$2,D$6,D$5,$B41),"")</f>
        <v/>
      </c>
      <c r="E41" s="32" t="str">
        <f>IFERROR([1]!IntrinioBankFinancials(rssd_id,$R$2,E$6,E$5,$B41),"")</f>
        <v/>
      </c>
      <c r="F41" s="32" t="str">
        <f>IFERROR([1]!IntrinioBankFinancials(rssd_id,$R$2,F$6,F$5,$B41),"")</f>
        <v/>
      </c>
      <c r="G41" s="32" t="str">
        <f>IFERROR([1]!IntrinioBankFinancials(rssd_id,$R$2,G$6,G$5,$B41),"")</f>
        <v/>
      </c>
      <c r="H41" s="32" t="str">
        <f>IFERROR([1]!IntrinioBankFinancials(rssd_id,$R$2,H$6,H$5,$B41),"")</f>
        <v/>
      </c>
      <c r="I41" s="32" t="str">
        <f>IFERROR([1]!IntrinioBankFinancials(rssd_id,$R$2,I$6,I$5,$B41),"")</f>
        <v/>
      </c>
      <c r="J41" s="32" t="str">
        <f>IFERROR([1]!IntrinioBankFinancials(rssd_id,$R$2,J$6,J$5,$B41),"")</f>
        <v/>
      </c>
      <c r="K41" s="32" t="str">
        <f>IFERROR([1]!IntrinioBankFinancials(rssd_id,$R$2,K$6,K$5,$B41),"")</f>
        <v/>
      </c>
      <c r="L41" s="32" t="str">
        <f>IFERROR([1]!IntrinioBankFinancials(rssd_id,$R$2,L$6,L$5,$B41),"")</f>
        <v/>
      </c>
      <c r="M41" s="32" t="str">
        <f>IFERROR([1]!IntrinioBankFinancials(rssd_id,$R$2,M$6,M$5,$B41),"")</f>
        <v/>
      </c>
      <c r="N41" s="32" t="str">
        <f>IFERROR([1]!IntrinioBankFinancials(rssd_id,$R$2,N$6,N$5,$B41),"")</f>
        <v/>
      </c>
      <c r="O41" s="32" t="str">
        <f>IFERROR([1]!IntrinioBankFinancials(rssd_id,$R$2,O$6,O$5,$B41),"")</f>
        <v/>
      </c>
    </row>
    <row r="42" spans="1:15" s="22" customFormat="1" ht="13.5" customHeight="1" x14ac:dyDescent="0.4">
      <c r="A42" s="34" t="s">
        <v>545</v>
      </c>
      <c r="B42" s="23" t="s">
        <v>546</v>
      </c>
      <c r="C42" s="32" t="str">
        <f>IFERROR([1]!IntrinioBankFinancials(rssd_id,$R$2,C$6,C$5,$B42),"")</f>
        <v/>
      </c>
      <c r="D42" s="32" t="str">
        <f>IFERROR([1]!IntrinioBankFinancials(rssd_id,$R$2,D$6,D$5,$B42),"")</f>
        <v/>
      </c>
      <c r="E42" s="32" t="str">
        <f>IFERROR([1]!IntrinioBankFinancials(rssd_id,$R$2,E$6,E$5,$B42),"")</f>
        <v/>
      </c>
      <c r="F42" s="32" t="str">
        <f>IFERROR([1]!IntrinioBankFinancials(rssd_id,$R$2,F$6,F$5,$B42),"")</f>
        <v/>
      </c>
      <c r="G42" s="32" t="str">
        <f>IFERROR([1]!IntrinioBankFinancials(rssd_id,$R$2,G$6,G$5,$B42),"")</f>
        <v/>
      </c>
      <c r="H42" s="32" t="str">
        <f>IFERROR([1]!IntrinioBankFinancials(rssd_id,$R$2,H$6,H$5,$B42),"")</f>
        <v/>
      </c>
      <c r="I42" s="32" t="str">
        <f>IFERROR([1]!IntrinioBankFinancials(rssd_id,$R$2,I$6,I$5,$B42),"")</f>
        <v/>
      </c>
      <c r="J42" s="32" t="str">
        <f>IFERROR([1]!IntrinioBankFinancials(rssd_id,$R$2,J$6,J$5,$B42),"")</f>
        <v/>
      </c>
      <c r="K42" s="32" t="str">
        <f>IFERROR([1]!IntrinioBankFinancials(rssd_id,$R$2,K$6,K$5,$B42),"")</f>
        <v/>
      </c>
      <c r="L42" s="32" t="str">
        <f>IFERROR([1]!IntrinioBankFinancials(rssd_id,$R$2,L$6,L$5,$B42),"")</f>
        <v/>
      </c>
      <c r="M42" s="32" t="str">
        <f>IFERROR([1]!IntrinioBankFinancials(rssd_id,$R$2,M$6,M$5,$B42),"")</f>
        <v/>
      </c>
      <c r="N42" s="32" t="str">
        <f>IFERROR([1]!IntrinioBankFinancials(rssd_id,$R$2,N$6,N$5,$B42),"")</f>
        <v/>
      </c>
      <c r="O42" s="32" t="str">
        <f>IFERROR([1]!IntrinioBankFinancials(rssd_id,$R$2,O$6,O$5,$B42),"")</f>
        <v/>
      </c>
    </row>
    <row r="43" spans="1:15" s="22" customFormat="1" ht="13.5" customHeight="1" x14ac:dyDescent="0.4">
      <c r="A43" s="33"/>
      <c r="B43" s="20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s="22" customFormat="1" ht="13.5" customHeight="1" x14ac:dyDescent="0.4">
      <c r="A44" s="33" t="s">
        <v>728</v>
      </c>
      <c r="B44" s="20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</row>
    <row r="45" spans="1:15" s="22" customFormat="1" ht="13.5" customHeight="1" x14ac:dyDescent="0.4">
      <c r="A45" s="34" t="s">
        <v>429</v>
      </c>
      <c r="B45" s="23" t="s">
        <v>547</v>
      </c>
      <c r="C45" s="32" t="str">
        <f>IFERROR([1]!IntrinioBankFinancials(rssd_id,$R$2,C$6,C$5,$B45),"")</f>
        <v/>
      </c>
      <c r="D45" s="32" t="str">
        <f>IFERROR([1]!IntrinioBankFinancials(rssd_id,$R$2,D$6,D$5,$B45),"")</f>
        <v/>
      </c>
      <c r="E45" s="32" t="str">
        <f>IFERROR([1]!IntrinioBankFinancials(rssd_id,$R$2,E$6,E$5,$B45),"")</f>
        <v/>
      </c>
      <c r="F45" s="32" t="str">
        <f>IFERROR([1]!IntrinioBankFinancials(rssd_id,$R$2,F$6,F$5,$B45),"")</f>
        <v/>
      </c>
      <c r="G45" s="32" t="str">
        <f>IFERROR([1]!IntrinioBankFinancials(rssd_id,$R$2,G$6,G$5,$B45),"")</f>
        <v/>
      </c>
      <c r="H45" s="32" t="str">
        <f>IFERROR([1]!IntrinioBankFinancials(rssd_id,$R$2,H$6,H$5,$B45),"")</f>
        <v/>
      </c>
      <c r="I45" s="32" t="str">
        <f>IFERROR([1]!IntrinioBankFinancials(rssd_id,$R$2,I$6,I$5,$B45),"")</f>
        <v/>
      </c>
      <c r="J45" s="32" t="str">
        <f>IFERROR([1]!IntrinioBankFinancials(rssd_id,$R$2,J$6,J$5,$B45),"")</f>
        <v/>
      </c>
      <c r="K45" s="32" t="str">
        <f>IFERROR([1]!IntrinioBankFinancials(rssd_id,$R$2,K$6,K$5,$B45),"")</f>
        <v/>
      </c>
      <c r="L45" s="32" t="str">
        <f>IFERROR([1]!IntrinioBankFinancials(rssd_id,$R$2,L$6,L$5,$B45),"")</f>
        <v/>
      </c>
      <c r="M45" s="32" t="str">
        <f>IFERROR([1]!IntrinioBankFinancials(rssd_id,$R$2,M$6,M$5,$B45),"")</f>
        <v/>
      </c>
      <c r="N45" s="32" t="str">
        <f>IFERROR([1]!IntrinioBankFinancials(rssd_id,$R$2,N$6,N$5,$B45),"")</f>
        <v/>
      </c>
      <c r="O45" s="32" t="str">
        <f>IFERROR([1]!IntrinioBankFinancials(rssd_id,$R$2,O$6,O$5,$B45),"")</f>
        <v/>
      </c>
    </row>
    <row r="46" spans="1:15" s="22" customFormat="1" ht="13.5" customHeight="1" x14ac:dyDescent="0.4">
      <c r="A46" s="34" t="s">
        <v>543</v>
      </c>
      <c r="B46" s="23" t="s">
        <v>548</v>
      </c>
      <c r="C46" s="32" t="str">
        <f>IFERROR([1]!IntrinioBankFinancials(rssd_id,$R$2,C$6,C$5,$B46),"")</f>
        <v/>
      </c>
      <c r="D46" s="32" t="str">
        <f>IFERROR([1]!IntrinioBankFinancials(rssd_id,$R$2,D$6,D$5,$B46),"")</f>
        <v/>
      </c>
      <c r="E46" s="32" t="str">
        <f>IFERROR([1]!IntrinioBankFinancials(rssd_id,$R$2,E$6,E$5,$B46),"")</f>
        <v/>
      </c>
      <c r="F46" s="32" t="str">
        <f>IFERROR([1]!IntrinioBankFinancials(rssd_id,$R$2,F$6,F$5,$B46),"")</f>
        <v/>
      </c>
      <c r="G46" s="32" t="str">
        <f>IFERROR([1]!IntrinioBankFinancials(rssd_id,$R$2,G$6,G$5,$B46),"")</f>
        <v/>
      </c>
      <c r="H46" s="32" t="str">
        <f>IFERROR([1]!IntrinioBankFinancials(rssd_id,$R$2,H$6,H$5,$B46),"")</f>
        <v/>
      </c>
      <c r="I46" s="32" t="str">
        <f>IFERROR([1]!IntrinioBankFinancials(rssd_id,$R$2,I$6,I$5,$B46),"")</f>
        <v/>
      </c>
      <c r="J46" s="32" t="str">
        <f>IFERROR([1]!IntrinioBankFinancials(rssd_id,$R$2,J$6,J$5,$B46),"")</f>
        <v/>
      </c>
      <c r="K46" s="32" t="str">
        <f>IFERROR([1]!IntrinioBankFinancials(rssd_id,$R$2,K$6,K$5,$B46),"")</f>
        <v/>
      </c>
      <c r="L46" s="32" t="str">
        <f>IFERROR([1]!IntrinioBankFinancials(rssd_id,$R$2,L$6,L$5,$B46),"")</f>
        <v/>
      </c>
      <c r="M46" s="32" t="str">
        <f>IFERROR([1]!IntrinioBankFinancials(rssd_id,$R$2,M$6,M$5,$B46),"")</f>
        <v/>
      </c>
      <c r="N46" s="32" t="str">
        <f>IFERROR([1]!IntrinioBankFinancials(rssd_id,$R$2,N$6,N$5,$B46),"")</f>
        <v/>
      </c>
      <c r="O46" s="32" t="str">
        <f>IFERROR([1]!IntrinioBankFinancials(rssd_id,$R$2,O$6,O$5,$B46),"")</f>
        <v/>
      </c>
    </row>
    <row r="47" spans="1:15" s="22" customFormat="1" ht="13.5" customHeight="1" x14ac:dyDescent="0.4">
      <c r="A47" s="33"/>
      <c r="B47" s="20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</row>
    <row r="48" spans="1:15" s="22" customFormat="1" ht="13.5" customHeight="1" x14ac:dyDescent="0.4">
      <c r="A48" s="34" t="s">
        <v>545</v>
      </c>
      <c r="B48" s="23" t="s">
        <v>549</v>
      </c>
      <c r="C48" s="32" t="str">
        <f>IFERROR([1]!IntrinioBankFinancials(rssd_id,$R$2,C$6,C$5,$B48),"")</f>
        <v/>
      </c>
      <c r="D48" s="32" t="str">
        <f>IFERROR([1]!IntrinioBankFinancials(rssd_id,$R$2,D$6,D$5,$B48),"")</f>
        <v/>
      </c>
      <c r="E48" s="32" t="str">
        <f>IFERROR([1]!IntrinioBankFinancials(rssd_id,$R$2,E$6,E$5,$B48),"")</f>
        <v/>
      </c>
      <c r="F48" s="32" t="str">
        <f>IFERROR([1]!IntrinioBankFinancials(rssd_id,$R$2,F$6,F$5,$B48),"")</f>
        <v/>
      </c>
      <c r="G48" s="32" t="str">
        <f>IFERROR([1]!IntrinioBankFinancials(rssd_id,$R$2,G$6,G$5,$B48),"")</f>
        <v/>
      </c>
      <c r="H48" s="32" t="str">
        <f>IFERROR([1]!IntrinioBankFinancials(rssd_id,$R$2,H$6,H$5,$B48),"")</f>
        <v/>
      </c>
      <c r="I48" s="32" t="str">
        <f>IFERROR([1]!IntrinioBankFinancials(rssd_id,$R$2,I$6,I$5,$B48),"")</f>
        <v/>
      </c>
      <c r="J48" s="32" t="str">
        <f>IFERROR([1]!IntrinioBankFinancials(rssd_id,$R$2,J$6,J$5,$B48),"")</f>
        <v/>
      </c>
      <c r="K48" s="32" t="str">
        <f>IFERROR([1]!IntrinioBankFinancials(rssd_id,$R$2,K$6,K$5,$B48),"")</f>
        <v/>
      </c>
      <c r="L48" s="32" t="str">
        <f>IFERROR([1]!IntrinioBankFinancials(rssd_id,$R$2,L$6,L$5,$B48),"")</f>
        <v/>
      </c>
      <c r="M48" s="32" t="str">
        <f>IFERROR([1]!IntrinioBankFinancials(rssd_id,$R$2,M$6,M$5,$B48),"")</f>
        <v/>
      </c>
      <c r="N48" s="32" t="str">
        <f>IFERROR([1]!IntrinioBankFinancials(rssd_id,$R$2,N$6,N$5,$B48),"")</f>
        <v/>
      </c>
      <c r="O48" s="32" t="str">
        <f>IFERROR([1]!IntrinioBankFinancials(rssd_id,$R$2,O$6,O$5,$B48),"")</f>
        <v/>
      </c>
    </row>
    <row r="49" spans="1:15" s="22" customFormat="1" ht="13.5" customHeight="1" x14ac:dyDescent="0.4">
      <c r="A49" s="33"/>
      <c r="B49" s="20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s="22" customFormat="1" ht="13.5" customHeight="1" x14ac:dyDescent="0.4">
      <c r="A50" s="33" t="s">
        <v>729</v>
      </c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  <row r="51" spans="1:15" s="22" customFormat="1" ht="13.5" customHeight="1" x14ac:dyDescent="0.4">
      <c r="A51" s="34" t="s">
        <v>550</v>
      </c>
      <c r="B51" s="23" t="s">
        <v>551</v>
      </c>
      <c r="C51" s="32" t="str">
        <f>IFERROR([1]!IntrinioBankFinancials(rssd_id,$R$2,C$6,C$5,$B51),"")</f>
        <v/>
      </c>
      <c r="D51" s="32" t="str">
        <f>IFERROR([1]!IntrinioBankFinancials(rssd_id,$R$2,D$6,D$5,$B51),"")</f>
        <v/>
      </c>
      <c r="E51" s="32" t="str">
        <f>IFERROR([1]!IntrinioBankFinancials(rssd_id,$R$2,E$6,E$5,$B51),"")</f>
        <v/>
      </c>
      <c r="F51" s="32" t="str">
        <f>IFERROR([1]!IntrinioBankFinancials(rssd_id,$R$2,F$6,F$5,$B51),"")</f>
        <v/>
      </c>
      <c r="G51" s="32" t="str">
        <f>IFERROR([1]!IntrinioBankFinancials(rssd_id,$R$2,G$6,G$5,$B51),"")</f>
        <v/>
      </c>
      <c r="H51" s="32" t="str">
        <f>IFERROR([1]!IntrinioBankFinancials(rssd_id,$R$2,H$6,H$5,$B51),"")</f>
        <v/>
      </c>
      <c r="I51" s="32" t="str">
        <f>IFERROR([1]!IntrinioBankFinancials(rssd_id,$R$2,I$6,I$5,$B51),"")</f>
        <v/>
      </c>
      <c r="J51" s="32" t="str">
        <f>IFERROR([1]!IntrinioBankFinancials(rssd_id,$R$2,J$6,J$5,$B51),"")</f>
        <v/>
      </c>
      <c r="K51" s="32" t="str">
        <f>IFERROR([1]!IntrinioBankFinancials(rssd_id,$R$2,K$6,K$5,$B51),"")</f>
        <v/>
      </c>
      <c r="L51" s="32" t="str">
        <f>IFERROR([1]!IntrinioBankFinancials(rssd_id,$R$2,L$6,L$5,$B51),"")</f>
        <v/>
      </c>
      <c r="M51" s="32" t="str">
        <f>IFERROR([1]!IntrinioBankFinancials(rssd_id,$R$2,M$6,M$5,$B51),"")</f>
        <v/>
      </c>
      <c r="N51" s="32" t="str">
        <f>IFERROR([1]!IntrinioBankFinancials(rssd_id,$R$2,N$6,N$5,$B51),"")</f>
        <v/>
      </c>
      <c r="O51" s="32" t="str">
        <f>IFERROR([1]!IntrinioBankFinancials(rssd_id,$R$2,O$6,O$5,$B51),"")</f>
        <v/>
      </c>
    </row>
    <row r="52" spans="1:15" s="22" customFormat="1" ht="13.5" customHeight="1" x14ac:dyDescent="0.4">
      <c r="A52" s="34" t="s">
        <v>552</v>
      </c>
      <c r="B52" s="23" t="s">
        <v>553</v>
      </c>
      <c r="C52" s="32" t="str">
        <f>IFERROR([1]!IntrinioBankFinancials(rssd_id,$R$2,C$6,C$5,$B52),"")</f>
        <v/>
      </c>
      <c r="D52" s="32" t="str">
        <f>IFERROR([1]!IntrinioBankFinancials(rssd_id,$R$2,D$6,D$5,$B52),"")</f>
        <v/>
      </c>
      <c r="E52" s="32" t="str">
        <f>IFERROR([1]!IntrinioBankFinancials(rssd_id,$R$2,E$6,E$5,$B52),"")</f>
        <v/>
      </c>
      <c r="F52" s="32" t="str">
        <f>IFERROR([1]!IntrinioBankFinancials(rssd_id,$R$2,F$6,F$5,$B52),"")</f>
        <v/>
      </c>
      <c r="G52" s="32" t="str">
        <f>IFERROR([1]!IntrinioBankFinancials(rssd_id,$R$2,G$6,G$5,$B52),"")</f>
        <v/>
      </c>
      <c r="H52" s="32" t="str">
        <f>IFERROR([1]!IntrinioBankFinancials(rssd_id,$R$2,H$6,H$5,$B52),"")</f>
        <v/>
      </c>
      <c r="I52" s="32" t="str">
        <f>IFERROR([1]!IntrinioBankFinancials(rssd_id,$R$2,I$6,I$5,$B52),"")</f>
        <v/>
      </c>
      <c r="J52" s="32" t="str">
        <f>IFERROR([1]!IntrinioBankFinancials(rssd_id,$R$2,J$6,J$5,$B52),"")</f>
        <v/>
      </c>
      <c r="K52" s="32" t="str">
        <f>IFERROR([1]!IntrinioBankFinancials(rssd_id,$R$2,K$6,K$5,$B52),"")</f>
        <v/>
      </c>
      <c r="L52" s="32" t="str">
        <f>IFERROR([1]!IntrinioBankFinancials(rssd_id,$R$2,L$6,L$5,$B52),"")</f>
        <v/>
      </c>
      <c r="M52" s="32" t="str">
        <f>IFERROR([1]!IntrinioBankFinancials(rssd_id,$R$2,M$6,M$5,$B52),"")</f>
        <v/>
      </c>
      <c r="N52" s="32" t="str">
        <f>IFERROR([1]!IntrinioBankFinancials(rssd_id,$R$2,N$6,N$5,$B52),"")</f>
        <v/>
      </c>
      <c r="O52" s="32" t="str">
        <f>IFERROR([1]!IntrinioBankFinancials(rssd_id,$R$2,O$6,O$5,$B52),"")</f>
        <v/>
      </c>
    </row>
    <row r="53" spans="1:15" s="22" customFormat="1" ht="13.5" customHeight="1" x14ac:dyDescent="0.4">
      <c r="A53" s="34" t="s">
        <v>554</v>
      </c>
      <c r="B53" s="23" t="s">
        <v>555</v>
      </c>
      <c r="C53" s="32" t="str">
        <f>IFERROR([1]!IntrinioBankFinancials(rssd_id,$R$2,C$6,C$5,$B53),"")</f>
        <v/>
      </c>
      <c r="D53" s="32" t="str">
        <f>IFERROR([1]!IntrinioBankFinancials(rssd_id,$R$2,D$6,D$5,$B53),"")</f>
        <v/>
      </c>
      <c r="E53" s="32" t="str">
        <f>IFERROR([1]!IntrinioBankFinancials(rssd_id,$R$2,E$6,E$5,$B53),"")</f>
        <v/>
      </c>
      <c r="F53" s="32" t="str">
        <f>IFERROR([1]!IntrinioBankFinancials(rssd_id,$R$2,F$6,F$5,$B53),"")</f>
        <v/>
      </c>
      <c r="G53" s="32" t="str">
        <f>IFERROR([1]!IntrinioBankFinancials(rssd_id,$R$2,G$6,G$5,$B53),"")</f>
        <v/>
      </c>
      <c r="H53" s="32" t="str">
        <f>IFERROR([1]!IntrinioBankFinancials(rssd_id,$R$2,H$6,H$5,$B53),"")</f>
        <v/>
      </c>
      <c r="I53" s="32" t="str">
        <f>IFERROR([1]!IntrinioBankFinancials(rssd_id,$R$2,I$6,I$5,$B53),"")</f>
        <v/>
      </c>
      <c r="J53" s="32" t="str">
        <f>IFERROR([1]!IntrinioBankFinancials(rssd_id,$R$2,J$6,J$5,$B53),"")</f>
        <v/>
      </c>
      <c r="K53" s="32" t="str">
        <f>IFERROR([1]!IntrinioBankFinancials(rssd_id,$R$2,K$6,K$5,$B53),"")</f>
        <v/>
      </c>
      <c r="L53" s="32" t="str">
        <f>IFERROR([1]!IntrinioBankFinancials(rssd_id,$R$2,L$6,L$5,$B53),"")</f>
        <v/>
      </c>
      <c r="M53" s="32" t="str">
        <f>IFERROR([1]!IntrinioBankFinancials(rssd_id,$R$2,M$6,M$5,$B53),"")</f>
        <v/>
      </c>
      <c r="N53" s="32" t="str">
        <f>IFERROR([1]!IntrinioBankFinancials(rssd_id,$R$2,N$6,N$5,$B53),"")</f>
        <v/>
      </c>
      <c r="O53" s="32" t="str">
        <f>IFERROR([1]!IntrinioBankFinancials(rssd_id,$R$2,O$6,O$5,$B53),"")</f>
        <v/>
      </c>
    </row>
    <row r="54" spans="1:15" s="22" customFormat="1" ht="13.5" customHeight="1" x14ac:dyDescent="0.4">
      <c r="A54" s="34" t="s">
        <v>556</v>
      </c>
      <c r="B54" s="23" t="s">
        <v>557</v>
      </c>
      <c r="C54" s="32" t="str">
        <f>IFERROR([1]!IntrinioBankFinancials(rssd_id,$R$2,C$6,C$5,$B54),"")</f>
        <v/>
      </c>
      <c r="D54" s="32" t="str">
        <f>IFERROR([1]!IntrinioBankFinancials(rssd_id,$R$2,D$6,D$5,$B54),"")</f>
        <v/>
      </c>
      <c r="E54" s="32" t="str">
        <f>IFERROR([1]!IntrinioBankFinancials(rssd_id,$R$2,E$6,E$5,$B54),"")</f>
        <v/>
      </c>
      <c r="F54" s="32" t="str">
        <f>IFERROR([1]!IntrinioBankFinancials(rssd_id,$R$2,F$6,F$5,$B54),"")</f>
        <v/>
      </c>
      <c r="G54" s="32" t="str">
        <f>IFERROR([1]!IntrinioBankFinancials(rssd_id,$R$2,G$6,G$5,$B54),"")</f>
        <v/>
      </c>
      <c r="H54" s="32" t="str">
        <f>IFERROR([1]!IntrinioBankFinancials(rssd_id,$R$2,H$6,H$5,$B54),"")</f>
        <v/>
      </c>
      <c r="I54" s="32" t="str">
        <f>IFERROR([1]!IntrinioBankFinancials(rssd_id,$R$2,I$6,I$5,$B54),"")</f>
        <v/>
      </c>
      <c r="J54" s="32" t="str">
        <f>IFERROR([1]!IntrinioBankFinancials(rssd_id,$R$2,J$6,J$5,$B54),"")</f>
        <v/>
      </c>
      <c r="K54" s="32" t="str">
        <f>IFERROR([1]!IntrinioBankFinancials(rssd_id,$R$2,K$6,K$5,$B54),"")</f>
        <v/>
      </c>
      <c r="L54" s="32" t="str">
        <f>IFERROR([1]!IntrinioBankFinancials(rssd_id,$R$2,L$6,L$5,$B54),"")</f>
        <v/>
      </c>
      <c r="M54" s="32" t="str">
        <f>IFERROR([1]!IntrinioBankFinancials(rssd_id,$R$2,M$6,M$5,$B54),"")</f>
        <v/>
      </c>
      <c r="N54" s="32" t="str">
        <f>IFERROR([1]!IntrinioBankFinancials(rssd_id,$R$2,N$6,N$5,$B54),"")</f>
        <v/>
      </c>
      <c r="O54" s="32" t="str">
        <f>IFERROR([1]!IntrinioBankFinancials(rssd_id,$R$2,O$6,O$5,$B54),"")</f>
        <v/>
      </c>
    </row>
    <row r="55" spans="1:15" s="22" customFormat="1" ht="13.5" customHeight="1" x14ac:dyDescent="0.4">
      <c r="A55" s="34" t="s">
        <v>558</v>
      </c>
      <c r="B55" s="23" t="s">
        <v>559</v>
      </c>
      <c r="C55" s="32" t="str">
        <f>IFERROR([1]!IntrinioBankFinancials(rssd_id,$R$2,C$6,C$5,$B55),"")</f>
        <v/>
      </c>
      <c r="D55" s="32" t="str">
        <f>IFERROR([1]!IntrinioBankFinancials(rssd_id,$R$2,D$6,D$5,$B55),"")</f>
        <v/>
      </c>
      <c r="E55" s="32" t="str">
        <f>IFERROR([1]!IntrinioBankFinancials(rssd_id,$R$2,E$6,E$5,$B55),"")</f>
        <v/>
      </c>
      <c r="F55" s="32" t="str">
        <f>IFERROR([1]!IntrinioBankFinancials(rssd_id,$R$2,F$6,F$5,$B55),"")</f>
        <v/>
      </c>
      <c r="G55" s="32" t="str">
        <f>IFERROR([1]!IntrinioBankFinancials(rssd_id,$R$2,G$6,G$5,$B55),"")</f>
        <v/>
      </c>
      <c r="H55" s="32" t="str">
        <f>IFERROR([1]!IntrinioBankFinancials(rssd_id,$R$2,H$6,H$5,$B55),"")</f>
        <v/>
      </c>
      <c r="I55" s="32" t="str">
        <f>IFERROR([1]!IntrinioBankFinancials(rssd_id,$R$2,I$6,I$5,$B55),"")</f>
        <v/>
      </c>
      <c r="J55" s="32" t="str">
        <f>IFERROR([1]!IntrinioBankFinancials(rssd_id,$R$2,J$6,J$5,$B55),"")</f>
        <v/>
      </c>
      <c r="K55" s="32" t="str">
        <f>IFERROR([1]!IntrinioBankFinancials(rssd_id,$R$2,K$6,K$5,$B55),"")</f>
        <v/>
      </c>
      <c r="L55" s="32" t="str">
        <f>IFERROR([1]!IntrinioBankFinancials(rssd_id,$R$2,L$6,L$5,$B55),"")</f>
        <v/>
      </c>
      <c r="M55" s="32" t="str">
        <f>IFERROR([1]!IntrinioBankFinancials(rssd_id,$R$2,M$6,M$5,$B55),"")</f>
        <v/>
      </c>
      <c r="N55" s="32" t="str">
        <f>IFERROR([1]!IntrinioBankFinancials(rssd_id,$R$2,N$6,N$5,$B55),"")</f>
        <v/>
      </c>
      <c r="O55" s="32" t="str">
        <f>IFERROR([1]!IntrinioBankFinancials(rssd_id,$R$2,O$6,O$5,$B55),"")</f>
        <v/>
      </c>
    </row>
    <row r="56" spans="1:15" s="22" customFormat="1" ht="13.5" customHeight="1" x14ac:dyDescent="0.4">
      <c r="A56" s="34" t="s">
        <v>552</v>
      </c>
      <c r="B56" s="23" t="s">
        <v>560</v>
      </c>
      <c r="C56" s="32" t="str">
        <f>IFERROR([1]!IntrinioBankFinancials(rssd_id,$R$2,C$6,C$5,$B56),"")</f>
        <v/>
      </c>
      <c r="D56" s="32" t="str">
        <f>IFERROR([1]!IntrinioBankFinancials(rssd_id,$R$2,D$6,D$5,$B56),"")</f>
        <v/>
      </c>
      <c r="E56" s="32" t="str">
        <f>IFERROR([1]!IntrinioBankFinancials(rssd_id,$R$2,E$6,E$5,$B56),"")</f>
        <v/>
      </c>
      <c r="F56" s="32" t="str">
        <f>IFERROR([1]!IntrinioBankFinancials(rssd_id,$R$2,F$6,F$5,$B56),"")</f>
        <v/>
      </c>
      <c r="G56" s="32" t="str">
        <f>IFERROR([1]!IntrinioBankFinancials(rssd_id,$R$2,G$6,G$5,$B56),"")</f>
        <v/>
      </c>
      <c r="H56" s="32" t="str">
        <f>IFERROR([1]!IntrinioBankFinancials(rssd_id,$R$2,H$6,H$5,$B56),"")</f>
        <v/>
      </c>
      <c r="I56" s="32" t="str">
        <f>IFERROR([1]!IntrinioBankFinancials(rssd_id,$R$2,I$6,I$5,$B56),"")</f>
        <v/>
      </c>
      <c r="J56" s="32" t="str">
        <f>IFERROR([1]!IntrinioBankFinancials(rssd_id,$R$2,J$6,J$5,$B56),"")</f>
        <v/>
      </c>
      <c r="K56" s="32" t="str">
        <f>IFERROR([1]!IntrinioBankFinancials(rssd_id,$R$2,K$6,K$5,$B56),"")</f>
        <v/>
      </c>
      <c r="L56" s="32" t="str">
        <f>IFERROR([1]!IntrinioBankFinancials(rssd_id,$R$2,L$6,L$5,$B56),"")</f>
        <v/>
      </c>
      <c r="M56" s="32" t="str">
        <f>IFERROR([1]!IntrinioBankFinancials(rssd_id,$R$2,M$6,M$5,$B56),"")</f>
        <v/>
      </c>
      <c r="N56" s="32" t="str">
        <f>IFERROR([1]!IntrinioBankFinancials(rssd_id,$R$2,N$6,N$5,$B56),"")</f>
        <v/>
      </c>
      <c r="O56" s="32" t="str">
        <f>IFERROR([1]!IntrinioBankFinancials(rssd_id,$R$2,O$6,O$5,$B56),"")</f>
        <v/>
      </c>
    </row>
    <row r="57" spans="1:15" s="22" customFormat="1" ht="13.5" customHeight="1" x14ac:dyDescent="0.4">
      <c r="A57" s="34" t="s">
        <v>554</v>
      </c>
      <c r="B57" s="23" t="s">
        <v>561</v>
      </c>
      <c r="C57" s="32" t="str">
        <f>IFERROR([1]!IntrinioBankFinancials(rssd_id,$R$2,C$6,C$5,$B57),"")</f>
        <v/>
      </c>
      <c r="D57" s="32" t="str">
        <f>IFERROR([1]!IntrinioBankFinancials(rssd_id,$R$2,D$6,D$5,$B57),"")</f>
        <v/>
      </c>
      <c r="E57" s="32" t="str">
        <f>IFERROR([1]!IntrinioBankFinancials(rssd_id,$R$2,E$6,E$5,$B57),"")</f>
        <v/>
      </c>
      <c r="F57" s="32" t="str">
        <f>IFERROR([1]!IntrinioBankFinancials(rssd_id,$R$2,F$6,F$5,$B57),"")</f>
        <v/>
      </c>
      <c r="G57" s="32" t="str">
        <f>IFERROR([1]!IntrinioBankFinancials(rssd_id,$R$2,G$6,G$5,$B57),"")</f>
        <v/>
      </c>
      <c r="H57" s="32" t="str">
        <f>IFERROR([1]!IntrinioBankFinancials(rssd_id,$R$2,H$6,H$5,$B57),"")</f>
        <v/>
      </c>
      <c r="I57" s="32" t="str">
        <f>IFERROR([1]!IntrinioBankFinancials(rssd_id,$R$2,I$6,I$5,$B57),"")</f>
        <v/>
      </c>
      <c r="J57" s="32" t="str">
        <f>IFERROR([1]!IntrinioBankFinancials(rssd_id,$R$2,J$6,J$5,$B57),"")</f>
        <v/>
      </c>
      <c r="K57" s="32" t="str">
        <f>IFERROR([1]!IntrinioBankFinancials(rssd_id,$R$2,K$6,K$5,$B57),"")</f>
        <v/>
      </c>
      <c r="L57" s="32" t="str">
        <f>IFERROR([1]!IntrinioBankFinancials(rssd_id,$R$2,L$6,L$5,$B57),"")</f>
        <v/>
      </c>
      <c r="M57" s="32" t="str">
        <f>IFERROR([1]!IntrinioBankFinancials(rssd_id,$R$2,M$6,M$5,$B57),"")</f>
        <v/>
      </c>
      <c r="N57" s="32" t="str">
        <f>IFERROR([1]!IntrinioBankFinancials(rssd_id,$R$2,N$6,N$5,$B57),"")</f>
        <v/>
      </c>
      <c r="O57" s="32" t="str">
        <f>IFERROR([1]!IntrinioBankFinancials(rssd_id,$R$2,O$6,O$5,$B57),"")</f>
        <v/>
      </c>
    </row>
    <row r="58" spans="1:15" s="22" customFormat="1" ht="13.5" customHeight="1" x14ac:dyDescent="0.4">
      <c r="A58" s="34" t="s">
        <v>556</v>
      </c>
      <c r="B58" s="23" t="s">
        <v>562</v>
      </c>
      <c r="C58" s="32" t="str">
        <f>IFERROR([1]!IntrinioBankFinancials(rssd_id,$R$2,C$6,C$5,$B58),"")</f>
        <v/>
      </c>
      <c r="D58" s="32" t="str">
        <f>IFERROR([1]!IntrinioBankFinancials(rssd_id,$R$2,D$6,D$5,$B58),"")</f>
        <v/>
      </c>
      <c r="E58" s="32" t="str">
        <f>IFERROR([1]!IntrinioBankFinancials(rssd_id,$R$2,E$6,E$5,$B58),"")</f>
        <v/>
      </c>
      <c r="F58" s="32" t="str">
        <f>IFERROR([1]!IntrinioBankFinancials(rssd_id,$R$2,F$6,F$5,$B58),"")</f>
        <v/>
      </c>
      <c r="G58" s="32" t="str">
        <f>IFERROR([1]!IntrinioBankFinancials(rssd_id,$R$2,G$6,G$5,$B58),"")</f>
        <v/>
      </c>
      <c r="H58" s="32" t="str">
        <f>IFERROR([1]!IntrinioBankFinancials(rssd_id,$R$2,H$6,H$5,$B58),"")</f>
        <v/>
      </c>
      <c r="I58" s="32" t="str">
        <f>IFERROR([1]!IntrinioBankFinancials(rssd_id,$R$2,I$6,I$5,$B58),"")</f>
        <v/>
      </c>
      <c r="J58" s="32" t="str">
        <f>IFERROR([1]!IntrinioBankFinancials(rssd_id,$R$2,J$6,J$5,$B58),"")</f>
        <v/>
      </c>
      <c r="K58" s="32" t="str">
        <f>IFERROR([1]!IntrinioBankFinancials(rssd_id,$R$2,K$6,K$5,$B58),"")</f>
        <v/>
      </c>
      <c r="L58" s="32" t="str">
        <f>IFERROR([1]!IntrinioBankFinancials(rssd_id,$R$2,L$6,L$5,$B58),"")</f>
        <v/>
      </c>
      <c r="M58" s="32" t="str">
        <f>IFERROR([1]!IntrinioBankFinancials(rssd_id,$R$2,M$6,M$5,$B58),"")</f>
        <v/>
      </c>
      <c r="N58" s="32" t="str">
        <f>IFERROR([1]!IntrinioBankFinancials(rssd_id,$R$2,N$6,N$5,$B58),"")</f>
        <v/>
      </c>
      <c r="O58" s="32" t="str">
        <f>IFERROR([1]!IntrinioBankFinancials(rssd_id,$R$2,O$6,O$5,$B58),"")</f>
        <v/>
      </c>
    </row>
    <row r="59" spans="1:15" s="22" customFormat="1" ht="13.5" customHeight="1" x14ac:dyDescent="0.4">
      <c r="A59" s="34" t="s">
        <v>563</v>
      </c>
      <c r="B59" s="23" t="s">
        <v>564</v>
      </c>
      <c r="C59" s="32" t="str">
        <f>IFERROR([1]!IntrinioBankFinancials(rssd_id,$R$2,C$6,C$5,$B59),"")</f>
        <v/>
      </c>
      <c r="D59" s="32" t="str">
        <f>IFERROR([1]!IntrinioBankFinancials(rssd_id,$R$2,D$6,D$5,$B59),"")</f>
        <v/>
      </c>
      <c r="E59" s="32" t="str">
        <f>IFERROR([1]!IntrinioBankFinancials(rssd_id,$R$2,E$6,E$5,$B59),"")</f>
        <v/>
      </c>
      <c r="F59" s="32" t="str">
        <f>IFERROR([1]!IntrinioBankFinancials(rssd_id,$R$2,F$6,F$5,$B59),"")</f>
        <v/>
      </c>
      <c r="G59" s="32" t="str">
        <f>IFERROR([1]!IntrinioBankFinancials(rssd_id,$R$2,G$6,G$5,$B59),"")</f>
        <v/>
      </c>
      <c r="H59" s="32" t="str">
        <f>IFERROR([1]!IntrinioBankFinancials(rssd_id,$R$2,H$6,H$5,$B59),"")</f>
        <v/>
      </c>
      <c r="I59" s="32" t="str">
        <f>IFERROR([1]!IntrinioBankFinancials(rssd_id,$R$2,I$6,I$5,$B59),"")</f>
        <v/>
      </c>
      <c r="J59" s="32" t="str">
        <f>IFERROR([1]!IntrinioBankFinancials(rssd_id,$R$2,J$6,J$5,$B59),"")</f>
        <v/>
      </c>
      <c r="K59" s="32" t="str">
        <f>IFERROR([1]!IntrinioBankFinancials(rssd_id,$R$2,K$6,K$5,$B59),"")</f>
        <v/>
      </c>
      <c r="L59" s="32" t="str">
        <f>IFERROR([1]!IntrinioBankFinancials(rssd_id,$R$2,L$6,L$5,$B59),"")</f>
        <v/>
      </c>
      <c r="M59" s="32" t="str">
        <f>IFERROR([1]!IntrinioBankFinancials(rssd_id,$R$2,M$6,M$5,$B59),"")</f>
        <v/>
      </c>
      <c r="N59" s="32" t="str">
        <f>IFERROR([1]!IntrinioBankFinancials(rssd_id,$R$2,N$6,N$5,$B59),"")</f>
        <v/>
      </c>
      <c r="O59" s="32" t="str">
        <f>IFERROR([1]!IntrinioBankFinancials(rssd_id,$R$2,O$6,O$5,$B59),"")</f>
        <v/>
      </c>
    </row>
    <row r="60" spans="1:15" s="22" customFormat="1" ht="13.5" customHeight="1" x14ac:dyDescent="0.4">
      <c r="A60" s="34" t="s">
        <v>552</v>
      </c>
      <c r="B60" s="23" t="s">
        <v>565</v>
      </c>
      <c r="C60" s="32" t="str">
        <f>IFERROR([1]!IntrinioBankFinancials(rssd_id,$R$2,C$6,C$5,$B60),"")</f>
        <v/>
      </c>
      <c r="D60" s="32" t="str">
        <f>IFERROR([1]!IntrinioBankFinancials(rssd_id,$R$2,D$6,D$5,$B60),"")</f>
        <v/>
      </c>
      <c r="E60" s="32" t="str">
        <f>IFERROR([1]!IntrinioBankFinancials(rssd_id,$R$2,E$6,E$5,$B60),"")</f>
        <v/>
      </c>
      <c r="F60" s="32" t="str">
        <f>IFERROR([1]!IntrinioBankFinancials(rssd_id,$R$2,F$6,F$5,$B60),"")</f>
        <v/>
      </c>
      <c r="G60" s="32" t="str">
        <f>IFERROR([1]!IntrinioBankFinancials(rssd_id,$R$2,G$6,G$5,$B60),"")</f>
        <v/>
      </c>
      <c r="H60" s="32" t="str">
        <f>IFERROR([1]!IntrinioBankFinancials(rssd_id,$R$2,H$6,H$5,$B60),"")</f>
        <v/>
      </c>
      <c r="I60" s="32" t="str">
        <f>IFERROR([1]!IntrinioBankFinancials(rssd_id,$R$2,I$6,I$5,$B60),"")</f>
        <v/>
      </c>
      <c r="J60" s="32" t="str">
        <f>IFERROR([1]!IntrinioBankFinancials(rssd_id,$R$2,J$6,J$5,$B60),"")</f>
        <v/>
      </c>
      <c r="K60" s="32" t="str">
        <f>IFERROR([1]!IntrinioBankFinancials(rssd_id,$R$2,K$6,K$5,$B60),"")</f>
        <v/>
      </c>
      <c r="L60" s="32" t="str">
        <f>IFERROR([1]!IntrinioBankFinancials(rssd_id,$R$2,L$6,L$5,$B60),"")</f>
        <v/>
      </c>
      <c r="M60" s="32" t="str">
        <f>IFERROR([1]!IntrinioBankFinancials(rssd_id,$R$2,M$6,M$5,$B60),"")</f>
        <v/>
      </c>
      <c r="N60" s="32" t="str">
        <f>IFERROR([1]!IntrinioBankFinancials(rssd_id,$R$2,N$6,N$5,$B60),"")</f>
        <v/>
      </c>
      <c r="O60" s="32" t="str">
        <f>IFERROR([1]!IntrinioBankFinancials(rssd_id,$R$2,O$6,O$5,$B60),"")</f>
        <v/>
      </c>
    </row>
    <row r="61" spans="1:15" s="22" customFormat="1" ht="13.5" customHeight="1" x14ac:dyDescent="0.4">
      <c r="A61" s="34" t="s">
        <v>554</v>
      </c>
      <c r="B61" s="23" t="s">
        <v>566</v>
      </c>
      <c r="C61" s="32" t="str">
        <f>IFERROR([1]!IntrinioBankFinancials(rssd_id,$R$2,C$6,C$5,$B61),"")</f>
        <v/>
      </c>
      <c r="D61" s="32" t="str">
        <f>IFERROR([1]!IntrinioBankFinancials(rssd_id,$R$2,D$6,D$5,$B61),"")</f>
        <v/>
      </c>
      <c r="E61" s="32" t="str">
        <f>IFERROR([1]!IntrinioBankFinancials(rssd_id,$R$2,E$6,E$5,$B61),"")</f>
        <v/>
      </c>
      <c r="F61" s="32" t="str">
        <f>IFERROR([1]!IntrinioBankFinancials(rssd_id,$R$2,F$6,F$5,$B61),"")</f>
        <v/>
      </c>
      <c r="G61" s="32" t="str">
        <f>IFERROR([1]!IntrinioBankFinancials(rssd_id,$R$2,G$6,G$5,$B61),"")</f>
        <v/>
      </c>
      <c r="H61" s="32" t="str">
        <f>IFERROR([1]!IntrinioBankFinancials(rssd_id,$R$2,H$6,H$5,$B61),"")</f>
        <v/>
      </c>
      <c r="I61" s="32" t="str">
        <f>IFERROR([1]!IntrinioBankFinancials(rssd_id,$R$2,I$6,I$5,$B61),"")</f>
        <v/>
      </c>
      <c r="J61" s="32" t="str">
        <f>IFERROR([1]!IntrinioBankFinancials(rssd_id,$R$2,J$6,J$5,$B61),"")</f>
        <v/>
      </c>
      <c r="K61" s="32" t="str">
        <f>IFERROR([1]!IntrinioBankFinancials(rssd_id,$R$2,K$6,K$5,$B61),"")</f>
        <v/>
      </c>
      <c r="L61" s="32" t="str">
        <f>IFERROR([1]!IntrinioBankFinancials(rssd_id,$R$2,L$6,L$5,$B61),"")</f>
        <v/>
      </c>
      <c r="M61" s="32" t="str">
        <f>IFERROR([1]!IntrinioBankFinancials(rssd_id,$R$2,M$6,M$5,$B61),"")</f>
        <v/>
      </c>
      <c r="N61" s="32" t="str">
        <f>IFERROR([1]!IntrinioBankFinancials(rssd_id,$R$2,N$6,N$5,$B61),"")</f>
        <v/>
      </c>
      <c r="O61" s="32" t="str">
        <f>IFERROR([1]!IntrinioBankFinancials(rssd_id,$R$2,O$6,O$5,$B61),"")</f>
        <v/>
      </c>
    </row>
    <row r="62" spans="1:15" s="22" customFormat="1" ht="13.5" customHeight="1" x14ac:dyDescent="0.4">
      <c r="A62" s="34" t="s">
        <v>556</v>
      </c>
      <c r="B62" s="23" t="s">
        <v>567</v>
      </c>
      <c r="C62" s="32" t="str">
        <f>IFERROR([1]!IntrinioBankFinancials(rssd_id,$R$2,C$6,C$5,$B62),"")</f>
        <v/>
      </c>
      <c r="D62" s="32" t="str">
        <f>IFERROR([1]!IntrinioBankFinancials(rssd_id,$R$2,D$6,D$5,$B62),"")</f>
        <v/>
      </c>
      <c r="E62" s="32" t="str">
        <f>IFERROR([1]!IntrinioBankFinancials(rssd_id,$R$2,E$6,E$5,$B62),"")</f>
        <v/>
      </c>
      <c r="F62" s="32" t="str">
        <f>IFERROR([1]!IntrinioBankFinancials(rssd_id,$R$2,F$6,F$5,$B62),"")</f>
        <v/>
      </c>
      <c r="G62" s="32" t="str">
        <f>IFERROR([1]!IntrinioBankFinancials(rssd_id,$R$2,G$6,G$5,$B62),"")</f>
        <v/>
      </c>
      <c r="H62" s="32" t="str">
        <f>IFERROR([1]!IntrinioBankFinancials(rssd_id,$R$2,H$6,H$5,$B62),"")</f>
        <v/>
      </c>
      <c r="I62" s="32" t="str">
        <f>IFERROR([1]!IntrinioBankFinancials(rssd_id,$R$2,I$6,I$5,$B62),"")</f>
        <v/>
      </c>
      <c r="J62" s="32" t="str">
        <f>IFERROR([1]!IntrinioBankFinancials(rssd_id,$R$2,J$6,J$5,$B62),"")</f>
        <v/>
      </c>
      <c r="K62" s="32" t="str">
        <f>IFERROR([1]!IntrinioBankFinancials(rssd_id,$R$2,K$6,K$5,$B62),"")</f>
        <v/>
      </c>
      <c r="L62" s="32" t="str">
        <f>IFERROR([1]!IntrinioBankFinancials(rssd_id,$R$2,L$6,L$5,$B62),"")</f>
        <v/>
      </c>
      <c r="M62" s="32" t="str">
        <f>IFERROR([1]!IntrinioBankFinancials(rssd_id,$R$2,M$6,M$5,$B62),"")</f>
        <v/>
      </c>
      <c r="N62" s="32" t="str">
        <f>IFERROR([1]!IntrinioBankFinancials(rssd_id,$R$2,N$6,N$5,$B62),"")</f>
        <v/>
      </c>
      <c r="O62" s="32" t="str">
        <f>IFERROR([1]!IntrinioBankFinancials(rssd_id,$R$2,O$6,O$5,$B62),"")</f>
        <v/>
      </c>
    </row>
    <row r="63" spans="1:15" s="22" customFormat="1" ht="13.5" customHeight="1" x14ac:dyDescent="0.4">
      <c r="A63" s="34" t="s">
        <v>568</v>
      </c>
      <c r="B63" s="23" t="s">
        <v>569</v>
      </c>
      <c r="C63" s="32" t="str">
        <f>IFERROR([1]!IntrinioBankFinancials(rssd_id,$R$2,C$6,C$5,$B63),"")</f>
        <v/>
      </c>
      <c r="D63" s="32" t="str">
        <f>IFERROR([1]!IntrinioBankFinancials(rssd_id,$R$2,D$6,D$5,$B63),"")</f>
        <v/>
      </c>
      <c r="E63" s="32" t="str">
        <f>IFERROR([1]!IntrinioBankFinancials(rssd_id,$R$2,E$6,E$5,$B63),"")</f>
        <v/>
      </c>
      <c r="F63" s="32" t="str">
        <f>IFERROR([1]!IntrinioBankFinancials(rssd_id,$R$2,F$6,F$5,$B63),"")</f>
        <v/>
      </c>
      <c r="G63" s="32" t="str">
        <f>IFERROR([1]!IntrinioBankFinancials(rssd_id,$R$2,G$6,G$5,$B63),"")</f>
        <v/>
      </c>
      <c r="H63" s="32" t="str">
        <f>IFERROR([1]!IntrinioBankFinancials(rssd_id,$R$2,H$6,H$5,$B63),"")</f>
        <v/>
      </c>
      <c r="I63" s="32" t="str">
        <f>IFERROR([1]!IntrinioBankFinancials(rssd_id,$R$2,I$6,I$5,$B63),"")</f>
        <v/>
      </c>
      <c r="J63" s="32" t="str">
        <f>IFERROR([1]!IntrinioBankFinancials(rssd_id,$R$2,J$6,J$5,$B63),"")</f>
        <v/>
      </c>
      <c r="K63" s="32" t="str">
        <f>IFERROR([1]!IntrinioBankFinancials(rssd_id,$R$2,K$6,K$5,$B63),"")</f>
        <v/>
      </c>
      <c r="L63" s="32" t="str">
        <f>IFERROR([1]!IntrinioBankFinancials(rssd_id,$R$2,L$6,L$5,$B63),"")</f>
        <v/>
      </c>
      <c r="M63" s="32" t="str">
        <f>IFERROR([1]!IntrinioBankFinancials(rssd_id,$R$2,M$6,M$5,$B63),"")</f>
        <v/>
      </c>
      <c r="N63" s="32" t="str">
        <f>IFERROR([1]!IntrinioBankFinancials(rssd_id,$R$2,N$6,N$5,$B63),"")</f>
        <v/>
      </c>
      <c r="O63" s="32" t="str">
        <f>IFERROR([1]!IntrinioBankFinancials(rssd_id,$R$2,O$6,O$5,$B63),"")</f>
        <v/>
      </c>
    </row>
    <row r="64" spans="1:15" s="22" customFormat="1" ht="13.5" customHeight="1" x14ac:dyDescent="0.4">
      <c r="A64" s="34" t="s">
        <v>552</v>
      </c>
      <c r="B64" s="23" t="s">
        <v>570</v>
      </c>
      <c r="C64" s="32" t="str">
        <f>IFERROR([1]!IntrinioBankFinancials(rssd_id,$R$2,C$6,C$5,$B64),"")</f>
        <v/>
      </c>
      <c r="D64" s="32" t="str">
        <f>IFERROR([1]!IntrinioBankFinancials(rssd_id,$R$2,D$6,D$5,$B64),"")</f>
        <v/>
      </c>
      <c r="E64" s="32" t="str">
        <f>IFERROR([1]!IntrinioBankFinancials(rssd_id,$R$2,E$6,E$5,$B64),"")</f>
        <v/>
      </c>
      <c r="F64" s="32" t="str">
        <f>IFERROR([1]!IntrinioBankFinancials(rssd_id,$R$2,F$6,F$5,$B64),"")</f>
        <v/>
      </c>
      <c r="G64" s="32" t="str">
        <f>IFERROR([1]!IntrinioBankFinancials(rssd_id,$R$2,G$6,G$5,$B64),"")</f>
        <v/>
      </c>
      <c r="H64" s="32" t="str">
        <f>IFERROR([1]!IntrinioBankFinancials(rssd_id,$R$2,H$6,H$5,$B64),"")</f>
        <v/>
      </c>
      <c r="I64" s="32" t="str">
        <f>IFERROR([1]!IntrinioBankFinancials(rssd_id,$R$2,I$6,I$5,$B64),"")</f>
        <v/>
      </c>
      <c r="J64" s="32" t="str">
        <f>IFERROR([1]!IntrinioBankFinancials(rssd_id,$R$2,J$6,J$5,$B64),"")</f>
        <v/>
      </c>
      <c r="K64" s="32" t="str">
        <f>IFERROR([1]!IntrinioBankFinancials(rssd_id,$R$2,K$6,K$5,$B64),"")</f>
        <v/>
      </c>
      <c r="L64" s="32" t="str">
        <f>IFERROR([1]!IntrinioBankFinancials(rssd_id,$R$2,L$6,L$5,$B64),"")</f>
        <v/>
      </c>
      <c r="M64" s="32" t="str">
        <f>IFERROR([1]!IntrinioBankFinancials(rssd_id,$R$2,M$6,M$5,$B64),"")</f>
        <v/>
      </c>
      <c r="N64" s="32" t="str">
        <f>IFERROR([1]!IntrinioBankFinancials(rssd_id,$R$2,N$6,N$5,$B64),"")</f>
        <v/>
      </c>
      <c r="O64" s="32" t="str">
        <f>IFERROR([1]!IntrinioBankFinancials(rssd_id,$R$2,O$6,O$5,$B64),"")</f>
        <v/>
      </c>
    </row>
    <row r="65" spans="1:15" s="22" customFormat="1" ht="13.5" customHeight="1" x14ac:dyDescent="0.4">
      <c r="A65" s="34" t="s">
        <v>554</v>
      </c>
      <c r="B65" s="23" t="s">
        <v>571</v>
      </c>
      <c r="C65" s="32" t="str">
        <f>IFERROR([1]!IntrinioBankFinancials(rssd_id,$R$2,C$6,C$5,$B65),"")</f>
        <v/>
      </c>
      <c r="D65" s="32" t="str">
        <f>IFERROR([1]!IntrinioBankFinancials(rssd_id,$R$2,D$6,D$5,$B65),"")</f>
        <v/>
      </c>
      <c r="E65" s="32" t="str">
        <f>IFERROR([1]!IntrinioBankFinancials(rssd_id,$R$2,E$6,E$5,$B65),"")</f>
        <v/>
      </c>
      <c r="F65" s="32" t="str">
        <f>IFERROR([1]!IntrinioBankFinancials(rssd_id,$R$2,F$6,F$5,$B65),"")</f>
        <v/>
      </c>
      <c r="G65" s="32" t="str">
        <f>IFERROR([1]!IntrinioBankFinancials(rssd_id,$R$2,G$6,G$5,$B65),"")</f>
        <v/>
      </c>
      <c r="H65" s="32" t="str">
        <f>IFERROR([1]!IntrinioBankFinancials(rssd_id,$R$2,H$6,H$5,$B65),"")</f>
        <v/>
      </c>
      <c r="I65" s="32" t="str">
        <f>IFERROR([1]!IntrinioBankFinancials(rssd_id,$R$2,I$6,I$5,$B65),"")</f>
        <v/>
      </c>
      <c r="J65" s="32" t="str">
        <f>IFERROR([1]!IntrinioBankFinancials(rssd_id,$R$2,J$6,J$5,$B65),"")</f>
        <v/>
      </c>
      <c r="K65" s="32" t="str">
        <f>IFERROR([1]!IntrinioBankFinancials(rssd_id,$R$2,K$6,K$5,$B65),"")</f>
        <v/>
      </c>
      <c r="L65" s="32" t="str">
        <f>IFERROR([1]!IntrinioBankFinancials(rssd_id,$R$2,L$6,L$5,$B65),"")</f>
        <v/>
      </c>
      <c r="M65" s="32" t="str">
        <f>IFERROR([1]!IntrinioBankFinancials(rssd_id,$R$2,M$6,M$5,$B65),"")</f>
        <v/>
      </c>
      <c r="N65" s="32" t="str">
        <f>IFERROR([1]!IntrinioBankFinancials(rssd_id,$R$2,N$6,N$5,$B65),"")</f>
        <v/>
      </c>
      <c r="O65" s="32" t="str">
        <f>IFERROR([1]!IntrinioBankFinancials(rssd_id,$R$2,O$6,O$5,$B65),"")</f>
        <v/>
      </c>
    </row>
    <row r="66" spans="1:15" s="22" customFormat="1" ht="13.5" customHeight="1" x14ac:dyDescent="0.4">
      <c r="A66" s="34" t="s">
        <v>556</v>
      </c>
      <c r="B66" s="23" t="s">
        <v>572</v>
      </c>
      <c r="C66" s="32" t="str">
        <f>IFERROR([1]!IntrinioBankFinancials(rssd_id,$R$2,C$6,C$5,$B66),"")</f>
        <v/>
      </c>
      <c r="D66" s="32" t="str">
        <f>IFERROR([1]!IntrinioBankFinancials(rssd_id,$R$2,D$6,D$5,$B66),"")</f>
        <v/>
      </c>
      <c r="E66" s="32" t="str">
        <f>IFERROR([1]!IntrinioBankFinancials(rssd_id,$R$2,E$6,E$5,$B66),"")</f>
        <v/>
      </c>
      <c r="F66" s="32" t="str">
        <f>IFERROR([1]!IntrinioBankFinancials(rssd_id,$R$2,F$6,F$5,$B66),"")</f>
        <v/>
      </c>
      <c r="G66" s="32" t="str">
        <f>IFERROR([1]!IntrinioBankFinancials(rssd_id,$R$2,G$6,G$5,$B66),"")</f>
        <v/>
      </c>
      <c r="H66" s="32" t="str">
        <f>IFERROR([1]!IntrinioBankFinancials(rssd_id,$R$2,H$6,H$5,$B66),"")</f>
        <v/>
      </c>
      <c r="I66" s="32" t="str">
        <f>IFERROR([1]!IntrinioBankFinancials(rssd_id,$R$2,I$6,I$5,$B66),"")</f>
        <v/>
      </c>
      <c r="J66" s="32" t="str">
        <f>IFERROR([1]!IntrinioBankFinancials(rssd_id,$R$2,J$6,J$5,$B66),"")</f>
        <v/>
      </c>
      <c r="K66" s="32" t="str">
        <f>IFERROR([1]!IntrinioBankFinancials(rssd_id,$R$2,K$6,K$5,$B66),"")</f>
        <v/>
      </c>
      <c r="L66" s="32" t="str">
        <f>IFERROR([1]!IntrinioBankFinancials(rssd_id,$R$2,L$6,L$5,$B66),"")</f>
        <v/>
      </c>
      <c r="M66" s="32" t="str">
        <f>IFERROR([1]!IntrinioBankFinancials(rssd_id,$R$2,M$6,M$5,$B66),"")</f>
        <v/>
      </c>
      <c r="N66" s="32" t="str">
        <f>IFERROR([1]!IntrinioBankFinancials(rssd_id,$R$2,N$6,N$5,$B66),"")</f>
        <v/>
      </c>
      <c r="O66" s="32" t="str">
        <f>IFERROR([1]!IntrinioBankFinancials(rssd_id,$R$2,O$6,O$5,$B66),"")</f>
        <v/>
      </c>
    </row>
    <row r="67" spans="1:15" s="22" customFormat="1" ht="13.5" customHeight="1" x14ac:dyDescent="0.4">
      <c r="A67" s="34" t="s">
        <v>573</v>
      </c>
      <c r="B67" s="23" t="s">
        <v>574</v>
      </c>
      <c r="C67" s="32" t="str">
        <f>IFERROR([1]!IntrinioBankFinancials(rssd_id,$R$2,C$6,C$5,$B67),"")</f>
        <v/>
      </c>
      <c r="D67" s="32" t="str">
        <f>IFERROR([1]!IntrinioBankFinancials(rssd_id,$R$2,D$6,D$5,$B67),"")</f>
        <v/>
      </c>
      <c r="E67" s="32" t="str">
        <f>IFERROR([1]!IntrinioBankFinancials(rssd_id,$R$2,E$6,E$5,$B67),"")</f>
        <v/>
      </c>
      <c r="F67" s="32" t="str">
        <f>IFERROR([1]!IntrinioBankFinancials(rssd_id,$R$2,F$6,F$5,$B67),"")</f>
        <v/>
      </c>
      <c r="G67" s="32" t="str">
        <f>IFERROR([1]!IntrinioBankFinancials(rssd_id,$R$2,G$6,G$5,$B67),"")</f>
        <v/>
      </c>
      <c r="H67" s="32" t="str">
        <f>IFERROR([1]!IntrinioBankFinancials(rssd_id,$R$2,H$6,H$5,$B67),"")</f>
        <v/>
      </c>
      <c r="I67" s="32" t="str">
        <f>IFERROR([1]!IntrinioBankFinancials(rssd_id,$R$2,I$6,I$5,$B67),"")</f>
        <v/>
      </c>
      <c r="J67" s="32" t="str">
        <f>IFERROR([1]!IntrinioBankFinancials(rssd_id,$R$2,J$6,J$5,$B67),"")</f>
        <v/>
      </c>
      <c r="K67" s="32" t="str">
        <f>IFERROR([1]!IntrinioBankFinancials(rssd_id,$R$2,K$6,K$5,$B67),"")</f>
        <v/>
      </c>
      <c r="L67" s="32" t="str">
        <f>IFERROR([1]!IntrinioBankFinancials(rssd_id,$R$2,L$6,L$5,$B67),"")</f>
        <v/>
      </c>
      <c r="M67" s="32" t="str">
        <f>IFERROR([1]!IntrinioBankFinancials(rssd_id,$R$2,M$6,M$5,$B67),"")</f>
        <v/>
      </c>
      <c r="N67" s="32" t="str">
        <f>IFERROR([1]!IntrinioBankFinancials(rssd_id,$R$2,N$6,N$5,$B67),"")</f>
        <v/>
      </c>
      <c r="O67" s="32" t="str">
        <f>IFERROR([1]!IntrinioBankFinancials(rssd_id,$R$2,O$6,O$5,$B67),"")</f>
        <v/>
      </c>
    </row>
    <row r="68" spans="1:15" s="22" customFormat="1" ht="13.5" customHeight="1" x14ac:dyDescent="0.4">
      <c r="A68" s="34" t="s">
        <v>552</v>
      </c>
      <c r="B68" s="23" t="s">
        <v>575</v>
      </c>
      <c r="C68" s="32" t="str">
        <f>IFERROR([1]!IntrinioBankFinancials(rssd_id,$R$2,C$6,C$5,$B68),"")</f>
        <v/>
      </c>
      <c r="D68" s="32" t="str">
        <f>IFERROR([1]!IntrinioBankFinancials(rssd_id,$R$2,D$6,D$5,$B68),"")</f>
        <v/>
      </c>
      <c r="E68" s="32" t="str">
        <f>IFERROR([1]!IntrinioBankFinancials(rssd_id,$R$2,E$6,E$5,$B68),"")</f>
        <v/>
      </c>
      <c r="F68" s="32" t="str">
        <f>IFERROR([1]!IntrinioBankFinancials(rssd_id,$R$2,F$6,F$5,$B68),"")</f>
        <v/>
      </c>
      <c r="G68" s="32" t="str">
        <f>IFERROR([1]!IntrinioBankFinancials(rssd_id,$R$2,G$6,G$5,$B68),"")</f>
        <v/>
      </c>
      <c r="H68" s="32" t="str">
        <f>IFERROR([1]!IntrinioBankFinancials(rssd_id,$R$2,H$6,H$5,$B68),"")</f>
        <v/>
      </c>
      <c r="I68" s="32" t="str">
        <f>IFERROR([1]!IntrinioBankFinancials(rssd_id,$R$2,I$6,I$5,$B68),"")</f>
        <v/>
      </c>
      <c r="J68" s="32" t="str">
        <f>IFERROR([1]!IntrinioBankFinancials(rssd_id,$R$2,J$6,J$5,$B68),"")</f>
        <v/>
      </c>
      <c r="K68" s="32" t="str">
        <f>IFERROR([1]!IntrinioBankFinancials(rssd_id,$R$2,K$6,K$5,$B68),"")</f>
        <v/>
      </c>
      <c r="L68" s="32" t="str">
        <f>IFERROR([1]!IntrinioBankFinancials(rssd_id,$R$2,L$6,L$5,$B68),"")</f>
        <v/>
      </c>
      <c r="M68" s="32" t="str">
        <f>IFERROR([1]!IntrinioBankFinancials(rssd_id,$R$2,M$6,M$5,$B68),"")</f>
        <v/>
      </c>
      <c r="N68" s="32" t="str">
        <f>IFERROR([1]!IntrinioBankFinancials(rssd_id,$R$2,N$6,N$5,$B68),"")</f>
        <v/>
      </c>
      <c r="O68" s="32" t="str">
        <f>IFERROR([1]!IntrinioBankFinancials(rssd_id,$R$2,O$6,O$5,$B68),"")</f>
        <v/>
      </c>
    </row>
    <row r="69" spans="1:15" s="22" customFormat="1" ht="13.5" customHeight="1" x14ac:dyDescent="0.4">
      <c r="A69" s="34" t="s">
        <v>554</v>
      </c>
      <c r="B69" s="23" t="s">
        <v>576</v>
      </c>
      <c r="C69" s="32" t="str">
        <f>IFERROR([1]!IntrinioBankFinancials(rssd_id,$R$2,C$6,C$5,$B69),"")</f>
        <v/>
      </c>
      <c r="D69" s="32" t="str">
        <f>IFERROR([1]!IntrinioBankFinancials(rssd_id,$R$2,D$6,D$5,$B69),"")</f>
        <v/>
      </c>
      <c r="E69" s="32" t="str">
        <f>IFERROR([1]!IntrinioBankFinancials(rssd_id,$R$2,E$6,E$5,$B69),"")</f>
        <v/>
      </c>
      <c r="F69" s="32" t="str">
        <f>IFERROR([1]!IntrinioBankFinancials(rssd_id,$R$2,F$6,F$5,$B69),"")</f>
        <v/>
      </c>
      <c r="G69" s="32" t="str">
        <f>IFERROR([1]!IntrinioBankFinancials(rssd_id,$R$2,G$6,G$5,$B69),"")</f>
        <v/>
      </c>
      <c r="H69" s="32" t="str">
        <f>IFERROR([1]!IntrinioBankFinancials(rssd_id,$R$2,H$6,H$5,$B69),"")</f>
        <v/>
      </c>
      <c r="I69" s="32" t="str">
        <f>IFERROR([1]!IntrinioBankFinancials(rssd_id,$R$2,I$6,I$5,$B69),"")</f>
        <v/>
      </c>
      <c r="J69" s="32" t="str">
        <f>IFERROR([1]!IntrinioBankFinancials(rssd_id,$R$2,J$6,J$5,$B69),"")</f>
        <v/>
      </c>
      <c r="K69" s="32" t="str">
        <f>IFERROR([1]!IntrinioBankFinancials(rssd_id,$R$2,K$6,K$5,$B69),"")</f>
        <v/>
      </c>
      <c r="L69" s="32" t="str">
        <f>IFERROR([1]!IntrinioBankFinancials(rssd_id,$R$2,L$6,L$5,$B69),"")</f>
        <v/>
      </c>
      <c r="M69" s="32" t="str">
        <f>IFERROR([1]!IntrinioBankFinancials(rssd_id,$R$2,M$6,M$5,$B69),"")</f>
        <v/>
      </c>
      <c r="N69" s="32" t="str">
        <f>IFERROR([1]!IntrinioBankFinancials(rssd_id,$R$2,N$6,N$5,$B69),"")</f>
        <v/>
      </c>
      <c r="O69" s="32" t="str">
        <f>IFERROR([1]!IntrinioBankFinancials(rssd_id,$R$2,O$6,O$5,$B69),"")</f>
        <v/>
      </c>
    </row>
    <row r="70" spans="1:15" s="22" customFormat="1" ht="13.5" customHeight="1" x14ac:dyDescent="0.4">
      <c r="A70" s="34" t="s">
        <v>556</v>
      </c>
      <c r="B70" s="23" t="s">
        <v>577</v>
      </c>
      <c r="C70" s="32" t="str">
        <f>IFERROR([1]!IntrinioBankFinancials(rssd_id,$R$2,C$6,C$5,$B70),"")</f>
        <v/>
      </c>
      <c r="D70" s="32" t="str">
        <f>IFERROR([1]!IntrinioBankFinancials(rssd_id,$R$2,D$6,D$5,$B70),"")</f>
        <v/>
      </c>
      <c r="E70" s="32" t="str">
        <f>IFERROR([1]!IntrinioBankFinancials(rssd_id,$R$2,E$6,E$5,$B70),"")</f>
        <v/>
      </c>
      <c r="F70" s="32" t="str">
        <f>IFERROR([1]!IntrinioBankFinancials(rssd_id,$R$2,F$6,F$5,$B70),"")</f>
        <v/>
      </c>
      <c r="G70" s="32" t="str">
        <f>IFERROR([1]!IntrinioBankFinancials(rssd_id,$R$2,G$6,G$5,$B70),"")</f>
        <v/>
      </c>
      <c r="H70" s="32" t="str">
        <f>IFERROR([1]!IntrinioBankFinancials(rssd_id,$R$2,H$6,H$5,$B70),"")</f>
        <v/>
      </c>
      <c r="I70" s="32" t="str">
        <f>IFERROR([1]!IntrinioBankFinancials(rssd_id,$R$2,I$6,I$5,$B70),"")</f>
        <v/>
      </c>
      <c r="J70" s="32" t="str">
        <f>IFERROR([1]!IntrinioBankFinancials(rssd_id,$R$2,J$6,J$5,$B70),"")</f>
        <v/>
      </c>
      <c r="K70" s="32" t="str">
        <f>IFERROR([1]!IntrinioBankFinancials(rssd_id,$R$2,K$6,K$5,$B70),"")</f>
        <v/>
      </c>
      <c r="L70" s="32" t="str">
        <f>IFERROR([1]!IntrinioBankFinancials(rssd_id,$R$2,L$6,L$5,$B70),"")</f>
        <v/>
      </c>
      <c r="M70" s="32" t="str">
        <f>IFERROR([1]!IntrinioBankFinancials(rssd_id,$R$2,M$6,M$5,$B70),"")</f>
        <v/>
      </c>
      <c r="N70" s="32" t="str">
        <f>IFERROR([1]!IntrinioBankFinancials(rssd_id,$R$2,N$6,N$5,$B70),"")</f>
        <v/>
      </c>
      <c r="O70" s="32" t="str">
        <f>IFERROR([1]!IntrinioBankFinancials(rssd_id,$R$2,O$6,O$5,$B70),"")</f>
        <v/>
      </c>
    </row>
    <row r="71" spans="1:15" s="22" customFormat="1" ht="13.5" customHeight="1" x14ac:dyDescent="0.4">
      <c r="A71" s="34" t="s">
        <v>578</v>
      </c>
      <c r="B71" s="23" t="s">
        <v>579</v>
      </c>
      <c r="C71" s="32" t="str">
        <f>IFERROR([1]!IntrinioBankFinancials(rssd_id,$R$2,C$6,C$5,$B71),"")</f>
        <v/>
      </c>
      <c r="D71" s="32" t="str">
        <f>IFERROR([1]!IntrinioBankFinancials(rssd_id,$R$2,D$6,D$5,$B71),"")</f>
        <v/>
      </c>
      <c r="E71" s="32" t="str">
        <f>IFERROR([1]!IntrinioBankFinancials(rssd_id,$R$2,E$6,E$5,$B71),"")</f>
        <v/>
      </c>
      <c r="F71" s="32" t="str">
        <f>IFERROR([1]!IntrinioBankFinancials(rssd_id,$R$2,F$6,F$5,$B71),"")</f>
        <v/>
      </c>
      <c r="G71" s="32" t="str">
        <f>IFERROR([1]!IntrinioBankFinancials(rssd_id,$R$2,G$6,G$5,$B71),"")</f>
        <v/>
      </c>
      <c r="H71" s="32" t="str">
        <f>IFERROR([1]!IntrinioBankFinancials(rssd_id,$R$2,H$6,H$5,$B71),"")</f>
        <v/>
      </c>
      <c r="I71" s="32" t="str">
        <f>IFERROR([1]!IntrinioBankFinancials(rssd_id,$R$2,I$6,I$5,$B71),"")</f>
        <v/>
      </c>
      <c r="J71" s="32" t="str">
        <f>IFERROR([1]!IntrinioBankFinancials(rssd_id,$R$2,J$6,J$5,$B71),"")</f>
        <v/>
      </c>
      <c r="K71" s="32" t="str">
        <f>IFERROR([1]!IntrinioBankFinancials(rssd_id,$R$2,K$6,K$5,$B71),"")</f>
        <v/>
      </c>
      <c r="L71" s="32" t="str">
        <f>IFERROR([1]!IntrinioBankFinancials(rssd_id,$R$2,L$6,L$5,$B71),"")</f>
        <v/>
      </c>
      <c r="M71" s="32" t="str">
        <f>IFERROR([1]!IntrinioBankFinancials(rssd_id,$R$2,M$6,M$5,$B71),"")</f>
        <v/>
      </c>
      <c r="N71" s="32" t="str">
        <f>IFERROR([1]!IntrinioBankFinancials(rssd_id,$R$2,N$6,N$5,$B71),"")</f>
        <v/>
      </c>
      <c r="O71" s="32" t="str">
        <f>IFERROR([1]!IntrinioBankFinancials(rssd_id,$R$2,O$6,O$5,$B71),"")</f>
        <v/>
      </c>
    </row>
    <row r="72" spans="1:15" s="22" customFormat="1" ht="13.5" customHeight="1" x14ac:dyDescent="0.4">
      <c r="A72" s="34" t="s">
        <v>552</v>
      </c>
      <c r="B72" s="23" t="s">
        <v>580</v>
      </c>
      <c r="C72" s="32" t="str">
        <f>IFERROR([1]!IntrinioBankFinancials(rssd_id,$R$2,C$6,C$5,$B72),"")</f>
        <v/>
      </c>
      <c r="D72" s="32" t="str">
        <f>IFERROR([1]!IntrinioBankFinancials(rssd_id,$R$2,D$6,D$5,$B72),"")</f>
        <v/>
      </c>
      <c r="E72" s="32" t="str">
        <f>IFERROR([1]!IntrinioBankFinancials(rssd_id,$R$2,E$6,E$5,$B72),"")</f>
        <v/>
      </c>
      <c r="F72" s="32" t="str">
        <f>IFERROR([1]!IntrinioBankFinancials(rssd_id,$R$2,F$6,F$5,$B72),"")</f>
        <v/>
      </c>
      <c r="G72" s="32" t="str">
        <f>IFERROR([1]!IntrinioBankFinancials(rssd_id,$R$2,G$6,G$5,$B72),"")</f>
        <v/>
      </c>
      <c r="H72" s="32" t="str">
        <f>IFERROR([1]!IntrinioBankFinancials(rssd_id,$R$2,H$6,H$5,$B72),"")</f>
        <v/>
      </c>
      <c r="I72" s="32" t="str">
        <f>IFERROR([1]!IntrinioBankFinancials(rssd_id,$R$2,I$6,I$5,$B72),"")</f>
        <v/>
      </c>
      <c r="J72" s="32" t="str">
        <f>IFERROR([1]!IntrinioBankFinancials(rssd_id,$R$2,J$6,J$5,$B72),"")</f>
        <v/>
      </c>
      <c r="K72" s="32" t="str">
        <f>IFERROR([1]!IntrinioBankFinancials(rssd_id,$R$2,K$6,K$5,$B72),"")</f>
        <v/>
      </c>
      <c r="L72" s="32" t="str">
        <f>IFERROR([1]!IntrinioBankFinancials(rssd_id,$R$2,L$6,L$5,$B72),"")</f>
        <v/>
      </c>
      <c r="M72" s="32" t="str">
        <f>IFERROR([1]!IntrinioBankFinancials(rssd_id,$R$2,M$6,M$5,$B72),"")</f>
        <v/>
      </c>
      <c r="N72" s="32" t="str">
        <f>IFERROR([1]!IntrinioBankFinancials(rssd_id,$R$2,N$6,N$5,$B72),"")</f>
        <v/>
      </c>
      <c r="O72" s="32" t="str">
        <f>IFERROR([1]!IntrinioBankFinancials(rssd_id,$R$2,O$6,O$5,$B72),"")</f>
        <v/>
      </c>
    </row>
    <row r="73" spans="1:15" s="22" customFormat="1" ht="13.5" customHeight="1" x14ac:dyDescent="0.4">
      <c r="A73" s="34" t="s">
        <v>554</v>
      </c>
      <c r="B73" s="23" t="s">
        <v>581</v>
      </c>
      <c r="C73" s="32" t="str">
        <f>IFERROR([1]!IntrinioBankFinancials(rssd_id,$R$2,C$6,C$5,$B73),"")</f>
        <v/>
      </c>
      <c r="D73" s="32" t="str">
        <f>IFERROR([1]!IntrinioBankFinancials(rssd_id,$R$2,D$6,D$5,$B73),"")</f>
        <v/>
      </c>
      <c r="E73" s="32" t="str">
        <f>IFERROR([1]!IntrinioBankFinancials(rssd_id,$R$2,E$6,E$5,$B73),"")</f>
        <v/>
      </c>
      <c r="F73" s="32" t="str">
        <f>IFERROR([1]!IntrinioBankFinancials(rssd_id,$R$2,F$6,F$5,$B73),"")</f>
        <v/>
      </c>
      <c r="G73" s="32" t="str">
        <f>IFERROR([1]!IntrinioBankFinancials(rssd_id,$R$2,G$6,G$5,$B73),"")</f>
        <v/>
      </c>
      <c r="H73" s="32" t="str">
        <f>IFERROR([1]!IntrinioBankFinancials(rssd_id,$R$2,H$6,H$5,$B73),"")</f>
        <v/>
      </c>
      <c r="I73" s="32" t="str">
        <f>IFERROR([1]!IntrinioBankFinancials(rssd_id,$R$2,I$6,I$5,$B73),"")</f>
        <v/>
      </c>
      <c r="J73" s="32" t="str">
        <f>IFERROR([1]!IntrinioBankFinancials(rssd_id,$R$2,J$6,J$5,$B73),"")</f>
        <v/>
      </c>
      <c r="K73" s="32" t="str">
        <f>IFERROR([1]!IntrinioBankFinancials(rssd_id,$R$2,K$6,K$5,$B73),"")</f>
        <v/>
      </c>
      <c r="L73" s="32" t="str">
        <f>IFERROR([1]!IntrinioBankFinancials(rssd_id,$R$2,L$6,L$5,$B73),"")</f>
        <v/>
      </c>
      <c r="M73" s="32" t="str">
        <f>IFERROR([1]!IntrinioBankFinancials(rssd_id,$R$2,M$6,M$5,$B73),"")</f>
        <v/>
      </c>
      <c r="N73" s="32" t="str">
        <f>IFERROR([1]!IntrinioBankFinancials(rssd_id,$R$2,N$6,N$5,$B73),"")</f>
        <v/>
      </c>
      <c r="O73" s="32" t="str">
        <f>IFERROR([1]!IntrinioBankFinancials(rssd_id,$R$2,O$6,O$5,$B73),"")</f>
        <v/>
      </c>
    </row>
    <row r="74" spans="1:15" s="22" customFormat="1" ht="13.5" customHeight="1" x14ac:dyDescent="0.4">
      <c r="A74" s="34" t="s">
        <v>556</v>
      </c>
      <c r="B74" s="23" t="s">
        <v>582</v>
      </c>
      <c r="C74" s="32" t="str">
        <f>IFERROR([1]!IntrinioBankFinancials(rssd_id,$R$2,C$6,C$5,$B74),"")</f>
        <v/>
      </c>
      <c r="D74" s="32" t="str">
        <f>IFERROR([1]!IntrinioBankFinancials(rssd_id,$R$2,D$6,D$5,$B74),"")</f>
        <v/>
      </c>
      <c r="E74" s="32" t="str">
        <f>IFERROR([1]!IntrinioBankFinancials(rssd_id,$R$2,E$6,E$5,$B74),"")</f>
        <v/>
      </c>
      <c r="F74" s="32" t="str">
        <f>IFERROR([1]!IntrinioBankFinancials(rssd_id,$R$2,F$6,F$5,$B74),"")</f>
        <v/>
      </c>
      <c r="G74" s="32" t="str">
        <f>IFERROR([1]!IntrinioBankFinancials(rssd_id,$R$2,G$6,G$5,$B74),"")</f>
        <v/>
      </c>
      <c r="H74" s="32" t="str">
        <f>IFERROR([1]!IntrinioBankFinancials(rssd_id,$R$2,H$6,H$5,$B74),"")</f>
        <v/>
      </c>
      <c r="I74" s="32" t="str">
        <f>IFERROR([1]!IntrinioBankFinancials(rssd_id,$R$2,I$6,I$5,$B74),"")</f>
        <v/>
      </c>
      <c r="J74" s="32" t="str">
        <f>IFERROR([1]!IntrinioBankFinancials(rssd_id,$R$2,J$6,J$5,$B74),"")</f>
        <v/>
      </c>
      <c r="K74" s="32" t="str">
        <f>IFERROR([1]!IntrinioBankFinancials(rssd_id,$R$2,K$6,K$5,$B74),"")</f>
        <v/>
      </c>
      <c r="L74" s="32" t="str">
        <f>IFERROR([1]!IntrinioBankFinancials(rssd_id,$R$2,L$6,L$5,$B74),"")</f>
        <v/>
      </c>
      <c r="M74" s="32" t="str">
        <f>IFERROR([1]!IntrinioBankFinancials(rssd_id,$R$2,M$6,M$5,$B74),"")</f>
        <v/>
      </c>
      <c r="N74" s="32" t="str">
        <f>IFERROR([1]!IntrinioBankFinancials(rssd_id,$R$2,N$6,N$5,$B74),"")</f>
        <v/>
      </c>
      <c r="O74" s="32" t="str">
        <f>IFERROR([1]!IntrinioBankFinancials(rssd_id,$R$2,O$6,O$5,$B74),"")</f>
        <v/>
      </c>
    </row>
    <row r="75" spans="1:15" s="22" customFormat="1" ht="13.5" customHeight="1" x14ac:dyDescent="0.4">
      <c r="A75" s="34" t="s">
        <v>583</v>
      </c>
      <c r="B75" s="23" t="s">
        <v>584</v>
      </c>
      <c r="C75" s="32" t="str">
        <f>IFERROR([1]!IntrinioBankFinancials(rssd_id,$R$2,C$6,C$5,$B75),"")</f>
        <v/>
      </c>
      <c r="D75" s="32" t="str">
        <f>IFERROR([1]!IntrinioBankFinancials(rssd_id,$R$2,D$6,D$5,$B75),"")</f>
        <v/>
      </c>
      <c r="E75" s="32" t="str">
        <f>IFERROR([1]!IntrinioBankFinancials(rssd_id,$R$2,E$6,E$5,$B75),"")</f>
        <v/>
      </c>
      <c r="F75" s="32" t="str">
        <f>IFERROR([1]!IntrinioBankFinancials(rssd_id,$R$2,F$6,F$5,$B75),"")</f>
        <v/>
      </c>
      <c r="G75" s="32" t="str">
        <f>IFERROR([1]!IntrinioBankFinancials(rssd_id,$R$2,G$6,G$5,$B75),"")</f>
        <v/>
      </c>
      <c r="H75" s="32" t="str">
        <f>IFERROR([1]!IntrinioBankFinancials(rssd_id,$R$2,H$6,H$5,$B75),"")</f>
        <v/>
      </c>
      <c r="I75" s="32" t="str">
        <f>IFERROR([1]!IntrinioBankFinancials(rssd_id,$R$2,I$6,I$5,$B75),"")</f>
        <v/>
      </c>
      <c r="J75" s="32" t="str">
        <f>IFERROR([1]!IntrinioBankFinancials(rssd_id,$R$2,J$6,J$5,$B75),"")</f>
        <v/>
      </c>
      <c r="K75" s="32" t="str">
        <f>IFERROR([1]!IntrinioBankFinancials(rssd_id,$R$2,K$6,K$5,$B75),"")</f>
        <v/>
      </c>
      <c r="L75" s="32" t="str">
        <f>IFERROR([1]!IntrinioBankFinancials(rssd_id,$R$2,L$6,L$5,$B75),"")</f>
        <v/>
      </c>
      <c r="M75" s="32" t="str">
        <f>IFERROR([1]!IntrinioBankFinancials(rssd_id,$R$2,M$6,M$5,$B75),"")</f>
        <v/>
      </c>
      <c r="N75" s="32" t="str">
        <f>IFERROR([1]!IntrinioBankFinancials(rssd_id,$R$2,N$6,N$5,$B75),"")</f>
        <v/>
      </c>
      <c r="O75" s="32" t="str">
        <f>IFERROR([1]!IntrinioBankFinancials(rssd_id,$R$2,O$6,O$5,$B75),"")</f>
        <v/>
      </c>
    </row>
    <row r="76" spans="1:15" s="22" customFormat="1" ht="13.5" customHeight="1" x14ac:dyDescent="0.4">
      <c r="A76" s="34" t="s">
        <v>552</v>
      </c>
      <c r="B76" s="23" t="s">
        <v>585</v>
      </c>
      <c r="C76" s="32" t="str">
        <f>IFERROR([1]!IntrinioBankFinancials(rssd_id,$R$2,C$6,C$5,$B76),"")</f>
        <v/>
      </c>
      <c r="D76" s="32" t="str">
        <f>IFERROR([1]!IntrinioBankFinancials(rssd_id,$R$2,D$6,D$5,$B76),"")</f>
        <v/>
      </c>
      <c r="E76" s="32" t="str">
        <f>IFERROR([1]!IntrinioBankFinancials(rssd_id,$R$2,E$6,E$5,$B76),"")</f>
        <v/>
      </c>
      <c r="F76" s="32" t="str">
        <f>IFERROR([1]!IntrinioBankFinancials(rssd_id,$R$2,F$6,F$5,$B76),"")</f>
        <v/>
      </c>
      <c r="G76" s="32" t="str">
        <f>IFERROR([1]!IntrinioBankFinancials(rssd_id,$R$2,G$6,G$5,$B76),"")</f>
        <v/>
      </c>
      <c r="H76" s="32" t="str">
        <f>IFERROR([1]!IntrinioBankFinancials(rssd_id,$R$2,H$6,H$5,$B76),"")</f>
        <v/>
      </c>
      <c r="I76" s="32" t="str">
        <f>IFERROR([1]!IntrinioBankFinancials(rssd_id,$R$2,I$6,I$5,$B76),"")</f>
        <v/>
      </c>
      <c r="J76" s="32" t="str">
        <f>IFERROR([1]!IntrinioBankFinancials(rssd_id,$R$2,J$6,J$5,$B76),"")</f>
        <v/>
      </c>
      <c r="K76" s="32" t="str">
        <f>IFERROR([1]!IntrinioBankFinancials(rssd_id,$R$2,K$6,K$5,$B76),"")</f>
        <v/>
      </c>
      <c r="L76" s="32" t="str">
        <f>IFERROR([1]!IntrinioBankFinancials(rssd_id,$R$2,L$6,L$5,$B76),"")</f>
        <v/>
      </c>
      <c r="M76" s="32" t="str">
        <f>IFERROR([1]!IntrinioBankFinancials(rssd_id,$R$2,M$6,M$5,$B76),"")</f>
        <v/>
      </c>
      <c r="N76" s="32" t="str">
        <f>IFERROR([1]!IntrinioBankFinancials(rssd_id,$R$2,N$6,N$5,$B76),"")</f>
        <v/>
      </c>
      <c r="O76" s="32" t="str">
        <f>IFERROR([1]!IntrinioBankFinancials(rssd_id,$R$2,O$6,O$5,$B76),"")</f>
        <v/>
      </c>
    </row>
    <row r="77" spans="1:15" s="22" customFormat="1" ht="13.5" customHeight="1" x14ac:dyDescent="0.4">
      <c r="A77" s="34" t="s">
        <v>554</v>
      </c>
      <c r="B77" s="23" t="s">
        <v>586</v>
      </c>
      <c r="C77" s="32" t="str">
        <f>IFERROR([1]!IntrinioBankFinancials(rssd_id,$R$2,C$6,C$5,$B77),"")</f>
        <v/>
      </c>
      <c r="D77" s="32" t="str">
        <f>IFERROR([1]!IntrinioBankFinancials(rssd_id,$R$2,D$6,D$5,$B77),"")</f>
        <v/>
      </c>
      <c r="E77" s="32" t="str">
        <f>IFERROR([1]!IntrinioBankFinancials(rssd_id,$R$2,E$6,E$5,$B77),"")</f>
        <v/>
      </c>
      <c r="F77" s="32" t="str">
        <f>IFERROR([1]!IntrinioBankFinancials(rssd_id,$R$2,F$6,F$5,$B77),"")</f>
        <v/>
      </c>
      <c r="G77" s="32" t="str">
        <f>IFERROR([1]!IntrinioBankFinancials(rssd_id,$R$2,G$6,G$5,$B77),"")</f>
        <v/>
      </c>
      <c r="H77" s="32" t="str">
        <f>IFERROR([1]!IntrinioBankFinancials(rssd_id,$R$2,H$6,H$5,$B77),"")</f>
        <v/>
      </c>
      <c r="I77" s="32" t="str">
        <f>IFERROR([1]!IntrinioBankFinancials(rssd_id,$R$2,I$6,I$5,$B77),"")</f>
        <v/>
      </c>
      <c r="J77" s="32" t="str">
        <f>IFERROR([1]!IntrinioBankFinancials(rssd_id,$R$2,J$6,J$5,$B77),"")</f>
        <v/>
      </c>
      <c r="K77" s="32" t="str">
        <f>IFERROR([1]!IntrinioBankFinancials(rssd_id,$R$2,K$6,K$5,$B77),"")</f>
        <v/>
      </c>
      <c r="L77" s="32" t="str">
        <f>IFERROR([1]!IntrinioBankFinancials(rssd_id,$R$2,L$6,L$5,$B77),"")</f>
        <v/>
      </c>
      <c r="M77" s="32" t="str">
        <f>IFERROR([1]!IntrinioBankFinancials(rssd_id,$R$2,M$6,M$5,$B77),"")</f>
        <v/>
      </c>
      <c r="N77" s="32" t="str">
        <f>IFERROR([1]!IntrinioBankFinancials(rssd_id,$R$2,N$6,N$5,$B77),"")</f>
        <v/>
      </c>
      <c r="O77" s="32" t="str">
        <f>IFERROR([1]!IntrinioBankFinancials(rssd_id,$R$2,O$6,O$5,$B77),"")</f>
        <v/>
      </c>
    </row>
    <row r="78" spans="1:15" s="22" customFormat="1" ht="13.5" customHeight="1" x14ac:dyDescent="0.4">
      <c r="A78" s="34" t="s">
        <v>556</v>
      </c>
      <c r="B78" s="23" t="s">
        <v>587</v>
      </c>
      <c r="C78" s="32" t="str">
        <f>IFERROR([1]!IntrinioBankFinancials(rssd_id,$R$2,C$6,C$5,$B78),"")</f>
        <v/>
      </c>
      <c r="D78" s="32" t="str">
        <f>IFERROR([1]!IntrinioBankFinancials(rssd_id,$R$2,D$6,D$5,$B78),"")</f>
        <v/>
      </c>
      <c r="E78" s="32" t="str">
        <f>IFERROR([1]!IntrinioBankFinancials(rssd_id,$R$2,E$6,E$5,$B78),"")</f>
        <v/>
      </c>
      <c r="F78" s="32" t="str">
        <f>IFERROR([1]!IntrinioBankFinancials(rssd_id,$R$2,F$6,F$5,$B78),"")</f>
        <v/>
      </c>
      <c r="G78" s="32" t="str">
        <f>IFERROR([1]!IntrinioBankFinancials(rssd_id,$R$2,G$6,G$5,$B78),"")</f>
        <v/>
      </c>
      <c r="H78" s="32" t="str">
        <f>IFERROR([1]!IntrinioBankFinancials(rssd_id,$R$2,H$6,H$5,$B78),"")</f>
        <v/>
      </c>
      <c r="I78" s="32" t="str">
        <f>IFERROR([1]!IntrinioBankFinancials(rssd_id,$R$2,I$6,I$5,$B78),"")</f>
        <v/>
      </c>
      <c r="J78" s="32" t="str">
        <f>IFERROR([1]!IntrinioBankFinancials(rssd_id,$R$2,J$6,J$5,$B78),"")</f>
        <v/>
      </c>
      <c r="K78" s="32" t="str">
        <f>IFERROR([1]!IntrinioBankFinancials(rssd_id,$R$2,K$6,K$5,$B78),"")</f>
        <v/>
      </c>
      <c r="L78" s="32" t="str">
        <f>IFERROR([1]!IntrinioBankFinancials(rssd_id,$R$2,L$6,L$5,$B78),"")</f>
        <v/>
      </c>
      <c r="M78" s="32" t="str">
        <f>IFERROR([1]!IntrinioBankFinancials(rssd_id,$R$2,M$6,M$5,$B78),"")</f>
        <v/>
      </c>
      <c r="N78" s="32" t="str">
        <f>IFERROR([1]!IntrinioBankFinancials(rssd_id,$R$2,N$6,N$5,$B78),"")</f>
        <v/>
      </c>
      <c r="O78" s="32" t="str">
        <f>IFERROR([1]!IntrinioBankFinancials(rssd_id,$R$2,O$6,O$5,$B78),"")</f>
        <v/>
      </c>
    </row>
    <row r="79" spans="1:15" s="22" customFormat="1" ht="13.5" customHeight="1" x14ac:dyDescent="0.4">
      <c r="A79" s="34" t="s">
        <v>588</v>
      </c>
      <c r="B79" s="23" t="s">
        <v>589</v>
      </c>
      <c r="C79" s="32" t="str">
        <f>IFERROR([1]!IntrinioBankFinancials(rssd_id,$R$2,C$6,C$5,$B79),"")</f>
        <v/>
      </c>
      <c r="D79" s="32" t="str">
        <f>IFERROR([1]!IntrinioBankFinancials(rssd_id,$R$2,D$6,D$5,$B79),"")</f>
        <v/>
      </c>
      <c r="E79" s="32" t="str">
        <f>IFERROR([1]!IntrinioBankFinancials(rssd_id,$R$2,E$6,E$5,$B79),"")</f>
        <v/>
      </c>
      <c r="F79" s="32" t="str">
        <f>IFERROR([1]!IntrinioBankFinancials(rssd_id,$R$2,F$6,F$5,$B79),"")</f>
        <v/>
      </c>
      <c r="G79" s="32" t="str">
        <f>IFERROR([1]!IntrinioBankFinancials(rssd_id,$R$2,G$6,G$5,$B79),"")</f>
        <v/>
      </c>
      <c r="H79" s="32" t="str">
        <f>IFERROR([1]!IntrinioBankFinancials(rssd_id,$R$2,H$6,H$5,$B79),"")</f>
        <v/>
      </c>
      <c r="I79" s="32" t="str">
        <f>IFERROR([1]!IntrinioBankFinancials(rssd_id,$R$2,I$6,I$5,$B79),"")</f>
        <v/>
      </c>
      <c r="J79" s="32" t="str">
        <f>IFERROR([1]!IntrinioBankFinancials(rssd_id,$R$2,J$6,J$5,$B79),"")</f>
        <v/>
      </c>
      <c r="K79" s="32" t="str">
        <f>IFERROR([1]!IntrinioBankFinancials(rssd_id,$R$2,K$6,K$5,$B79),"")</f>
        <v/>
      </c>
      <c r="L79" s="32" t="str">
        <f>IFERROR([1]!IntrinioBankFinancials(rssd_id,$R$2,L$6,L$5,$B79),"")</f>
        <v/>
      </c>
      <c r="M79" s="32" t="str">
        <f>IFERROR([1]!IntrinioBankFinancials(rssd_id,$R$2,M$6,M$5,$B79),"")</f>
        <v/>
      </c>
      <c r="N79" s="32" t="str">
        <f>IFERROR([1]!IntrinioBankFinancials(rssd_id,$R$2,N$6,N$5,$B79),"")</f>
        <v/>
      </c>
      <c r="O79" s="32" t="str">
        <f>IFERROR([1]!IntrinioBankFinancials(rssd_id,$R$2,O$6,O$5,$B79),"")</f>
        <v/>
      </c>
    </row>
    <row r="80" spans="1:15" s="22" customFormat="1" ht="13.5" customHeight="1" x14ac:dyDescent="0.4">
      <c r="A80" s="34" t="s">
        <v>552</v>
      </c>
      <c r="B80" s="23" t="s">
        <v>590</v>
      </c>
      <c r="C80" s="32" t="str">
        <f>IFERROR([1]!IntrinioBankFinancials(rssd_id,$R$2,C$6,C$5,$B80),"")</f>
        <v/>
      </c>
      <c r="D80" s="32" t="str">
        <f>IFERROR([1]!IntrinioBankFinancials(rssd_id,$R$2,D$6,D$5,$B80),"")</f>
        <v/>
      </c>
      <c r="E80" s="32" t="str">
        <f>IFERROR([1]!IntrinioBankFinancials(rssd_id,$R$2,E$6,E$5,$B80),"")</f>
        <v/>
      </c>
      <c r="F80" s="32" t="str">
        <f>IFERROR([1]!IntrinioBankFinancials(rssd_id,$R$2,F$6,F$5,$B80),"")</f>
        <v/>
      </c>
      <c r="G80" s="32" t="str">
        <f>IFERROR([1]!IntrinioBankFinancials(rssd_id,$R$2,G$6,G$5,$B80),"")</f>
        <v/>
      </c>
      <c r="H80" s="32" t="str">
        <f>IFERROR([1]!IntrinioBankFinancials(rssd_id,$R$2,H$6,H$5,$B80),"")</f>
        <v/>
      </c>
      <c r="I80" s="32" t="str">
        <f>IFERROR([1]!IntrinioBankFinancials(rssd_id,$R$2,I$6,I$5,$B80),"")</f>
        <v/>
      </c>
      <c r="J80" s="32" t="str">
        <f>IFERROR([1]!IntrinioBankFinancials(rssd_id,$R$2,J$6,J$5,$B80),"")</f>
        <v/>
      </c>
      <c r="K80" s="32" t="str">
        <f>IFERROR([1]!IntrinioBankFinancials(rssd_id,$R$2,K$6,K$5,$B80),"")</f>
        <v/>
      </c>
      <c r="L80" s="32" t="str">
        <f>IFERROR([1]!IntrinioBankFinancials(rssd_id,$R$2,L$6,L$5,$B80),"")</f>
        <v/>
      </c>
      <c r="M80" s="32" t="str">
        <f>IFERROR([1]!IntrinioBankFinancials(rssd_id,$R$2,M$6,M$5,$B80),"")</f>
        <v/>
      </c>
      <c r="N80" s="32" t="str">
        <f>IFERROR([1]!IntrinioBankFinancials(rssd_id,$R$2,N$6,N$5,$B80),"")</f>
        <v/>
      </c>
      <c r="O80" s="32" t="str">
        <f>IFERROR([1]!IntrinioBankFinancials(rssd_id,$R$2,O$6,O$5,$B80),"")</f>
        <v/>
      </c>
    </row>
    <row r="81" spans="1:15" s="22" customFormat="1" ht="13.5" customHeight="1" x14ac:dyDescent="0.4">
      <c r="A81" s="34" t="s">
        <v>554</v>
      </c>
      <c r="B81" s="23" t="s">
        <v>591</v>
      </c>
      <c r="C81" s="32" t="str">
        <f>IFERROR([1]!IntrinioBankFinancials(rssd_id,$R$2,C$6,C$5,$B81),"")</f>
        <v/>
      </c>
      <c r="D81" s="32" t="str">
        <f>IFERROR([1]!IntrinioBankFinancials(rssd_id,$R$2,D$6,D$5,$B81),"")</f>
        <v/>
      </c>
      <c r="E81" s="32" t="str">
        <f>IFERROR([1]!IntrinioBankFinancials(rssd_id,$R$2,E$6,E$5,$B81),"")</f>
        <v/>
      </c>
      <c r="F81" s="32" t="str">
        <f>IFERROR([1]!IntrinioBankFinancials(rssd_id,$R$2,F$6,F$5,$B81),"")</f>
        <v/>
      </c>
      <c r="G81" s="32" t="str">
        <f>IFERROR([1]!IntrinioBankFinancials(rssd_id,$R$2,G$6,G$5,$B81),"")</f>
        <v/>
      </c>
      <c r="H81" s="32" t="str">
        <f>IFERROR([1]!IntrinioBankFinancials(rssd_id,$R$2,H$6,H$5,$B81),"")</f>
        <v/>
      </c>
      <c r="I81" s="32" t="str">
        <f>IFERROR([1]!IntrinioBankFinancials(rssd_id,$R$2,I$6,I$5,$B81),"")</f>
        <v/>
      </c>
      <c r="J81" s="32" t="str">
        <f>IFERROR([1]!IntrinioBankFinancials(rssd_id,$R$2,J$6,J$5,$B81),"")</f>
        <v/>
      </c>
      <c r="K81" s="32" t="str">
        <f>IFERROR([1]!IntrinioBankFinancials(rssd_id,$R$2,K$6,K$5,$B81),"")</f>
        <v/>
      </c>
      <c r="L81" s="32" t="str">
        <f>IFERROR([1]!IntrinioBankFinancials(rssd_id,$R$2,L$6,L$5,$B81),"")</f>
        <v/>
      </c>
      <c r="M81" s="32" t="str">
        <f>IFERROR([1]!IntrinioBankFinancials(rssd_id,$R$2,M$6,M$5,$B81),"")</f>
        <v/>
      </c>
      <c r="N81" s="32" t="str">
        <f>IFERROR([1]!IntrinioBankFinancials(rssd_id,$R$2,N$6,N$5,$B81),"")</f>
        <v/>
      </c>
      <c r="O81" s="32" t="str">
        <f>IFERROR([1]!IntrinioBankFinancials(rssd_id,$R$2,O$6,O$5,$B81),"")</f>
        <v/>
      </c>
    </row>
    <row r="82" spans="1:15" s="22" customFormat="1" ht="13.5" customHeight="1" x14ac:dyDescent="0.4">
      <c r="A82" s="34" t="s">
        <v>556</v>
      </c>
      <c r="B82" s="23" t="s">
        <v>592</v>
      </c>
      <c r="C82" s="32" t="str">
        <f>IFERROR([1]!IntrinioBankFinancials(rssd_id,$R$2,C$6,C$5,$B82),"")</f>
        <v/>
      </c>
      <c r="D82" s="32" t="str">
        <f>IFERROR([1]!IntrinioBankFinancials(rssd_id,$R$2,D$6,D$5,$B82),"")</f>
        <v/>
      </c>
      <c r="E82" s="32" t="str">
        <f>IFERROR([1]!IntrinioBankFinancials(rssd_id,$R$2,E$6,E$5,$B82),"")</f>
        <v/>
      </c>
      <c r="F82" s="32" t="str">
        <f>IFERROR([1]!IntrinioBankFinancials(rssd_id,$R$2,F$6,F$5,$B82),"")</f>
        <v/>
      </c>
      <c r="G82" s="32" t="str">
        <f>IFERROR([1]!IntrinioBankFinancials(rssd_id,$R$2,G$6,G$5,$B82),"")</f>
        <v/>
      </c>
      <c r="H82" s="32" t="str">
        <f>IFERROR([1]!IntrinioBankFinancials(rssd_id,$R$2,H$6,H$5,$B82),"")</f>
        <v/>
      </c>
      <c r="I82" s="32" t="str">
        <f>IFERROR([1]!IntrinioBankFinancials(rssd_id,$R$2,I$6,I$5,$B82),"")</f>
        <v/>
      </c>
      <c r="J82" s="32" t="str">
        <f>IFERROR([1]!IntrinioBankFinancials(rssd_id,$R$2,J$6,J$5,$B82),"")</f>
        <v/>
      </c>
      <c r="K82" s="32" t="str">
        <f>IFERROR([1]!IntrinioBankFinancials(rssd_id,$R$2,K$6,K$5,$B82),"")</f>
        <v/>
      </c>
      <c r="L82" s="32" t="str">
        <f>IFERROR([1]!IntrinioBankFinancials(rssd_id,$R$2,L$6,L$5,$B82),"")</f>
        <v/>
      </c>
      <c r="M82" s="32" t="str">
        <f>IFERROR([1]!IntrinioBankFinancials(rssd_id,$R$2,M$6,M$5,$B82),"")</f>
        <v/>
      </c>
      <c r="N82" s="32" t="str">
        <f>IFERROR([1]!IntrinioBankFinancials(rssd_id,$R$2,N$6,N$5,$B82),"")</f>
        <v/>
      </c>
      <c r="O82" s="32" t="str">
        <f>IFERROR([1]!IntrinioBankFinancials(rssd_id,$R$2,O$6,O$5,$B82),"")</f>
        <v/>
      </c>
    </row>
    <row r="83" spans="1:15" s="22" customFormat="1" ht="13.5" customHeight="1" x14ac:dyDescent="0.4">
      <c r="A83" s="34" t="s">
        <v>593</v>
      </c>
      <c r="B83" s="23" t="s">
        <v>594</v>
      </c>
      <c r="C83" s="32" t="str">
        <f>IFERROR([1]!IntrinioBankFinancials(rssd_id,$R$2,C$6,C$5,$B83),"")</f>
        <v/>
      </c>
      <c r="D83" s="32" t="str">
        <f>IFERROR([1]!IntrinioBankFinancials(rssd_id,$R$2,D$6,D$5,$B83),"")</f>
        <v/>
      </c>
      <c r="E83" s="32" t="str">
        <f>IFERROR([1]!IntrinioBankFinancials(rssd_id,$R$2,E$6,E$5,$B83),"")</f>
        <v/>
      </c>
      <c r="F83" s="32" t="str">
        <f>IFERROR([1]!IntrinioBankFinancials(rssd_id,$R$2,F$6,F$5,$B83),"")</f>
        <v/>
      </c>
      <c r="G83" s="32" t="str">
        <f>IFERROR([1]!IntrinioBankFinancials(rssd_id,$R$2,G$6,G$5,$B83),"")</f>
        <v/>
      </c>
      <c r="H83" s="32" t="str">
        <f>IFERROR([1]!IntrinioBankFinancials(rssd_id,$R$2,H$6,H$5,$B83),"")</f>
        <v/>
      </c>
      <c r="I83" s="32" t="str">
        <f>IFERROR([1]!IntrinioBankFinancials(rssd_id,$R$2,I$6,I$5,$B83),"")</f>
        <v/>
      </c>
      <c r="J83" s="32" t="str">
        <f>IFERROR([1]!IntrinioBankFinancials(rssd_id,$R$2,J$6,J$5,$B83),"")</f>
        <v/>
      </c>
      <c r="K83" s="32" t="str">
        <f>IFERROR([1]!IntrinioBankFinancials(rssd_id,$R$2,K$6,K$5,$B83),"")</f>
        <v/>
      </c>
      <c r="L83" s="32" t="str">
        <f>IFERROR([1]!IntrinioBankFinancials(rssd_id,$R$2,L$6,L$5,$B83),"")</f>
        <v/>
      </c>
      <c r="M83" s="32" t="str">
        <f>IFERROR([1]!IntrinioBankFinancials(rssd_id,$R$2,M$6,M$5,$B83),"")</f>
        <v/>
      </c>
      <c r="N83" s="32" t="str">
        <f>IFERROR([1]!IntrinioBankFinancials(rssd_id,$R$2,N$6,N$5,$B83),"")</f>
        <v/>
      </c>
      <c r="O83" s="32" t="str">
        <f>IFERROR([1]!IntrinioBankFinancials(rssd_id,$R$2,O$6,O$5,$B83),"")</f>
        <v/>
      </c>
    </row>
    <row r="84" spans="1:15" s="22" customFormat="1" ht="13.5" customHeight="1" x14ac:dyDescent="0.4">
      <c r="A84" s="34" t="s">
        <v>552</v>
      </c>
      <c r="B84" s="23" t="s">
        <v>595</v>
      </c>
      <c r="C84" s="32" t="str">
        <f>IFERROR([1]!IntrinioBankFinancials(rssd_id,$R$2,C$6,C$5,$B84),"")</f>
        <v/>
      </c>
      <c r="D84" s="32" t="str">
        <f>IFERROR([1]!IntrinioBankFinancials(rssd_id,$R$2,D$6,D$5,$B84),"")</f>
        <v/>
      </c>
      <c r="E84" s="32" t="str">
        <f>IFERROR([1]!IntrinioBankFinancials(rssd_id,$R$2,E$6,E$5,$B84),"")</f>
        <v/>
      </c>
      <c r="F84" s="32" t="str">
        <f>IFERROR([1]!IntrinioBankFinancials(rssd_id,$R$2,F$6,F$5,$B84),"")</f>
        <v/>
      </c>
      <c r="G84" s="32" t="str">
        <f>IFERROR([1]!IntrinioBankFinancials(rssd_id,$R$2,G$6,G$5,$B84),"")</f>
        <v/>
      </c>
      <c r="H84" s="32" t="str">
        <f>IFERROR([1]!IntrinioBankFinancials(rssd_id,$R$2,H$6,H$5,$B84),"")</f>
        <v/>
      </c>
      <c r="I84" s="32" t="str">
        <f>IFERROR([1]!IntrinioBankFinancials(rssd_id,$R$2,I$6,I$5,$B84),"")</f>
        <v/>
      </c>
      <c r="J84" s="32" t="str">
        <f>IFERROR([1]!IntrinioBankFinancials(rssd_id,$R$2,J$6,J$5,$B84),"")</f>
        <v/>
      </c>
      <c r="K84" s="32" t="str">
        <f>IFERROR([1]!IntrinioBankFinancials(rssd_id,$R$2,K$6,K$5,$B84),"")</f>
        <v/>
      </c>
      <c r="L84" s="32" t="str">
        <f>IFERROR([1]!IntrinioBankFinancials(rssd_id,$R$2,L$6,L$5,$B84),"")</f>
        <v/>
      </c>
      <c r="M84" s="32" t="str">
        <f>IFERROR([1]!IntrinioBankFinancials(rssd_id,$R$2,M$6,M$5,$B84),"")</f>
        <v/>
      </c>
      <c r="N84" s="32" t="str">
        <f>IFERROR([1]!IntrinioBankFinancials(rssd_id,$R$2,N$6,N$5,$B84),"")</f>
        <v/>
      </c>
      <c r="O84" s="32" t="str">
        <f>IFERROR([1]!IntrinioBankFinancials(rssd_id,$R$2,O$6,O$5,$B84),"")</f>
        <v/>
      </c>
    </row>
    <row r="85" spans="1:15" s="22" customFormat="1" ht="13.5" customHeight="1" x14ac:dyDescent="0.4">
      <c r="A85" s="34" t="s">
        <v>554</v>
      </c>
      <c r="B85" s="23" t="s">
        <v>596</v>
      </c>
      <c r="C85" s="32" t="str">
        <f>IFERROR([1]!IntrinioBankFinancials(rssd_id,$R$2,C$6,C$5,$B85),"")</f>
        <v/>
      </c>
      <c r="D85" s="32" t="str">
        <f>IFERROR([1]!IntrinioBankFinancials(rssd_id,$R$2,D$6,D$5,$B85),"")</f>
        <v/>
      </c>
      <c r="E85" s="32" t="str">
        <f>IFERROR([1]!IntrinioBankFinancials(rssd_id,$R$2,E$6,E$5,$B85),"")</f>
        <v/>
      </c>
      <c r="F85" s="32" t="str">
        <f>IFERROR([1]!IntrinioBankFinancials(rssd_id,$R$2,F$6,F$5,$B85),"")</f>
        <v/>
      </c>
      <c r="G85" s="32" t="str">
        <f>IFERROR([1]!IntrinioBankFinancials(rssd_id,$R$2,G$6,G$5,$B85),"")</f>
        <v/>
      </c>
      <c r="H85" s="32" t="str">
        <f>IFERROR([1]!IntrinioBankFinancials(rssd_id,$R$2,H$6,H$5,$B85),"")</f>
        <v/>
      </c>
      <c r="I85" s="32" t="str">
        <f>IFERROR([1]!IntrinioBankFinancials(rssd_id,$R$2,I$6,I$5,$B85),"")</f>
        <v/>
      </c>
      <c r="J85" s="32" t="str">
        <f>IFERROR([1]!IntrinioBankFinancials(rssd_id,$R$2,J$6,J$5,$B85),"")</f>
        <v/>
      </c>
      <c r="K85" s="32" t="str">
        <f>IFERROR([1]!IntrinioBankFinancials(rssd_id,$R$2,K$6,K$5,$B85),"")</f>
        <v/>
      </c>
      <c r="L85" s="32" t="str">
        <f>IFERROR([1]!IntrinioBankFinancials(rssd_id,$R$2,L$6,L$5,$B85),"")</f>
        <v/>
      </c>
      <c r="M85" s="32" t="str">
        <f>IFERROR([1]!IntrinioBankFinancials(rssd_id,$R$2,M$6,M$5,$B85),"")</f>
        <v/>
      </c>
      <c r="N85" s="32" t="str">
        <f>IFERROR([1]!IntrinioBankFinancials(rssd_id,$R$2,N$6,N$5,$B85),"")</f>
        <v/>
      </c>
      <c r="O85" s="32" t="str">
        <f>IFERROR([1]!IntrinioBankFinancials(rssd_id,$R$2,O$6,O$5,$B85),"")</f>
        <v/>
      </c>
    </row>
    <row r="86" spans="1:15" s="22" customFormat="1" ht="13.5" customHeight="1" x14ac:dyDescent="0.4">
      <c r="A86" s="34" t="s">
        <v>556</v>
      </c>
      <c r="B86" s="23" t="s">
        <v>597</v>
      </c>
      <c r="C86" s="32" t="str">
        <f>IFERROR([1]!IntrinioBankFinancials(rssd_id,$R$2,C$6,C$5,$B86),"")</f>
        <v/>
      </c>
      <c r="D86" s="32" t="str">
        <f>IFERROR([1]!IntrinioBankFinancials(rssd_id,$R$2,D$6,D$5,$B86),"")</f>
        <v/>
      </c>
      <c r="E86" s="32" t="str">
        <f>IFERROR([1]!IntrinioBankFinancials(rssd_id,$R$2,E$6,E$5,$B86),"")</f>
        <v/>
      </c>
      <c r="F86" s="32" t="str">
        <f>IFERROR([1]!IntrinioBankFinancials(rssd_id,$R$2,F$6,F$5,$B86),"")</f>
        <v/>
      </c>
      <c r="G86" s="32" t="str">
        <f>IFERROR([1]!IntrinioBankFinancials(rssd_id,$R$2,G$6,G$5,$B86),"")</f>
        <v/>
      </c>
      <c r="H86" s="32" t="str">
        <f>IFERROR([1]!IntrinioBankFinancials(rssd_id,$R$2,H$6,H$5,$B86),"")</f>
        <v/>
      </c>
      <c r="I86" s="32" t="str">
        <f>IFERROR([1]!IntrinioBankFinancials(rssd_id,$R$2,I$6,I$5,$B86),"")</f>
        <v/>
      </c>
      <c r="J86" s="32" t="str">
        <f>IFERROR([1]!IntrinioBankFinancials(rssd_id,$R$2,J$6,J$5,$B86),"")</f>
        <v/>
      </c>
      <c r="K86" s="32" t="str">
        <f>IFERROR([1]!IntrinioBankFinancials(rssd_id,$R$2,K$6,K$5,$B86),"")</f>
        <v/>
      </c>
      <c r="L86" s="32" t="str">
        <f>IFERROR([1]!IntrinioBankFinancials(rssd_id,$R$2,L$6,L$5,$B86),"")</f>
        <v/>
      </c>
      <c r="M86" s="32" t="str">
        <f>IFERROR([1]!IntrinioBankFinancials(rssd_id,$R$2,M$6,M$5,$B86),"")</f>
        <v/>
      </c>
      <c r="N86" s="32" t="str">
        <f>IFERROR([1]!IntrinioBankFinancials(rssd_id,$R$2,N$6,N$5,$B86),"")</f>
        <v/>
      </c>
      <c r="O86" s="32" t="str">
        <f>IFERROR([1]!IntrinioBankFinancials(rssd_id,$R$2,O$6,O$5,$B86),"")</f>
        <v/>
      </c>
    </row>
    <row r="87" spans="1:15" s="22" customFormat="1" ht="13.5" customHeight="1" x14ac:dyDescent="0.4">
      <c r="A87" s="34" t="s">
        <v>598</v>
      </c>
      <c r="B87" s="23" t="s">
        <v>599</v>
      </c>
      <c r="C87" s="32" t="str">
        <f>IFERROR([1]!IntrinioBankFinancials(rssd_id,$R$2,C$6,C$5,$B87),"")</f>
        <v/>
      </c>
      <c r="D87" s="32" t="str">
        <f>IFERROR([1]!IntrinioBankFinancials(rssd_id,$R$2,D$6,D$5,$B87),"")</f>
        <v/>
      </c>
      <c r="E87" s="32" t="str">
        <f>IFERROR([1]!IntrinioBankFinancials(rssd_id,$R$2,E$6,E$5,$B87),"")</f>
        <v/>
      </c>
      <c r="F87" s="32" t="str">
        <f>IFERROR([1]!IntrinioBankFinancials(rssd_id,$R$2,F$6,F$5,$B87),"")</f>
        <v/>
      </c>
      <c r="G87" s="32" t="str">
        <f>IFERROR([1]!IntrinioBankFinancials(rssd_id,$R$2,G$6,G$5,$B87),"")</f>
        <v/>
      </c>
      <c r="H87" s="32" t="str">
        <f>IFERROR([1]!IntrinioBankFinancials(rssd_id,$R$2,H$6,H$5,$B87),"")</f>
        <v/>
      </c>
      <c r="I87" s="32" t="str">
        <f>IFERROR([1]!IntrinioBankFinancials(rssd_id,$R$2,I$6,I$5,$B87),"")</f>
        <v/>
      </c>
      <c r="J87" s="32" t="str">
        <f>IFERROR([1]!IntrinioBankFinancials(rssd_id,$R$2,J$6,J$5,$B87),"")</f>
        <v/>
      </c>
      <c r="K87" s="32" t="str">
        <f>IFERROR([1]!IntrinioBankFinancials(rssd_id,$R$2,K$6,K$5,$B87),"")</f>
        <v/>
      </c>
      <c r="L87" s="32" t="str">
        <f>IFERROR([1]!IntrinioBankFinancials(rssd_id,$R$2,L$6,L$5,$B87),"")</f>
        <v/>
      </c>
      <c r="M87" s="32" t="str">
        <f>IFERROR([1]!IntrinioBankFinancials(rssd_id,$R$2,M$6,M$5,$B87),"")</f>
        <v/>
      </c>
      <c r="N87" s="32" t="str">
        <f>IFERROR([1]!IntrinioBankFinancials(rssd_id,$R$2,N$6,N$5,$B87),"")</f>
        <v/>
      </c>
      <c r="O87" s="32" t="str">
        <f>IFERROR([1]!IntrinioBankFinancials(rssd_id,$R$2,O$6,O$5,$B87),"")</f>
        <v/>
      </c>
    </row>
    <row r="88" spans="1:15" s="22" customFormat="1" ht="13.5" customHeight="1" x14ac:dyDescent="0.4">
      <c r="A88" s="34" t="s">
        <v>552</v>
      </c>
      <c r="B88" s="23" t="s">
        <v>600</v>
      </c>
      <c r="C88" s="32" t="str">
        <f>IFERROR([1]!IntrinioBankFinancials(rssd_id,$R$2,C$6,C$5,$B88),"")</f>
        <v/>
      </c>
      <c r="D88" s="32" t="str">
        <f>IFERROR([1]!IntrinioBankFinancials(rssd_id,$R$2,D$6,D$5,$B88),"")</f>
        <v/>
      </c>
      <c r="E88" s="32" t="str">
        <f>IFERROR([1]!IntrinioBankFinancials(rssd_id,$R$2,E$6,E$5,$B88),"")</f>
        <v/>
      </c>
      <c r="F88" s="32" t="str">
        <f>IFERROR([1]!IntrinioBankFinancials(rssd_id,$R$2,F$6,F$5,$B88),"")</f>
        <v/>
      </c>
      <c r="G88" s="32" t="str">
        <f>IFERROR([1]!IntrinioBankFinancials(rssd_id,$R$2,G$6,G$5,$B88),"")</f>
        <v/>
      </c>
      <c r="H88" s="32" t="str">
        <f>IFERROR([1]!IntrinioBankFinancials(rssd_id,$R$2,H$6,H$5,$B88),"")</f>
        <v/>
      </c>
      <c r="I88" s="32" t="str">
        <f>IFERROR([1]!IntrinioBankFinancials(rssd_id,$R$2,I$6,I$5,$B88),"")</f>
        <v/>
      </c>
      <c r="J88" s="32" t="str">
        <f>IFERROR([1]!IntrinioBankFinancials(rssd_id,$R$2,J$6,J$5,$B88),"")</f>
        <v/>
      </c>
      <c r="K88" s="32" t="str">
        <f>IFERROR([1]!IntrinioBankFinancials(rssd_id,$R$2,K$6,K$5,$B88),"")</f>
        <v/>
      </c>
      <c r="L88" s="32" t="str">
        <f>IFERROR([1]!IntrinioBankFinancials(rssd_id,$R$2,L$6,L$5,$B88),"")</f>
        <v/>
      </c>
      <c r="M88" s="32" t="str">
        <f>IFERROR([1]!IntrinioBankFinancials(rssd_id,$R$2,M$6,M$5,$B88),"")</f>
        <v/>
      </c>
      <c r="N88" s="32" t="str">
        <f>IFERROR([1]!IntrinioBankFinancials(rssd_id,$R$2,N$6,N$5,$B88),"")</f>
        <v/>
      </c>
      <c r="O88" s="32" t="str">
        <f>IFERROR([1]!IntrinioBankFinancials(rssd_id,$R$2,O$6,O$5,$B88),"")</f>
        <v/>
      </c>
    </row>
    <row r="89" spans="1:15" s="22" customFormat="1" ht="13.5" customHeight="1" x14ac:dyDescent="0.4">
      <c r="A89" s="34" t="s">
        <v>554</v>
      </c>
      <c r="B89" s="23" t="s">
        <v>601</v>
      </c>
      <c r="C89" s="32" t="str">
        <f>IFERROR([1]!IntrinioBankFinancials(rssd_id,$R$2,C$6,C$5,$B89),"")</f>
        <v/>
      </c>
      <c r="D89" s="32" t="str">
        <f>IFERROR([1]!IntrinioBankFinancials(rssd_id,$R$2,D$6,D$5,$B89),"")</f>
        <v/>
      </c>
      <c r="E89" s="32" t="str">
        <f>IFERROR([1]!IntrinioBankFinancials(rssd_id,$R$2,E$6,E$5,$B89),"")</f>
        <v/>
      </c>
      <c r="F89" s="32" t="str">
        <f>IFERROR([1]!IntrinioBankFinancials(rssd_id,$R$2,F$6,F$5,$B89),"")</f>
        <v/>
      </c>
      <c r="G89" s="32" t="str">
        <f>IFERROR([1]!IntrinioBankFinancials(rssd_id,$R$2,G$6,G$5,$B89),"")</f>
        <v/>
      </c>
      <c r="H89" s="32" t="str">
        <f>IFERROR([1]!IntrinioBankFinancials(rssd_id,$R$2,H$6,H$5,$B89),"")</f>
        <v/>
      </c>
      <c r="I89" s="32" t="str">
        <f>IFERROR([1]!IntrinioBankFinancials(rssd_id,$R$2,I$6,I$5,$B89),"")</f>
        <v/>
      </c>
      <c r="J89" s="32" t="str">
        <f>IFERROR([1]!IntrinioBankFinancials(rssd_id,$R$2,J$6,J$5,$B89),"")</f>
        <v/>
      </c>
      <c r="K89" s="32" t="str">
        <f>IFERROR([1]!IntrinioBankFinancials(rssd_id,$R$2,K$6,K$5,$B89),"")</f>
        <v/>
      </c>
      <c r="L89" s="32" t="str">
        <f>IFERROR([1]!IntrinioBankFinancials(rssd_id,$R$2,L$6,L$5,$B89),"")</f>
        <v/>
      </c>
      <c r="M89" s="32" t="str">
        <f>IFERROR([1]!IntrinioBankFinancials(rssd_id,$R$2,M$6,M$5,$B89),"")</f>
        <v/>
      </c>
      <c r="N89" s="32" t="str">
        <f>IFERROR([1]!IntrinioBankFinancials(rssd_id,$R$2,N$6,N$5,$B89),"")</f>
        <v/>
      </c>
      <c r="O89" s="32" t="str">
        <f>IFERROR([1]!IntrinioBankFinancials(rssd_id,$R$2,O$6,O$5,$B89),"")</f>
        <v/>
      </c>
    </row>
    <row r="90" spans="1:15" s="22" customFormat="1" ht="13.5" customHeight="1" x14ac:dyDescent="0.4">
      <c r="A90" s="34" t="s">
        <v>556</v>
      </c>
      <c r="B90" s="23" t="s">
        <v>602</v>
      </c>
      <c r="C90" s="32" t="str">
        <f>IFERROR([1]!IntrinioBankFinancials(rssd_id,$R$2,C$6,C$5,$B90),"")</f>
        <v/>
      </c>
      <c r="D90" s="32" t="str">
        <f>IFERROR([1]!IntrinioBankFinancials(rssd_id,$R$2,D$6,D$5,$B90),"")</f>
        <v/>
      </c>
      <c r="E90" s="32" t="str">
        <f>IFERROR([1]!IntrinioBankFinancials(rssd_id,$R$2,E$6,E$5,$B90),"")</f>
        <v/>
      </c>
      <c r="F90" s="32" t="str">
        <f>IFERROR([1]!IntrinioBankFinancials(rssd_id,$R$2,F$6,F$5,$B90),"")</f>
        <v/>
      </c>
      <c r="G90" s="32" t="str">
        <f>IFERROR([1]!IntrinioBankFinancials(rssd_id,$R$2,G$6,G$5,$B90),"")</f>
        <v/>
      </c>
      <c r="H90" s="32" t="str">
        <f>IFERROR([1]!IntrinioBankFinancials(rssd_id,$R$2,H$6,H$5,$B90),"")</f>
        <v/>
      </c>
      <c r="I90" s="32" t="str">
        <f>IFERROR([1]!IntrinioBankFinancials(rssd_id,$R$2,I$6,I$5,$B90),"")</f>
        <v/>
      </c>
      <c r="J90" s="32" t="str">
        <f>IFERROR([1]!IntrinioBankFinancials(rssd_id,$R$2,J$6,J$5,$B90),"")</f>
        <v/>
      </c>
      <c r="K90" s="32" t="str">
        <f>IFERROR([1]!IntrinioBankFinancials(rssd_id,$R$2,K$6,K$5,$B90),"")</f>
        <v/>
      </c>
      <c r="L90" s="32" t="str">
        <f>IFERROR([1]!IntrinioBankFinancials(rssd_id,$R$2,L$6,L$5,$B90),"")</f>
        <v/>
      </c>
      <c r="M90" s="32" t="str">
        <f>IFERROR([1]!IntrinioBankFinancials(rssd_id,$R$2,M$6,M$5,$B90),"")</f>
        <v/>
      </c>
      <c r="N90" s="32" t="str">
        <f>IFERROR([1]!IntrinioBankFinancials(rssd_id,$R$2,N$6,N$5,$B90),"")</f>
        <v/>
      </c>
      <c r="O90" s="32" t="str">
        <f>IFERROR([1]!IntrinioBankFinancials(rssd_id,$R$2,O$6,O$5,$B90),"")</f>
        <v/>
      </c>
    </row>
    <row r="91" spans="1:15" s="22" customFormat="1" ht="13.5" customHeight="1" x14ac:dyDescent="0.4">
      <c r="A91" s="34" t="s">
        <v>603</v>
      </c>
      <c r="B91" s="23" t="s">
        <v>604</v>
      </c>
      <c r="C91" s="32" t="str">
        <f>IFERROR([1]!IntrinioBankFinancials(rssd_id,$R$2,C$6,C$5,$B91),"")</f>
        <v/>
      </c>
      <c r="D91" s="32" t="str">
        <f>IFERROR([1]!IntrinioBankFinancials(rssd_id,$R$2,D$6,D$5,$B91),"")</f>
        <v/>
      </c>
      <c r="E91" s="32" t="str">
        <f>IFERROR([1]!IntrinioBankFinancials(rssd_id,$R$2,E$6,E$5,$B91),"")</f>
        <v/>
      </c>
      <c r="F91" s="32" t="str">
        <f>IFERROR([1]!IntrinioBankFinancials(rssd_id,$R$2,F$6,F$5,$B91),"")</f>
        <v/>
      </c>
      <c r="G91" s="32" t="str">
        <f>IFERROR([1]!IntrinioBankFinancials(rssd_id,$R$2,G$6,G$5,$B91),"")</f>
        <v/>
      </c>
      <c r="H91" s="32" t="str">
        <f>IFERROR([1]!IntrinioBankFinancials(rssd_id,$R$2,H$6,H$5,$B91),"")</f>
        <v/>
      </c>
      <c r="I91" s="32" t="str">
        <f>IFERROR([1]!IntrinioBankFinancials(rssd_id,$R$2,I$6,I$5,$B91),"")</f>
        <v/>
      </c>
      <c r="J91" s="32" t="str">
        <f>IFERROR([1]!IntrinioBankFinancials(rssd_id,$R$2,J$6,J$5,$B91),"")</f>
        <v/>
      </c>
      <c r="K91" s="32" t="str">
        <f>IFERROR([1]!IntrinioBankFinancials(rssd_id,$R$2,K$6,K$5,$B91),"")</f>
        <v/>
      </c>
      <c r="L91" s="32" t="str">
        <f>IFERROR([1]!IntrinioBankFinancials(rssd_id,$R$2,L$6,L$5,$B91),"")</f>
        <v/>
      </c>
      <c r="M91" s="32" t="str">
        <f>IFERROR([1]!IntrinioBankFinancials(rssd_id,$R$2,M$6,M$5,$B91),"")</f>
        <v/>
      </c>
      <c r="N91" s="32" t="str">
        <f>IFERROR([1]!IntrinioBankFinancials(rssd_id,$R$2,N$6,N$5,$B91),"")</f>
        <v/>
      </c>
      <c r="O91" s="32" t="str">
        <f>IFERROR([1]!IntrinioBankFinancials(rssd_id,$R$2,O$6,O$5,$B91),"")</f>
        <v/>
      </c>
    </row>
    <row r="92" spans="1:15" s="22" customFormat="1" ht="13.5" customHeight="1" x14ac:dyDescent="0.4">
      <c r="A92" s="34" t="s">
        <v>552</v>
      </c>
      <c r="B92" s="23" t="s">
        <v>605</v>
      </c>
      <c r="C92" s="32" t="str">
        <f>IFERROR([1]!IntrinioBankFinancials(rssd_id,$R$2,C$6,C$5,$B92),"")</f>
        <v/>
      </c>
      <c r="D92" s="32" t="str">
        <f>IFERROR([1]!IntrinioBankFinancials(rssd_id,$R$2,D$6,D$5,$B92),"")</f>
        <v/>
      </c>
      <c r="E92" s="32" t="str">
        <f>IFERROR([1]!IntrinioBankFinancials(rssd_id,$R$2,E$6,E$5,$B92),"")</f>
        <v/>
      </c>
      <c r="F92" s="32" t="str">
        <f>IFERROR([1]!IntrinioBankFinancials(rssd_id,$R$2,F$6,F$5,$B92),"")</f>
        <v/>
      </c>
      <c r="G92" s="32" t="str">
        <f>IFERROR([1]!IntrinioBankFinancials(rssd_id,$R$2,G$6,G$5,$B92),"")</f>
        <v/>
      </c>
      <c r="H92" s="32" t="str">
        <f>IFERROR([1]!IntrinioBankFinancials(rssd_id,$R$2,H$6,H$5,$B92),"")</f>
        <v/>
      </c>
      <c r="I92" s="32" t="str">
        <f>IFERROR([1]!IntrinioBankFinancials(rssd_id,$R$2,I$6,I$5,$B92),"")</f>
        <v/>
      </c>
      <c r="J92" s="32" t="str">
        <f>IFERROR([1]!IntrinioBankFinancials(rssd_id,$R$2,J$6,J$5,$B92),"")</f>
        <v/>
      </c>
      <c r="K92" s="32" t="str">
        <f>IFERROR([1]!IntrinioBankFinancials(rssd_id,$R$2,K$6,K$5,$B92),"")</f>
        <v/>
      </c>
      <c r="L92" s="32" t="str">
        <f>IFERROR([1]!IntrinioBankFinancials(rssd_id,$R$2,L$6,L$5,$B92),"")</f>
        <v/>
      </c>
      <c r="M92" s="32" t="str">
        <f>IFERROR([1]!IntrinioBankFinancials(rssd_id,$R$2,M$6,M$5,$B92),"")</f>
        <v/>
      </c>
      <c r="N92" s="32" t="str">
        <f>IFERROR([1]!IntrinioBankFinancials(rssd_id,$R$2,N$6,N$5,$B92),"")</f>
        <v/>
      </c>
      <c r="O92" s="32" t="str">
        <f>IFERROR([1]!IntrinioBankFinancials(rssd_id,$R$2,O$6,O$5,$B92),"")</f>
        <v/>
      </c>
    </row>
    <row r="93" spans="1:15" s="22" customFormat="1" ht="13.5" customHeight="1" x14ac:dyDescent="0.4">
      <c r="A93" s="34" t="s">
        <v>554</v>
      </c>
      <c r="B93" s="23" t="s">
        <v>606</v>
      </c>
      <c r="C93" s="32" t="str">
        <f>IFERROR([1]!IntrinioBankFinancials(rssd_id,$R$2,C$6,C$5,$B93),"")</f>
        <v/>
      </c>
      <c r="D93" s="32" t="str">
        <f>IFERROR([1]!IntrinioBankFinancials(rssd_id,$R$2,D$6,D$5,$B93),"")</f>
        <v/>
      </c>
      <c r="E93" s="32" t="str">
        <f>IFERROR([1]!IntrinioBankFinancials(rssd_id,$R$2,E$6,E$5,$B93),"")</f>
        <v/>
      </c>
      <c r="F93" s="32" t="str">
        <f>IFERROR([1]!IntrinioBankFinancials(rssd_id,$R$2,F$6,F$5,$B93),"")</f>
        <v/>
      </c>
      <c r="G93" s="32" t="str">
        <f>IFERROR([1]!IntrinioBankFinancials(rssd_id,$R$2,G$6,G$5,$B93),"")</f>
        <v/>
      </c>
      <c r="H93" s="32" t="str">
        <f>IFERROR([1]!IntrinioBankFinancials(rssd_id,$R$2,H$6,H$5,$B93),"")</f>
        <v/>
      </c>
      <c r="I93" s="32" t="str">
        <f>IFERROR([1]!IntrinioBankFinancials(rssd_id,$R$2,I$6,I$5,$B93),"")</f>
        <v/>
      </c>
      <c r="J93" s="32" t="str">
        <f>IFERROR([1]!IntrinioBankFinancials(rssd_id,$R$2,J$6,J$5,$B93),"")</f>
        <v/>
      </c>
      <c r="K93" s="32" t="str">
        <f>IFERROR([1]!IntrinioBankFinancials(rssd_id,$R$2,K$6,K$5,$B93),"")</f>
        <v/>
      </c>
      <c r="L93" s="32" t="str">
        <f>IFERROR([1]!IntrinioBankFinancials(rssd_id,$R$2,L$6,L$5,$B93),"")</f>
        <v/>
      </c>
      <c r="M93" s="32" t="str">
        <f>IFERROR([1]!IntrinioBankFinancials(rssd_id,$R$2,M$6,M$5,$B93),"")</f>
        <v/>
      </c>
      <c r="N93" s="32" t="str">
        <f>IFERROR([1]!IntrinioBankFinancials(rssd_id,$R$2,N$6,N$5,$B93),"")</f>
        <v/>
      </c>
      <c r="O93" s="32" t="str">
        <f>IFERROR([1]!IntrinioBankFinancials(rssd_id,$R$2,O$6,O$5,$B93),"")</f>
        <v/>
      </c>
    </row>
    <row r="94" spans="1:15" s="22" customFormat="1" ht="13.5" customHeight="1" x14ac:dyDescent="0.4">
      <c r="A94" s="34" t="s">
        <v>556</v>
      </c>
      <c r="B94" s="23" t="s">
        <v>607</v>
      </c>
      <c r="C94" s="32" t="str">
        <f>IFERROR([1]!IntrinioBankFinancials(rssd_id,$R$2,C$6,C$5,$B94),"")</f>
        <v/>
      </c>
      <c r="D94" s="32" t="str">
        <f>IFERROR([1]!IntrinioBankFinancials(rssd_id,$R$2,D$6,D$5,$B94),"")</f>
        <v/>
      </c>
      <c r="E94" s="32" t="str">
        <f>IFERROR([1]!IntrinioBankFinancials(rssd_id,$R$2,E$6,E$5,$B94),"")</f>
        <v/>
      </c>
      <c r="F94" s="32" t="str">
        <f>IFERROR([1]!IntrinioBankFinancials(rssd_id,$R$2,F$6,F$5,$B94),"")</f>
        <v/>
      </c>
      <c r="G94" s="32" t="str">
        <f>IFERROR([1]!IntrinioBankFinancials(rssd_id,$R$2,G$6,G$5,$B94),"")</f>
        <v/>
      </c>
      <c r="H94" s="32" t="str">
        <f>IFERROR([1]!IntrinioBankFinancials(rssd_id,$R$2,H$6,H$5,$B94),"")</f>
        <v/>
      </c>
      <c r="I94" s="32" t="str">
        <f>IFERROR([1]!IntrinioBankFinancials(rssd_id,$R$2,I$6,I$5,$B94),"")</f>
        <v/>
      </c>
      <c r="J94" s="32" t="str">
        <f>IFERROR([1]!IntrinioBankFinancials(rssd_id,$R$2,J$6,J$5,$B94),"")</f>
        <v/>
      </c>
      <c r="K94" s="32" t="str">
        <f>IFERROR([1]!IntrinioBankFinancials(rssd_id,$R$2,K$6,K$5,$B94),"")</f>
        <v/>
      </c>
      <c r="L94" s="32" t="str">
        <f>IFERROR([1]!IntrinioBankFinancials(rssd_id,$R$2,L$6,L$5,$B94),"")</f>
        <v/>
      </c>
      <c r="M94" s="32" t="str">
        <f>IFERROR([1]!IntrinioBankFinancials(rssd_id,$R$2,M$6,M$5,$B94),"")</f>
        <v/>
      </c>
      <c r="N94" s="32" t="str">
        <f>IFERROR([1]!IntrinioBankFinancials(rssd_id,$R$2,N$6,N$5,$B94),"")</f>
        <v/>
      </c>
      <c r="O94" s="32" t="str">
        <f>IFERROR([1]!IntrinioBankFinancials(rssd_id,$R$2,O$6,O$5,$B94),"")</f>
        <v/>
      </c>
    </row>
    <row r="95" spans="1:15" s="22" customFormat="1" ht="13.5" customHeight="1" x14ac:dyDescent="0.4">
      <c r="A95" s="34" t="s">
        <v>608</v>
      </c>
      <c r="B95" s="23" t="s">
        <v>609</v>
      </c>
      <c r="C95" s="32" t="str">
        <f>IFERROR([1]!IntrinioBankFinancials(rssd_id,$R$2,C$6,C$5,$B95),"")</f>
        <v/>
      </c>
      <c r="D95" s="32" t="str">
        <f>IFERROR([1]!IntrinioBankFinancials(rssd_id,$R$2,D$6,D$5,$B95),"")</f>
        <v/>
      </c>
      <c r="E95" s="32" t="str">
        <f>IFERROR([1]!IntrinioBankFinancials(rssd_id,$R$2,E$6,E$5,$B95),"")</f>
        <v/>
      </c>
      <c r="F95" s="32" t="str">
        <f>IFERROR([1]!IntrinioBankFinancials(rssd_id,$R$2,F$6,F$5,$B95),"")</f>
        <v/>
      </c>
      <c r="G95" s="32" t="str">
        <f>IFERROR([1]!IntrinioBankFinancials(rssd_id,$R$2,G$6,G$5,$B95),"")</f>
        <v/>
      </c>
      <c r="H95" s="32" t="str">
        <f>IFERROR([1]!IntrinioBankFinancials(rssd_id,$R$2,H$6,H$5,$B95),"")</f>
        <v/>
      </c>
      <c r="I95" s="32" t="str">
        <f>IFERROR([1]!IntrinioBankFinancials(rssd_id,$R$2,I$6,I$5,$B95),"")</f>
        <v/>
      </c>
      <c r="J95" s="32" t="str">
        <f>IFERROR([1]!IntrinioBankFinancials(rssd_id,$R$2,J$6,J$5,$B95),"")</f>
        <v/>
      </c>
      <c r="K95" s="32" t="str">
        <f>IFERROR([1]!IntrinioBankFinancials(rssd_id,$R$2,K$6,K$5,$B95),"")</f>
        <v/>
      </c>
      <c r="L95" s="32" t="str">
        <f>IFERROR([1]!IntrinioBankFinancials(rssd_id,$R$2,L$6,L$5,$B95),"")</f>
        <v/>
      </c>
      <c r="M95" s="32" t="str">
        <f>IFERROR([1]!IntrinioBankFinancials(rssd_id,$R$2,M$6,M$5,$B95),"")</f>
        <v/>
      </c>
      <c r="N95" s="32" t="str">
        <f>IFERROR([1]!IntrinioBankFinancials(rssd_id,$R$2,N$6,N$5,$B95),"")</f>
        <v/>
      </c>
      <c r="O95" s="32" t="str">
        <f>IFERROR([1]!IntrinioBankFinancials(rssd_id,$R$2,O$6,O$5,$B95),"")</f>
        <v/>
      </c>
    </row>
    <row r="96" spans="1:15" s="22" customFormat="1" ht="13.5" customHeight="1" x14ac:dyDescent="0.4">
      <c r="A96" s="34" t="s">
        <v>552</v>
      </c>
      <c r="B96" s="23" t="s">
        <v>610</v>
      </c>
      <c r="C96" s="32" t="str">
        <f>IFERROR([1]!IntrinioBankFinancials(rssd_id,$R$2,C$6,C$5,$B96),"")</f>
        <v/>
      </c>
      <c r="D96" s="32" t="str">
        <f>IFERROR([1]!IntrinioBankFinancials(rssd_id,$R$2,D$6,D$5,$B96),"")</f>
        <v/>
      </c>
      <c r="E96" s="32" t="str">
        <f>IFERROR([1]!IntrinioBankFinancials(rssd_id,$R$2,E$6,E$5,$B96),"")</f>
        <v/>
      </c>
      <c r="F96" s="32" t="str">
        <f>IFERROR([1]!IntrinioBankFinancials(rssd_id,$R$2,F$6,F$5,$B96),"")</f>
        <v/>
      </c>
      <c r="G96" s="32" t="str">
        <f>IFERROR([1]!IntrinioBankFinancials(rssd_id,$R$2,G$6,G$5,$B96),"")</f>
        <v/>
      </c>
      <c r="H96" s="32" t="str">
        <f>IFERROR([1]!IntrinioBankFinancials(rssd_id,$R$2,H$6,H$5,$B96),"")</f>
        <v/>
      </c>
      <c r="I96" s="32" t="str">
        <f>IFERROR([1]!IntrinioBankFinancials(rssd_id,$R$2,I$6,I$5,$B96),"")</f>
        <v/>
      </c>
      <c r="J96" s="32" t="str">
        <f>IFERROR([1]!IntrinioBankFinancials(rssd_id,$R$2,J$6,J$5,$B96),"")</f>
        <v/>
      </c>
      <c r="K96" s="32" t="str">
        <f>IFERROR([1]!IntrinioBankFinancials(rssd_id,$R$2,K$6,K$5,$B96),"")</f>
        <v/>
      </c>
      <c r="L96" s="32" t="str">
        <f>IFERROR([1]!IntrinioBankFinancials(rssd_id,$R$2,L$6,L$5,$B96),"")</f>
        <v/>
      </c>
      <c r="M96" s="32" t="str">
        <f>IFERROR([1]!IntrinioBankFinancials(rssd_id,$R$2,M$6,M$5,$B96),"")</f>
        <v/>
      </c>
      <c r="N96" s="32" t="str">
        <f>IFERROR([1]!IntrinioBankFinancials(rssd_id,$R$2,N$6,N$5,$B96),"")</f>
        <v/>
      </c>
      <c r="O96" s="32" t="str">
        <f>IFERROR([1]!IntrinioBankFinancials(rssd_id,$R$2,O$6,O$5,$B96),"")</f>
        <v/>
      </c>
    </row>
    <row r="97" spans="1:15" s="22" customFormat="1" ht="13.5" customHeight="1" x14ac:dyDescent="0.4">
      <c r="A97" s="34" t="s">
        <v>554</v>
      </c>
      <c r="B97" s="23" t="s">
        <v>611</v>
      </c>
      <c r="C97" s="32" t="str">
        <f>IFERROR([1]!IntrinioBankFinancials(rssd_id,$R$2,C$6,C$5,$B97),"")</f>
        <v/>
      </c>
      <c r="D97" s="32" t="str">
        <f>IFERROR([1]!IntrinioBankFinancials(rssd_id,$R$2,D$6,D$5,$B97),"")</f>
        <v/>
      </c>
      <c r="E97" s="32" t="str">
        <f>IFERROR([1]!IntrinioBankFinancials(rssd_id,$R$2,E$6,E$5,$B97),"")</f>
        <v/>
      </c>
      <c r="F97" s="32" t="str">
        <f>IFERROR([1]!IntrinioBankFinancials(rssd_id,$R$2,F$6,F$5,$B97),"")</f>
        <v/>
      </c>
      <c r="G97" s="32" t="str">
        <f>IFERROR([1]!IntrinioBankFinancials(rssd_id,$R$2,G$6,G$5,$B97),"")</f>
        <v/>
      </c>
      <c r="H97" s="32" t="str">
        <f>IFERROR([1]!IntrinioBankFinancials(rssd_id,$R$2,H$6,H$5,$B97),"")</f>
        <v/>
      </c>
      <c r="I97" s="32" t="str">
        <f>IFERROR([1]!IntrinioBankFinancials(rssd_id,$R$2,I$6,I$5,$B97),"")</f>
        <v/>
      </c>
      <c r="J97" s="32" t="str">
        <f>IFERROR([1]!IntrinioBankFinancials(rssd_id,$R$2,J$6,J$5,$B97),"")</f>
        <v/>
      </c>
      <c r="K97" s="32" t="str">
        <f>IFERROR([1]!IntrinioBankFinancials(rssd_id,$R$2,K$6,K$5,$B97),"")</f>
        <v/>
      </c>
      <c r="L97" s="32" t="str">
        <f>IFERROR([1]!IntrinioBankFinancials(rssd_id,$R$2,L$6,L$5,$B97),"")</f>
        <v/>
      </c>
      <c r="M97" s="32" t="str">
        <f>IFERROR([1]!IntrinioBankFinancials(rssd_id,$R$2,M$6,M$5,$B97),"")</f>
        <v/>
      </c>
      <c r="N97" s="32" t="str">
        <f>IFERROR([1]!IntrinioBankFinancials(rssd_id,$R$2,N$6,N$5,$B97),"")</f>
        <v/>
      </c>
      <c r="O97" s="32" t="str">
        <f>IFERROR([1]!IntrinioBankFinancials(rssd_id,$R$2,O$6,O$5,$B97),"")</f>
        <v/>
      </c>
    </row>
    <row r="98" spans="1:15" s="22" customFormat="1" ht="13.5" customHeight="1" x14ac:dyDescent="0.4">
      <c r="A98" s="34" t="s">
        <v>556</v>
      </c>
      <c r="B98" s="23" t="s">
        <v>612</v>
      </c>
      <c r="C98" s="32" t="str">
        <f>IFERROR([1]!IntrinioBankFinancials(rssd_id,$R$2,C$6,C$5,$B98),"")</f>
        <v/>
      </c>
      <c r="D98" s="32" t="str">
        <f>IFERROR([1]!IntrinioBankFinancials(rssd_id,$R$2,D$6,D$5,$B98),"")</f>
        <v/>
      </c>
      <c r="E98" s="32" t="str">
        <f>IFERROR([1]!IntrinioBankFinancials(rssd_id,$R$2,E$6,E$5,$B98),"")</f>
        <v/>
      </c>
      <c r="F98" s="32" t="str">
        <f>IFERROR([1]!IntrinioBankFinancials(rssd_id,$R$2,F$6,F$5,$B98),"")</f>
        <v/>
      </c>
      <c r="G98" s="32" t="str">
        <f>IFERROR([1]!IntrinioBankFinancials(rssd_id,$R$2,G$6,G$5,$B98),"")</f>
        <v/>
      </c>
      <c r="H98" s="32" t="str">
        <f>IFERROR([1]!IntrinioBankFinancials(rssd_id,$R$2,H$6,H$5,$B98),"")</f>
        <v/>
      </c>
      <c r="I98" s="32" t="str">
        <f>IFERROR([1]!IntrinioBankFinancials(rssd_id,$R$2,I$6,I$5,$B98),"")</f>
        <v/>
      </c>
      <c r="J98" s="32" t="str">
        <f>IFERROR([1]!IntrinioBankFinancials(rssd_id,$R$2,J$6,J$5,$B98),"")</f>
        <v/>
      </c>
      <c r="K98" s="32" t="str">
        <f>IFERROR([1]!IntrinioBankFinancials(rssd_id,$R$2,K$6,K$5,$B98),"")</f>
        <v/>
      </c>
      <c r="L98" s="32" t="str">
        <f>IFERROR([1]!IntrinioBankFinancials(rssd_id,$R$2,L$6,L$5,$B98),"")</f>
        <v/>
      </c>
      <c r="M98" s="32" t="str">
        <f>IFERROR([1]!IntrinioBankFinancials(rssd_id,$R$2,M$6,M$5,$B98),"")</f>
        <v/>
      </c>
      <c r="N98" s="32" t="str">
        <f>IFERROR([1]!IntrinioBankFinancials(rssd_id,$R$2,N$6,N$5,$B98),"")</f>
        <v/>
      </c>
      <c r="O98" s="32" t="str">
        <f>IFERROR([1]!IntrinioBankFinancials(rssd_id,$R$2,O$6,O$5,$B98),"")</f>
        <v/>
      </c>
    </row>
    <row r="99" spans="1:15" s="22" customFormat="1" ht="13.5" customHeight="1" x14ac:dyDescent="0.4">
      <c r="A99" s="34" t="s">
        <v>613</v>
      </c>
      <c r="B99" s="23" t="s">
        <v>614</v>
      </c>
      <c r="C99" s="32" t="str">
        <f>IFERROR([1]!IntrinioBankFinancials(rssd_id,$R$2,C$6,C$5,$B99),"")</f>
        <v/>
      </c>
      <c r="D99" s="32" t="str">
        <f>IFERROR([1]!IntrinioBankFinancials(rssd_id,$R$2,D$6,D$5,$B99),"")</f>
        <v/>
      </c>
      <c r="E99" s="32" t="str">
        <f>IFERROR([1]!IntrinioBankFinancials(rssd_id,$R$2,E$6,E$5,$B99),"")</f>
        <v/>
      </c>
      <c r="F99" s="32" t="str">
        <f>IFERROR([1]!IntrinioBankFinancials(rssd_id,$R$2,F$6,F$5,$B99),"")</f>
        <v/>
      </c>
      <c r="G99" s="32" t="str">
        <f>IFERROR([1]!IntrinioBankFinancials(rssd_id,$R$2,G$6,G$5,$B99),"")</f>
        <v/>
      </c>
      <c r="H99" s="32" t="str">
        <f>IFERROR([1]!IntrinioBankFinancials(rssd_id,$R$2,H$6,H$5,$B99),"")</f>
        <v/>
      </c>
      <c r="I99" s="32" t="str">
        <f>IFERROR([1]!IntrinioBankFinancials(rssd_id,$R$2,I$6,I$5,$B99),"")</f>
        <v/>
      </c>
      <c r="J99" s="32" t="str">
        <f>IFERROR([1]!IntrinioBankFinancials(rssd_id,$R$2,J$6,J$5,$B99),"")</f>
        <v/>
      </c>
      <c r="K99" s="32" t="str">
        <f>IFERROR([1]!IntrinioBankFinancials(rssd_id,$R$2,K$6,K$5,$B99),"")</f>
        <v/>
      </c>
      <c r="L99" s="32" t="str">
        <f>IFERROR([1]!IntrinioBankFinancials(rssd_id,$R$2,L$6,L$5,$B99),"")</f>
        <v/>
      </c>
      <c r="M99" s="32" t="str">
        <f>IFERROR([1]!IntrinioBankFinancials(rssd_id,$R$2,M$6,M$5,$B99),"")</f>
        <v/>
      </c>
      <c r="N99" s="32" t="str">
        <f>IFERROR([1]!IntrinioBankFinancials(rssd_id,$R$2,N$6,N$5,$B99),"")</f>
        <v/>
      </c>
      <c r="O99" s="32" t="str">
        <f>IFERROR([1]!IntrinioBankFinancials(rssd_id,$R$2,O$6,O$5,$B99),"")</f>
        <v/>
      </c>
    </row>
    <row r="100" spans="1:15" s="22" customFormat="1" ht="13.5" customHeight="1" x14ac:dyDescent="0.4">
      <c r="A100" s="34" t="s">
        <v>552</v>
      </c>
      <c r="B100" s="23" t="s">
        <v>615</v>
      </c>
      <c r="C100" s="32" t="str">
        <f>IFERROR([1]!IntrinioBankFinancials(rssd_id,$R$2,C$6,C$5,$B100),"")</f>
        <v/>
      </c>
      <c r="D100" s="32" t="str">
        <f>IFERROR([1]!IntrinioBankFinancials(rssd_id,$R$2,D$6,D$5,$B100),"")</f>
        <v/>
      </c>
      <c r="E100" s="32" t="str">
        <f>IFERROR([1]!IntrinioBankFinancials(rssd_id,$R$2,E$6,E$5,$B100),"")</f>
        <v/>
      </c>
      <c r="F100" s="32" t="str">
        <f>IFERROR([1]!IntrinioBankFinancials(rssd_id,$R$2,F$6,F$5,$B100),"")</f>
        <v/>
      </c>
      <c r="G100" s="32" t="str">
        <f>IFERROR([1]!IntrinioBankFinancials(rssd_id,$R$2,G$6,G$5,$B100),"")</f>
        <v/>
      </c>
      <c r="H100" s="32" t="str">
        <f>IFERROR([1]!IntrinioBankFinancials(rssd_id,$R$2,H$6,H$5,$B100),"")</f>
        <v/>
      </c>
      <c r="I100" s="32" t="str">
        <f>IFERROR([1]!IntrinioBankFinancials(rssd_id,$R$2,I$6,I$5,$B100),"")</f>
        <v/>
      </c>
      <c r="J100" s="32" t="str">
        <f>IFERROR([1]!IntrinioBankFinancials(rssd_id,$R$2,J$6,J$5,$B100),"")</f>
        <v/>
      </c>
      <c r="K100" s="32" t="str">
        <f>IFERROR([1]!IntrinioBankFinancials(rssd_id,$R$2,K$6,K$5,$B100),"")</f>
        <v/>
      </c>
      <c r="L100" s="32" t="str">
        <f>IFERROR([1]!IntrinioBankFinancials(rssd_id,$R$2,L$6,L$5,$B100),"")</f>
        <v/>
      </c>
      <c r="M100" s="32" t="str">
        <f>IFERROR([1]!IntrinioBankFinancials(rssd_id,$R$2,M$6,M$5,$B100),"")</f>
        <v/>
      </c>
      <c r="N100" s="32" t="str">
        <f>IFERROR([1]!IntrinioBankFinancials(rssd_id,$R$2,N$6,N$5,$B100),"")</f>
        <v/>
      </c>
      <c r="O100" s="32" t="str">
        <f>IFERROR([1]!IntrinioBankFinancials(rssd_id,$R$2,O$6,O$5,$B100),"")</f>
        <v/>
      </c>
    </row>
    <row r="101" spans="1:15" s="22" customFormat="1" ht="13.5" customHeight="1" x14ac:dyDescent="0.4">
      <c r="A101" s="34" t="s">
        <v>554</v>
      </c>
      <c r="B101" s="23" t="s">
        <v>616</v>
      </c>
      <c r="C101" s="32" t="str">
        <f>IFERROR([1]!IntrinioBankFinancials(rssd_id,$R$2,C$6,C$5,$B101),"")</f>
        <v/>
      </c>
      <c r="D101" s="32" t="str">
        <f>IFERROR([1]!IntrinioBankFinancials(rssd_id,$R$2,D$6,D$5,$B101),"")</f>
        <v/>
      </c>
      <c r="E101" s="32" t="str">
        <f>IFERROR([1]!IntrinioBankFinancials(rssd_id,$R$2,E$6,E$5,$B101),"")</f>
        <v/>
      </c>
      <c r="F101" s="32" t="str">
        <f>IFERROR([1]!IntrinioBankFinancials(rssd_id,$R$2,F$6,F$5,$B101),"")</f>
        <v/>
      </c>
      <c r="G101" s="32" t="str">
        <f>IFERROR([1]!IntrinioBankFinancials(rssd_id,$R$2,G$6,G$5,$B101),"")</f>
        <v/>
      </c>
      <c r="H101" s="32" t="str">
        <f>IFERROR([1]!IntrinioBankFinancials(rssd_id,$R$2,H$6,H$5,$B101),"")</f>
        <v/>
      </c>
      <c r="I101" s="32" t="str">
        <f>IFERROR([1]!IntrinioBankFinancials(rssd_id,$R$2,I$6,I$5,$B101),"")</f>
        <v/>
      </c>
      <c r="J101" s="32" t="str">
        <f>IFERROR([1]!IntrinioBankFinancials(rssd_id,$R$2,J$6,J$5,$B101),"")</f>
        <v/>
      </c>
      <c r="K101" s="32" t="str">
        <f>IFERROR([1]!IntrinioBankFinancials(rssd_id,$R$2,K$6,K$5,$B101),"")</f>
        <v/>
      </c>
      <c r="L101" s="32" t="str">
        <f>IFERROR([1]!IntrinioBankFinancials(rssd_id,$R$2,L$6,L$5,$B101),"")</f>
        <v/>
      </c>
      <c r="M101" s="32" t="str">
        <f>IFERROR([1]!IntrinioBankFinancials(rssd_id,$R$2,M$6,M$5,$B101),"")</f>
        <v/>
      </c>
      <c r="N101" s="32" t="str">
        <f>IFERROR([1]!IntrinioBankFinancials(rssd_id,$R$2,N$6,N$5,$B101),"")</f>
        <v/>
      </c>
      <c r="O101" s="32" t="str">
        <f>IFERROR([1]!IntrinioBankFinancials(rssd_id,$R$2,O$6,O$5,$B101),"")</f>
        <v/>
      </c>
    </row>
    <row r="102" spans="1:15" s="22" customFormat="1" ht="13.5" customHeight="1" x14ac:dyDescent="0.4">
      <c r="A102" s="34" t="s">
        <v>556</v>
      </c>
      <c r="B102" s="23" t="s">
        <v>617</v>
      </c>
      <c r="C102" s="32" t="str">
        <f>IFERROR([1]!IntrinioBankFinancials(rssd_id,$R$2,C$6,C$5,$B102),"")</f>
        <v/>
      </c>
      <c r="D102" s="32" t="str">
        <f>IFERROR([1]!IntrinioBankFinancials(rssd_id,$R$2,D$6,D$5,$B102),"")</f>
        <v/>
      </c>
      <c r="E102" s="32" t="str">
        <f>IFERROR([1]!IntrinioBankFinancials(rssd_id,$R$2,E$6,E$5,$B102),"")</f>
        <v/>
      </c>
      <c r="F102" s="32" t="str">
        <f>IFERROR([1]!IntrinioBankFinancials(rssd_id,$R$2,F$6,F$5,$B102),"")</f>
        <v/>
      </c>
      <c r="G102" s="32" t="str">
        <f>IFERROR([1]!IntrinioBankFinancials(rssd_id,$R$2,G$6,G$5,$B102),"")</f>
        <v/>
      </c>
      <c r="H102" s="32" t="str">
        <f>IFERROR([1]!IntrinioBankFinancials(rssd_id,$R$2,H$6,H$5,$B102),"")</f>
        <v/>
      </c>
      <c r="I102" s="32" t="str">
        <f>IFERROR([1]!IntrinioBankFinancials(rssd_id,$R$2,I$6,I$5,$B102),"")</f>
        <v/>
      </c>
      <c r="J102" s="32" t="str">
        <f>IFERROR([1]!IntrinioBankFinancials(rssd_id,$R$2,J$6,J$5,$B102),"")</f>
        <v/>
      </c>
      <c r="K102" s="32" t="str">
        <f>IFERROR([1]!IntrinioBankFinancials(rssd_id,$R$2,K$6,K$5,$B102),"")</f>
        <v/>
      </c>
      <c r="L102" s="32" t="str">
        <f>IFERROR([1]!IntrinioBankFinancials(rssd_id,$R$2,L$6,L$5,$B102),"")</f>
        <v/>
      </c>
      <c r="M102" s="32" t="str">
        <f>IFERROR([1]!IntrinioBankFinancials(rssd_id,$R$2,M$6,M$5,$B102),"")</f>
        <v/>
      </c>
      <c r="N102" s="32" t="str">
        <f>IFERROR([1]!IntrinioBankFinancials(rssd_id,$R$2,N$6,N$5,$B102),"")</f>
        <v/>
      </c>
      <c r="O102" s="32" t="str">
        <f>IFERROR([1]!IntrinioBankFinancials(rssd_id,$R$2,O$6,O$5,$B102),"")</f>
        <v/>
      </c>
    </row>
    <row r="103" spans="1:15" s="22" customFormat="1" ht="13.5" customHeight="1" x14ac:dyDescent="0.4">
      <c r="A103" s="34" t="s">
        <v>618</v>
      </c>
      <c r="B103" s="23" t="s">
        <v>619</v>
      </c>
      <c r="C103" s="32" t="str">
        <f>IFERROR([1]!IntrinioBankFinancials(rssd_id,$R$2,C$6,C$5,$B103),"")</f>
        <v/>
      </c>
      <c r="D103" s="32" t="str">
        <f>IFERROR([1]!IntrinioBankFinancials(rssd_id,$R$2,D$6,D$5,$B103),"")</f>
        <v/>
      </c>
      <c r="E103" s="32" t="str">
        <f>IFERROR([1]!IntrinioBankFinancials(rssd_id,$R$2,E$6,E$5,$B103),"")</f>
        <v/>
      </c>
      <c r="F103" s="32" t="str">
        <f>IFERROR([1]!IntrinioBankFinancials(rssd_id,$R$2,F$6,F$5,$B103),"")</f>
        <v/>
      </c>
      <c r="G103" s="32" t="str">
        <f>IFERROR([1]!IntrinioBankFinancials(rssd_id,$R$2,G$6,G$5,$B103),"")</f>
        <v/>
      </c>
      <c r="H103" s="32" t="str">
        <f>IFERROR([1]!IntrinioBankFinancials(rssd_id,$R$2,H$6,H$5,$B103),"")</f>
        <v/>
      </c>
      <c r="I103" s="32" t="str">
        <f>IFERROR([1]!IntrinioBankFinancials(rssd_id,$R$2,I$6,I$5,$B103),"")</f>
        <v/>
      </c>
      <c r="J103" s="32" t="str">
        <f>IFERROR([1]!IntrinioBankFinancials(rssd_id,$R$2,J$6,J$5,$B103),"")</f>
        <v/>
      </c>
      <c r="K103" s="32" t="str">
        <f>IFERROR([1]!IntrinioBankFinancials(rssd_id,$R$2,K$6,K$5,$B103),"")</f>
        <v/>
      </c>
      <c r="L103" s="32" t="str">
        <f>IFERROR([1]!IntrinioBankFinancials(rssd_id,$R$2,L$6,L$5,$B103),"")</f>
        <v/>
      </c>
      <c r="M103" s="32" t="str">
        <f>IFERROR([1]!IntrinioBankFinancials(rssd_id,$R$2,M$6,M$5,$B103),"")</f>
        <v/>
      </c>
      <c r="N103" s="32" t="str">
        <f>IFERROR([1]!IntrinioBankFinancials(rssd_id,$R$2,N$6,N$5,$B103),"")</f>
        <v/>
      </c>
      <c r="O103" s="32" t="str">
        <f>IFERROR([1]!IntrinioBankFinancials(rssd_id,$R$2,O$6,O$5,$B103),"")</f>
        <v/>
      </c>
    </row>
    <row r="104" spans="1:15" s="22" customFormat="1" ht="13.5" customHeight="1" x14ac:dyDescent="0.4">
      <c r="A104" s="34" t="s">
        <v>552</v>
      </c>
      <c r="B104" s="23" t="s">
        <v>620</v>
      </c>
      <c r="C104" s="32" t="str">
        <f>IFERROR([1]!IntrinioBankFinancials(rssd_id,$R$2,C$6,C$5,$B104),"")</f>
        <v/>
      </c>
      <c r="D104" s="32" t="str">
        <f>IFERROR([1]!IntrinioBankFinancials(rssd_id,$R$2,D$6,D$5,$B104),"")</f>
        <v/>
      </c>
      <c r="E104" s="32" t="str">
        <f>IFERROR([1]!IntrinioBankFinancials(rssd_id,$R$2,E$6,E$5,$B104),"")</f>
        <v/>
      </c>
      <c r="F104" s="32" t="str">
        <f>IFERROR([1]!IntrinioBankFinancials(rssd_id,$R$2,F$6,F$5,$B104),"")</f>
        <v/>
      </c>
      <c r="G104" s="32" t="str">
        <f>IFERROR([1]!IntrinioBankFinancials(rssd_id,$R$2,G$6,G$5,$B104),"")</f>
        <v/>
      </c>
      <c r="H104" s="32" t="str">
        <f>IFERROR([1]!IntrinioBankFinancials(rssd_id,$R$2,H$6,H$5,$B104),"")</f>
        <v/>
      </c>
      <c r="I104" s="32" t="str">
        <f>IFERROR([1]!IntrinioBankFinancials(rssd_id,$R$2,I$6,I$5,$B104),"")</f>
        <v/>
      </c>
      <c r="J104" s="32" t="str">
        <f>IFERROR([1]!IntrinioBankFinancials(rssd_id,$R$2,J$6,J$5,$B104),"")</f>
        <v/>
      </c>
      <c r="K104" s="32" t="str">
        <f>IFERROR([1]!IntrinioBankFinancials(rssd_id,$R$2,K$6,K$5,$B104),"")</f>
        <v/>
      </c>
      <c r="L104" s="32" t="str">
        <f>IFERROR([1]!IntrinioBankFinancials(rssd_id,$R$2,L$6,L$5,$B104),"")</f>
        <v/>
      </c>
      <c r="M104" s="32" t="str">
        <f>IFERROR([1]!IntrinioBankFinancials(rssd_id,$R$2,M$6,M$5,$B104),"")</f>
        <v/>
      </c>
      <c r="N104" s="32" t="str">
        <f>IFERROR([1]!IntrinioBankFinancials(rssd_id,$R$2,N$6,N$5,$B104),"")</f>
        <v/>
      </c>
      <c r="O104" s="32" t="str">
        <f>IFERROR([1]!IntrinioBankFinancials(rssd_id,$R$2,O$6,O$5,$B104),"")</f>
        <v/>
      </c>
    </row>
    <row r="105" spans="1:15" s="22" customFormat="1" ht="13.5" customHeight="1" x14ac:dyDescent="0.4">
      <c r="A105" s="34" t="s">
        <v>554</v>
      </c>
      <c r="B105" s="23" t="s">
        <v>621</v>
      </c>
      <c r="C105" s="32" t="str">
        <f>IFERROR([1]!IntrinioBankFinancials(rssd_id,$R$2,C$6,C$5,$B105),"")</f>
        <v/>
      </c>
      <c r="D105" s="32" t="str">
        <f>IFERROR([1]!IntrinioBankFinancials(rssd_id,$R$2,D$6,D$5,$B105),"")</f>
        <v/>
      </c>
      <c r="E105" s="32" t="str">
        <f>IFERROR([1]!IntrinioBankFinancials(rssd_id,$R$2,E$6,E$5,$B105),"")</f>
        <v/>
      </c>
      <c r="F105" s="32" t="str">
        <f>IFERROR([1]!IntrinioBankFinancials(rssd_id,$R$2,F$6,F$5,$B105),"")</f>
        <v/>
      </c>
      <c r="G105" s="32" t="str">
        <f>IFERROR([1]!IntrinioBankFinancials(rssd_id,$R$2,G$6,G$5,$B105),"")</f>
        <v/>
      </c>
      <c r="H105" s="32" t="str">
        <f>IFERROR([1]!IntrinioBankFinancials(rssd_id,$R$2,H$6,H$5,$B105),"")</f>
        <v/>
      </c>
      <c r="I105" s="32" t="str">
        <f>IFERROR([1]!IntrinioBankFinancials(rssd_id,$R$2,I$6,I$5,$B105),"")</f>
        <v/>
      </c>
      <c r="J105" s="32" t="str">
        <f>IFERROR([1]!IntrinioBankFinancials(rssd_id,$R$2,J$6,J$5,$B105),"")</f>
        <v/>
      </c>
      <c r="K105" s="32" t="str">
        <f>IFERROR([1]!IntrinioBankFinancials(rssd_id,$R$2,K$6,K$5,$B105),"")</f>
        <v/>
      </c>
      <c r="L105" s="32" t="str">
        <f>IFERROR([1]!IntrinioBankFinancials(rssd_id,$R$2,L$6,L$5,$B105),"")</f>
        <v/>
      </c>
      <c r="M105" s="32" t="str">
        <f>IFERROR([1]!IntrinioBankFinancials(rssd_id,$R$2,M$6,M$5,$B105),"")</f>
        <v/>
      </c>
      <c r="N105" s="32" t="str">
        <f>IFERROR([1]!IntrinioBankFinancials(rssd_id,$R$2,N$6,N$5,$B105),"")</f>
        <v/>
      </c>
      <c r="O105" s="32" t="str">
        <f>IFERROR([1]!IntrinioBankFinancials(rssd_id,$R$2,O$6,O$5,$B105),"")</f>
        <v/>
      </c>
    </row>
    <row r="106" spans="1:15" s="22" customFormat="1" ht="13.5" customHeight="1" x14ac:dyDescent="0.4">
      <c r="A106" s="34" t="s">
        <v>556</v>
      </c>
      <c r="B106" s="23" t="s">
        <v>622</v>
      </c>
      <c r="C106" s="32" t="str">
        <f>IFERROR([1]!IntrinioBankFinancials(rssd_id,$R$2,C$6,C$5,$B106),"")</f>
        <v/>
      </c>
      <c r="D106" s="32" t="str">
        <f>IFERROR([1]!IntrinioBankFinancials(rssd_id,$R$2,D$6,D$5,$B106),"")</f>
        <v/>
      </c>
      <c r="E106" s="32" t="str">
        <f>IFERROR([1]!IntrinioBankFinancials(rssd_id,$R$2,E$6,E$5,$B106),"")</f>
        <v/>
      </c>
      <c r="F106" s="32" t="str">
        <f>IFERROR([1]!IntrinioBankFinancials(rssd_id,$R$2,F$6,F$5,$B106),"")</f>
        <v/>
      </c>
      <c r="G106" s="32" t="str">
        <f>IFERROR([1]!IntrinioBankFinancials(rssd_id,$R$2,G$6,G$5,$B106),"")</f>
        <v/>
      </c>
      <c r="H106" s="32" t="str">
        <f>IFERROR([1]!IntrinioBankFinancials(rssd_id,$R$2,H$6,H$5,$B106),"")</f>
        <v/>
      </c>
      <c r="I106" s="32" t="str">
        <f>IFERROR([1]!IntrinioBankFinancials(rssd_id,$R$2,I$6,I$5,$B106),"")</f>
        <v/>
      </c>
      <c r="J106" s="32" t="str">
        <f>IFERROR([1]!IntrinioBankFinancials(rssd_id,$R$2,J$6,J$5,$B106),"")</f>
        <v/>
      </c>
      <c r="K106" s="32" t="str">
        <f>IFERROR([1]!IntrinioBankFinancials(rssd_id,$R$2,K$6,K$5,$B106),"")</f>
        <v/>
      </c>
      <c r="L106" s="32" t="str">
        <f>IFERROR([1]!IntrinioBankFinancials(rssd_id,$R$2,L$6,L$5,$B106),"")</f>
        <v/>
      </c>
      <c r="M106" s="32" t="str">
        <f>IFERROR([1]!IntrinioBankFinancials(rssd_id,$R$2,M$6,M$5,$B106),"")</f>
        <v/>
      </c>
      <c r="N106" s="32" t="str">
        <f>IFERROR([1]!IntrinioBankFinancials(rssd_id,$R$2,N$6,N$5,$B106),"")</f>
        <v/>
      </c>
      <c r="O106" s="32" t="str">
        <f>IFERROR([1]!IntrinioBankFinancials(rssd_id,$R$2,O$6,O$5,$B106),"")</f>
        <v/>
      </c>
    </row>
    <row r="107" spans="1:15" s="22" customFormat="1" ht="13.5" customHeight="1" x14ac:dyDescent="0.4">
      <c r="A107" s="33"/>
      <c r="B107" s="20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</row>
    <row r="108" spans="1:15" s="22" customFormat="1" ht="13.5" customHeight="1" x14ac:dyDescent="0.4">
      <c r="A108" s="33" t="s">
        <v>506</v>
      </c>
      <c r="B108" s="20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s="22" customFormat="1" ht="13.5" customHeight="1" x14ac:dyDescent="0.4">
      <c r="A109" s="34" t="s">
        <v>623</v>
      </c>
      <c r="B109" s="23" t="s">
        <v>624</v>
      </c>
      <c r="C109" s="32" t="str">
        <f>IFERROR([1]!IntrinioBankFinancials(rssd_id,$R$2,C$6,C$5,$B109),"")</f>
        <v/>
      </c>
      <c r="D109" s="32" t="str">
        <f>IFERROR([1]!IntrinioBankFinancials(rssd_id,$R$2,D$6,D$5,$B109),"")</f>
        <v/>
      </c>
      <c r="E109" s="32" t="str">
        <f>IFERROR([1]!IntrinioBankFinancials(rssd_id,$R$2,E$6,E$5,$B109),"")</f>
        <v/>
      </c>
      <c r="F109" s="32" t="str">
        <f>IFERROR([1]!IntrinioBankFinancials(rssd_id,$R$2,F$6,F$5,$B109),"")</f>
        <v/>
      </c>
      <c r="G109" s="32" t="str">
        <f>IFERROR([1]!IntrinioBankFinancials(rssd_id,$R$2,G$6,G$5,$B109),"")</f>
        <v/>
      </c>
      <c r="H109" s="32" t="str">
        <f>IFERROR([1]!IntrinioBankFinancials(rssd_id,$R$2,H$6,H$5,$B109),"")</f>
        <v/>
      </c>
      <c r="I109" s="32" t="str">
        <f>IFERROR([1]!IntrinioBankFinancials(rssd_id,$R$2,I$6,I$5,$B109),"")</f>
        <v/>
      </c>
      <c r="J109" s="32" t="str">
        <f>IFERROR([1]!IntrinioBankFinancials(rssd_id,$R$2,J$6,J$5,$B109),"")</f>
        <v/>
      </c>
      <c r="K109" s="32" t="str">
        <f>IFERROR([1]!IntrinioBankFinancials(rssd_id,$R$2,K$6,K$5,$B109),"")</f>
        <v/>
      </c>
      <c r="L109" s="32" t="str">
        <f>IFERROR([1]!IntrinioBankFinancials(rssd_id,$R$2,L$6,L$5,$B109),"")</f>
        <v/>
      </c>
      <c r="M109" s="32" t="str">
        <f>IFERROR([1]!IntrinioBankFinancials(rssd_id,$R$2,M$6,M$5,$B109),"")</f>
        <v/>
      </c>
      <c r="N109" s="32" t="str">
        <f>IFERROR([1]!IntrinioBankFinancials(rssd_id,$R$2,N$6,N$5,$B109),"")</f>
        <v/>
      </c>
      <c r="O109" s="32" t="str">
        <f>IFERROR([1]!IntrinioBankFinancials(rssd_id,$R$2,O$6,O$5,$B109),"")</f>
        <v/>
      </c>
    </row>
    <row r="110" spans="1:15" s="22" customFormat="1" ht="13.5" customHeight="1" x14ac:dyDescent="0.4">
      <c r="A110" s="34" t="s">
        <v>552</v>
      </c>
      <c r="B110" s="23" t="s">
        <v>625</v>
      </c>
      <c r="C110" s="32" t="str">
        <f>IFERROR([1]!IntrinioBankFinancials(rssd_id,$R$2,C$6,C$5,$B110),"")</f>
        <v/>
      </c>
      <c r="D110" s="32" t="str">
        <f>IFERROR([1]!IntrinioBankFinancials(rssd_id,$R$2,D$6,D$5,$B110),"")</f>
        <v/>
      </c>
      <c r="E110" s="32" t="str">
        <f>IFERROR([1]!IntrinioBankFinancials(rssd_id,$R$2,E$6,E$5,$B110),"")</f>
        <v/>
      </c>
      <c r="F110" s="32" t="str">
        <f>IFERROR([1]!IntrinioBankFinancials(rssd_id,$R$2,F$6,F$5,$B110),"")</f>
        <v/>
      </c>
      <c r="G110" s="32" t="str">
        <f>IFERROR([1]!IntrinioBankFinancials(rssd_id,$R$2,G$6,G$5,$B110),"")</f>
        <v/>
      </c>
      <c r="H110" s="32" t="str">
        <f>IFERROR([1]!IntrinioBankFinancials(rssd_id,$R$2,H$6,H$5,$B110),"")</f>
        <v/>
      </c>
      <c r="I110" s="32" t="str">
        <f>IFERROR([1]!IntrinioBankFinancials(rssd_id,$R$2,I$6,I$5,$B110),"")</f>
        <v/>
      </c>
      <c r="J110" s="32" t="str">
        <f>IFERROR([1]!IntrinioBankFinancials(rssd_id,$R$2,J$6,J$5,$B110),"")</f>
        <v/>
      </c>
      <c r="K110" s="32" t="str">
        <f>IFERROR([1]!IntrinioBankFinancials(rssd_id,$R$2,K$6,K$5,$B110),"")</f>
        <v/>
      </c>
      <c r="L110" s="32" t="str">
        <f>IFERROR([1]!IntrinioBankFinancials(rssd_id,$R$2,L$6,L$5,$B110),"")</f>
        <v/>
      </c>
      <c r="M110" s="32" t="str">
        <f>IFERROR([1]!IntrinioBankFinancials(rssd_id,$R$2,M$6,M$5,$B110),"")</f>
        <v/>
      </c>
      <c r="N110" s="32" t="str">
        <f>IFERROR([1]!IntrinioBankFinancials(rssd_id,$R$2,N$6,N$5,$B110),"")</f>
        <v/>
      </c>
      <c r="O110" s="32" t="str">
        <f>IFERROR([1]!IntrinioBankFinancials(rssd_id,$R$2,O$6,O$5,$B110),"")</f>
        <v/>
      </c>
    </row>
    <row r="111" spans="1:15" s="22" customFormat="1" ht="13.5" customHeight="1" x14ac:dyDescent="0.4">
      <c r="A111" s="34" t="s">
        <v>554</v>
      </c>
      <c r="B111" s="23" t="s">
        <v>626</v>
      </c>
      <c r="C111" s="32" t="str">
        <f>IFERROR([1]!IntrinioBankFinancials(rssd_id,$R$2,C$6,C$5,$B111),"")</f>
        <v/>
      </c>
      <c r="D111" s="32" t="str">
        <f>IFERROR([1]!IntrinioBankFinancials(rssd_id,$R$2,D$6,D$5,$B111),"")</f>
        <v/>
      </c>
      <c r="E111" s="32" t="str">
        <f>IFERROR([1]!IntrinioBankFinancials(rssd_id,$R$2,E$6,E$5,$B111),"")</f>
        <v/>
      </c>
      <c r="F111" s="32" t="str">
        <f>IFERROR([1]!IntrinioBankFinancials(rssd_id,$R$2,F$6,F$5,$B111),"")</f>
        <v/>
      </c>
      <c r="G111" s="32" t="str">
        <f>IFERROR([1]!IntrinioBankFinancials(rssd_id,$R$2,G$6,G$5,$B111),"")</f>
        <v/>
      </c>
      <c r="H111" s="32" t="str">
        <f>IFERROR([1]!IntrinioBankFinancials(rssd_id,$R$2,H$6,H$5,$B111),"")</f>
        <v/>
      </c>
      <c r="I111" s="32" t="str">
        <f>IFERROR([1]!IntrinioBankFinancials(rssd_id,$R$2,I$6,I$5,$B111),"")</f>
        <v/>
      </c>
      <c r="J111" s="32" t="str">
        <f>IFERROR([1]!IntrinioBankFinancials(rssd_id,$R$2,J$6,J$5,$B111),"")</f>
        <v/>
      </c>
      <c r="K111" s="32" t="str">
        <f>IFERROR([1]!IntrinioBankFinancials(rssd_id,$R$2,K$6,K$5,$B111),"")</f>
        <v/>
      </c>
      <c r="L111" s="32" t="str">
        <f>IFERROR([1]!IntrinioBankFinancials(rssd_id,$R$2,L$6,L$5,$B111),"")</f>
        <v/>
      </c>
      <c r="M111" s="32" t="str">
        <f>IFERROR([1]!IntrinioBankFinancials(rssd_id,$R$2,M$6,M$5,$B111),"")</f>
        <v/>
      </c>
      <c r="N111" s="32" t="str">
        <f>IFERROR([1]!IntrinioBankFinancials(rssd_id,$R$2,N$6,N$5,$B111),"")</f>
        <v/>
      </c>
      <c r="O111" s="32" t="str">
        <f>IFERROR([1]!IntrinioBankFinancials(rssd_id,$R$2,O$6,O$5,$B111),"")</f>
        <v/>
      </c>
    </row>
    <row r="112" spans="1:15" s="22" customFormat="1" ht="13.5" customHeight="1" x14ac:dyDescent="0.4">
      <c r="A112" s="34" t="s">
        <v>556</v>
      </c>
      <c r="B112" s="23" t="s">
        <v>627</v>
      </c>
      <c r="C112" s="32" t="str">
        <f>IFERROR([1]!IntrinioBankFinancials(rssd_id,$R$2,C$6,C$5,$B112),"")</f>
        <v/>
      </c>
      <c r="D112" s="32" t="str">
        <f>IFERROR([1]!IntrinioBankFinancials(rssd_id,$R$2,D$6,D$5,$B112),"")</f>
        <v/>
      </c>
      <c r="E112" s="32" t="str">
        <f>IFERROR([1]!IntrinioBankFinancials(rssd_id,$R$2,E$6,E$5,$B112),"")</f>
        <v/>
      </c>
      <c r="F112" s="32" t="str">
        <f>IFERROR([1]!IntrinioBankFinancials(rssd_id,$R$2,F$6,F$5,$B112),"")</f>
        <v/>
      </c>
      <c r="G112" s="32" t="str">
        <f>IFERROR([1]!IntrinioBankFinancials(rssd_id,$R$2,G$6,G$5,$B112),"")</f>
        <v/>
      </c>
      <c r="H112" s="32" t="str">
        <f>IFERROR([1]!IntrinioBankFinancials(rssd_id,$R$2,H$6,H$5,$B112),"")</f>
        <v/>
      </c>
      <c r="I112" s="32" t="str">
        <f>IFERROR([1]!IntrinioBankFinancials(rssd_id,$R$2,I$6,I$5,$B112),"")</f>
        <v/>
      </c>
      <c r="J112" s="32" t="str">
        <f>IFERROR([1]!IntrinioBankFinancials(rssd_id,$R$2,J$6,J$5,$B112),"")</f>
        <v/>
      </c>
      <c r="K112" s="32" t="str">
        <f>IFERROR([1]!IntrinioBankFinancials(rssd_id,$R$2,K$6,K$5,$B112),"")</f>
        <v/>
      </c>
      <c r="L112" s="32" t="str">
        <f>IFERROR([1]!IntrinioBankFinancials(rssd_id,$R$2,L$6,L$5,$B112),"")</f>
        <v/>
      </c>
      <c r="M112" s="32" t="str">
        <f>IFERROR([1]!IntrinioBankFinancials(rssd_id,$R$2,M$6,M$5,$B112),"")</f>
        <v/>
      </c>
      <c r="N112" s="32" t="str">
        <f>IFERROR([1]!IntrinioBankFinancials(rssd_id,$R$2,N$6,N$5,$B112),"")</f>
        <v/>
      </c>
      <c r="O112" s="32" t="str">
        <f>IFERROR([1]!IntrinioBankFinancials(rssd_id,$R$2,O$6,O$5,$B112),"")</f>
        <v/>
      </c>
    </row>
    <row r="113" spans="1:15" s="22" customFormat="1" ht="13.5" customHeight="1" x14ac:dyDescent="0.4">
      <c r="A113" s="33"/>
      <c r="B113" s="20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</row>
    <row r="114" spans="1:15" s="22" customFormat="1" ht="13.5" customHeight="1" x14ac:dyDescent="0.4">
      <c r="A114" s="33" t="s">
        <v>730</v>
      </c>
      <c r="B114" s="20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s="22" customFormat="1" ht="13.5" customHeight="1" x14ac:dyDescent="0.4">
      <c r="A115" s="34" t="s">
        <v>628</v>
      </c>
      <c r="B115" s="23" t="s">
        <v>629</v>
      </c>
      <c r="C115" s="24" t="str">
        <f>IFERROR([1]!IntrinioBankFinancials(rssd_id,$R$2,C$6,C$5,$B115,"K"),"")</f>
        <v/>
      </c>
      <c r="D115" s="24" t="str">
        <f>IFERROR([1]!IntrinioBankFinancials(rssd_id,$R$2,D$6,D$5,$B115,"K"),"")</f>
        <v/>
      </c>
      <c r="E115" s="24" t="str">
        <f>IFERROR([1]!IntrinioBankFinancials(rssd_id,$R$2,E$6,E$5,$B115,"K"),"")</f>
        <v/>
      </c>
      <c r="F115" s="24" t="str">
        <f>IFERROR([1]!IntrinioBankFinancials(rssd_id,$R$2,F$6,F$5,$B115,"K"),"")</f>
        <v/>
      </c>
      <c r="G115" s="24" t="str">
        <f>IFERROR([1]!IntrinioBankFinancials(rssd_id,$R$2,G$6,G$5,$B115,"K"),"")</f>
        <v/>
      </c>
      <c r="H115" s="24" t="str">
        <f>IFERROR([1]!IntrinioBankFinancials(rssd_id,$R$2,H$6,H$5,$B115,"K"),"")</f>
        <v/>
      </c>
      <c r="I115" s="24" t="str">
        <f>IFERROR([1]!IntrinioBankFinancials(rssd_id,$R$2,I$6,I$5,$B115,"K"),"")</f>
        <v/>
      </c>
      <c r="J115" s="24" t="str">
        <f>IFERROR([1]!IntrinioBankFinancials(rssd_id,$R$2,J$6,J$5,$B115,"K"),"")</f>
        <v/>
      </c>
      <c r="K115" s="24" t="str">
        <f>IFERROR([1]!IntrinioBankFinancials(rssd_id,$R$2,K$6,K$5,$B115,"K"),"")</f>
        <v/>
      </c>
      <c r="L115" s="24" t="str">
        <f>IFERROR([1]!IntrinioBankFinancials(rssd_id,$R$2,L$6,L$5,$B115,"K"),"")</f>
        <v/>
      </c>
      <c r="M115" s="24" t="str">
        <f>IFERROR([1]!IntrinioBankFinancials(rssd_id,$R$2,M$6,M$5,$B115,"K"),"")</f>
        <v/>
      </c>
      <c r="N115" s="24" t="str">
        <f>IFERROR([1]!IntrinioBankFinancials(rssd_id,$R$2,N$6,N$5,$B115,"K"),"")</f>
        <v/>
      </c>
      <c r="O115" s="24" t="str">
        <f>IFERROR([1]!IntrinioBankFinancials(rssd_id,$R$2,O$6,O$5,$B115,"K"),"")</f>
        <v/>
      </c>
    </row>
    <row r="116" spans="1:15" s="22" customFormat="1" ht="13.5" customHeight="1" x14ac:dyDescent="0.4">
      <c r="A116" s="34" t="s">
        <v>630</v>
      </c>
      <c r="B116" s="23" t="s">
        <v>631</v>
      </c>
      <c r="C116" s="24" t="str">
        <f>IFERROR([1]!IntrinioBankFinancials(rssd_id,$R$2,C$6,C$5,$B116,"K"),"")</f>
        <v/>
      </c>
      <c r="D116" s="24" t="str">
        <f>IFERROR([1]!IntrinioBankFinancials(rssd_id,$R$2,D$6,D$5,$B116,"K"),"")</f>
        <v/>
      </c>
      <c r="E116" s="24" t="str">
        <f>IFERROR([1]!IntrinioBankFinancials(rssd_id,$R$2,E$6,E$5,$B116,"K"),"")</f>
        <v/>
      </c>
      <c r="F116" s="24" t="str">
        <f>IFERROR([1]!IntrinioBankFinancials(rssd_id,$R$2,F$6,F$5,$B116,"K"),"")</f>
        <v/>
      </c>
      <c r="G116" s="24" t="str">
        <f>IFERROR([1]!IntrinioBankFinancials(rssd_id,$R$2,G$6,G$5,$B116,"K"),"")</f>
        <v/>
      </c>
      <c r="H116" s="24" t="str">
        <f>IFERROR([1]!IntrinioBankFinancials(rssd_id,$R$2,H$6,H$5,$B116,"K"),"")</f>
        <v/>
      </c>
      <c r="I116" s="24" t="str">
        <f>IFERROR([1]!IntrinioBankFinancials(rssd_id,$R$2,I$6,I$5,$B116,"K"),"")</f>
        <v/>
      </c>
      <c r="J116" s="24" t="str">
        <f>IFERROR([1]!IntrinioBankFinancials(rssd_id,$R$2,J$6,J$5,$B116,"K"),"")</f>
        <v/>
      </c>
      <c r="K116" s="24" t="str">
        <f>IFERROR([1]!IntrinioBankFinancials(rssd_id,$R$2,K$6,K$5,$B116,"K"),"")</f>
        <v/>
      </c>
      <c r="L116" s="24" t="str">
        <f>IFERROR([1]!IntrinioBankFinancials(rssd_id,$R$2,L$6,L$5,$B116,"K"),"")</f>
        <v/>
      </c>
      <c r="M116" s="24" t="str">
        <f>IFERROR([1]!IntrinioBankFinancials(rssd_id,$R$2,M$6,M$5,$B116,"K"),"")</f>
        <v/>
      </c>
      <c r="N116" s="24" t="str">
        <f>IFERROR([1]!IntrinioBankFinancials(rssd_id,$R$2,N$6,N$5,$B116,"K"),"")</f>
        <v/>
      </c>
      <c r="O116" s="24" t="str">
        <f>IFERROR([1]!IntrinioBankFinancials(rssd_id,$R$2,O$6,O$5,$B116,"K"),"")</f>
        <v/>
      </c>
    </row>
    <row r="117" spans="1:15" s="22" customFormat="1" ht="13.5" customHeight="1" x14ac:dyDescent="0.4">
      <c r="A117" s="34" t="s">
        <v>632</v>
      </c>
      <c r="B117" s="23" t="s">
        <v>633</v>
      </c>
      <c r="C117" s="24" t="str">
        <f>IFERROR([1]!IntrinioBankFinancials(rssd_id,$R$2,C$6,C$5,$B117,"K"),"")</f>
        <v/>
      </c>
      <c r="D117" s="24" t="str">
        <f>IFERROR([1]!IntrinioBankFinancials(rssd_id,$R$2,D$6,D$5,$B117,"K"),"")</f>
        <v/>
      </c>
      <c r="E117" s="24" t="str">
        <f>IFERROR([1]!IntrinioBankFinancials(rssd_id,$R$2,E$6,E$5,$B117,"K"),"")</f>
        <v/>
      </c>
      <c r="F117" s="24" t="str">
        <f>IFERROR([1]!IntrinioBankFinancials(rssd_id,$R$2,F$6,F$5,$B117,"K"),"")</f>
        <v/>
      </c>
      <c r="G117" s="24" t="str">
        <f>IFERROR([1]!IntrinioBankFinancials(rssd_id,$R$2,G$6,G$5,$B117,"K"),"")</f>
        <v/>
      </c>
      <c r="H117" s="24" t="str">
        <f>IFERROR([1]!IntrinioBankFinancials(rssd_id,$R$2,H$6,H$5,$B117,"K"),"")</f>
        <v/>
      </c>
      <c r="I117" s="24" t="str">
        <f>IFERROR([1]!IntrinioBankFinancials(rssd_id,$R$2,I$6,I$5,$B117,"K"),"")</f>
        <v/>
      </c>
      <c r="J117" s="24" t="str">
        <f>IFERROR([1]!IntrinioBankFinancials(rssd_id,$R$2,J$6,J$5,$B117,"K"),"")</f>
        <v/>
      </c>
      <c r="K117" s="24" t="str">
        <f>IFERROR([1]!IntrinioBankFinancials(rssd_id,$R$2,K$6,K$5,$B117,"K"),"")</f>
        <v/>
      </c>
      <c r="L117" s="24" t="str">
        <f>IFERROR([1]!IntrinioBankFinancials(rssd_id,$R$2,L$6,L$5,$B117,"K"),"")</f>
        <v/>
      </c>
      <c r="M117" s="24" t="str">
        <f>IFERROR([1]!IntrinioBankFinancials(rssd_id,$R$2,M$6,M$5,$B117,"K"),"")</f>
        <v/>
      </c>
      <c r="N117" s="24" t="str">
        <f>IFERROR([1]!IntrinioBankFinancials(rssd_id,$R$2,N$6,N$5,$B117,"K"),"")</f>
        <v/>
      </c>
      <c r="O117" s="24" t="str">
        <f>IFERROR([1]!IntrinioBankFinancials(rssd_id,$R$2,O$6,O$5,$B117,"K"),"")</f>
        <v/>
      </c>
    </row>
    <row r="118" spans="1:15" s="22" customFormat="1" ht="13.5" customHeight="1" x14ac:dyDescent="0.4">
      <c r="A118" s="34" t="s">
        <v>634</v>
      </c>
      <c r="B118" s="23" t="s">
        <v>635</v>
      </c>
      <c r="C118" s="24" t="str">
        <f>IFERROR([1]!IntrinioBankFinancials(rssd_id,$R$2,C$6,C$5,$B118,"K"),"")</f>
        <v/>
      </c>
      <c r="D118" s="24" t="str">
        <f>IFERROR([1]!IntrinioBankFinancials(rssd_id,$R$2,D$6,D$5,$B118,"K"),"")</f>
        <v/>
      </c>
      <c r="E118" s="24" t="str">
        <f>IFERROR([1]!IntrinioBankFinancials(rssd_id,$R$2,E$6,E$5,$B118,"K"),"")</f>
        <v/>
      </c>
      <c r="F118" s="24" t="str">
        <f>IFERROR([1]!IntrinioBankFinancials(rssd_id,$R$2,F$6,F$5,$B118,"K"),"")</f>
        <v/>
      </c>
      <c r="G118" s="24" t="str">
        <f>IFERROR([1]!IntrinioBankFinancials(rssd_id,$R$2,G$6,G$5,$B118,"K"),"")</f>
        <v/>
      </c>
      <c r="H118" s="24" t="str">
        <f>IFERROR([1]!IntrinioBankFinancials(rssd_id,$R$2,H$6,H$5,$B118,"K"),"")</f>
        <v/>
      </c>
      <c r="I118" s="24" t="str">
        <f>IFERROR([1]!IntrinioBankFinancials(rssd_id,$R$2,I$6,I$5,$B118,"K"),"")</f>
        <v/>
      </c>
      <c r="J118" s="24" t="str">
        <f>IFERROR([1]!IntrinioBankFinancials(rssd_id,$R$2,J$6,J$5,$B118,"K"),"")</f>
        <v/>
      </c>
      <c r="K118" s="24" t="str">
        <f>IFERROR([1]!IntrinioBankFinancials(rssd_id,$R$2,K$6,K$5,$B118,"K"),"")</f>
        <v/>
      </c>
      <c r="L118" s="24" t="str">
        <f>IFERROR([1]!IntrinioBankFinancials(rssd_id,$R$2,L$6,L$5,$B118,"K"),"")</f>
        <v/>
      </c>
      <c r="M118" s="24" t="str">
        <f>IFERROR([1]!IntrinioBankFinancials(rssd_id,$R$2,M$6,M$5,$B118,"K"),"")</f>
        <v/>
      </c>
      <c r="N118" s="24" t="str">
        <f>IFERROR([1]!IntrinioBankFinancials(rssd_id,$R$2,N$6,N$5,$B118,"K"),"")</f>
        <v/>
      </c>
      <c r="O118" s="24" t="str">
        <f>IFERROR([1]!IntrinioBankFinancials(rssd_id,$R$2,O$6,O$5,$B118,"K"),"")</f>
        <v/>
      </c>
    </row>
    <row r="119" spans="1:15" s="22" customFormat="1" ht="13.5" customHeight="1" x14ac:dyDescent="0.4">
      <c r="A119" s="34" t="s">
        <v>636</v>
      </c>
      <c r="B119" s="23" t="s">
        <v>637</v>
      </c>
      <c r="C119" s="24" t="str">
        <f>IFERROR([1]!IntrinioBankFinancials(rssd_id,$R$2,C$6,C$5,$B119,"K"),"")</f>
        <v/>
      </c>
      <c r="D119" s="24" t="str">
        <f>IFERROR([1]!IntrinioBankFinancials(rssd_id,$R$2,D$6,D$5,$B119,"K"),"")</f>
        <v/>
      </c>
      <c r="E119" s="24" t="str">
        <f>IFERROR([1]!IntrinioBankFinancials(rssd_id,$R$2,E$6,E$5,$B119,"K"),"")</f>
        <v/>
      </c>
      <c r="F119" s="24" t="str">
        <f>IFERROR([1]!IntrinioBankFinancials(rssd_id,$R$2,F$6,F$5,$B119,"K"),"")</f>
        <v/>
      </c>
      <c r="G119" s="24" t="str">
        <f>IFERROR([1]!IntrinioBankFinancials(rssd_id,$R$2,G$6,G$5,$B119,"K"),"")</f>
        <v/>
      </c>
      <c r="H119" s="24" t="str">
        <f>IFERROR([1]!IntrinioBankFinancials(rssd_id,$R$2,H$6,H$5,$B119,"K"),"")</f>
        <v/>
      </c>
      <c r="I119" s="24" t="str">
        <f>IFERROR([1]!IntrinioBankFinancials(rssd_id,$R$2,I$6,I$5,$B119,"K"),"")</f>
        <v/>
      </c>
      <c r="J119" s="24" t="str">
        <f>IFERROR([1]!IntrinioBankFinancials(rssd_id,$R$2,J$6,J$5,$B119,"K"),"")</f>
        <v/>
      </c>
      <c r="K119" s="24" t="str">
        <f>IFERROR([1]!IntrinioBankFinancials(rssd_id,$R$2,K$6,K$5,$B119,"K"),"")</f>
        <v/>
      </c>
      <c r="L119" s="24" t="str">
        <f>IFERROR([1]!IntrinioBankFinancials(rssd_id,$R$2,L$6,L$5,$B119,"K"),"")</f>
        <v/>
      </c>
      <c r="M119" s="24" t="str">
        <f>IFERROR([1]!IntrinioBankFinancials(rssd_id,$R$2,M$6,M$5,$B119,"K"),"")</f>
        <v/>
      </c>
      <c r="N119" s="24" t="str">
        <f>IFERROR([1]!IntrinioBankFinancials(rssd_id,$R$2,N$6,N$5,$B119,"K"),"")</f>
        <v/>
      </c>
      <c r="O119" s="24" t="str">
        <f>IFERROR([1]!IntrinioBankFinancials(rssd_id,$R$2,O$6,O$5,$B119,"K"),"")</f>
        <v/>
      </c>
    </row>
    <row r="120" spans="1:15" s="22" customFormat="1" ht="13.5" customHeight="1" x14ac:dyDescent="0.4">
      <c r="A120" s="34" t="s">
        <v>638</v>
      </c>
      <c r="B120" s="23" t="s">
        <v>639</v>
      </c>
      <c r="C120" s="24" t="str">
        <f>IFERROR([1]!IntrinioBankFinancials(rssd_id,$R$2,C$6,C$5,$B120,"K"),"")</f>
        <v/>
      </c>
      <c r="D120" s="24" t="str">
        <f>IFERROR([1]!IntrinioBankFinancials(rssd_id,$R$2,D$6,D$5,$B120,"K"),"")</f>
        <v/>
      </c>
      <c r="E120" s="24" t="str">
        <f>IFERROR([1]!IntrinioBankFinancials(rssd_id,$R$2,E$6,E$5,$B120,"K"),"")</f>
        <v/>
      </c>
      <c r="F120" s="24" t="str">
        <f>IFERROR([1]!IntrinioBankFinancials(rssd_id,$R$2,F$6,F$5,$B120,"K"),"")</f>
        <v/>
      </c>
      <c r="G120" s="24" t="str">
        <f>IFERROR([1]!IntrinioBankFinancials(rssd_id,$R$2,G$6,G$5,$B120,"K"),"")</f>
        <v/>
      </c>
      <c r="H120" s="24" t="str">
        <f>IFERROR([1]!IntrinioBankFinancials(rssd_id,$R$2,H$6,H$5,$B120,"K"),"")</f>
        <v/>
      </c>
      <c r="I120" s="24" t="str">
        <f>IFERROR([1]!IntrinioBankFinancials(rssd_id,$R$2,I$6,I$5,$B120,"K"),"")</f>
        <v/>
      </c>
      <c r="J120" s="24" t="str">
        <f>IFERROR([1]!IntrinioBankFinancials(rssd_id,$R$2,J$6,J$5,$B120,"K"),"")</f>
        <v/>
      </c>
      <c r="K120" s="24" t="str">
        <f>IFERROR([1]!IntrinioBankFinancials(rssd_id,$R$2,K$6,K$5,$B120,"K"),"")</f>
        <v/>
      </c>
      <c r="L120" s="24" t="str">
        <f>IFERROR([1]!IntrinioBankFinancials(rssd_id,$R$2,L$6,L$5,$B120,"K"),"")</f>
        <v/>
      </c>
      <c r="M120" s="24" t="str">
        <f>IFERROR([1]!IntrinioBankFinancials(rssd_id,$R$2,M$6,M$5,$B120,"K"),"")</f>
        <v/>
      </c>
      <c r="N120" s="24" t="str">
        <f>IFERROR([1]!IntrinioBankFinancials(rssd_id,$R$2,N$6,N$5,$B120,"K"),"")</f>
        <v/>
      </c>
      <c r="O120" s="24" t="str">
        <f>IFERROR([1]!IntrinioBankFinancials(rssd_id,$R$2,O$6,O$5,$B120,"K"),"")</f>
        <v/>
      </c>
    </row>
    <row r="121" spans="1:15" s="22" customFormat="1" ht="13.5" customHeight="1" x14ac:dyDescent="0.4">
      <c r="A121" s="34" t="s">
        <v>640</v>
      </c>
      <c r="B121" s="23" t="s">
        <v>641</v>
      </c>
      <c r="C121" s="24" t="str">
        <f>IFERROR([1]!IntrinioBankFinancials(rssd_id,$R$2,C$6,C$5,$B121,"K"),"")</f>
        <v/>
      </c>
      <c r="D121" s="24" t="str">
        <f>IFERROR([1]!IntrinioBankFinancials(rssd_id,$R$2,D$6,D$5,$B121,"K"),"")</f>
        <v/>
      </c>
      <c r="E121" s="24" t="str">
        <f>IFERROR([1]!IntrinioBankFinancials(rssd_id,$R$2,E$6,E$5,$B121,"K"),"")</f>
        <v/>
      </c>
      <c r="F121" s="24" t="str">
        <f>IFERROR([1]!IntrinioBankFinancials(rssd_id,$R$2,F$6,F$5,$B121,"K"),"")</f>
        <v/>
      </c>
      <c r="G121" s="24" t="str">
        <f>IFERROR([1]!IntrinioBankFinancials(rssd_id,$R$2,G$6,G$5,$B121,"K"),"")</f>
        <v/>
      </c>
      <c r="H121" s="24" t="str">
        <f>IFERROR([1]!IntrinioBankFinancials(rssd_id,$R$2,H$6,H$5,$B121,"K"),"")</f>
        <v/>
      </c>
      <c r="I121" s="24" t="str">
        <f>IFERROR([1]!IntrinioBankFinancials(rssd_id,$R$2,I$6,I$5,$B121,"K"),"")</f>
        <v/>
      </c>
      <c r="J121" s="24" t="str">
        <f>IFERROR([1]!IntrinioBankFinancials(rssd_id,$R$2,J$6,J$5,$B121,"K"),"")</f>
        <v/>
      </c>
      <c r="K121" s="24" t="str">
        <f>IFERROR([1]!IntrinioBankFinancials(rssd_id,$R$2,K$6,K$5,$B121,"K"),"")</f>
        <v/>
      </c>
      <c r="L121" s="24" t="str">
        <f>IFERROR([1]!IntrinioBankFinancials(rssd_id,$R$2,L$6,L$5,$B121,"K"),"")</f>
        <v/>
      </c>
      <c r="M121" s="24" t="str">
        <f>IFERROR([1]!IntrinioBankFinancials(rssd_id,$R$2,M$6,M$5,$B121,"K"),"")</f>
        <v/>
      </c>
      <c r="N121" s="24" t="str">
        <f>IFERROR([1]!IntrinioBankFinancials(rssd_id,$R$2,N$6,N$5,$B121,"K"),"")</f>
        <v/>
      </c>
      <c r="O121" s="24" t="str">
        <f>IFERROR([1]!IntrinioBankFinancials(rssd_id,$R$2,O$6,O$5,$B121,"K"),"")</f>
        <v/>
      </c>
    </row>
    <row r="122" spans="1:15" s="22" customFormat="1" ht="13.5" customHeight="1" x14ac:dyDescent="0.4">
      <c r="A122" s="34" t="s">
        <v>642</v>
      </c>
      <c r="B122" s="23" t="s">
        <v>643</v>
      </c>
      <c r="C122" s="24" t="str">
        <f>IFERROR([1]!IntrinioBankFinancials(rssd_id,$R$2,C$6,C$5,$B122,"K"),"")</f>
        <v/>
      </c>
      <c r="D122" s="24" t="str">
        <f>IFERROR([1]!IntrinioBankFinancials(rssd_id,$R$2,D$6,D$5,$B122,"K"),"")</f>
        <v/>
      </c>
      <c r="E122" s="24" t="str">
        <f>IFERROR([1]!IntrinioBankFinancials(rssd_id,$R$2,E$6,E$5,$B122,"K"),"")</f>
        <v/>
      </c>
      <c r="F122" s="24" t="str">
        <f>IFERROR([1]!IntrinioBankFinancials(rssd_id,$R$2,F$6,F$5,$B122,"K"),"")</f>
        <v/>
      </c>
      <c r="G122" s="24" t="str">
        <f>IFERROR([1]!IntrinioBankFinancials(rssd_id,$R$2,G$6,G$5,$B122,"K"),"")</f>
        <v/>
      </c>
      <c r="H122" s="24" t="str">
        <f>IFERROR([1]!IntrinioBankFinancials(rssd_id,$R$2,H$6,H$5,$B122,"K"),"")</f>
        <v/>
      </c>
      <c r="I122" s="24" t="str">
        <f>IFERROR([1]!IntrinioBankFinancials(rssd_id,$R$2,I$6,I$5,$B122,"K"),"")</f>
        <v/>
      </c>
      <c r="J122" s="24" t="str">
        <f>IFERROR([1]!IntrinioBankFinancials(rssd_id,$R$2,J$6,J$5,$B122,"K"),"")</f>
        <v/>
      </c>
      <c r="K122" s="24" t="str">
        <f>IFERROR([1]!IntrinioBankFinancials(rssd_id,$R$2,K$6,K$5,$B122,"K"),"")</f>
        <v/>
      </c>
      <c r="L122" s="24" t="str">
        <f>IFERROR([1]!IntrinioBankFinancials(rssd_id,$R$2,L$6,L$5,$B122,"K"),"")</f>
        <v/>
      </c>
      <c r="M122" s="24" t="str">
        <f>IFERROR([1]!IntrinioBankFinancials(rssd_id,$R$2,M$6,M$5,$B122,"K"),"")</f>
        <v/>
      </c>
      <c r="N122" s="24" t="str">
        <f>IFERROR([1]!IntrinioBankFinancials(rssd_id,$R$2,N$6,N$5,$B122,"K"),"")</f>
        <v/>
      </c>
      <c r="O122" s="24" t="str">
        <f>IFERROR([1]!IntrinioBankFinancials(rssd_id,$R$2,O$6,O$5,$B122,"K"),"")</f>
        <v/>
      </c>
    </row>
    <row r="123" spans="1:15" s="22" customFormat="1" ht="13.5" customHeight="1" x14ac:dyDescent="0.4">
      <c r="A123" s="34" t="s">
        <v>644</v>
      </c>
      <c r="B123" s="23" t="s">
        <v>645</v>
      </c>
      <c r="C123" s="24" t="str">
        <f>IFERROR([1]!IntrinioBankFinancials(rssd_id,$R$2,C$6,C$5,$B123,"K"),"")</f>
        <v/>
      </c>
      <c r="D123" s="24" t="str">
        <f>IFERROR([1]!IntrinioBankFinancials(rssd_id,$R$2,D$6,D$5,$B123,"K"),"")</f>
        <v/>
      </c>
      <c r="E123" s="24" t="str">
        <f>IFERROR([1]!IntrinioBankFinancials(rssd_id,$R$2,E$6,E$5,$B123,"K"),"")</f>
        <v/>
      </c>
      <c r="F123" s="24" t="str">
        <f>IFERROR([1]!IntrinioBankFinancials(rssd_id,$R$2,F$6,F$5,$B123,"K"),"")</f>
        <v/>
      </c>
      <c r="G123" s="24" t="str">
        <f>IFERROR([1]!IntrinioBankFinancials(rssd_id,$R$2,G$6,G$5,$B123,"K"),"")</f>
        <v/>
      </c>
      <c r="H123" s="24" t="str">
        <f>IFERROR([1]!IntrinioBankFinancials(rssd_id,$R$2,H$6,H$5,$B123,"K"),"")</f>
        <v/>
      </c>
      <c r="I123" s="24" t="str">
        <f>IFERROR([1]!IntrinioBankFinancials(rssd_id,$R$2,I$6,I$5,$B123,"K"),"")</f>
        <v/>
      </c>
      <c r="J123" s="24" t="str">
        <f>IFERROR([1]!IntrinioBankFinancials(rssd_id,$R$2,J$6,J$5,$B123,"K"),"")</f>
        <v/>
      </c>
      <c r="K123" s="24" t="str">
        <f>IFERROR([1]!IntrinioBankFinancials(rssd_id,$R$2,K$6,K$5,$B123,"K"),"")</f>
        <v/>
      </c>
      <c r="L123" s="24" t="str">
        <f>IFERROR([1]!IntrinioBankFinancials(rssd_id,$R$2,L$6,L$5,$B123,"K"),"")</f>
        <v/>
      </c>
      <c r="M123" s="24" t="str">
        <f>IFERROR([1]!IntrinioBankFinancials(rssd_id,$R$2,M$6,M$5,$B123,"K"),"")</f>
        <v/>
      </c>
      <c r="N123" s="24" t="str">
        <f>IFERROR([1]!IntrinioBankFinancials(rssd_id,$R$2,N$6,N$5,$B123,"K"),"")</f>
        <v/>
      </c>
      <c r="O123" s="24" t="str">
        <f>IFERROR([1]!IntrinioBankFinancials(rssd_id,$R$2,O$6,O$5,$B123,"K"),"")</f>
        <v/>
      </c>
    </row>
    <row r="124" spans="1:15" s="22" customFormat="1" ht="13.5" customHeight="1" x14ac:dyDescent="0.4">
      <c r="A124" s="34" t="s">
        <v>646</v>
      </c>
      <c r="B124" s="23" t="s">
        <v>647</v>
      </c>
      <c r="C124" s="24" t="str">
        <f>IFERROR([1]!IntrinioBankFinancials(rssd_id,$R$2,C$6,C$5,$B124,"K"),"")</f>
        <v/>
      </c>
      <c r="D124" s="24" t="str">
        <f>IFERROR([1]!IntrinioBankFinancials(rssd_id,$R$2,D$6,D$5,$B124,"K"),"")</f>
        <v/>
      </c>
      <c r="E124" s="24" t="str">
        <f>IFERROR([1]!IntrinioBankFinancials(rssd_id,$R$2,E$6,E$5,$B124,"K"),"")</f>
        <v/>
      </c>
      <c r="F124" s="24" t="str">
        <f>IFERROR([1]!IntrinioBankFinancials(rssd_id,$R$2,F$6,F$5,$B124,"K"),"")</f>
        <v/>
      </c>
      <c r="G124" s="24" t="str">
        <f>IFERROR([1]!IntrinioBankFinancials(rssd_id,$R$2,G$6,G$5,$B124,"K"),"")</f>
        <v/>
      </c>
      <c r="H124" s="24" t="str">
        <f>IFERROR([1]!IntrinioBankFinancials(rssd_id,$R$2,H$6,H$5,$B124,"K"),"")</f>
        <v/>
      </c>
      <c r="I124" s="24" t="str">
        <f>IFERROR([1]!IntrinioBankFinancials(rssd_id,$R$2,I$6,I$5,$B124,"K"),"")</f>
        <v/>
      </c>
      <c r="J124" s="24" t="str">
        <f>IFERROR([1]!IntrinioBankFinancials(rssd_id,$R$2,J$6,J$5,$B124,"K"),"")</f>
        <v/>
      </c>
      <c r="K124" s="24" t="str">
        <f>IFERROR([1]!IntrinioBankFinancials(rssd_id,$R$2,K$6,K$5,$B124,"K"),"")</f>
        <v/>
      </c>
      <c r="L124" s="24" t="str">
        <f>IFERROR([1]!IntrinioBankFinancials(rssd_id,$R$2,L$6,L$5,$B124,"K"),"")</f>
        <v/>
      </c>
      <c r="M124" s="24" t="str">
        <f>IFERROR([1]!IntrinioBankFinancials(rssd_id,$R$2,M$6,M$5,$B124,"K"),"")</f>
        <v/>
      </c>
      <c r="N124" s="24" t="str">
        <f>IFERROR([1]!IntrinioBankFinancials(rssd_id,$R$2,N$6,N$5,$B124,"K"),"")</f>
        <v/>
      </c>
      <c r="O124" s="24" t="str">
        <f>IFERROR([1]!IntrinioBankFinancials(rssd_id,$R$2,O$6,O$5,$B124,"K"),"")</f>
        <v/>
      </c>
    </row>
    <row r="125" spans="1:15" s="22" customFormat="1" ht="13.5" customHeight="1" x14ac:dyDescent="0.4">
      <c r="A125" s="34" t="s">
        <v>648</v>
      </c>
      <c r="B125" s="23" t="s">
        <v>649</v>
      </c>
      <c r="C125" s="24" t="str">
        <f>IFERROR([1]!IntrinioBankFinancials(rssd_id,$R$2,C$6,C$5,$B125,"K"),"")</f>
        <v/>
      </c>
      <c r="D125" s="24" t="str">
        <f>IFERROR([1]!IntrinioBankFinancials(rssd_id,$R$2,D$6,D$5,$B125,"K"),"")</f>
        <v/>
      </c>
      <c r="E125" s="24" t="str">
        <f>IFERROR([1]!IntrinioBankFinancials(rssd_id,$R$2,E$6,E$5,$B125,"K"),"")</f>
        <v/>
      </c>
      <c r="F125" s="24" t="str">
        <f>IFERROR([1]!IntrinioBankFinancials(rssd_id,$R$2,F$6,F$5,$B125,"K"),"")</f>
        <v/>
      </c>
      <c r="G125" s="24" t="str">
        <f>IFERROR([1]!IntrinioBankFinancials(rssd_id,$R$2,G$6,G$5,$B125,"K"),"")</f>
        <v/>
      </c>
      <c r="H125" s="24" t="str">
        <f>IFERROR([1]!IntrinioBankFinancials(rssd_id,$R$2,H$6,H$5,$B125,"K"),"")</f>
        <v/>
      </c>
      <c r="I125" s="24" t="str">
        <f>IFERROR([1]!IntrinioBankFinancials(rssd_id,$R$2,I$6,I$5,$B125,"K"),"")</f>
        <v/>
      </c>
      <c r="J125" s="24" t="str">
        <f>IFERROR([1]!IntrinioBankFinancials(rssd_id,$R$2,J$6,J$5,$B125,"K"),"")</f>
        <v/>
      </c>
      <c r="K125" s="24" t="str">
        <f>IFERROR([1]!IntrinioBankFinancials(rssd_id,$R$2,K$6,K$5,$B125,"K"),"")</f>
        <v/>
      </c>
      <c r="L125" s="24" t="str">
        <f>IFERROR([1]!IntrinioBankFinancials(rssd_id,$R$2,L$6,L$5,$B125,"K"),"")</f>
        <v/>
      </c>
      <c r="M125" s="24" t="str">
        <f>IFERROR([1]!IntrinioBankFinancials(rssd_id,$R$2,M$6,M$5,$B125,"K"),"")</f>
        <v/>
      </c>
      <c r="N125" s="24" t="str">
        <f>IFERROR([1]!IntrinioBankFinancials(rssd_id,$R$2,N$6,N$5,$B125,"K"),"")</f>
        <v/>
      </c>
      <c r="O125" s="24" t="str">
        <f>IFERROR([1]!IntrinioBankFinancials(rssd_id,$R$2,O$6,O$5,$B125,"K"),"")</f>
        <v/>
      </c>
    </row>
    <row r="126" spans="1:15" s="22" customFormat="1" ht="13.5" customHeight="1" x14ac:dyDescent="0.4">
      <c r="A126" s="34" t="s">
        <v>292</v>
      </c>
      <c r="B126" s="23" t="s">
        <v>650</v>
      </c>
      <c r="C126" s="24" t="str">
        <f>IFERROR([1]!IntrinioBankFinancials(rssd_id,$R$2,C$6,C$5,$B126,"K"),"")</f>
        <v/>
      </c>
      <c r="D126" s="24" t="str">
        <f>IFERROR([1]!IntrinioBankFinancials(rssd_id,$R$2,D$6,D$5,$B126,"K"),"")</f>
        <v/>
      </c>
      <c r="E126" s="24" t="str">
        <f>IFERROR([1]!IntrinioBankFinancials(rssd_id,$R$2,E$6,E$5,$B126,"K"),"")</f>
        <v/>
      </c>
      <c r="F126" s="24" t="str">
        <f>IFERROR([1]!IntrinioBankFinancials(rssd_id,$R$2,F$6,F$5,$B126,"K"),"")</f>
        <v/>
      </c>
      <c r="G126" s="24" t="str">
        <f>IFERROR([1]!IntrinioBankFinancials(rssd_id,$R$2,G$6,G$5,$B126,"K"),"")</f>
        <v/>
      </c>
      <c r="H126" s="24" t="str">
        <f>IFERROR([1]!IntrinioBankFinancials(rssd_id,$R$2,H$6,H$5,$B126,"K"),"")</f>
        <v/>
      </c>
      <c r="I126" s="24" t="str">
        <f>IFERROR([1]!IntrinioBankFinancials(rssd_id,$R$2,I$6,I$5,$B126,"K"),"")</f>
        <v/>
      </c>
      <c r="J126" s="24" t="str">
        <f>IFERROR([1]!IntrinioBankFinancials(rssd_id,$R$2,J$6,J$5,$B126,"K"),"")</f>
        <v/>
      </c>
      <c r="K126" s="24" t="str">
        <f>IFERROR([1]!IntrinioBankFinancials(rssd_id,$R$2,K$6,K$5,$B126,"K"),"")</f>
        <v/>
      </c>
      <c r="L126" s="24" t="str">
        <f>IFERROR([1]!IntrinioBankFinancials(rssd_id,$R$2,L$6,L$5,$B126,"K"),"")</f>
        <v/>
      </c>
      <c r="M126" s="24" t="str">
        <f>IFERROR([1]!IntrinioBankFinancials(rssd_id,$R$2,M$6,M$5,$B126,"K"),"")</f>
        <v/>
      </c>
      <c r="N126" s="24" t="str">
        <f>IFERROR([1]!IntrinioBankFinancials(rssd_id,$R$2,N$6,N$5,$B126,"K"),"")</f>
        <v/>
      </c>
      <c r="O126" s="24" t="str">
        <f>IFERROR([1]!IntrinioBankFinancials(rssd_id,$R$2,O$6,O$5,$B126,"K"),"")</f>
        <v/>
      </c>
    </row>
    <row r="127" spans="1:15" s="22" customFormat="1" ht="13.5" customHeight="1" x14ac:dyDescent="0.4">
      <c r="A127" s="33"/>
      <c r="B127" s="20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</row>
    <row r="128" spans="1:15" s="22" customFormat="1" ht="13.5" customHeight="1" x14ac:dyDescent="0.4">
      <c r="A128" s="33" t="s">
        <v>729</v>
      </c>
      <c r="B128" s="20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</row>
    <row r="129" spans="1:15" s="22" customFormat="1" ht="13.5" customHeight="1" x14ac:dyDescent="0.4">
      <c r="A129" s="34" t="s">
        <v>651</v>
      </c>
      <c r="B129" s="23" t="s">
        <v>652</v>
      </c>
      <c r="C129" s="32" t="str">
        <f>IFERROR([1]!IntrinioBankFinancials(rssd_id,$R$2,C$6,C$5,$B129),"")</f>
        <v/>
      </c>
      <c r="D129" s="32" t="str">
        <f>IFERROR([1]!IntrinioBankFinancials(rssd_id,$R$2,D$6,D$5,$B129),"")</f>
        <v/>
      </c>
      <c r="E129" s="32" t="str">
        <f>IFERROR([1]!IntrinioBankFinancials(rssd_id,$R$2,E$6,E$5,$B129),"")</f>
        <v/>
      </c>
      <c r="F129" s="32" t="str">
        <f>IFERROR([1]!IntrinioBankFinancials(rssd_id,$R$2,F$6,F$5,$B129),"")</f>
        <v/>
      </c>
      <c r="G129" s="32" t="str">
        <f>IFERROR([1]!IntrinioBankFinancials(rssd_id,$R$2,G$6,G$5,$B129),"")</f>
        <v/>
      </c>
      <c r="H129" s="32" t="str">
        <f>IFERROR([1]!IntrinioBankFinancials(rssd_id,$R$2,H$6,H$5,$B129),"")</f>
        <v/>
      </c>
      <c r="I129" s="32" t="str">
        <f>IFERROR([1]!IntrinioBankFinancials(rssd_id,$R$2,I$6,I$5,$B129),"")</f>
        <v/>
      </c>
      <c r="J129" s="32" t="str">
        <f>IFERROR([1]!IntrinioBankFinancials(rssd_id,$R$2,J$6,J$5,$B129),"")</f>
        <v/>
      </c>
      <c r="K129" s="32" t="str">
        <f>IFERROR([1]!IntrinioBankFinancials(rssd_id,$R$2,K$6,K$5,$B129),"")</f>
        <v/>
      </c>
      <c r="L129" s="32" t="str">
        <f>IFERROR([1]!IntrinioBankFinancials(rssd_id,$R$2,L$6,L$5,$B129),"")</f>
        <v/>
      </c>
      <c r="M129" s="32" t="str">
        <f>IFERROR([1]!IntrinioBankFinancials(rssd_id,$R$2,M$6,M$5,$B129),"")</f>
        <v/>
      </c>
      <c r="N129" s="32" t="str">
        <f>IFERROR([1]!IntrinioBankFinancials(rssd_id,$R$2,N$6,N$5,$B129),"")</f>
        <v/>
      </c>
      <c r="O129" s="32" t="str">
        <f>IFERROR([1]!IntrinioBankFinancials(rssd_id,$R$2,O$6,O$5,$B129),"")</f>
        <v/>
      </c>
    </row>
    <row r="130" spans="1:15" s="22" customFormat="1" ht="13.5" customHeight="1" x14ac:dyDescent="0.4">
      <c r="A130" s="34" t="s">
        <v>552</v>
      </c>
      <c r="B130" s="23" t="s">
        <v>653</v>
      </c>
      <c r="C130" s="32" t="str">
        <f>IFERROR([1]!IntrinioBankFinancials(rssd_id,$R$2,C$6,C$5,$B130),"")</f>
        <v/>
      </c>
      <c r="D130" s="32" t="str">
        <f>IFERROR([1]!IntrinioBankFinancials(rssd_id,$R$2,D$6,D$5,$B130),"")</f>
        <v/>
      </c>
      <c r="E130" s="32" t="str">
        <f>IFERROR([1]!IntrinioBankFinancials(rssd_id,$R$2,E$6,E$5,$B130),"")</f>
        <v/>
      </c>
      <c r="F130" s="32" t="str">
        <f>IFERROR([1]!IntrinioBankFinancials(rssd_id,$R$2,F$6,F$5,$B130),"")</f>
        <v/>
      </c>
      <c r="G130" s="32" t="str">
        <f>IFERROR([1]!IntrinioBankFinancials(rssd_id,$R$2,G$6,G$5,$B130),"")</f>
        <v/>
      </c>
      <c r="H130" s="32" t="str">
        <f>IFERROR([1]!IntrinioBankFinancials(rssd_id,$R$2,H$6,H$5,$B130),"")</f>
        <v/>
      </c>
      <c r="I130" s="32" t="str">
        <f>IFERROR([1]!IntrinioBankFinancials(rssd_id,$R$2,I$6,I$5,$B130),"")</f>
        <v/>
      </c>
      <c r="J130" s="32" t="str">
        <f>IFERROR([1]!IntrinioBankFinancials(rssd_id,$R$2,J$6,J$5,$B130),"")</f>
        <v/>
      </c>
      <c r="K130" s="32" t="str">
        <f>IFERROR([1]!IntrinioBankFinancials(rssd_id,$R$2,K$6,K$5,$B130),"")</f>
        <v/>
      </c>
      <c r="L130" s="32" t="str">
        <f>IFERROR([1]!IntrinioBankFinancials(rssd_id,$R$2,L$6,L$5,$B130),"")</f>
        <v/>
      </c>
      <c r="M130" s="32" t="str">
        <f>IFERROR([1]!IntrinioBankFinancials(rssd_id,$R$2,M$6,M$5,$B130),"")</f>
        <v/>
      </c>
      <c r="N130" s="32" t="str">
        <f>IFERROR([1]!IntrinioBankFinancials(rssd_id,$R$2,N$6,N$5,$B130),"")</f>
        <v/>
      </c>
      <c r="O130" s="32" t="str">
        <f>IFERROR([1]!IntrinioBankFinancials(rssd_id,$R$2,O$6,O$5,$B130),"")</f>
        <v/>
      </c>
    </row>
    <row r="131" spans="1:15" s="22" customFormat="1" ht="13.5" customHeight="1" x14ac:dyDescent="0.4">
      <c r="A131" s="34" t="s">
        <v>554</v>
      </c>
      <c r="B131" s="23" t="s">
        <v>654</v>
      </c>
      <c r="C131" s="32" t="str">
        <f>IFERROR([1]!IntrinioBankFinancials(rssd_id,$R$2,C$6,C$5,$B131),"")</f>
        <v/>
      </c>
      <c r="D131" s="32" t="str">
        <f>IFERROR([1]!IntrinioBankFinancials(rssd_id,$R$2,D$6,D$5,$B131),"")</f>
        <v/>
      </c>
      <c r="E131" s="32" t="str">
        <f>IFERROR([1]!IntrinioBankFinancials(rssd_id,$R$2,E$6,E$5,$B131),"")</f>
        <v/>
      </c>
      <c r="F131" s="32" t="str">
        <f>IFERROR([1]!IntrinioBankFinancials(rssd_id,$R$2,F$6,F$5,$B131),"")</f>
        <v/>
      </c>
      <c r="G131" s="32" t="str">
        <f>IFERROR([1]!IntrinioBankFinancials(rssd_id,$R$2,G$6,G$5,$B131),"")</f>
        <v/>
      </c>
      <c r="H131" s="32" t="str">
        <f>IFERROR([1]!IntrinioBankFinancials(rssd_id,$R$2,H$6,H$5,$B131),"")</f>
        <v/>
      </c>
      <c r="I131" s="32" t="str">
        <f>IFERROR([1]!IntrinioBankFinancials(rssd_id,$R$2,I$6,I$5,$B131),"")</f>
        <v/>
      </c>
      <c r="J131" s="32" t="str">
        <f>IFERROR([1]!IntrinioBankFinancials(rssd_id,$R$2,J$6,J$5,$B131),"")</f>
        <v/>
      </c>
      <c r="K131" s="32" t="str">
        <f>IFERROR([1]!IntrinioBankFinancials(rssd_id,$R$2,K$6,K$5,$B131),"")</f>
        <v/>
      </c>
      <c r="L131" s="32" t="str">
        <f>IFERROR([1]!IntrinioBankFinancials(rssd_id,$R$2,L$6,L$5,$B131),"")</f>
        <v/>
      </c>
      <c r="M131" s="32" t="str">
        <f>IFERROR([1]!IntrinioBankFinancials(rssd_id,$R$2,M$6,M$5,$B131),"")</f>
        <v/>
      </c>
      <c r="N131" s="32" t="str">
        <f>IFERROR([1]!IntrinioBankFinancials(rssd_id,$R$2,N$6,N$5,$B131),"")</f>
        <v/>
      </c>
      <c r="O131" s="32" t="str">
        <f>IFERROR([1]!IntrinioBankFinancials(rssd_id,$R$2,O$6,O$5,$B131),"")</f>
        <v/>
      </c>
    </row>
    <row r="132" spans="1:15" s="22" customFormat="1" ht="13.5" customHeight="1" x14ac:dyDescent="0.4">
      <c r="A132" s="34" t="s">
        <v>556</v>
      </c>
      <c r="B132" s="23" t="s">
        <v>655</v>
      </c>
      <c r="C132" s="32" t="str">
        <f>IFERROR([1]!IntrinioBankFinancials(rssd_id,$R$2,C$6,C$5,$B132),"")</f>
        <v/>
      </c>
      <c r="D132" s="32" t="str">
        <f>IFERROR([1]!IntrinioBankFinancials(rssd_id,$R$2,D$6,D$5,$B132),"")</f>
        <v/>
      </c>
      <c r="E132" s="32" t="str">
        <f>IFERROR([1]!IntrinioBankFinancials(rssd_id,$R$2,E$6,E$5,$B132),"")</f>
        <v/>
      </c>
      <c r="F132" s="32" t="str">
        <f>IFERROR([1]!IntrinioBankFinancials(rssd_id,$R$2,F$6,F$5,$B132),"")</f>
        <v/>
      </c>
      <c r="G132" s="32" t="str">
        <f>IFERROR([1]!IntrinioBankFinancials(rssd_id,$R$2,G$6,G$5,$B132),"")</f>
        <v/>
      </c>
      <c r="H132" s="32" t="str">
        <f>IFERROR([1]!IntrinioBankFinancials(rssd_id,$R$2,H$6,H$5,$B132),"")</f>
        <v/>
      </c>
      <c r="I132" s="32" t="str">
        <f>IFERROR([1]!IntrinioBankFinancials(rssd_id,$R$2,I$6,I$5,$B132),"")</f>
        <v/>
      </c>
      <c r="J132" s="32" t="str">
        <f>IFERROR([1]!IntrinioBankFinancials(rssd_id,$R$2,J$6,J$5,$B132),"")</f>
        <v/>
      </c>
      <c r="K132" s="32" t="str">
        <f>IFERROR([1]!IntrinioBankFinancials(rssd_id,$R$2,K$6,K$5,$B132),"")</f>
        <v/>
      </c>
      <c r="L132" s="32" t="str">
        <f>IFERROR([1]!IntrinioBankFinancials(rssd_id,$R$2,L$6,L$5,$B132),"")</f>
        <v/>
      </c>
      <c r="M132" s="32" t="str">
        <f>IFERROR([1]!IntrinioBankFinancials(rssd_id,$R$2,M$6,M$5,$B132),"")</f>
        <v/>
      </c>
      <c r="N132" s="32" t="str">
        <f>IFERROR([1]!IntrinioBankFinancials(rssd_id,$R$2,N$6,N$5,$B132),"")</f>
        <v/>
      </c>
      <c r="O132" s="32" t="str">
        <f>IFERROR([1]!IntrinioBankFinancials(rssd_id,$R$2,O$6,O$5,$B132),"")</f>
        <v/>
      </c>
    </row>
    <row r="133" spans="1:15" s="22" customFormat="1" ht="13.5" customHeight="1" x14ac:dyDescent="0.4">
      <c r="A133" s="34" t="s">
        <v>656</v>
      </c>
      <c r="B133" s="23" t="s">
        <v>657</v>
      </c>
      <c r="C133" s="32" t="str">
        <f>IFERROR([1]!IntrinioBankFinancials(rssd_id,$R$2,C$6,C$5,$B133),"")</f>
        <v/>
      </c>
      <c r="D133" s="32" t="str">
        <f>IFERROR([1]!IntrinioBankFinancials(rssd_id,$R$2,D$6,D$5,$B133),"")</f>
        <v/>
      </c>
      <c r="E133" s="32" t="str">
        <f>IFERROR([1]!IntrinioBankFinancials(rssd_id,$R$2,E$6,E$5,$B133),"")</f>
        <v/>
      </c>
      <c r="F133" s="32" t="str">
        <f>IFERROR([1]!IntrinioBankFinancials(rssd_id,$R$2,F$6,F$5,$B133),"")</f>
        <v/>
      </c>
      <c r="G133" s="32" t="str">
        <f>IFERROR([1]!IntrinioBankFinancials(rssd_id,$R$2,G$6,G$5,$B133),"")</f>
        <v/>
      </c>
      <c r="H133" s="32" t="str">
        <f>IFERROR([1]!IntrinioBankFinancials(rssd_id,$R$2,H$6,H$5,$B133),"")</f>
        <v/>
      </c>
      <c r="I133" s="32" t="str">
        <f>IFERROR([1]!IntrinioBankFinancials(rssd_id,$R$2,I$6,I$5,$B133),"")</f>
        <v/>
      </c>
      <c r="J133" s="32" t="str">
        <f>IFERROR([1]!IntrinioBankFinancials(rssd_id,$R$2,J$6,J$5,$B133),"")</f>
        <v/>
      </c>
      <c r="K133" s="32" t="str">
        <f>IFERROR([1]!IntrinioBankFinancials(rssd_id,$R$2,K$6,K$5,$B133),"")</f>
        <v/>
      </c>
      <c r="L133" s="32" t="str">
        <f>IFERROR([1]!IntrinioBankFinancials(rssd_id,$R$2,L$6,L$5,$B133),"")</f>
        <v/>
      </c>
      <c r="M133" s="32" t="str">
        <f>IFERROR([1]!IntrinioBankFinancials(rssd_id,$R$2,M$6,M$5,$B133),"")</f>
        <v/>
      </c>
      <c r="N133" s="32" t="str">
        <f>IFERROR([1]!IntrinioBankFinancials(rssd_id,$R$2,N$6,N$5,$B133),"")</f>
        <v/>
      </c>
      <c r="O133" s="32" t="str">
        <f>IFERROR([1]!IntrinioBankFinancials(rssd_id,$R$2,O$6,O$5,$B133),"")</f>
        <v/>
      </c>
    </row>
    <row r="134" spans="1:15" s="22" customFormat="1" ht="13.5" customHeight="1" x14ac:dyDescent="0.4">
      <c r="A134" s="34" t="s">
        <v>552</v>
      </c>
      <c r="B134" s="23" t="s">
        <v>658</v>
      </c>
      <c r="C134" s="32" t="str">
        <f>IFERROR([1]!IntrinioBankFinancials(rssd_id,$R$2,C$6,C$5,$B134),"")</f>
        <v/>
      </c>
      <c r="D134" s="32" t="str">
        <f>IFERROR([1]!IntrinioBankFinancials(rssd_id,$R$2,D$6,D$5,$B134),"")</f>
        <v/>
      </c>
      <c r="E134" s="32" t="str">
        <f>IFERROR([1]!IntrinioBankFinancials(rssd_id,$R$2,E$6,E$5,$B134),"")</f>
        <v/>
      </c>
      <c r="F134" s="32" t="str">
        <f>IFERROR([1]!IntrinioBankFinancials(rssd_id,$R$2,F$6,F$5,$B134),"")</f>
        <v/>
      </c>
      <c r="G134" s="32" t="str">
        <f>IFERROR([1]!IntrinioBankFinancials(rssd_id,$R$2,G$6,G$5,$B134),"")</f>
        <v/>
      </c>
      <c r="H134" s="32" t="str">
        <f>IFERROR([1]!IntrinioBankFinancials(rssd_id,$R$2,H$6,H$5,$B134),"")</f>
        <v/>
      </c>
      <c r="I134" s="32" t="str">
        <f>IFERROR([1]!IntrinioBankFinancials(rssd_id,$R$2,I$6,I$5,$B134),"")</f>
        <v/>
      </c>
      <c r="J134" s="32" t="str">
        <f>IFERROR([1]!IntrinioBankFinancials(rssd_id,$R$2,J$6,J$5,$B134),"")</f>
        <v/>
      </c>
      <c r="K134" s="32" t="str">
        <f>IFERROR([1]!IntrinioBankFinancials(rssd_id,$R$2,K$6,K$5,$B134),"")</f>
        <v/>
      </c>
      <c r="L134" s="32" t="str">
        <f>IFERROR([1]!IntrinioBankFinancials(rssd_id,$R$2,L$6,L$5,$B134),"")</f>
        <v/>
      </c>
      <c r="M134" s="32" t="str">
        <f>IFERROR([1]!IntrinioBankFinancials(rssd_id,$R$2,M$6,M$5,$B134),"")</f>
        <v/>
      </c>
      <c r="N134" s="32" t="str">
        <f>IFERROR([1]!IntrinioBankFinancials(rssd_id,$R$2,N$6,N$5,$B134),"")</f>
        <v/>
      </c>
      <c r="O134" s="32" t="str">
        <f>IFERROR([1]!IntrinioBankFinancials(rssd_id,$R$2,O$6,O$5,$B134),"")</f>
        <v/>
      </c>
    </row>
    <row r="135" spans="1:15" s="22" customFormat="1" ht="13.5" customHeight="1" x14ac:dyDescent="0.4">
      <c r="A135" s="34" t="s">
        <v>554</v>
      </c>
      <c r="B135" s="23" t="s">
        <v>659</v>
      </c>
      <c r="C135" s="32" t="str">
        <f>IFERROR([1]!IntrinioBankFinancials(rssd_id,$R$2,C$6,C$5,$B135),"")</f>
        <v/>
      </c>
      <c r="D135" s="32" t="str">
        <f>IFERROR([1]!IntrinioBankFinancials(rssd_id,$R$2,D$6,D$5,$B135),"")</f>
        <v/>
      </c>
      <c r="E135" s="32" t="str">
        <f>IFERROR([1]!IntrinioBankFinancials(rssd_id,$R$2,E$6,E$5,$B135),"")</f>
        <v/>
      </c>
      <c r="F135" s="32" t="str">
        <f>IFERROR([1]!IntrinioBankFinancials(rssd_id,$R$2,F$6,F$5,$B135),"")</f>
        <v/>
      </c>
      <c r="G135" s="32" t="str">
        <f>IFERROR([1]!IntrinioBankFinancials(rssd_id,$R$2,G$6,G$5,$B135),"")</f>
        <v/>
      </c>
      <c r="H135" s="32" t="str">
        <f>IFERROR([1]!IntrinioBankFinancials(rssd_id,$R$2,H$6,H$5,$B135),"")</f>
        <v/>
      </c>
      <c r="I135" s="32" t="str">
        <f>IFERROR([1]!IntrinioBankFinancials(rssd_id,$R$2,I$6,I$5,$B135),"")</f>
        <v/>
      </c>
      <c r="J135" s="32" t="str">
        <f>IFERROR([1]!IntrinioBankFinancials(rssd_id,$R$2,J$6,J$5,$B135),"")</f>
        <v/>
      </c>
      <c r="K135" s="32" t="str">
        <f>IFERROR([1]!IntrinioBankFinancials(rssd_id,$R$2,K$6,K$5,$B135),"")</f>
        <v/>
      </c>
      <c r="L135" s="32" t="str">
        <f>IFERROR([1]!IntrinioBankFinancials(rssd_id,$R$2,L$6,L$5,$B135),"")</f>
        <v/>
      </c>
      <c r="M135" s="32" t="str">
        <f>IFERROR([1]!IntrinioBankFinancials(rssd_id,$R$2,M$6,M$5,$B135),"")</f>
        <v/>
      </c>
      <c r="N135" s="32" t="str">
        <f>IFERROR([1]!IntrinioBankFinancials(rssd_id,$R$2,N$6,N$5,$B135),"")</f>
        <v/>
      </c>
      <c r="O135" s="32" t="str">
        <f>IFERROR([1]!IntrinioBankFinancials(rssd_id,$R$2,O$6,O$5,$B135),"")</f>
        <v/>
      </c>
    </row>
    <row r="136" spans="1:15" s="22" customFormat="1" ht="13.5" customHeight="1" x14ac:dyDescent="0.4">
      <c r="A136" s="34" t="s">
        <v>556</v>
      </c>
      <c r="B136" s="23" t="s">
        <v>660</v>
      </c>
      <c r="C136" s="32" t="str">
        <f>IFERROR([1]!IntrinioBankFinancials(rssd_id,$R$2,C$6,C$5,$B136),"")</f>
        <v/>
      </c>
      <c r="D136" s="32" t="str">
        <f>IFERROR([1]!IntrinioBankFinancials(rssd_id,$R$2,D$6,D$5,$B136),"")</f>
        <v/>
      </c>
      <c r="E136" s="32" t="str">
        <f>IFERROR([1]!IntrinioBankFinancials(rssd_id,$R$2,E$6,E$5,$B136),"")</f>
        <v/>
      </c>
      <c r="F136" s="32" t="str">
        <f>IFERROR([1]!IntrinioBankFinancials(rssd_id,$R$2,F$6,F$5,$B136),"")</f>
        <v/>
      </c>
      <c r="G136" s="32" t="str">
        <f>IFERROR([1]!IntrinioBankFinancials(rssd_id,$R$2,G$6,G$5,$B136),"")</f>
        <v/>
      </c>
      <c r="H136" s="32" t="str">
        <f>IFERROR([1]!IntrinioBankFinancials(rssd_id,$R$2,H$6,H$5,$B136),"")</f>
        <v/>
      </c>
      <c r="I136" s="32" t="str">
        <f>IFERROR([1]!IntrinioBankFinancials(rssd_id,$R$2,I$6,I$5,$B136),"")</f>
        <v/>
      </c>
      <c r="J136" s="32" t="str">
        <f>IFERROR([1]!IntrinioBankFinancials(rssd_id,$R$2,J$6,J$5,$B136),"")</f>
        <v/>
      </c>
      <c r="K136" s="32" t="str">
        <f>IFERROR([1]!IntrinioBankFinancials(rssd_id,$R$2,K$6,K$5,$B136),"")</f>
        <v/>
      </c>
      <c r="L136" s="32" t="str">
        <f>IFERROR([1]!IntrinioBankFinancials(rssd_id,$R$2,L$6,L$5,$B136),"")</f>
        <v/>
      </c>
      <c r="M136" s="32" t="str">
        <f>IFERROR([1]!IntrinioBankFinancials(rssd_id,$R$2,M$6,M$5,$B136),"")</f>
        <v/>
      </c>
      <c r="N136" s="32" t="str">
        <f>IFERROR([1]!IntrinioBankFinancials(rssd_id,$R$2,N$6,N$5,$B136),"")</f>
        <v/>
      </c>
      <c r="O136" s="32" t="str">
        <f>IFERROR([1]!IntrinioBankFinancials(rssd_id,$R$2,O$6,O$5,$B136),"")</f>
        <v/>
      </c>
    </row>
    <row r="137" spans="1:15" s="22" customFormat="1" ht="13.5" customHeight="1" x14ac:dyDescent="0.4">
      <c r="A137" s="34" t="s">
        <v>661</v>
      </c>
      <c r="B137" s="23" t="s">
        <v>662</v>
      </c>
      <c r="C137" s="32" t="str">
        <f>IFERROR([1]!IntrinioBankFinancials(rssd_id,$R$2,C$6,C$5,$B137),"")</f>
        <v/>
      </c>
      <c r="D137" s="32" t="str">
        <f>IFERROR([1]!IntrinioBankFinancials(rssd_id,$R$2,D$6,D$5,$B137),"")</f>
        <v/>
      </c>
      <c r="E137" s="32" t="str">
        <f>IFERROR([1]!IntrinioBankFinancials(rssd_id,$R$2,E$6,E$5,$B137),"")</f>
        <v/>
      </c>
      <c r="F137" s="32" t="str">
        <f>IFERROR([1]!IntrinioBankFinancials(rssd_id,$R$2,F$6,F$5,$B137),"")</f>
        <v/>
      </c>
      <c r="G137" s="32" t="str">
        <f>IFERROR([1]!IntrinioBankFinancials(rssd_id,$R$2,G$6,G$5,$B137),"")</f>
        <v/>
      </c>
      <c r="H137" s="32" t="str">
        <f>IFERROR([1]!IntrinioBankFinancials(rssd_id,$R$2,H$6,H$5,$B137),"")</f>
        <v/>
      </c>
      <c r="I137" s="32" t="str">
        <f>IFERROR([1]!IntrinioBankFinancials(rssd_id,$R$2,I$6,I$5,$B137),"")</f>
        <v/>
      </c>
      <c r="J137" s="32" t="str">
        <f>IFERROR([1]!IntrinioBankFinancials(rssd_id,$R$2,J$6,J$5,$B137),"")</f>
        <v/>
      </c>
      <c r="K137" s="32" t="str">
        <f>IFERROR([1]!IntrinioBankFinancials(rssd_id,$R$2,K$6,K$5,$B137),"")</f>
        <v/>
      </c>
      <c r="L137" s="32" t="str">
        <f>IFERROR([1]!IntrinioBankFinancials(rssd_id,$R$2,L$6,L$5,$B137),"")</f>
        <v/>
      </c>
      <c r="M137" s="32" t="str">
        <f>IFERROR([1]!IntrinioBankFinancials(rssd_id,$R$2,M$6,M$5,$B137),"")</f>
        <v/>
      </c>
      <c r="N137" s="32" t="str">
        <f>IFERROR([1]!IntrinioBankFinancials(rssd_id,$R$2,N$6,N$5,$B137),"")</f>
        <v/>
      </c>
      <c r="O137" s="32" t="str">
        <f>IFERROR([1]!IntrinioBankFinancials(rssd_id,$R$2,O$6,O$5,$B137),"")</f>
        <v/>
      </c>
    </row>
    <row r="138" spans="1:15" s="22" customFormat="1" ht="13.5" customHeight="1" x14ac:dyDescent="0.4">
      <c r="A138" s="34" t="s">
        <v>552</v>
      </c>
      <c r="B138" s="23" t="s">
        <v>663</v>
      </c>
      <c r="C138" s="32" t="str">
        <f>IFERROR([1]!IntrinioBankFinancials(rssd_id,$R$2,C$6,C$5,$B138),"")</f>
        <v/>
      </c>
      <c r="D138" s="32" t="str">
        <f>IFERROR([1]!IntrinioBankFinancials(rssd_id,$R$2,D$6,D$5,$B138),"")</f>
        <v/>
      </c>
      <c r="E138" s="32" t="str">
        <f>IFERROR([1]!IntrinioBankFinancials(rssd_id,$R$2,E$6,E$5,$B138),"")</f>
        <v/>
      </c>
      <c r="F138" s="32" t="str">
        <f>IFERROR([1]!IntrinioBankFinancials(rssd_id,$R$2,F$6,F$5,$B138),"")</f>
        <v/>
      </c>
      <c r="G138" s="32" t="str">
        <f>IFERROR([1]!IntrinioBankFinancials(rssd_id,$R$2,G$6,G$5,$B138),"")</f>
        <v/>
      </c>
      <c r="H138" s="32" t="str">
        <f>IFERROR([1]!IntrinioBankFinancials(rssd_id,$R$2,H$6,H$5,$B138),"")</f>
        <v/>
      </c>
      <c r="I138" s="32" t="str">
        <f>IFERROR([1]!IntrinioBankFinancials(rssd_id,$R$2,I$6,I$5,$B138),"")</f>
        <v/>
      </c>
      <c r="J138" s="32" t="str">
        <f>IFERROR([1]!IntrinioBankFinancials(rssd_id,$R$2,J$6,J$5,$B138),"")</f>
        <v/>
      </c>
      <c r="K138" s="32" t="str">
        <f>IFERROR([1]!IntrinioBankFinancials(rssd_id,$R$2,K$6,K$5,$B138),"")</f>
        <v/>
      </c>
      <c r="L138" s="32" t="str">
        <f>IFERROR([1]!IntrinioBankFinancials(rssd_id,$R$2,L$6,L$5,$B138),"")</f>
        <v/>
      </c>
      <c r="M138" s="32" t="str">
        <f>IFERROR([1]!IntrinioBankFinancials(rssd_id,$R$2,M$6,M$5,$B138),"")</f>
        <v/>
      </c>
      <c r="N138" s="32" t="str">
        <f>IFERROR([1]!IntrinioBankFinancials(rssd_id,$R$2,N$6,N$5,$B138),"")</f>
        <v/>
      </c>
      <c r="O138" s="32" t="str">
        <f>IFERROR([1]!IntrinioBankFinancials(rssd_id,$R$2,O$6,O$5,$B138),"")</f>
        <v/>
      </c>
    </row>
    <row r="139" spans="1:15" s="22" customFormat="1" ht="13.5" customHeight="1" x14ac:dyDescent="0.4">
      <c r="A139" s="34" t="s">
        <v>554</v>
      </c>
      <c r="B139" s="23" t="s">
        <v>664</v>
      </c>
      <c r="C139" s="32" t="str">
        <f>IFERROR([1]!IntrinioBankFinancials(rssd_id,$R$2,C$6,C$5,$B139),"")</f>
        <v/>
      </c>
      <c r="D139" s="32" t="str">
        <f>IFERROR([1]!IntrinioBankFinancials(rssd_id,$R$2,D$6,D$5,$B139),"")</f>
        <v/>
      </c>
      <c r="E139" s="32" t="str">
        <f>IFERROR([1]!IntrinioBankFinancials(rssd_id,$R$2,E$6,E$5,$B139),"")</f>
        <v/>
      </c>
      <c r="F139" s="32" t="str">
        <f>IFERROR([1]!IntrinioBankFinancials(rssd_id,$R$2,F$6,F$5,$B139),"")</f>
        <v/>
      </c>
      <c r="G139" s="32" t="str">
        <f>IFERROR([1]!IntrinioBankFinancials(rssd_id,$R$2,G$6,G$5,$B139),"")</f>
        <v/>
      </c>
      <c r="H139" s="32" t="str">
        <f>IFERROR([1]!IntrinioBankFinancials(rssd_id,$R$2,H$6,H$5,$B139),"")</f>
        <v/>
      </c>
      <c r="I139" s="32" t="str">
        <f>IFERROR([1]!IntrinioBankFinancials(rssd_id,$R$2,I$6,I$5,$B139),"")</f>
        <v/>
      </c>
      <c r="J139" s="32" t="str">
        <f>IFERROR([1]!IntrinioBankFinancials(rssd_id,$R$2,J$6,J$5,$B139),"")</f>
        <v/>
      </c>
      <c r="K139" s="32" t="str">
        <f>IFERROR([1]!IntrinioBankFinancials(rssd_id,$R$2,K$6,K$5,$B139),"")</f>
        <v/>
      </c>
      <c r="L139" s="32" t="str">
        <f>IFERROR([1]!IntrinioBankFinancials(rssd_id,$R$2,L$6,L$5,$B139),"")</f>
        <v/>
      </c>
      <c r="M139" s="32" t="str">
        <f>IFERROR([1]!IntrinioBankFinancials(rssd_id,$R$2,M$6,M$5,$B139),"")</f>
        <v/>
      </c>
      <c r="N139" s="32" t="str">
        <f>IFERROR([1]!IntrinioBankFinancials(rssd_id,$R$2,N$6,N$5,$B139),"")</f>
        <v/>
      </c>
      <c r="O139" s="32" t="str">
        <f>IFERROR([1]!IntrinioBankFinancials(rssd_id,$R$2,O$6,O$5,$B139),"")</f>
        <v/>
      </c>
    </row>
    <row r="140" spans="1:15" s="22" customFormat="1" ht="13.5" customHeight="1" x14ac:dyDescent="0.4">
      <c r="A140" s="34" t="s">
        <v>556</v>
      </c>
      <c r="B140" s="23" t="s">
        <v>665</v>
      </c>
      <c r="C140" s="32" t="str">
        <f>IFERROR([1]!IntrinioBankFinancials(rssd_id,$R$2,C$6,C$5,$B140),"")</f>
        <v/>
      </c>
      <c r="D140" s="32" t="str">
        <f>IFERROR([1]!IntrinioBankFinancials(rssd_id,$R$2,D$6,D$5,$B140),"")</f>
        <v/>
      </c>
      <c r="E140" s="32" t="str">
        <f>IFERROR([1]!IntrinioBankFinancials(rssd_id,$R$2,E$6,E$5,$B140),"")</f>
        <v/>
      </c>
      <c r="F140" s="32" t="str">
        <f>IFERROR([1]!IntrinioBankFinancials(rssd_id,$R$2,F$6,F$5,$B140),"")</f>
        <v/>
      </c>
      <c r="G140" s="32" t="str">
        <f>IFERROR([1]!IntrinioBankFinancials(rssd_id,$R$2,G$6,G$5,$B140),"")</f>
        <v/>
      </c>
      <c r="H140" s="32" t="str">
        <f>IFERROR([1]!IntrinioBankFinancials(rssd_id,$R$2,H$6,H$5,$B140),"")</f>
        <v/>
      </c>
      <c r="I140" s="32" t="str">
        <f>IFERROR([1]!IntrinioBankFinancials(rssd_id,$R$2,I$6,I$5,$B140),"")</f>
        <v/>
      </c>
      <c r="J140" s="32" t="str">
        <f>IFERROR([1]!IntrinioBankFinancials(rssd_id,$R$2,J$6,J$5,$B140),"")</f>
        <v/>
      </c>
      <c r="K140" s="32" t="str">
        <f>IFERROR([1]!IntrinioBankFinancials(rssd_id,$R$2,K$6,K$5,$B140),"")</f>
        <v/>
      </c>
      <c r="L140" s="32" t="str">
        <f>IFERROR([1]!IntrinioBankFinancials(rssd_id,$R$2,L$6,L$5,$B140),"")</f>
        <v/>
      </c>
      <c r="M140" s="32" t="str">
        <f>IFERROR([1]!IntrinioBankFinancials(rssd_id,$R$2,M$6,M$5,$B140),"")</f>
        <v/>
      </c>
      <c r="N140" s="32" t="str">
        <f>IFERROR([1]!IntrinioBankFinancials(rssd_id,$R$2,N$6,N$5,$B140),"")</f>
        <v/>
      </c>
      <c r="O140" s="32" t="str">
        <f>IFERROR([1]!IntrinioBankFinancials(rssd_id,$R$2,O$6,O$5,$B140),"")</f>
        <v/>
      </c>
    </row>
    <row r="141" spans="1:15" s="22" customFormat="1" ht="13.5" customHeight="1" x14ac:dyDescent="0.4">
      <c r="A141" s="34" t="s">
        <v>666</v>
      </c>
      <c r="B141" s="23" t="s">
        <v>667</v>
      </c>
      <c r="C141" s="32" t="str">
        <f>IFERROR([1]!IntrinioBankFinancials(rssd_id,$R$2,C$6,C$5,$B141),"")</f>
        <v/>
      </c>
      <c r="D141" s="32" t="str">
        <f>IFERROR([1]!IntrinioBankFinancials(rssd_id,$R$2,D$6,D$5,$B141),"")</f>
        <v/>
      </c>
      <c r="E141" s="32" t="str">
        <f>IFERROR([1]!IntrinioBankFinancials(rssd_id,$R$2,E$6,E$5,$B141),"")</f>
        <v/>
      </c>
      <c r="F141" s="32" t="str">
        <f>IFERROR([1]!IntrinioBankFinancials(rssd_id,$R$2,F$6,F$5,$B141),"")</f>
        <v/>
      </c>
      <c r="G141" s="32" t="str">
        <f>IFERROR([1]!IntrinioBankFinancials(rssd_id,$R$2,G$6,G$5,$B141),"")</f>
        <v/>
      </c>
      <c r="H141" s="32" t="str">
        <f>IFERROR([1]!IntrinioBankFinancials(rssd_id,$R$2,H$6,H$5,$B141),"")</f>
        <v/>
      </c>
      <c r="I141" s="32" t="str">
        <f>IFERROR([1]!IntrinioBankFinancials(rssd_id,$R$2,I$6,I$5,$B141),"")</f>
        <v/>
      </c>
      <c r="J141" s="32" t="str">
        <f>IFERROR([1]!IntrinioBankFinancials(rssd_id,$R$2,J$6,J$5,$B141),"")</f>
        <v/>
      </c>
      <c r="K141" s="32" t="str">
        <f>IFERROR([1]!IntrinioBankFinancials(rssd_id,$R$2,K$6,K$5,$B141),"")</f>
        <v/>
      </c>
      <c r="L141" s="32" t="str">
        <f>IFERROR([1]!IntrinioBankFinancials(rssd_id,$R$2,L$6,L$5,$B141),"")</f>
        <v/>
      </c>
      <c r="M141" s="32" t="str">
        <f>IFERROR([1]!IntrinioBankFinancials(rssd_id,$R$2,M$6,M$5,$B141),"")</f>
        <v/>
      </c>
      <c r="N141" s="32" t="str">
        <f>IFERROR([1]!IntrinioBankFinancials(rssd_id,$R$2,N$6,N$5,$B141),"")</f>
        <v/>
      </c>
      <c r="O141" s="32" t="str">
        <f>IFERROR([1]!IntrinioBankFinancials(rssd_id,$R$2,O$6,O$5,$B141),"")</f>
        <v/>
      </c>
    </row>
    <row r="142" spans="1:15" s="22" customFormat="1" ht="13.5" customHeight="1" x14ac:dyDescent="0.4">
      <c r="A142" s="34" t="s">
        <v>552</v>
      </c>
      <c r="B142" s="23" t="s">
        <v>668</v>
      </c>
      <c r="C142" s="32" t="str">
        <f>IFERROR([1]!IntrinioBankFinancials(rssd_id,$R$2,C$6,C$5,$B142),"")</f>
        <v/>
      </c>
      <c r="D142" s="32" t="str">
        <f>IFERROR([1]!IntrinioBankFinancials(rssd_id,$R$2,D$6,D$5,$B142),"")</f>
        <v/>
      </c>
      <c r="E142" s="32" t="str">
        <f>IFERROR([1]!IntrinioBankFinancials(rssd_id,$R$2,E$6,E$5,$B142),"")</f>
        <v/>
      </c>
      <c r="F142" s="32" t="str">
        <f>IFERROR([1]!IntrinioBankFinancials(rssd_id,$R$2,F$6,F$5,$B142),"")</f>
        <v/>
      </c>
      <c r="G142" s="32" t="str">
        <f>IFERROR([1]!IntrinioBankFinancials(rssd_id,$R$2,G$6,G$5,$B142),"")</f>
        <v/>
      </c>
      <c r="H142" s="32" t="str">
        <f>IFERROR([1]!IntrinioBankFinancials(rssd_id,$R$2,H$6,H$5,$B142),"")</f>
        <v/>
      </c>
      <c r="I142" s="32" t="str">
        <f>IFERROR([1]!IntrinioBankFinancials(rssd_id,$R$2,I$6,I$5,$B142),"")</f>
        <v/>
      </c>
      <c r="J142" s="32" t="str">
        <f>IFERROR([1]!IntrinioBankFinancials(rssd_id,$R$2,J$6,J$5,$B142),"")</f>
        <v/>
      </c>
      <c r="K142" s="32" t="str">
        <f>IFERROR([1]!IntrinioBankFinancials(rssd_id,$R$2,K$6,K$5,$B142),"")</f>
        <v/>
      </c>
      <c r="L142" s="32" t="str">
        <f>IFERROR([1]!IntrinioBankFinancials(rssd_id,$R$2,L$6,L$5,$B142),"")</f>
        <v/>
      </c>
      <c r="M142" s="32" t="str">
        <f>IFERROR([1]!IntrinioBankFinancials(rssd_id,$R$2,M$6,M$5,$B142),"")</f>
        <v/>
      </c>
      <c r="N142" s="32" t="str">
        <f>IFERROR([1]!IntrinioBankFinancials(rssd_id,$R$2,N$6,N$5,$B142),"")</f>
        <v/>
      </c>
      <c r="O142" s="32" t="str">
        <f>IFERROR([1]!IntrinioBankFinancials(rssd_id,$R$2,O$6,O$5,$B142),"")</f>
        <v/>
      </c>
    </row>
    <row r="143" spans="1:15" s="22" customFormat="1" ht="13.5" customHeight="1" x14ac:dyDescent="0.4">
      <c r="A143" s="34" t="s">
        <v>554</v>
      </c>
      <c r="B143" s="23" t="s">
        <v>669</v>
      </c>
      <c r="C143" s="32" t="str">
        <f>IFERROR([1]!IntrinioBankFinancials(rssd_id,$R$2,C$6,C$5,$B143),"")</f>
        <v/>
      </c>
      <c r="D143" s="32" t="str">
        <f>IFERROR([1]!IntrinioBankFinancials(rssd_id,$R$2,D$6,D$5,$B143),"")</f>
        <v/>
      </c>
      <c r="E143" s="32" t="str">
        <f>IFERROR([1]!IntrinioBankFinancials(rssd_id,$R$2,E$6,E$5,$B143),"")</f>
        <v/>
      </c>
      <c r="F143" s="32" t="str">
        <f>IFERROR([1]!IntrinioBankFinancials(rssd_id,$R$2,F$6,F$5,$B143),"")</f>
        <v/>
      </c>
      <c r="G143" s="32" t="str">
        <f>IFERROR([1]!IntrinioBankFinancials(rssd_id,$R$2,G$6,G$5,$B143),"")</f>
        <v/>
      </c>
      <c r="H143" s="32" t="str">
        <f>IFERROR([1]!IntrinioBankFinancials(rssd_id,$R$2,H$6,H$5,$B143),"")</f>
        <v/>
      </c>
      <c r="I143" s="32" t="str">
        <f>IFERROR([1]!IntrinioBankFinancials(rssd_id,$R$2,I$6,I$5,$B143),"")</f>
        <v/>
      </c>
      <c r="J143" s="32" t="str">
        <f>IFERROR([1]!IntrinioBankFinancials(rssd_id,$R$2,J$6,J$5,$B143),"")</f>
        <v/>
      </c>
      <c r="K143" s="32" t="str">
        <f>IFERROR([1]!IntrinioBankFinancials(rssd_id,$R$2,K$6,K$5,$B143),"")</f>
        <v/>
      </c>
      <c r="L143" s="32" t="str">
        <f>IFERROR([1]!IntrinioBankFinancials(rssd_id,$R$2,L$6,L$5,$B143),"")</f>
        <v/>
      </c>
      <c r="M143" s="32" t="str">
        <f>IFERROR([1]!IntrinioBankFinancials(rssd_id,$R$2,M$6,M$5,$B143),"")</f>
        <v/>
      </c>
      <c r="N143" s="32" t="str">
        <f>IFERROR([1]!IntrinioBankFinancials(rssd_id,$R$2,N$6,N$5,$B143),"")</f>
        <v/>
      </c>
      <c r="O143" s="32" t="str">
        <f>IFERROR([1]!IntrinioBankFinancials(rssd_id,$R$2,O$6,O$5,$B143),"")</f>
        <v/>
      </c>
    </row>
    <row r="144" spans="1:15" s="22" customFormat="1" ht="13.5" customHeight="1" x14ac:dyDescent="0.4">
      <c r="A144" s="34" t="s">
        <v>556</v>
      </c>
      <c r="B144" s="23" t="s">
        <v>670</v>
      </c>
      <c r="C144" s="32" t="str">
        <f>IFERROR([1]!IntrinioBankFinancials(rssd_id,$R$2,C$6,C$5,$B144),"")</f>
        <v/>
      </c>
      <c r="D144" s="32" t="str">
        <f>IFERROR([1]!IntrinioBankFinancials(rssd_id,$R$2,D$6,D$5,$B144),"")</f>
        <v/>
      </c>
      <c r="E144" s="32" t="str">
        <f>IFERROR([1]!IntrinioBankFinancials(rssd_id,$R$2,E$6,E$5,$B144),"")</f>
        <v/>
      </c>
      <c r="F144" s="32" t="str">
        <f>IFERROR([1]!IntrinioBankFinancials(rssd_id,$R$2,F$6,F$5,$B144),"")</f>
        <v/>
      </c>
      <c r="G144" s="32" t="str">
        <f>IFERROR([1]!IntrinioBankFinancials(rssd_id,$R$2,G$6,G$5,$B144),"")</f>
        <v/>
      </c>
      <c r="H144" s="32" t="str">
        <f>IFERROR([1]!IntrinioBankFinancials(rssd_id,$R$2,H$6,H$5,$B144),"")</f>
        <v/>
      </c>
      <c r="I144" s="32" t="str">
        <f>IFERROR([1]!IntrinioBankFinancials(rssd_id,$R$2,I$6,I$5,$B144),"")</f>
        <v/>
      </c>
      <c r="J144" s="32" t="str">
        <f>IFERROR([1]!IntrinioBankFinancials(rssd_id,$R$2,J$6,J$5,$B144),"")</f>
        <v/>
      </c>
      <c r="K144" s="32" t="str">
        <f>IFERROR([1]!IntrinioBankFinancials(rssd_id,$R$2,K$6,K$5,$B144),"")</f>
        <v/>
      </c>
      <c r="L144" s="32" t="str">
        <f>IFERROR([1]!IntrinioBankFinancials(rssd_id,$R$2,L$6,L$5,$B144),"")</f>
        <v/>
      </c>
      <c r="M144" s="32" t="str">
        <f>IFERROR([1]!IntrinioBankFinancials(rssd_id,$R$2,M$6,M$5,$B144),"")</f>
        <v/>
      </c>
      <c r="N144" s="32" t="str">
        <f>IFERROR([1]!IntrinioBankFinancials(rssd_id,$R$2,N$6,N$5,$B144),"")</f>
        <v/>
      </c>
      <c r="O144" s="32" t="str">
        <f>IFERROR([1]!IntrinioBankFinancials(rssd_id,$R$2,O$6,O$5,$B144),"")</f>
        <v/>
      </c>
    </row>
    <row r="145" spans="1:15" s="22" customFormat="1" ht="13.5" customHeight="1" x14ac:dyDescent="0.4">
      <c r="A145" s="34" t="s">
        <v>671</v>
      </c>
      <c r="B145" s="23" t="s">
        <v>672</v>
      </c>
      <c r="C145" s="32" t="str">
        <f>IFERROR([1]!IntrinioBankFinancials(rssd_id,$R$2,C$6,C$5,$B145),"")</f>
        <v/>
      </c>
      <c r="D145" s="32" t="str">
        <f>IFERROR([1]!IntrinioBankFinancials(rssd_id,$R$2,D$6,D$5,$B145),"")</f>
        <v/>
      </c>
      <c r="E145" s="32" t="str">
        <f>IFERROR([1]!IntrinioBankFinancials(rssd_id,$R$2,E$6,E$5,$B145),"")</f>
        <v/>
      </c>
      <c r="F145" s="32" t="str">
        <f>IFERROR([1]!IntrinioBankFinancials(rssd_id,$R$2,F$6,F$5,$B145),"")</f>
        <v/>
      </c>
      <c r="G145" s="32" t="str">
        <f>IFERROR([1]!IntrinioBankFinancials(rssd_id,$R$2,G$6,G$5,$B145),"")</f>
        <v/>
      </c>
      <c r="H145" s="32" t="str">
        <f>IFERROR([1]!IntrinioBankFinancials(rssd_id,$R$2,H$6,H$5,$B145),"")</f>
        <v/>
      </c>
      <c r="I145" s="32" t="str">
        <f>IFERROR([1]!IntrinioBankFinancials(rssd_id,$R$2,I$6,I$5,$B145),"")</f>
        <v/>
      </c>
      <c r="J145" s="32" t="str">
        <f>IFERROR([1]!IntrinioBankFinancials(rssd_id,$R$2,J$6,J$5,$B145),"")</f>
        <v/>
      </c>
      <c r="K145" s="32" t="str">
        <f>IFERROR([1]!IntrinioBankFinancials(rssd_id,$R$2,K$6,K$5,$B145),"")</f>
        <v/>
      </c>
      <c r="L145" s="32" t="str">
        <f>IFERROR([1]!IntrinioBankFinancials(rssd_id,$R$2,L$6,L$5,$B145),"")</f>
        <v/>
      </c>
      <c r="M145" s="32" t="str">
        <f>IFERROR([1]!IntrinioBankFinancials(rssd_id,$R$2,M$6,M$5,$B145),"")</f>
        <v/>
      </c>
      <c r="N145" s="32" t="str">
        <f>IFERROR([1]!IntrinioBankFinancials(rssd_id,$R$2,N$6,N$5,$B145),"")</f>
        <v/>
      </c>
      <c r="O145" s="32" t="str">
        <f>IFERROR([1]!IntrinioBankFinancials(rssd_id,$R$2,O$6,O$5,$B145),"")</f>
        <v/>
      </c>
    </row>
    <row r="146" spans="1:15" s="22" customFormat="1" ht="13.5" customHeight="1" x14ac:dyDescent="0.4">
      <c r="A146" s="34" t="s">
        <v>552</v>
      </c>
      <c r="B146" s="23" t="s">
        <v>673</v>
      </c>
      <c r="C146" s="32" t="str">
        <f>IFERROR([1]!IntrinioBankFinancials(rssd_id,$R$2,C$6,C$5,$B146),"")</f>
        <v/>
      </c>
      <c r="D146" s="32" t="str">
        <f>IFERROR([1]!IntrinioBankFinancials(rssd_id,$R$2,D$6,D$5,$B146),"")</f>
        <v/>
      </c>
      <c r="E146" s="32" t="str">
        <f>IFERROR([1]!IntrinioBankFinancials(rssd_id,$R$2,E$6,E$5,$B146),"")</f>
        <v/>
      </c>
      <c r="F146" s="32" t="str">
        <f>IFERROR([1]!IntrinioBankFinancials(rssd_id,$R$2,F$6,F$5,$B146),"")</f>
        <v/>
      </c>
      <c r="G146" s="32" t="str">
        <f>IFERROR([1]!IntrinioBankFinancials(rssd_id,$R$2,G$6,G$5,$B146),"")</f>
        <v/>
      </c>
      <c r="H146" s="32" t="str">
        <f>IFERROR([1]!IntrinioBankFinancials(rssd_id,$R$2,H$6,H$5,$B146),"")</f>
        <v/>
      </c>
      <c r="I146" s="32" t="str">
        <f>IFERROR([1]!IntrinioBankFinancials(rssd_id,$R$2,I$6,I$5,$B146),"")</f>
        <v/>
      </c>
      <c r="J146" s="32" t="str">
        <f>IFERROR([1]!IntrinioBankFinancials(rssd_id,$R$2,J$6,J$5,$B146),"")</f>
        <v/>
      </c>
      <c r="K146" s="32" t="str">
        <f>IFERROR([1]!IntrinioBankFinancials(rssd_id,$R$2,K$6,K$5,$B146),"")</f>
        <v/>
      </c>
      <c r="L146" s="32" t="str">
        <f>IFERROR([1]!IntrinioBankFinancials(rssd_id,$R$2,L$6,L$5,$B146),"")</f>
        <v/>
      </c>
      <c r="M146" s="32" t="str">
        <f>IFERROR([1]!IntrinioBankFinancials(rssd_id,$R$2,M$6,M$5,$B146),"")</f>
        <v/>
      </c>
      <c r="N146" s="32" t="str">
        <f>IFERROR([1]!IntrinioBankFinancials(rssd_id,$R$2,N$6,N$5,$B146),"")</f>
        <v/>
      </c>
      <c r="O146" s="32" t="str">
        <f>IFERROR([1]!IntrinioBankFinancials(rssd_id,$R$2,O$6,O$5,$B146),"")</f>
        <v/>
      </c>
    </row>
    <row r="147" spans="1:15" s="22" customFormat="1" ht="13.5" customHeight="1" x14ac:dyDescent="0.4">
      <c r="A147" s="34" t="s">
        <v>554</v>
      </c>
      <c r="B147" s="23" t="s">
        <v>674</v>
      </c>
      <c r="C147" s="32" t="str">
        <f>IFERROR([1]!IntrinioBankFinancials(rssd_id,$R$2,C$6,C$5,$B147),"")</f>
        <v/>
      </c>
      <c r="D147" s="32" t="str">
        <f>IFERROR([1]!IntrinioBankFinancials(rssd_id,$R$2,D$6,D$5,$B147),"")</f>
        <v/>
      </c>
      <c r="E147" s="32" t="str">
        <f>IFERROR([1]!IntrinioBankFinancials(rssd_id,$R$2,E$6,E$5,$B147),"")</f>
        <v/>
      </c>
      <c r="F147" s="32" t="str">
        <f>IFERROR([1]!IntrinioBankFinancials(rssd_id,$R$2,F$6,F$5,$B147),"")</f>
        <v/>
      </c>
      <c r="G147" s="32" t="str">
        <f>IFERROR([1]!IntrinioBankFinancials(rssd_id,$R$2,G$6,G$5,$B147),"")</f>
        <v/>
      </c>
      <c r="H147" s="32" t="str">
        <f>IFERROR([1]!IntrinioBankFinancials(rssd_id,$R$2,H$6,H$5,$B147),"")</f>
        <v/>
      </c>
      <c r="I147" s="32" t="str">
        <f>IFERROR([1]!IntrinioBankFinancials(rssd_id,$R$2,I$6,I$5,$B147),"")</f>
        <v/>
      </c>
      <c r="J147" s="32" t="str">
        <f>IFERROR([1]!IntrinioBankFinancials(rssd_id,$R$2,J$6,J$5,$B147),"")</f>
        <v/>
      </c>
      <c r="K147" s="32" t="str">
        <f>IFERROR([1]!IntrinioBankFinancials(rssd_id,$R$2,K$6,K$5,$B147),"")</f>
        <v/>
      </c>
      <c r="L147" s="32" t="str">
        <f>IFERROR([1]!IntrinioBankFinancials(rssd_id,$R$2,L$6,L$5,$B147),"")</f>
        <v/>
      </c>
      <c r="M147" s="32" t="str">
        <f>IFERROR([1]!IntrinioBankFinancials(rssd_id,$R$2,M$6,M$5,$B147),"")</f>
        <v/>
      </c>
      <c r="N147" s="32" t="str">
        <f>IFERROR([1]!IntrinioBankFinancials(rssd_id,$R$2,N$6,N$5,$B147),"")</f>
        <v/>
      </c>
      <c r="O147" s="32" t="str">
        <f>IFERROR([1]!IntrinioBankFinancials(rssd_id,$R$2,O$6,O$5,$B147),"")</f>
        <v/>
      </c>
    </row>
    <row r="148" spans="1:15" s="22" customFormat="1" ht="13.5" customHeight="1" x14ac:dyDescent="0.4">
      <c r="A148" s="34" t="s">
        <v>556</v>
      </c>
      <c r="B148" s="23" t="s">
        <v>675</v>
      </c>
      <c r="C148" s="32" t="str">
        <f>IFERROR([1]!IntrinioBankFinancials(rssd_id,$R$2,C$6,C$5,$B148),"")</f>
        <v/>
      </c>
      <c r="D148" s="32" t="str">
        <f>IFERROR([1]!IntrinioBankFinancials(rssd_id,$R$2,D$6,D$5,$B148),"")</f>
        <v/>
      </c>
      <c r="E148" s="32" t="str">
        <f>IFERROR([1]!IntrinioBankFinancials(rssd_id,$R$2,E$6,E$5,$B148),"")</f>
        <v/>
      </c>
      <c r="F148" s="32" t="str">
        <f>IFERROR([1]!IntrinioBankFinancials(rssd_id,$R$2,F$6,F$5,$B148),"")</f>
        <v/>
      </c>
      <c r="G148" s="32" t="str">
        <f>IFERROR([1]!IntrinioBankFinancials(rssd_id,$R$2,G$6,G$5,$B148),"")</f>
        <v/>
      </c>
      <c r="H148" s="32" t="str">
        <f>IFERROR([1]!IntrinioBankFinancials(rssd_id,$R$2,H$6,H$5,$B148),"")</f>
        <v/>
      </c>
      <c r="I148" s="32" t="str">
        <f>IFERROR([1]!IntrinioBankFinancials(rssd_id,$R$2,I$6,I$5,$B148),"")</f>
        <v/>
      </c>
      <c r="J148" s="32" t="str">
        <f>IFERROR([1]!IntrinioBankFinancials(rssd_id,$R$2,J$6,J$5,$B148),"")</f>
        <v/>
      </c>
      <c r="K148" s="32" t="str">
        <f>IFERROR([1]!IntrinioBankFinancials(rssd_id,$R$2,K$6,K$5,$B148),"")</f>
        <v/>
      </c>
      <c r="L148" s="32" t="str">
        <f>IFERROR([1]!IntrinioBankFinancials(rssd_id,$R$2,L$6,L$5,$B148),"")</f>
        <v/>
      </c>
      <c r="M148" s="32" t="str">
        <f>IFERROR([1]!IntrinioBankFinancials(rssd_id,$R$2,M$6,M$5,$B148),"")</f>
        <v/>
      </c>
      <c r="N148" s="32" t="str">
        <f>IFERROR([1]!IntrinioBankFinancials(rssd_id,$R$2,N$6,N$5,$B148),"")</f>
        <v/>
      </c>
      <c r="O148" s="32" t="str">
        <f>IFERROR([1]!IntrinioBankFinancials(rssd_id,$R$2,O$6,O$5,$B148),"")</f>
        <v/>
      </c>
    </row>
    <row r="149" spans="1:15" s="22" customFormat="1" ht="13.5" customHeight="1" x14ac:dyDescent="0.4">
      <c r="A149" s="34" t="s">
        <v>402</v>
      </c>
      <c r="B149" s="23" t="s">
        <v>676</v>
      </c>
      <c r="C149" s="32" t="str">
        <f>IFERROR([1]!IntrinioBankFinancials(rssd_id,$R$2,C$6,C$5,$B149),"")</f>
        <v/>
      </c>
      <c r="D149" s="32" t="str">
        <f>IFERROR([1]!IntrinioBankFinancials(rssd_id,$R$2,D$6,D$5,$B149),"")</f>
        <v/>
      </c>
      <c r="E149" s="32" t="str">
        <f>IFERROR([1]!IntrinioBankFinancials(rssd_id,$R$2,E$6,E$5,$B149),"")</f>
        <v/>
      </c>
      <c r="F149" s="32" t="str">
        <f>IFERROR([1]!IntrinioBankFinancials(rssd_id,$R$2,F$6,F$5,$B149),"")</f>
        <v/>
      </c>
      <c r="G149" s="32" t="str">
        <f>IFERROR([1]!IntrinioBankFinancials(rssd_id,$R$2,G$6,G$5,$B149),"")</f>
        <v/>
      </c>
      <c r="H149" s="32" t="str">
        <f>IFERROR([1]!IntrinioBankFinancials(rssd_id,$R$2,H$6,H$5,$B149),"")</f>
        <v/>
      </c>
      <c r="I149" s="32" t="str">
        <f>IFERROR([1]!IntrinioBankFinancials(rssd_id,$R$2,I$6,I$5,$B149),"")</f>
        <v/>
      </c>
      <c r="J149" s="32" t="str">
        <f>IFERROR([1]!IntrinioBankFinancials(rssd_id,$R$2,J$6,J$5,$B149),"")</f>
        <v/>
      </c>
      <c r="K149" s="32" t="str">
        <f>IFERROR([1]!IntrinioBankFinancials(rssd_id,$R$2,K$6,K$5,$B149),"")</f>
        <v/>
      </c>
      <c r="L149" s="32" t="str">
        <f>IFERROR([1]!IntrinioBankFinancials(rssd_id,$R$2,L$6,L$5,$B149),"")</f>
        <v/>
      </c>
      <c r="M149" s="32" t="str">
        <f>IFERROR([1]!IntrinioBankFinancials(rssd_id,$R$2,M$6,M$5,$B149),"")</f>
        <v/>
      </c>
      <c r="N149" s="32" t="str">
        <f>IFERROR([1]!IntrinioBankFinancials(rssd_id,$R$2,N$6,N$5,$B149),"")</f>
        <v/>
      </c>
      <c r="O149" s="32" t="str">
        <f>IFERROR([1]!IntrinioBankFinancials(rssd_id,$R$2,O$6,O$5,$B149),"")</f>
        <v/>
      </c>
    </row>
    <row r="150" spans="1:15" s="22" customFormat="1" ht="13.5" customHeight="1" x14ac:dyDescent="0.4">
      <c r="A150" s="34" t="s">
        <v>552</v>
      </c>
      <c r="B150" s="23" t="s">
        <v>677</v>
      </c>
      <c r="C150" s="32" t="str">
        <f>IFERROR([1]!IntrinioBankFinancials(rssd_id,$R$2,C$6,C$5,$B150),"")</f>
        <v/>
      </c>
      <c r="D150" s="32" t="str">
        <f>IFERROR([1]!IntrinioBankFinancials(rssd_id,$R$2,D$6,D$5,$B150),"")</f>
        <v/>
      </c>
      <c r="E150" s="32" t="str">
        <f>IFERROR([1]!IntrinioBankFinancials(rssd_id,$R$2,E$6,E$5,$B150),"")</f>
        <v/>
      </c>
      <c r="F150" s="32" t="str">
        <f>IFERROR([1]!IntrinioBankFinancials(rssd_id,$R$2,F$6,F$5,$B150),"")</f>
        <v/>
      </c>
      <c r="G150" s="32" t="str">
        <f>IFERROR([1]!IntrinioBankFinancials(rssd_id,$R$2,G$6,G$5,$B150),"")</f>
        <v/>
      </c>
      <c r="H150" s="32" t="str">
        <f>IFERROR([1]!IntrinioBankFinancials(rssd_id,$R$2,H$6,H$5,$B150),"")</f>
        <v/>
      </c>
      <c r="I150" s="32" t="str">
        <f>IFERROR([1]!IntrinioBankFinancials(rssd_id,$R$2,I$6,I$5,$B150),"")</f>
        <v/>
      </c>
      <c r="J150" s="32" t="str">
        <f>IFERROR([1]!IntrinioBankFinancials(rssd_id,$R$2,J$6,J$5,$B150),"")</f>
        <v/>
      </c>
      <c r="K150" s="32" t="str">
        <f>IFERROR([1]!IntrinioBankFinancials(rssd_id,$R$2,K$6,K$5,$B150),"")</f>
        <v/>
      </c>
      <c r="L150" s="32" t="str">
        <f>IFERROR([1]!IntrinioBankFinancials(rssd_id,$R$2,L$6,L$5,$B150),"")</f>
        <v/>
      </c>
      <c r="M150" s="32" t="str">
        <f>IFERROR([1]!IntrinioBankFinancials(rssd_id,$R$2,M$6,M$5,$B150),"")</f>
        <v/>
      </c>
      <c r="N150" s="32" t="str">
        <f>IFERROR([1]!IntrinioBankFinancials(rssd_id,$R$2,N$6,N$5,$B150),"")</f>
        <v/>
      </c>
      <c r="O150" s="32" t="str">
        <f>IFERROR([1]!IntrinioBankFinancials(rssd_id,$R$2,O$6,O$5,$B150),"")</f>
        <v/>
      </c>
    </row>
    <row r="151" spans="1:15" s="22" customFormat="1" ht="13.5" customHeight="1" x14ac:dyDescent="0.4">
      <c r="A151" s="34" t="s">
        <v>554</v>
      </c>
      <c r="B151" s="23" t="s">
        <v>678</v>
      </c>
      <c r="C151" s="32" t="str">
        <f>IFERROR([1]!IntrinioBankFinancials(rssd_id,$R$2,C$6,C$5,$B151),"")</f>
        <v/>
      </c>
      <c r="D151" s="32" t="str">
        <f>IFERROR([1]!IntrinioBankFinancials(rssd_id,$R$2,D$6,D$5,$B151),"")</f>
        <v/>
      </c>
      <c r="E151" s="32" t="str">
        <f>IFERROR([1]!IntrinioBankFinancials(rssd_id,$R$2,E$6,E$5,$B151),"")</f>
        <v/>
      </c>
      <c r="F151" s="32" t="str">
        <f>IFERROR([1]!IntrinioBankFinancials(rssd_id,$R$2,F$6,F$5,$B151),"")</f>
        <v/>
      </c>
      <c r="G151" s="32" t="str">
        <f>IFERROR([1]!IntrinioBankFinancials(rssd_id,$R$2,G$6,G$5,$B151),"")</f>
        <v/>
      </c>
      <c r="H151" s="32" t="str">
        <f>IFERROR([1]!IntrinioBankFinancials(rssd_id,$R$2,H$6,H$5,$B151),"")</f>
        <v/>
      </c>
      <c r="I151" s="32" t="str">
        <f>IFERROR([1]!IntrinioBankFinancials(rssd_id,$R$2,I$6,I$5,$B151),"")</f>
        <v/>
      </c>
      <c r="J151" s="32" t="str">
        <f>IFERROR([1]!IntrinioBankFinancials(rssd_id,$R$2,J$6,J$5,$B151),"")</f>
        <v/>
      </c>
      <c r="K151" s="32" t="str">
        <f>IFERROR([1]!IntrinioBankFinancials(rssd_id,$R$2,K$6,K$5,$B151),"")</f>
        <v/>
      </c>
      <c r="L151" s="32" t="str">
        <f>IFERROR([1]!IntrinioBankFinancials(rssd_id,$R$2,L$6,L$5,$B151),"")</f>
        <v/>
      </c>
      <c r="M151" s="32" t="str">
        <f>IFERROR([1]!IntrinioBankFinancials(rssd_id,$R$2,M$6,M$5,$B151),"")</f>
        <v/>
      </c>
      <c r="N151" s="32" t="str">
        <f>IFERROR([1]!IntrinioBankFinancials(rssd_id,$R$2,N$6,N$5,$B151),"")</f>
        <v/>
      </c>
      <c r="O151" s="32" t="str">
        <f>IFERROR([1]!IntrinioBankFinancials(rssd_id,$R$2,O$6,O$5,$B151),"")</f>
        <v/>
      </c>
    </row>
    <row r="152" spans="1:15" s="22" customFormat="1" ht="13.5" customHeight="1" x14ac:dyDescent="0.4">
      <c r="A152" s="34" t="s">
        <v>556</v>
      </c>
      <c r="B152" s="23" t="s">
        <v>679</v>
      </c>
      <c r="C152" s="32" t="str">
        <f>IFERROR([1]!IntrinioBankFinancials(rssd_id,$R$2,C$6,C$5,$B152),"")</f>
        <v/>
      </c>
      <c r="D152" s="32" t="str">
        <f>IFERROR([1]!IntrinioBankFinancials(rssd_id,$R$2,D$6,D$5,$B152),"")</f>
        <v/>
      </c>
      <c r="E152" s="32" t="str">
        <f>IFERROR([1]!IntrinioBankFinancials(rssd_id,$R$2,E$6,E$5,$B152),"")</f>
        <v/>
      </c>
      <c r="F152" s="32" t="str">
        <f>IFERROR([1]!IntrinioBankFinancials(rssd_id,$R$2,F$6,F$5,$B152),"")</f>
        <v/>
      </c>
      <c r="G152" s="32" t="str">
        <f>IFERROR([1]!IntrinioBankFinancials(rssd_id,$R$2,G$6,G$5,$B152),"")</f>
        <v/>
      </c>
      <c r="H152" s="32" t="str">
        <f>IFERROR([1]!IntrinioBankFinancials(rssd_id,$R$2,H$6,H$5,$B152),"")</f>
        <v/>
      </c>
      <c r="I152" s="32" t="str">
        <f>IFERROR([1]!IntrinioBankFinancials(rssd_id,$R$2,I$6,I$5,$B152),"")</f>
        <v/>
      </c>
      <c r="J152" s="32" t="str">
        <f>IFERROR([1]!IntrinioBankFinancials(rssd_id,$R$2,J$6,J$5,$B152),"")</f>
        <v/>
      </c>
      <c r="K152" s="32" t="str">
        <f>IFERROR([1]!IntrinioBankFinancials(rssd_id,$R$2,K$6,K$5,$B152),"")</f>
        <v/>
      </c>
      <c r="L152" s="32" t="str">
        <f>IFERROR([1]!IntrinioBankFinancials(rssd_id,$R$2,L$6,L$5,$B152),"")</f>
        <v/>
      </c>
      <c r="M152" s="32" t="str">
        <f>IFERROR([1]!IntrinioBankFinancials(rssd_id,$R$2,M$6,M$5,$B152),"")</f>
        <v/>
      </c>
      <c r="N152" s="32" t="str">
        <f>IFERROR([1]!IntrinioBankFinancials(rssd_id,$R$2,N$6,N$5,$B152),"")</f>
        <v/>
      </c>
      <c r="O152" s="32" t="str">
        <f>IFERROR([1]!IntrinioBankFinancials(rssd_id,$R$2,O$6,O$5,$B152),"")</f>
        <v/>
      </c>
    </row>
    <row r="153" spans="1:15" s="22" customFormat="1" ht="13.5" customHeight="1" x14ac:dyDescent="0.4">
      <c r="A153" s="34" t="s">
        <v>680</v>
      </c>
      <c r="B153" s="23" t="s">
        <v>681</v>
      </c>
      <c r="C153" s="32" t="str">
        <f>IFERROR([1]!IntrinioBankFinancials(rssd_id,$R$2,C$6,C$5,$B153),"")</f>
        <v/>
      </c>
      <c r="D153" s="32" t="str">
        <f>IFERROR([1]!IntrinioBankFinancials(rssd_id,$R$2,D$6,D$5,$B153),"")</f>
        <v/>
      </c>
      <c r="E153" s="32" t="str">
        <f>IFERROR([1]!IntrinioBankFinancials(rssd_id,$R$2,E$6,E$5,$B153),"")</f>
        <v/>
      </c>
      <c r="F153" s="32" t="str">
        <f>IFERROR([1]!IntrinioBankFinancials(rssd_id,$R$2,F$6,F$5,$B153),"")</f>
        <v/>
      </c>
      <c r="G153" s="32" t="str">
        <f>IFERROR([1]!IntrinioBankFinancials(rssd_id,$R$2,G$6,G$5,$B153),"")</f>
        <v/>
      </c>
      <c r="H153" s="32" t="str">
        <f>IFERROR([1]!IntrinioBankFinancials(rssd_id,$R$2,H$6,H$5,$B153),"")</f>
        <v/>
      </c>
      <c r="I153" s="32" t="str">
        <f>IFERROR([1]!IntrinioBankFinancials(rssd_id,$R$2,I$6,I$5,$B153),"")</f>
        <v/>
      </c>
      <c r="J153" s="32" t="str">
        <f>IFERROR([1]!IntrinioBankFinancials(rssd_id,$R$2,J$6,J$5,$B153),"")</f>
        <v/>
      </c>
      <c r="K153" s="32" t="str">
        <f>IFERROR([1]!IntrinioBankFinancials(rssd_id,$R$2,K$6,K$5,$B153),"")</f>
        <v/>
      </c>
      <c r="L153" s="32" t="str">
        <f>IFERROR([1]!IntrinioBankFinancials(rssd_id,$R$2,L$6,L$5,$B153),"")</f>
        <v/>
      </c>
      <c r="M153" s="32" t="str">
        <f>IFERROR([1]!IntrinioBankFinancials(rssd_id,$R$2,M$6,M$5,$B153),"")</f>
        <v/>
      </c>
      <c r="N153" s="32" t="str">
        <f>IFERROR([1]!IntrinioBankFinancials(rssd_id,$R$2,N$6,N$5,$B153),"")</f>
        <v/>
      </c>
      <c r="O153" s="32" t="str">
        <f>IFERROR([1]!IntrinioBankFinancials(rssd_id,$R$2,O$6,O$5,$B153),"")</f>
        <v/>
      </c>
    </row>
    <row r="154" spans="1:15" s="22" customFormat="1" ht="13.5" customHeight="1" x14ac:dyDescent="0.4">
      <c r="A154" s="34" t="s">
        <v>552</v>
      </c>
      <c r="B154" s="23" t="s">
        <v>682</v>
      </c>
      <c r="C154" s="32" t="str">
        <f>IFERROR([1]!IntrinioBankFinancials(rssd_id,$R$2,C$6,C$5,$B154),"")</f>
        <v/>
      </c>
      <c r="D154" s="32" t="str">
        <f>IFERROR([1]!IntrinioBankFinancials(rssd_id,$R$2,D$6,D$5,$B154),"")</f>
        <v/>
      </c>
      <c r="E154" s="32" t="str">
        <f>IFERROR([1]!IntrinioBankFinancials(rssd_id,$R$2,E$6,E$5,$B154),"")</f>
        <v/>
      </c>
      <c r="F154" s="32" t="str">
        <f>IFERROR([1]!IntrinioBankFinancials(rssd_id,$R$2,F$6,F$5,$B154),"")</f>
        <v/>
      </c>
      <c r="G154" s="32" t="str">
        <f>IFERROR([1]!IntrinioBankFinancials(rssd_id,$R$2,G$6,G$5,$B154),"")</f>
        <v/>
      </c>
      <c r="H154" s="32" t="str">
        <f>IFERROR([1]!IntrinioBankFinancials(rssd_id,$R$2,H$6,H$5,$B154),"")</f>
        <v/>
      </c>
      <c r="I154" s="32" t="str">
        <f>IFERROR([1]!IntrinioBankFinancials(rssd_id,$R$2,I$6,I$5,$B154),"")</f>
        <v/>
      </c>
      <c r="J154" s="32" t="str">
        <f>IFERROR([1]!IntrinioBankFinancials(rssd_id,$R$2,J$6,J$5,$B154),"")</f>
        <v/>
      </c>
      <c r="K154" s="32" t="str">
        <f>IFERROR([1]!IntrinioBankFinancials(rssd_id,$R$2,K$6,K$5,$B154),"")</f>
        <v/>
      </c>
      <c r="L154" s="32" t="str">
        <f>IFERROR([1]!IntrinioBankFinancials(rssd_id,$R$2,L$6,L$5,$B154),"")</f>
        <v/>
      </c>
      <c r="M154" s="32" t="str">
        <f>IFERROR([1]!IntrinioBankFinancials(rssd_id,$R$2,M$6,M$5,$B154),"")</f>
        <v/>
      </c>
      <c r="N154" s="32" t="str">
        <f>IFERROR([1]!IntrinioBankFinancials(rssd_id,$R$2,N$6,N$5,$B154),"")</f>
        <v/>
      </c>
      <c r="O154" s="32" t="str">
        <f>IFERROR([1]!IntrinioBankFinancials(rssd_id,$R$2,O$6,O$5,$B154),"")</f>
        <v/>
      </c>
    </row>
    <row r="155" spans="1:15" s="22" customFormat="1" ht="13.5" customHeight="1" x14ac:dyDescent="0.4">
      <c r="A155" s="34" t="s">
        <v>554</v>
      </c>
      <c r="B155" s="23" t="s">
        <v>683</v>
      </c>
      <c r="C155" s="32" t="str">
        <f>IFERROR([1]!IntrinioBankFinancials(rssd_id,$R$2,C$6,C$5,$B155),"")</f>
        <v/>
      </c>
      <c r="D155" s="32" t="str">
        <f>IFERROR([1]!IntrinioBankFinancials(rssd_id,$R$2,D$6,D$5,$B155),"")</f>
        <v/>
      </c>
      <c r="E155" s="32" t="str">
        <f>IFERROR([1]!IntrinioBankFinancials(rssd_id,$R$2,E$6,E$5,$B155),"")</f>
        <v/>
      </c>
      <c r="F155" s="32" t="str">
        <f>IFERROR([1]!IntrinioBankFinancials(rssd_id,$R$2,F$6,F$5,$B155),"")</f>
        <v/>
      </c>
      <c r="G155" s="32" t="str">
        <f>IFERROR([1]!IntrinioBankFinancials(rssd_id,$R$2,G$6,G$5,$B155),"")</f>
        <v/>
      </c>
      <c r="H155" s="32" t="str">
        <f>IFERROR([1]!IntrinioBankFinancials(rssd_id,$R$2,H$6,H$5,$B155),"")</f>
        <v/>
      </c>
      <c r="I155" s="32" t="str">
        <f>IFERROR([1]!IntrinioBankFinancials(rssd_id,$R$2,I$6,I$5,$B155),"")</f>
        <v/>
      </c>
      <c r="J155" s="32" t="str">
        <f>IFERROR([1]!IntrinioBankFinancials(rssd_id,$R$2,J$6,J$5,$B155),"")</f>
        <v/>
      </c>
      <c r="K155" s="32" t="str">
        <f>IFERROR([1]!IntrinioBankFinancials(rssd_id,$R$2,K$6,K$5,$B155),"")</f>
        <v/>
      </c>
      <c r="L155" s="32" t="str">
        <f>IFERROR([1]!IntrinioBankFinancials(rssd_id,$R$2,L$6,L$5,$B155),"")</f>
        <v/>
      </c>
      <c r="M155" s="32" t="str">
        <f>IFERROR([1]!IntrinioBankFinancials(rssd_id,$R$2,M$6,M$5,$B155),"")</f>
        <v/>
      </c>
      <c r="N155" s="32" t="str">
        <f>IFERROR([1]!IntrinioBankFinancials(rssd_id,$R$2,N$6,N$5,$B155),"")</f>
        <v/>
      </c>
      <c r="O155" s="32" t="str">
        <f>IFERROR([1]!IntrinioBankFinancials(rssd_id,$R$2,O$6,O$5,$B155),"")</f>
        <v/>
      </c>
    </row>
    <row r="156" spans="1:15" s="22" customFormat="1" ht="13.5" customHeight="1" x14ac:dyDescent="0.4">
      <c r="A156" s="34" t="s">
        <v>556</v>
      </c>
      <c r="B156" s="23" t="s">
        <v>684</v>
      </c>
      <c r="C156" s="32" t="str">
        <f>IFERROR([1]!IntrinioBankFinancials(rssd_id,$R$2,C$6,C$5,$B156),"")</f>
        <v/>
      </c>
      <c r="D156" s="32" t="str">
        <f>IFERROR([1]!IntrinioBankFinancials(rssd_id,$R$2,D$6,D$5,$B156),"")</f>
        <v/>
      </c>
      <c r="E156" s="32" t="str">
        <f>IFERROR([1]!IntrinioBankFinancials(rssd_id,$R$2,E$6,E$5,$B156),"")</f>
        <v/>
      </c>
      <c r="F156" s="32" t="str">
        <f>IFERROR([1]!IntrinioBankFinancials(rssd_id,$R$2,F$6,F$5,$B156),"")</f>
        <v/>
      </c>
      <c r="G156" s="32" t="str">
        <f>IFERROR([1]!IntrinioBankFinancials(rssd_id,$R$2,G$6,G$5,$B156),"")</f>
        <v/>
      </c>
      <c r="H156" s="32" t="str">
        <f>IFERROR([1]!IntrinioBankFinancials(rssd_id,$R$2,H$6,H$5,$B156),"")</f>
        <v/>
      </c>
      <c r="I156" s="32" t="str">
        <f>IFERROR([1]!IntrinioBankFinancials(rssd_id,$R$2,I$6,I$5,$B156),"")</f>
        <v/>
      </c>
      <c r="J156" s="32" t="str">
        <f>IFERROR([1]!IntrinioBankFinancials(rssd_id,$R$2,J$6,J$5,$B156),"")</f>
        <v/>
      </c>
      <c r="K156" s="32" t="str">
        <f>IFERROR([1]!IntrinioBankFinancials(rssd_id,$R$2,K$6,K$5,$B156),"")</f>
        <v/>
      </c>
      <c r="L156" s="32" t="str">
        <f>IFERROR([1]!IntrinioBankFinancials(rssd_id,$R$2,L$6,L$5,$B156),"")</f>
        <v/>
      </c>
      <c r="M156" s="32" t="str">
        <f>IFERROR([1]!IntrinioBankFinancials(rssd_id,$R$2,M$6,M$5,$B156),"")</f>
        <v/>
      </c>
      <c r="N156" s="32" t="str">
        <f>IFERROR([1]!IntrinioBankFinancials(rssd_id,$R$2,N$6,N$5,$B156),"")</f>
        <v/>
      </c>
      <c r="O156" s="32" t="str">
        <f>IFERROR([1]!IntrinioBankFinancials(rssd_id,$R$2,O$6,O$5,$B156),"")</f>
        <v/>
      </c>
    </row>
    <row r="157" spans="1:15" s="22" customFormat="1" ht="13.5" customHeight="1" x14ac:dyDescent="0.4">
      <c r="A157" s="34" t="s">
        <v>685</v>
      </c>
      <c r="B157" s="23" t="s">
        <v>686</v>
      </c>
      <c r="C157" s="32" t="str">
        <f>IFERROR([1]!IntrinioBankFinancials(rssd_id,$R$2,C$6,C$5,$B157),"")</f>
        <v/>
      </c>
      <c r="D157" s="32" t="str">
        <f>IFERROR([1]!IntrinioBankFinancials(rssd_id,$R$2,D$6,D$5,$B157),"")</f>
        <v/>
      </c>
      <c r="E157" s="32" t="str">
        <f>IFERROR([1]!IntrinioBankFinancials(rssd_id,$R$2,E$6,E$5,$B157),"")</f>
        <v/>
      </c>
      <c r="F157" s="32" t="str">
        <f>IFERROR([1]!IntrinioBankFinancials(rssd_id,$R$2,F$6,F$5,$B157),"")</f>
        <v/>
      </c>
      <c r="G157" s="32" t="str">
        <f>IFERROR([1]!IntrinioBankFinancials(rssd_id,$R$2,G$6,G$5,$B157),"")</f>
        <v/>
      </c>
      <c r="H157" s="32" t="str">
        <f>IFERROR([1]!IntrinioBankFinancials(rssd_id,$R$2,H$6,H$5,$B157),"")</f>
        <v/>
      </c>
      <c r="I157" s="32" t="str">
        <f>IFERROR([1]!IntrinioBankFinancials(rssd_id,$R$2,I$6,I$5,$B157),"")</f>
        <v/>
      </c>
      <c r="J157" s="32" t="str">
        <f>IFERROR([1]!IntrinioBankFinancials(rssd_id,$R$2,J$6,J$5,$B157),"")</f>
        <v/>
      </c>
      <c r="K157" s="32" t="str">
        <f>IFERROR([1]!IntrinioBankFinancials(rssd_id,$R$2,K$6,K$5,$B157),"")</f>
        <v/>
      </c>
      <c r="L157" s="32" t="str">
        <f>IFERROR([1]!IntrinioBankFinancials(rssd_id,$R$2,L$6,L$5,$B157),"")</f>
        <v/>
      </c>
      <c r="M157" s="32" t="str">
        <f>IFERROR([1]!IntrinioBankFinancials(rssd_id,$R$2,M$6,M$5,$B157),"")</f>
        <v/>
      </c>
      <c r="N157" s="32" t="str">
        <f>IFERROR([1]!IntrinioBankFinancials(rssd_id,$R$2,N$6,N$5,$B157),"")</f>
        <v/>
      </c>
      <c r="O157" s="32" t="str">
        <f>IFERROR([1]!IntrinioBankFinancials(rssd_id,$R$2,O$6,O$5,$B157),"")</f>
        <v/>
      </c>
    </row>
    <row r="158" spans="1:15" s="22" customFormat="1" ht="13.5" customHeight="1" x14ac:dyDescent="0.4">
      <c r="A158" s="34" t="s">
        <v>552</v>
      </c>
      <c r="B158" s="23" t="s">
        <v>687</v>
      </c>
      <c r="C158" s="32" t="str">
        <f>IFERROR([1]!IntrinioBankFinancials(rssd_id,$R$2,C$6,C$5,$B158),"")</f>
        <v/>
      </c>
      <c r="D158" s="32" t="str">
        <f>IFERROR([1]!IntrinioBankFinancials(rssd_id,$R$2,D$6,D$5,$B158),"")</f>
        <v/>
      </c>
      <c r="E158" s="32" t="str">
        <f>IFERROR([1]!IntrinioBankFinancials(rssd_id,$R$2,E$6,E$5,$B158),"")</f>
        <v/>
      </c>
      <c r="F158" s="32" t="str">
        <f>IFERROR([1]!IntrinioBankFinancials(rssd_id,$R$2,F$6,F$5,$B158),"")</f>
        <v/>
      </c>
      <c r="G158" s="32" t="str">
        <f>IFERROR([1]!IntrinioBankFinancials(rssd_id,$R$2,G$6,G$5,$B158),"")</f>
        <v/>
      </c>
      <c r="H158" s="32" t="str">
        <f>IFERROR([1]!IntrinioBankFinancials(rssd_id,$R$2,H$6,H$5,$B158),"")</f>
        <v/>
      </c>
      <c r="I158" s="32" t="str">
        <f>IFERROR([1]!IntrinioBankFinancials(rssd_id,$R$2,I$6,I$5,$B158),"")</f>
        <v/>
      </c>
      <c r="J158" s="32" t="str">
        <f>IFERROR([1]!IntrinioBankFinancials(rssd_id,$R$2,J$6,J$5,$B158),"")</f>
        <v/>
      </c>
      <c r="K158" s="32" t="str">
        <f>IFERROR([1]!IntrinioBankFinancials(rssd_id,$R$2,K$6,K$5,$B158),"")</f>
        <v/>
      </c>
      <c r="L158" s="32" t="str">
        <f>IFERROR([1]!IntrinioBankFinancials(rssd_id,$R$2,L$6,L$5,$B158),"")</f>
        <v/>
      </c>
      <c r="M158" s="32" t="str">
        <f>IFERROR([1]!IntrinioBankFinancials(rssd_id,$R$2,M$6,M$5,$B158),"")</f>
        <v/>
      </c>
      <c r="N158" s="32" t="str">
        <f>IFERROR([1]!IntrinioBankFinancials(rssd_id,$R$2,N$6,N$5,$B158),"")</f>
        <v/>
      </c>
      <c r="O158" s="32" t="str">
        <f>IFERROR([1]!IntrinioBankFinancials(rssd_id,$R$2,O$6,O$5,$B158),"")</f>
        <v/>
      </c>
    </row>
    <row r="159" spans="1:15" s="22" customFormat="1" ht="13.5" customHeight="1" x14ac:dyDescent="0.4">
      <c r="A159" s="34" t="s">
        <v>554</v>
      </c>
      <c r="B159" s="23" t="s">
        <v>688</v>
      </c>
      <c r="C159" s="32" t="str">
        <f>IFERROR([1]!IntrinioBankFinancials(rssd_id,$R$2,C$6,C$5,$B159),"")</f>
        <v/>
      </c>
      <c r="D159" s="32" t="str">
        <f>IFERROR([1]!IntrinioBankFinancials(rssd_id,$R$2,D$6,D$5,$B159),"")</f>
        <v/>
      </c>
      <c r="E159" s="32" t="str">
        <f>IFERROR([1]!IntrinioBankFinancials(rssd_id,$R$2,E$6,E$5,$B159),"")</f>
        <v/>
      </c>
      <c r="F159" s="32" t="str">
        <f>IFERROR([1]!IntrinioBankFinancials(rssd_id,$R$2,F$6,F$5,$B159),"")</f>
        <v/>
      </c>
      <c r="G159" s="32" t="str">
        <f>IFERROR([1]!IntrinioBankFinancials(rssd_id,$R$2,G$6,G$5,$B159),"")</f>
        <v/>
      </c>
      <c r="H159" s="32" t="str">
        <f>IFERROR([1]!IntrinioBankFinancials(rssd_id,$R$2,H$6,H$5,$B159),"")</f>
        <v/>
      </c>
      <c r="I159" s="32" t="str">
        <f>IFERROR([1]!IntrinioBankFinancials(rssd_id,$R$2,I$6,I$5,$B159),"")</f>
        <v/>
      </c>
      <c r="J159" s="32" t="str">
        <f>IFERROR([1]!IntrinioBankFinancials(rssd_id,$R$2,J$6,J$5,$B159),"")</f>
        <v/>
      </c>
      <c r="K159" s="32" t="str">
        <f>IFERROR([1]!IntrinioBankFinancials(rssd_id,$R$2,K$6,K$5,$B159),"")</f>
        <v/>
      </c>
      <c r="L159" s="32" t="str">
        <f>IFERROR([1]!IntrinioBankFinancials(rssd_id,$R$2,L$6,L$5,$B159),"")</f>
        <v/>
      </c>
      <c r="M159" s="32" t="str">
        <f>IFERROR([1]!IntrinioBankFinancials(rssd_id,$R$2,M$6,M$5,$B159),"")</f>
        <v/>
      </c>
      <c r="N159" s="32" t="str">
        <f>IFERROR([1]!IntrinioBankFinancials(rssd_id,$R$2,N$6,N$5,$B159),"")</f>
        <v/>
      </c>
      <c r="O159" s="32" t="str">
        <f>IFERROR([1]!IntrinioBankFinancials(rssd_id,$R$2,O$6,O$5,$B159),"")</f>
        <v/>
      </c>
    </row>
    <row r="160" spans="1:15" s="22" customFormat="1" ht="13.5" customHeight="1" x14ac:dyDescent="0.4">
      <c r="A160" s="34" t="s">
        <v>556</v>
      </c>
      <c r="B160" s="23" t="s">
        <v>689</v>
      </c>
      <c r="C160" s="32" t="str">
        <f>IFERROR([1]!IntrinioBankFinancials(rssd_id,$R$2,C$6,C$5,$B160),"")</f>
        <v/>
      </c>
      <c r="D160" s="32" t="str">
        <f>IFERROR([1]!IntrinioBankFinancials(rssd_id,$R$2,D$6,D$5,$B160),"")</f>
        <v/>
      </c>
      <c r="E160" s="32" t="str">
        <f>IFERROR([1]!IntrinioBankFinancials(rssd_id,$R$2,E$6,E$5,$B160),"")</f>
        <v/>
      </c>
      <c r="F160" s="32" t="str">
        <f>IFERROR([1]!IntrinioBankFinancials(rssd_id,$R$2,F$6,F$5,$B160),"")</f>
        <v/>
      </c>
      <c r="G160" s="32" t="str">
        <f>IFERROR([1]!IntrinioBankFinancials(rssd_id,$R$2,G$6,G$5,$B160),"")</f>
        <v/>
      </c>
      <c r="H160" s="32" t="str">
        <f>IFERROR([1]!IntrinioBankFinancials(rssd_id,$R$2,H$6,H$5,$B160),"")</f>
        <v/>
      </c>
      <c r="I160" s="32" t="str">
        <f>IFERROR([1]!IntrinioBankFinancials(rssd_id,$R$2,I$6,I$5,$B160),"")</f>
        <v/>
      </c>
      <c r="J160" s="32" t="str">
        <f>IFERROR([1]!IntrinioBankFinancials(rssd_id,$R$2,J$6,J$5,$B160),"")</f>
        <v/>
      </c>
      <c r="K160" s="32" t="str">
        <f>IFERROR([1]!IntrinioBankFinancials(rssd_id,$R$2,K$6,K$5,$B160),"")</f>
        <v/>
      </c>
      <c r="L160" s="32" t="str">
        <f>IFERROR([1]!IntrinioBankFinancials(rssd_id,$R$2,L$6,L$5,$B160),"")</f>
        <v/>
      </c>
      <c r="M160" s="32" t="str">
        <f>IFERROR([1]!IntrinioBankFinancials(rssd_id,$R$2,M$6,M$5,$B160),"")</f>
        <v/>
      </c>
      <c r="N160" s="32" t="str">
        <f>IFERROR([1]!IntrinioBankFinancials(rssd_id,$R$2,N$6,N$5,$B160),"")</f>
        <v/>
      </c>
      <c r="O160" s="32" t="str">
        <f>IFERROR([1]!IntrinioBankFinancials(rssd_id,$R$2,O$6,O$5,$B160),"")</f>
        <v/>
      </c>
    </row>
    <row r="161" spans="1:15" s="22" customFormat="1" ht="13.5" customHeight="1" x14ac:dyDescent="0.4">
      <c r="A161" s="34" t="s">
        <v>690</v>
      </c>
      <c r="B161" s="23" t="s">
        <v>691</v>
      </c>
      <c r="C161" s="32" t="str">
        <f>IFERROR([1]!IntrinioBankFinancials(rssd_id,$R$2,C$6,C$5,$B161),"")</f>
        <v/>
      </c>
      <c r="D161" s="32" t="str">
        <f>IFERROR([1]!IntrinioBankFinancials(rssd_id,$R$2,D$6,D$5,$B161),"")</f>
        <v/>
      </c>
      <c r="E161" s="32" t="str">
        <f>IFERROR([1]!IntrinioBankFinancials(rssd_id,$R$2,E$6,E$5,$B161),"")</f>
        <v/>
      </c>
      <c r="F161" s="32" t="str">
        <f>IFERROR([1]!IntrinioBankFinancials(rssd_id,$R$2,F$6,F$5,$B161),"")</f>
        <v/>
      </c>
      <c r="G161" s="32" t="str">
        <f>IFERROR([1]!IntrinioBankFinancials(rssd_id,$R$2,G$6,G$5,$B161),"")</f>
        <v/>
      </c>
      <c r="H161" s="32" t="str">
        <f>IFERROR([1]!IntrinioBankFinancials(rssd_id,$R$2,H$6,H$5,$B161),"")</f>
        <v/>
      </c>
      <c r="I161" s="32" t="str">
        <f>IFERROR([1]!IntrinioBankFinancials(rssd_id,$R$2,I$6,I$5,$B161),"")</f>
        <v/>
      </c>
      <c r="J161" s="32" t="str">
        <f>IFERROR([1]!IntrinioBankFinancials(rssd_id,$R$2,J$6,J$5,$B161),"")</f>
        <v/>
      </c>
      <c r="K161" s="32" t="str">
        <f>IFERROR([1]!IntrinioBankFinancials(rssd_id,$R$2,K$6,K$5,$B161),"")</f>
        <v/>
      </c>
      <c r="L161" s="32" t="str">
        <f>IFERROR([1]!IntrinioBankFinancials(rssd_id,$R$2,L$6,L$5,$B161),"")</f>
        <v/>
      </c>
      <c r="M161" s="32" t="str">
        <f>IFERROR([1]!IntrinioBankFinancials(rssd_id,$R$2,M$6,M$5,$B161),"")</f>
        <v/>
      </c>
      <c r="N161" s="32" t="str">
        <f>IFERROR([1]!IntrinioBankFinancials(rssd_id,$R$2,N$6,N$5,$B161),"")</f>
        <v/>
      </c>
      <c r="O161" s="32" t="str">
        <f>IFERROR([1]!IntrinioBankFinancials(rssd_id,$R$2,O$6,O$5,$B161),"")</f>
        <v/>
      </c>
    </row>
    <row r="162" spans="1:15" s="22" customFormat="1" ht="13.5" customHeight="1" x14ac:dyDescent="0.4">
      <c r="A162" s="34" t="s">
        <v>552</v>
      </c>
      <c r="B162" s="23" t="s">
        <v>692</v>
      </c>
      <c r="C162" s="32" t="str">
        <f>IFERROR([1]!IntrinioBankFinancials(rssd_id,$R$2,C$6,C$5,$B162),"")</f>
        <v/>
      </c>
      <c r="D162" s="32" t="str">
        <f>IFERROR([1]!IntrinioBankFinancials(rssd_id,$R$2,D$6,D$5,$B162),"")</f>
        <v/>
      </c>
      <c r="E162" s="32" t="str">
        <f>IFERROR([1]!IntrinioBankFinancials(rssd_id,$R$2,E$6,E$5,$B162),"")</f>
        <v/>
      </c>
      <c r="F162" s="32" t="str">
        <f>IFERROR([1]!IntrinioBankFinancials(rssd_id,$R$2,F$6,F$5,$B162),"")</f>
        <v/>
      </c>
      <c r="G162" s="32" t="str">
        <f>IFERROR([1]!IntrinioBankFinancials(rssd_id,$R$2,G$6,G$5,$B162),"")</f>
        <v/>
      </c>
      <c r="H162" s="32" t="str">
        <f>IFERROR([1]!IntrinioBankFinancials(rssd_id,$R$2,H$6,H$5,$B162),"")</f>
        <v/>
      </c>
      <c r="I162" s="32" t="str">
        <f>IFERROR([1]!IntrinioBankFinancials(rssd_id,$R$2,I$6,I$5,$B162),"")</f>
        <v/>
      </c>
      <c r="J162" s="32" t="str">
        <f>IFERROR([1]!IntrinioBankFinancials(rssd_id,$R$2,J$6,J$5,$B162),"")</f>
        <v/>
      </c>
      <c r="K162" s="32" t="str">
        <f>IFERROR([1]!IntrinioBankFinancials(rssd_id,$R$2,K$6,K$5,$B162),"")</f>
        <v/>
      </c>
      <c r="L162" s="32" t="str">
        <f>IFERROR([1]!IntrinioBankFinancials(rssd_id,$R$2,L$6,L$5,$B162),"")</f>
        <v/>
      </c>
      <c r="M162" s="32" t="str">
        <f>IFERROR([1]!IntrinioBankFinancials(rssd_id,$R$2,M$6,M$5,$B162),"")</f>
        <v/>
      </c>
      <c r="N162" s="32" t="str">
        <f>IFERROR([1]!IntrinioBankFinancials(rssd_id,$R$2,N$6,N$5,$B162),"")</f>
        <v/>
      </c>
      <c r="O162" s="32" t="str">
        <f>IFERROR([1]!IntrinioBankFinancials(rssd_id,$R$2,O$6,O$5,$B162),"")</f>
        <v/>
      </c>
    </row>
    <row r="163" spans="1:15" s="22" customFormat="1" ht="13.5" customHeight="1" x14ac:dyDescent="0.4">
      <c r="A163" s="34" t="s">
        <v>554</v>
      </c>
      <c r="B163" s="23" t="s">
        <v>693</v>
      </c>
      <c r="C163" s="32" t="str">
        <f>IFERROR([1]!IntrinioBankFinancials(rssd_id,$R$2,C$6,C$5,$B163),"")</f>
        <v/>
      </c>
      <c r="D163" s="32" t="str">
        <f>IFERROR([1]!IntrinioBankFinancials(rssd_id,$R$2,D$6,D$5,$B163),"")</f>
        <v/>
      </c>
      <c r="E163" s="32" t="str">
        <f>IFERROR([1]!IntrinioBankFinancials(rssd_id,$R$2,E$6,E$5,$B163),"")</f>
        <v/>
      </c>
      <c r="F163" s="32" t="str">
        <f>IFERROR([1]!IntrinioBankFinancials(rssd_id,$R$2,F$6,F$5,$B163),"")</f>
        <v/>
      </c>
      <c r="G163" s="32" t="str">
        <f>IFERROR([1]!IntrinioBankFinancials(rssd_id,$R$2,G$6,G$5,$B163),"")</f>
        <v/>
      </c>
      <c r="H163" s="32" t="str">
        <f>IFERROR([1]!IntrinioBankFinancials(rssd_id,$R$2,H$6,H$5,$B163),"")</f>
        <v/>
      </c>
      <c r="I163" s="32" t="str">
        <f>IFERROR([1]!IntrinioBankFinancials(rssd_id,$R$2,I$6,I$5,$B163),"")</f>
        <v/>
      </c>
      <c r="J163" s="32" t="str">
        <f>IFERROR([1]!IntrinioBankFinancials(rssd_id,$R$2,J$6,J$5,$B163),"")</f>
        <v/>
      </c>
      <c r="K163" s="32" t="str">
        <f>IFERROR([1]!IntrinioBankFinancials(rssd_id,$R$2,K$6,K$5,$B163),"")</f>
        <v/>
      </c>
      <c r="L163" s="32" t="str">
        <f>IFERROR([1]!IntrinioBankFinancials(rssd_id,$R$2,L$6,L$5,$B163),"")</f>
        <v/>
      </c>
      <c r="M163" s="32" t="str">
        <f>IFERROR([1]!IntrinioBankFinancials(rssd_id,$R$2,M$6,M$5,$B163),"")</f>
        <v/>
      </c>
      <c r="N163" s="32" t="str">
        <f>IFERROR([1]!IntrinioBankFinancials(rssd_id,$R$2,N$6,N$5,$B163),"")</f>
        <v/>
      </c>
      <c r="O163" s="32" t="str">
        <f>IFERROR([1]!IntrinioBankFinancials(rssd_id,$R$2,O$6,O$5,$B163),"")</f>
        <v/>
      </c>
    </row>
    <row r="164" spans="1:15" s="22" customFormat="1" ht="13.5" customHeight="1" x14ac:dyDescent="0.4">
      <c r="A164" s="34" t="s">
        <v>556</v>
      </c>
      <c r="B164" s="23" t="s">
        <v>694</v>
      </c>
      <c r="C164" s="32" t="str">
        <f>IFERROR([1]!IntrinioBankFinancials(rssd_id,$R$2,C$6,C$5,$B164),"")</f>
        <v/>
      </c>
      <c r="D164" s="32" t="str">
        <f>IFERROR([1]!IntrinioBankFinancials(rssd_id,$R$2,D$6,D$5,$B164),"")</f>
        <v/>
      </c>
      <c r="E164" s="32" t="str">
        <f>IFERROR([1]!IntrinioBankFinancials(rssd_id,$R$2,E$6,E$5,$B164),"")</f>
        <v/>
      </c>
      <c r="F164" s="32" t="str">
        <f>IFERROR([1]!IntrinioBankFinancials(rssd_id,$R$2,F$6,F$5,$B164),"")</f>
        <v/>
      </c>
      <c r="G164" s="32" t="str">
        <f>IFERROR([1]!IntrinioBankFinancials(rssd_id,$R$2,G$6,G$5,$B164),"")</f>
        <v/>
      </c>
      <c r="H164" s="32" t="str">
        <f>IFERROR([1]!IntrinioBankFinancials(rssd_id,$R$2,H$6,H$5,$B164),"")</f>
        <v/>
      </c>
      <c r="I164" s="32" t="str">
        <f>IFERROR([1]!IntrinioBankFinancials(rssd_id,$R$2,I$6,I$5,$B164),"")</f>
        <v/>
      </c>
      <c r="J164" s="32" t="str">
        <f>IFERROR([1]!IntrinioBankFinancials(rssd_id,$R$2,J$6,J$5,$B164),"")</f>
        <v/>
      </c>
      <c r="K164" s="32" t="str">
        <f>IFERROR([1]!IntrinioBankFinancials(rssd_id,$R$2,K$6,K$5,$B164),"")</f>
        <v/>
      </c>
      <c r="L164" s="32" t="str">
        <f>IFERROR([1]!IntrinioBankFinancials(rssd_id,$R$2,L$6,L$5,$B164),"")</f>
        <v/>
      </c>
      <c r="M164" s="32" t="str">
        <f>IFERROR([1]!IntrinioBankFinancials(rssd_id,$R$2,M$6,M$5,$B164),"")</f>
        <v/>
      </c>
      <c r="N164" s="32" t="str">
        <f>IFERROR([1]!IntrinioBankFinancials(rssd_id,$R$2,N$6,N$5,$B164),"")</f>
        <v/>
      </c>
      <c r="O164" s="32" t="str">
        <f>IFERROR([1]!IntrinioBankFinancials(rssd_id,$R$2,O$6,O$5,$B164),"")</f>
        <v/>
      </c>
    </row>
    <row r="165" spans="1:15" s="22" customFormat="1" ht="13.5" customHeight="1" x14ac:dyDescent="0.4">
      <c r="A165" s="34" t="s">
        <v>695</v>
      </c>
      <c r="B165" s="23" t="s">
        <v>696</v>
      </c>
      <c r="C165" s="32" t="str">
        <f>IFERROR([1]!IntrinioBankFinancials(rssd_id,$R$2,C$6,C$5,$B165),"")</f>
        <v/>
      </c>
      <c r="D165" s="32" t="str">
        <f>IFERROR([1]!IntrinioBankFinancials(rssd_id,$R$2,D$6,D$5,$B165),"")</f>
        <v/>
      </c>
      <c r="E165" s="32" t="str">
        <f>IFERROR([1]!IntrinioBankFinancials(rssd_id,$R$2,E$6,E$5,$B165),"")</f>
        <v/>
      </c>
      <c r="F165" s="32" t="str">
        <f>IFERROR([1]!IntrinioBankFinancials(rssd_id,$R$2,F$6,F$5,$B165),"")</f>
        <v/>
      </c>
      <c r="G165" s="32" t="str">
        <f>IFERROR([1]!IntrinioBankFinancials(rssd_id,$R$2,G$6,G$5,$B165),"")</f>
        <v/>
      </c>
      <c r="H165" s="32" t="str">
        <f>IFERROR([1]!IntrinioBankFinancials(rssd_id,$R$2,H$6,H$5,$B165),"")</f>
        <v/>
      </c>
      <c r="I165" s="32" t="str">
        <f>IFERROR([1]!IntrinioBankFinancials(rssd_id,$R$2,I$6,I$5,$B165),"")</f>
        <v/>
      </c>
      <c r="J165" s="32" t="str">
        <f>IFERROR([1]!IntrinioBankFinancials(rssd_id,$R$2,J$6,J$5,$B165),"")</f>
        <v/>
      </c>
      <c r="K165" s="32" t="str">
        <f>IFERROR([1]!IntrinioBankFinancials(rssd_id,$R$2,K$6,K$5,$B165),"")</f>
        <v/>
      </c>
      <c r="L165" s="32" t="str">
        <f>IFERROR([1]!IntrinioBankFinancials(rssd_id,$R$2,L$6,L$5,$B165),"")</f>
        <v/>
      </c>
      <c r="M165" s="32" t="str">
        <f>IFERROR([1]!IntrinioBankFinancials(rssd_id,$R$2,M$6,M$5,$B165),"")</f>
        <v/>
      </c>
      <c r="N165" s="32" t="str">
        <f>IFERROR([1]!IntrinioBankFinancials(rssd_id,$R$2,N$6,N$5,$B165),"")</f>
        <v/>
      </c>
      <c r="O165" s="32" t="str">
        <f>IFERROR([1]!IntrinioBankFinancials(rssd_id,$R$2,O$6,O$5,$B165),"")</f>
        <v/>
      </c>
    </row>
    <row r="166" spans="1:15" s="22" customFormat="1" ht="13.5" customHeight="1" x14ac:dyDescent="0.4">
      <c r="A166" s="34" t="s">
        <v>552</v>
      </c>
      <c r="B166" s="23" t="s">
        <v>697</v>
      </c>
      <c r="C166" s="32" t="str">
        <f>IFERROR([1]!IntrinioBankFinancials(rssd_id,$R$2,C$6,C$5,$B166),"")</f>
        <v/>
      </c>
      <c r="D166" s="32" t="str">
        <f>IFERROR([1]!IntrinioBankFinancials(rssd_id,$R$2,D$6,D$5,$B166),"")</f>
        <v/>
      </c>
      <c r="E166" s="32" t="str">
        <f>IFERROR([1]!IntrinioBankFinancials(rssd_id,$R$2,E$6,E$5,$B166),"")</f>
        <v/>
      </c>
      <c r="F166" s="32" t="str">
        <f>IFERROR([1]!IntrinioBankFinancials(rssd_id,$R$2,F$6,F$5,$B166),"")</f>
        <v/>
      </c>
      <c r="G166" s="32" t="str">
        <f>IFERROR([1]!IntrinioBankFinancials(rssd_id,$R$2,G$6,G$5,$B166),"")</f>
        <v/>
      </c>
      <c r="H166" s="32" t="str">
        <f>IFERROR([1]!IntrinioBankFinancials(rssd_id,$R$2,H$6,H$5,$B166),"")</f>
        <v/>
      </c>
      <c r="I166" s="32" t="str">
        <f>IFERROR([1]!IntrinioBankFinancials(rssd_id,$R$2,I$6,I$5,$B166),"")</f>
        <v/>
      </c>
      <c r="J166" s="32" t="str">
        <f>IFERROR([1]!IntrinioBankFinancials(rssd_id,$R$2,J$6,J$5,$B166),"")</f>
        <v/>
      </c>
      <c r="K166" s="32" t="str">
        <f>IFERROR([1]!IntrinioBankFinancials(rssd_id,$R$2,K$6,K$5,$B166),"")</f>
        <v/>
      </c>
      <c r="L166" s="32" t="str">
        <f>IFERROR([1]!IntrinioBankFinancials(rssd_id,$R$2,L$6,L$5,$B166),"")</f>
        <v/>
      </c>
      <c r="M166" s="32" t="str">
        <f>IFERROR([1]!IntrinioBankFinancials(rssd_id,$R$2,M$6,M$5,$B166),"")</f>
        <v/>
      </c>
      <c r="N166" s="32" t="str">
        <f>IFERROR([1]!IntrinioBankFinancials(rssd_id,$R$2,N$6,N$5,$B166),"")</f>
        <v/>
      </c>
      <c r="O166" s="32" t="str">
        <f>IFERROR([1]!IntrinioBankFinancials(rssd_id,$R$2,O$6,O$5,$B166),"")</f>
        <v/>
      </c>
    </row>
    <row r="167" spans="1:15" s="22" customFormat="1" ht="13.5" customHeight="1" x14ac:dyDescent="0.4">
      <c r="A167" s="34" t="s">
        <v>554</v>
      </c>
      <c r="B167" s="23" t="s">
        <v>698</v>
      </c>
      <c r="C167" s="32" t="str">
        <f>IFERROR([1]!IntrinioBankFinancials(rssd_id,$R$2,C$6,C$5,$B167),"")</f>
        <v/>
      </c>
      <c r="D167" s="32" t="str">
        <f>IFERROR([1]!IntrinioBankFinancials(rssd_id,$R$2,D$6,D$5,$B167),"")</f>
        <v/>
      </c>
      <c r="E167" s="32" t="str">
        <f>IFERROR([1]!IntrinioBankFinancials(rssd_id,$R$2,E$6,E$5,$B167),"")</f>
        <v/>
      </c>
      <c r="F167" s="32" t="str">
        <f>IFERROR([1]!IntrinioBankFinancials(rssd_id,$R$2,F$6,F$5,$B167),"")</f>
        <v/>
      </c>
      <c r="G167" s="32" t="str">
        <f>IFERROR([1]!IntrinioBankFinancials(rssd_id,$R$2,G$6,G$5,$B167),"")</f>
        <v/>
      </c>
      <c r="H167" s="32" t="str">
        <f>IFERROR([1]!IntrinioBankFinancials(rssd_id,$R$2,H$6,H$5,$B167),"")</f>
        <v/>
      </c>
      <c r="I167" s="32" t="str">
        <f>IFERROR([1]!IntrinioBankFinancials(rssd_id,$R$2,I$6,I$5,$B167),"")</f>
        <v/>
      </c>
      <c r="J167" s="32" t="str">
        <f>IFERROR([1]!IntrinioBankFinancials(rssd_id,$R$2,J$6,J$5,$B167),"")</f>
        <v/>
      </c>
      <c r="K167" s="32" t="str">
        <f>IFERROR([1]!IntrinioBankFinancials(rssd_id,$R$2,K$6,K$5,$B167),"")</f>
        <v/>
      </c>
      <c r="L167" s="32" t="str">
        <f>IFERROR([1]!IntrinioBankFinancials(rssd_id,$R$2,L$6,L$5,$B167),"")</f>
        <v/>
      </c>
      <c r="M167" s="32" t="str">
        <f>IFERROR([1]!IntrinioBankFinancials(rssd_id,$R$2,M$6,M$5,$B167),"")</f>
        <v/>
      </c>
      <c r="N167" s="32" t="str">
        <f>IFERROR([1]!IntrinioBankFinancials(rssd_id,$R$2,N$6,N$5,$B167),"")</f>
        <v/>
      </c>
      <c r="O167" s="32" t="str">
        <f>IFERROR([1]!IntrinioBankFinancials(rssd_id,$R$2,O$6,O$5,$B167),"")</f>
        <v/>
      </c>
    </row>
    <row r="168" spans="1:15" s="22" customFormat="1" ht="13.5" customHeight="1" x14ac:dyDescent="0.4">
      <c r="A168" s="34" t="s">
        <v>556</v>
      </c>
      <c r="B168" s="23" t="s">
        <v>699</v>
      </c>
      <c r="C168" s="32" t="str">
        <f>IFERROR([1]!IntrinioBankFinancials(rssd_id,$R$2,C$6,C$5,$B168),"")</f>
        <v/>
      </c>
      <c r="D168" s="32" t="str">
        <f>IFERROR([1]!IntrinioBankFinancials(rssd_id,$R$2,D$6,D$5,$B168),"")</f>
        <v/>
      </c>
      <c r="E168" s="32" t="str">
        <f>IFERROR([1]!IntrinioBankFinancials(rssd_id,$R$2,E$6,E$5,$B168),"")</f>
        <v/>
      </c>
      <c r="F168" s="32" t="str">
        <f>IFERROR([1]!IntrinioBankFinancials(rssd_id,$R$2,F$6,F$5,$B168),"")</f>
        <v/>
      </c>
      <c r="G168" s="32" t="str">
        <f>IFERROR([1]!IntrinioBankFinancials(rssd_id,$R$2,G$6,G$5,$B168),"")</f>
        <v/>
      </c>
      <c r="H168" s="32" t="str">
        <f>IFERROR([1]!IntrinioBankFinancials(rssd_id,$R$2,H$6,H$5,$B168),"")</f>
        <v/>
      </c>
      <c r="I168" s="32" t="str">
        <f>IFERROR([1]!IntrinioBankFinancials(rssd_id,$R$2,I$6,I$5,$B168),"")</f>
        <v/>
      </c>
      <c r="J168" s="32" t="str">
        <f>IFERROR([1]!IntrinioBankFinancials(rssd_id,$R$2,J$6,J$5,$B168),"")</f>
        <v/>
      </c>
      <c r="K168" s="32" t="str">
        <f>IFERROR([1]!IntrinioBankFinancials(rssd_id,$R$2,K$6,K$5,$B168),"")</f>
        <v/>
      </c>
      <c r="L168" s="32" t="str">
        <f>IFERROR([1]!IntrinioBankFinancials(rssd_id,$R$2,L$6,L$5,$B168),"")</f>
        <v/>
      </c>
      <c r="M168" s="32" t="str">
        <f>IFERROR([1]!IntrinioBankFinancials(rssd_id,$R$2,M$6,M$5,$B168),"")</f>
        <v/>
      </c>
      <c r="N168" s="32" t="str">
        <f>IFERROR([1]!IntrinioBankFinancials(rssd_id,$R$2,N$6,N$5,$B168),"")</f>
        <v/>
      </c>
      <c r="O168" s="32" t="str">
        <f>IFERROR([1]!IntrinioBankFinancials(rssd_id,$R$2,O$6,O$5,$B168),"")</f>
        <v/>
      </c>
    </row>
    <row r="169" spans="1:15" s="22" customFormat="1" ht="13.5" customHeight="1" x14ac:dyDescent="0.4">
      <c r="A169" s="34" t="s">
        <v>49</v>
      </c>
      <c r="B169" s="23" t="s">
        <v>700</v>
      </c>
      <c r="C169" s="32" t="str">
        <f>IFERROR([1]!IntrinioBankFinancials(rssd_id,$R$2,C$6,C$5,$B169),"")</f>
        <v/>
      </c>
      <c r="D169" s="32" t="str">
        <f>IFERROR([1]!IntrinioBankFinancials(rssd_id,$R$2,D$6,D$5,$B169),"")</f>
        <v/>
      </c>
      <c r="E169" s="32" t="str">
        <f>IFERROR([1]!IntrinioBankFinancials(rssd_id,$R$2,E$6,E$5,$B169),"")</f>
        <v/>
      </c>
      <c r="F169" s="32" t="str">
        <f>IFERROR([1]!IntrinioBankFinancials(rssd_id,$R$2,F$6,F$5,$B169),"")</f>
        <v/>
      </c>
      <c r="G169" s="32" t="str">
        <f>IFERROR([1]!IntrinioBankFinancials(rssd_id,$R$2,G$6,G$5,$B169),"")</f>
        <v/>
      </c>
      <c r="H169" s="32" t="str">
        <f>IFERROR([1]!IntrinioBankFinancials(rssd_id,$R$2,H$6,H$5,$B169),"")</f>
        <v/>
      </c>
      <c r="I169" s="32" t="str">
        <f>IFERROR([1]!IntrinioBankFinancials(rssd_id,$R$2,I$6,I$5,$B169),"")</f>
        <v/>
      </c>
      <c r="J169" s="32" t="str">
        <f>IFERROR([1]!IntrinioBankFinancials(rssd_id,$R$2,J$6,J$5,$B169),"")</f>
        <v/>
      </c>
      <c r="K169" s="32" t="str">
        <f>IFERROR([1]!IntrinioBankFinancials(rssd_id,$R$2,K$6,K$5,$B169),"")</f>
        <v/>
      </c>
      <c r="L169" s="32" t="str">
        <f>IFERROR([1]!IntrinioBankFinancials(rssd_id,$R$2,L$6,L$5,$B169),"")</f>
        <v/>
      </c>
      <c r="M169" s="32" t="str">
        <f>IFERROR([1]!IntrinioBankFinancials(rssd_id,$R$2,M$6,M$5,$B169),"")</f>
        <v/>
      </c>
      <c r="N169" s="32" t="str">
        <f>IFERROR([1]!IntrinioBankFinancials(rssd_id,$R$2,N$6,N$5,$B169),"")</f>
        <v/>
      </c>
      <c r="O169" s="32" t="str">
        <f>IFERROR([1]!IntrinioBankFinancials(rssd_id,$R$2,O$6,O$5,$B169),"")</f>
        <v/>
      </c>
    </row>
    <row r="170" spans="1:15" s="22" customFormat="1" ht="13.5" customHeight="1" x14ac:dyDescent="0.4">
      <c r="A170" s="34" t="s">
        <v>552</v>
      </c>
      <c r="B170" s="23" t="s">
        <v>701</v>
      </c>
      <c r="C170" s="32" t="str">
        <f>IFERROR([1]!IntrinioBankFinancials(rssd_id,$R$2,C$6,C$5,$B170),"")</f>
        <v/>
      </c>
      <c r="D170" s="32" t="str">
        <f>IFERROR([1]!IntrinioBankFinancials(rssd_id,$R$2,D$6,D$5,$B170),"")</f>
        <v/>
      </c>
      <c r="E170" s="32" t="str">
        <f>IFERROR([1]!IntrinioBankFinancials(rssd_id,$R$2,E$6,E$5,$B170),"")</f>
        <v/>
      </c>
      <c r="F170" s="32" t="str">
        <f>IFERROR([1]!IntrinioBankFinancials(rssd_id,$R$2,F$6,F$5,$B170),"")</f>
        <v/>
      </c>
      <c r="G170" s="32" t="str">
        <f>IFERROR([1]!IntrinioBankFinancials(rssd_id,$R$2,G$6,G$5,$B170),"")</f>
        <v/>
      </c>
      <c r="H170" s="32" t="str">
        <f>IFERROR([1]!IntrinioBankFinancials(rssd_id,$R$2,H$6,H$5,$B170),"")</f>
        <v/>
      </c>
      <c r="I170" s="32" t="str">
        <f>IFERROR([1]!IntrinioBankFinancials(rssd_id,$R$2,I$6,I$5,$B170),"")</f>
        <v/>
      </c>
      <c r="J170" s="32" t="str">
        <f>IFERROR([1]!IntrinioBankFinancials(rssd_id,$R$2,J$6,J$5,$B170),"")</f>
        <v/>
      </c>
      <c r="K170" s="32" t="str">
        <f>IFERROR([1]!IntrinioBankFinancials(rssd_id,$R$2,K$6,K$5,$B170),"")</f>
        <v/>
      </c>
      <c r="L170" s="32" t="str">
        <f>IFERROR([1]!IntrinioBankFinancials(rssd_id,$R$2,L$6,L$5,$B170),"")</f>
        <v/>
      </c>
      <c r="M170" s="32" t="str">
        <f>IFERROR([1]!IntrinioBankFinancials(rssd_id,$R$2,M$6,M$5,$B170),"")</f>
        <v/>
      </c>
      <c r="N170" s="32" t="str">
        <f>IFERROR([1]!IntrinioBankFinancials(rssd_id,$R$2,N$6,N$5,$B170),"")</f>
        <v/>
      </c>
      <c r="O170" s="32" t="str">
        <f>IFERROR([1]!IntrinioBankFinancials(rssd_id,$R$2,O$6,O$5,$B170),"")</f>
        <v/>
      </c>
    </row>
    <row r="171" spans="1:15" s="22" customFormat="1" ht="13.5" customHeight="1" x14ac:dyDescent="0.4">
      <c r="A171" s="34" t="s">
        <v>554</v>
      </c>
      <c r="B171" s="23" t="s">
        <v>702</v>
      </c>
      <c r="C171" s="32" t="str">
        <f>IFERROR([1]!IntrinioBankFinancials(rssd_id,$R$2,C$6,C$5,$B171),"")</f>
        <v/>
      </c>
      <c r="D171" s="32" t="str">
        <f>IFERROR([1]!IntrinioBankFinancials(rssd_id,$R$2,D$6,D$5,$B171),"")</f>
        <v/>
      </c>
      <c r="E171" s="32" t="str">
        <f>IFERROR([1]!IntrinioBankFinancials(rssd_id,$R$2,E$6,E$5,$B171),"")</f>
        <v/>
      </c>
      <c r="F171" s="32" t="str">
        <f>IFERROR([1]!IntrinioBankFinancials(rssd_id,$R$2,F$6,F$5,$B171),"")</f>
        <v/>
      </c>
      <c r="G171" s="32" t="str">
        <f>IFERROR([1]!IntrinioBankFinancials(rssd_id,$R$2,G$6,G$5,$B171),"")</f>
        <v/>
      </c>
      <c r="H171" s="32" t="str">
        <f>IFERROR([1]!IntrinioBankFinancials(rssd_id,$R$2,H$6,H$5,$B171),"")</f>
        <v/>
      </c>
      <c r="I171" s="32" t="str">
        <f>IFERROR([1]!IntrinioBankFinancials(rssd_id,$R$2,I$6,I$5,$B171),"")</f>
        <v/>
      </c>
      <c r="J171" s="32" t="str">
        <f>IFERROR([1]!IntrinioBankFinancials(rssd_id,$R$2,J$6,J$5,$B171),"")</f>
        <v/>
      </c>
      <c r="K171" s="32" t="str">
        <f>IFERROR([1]!IntrinioBankFinancials(rssd_id,$R$2,K$6,K$5,$B171),"")</f>
        <v/>
      </c>
      <c r="L171" s="32" t="str">
        <f>IFERROR([1]!IntrinioBankFinancials(rssd_id,$R$2,L$6,L$5,$B171),"")</f>
        <v/>
      </c>
      <c r="M171" s="32" t="str">
        <f>IFERROR([1]!IntrinioBankFinancials(rssd_id,$R$2,M$6,M$5,$B171),"")</f>
        <v/>
      </c>
      <c r="N171" s="32" t="str">
        <f>IFERROR([1]!IntrinioBankFinancials(rssd_id,$R$2,N$6,N$5,$B171),"")</f>
        <v/>
      </c>
      <c r="O171" s="32" t="str">
        <f>IFERROR([1]!IntrinioBankFinancials(rssd_id,$R$2,O$6,O$5,$B171),"")</f>
        <v/>
      </c>
    </row>
    <row r="172" spans="1:15" s="22" customFormat="1" ht="13.5" customHeight="1" x14ac:dyDescent="0.4">
      <c r="A172" s="34" t="s">
        <v>556</v>
      </c>
      <c r="B172" s="23" t="s">
        <v>703</v>
      </c>
      <c r="C172" s="32" t="str">
        <f>IFERROR([1]!IntrinioBankFinancials(rssd_id,$R$2,C$6,C$5,$B172),"")</f>
        <v/>
      </c>
      <c r="D172" s="32" t="str">
        <f>IFERROR([1]!IntrinioBankFinancials(rssd_id,$R$2,D$6,D$5,$B172),"")</f>
        <v/>
      </c>
      <c r="E172" s="32" t="str">
        <f>IFERROR([1]!IntrinioBankFinancials(rssd_id,$R$2,E$6,E$5,$B172),"")</f>
        <v/>
      </c>
      <c r="F172" s="32" t="str">
        <f>IFERROR([1]!IntrinioBankFinancials(rssd_id,$R$2,F$6,F$5,$B172),"")</f>
        <v/>
      </c>
      <c r="G172" s="32" t="str">
        <f>IFERROR([1]!IntrinioBankFinancials(rssd_id,$R$2,G$6,G$5,$B172),"")</f>
        <v/>
      </c>
      <c r="H172" s="32" t="str">
        <f>IFERROR([1]!IntrinioBankFinancials(rssd_id,$R$2,H$6,H$5,$B172),"")</f>
        <v/>
      </c>
      <c r="I172" s="32" t="str">
        <f>IFERROR([1]!IntrinioBankFinancials(rssd_id,$R$2,I$6,I$5,$B172),"")</f>
        <v/>
      </c>
      <c r="J172" s="32" t="str">
        <f>IFERROR([1]!IntrinioBankFinancials(rssd_id,$R$2,J$6,J$5,$B172),"")</f>
        <v/>
      </c>
      <c r="K172" s="32" t="str">
        <f>IFERROR([1]!IntrinioBankFinancials(rssd_id,$R$2,K$6,K$5,$B172),"")</f>
        <v/>
      </c>
      <c r="L172" s="32" t="str">
        <f>IFERROR([1]!IntrinioBankFinancials(rssd_id,$R$2,L$6,L$5,$B172),"")</f>
        <v/>
      </c>
      <c r="M172" s="32" t="str">
        <f>IFERROR([1]!IntrinioBankFinancials(rssd_id,$R$2,M$6,M$5,$B172),"")</f>
        <v/>
      </c>
      <c r="N172" s="32" t="str">
        <f>IFERROR([1]!IntrinioBankFinancials(rssd_id,$R$2,N$6,N$5,$B172),"")</f>
        <v/>
      </c>
      <c r="O172" s="32" t="str">
        <f>IFERROR([1]!IntrinioBankFinancials(rssd_id,$R$2,O$6,O$5,$B172),"")</f>
        <v/>
      </c>
    </row>
    <row r="173" spans="1:15" s="22" customFormat="1" ht="13.5" customHeight="1" x14ac:dyDescent="0.4">
      <c r="A173" s="33"/>
      <c r="B173" s="20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</row>
    <row r="174" spans="1:15" s="22" customFormat="1" ht="13.5" customHeight="1" x14ac:dyDescent="0.4">
      <c r="A174" s="33" t="s">
        <v>731</v>
      </c>
      <c r="B174" s="20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 s="22" customFormat="1" ht="13.5" customHeight="1" x14ac:dyDescent="0.4">
      <c r="A175" s="34" t="s">
        <v>704</v>
      </c>
      <c r="B175" s="23" t="s">
        <v>705</v>
      </c>
      <c r="C175" s="32" t="str">
        <f>IFERROR([1]!IntrinioBankFinancials(rssd_id,$R$2,C$6,C$5,$B175),"")</f>
        <v/>
      </c>
      <c r="D175" s="32" t="str">
        <f>IFERROR([1]!IntrinioBankFinancials(rssd_id,$R$2,D$6,D$5,$B175),"")</f>
        <v/>
      </c>
      <c r="E175" s="32" t="str">
        <f>IFERROR([1]!IntrinioBankFinancials(rssd_id,$R$2,E$6,E$5,$B175),"")</f>
        <v/>
      </c>
      <c r="F175" s="32" t="str">
        <f>IFERROR([1]!IntrinioBankFinancials(rssd_id,$R$2,F$6,F$5,$B175),"")</f>
        <v/>
      </c>
      <c r="G175" s="32" t="str">
        <f>IFERROR([1]!IntrinioBankFinancials(rssd_id,$R$2,G$6,G$5,$B175),"")</f>
        <v/>
      </c>
      <c r="H175" s="32" t="str">
        <f>IFERROR([1]!IntrinioBankFinancials(rssd_id,$R$2,H$6,H$5,$B175),"")</f>
        <v/>
      </c>
      <c r="I175" s="32" t="str">
        <f>IFERROR([1]!IntrinioBankFinancials(rssd_id,$R$2,I$6,I$5,$B175),"")</f>
        <v/>
      </c>
      <c r="J175" s="32" t="str">
        <f>IFERROR([1]!IntrinioBankFinancials(rssd_id,$R$2,J$6,J$5,$B175),"")</f>
        <v/>
      </c>
      <c r="K175" s="32" t="str">
        <f>IFERROR([1]!IntrinioBankFinancials(rssd_id,$R$2,K$6,K$5,$B175),"")</f>
        <v/>
      </c>
      <c r="L175" s="32" t="str">
        <f>IFERROR([1]!IntrinioBankFinancials(rssd_id,$R$2,L$6,L$5,$B175),"")</f>
        <v/>
      </c>
      <c r="M175" s="32" t="str">
        <f>IFERROR([1]!IntrinioBankFinancials(rssd_id,$R$2,M$6,M$5,$B175),"")</f>
        <v/>
      </c>
      <c r="N175" s="32" t="str">
        <f>IFERROR([1]!IntrinioBankFinancials(rssd_id,$R$2,N$6,N$5,$B175),"")</f>
        <v/>
      </c>
      <c r="O175" s="32" t="str">
        <f>IFERROR([1]!IntrinioBankFinancials(rssd_id,$R$2,O$6,O$5,$B175),"")</f>
        <v/>
      </c>
    </row>
    <row r="176" spans="1:15" s="22" customFormat="1" ht="13.5" customHeight="1" x14ac:dyDescent="0.4">
      <c r="A176" s="34" t="s">
        <v>706</v>
      </c>
      <c r="B176" s="23" t="s">
        <v>707</v>
      </c>
      <c r="C176" s="32" t="str">
        <f>IFERROR([1]!IntrinioBankFinancials(rssd_id,$R$2,C$6,C$5,$B176),"")</f>
        <v/>
      </c>
      <c r="D176" s="32" t="str">
        <f>IFERROR([1]!IntrinioBankFinancials(rssd_id,$R$2,D$6,D$5,$B176),"")</f>
        <v/>
      </c>
      <c r="E176" s="32" t="str">
        <f>IFERROR([1]!IntrinioBankFinancials(rssd_id,$R$2,E$6,E$5,$B176),"")</f>
        <v/>
      </c>
      <c r="F176" s="32" t="str">
        <f>IFERROR([1]!IntrinioBankFinancials(rssd_id,$R$2,F$6,F$5,$B176),"")</f>
        <v/>
      </c>
      <c r="G176" s="32" t="str">
        <f>IFERROR([1]!IntrinioBankFinancials(rssd_id,$R$2,G$6,G$5,$B176),"")</f>
        <v/>
      </c>
      <c r="H176" s="32" t="str">
        <f>IFERROR([1]!IntrinioBankFinancials(rssd_id,$R$2,H$6,H$5,$B176),"")</f>
        <v/>
      </c>
      <c r="I176" s="32" t="str">
        <f>IFERROR([1]!IntrinioBankFinancials(rssd_id,$R$2,I$6,I$5,$B176),"")</f>
        <v/>
      </c>
      <c r="J176" s="32" t="str">
        <f>IFERROR([1]!IntrinioBankFinancials(rssd_id,$R$2,J$6,J$5,$B176),"")</f>
        <v/>
      </c>
      <c r="K176" s="32" t="str">
        <f>IFERROR([1]!IntrinioBankFinancials(rssd_id,$R$2,K$6,K$5,$B176),"")</f>
        <v/>
      </c>
      <c r="L176" s="32" t="str">
        <f>IFERROR([1]!IntrinioBankFinancials(rssd_id,$R$2,L$6,L$5,$B176),"")</f>
        <v/>
      </c>
      <c r="M176" s="32" t="str">
        <f>IFERROR([1]!IntrinioBankFinancials(rssd_id,$R$2,M$6,M$5,$B176),"")</f>
        <v/>
      </c>
      <c r="N176" s="32" t="str">
        <f>IFERROR([1]!IntrinioBankFinancials(rssd_id,$R$2,N$6,N$5,$B176),"")</f>
        <v/>
      </c>
      <c r="O176" s="32" t="str">
        <f>IFERROR([1]!IntrinioBankFinancials(rssd_id,$R$2,O$6,O$5,$B176),"")</f>
        <v/>
      </c>
    </row>
    <row r="177" spans="1:15" s="22" customFormat="1" ht="13.5" customHeight="1" x14ac:dyDescent="0.4">
      <c r="A177" s="34" t="s">
        <v>708</v>
      </c>
      <c r="B177" s="23" t="s">
        <v>709</v>
      </c>
      <c r="C177" s="32" t="str">
        <f>IFERROR([1]!IntrinioBankFinancials(rssd_id,$R$2,C$6,C$5,$B177),"")</f>
        <v/>
      </c>
      <c r="D177" s="32" t="str">
        <f>IFERROR([1]!IntrinioBankFinancials(rssd_id,$R$2,D$6,D$5,$B177),"")</f>
        <v/>
      </c>
      <c r="E177" s="32" t="str">
        <f>IFERROR([1]!IntrinioBankFinancials(rssd_id,$R$2,E$6,E$5,$B177),"")</f>
        <v/>
      </c>
      <c r="F177" s="32" t="str">
        <f>IFERROR([1]!IntrinioBankFinancials(rssd_id,$R$2,F$6,F$5,$B177),"")</f>
        <v/>
      </c>
      <c r="G177" s="32" t="str">
        <f>IFERROR([1]!IntrinioBankFinancials(rssd_id,$R$2,G$6,G$5,$B177),"")</f>
        <v/>
      </c>
      <c r="H177" s="32" t="str">
        <f>IFERROR([1]!IntrinioBankFinancials(rssd_id,$R$2,H$6,H$5,$B177),"")</f>
        <v/>
      </c>
      <c r="I177" s="32" t="str">
        <f>IFERROR([1]!IntrinioBankFinancials(rssd_id,$R$2,I$6,I$5,$B177),"")</f>
        <v/>
      </c>
      <c r="J177" s="32" t="str">
        <f>IFERROR([1]!IntrinioBankFinancials(rssd_id,$R$2,J$6,J$5,$B177),"")</f>
        <v/>
      </c>
      <c r="K177" s="32" t="str">
        <f>IFERROR([1]!IntrinioBankFinancials(rssd_id,$R$2,K$6,K$5,$B177),"")</f>
        <v/>
      </c>
      <c r="L177" s="32" t="str">
        <f>IFERROR([1]!IntrinioBankFinancials(rssd_id,$R$2,L$6,L$5,$B177),"")</f>
        <v/>
      </c>
      <c r="M177" s="32" t="str">
        <f>IFERROR([1]!IntrinioBankFinancials(rssd_id,$R$2,M$6,M$5,$B177),"")</f>
        <v/>
      </c>
      <c r="N177" s="32" t="str">
        <f>IFERROR([1]!IntrinioBankFinancials(rssd_id,$R$2,N$6,N$5,$B177),"")</f>
        <v/>
      </c>
      <c r="O177" s="32" t="str">
        <f>IFERROR([1]!IntrinioBankFinancials(rssd_id,$R$2,O$6,O$5,$B177),"")</f>
        <v/>
      </c>
    </row>
    <row r="178" spans="1:15" s="22" customFormat="1" ht="13.5" customHeight="1" x14ac:dyDescent="0.4">
      <c r="A178" s="34" t="s">
        <v>710</v>
      </c>
      <c r="B178" s="23" t="s">
        <v>711</v>
      </c>
      <c r="C178" s="32" t="str">
        <f>IFERROR([1]!IntrinioBankFinancials(rssd_id,$R$2,C$6,C$5,$B178),"")</f>
        <v/>
      </c>
      <c r="D178" s="32" t="str">
        <f>IFERROR([1]!IntrinioBankFinancials(rssd_id,$R$2,D$6,D$5,$B178),"")</f>
        <v/>
      </c>
      <c r="E178" s="32" t="str">
        <f>IFERROR([1]!IntrinioBankFinancials(rssd_id,$R$2,E$6,E$5,$B178),"")</f>
        <v/>
      </c>
      <c r="F178" s="32" t="str">
        <f>IFERROR([1]!IntrinioBankFinancials(rssd_id,$R$2,F$6,F$5,$B178),"")</f>
        <v/>
      </c>
      <c r="G178" s="32" t="str">
        <f>IFERROR([1]!IntrinioBankFinancials(rssd_id,$R$2,G$6,G$5,$B178),"")</f>
        <v/>
      </c>
      <c r="H178" s="32" t="str">
        <f>IFERROR([1]!IntrinioBankFinancials(rssd_id,$R$2,H$6,H$5,$B178),"")</f>
        <v/>
      </c>
      <c r="I178" s="32" t="str">
        <f>IFERROR([1]!IntrinioBankFinancials(rssd_id,$R$2,I$6,I$5,$B178),"")</f>
        <v/>
      </c>
      <c r="J178" s="32" t="str">
        <f>IFERROR([1]!IntrinioBankFinancials(rssd_id,$R$2,J$6,J$5,$B178),"")</f>
        <v/>
      </c>
      <c r="K178" s="32" t="str">
        <f>IFERROR([1]!IntrinioBankFinancials(rssd_id,$R$2,K$6,K$5,$B178),"")</f>
        <v/>
      </c>
      <c r="L178" s="32" t="str">
        <f>IFERROR([1]!IntrinioBankFinancials(rssd_id,$R$2,L$6,L$5,$B178),"")</f>
        <v/>
      </c>
      <c r="M178" s="32" t="str">
        <f>IFERROR([1]!IntrinioBankFinancials(rssd_id,$R$2,M$6,M$5,$B178),"")</f>
        <v/>
      </c>
      <c r="N178" s="32" t="str">
        <f>IFERROR([1]!IntrinioBankFinancials(rssd_id,$R$2,N$6,N$5,$B178),"")</f>
        <v/>
      </c>
      <c r="O178" s="32" t="str">
        <f>IFERROR([1]!IntrinioBankFinancials(rssd_id,$R$2,O$6,O$5,$B178),"")</f>
        <v/>
      </c>
    </row>
    <row r="179" spans="1:15" s="22" customFormat="1" ht="13.5" customHeight="1" x14ac:dyDescent="0.4">
      <c r="A179" s="34" t="s">
        <v>712</v>
      </c>
      <c r="B179" s="23" t="s">
        <v>713</v>
      </c>
      <c r="C179" s="32" t="str">
        <f>IFERROR([1]!IntrinioBankFinancials(rssd_id,$R$2,C$6,C$5,$B179),"")</f>
        <v/>
      </c>
      <c r="D179" s="32" t="str">
        <f>IFERROR([1]!IntrinioBankFinancials(rssd_id,$R$2,D$6,D$5,$B179),"")</f>
        <v/>
      </c>
      <c r="E179" s="32" t="str">
        <f>IFERROR([1]!IntrinioBankFinancials(rssd_id,$R$2,E$6,E$5,$B179),"")</f>
        <v/>
      </c>
      <c r="F179" s="32" t="str">
        <f>IFERROR([1]!IntrinioBankFinancials(rssd_id,$R$2,F$6,F$5,$B179),"")</f>
        <v/>
      </c>
      <c r="G179" s="32" t="str">
        <f>IFERROR([1]!IntrinioBankFinancials(rssd_id,$R$2,G$6,G$5,$B179),"")</f>
        <v/>
      </c>
      <c r="H179" s="32" t="str">
        <f>IFERROR([1]!IntrinioBankFinancials(rssd_id,$R$2,H$6,H$5,$B179),"")</f>
        <v/>
      </c>
      <c r="I179" s="32" t="str">
        <f>IFERROR([1]!IntrinioBankFinancials(rssd_id,$R$2,I$6,I$5,$B179),"")</f>
        <v/>
      </c>
      <c r="J179" s="32" t="str">
        <f>IFERROR([1]!IntrinioBankFinancials(rssd_id,$R$2,J$6,J$5,$B179),"")</f>
        <v/>
      </c>
      <c r="K179" s="32" t="str">
        <f>IFERROR([1]!IntrinioBankFinancials(rssd_id,$R$2,K$6,K$5,$B179),"")</f>
        <v/>
      </c>
      <c r="L179" s="32" t="str">
        <f>IFERROR([1]!IntrinioBankFinancials(rssd_id,$R$2,L$6,L$5,$B179),"")</f>
        <v/>
      </c>
      <c r="M179" s="32" t="str">
        <f>IFERROR([1]!IntrinioBankFinancials(rssd_id,$R$2,M$6,M$5,$B179),"")</f>
        <v/>
      </c>
      <c r="N179" s="32" t="str">
        <f>IFERROR([1]!IntrinioBankFinancials(rssd_id,$R$2,N$6,N$5,$B179),"")</f>
        <v/>
      </c>
      <c r="O179" s="32" t="str">
        <f>IFERROR([1]!IntrinioBankFinancials(rssd_id,$R$2,O$6,O$5,$B179),"")</f>
        <v/>
      </c>
    </row>
    <row r="180" spans="1:15" s="22" customFormat="1" ht="13.5" customHeight="1" x14ac:dyDescent="0.4">
      <c r="A180" s="34" t="s">
        <v>714</v>
      </c>
      <c r="B180" s="23" t="s">
        <v>715</v>
      </c>
      <c r="C180" s="32" t="str">
        <f>IFERROR([1]!IntrinioBankFinancials(rssd_id,$R$2,C$6,C$5,$B180),"")</f>
        <v/>
      </c>
      <c r="D180" s="32" t="str">
        <f>IFERROR([1]!IntrinioBankFinancials(rssd_id,$R$2,D$6,D$5,$B180),"")</f>
        <v/>
      </c>
      <c r="E180" s="32" t="str">
        <f>IFERROR([1]!IntrinioBankFinancials(rssd_id,$R$2,E$6,E$5,$B180),"")</f>
        <v/>
      </c>
      <c r="F180" s="32" t="str">
        <f>IFERROR([1]!IntrinioBankFinancials(rssd_id,$R$2,F$6,F$5,$B180),"")</f>
        <v/>
      </c>
      <c r="G180" s="32" t="str">
        <f>IFERROR([1]!IntrinioBankFinancials(rssd_id,$R$2,G$6,G$5,$B180),"")</f>
        <v/>
      </c>
      <c r="H180" s="32" t="str">
        <f>IFERROR([1]!IntrinioBankFinancials(rssd_id,$R$2,H$6,H$5,$B180),"")</f>
        <v/>
      </c>
      <c r="I180" s="32" t="str">
        <f>IFERROR([1]!IntrinioBankFinancials(rssd_id,$R$2,I$6,I$5,$B180),"")</f>
        <v/>
      </c>
      <c r="J180" s="32" t="str">
        <f>IFERROR([1]!IntrinioBankFinancials(rssd_id,$R$2,J$6,J$5,$B180),"")</f>
        <v/>
      </c>
      <c r="K180" s="32" t="str">
        <f>IFERROR([1]!IntrinioBankFinancials(rssd_id,$R$2,K$6,K$5,$B180),"")</f>
        <v/>
      </c>
      <c r="L180" s="32" t="str">
        <f>IFERROR([1]!IntrinioBankFinancials(rssd_id,$R$2,L$6,L$5,$B180),"")</f>
        <v/>
      </c>
      <c r="M180" s="32" t="str">
        <f>IFERROR([1]!IntrinioBankFinancials(rssd_id,$R$2,M$6,M$5,$B180),"")</f>
        <v/>
      </c>
      <c r="N180" s="32" t="str">
        <f>IFERROR([1]!IntrinioBankFinancials(rssd_id,$R$2,N$6,N$5,$B180),"")</f>
        <v/>
      </c>
      <c r="O180" s="32" t="str">
        <f>IFERROR([1]!IntrinioBankFinancials(rssd_id,$R$2,O$6,O$5,$B180),"")</f>
        <v/>
      </c>
    </row>
    <row r="181" spans="1:15" s="22" customFormat="1" ht="13.5" customHeight="1" x14ac:dyDescent="0.4">
      <c r="A181" s="34" t="s">
        <v>716</v>
      </c>
      <c r="B181" s="23" t="s">
        <v>717</v>
      </c>
      <c r="C181" s="32" t="str">
        <f>IFERROR([1]!IntrinioBankFinancials(rssd_id,$R$2,C$6,C$5,$B181),"")</f>
        <v/>
      </c>
      <c r="D181" s="32" t="str">
        <f>IFERROR([1]!IntrinioBankFinancials(rssd_id,$R$2,D$6,D$5,$B181),"")</f>
        <v/>
      </c>
      <c r="E181" s="32" t="str">
        <f>IFERROR([1]!IntrinioBankFinancials(rssd_id,$R$2,E$6,E$5,$B181),"")</f>
        <v/>
      </c>
      <c r="F181" s="32" t="str">
        <f>IFERROR([1]!IntrinioBankFinancials(rssd_id,$R$2,F$6,F$5,$B181),"")</f>
        <v/>
      </c>
      <c r="G181" s="32" t="str">
        <f>IFERROR([1]!IntrinioBankFinancials(rssd_id,$R$2,G$6,G$5,$B181),"")</f>
        <v/>
      </c>
      <c r="H181" s="32" t="str">
        <f>IFERROR([1]!IntrinioBankFinancials(rssd_id,$R$2,H$6,H$5,$B181),"")</f>
        <v/>
      </c>
      <c r="I181" s="32" t="str">
        <f>IFERROR([1]!IntrinioBankFinancials(rssd_id,$R$2,I$6,I$5,$B181),"")</f>
        <v/>
      </c>
      <c r="J181" s="32" t="str">
        <f>IFERROR([1]!IntrinioBankFinancials(rssd_id,$R$2,J$6,J$5,$B181),"")</f>
        <v/>
      </c>
      <c r="K181" s="32" t="str">
        <f>IFERROR([1]!IntrinioBankFinancials(rssd_id,$R$2,K$6,K$5,$B181),"")</f>
        <v/>
      </c>
      <c r="L181" s="32" t="str">
        <f>IFERROR([1]!IntrinioBankFinancials(rssd_id,$R$2,L$6,L$5,$B181),"")</f>
        <v/>
      </c>
      <c r="M181" s="32" t="str">
        <f>IFERROR([1]!IntrinioBankFinancials(rssd_id,$R$2,M$6,M$5,$B181),"")</f>
        <v/>
      </c>
      <c r="N181" s="32" t="str">
        <f>IFERROR([1]!IntrinioBankFinancials(rssd_id,$R$2,N$6,N$5,$B181),"")</f>
        <v/>
      </c>
      <c r="O181" s="32" t="str">
        <f>IFERROR([1]!IntrinioBankFinancials(rssd_id,$R$2,O$6,O$5,$B181),"")</f>
        <v/>
      </c>
    </row>
    <row r="182" spans="1:15" s="22" customFormat="1" ht="13.5" customHeight="1" x14ac:dyDescent="0.4">
      <c r="A182" s="34" t="s">
        <v>718</v>
      </c>
      <c r="B182" s="23" t="s">
        <v>719</v>
      </c>
      <c r="C182" s="32" t="str">
        <f>IFERROR([1]!IntrinioBankFinancials(rssd_id,$R$2,C$6,C$5,$B182),"")</f>
        <v/>
      </c>
      <c r="D182" s="32" t="str">
        <f>IFERROR([1]!IntrinioBankFinancials(rssd_id,$R$2,D$6,D$5,$B182),"")</f>
        <v/>
      </c>
      <c r="E182" s="32" t="str">
        <f>IFERROR([1]!IntrinioBankFinancials(rssd_id,$R$2,E$6,E$5,$B182),"")</f>
        <v/>
      </c>
      <c r="F182" s="32" t="str">
        <f>IFERROR([1]!IntrinioBankFinancials(rssd_id,$R$2,F$6,F$5,$B182),"")</f>
        <v/>
      </c>
      <c r="G182" s="32" t="str">
        <f>IFERROR([1]!IntrinioBankFinancials(rssd_id,$R$2,G$6,G$5,$B182),"")</f>
        <v/>
      </c>
      <c r="H182" s="32" t="str">
        <f>IFERROR([1]!IntrinioBankFinancials(rssd_id,$R$2,H$6,H$5,$B182),"")</f>
        <v/>
      </c>
      <c r="I182" s="32" t="str">
        <f>IFERROR([1]!IntrinioBankFinancials(rssd_id,$R$2,I$6,I$5,$B182),"")</f>
        <v/>
      </c>
      <c r="J182" s="32" t="str">
        <f>IFERROR([1]!IntrinioBankFinancials(rssd_id,$R$2,J$6,J$5,$B182),"")</f>
        <v/>
      </c>
      <c r="K182" s="32" t="str">
        <f>IFERROR([1]!IntrinioBankFinancials(rssd_id,$R$2,K$6,K$5,$B182),"")</f>
        <v/>
      </c>
      <c r="L182" s="32" t="str">
        <f>IFERROR([1]!IntrinioBankFinancials(rssd_id,$R$2,L$6,L$5,$B182),"")</f>
        <v/>
      </c>
      <c r="M182" s="32" t="str">
        <f>IFERROR([1]!IntrinioBankFinancials(rssd_id,$R$2,M$6,M$5,$B182),"")</f>
        <v/>
      </c>
      <c r="N182" s="32" t="str">
        <f>IFERROR([1]!IntrinioBankFinancials(rssd_id,$R$2,N$6,N$5,$B182),"")</f>
        <v/>
      </c>
      <c r="O182" s="32" t="str">
        <f>IFERROR([1]!IntrinioBankFinancials(rssd_id,$R$2,O$6,O$5,$B182),"")</f>
        <v/>
      </c>
    </row>
    <row r="183" spans="1:15" s="22" customFormat="1" ht="13.5" customHeight="1" x14ac:dyDescent="0.4">
      <c r="A183" s="34" t="s">
        <v>720</v>
      </c>
      <c r="B183" s="23" t="s">
        <v>721</v>
      </c>
      <c r="C183" s="32" t="str">
        <f>IFERROR([1]!IntrinioBankFinancials(rssd_id,$R$2,C$6,C$5,$B183),"")</f>
        <v/>
      </c>
      <c r="D183" s="32" t="str">
        <f>IFERROR([1]!IntrinioBankFinancials(rssd_id,$R$2,D$6,D$5,$B183),"")</f>
        <v/>
      </c>
      <c r="E183" s="32" t="str">
        <f>IFERROR([1]!IntrinioBankFinancials(rssd_id,$R$2,E$6,E$5,$B183),"")</f>
        <v/>
      </c>
      <c r="F183" s="32" t="str">
        <f>IFERROR([1]!IntrinioBankFinancials(rssd_id,$R$2,F$6,F$5,$B183),"")</f>
        <v/>
      </c>
      <c r="G183" s="32" t="str">
        <f>IFERROR([1]!IntrinioBankFinancials(rssd_id,$R$2,G$6,G$5,$B183),"")</f>
        <v/>
      </c>
      <c r="H183" s="32" t="str">
        <f>IFERROR([1]!IntrinioBankFinancials(rssd_id,$R$2,H$6,H$5,$B183),"")</f>
        <v/>
      </c>
      <c r="I183" s="32" t="str">
        <f>IFERROR([1]!IntrinioBankFinancials(rssd_id,$R$2,I$6,I$5,$B183),"")</f>
        <v/>
      </c>
      <c r="J183" s="32" t="str">
        <f>IFERROR([1]!IntrinioBankFinancials(rssd_id,$R$2,J$6,J$5,$B183),"")</f>
        <v/>
      </c>
      <c r="K183" s="32" t="str">
        <f>IFERROR([1]!IntrinioBankFinancials(rssd_id,$R$2,K$6,K$5,$B183),"")</f>
        <v/>
      </c>
      <c r="L183" s="32" t="str">
        <f>IFERROR([1]!IntrinioBankFinancials(rssd_id,$R$2,L$6,L$5,$B183),"")</f>
        <v/>
      </c>
      <c r="M183" s="32" t="str">
        <f>IFERROR([1]!IntrinioBankFinancials(rssd_id,$R$2,M$6,M$5,$B183),"")</f>
        <v/>
      </c>
      <c r="N183" s="32" t="str">
        <f>IFERROR([1]!IntrinioBankFinancials(rssd_id,$R$2,N$6,N$5,$B183),"")</f>
        <v/>
      </c>
      <c r="O183" s="32" t="str">
        <f>IFERROR([1]!IntrinioBankFinancials(rssd_id,$R$2,O$6,O$5,$B183),"")</f>
        <v/>
      </c>
    </row>
    <row r="184" spans="1:15" s="22" customFormat="1" ht="13.5" customHeight="1" x14ac:dyDescent="0.4">
      <c r="A184" s="34" t="s">
        <v>722</v>
      </c>
      <c r="B184" s="23" t="s">
        <v>723</v>
      </c>
      <c r="C184" s="32" t="str">
        <f>IFERROR([1]!IntrinioBankFinancials(rssd_id,$R$2,C$6,C$5,$B184),"")</f>
        <v/>
      </c>
      <c r="D184" s="32" t="str">
        <f>IFERROR([1]!IntrinioBankFinancials(rssd_id,$R$2,D$6,D$5,$B184),"")</f>
        <v/>
      </c>
      <c r="E184" s="32" t="str">
        <f>IFERROR([1]!IntrinioBankFinancials(rssd_id,$R$2,E$6,E$5,$B184),"")</f>
        <v/>
      </c>
      <c r="F184" s="32" t="str">
        <f>IFERROR([1]!IntrinioBankFinancials(rssd_id,$R$2,F$6,F$5,$B184),"")</f>
        <v/>
      </c>
      <c r="G184" s="32" t="str">
        <f>IFERROR([1]!IntrinioBankFinancials(rssd_id,$R$2,G$6,G$5,$B184),"")</f>
        <v/>
      </c>
      <c r="H184" s="32" t="str">
        <f>IFERROR([1]!IntrinioBankFinancials(rssd_id,$R$2,H$6,H$5,$B184),"")</f>
        <v/>
      </c>
      <c r="I184" s="32" t="str">
        <f>IFERROR([1]!IntrinioBankFinancials(rssd_id,$R$2,I$6,I$5,$B184),"")</f>
        <v/>
      </c>
      <c r="J184" s="32" t="str">
        <f>IFERROR([1]!IntrinioBankFinancials(rssd_id,$R$2,J$6,J$5,$B184),"")</f>
        <v/>
      </c>
      <c r="K184" s="32" t="str">
        <f>IFERROR([1]!IntrinioBankFinancials(rssd_id,$R$2,K$6,K$5,$B184),"")</f>
        <v/>
      </c>
      <c r="L184" s="32" t="str">
        <f>IFERROR([1]!IntrinioBankFinancials(rssd_id,$R$2,L$6,L$5,$B184),"")</f>
        <v/>
      </c>
      <c r="M184" s="32" t="str">
        <f>IFERROR([1]!IntrinioBankFinancials(rssd_id,$R$2,M$6,M$5,$B184),"")</f>
        <v/>
      </c>
      <c r="N184" s="32" t="str">
        <f>IFERROR([1]!IntrinioBankFinancials(rssd_id,$R$2,N$6,N$5,$B184),"")</f>
        <v/>
      </c>
      <c r="O184" s="32" t="str">
        <f>IFERROR([1]!IntrinioBankFinancials(rssd_id,$R$2,O$6,O$5,$B184),"")</f>
        <v/>
      </c>
    </row>
    <row r="185" spans="1:15" s="22" customFormat="1" ht="13.5" customHeight="1" x14ac:dyDescent="0.4">
      <c r="A185" s="34" t="s">
        <v>724</v>
      </c>
      <c r="B185" s="23" t="s">
        <v>725</v>
      </c>
      <c r="C185" s="32" t="str">
        <f>IFERROR([1]!IntrinioBankFinancials(rssd_id,$R$2,C$6,C$5,$B185),"")</f>
        <v/>
      </c>
      <c r="D185" s="32" t="str">
        <f>IFERROR([1]!IntrinioBankFinancials(rssd_id,$R$2,D$6,D$5,$B185),"")</f>
        <v/>
      </c>
      <c r="E185" s="32" t="str">
        <f>IFERROR([1]!IntrinioBankFinancials(rssd_id,$R$2,E$6,E$5,$B185),"")</f>
        <v/>
      </c>
      <c r="F185" s="32" t="str">
        <f>IFERROR([1]!IntrinioBankFinancials(rssd_id,$R$2,F$6,F$5,$B185),"")</f>
        <v/>
      </c>
      <c r="G185" s="32" t="str">
        <f>IFERROR([1]!IntrinioBankFinancials(rssd_id,$R$2,G$6,G$5,$B185),"")</f>
        <v/>
      </c>
      <c r="H185" s="32" t="str">
        <f>IFERROR([1]!IntrinioBankFinancials(rssd_id,$R$2,H$6,H$5,$B185),"")</f>
        <v/>
      </c>
      <c r="I185" s="32" t="str">
        <f>IFERROR([1]!IntrinioBankFinancials(rssd_id,$R$2,I$6,I$5,$B185),"")</f>
        <v/>
      </c>
      <c r="J185" s="32" t="str">
        <f>IFERROR([1]!IntrinioBankFinancials(rssd_id,$R$2,J$6,J$5,$B185),"")</f>
        <v/>
      </c>
      <c r="K185" s="32" t="str">
        <f>IFERROR([1]!IntrinioBankFinancials(rssd_id,$R$2,K$6,K$5,$B185),"")</f>
        <v/>
      </c>
      <c r="L185" s="32" t="str">
        <f>IFERROR([1]!IntrinioBankFinancials(rssd_id,$R$2,L$6,L$5,$B185),"")</f>
        <v/>
      </c>
      <c r="M185" s="32" t="str">
        <f>IFERROR([1]!IntrinioBankFinancials(rssd_id,$R$2,M$6,M$5,$B185),"")</f>
        <v/>
      </c>
      <c r="N185" s="32" t="str">
        <f>IFERROR([1]!IntrinioBankFinancials(rssd_id,$R$2,N$6,N$5,$B185),"")</f>
        <v/>
      </c>
      <c r="O185" s="32" t="str">
        <f>IFERROR([1]!IntrinioBankFinancials(rssd_id,$R$2,O$6,O$5,$B185),"")</f>
        <v/>
      </c>
    </row>
  </sheetData>
  <pageMargins left="0.7" right="0.7" top="0.75" bottom="0.75" header="0.3" footer="0.3"/>
  <pageSetup scale="38" fitToHeight="2" orientation="landscape" r:id="rId1"/>
  <headerFooter>
    <oddFooter>&amp;L&amp;G&amp;R&amp;P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4"/>
    <pageSetUpPr fitToPage="1"/>
  </sheetPr>
  <dimension ref="A1:R43"/>
  <sheetViews>
    <sheetView view="pageBreakPreview" zoomScaleNormal="100" zoomScaleSheetLayoutView="100" workbookViewId="0">
      <pane xSplit="1" ySplit="6" topLeftCell="J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789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1195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785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733</v>
      </c>
      <c r="B9" s="23" t="s">
        <v>734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3.5" customHeight="1" x14ac:dyDescent="0.4">
      <c r="A10" s="34" t="s">
        <v>735</v>
      </c>
      <c r="B10" s="23" t="s">
        <v>736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3.5" customHeight="1" x14ac:dyDescent="0.4">
      <c r="A11" s="34" t="s">
        <v>737</v>
      </c>
      <c r="B11" s="23" t="s">
        <v>738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3.5" customHeight="1" x14ac:dyDescent="0.4">
      <c r="A12" s="34" t="s">
        <v>739</v>
      </c>
      <c r="B12" s="23" t="s">
        <v>740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3.5" customHeight="1" x14ac:dyDescent="0.4">
      <c r="A13" s="34" t="s">
        <v>735</v>
      </c>
      <c r="B13" s="23" t="s">
        <v>741</v>
      </c>
      <c r="C13" s="32" t="str">
        <f>IFERROR([1]!IntrinioBankFinancials(rssd_id,$R$2,C$6,C$5,$B13),"")</f>
        <v/>
      </c>
      <c r="D13" s="32" t="str">
        <f>IFERROR([1]!IntrinioBankFinancials(rssd_id,$R$2,D$6,D$5,$B13),"")</f>
        <v/>
      </c>
      <c r="E13" s="32" t="str">
        <f>IFERROR([1]!IntrinioBankFinancials(rssd_id,$R$2,E$6,E$5,$B13),"")</f>
        <v/>
      </c>
      <c r="F13" s="32" t="str">
        <f>IFERROR([1]!IntrinioBankFinancials(rssd_id,$R$2,F$6,F$5,$B13),"")</f>
        <v/>
      </c>
      <c r="G13" s="32" t="str">
        <f>IFERROR([1]!IntrinioBankFinancials(rssd_id,$R$2,G$6,G$5,$B13),"")</f>
        <v/>
      </c>
      <c r="H13" s="32" t="str">
        <f>IFERROR([1]!IntrinioBankFinancials(rssd_id,$R$2,H$6,H$5,$B13),"")</f>
        <v/>
      </c>
      <c r="I13" s="32" t="str">
        <f>IFERROR([1]!IntrinioBankFinancials(rssd_id,$R$2,I$6,I$5,$B13),"")</f>
        <v/>
      </c>
      <c r="J13" s="32" t="str">
        <f>IFERROR([1]!IntrinioBankFinancials(rssd_id,$R$2,J$6,J$5,$B13),"")</f>
        <v/>
      </c>
      <c r="K13" s="32" t="str">
        <f>IFERROR([1]!IntrinioBankFinancials(rssd_id,$R$2,K$6,K$5,$B13),"")</f>
        <v/>
      </c>
      <c r="L13" s="32" t="str">
        <f>IFERROR([1]!IntrinioBankFinancials(rssd_id,$R$2,L$6,L$5,$B13),"")</f>
        <v/>
      </c>
      <c r="M13" s="32" t="str">
        <f>IFERROR([1]!IntrinioBankFinancials(rssd_id,$R$2,M$6,M$5,$B13),"")</f>
        <v/>
      </c>
      <c r="N13" s="32" t="str">
        <f>IFERROR([1]!IntrinioBankFinancials(rssd_id,$R$2,N$6,N$5,$B13),"")</f>
        <v/>
      </c>
      <c r="O13" s="32" t="str">
        <f>IFERROR([1]!IntrinioBankFinancials(rssd_id,$R$2,O$6,O$5,$B13),"")</f>
        <v/>
      </c>
    </row>
    <row r="14" spans="1:18" s="22" customFormat="1" ht="13.5" customHeight="1" x14ac:dyDescent="0.4">
      <c r="A14" s="34" t="s">
        <v>737</v>
      </c>
      <c r="B14" s="23" t="s">
        <v>742</v>
      </c>
      <c r="C14" s="32" t="str">
        <f>IFERROR([1]!IntrinioBankFinancials(rssd_id,$R$2,C$6,C$5,$B14),"")</f>
        <v/>
      </c>
      <c r="D14" s="32" t="str">
        <f>IFERROR([1]!IntrinioBankFinancials(rssd_id,$R$2,D$6,D$5,$B14),"")</f>
        <v/>
      </c>
      <c r="E14" s="32" t="str">
        <f>IFERROR([1]!IntrinioBankFinancials(rssd_id,$R$2,E$6,E$5,$B14),"")</f>
        <v/>
      </c>
      <c r="F14" s="32" t="str">
        <f>IFERROR([1]!IntrinioBankFinancials(rssd_id,$R$2,F$6,F$5,$B14),"")</f>
        <v/>
      </c>
      <c r="G14" s="32" t="str">
        <f>IFERROR([1]!IntrinioBankFinancials(rssd_id,$R$2,G$6,G$5,$B14),"")</f>
        <v/>
      </c>
      <c r="H14" s="32" t="str">
        <f>IFERROR([1]!IntrinioBankFinancials(rssd_id,$R$2,H$6,H$5,$B14),"")</f>
        <v/>
      </c>
      <c r="I14" s="32" t="str">
        <f>IFERROR([1]!IntrinioBankFinancials(rssd_id,$R$2,I$6,I$5,$B14),"")</f>
        <v/>
      </c>
      <c r="J14" s="32" t="str">
        <f>IFERROR([1]!IntrinioBankFinancials(rssd_id,$R$2,J$6,J$5,$B14),"")</f>
        <v/>
      </c>
      <c r="K14" s="32" t="str">
        <f>IFERROR([1]!IntrinioBankFinancials(rssd_id,$R$2,K$6,K$5,$B14),"")</f>
        <v/>
      </c>
      <c r="L14" s="32" t="str">
        <f>IFERROR([1]!IntrinioBankFinancials(rssd_id,$R$2,L$6,L$5,$B14),"")</f>
        <v/>
      </c>
      <c r="M14" s="32" t="str">
        <f>IFERROR([1]!IntrinioBankFinancials(rssd_id,$R$2,M$6,M$5,$B14),"")</f>
        <v/>
      </c>
      <c r="N14" s="32" t="str">
        <f>IFERROR([1]!IntrinioBankFinancials(rssd_id,$R$2,N$6,N$5,$B14),"")</f>
        <v/>
      </c>
      <c r="O14" s="32" t="str">
        <f>IFERROR([1]!IntrinioBankFinancials(rssd_id,$R$2,O$6,O$5,$B14),"")</f>
        <v/>
      </c>
    </row>
    <row r="15" spans="1:18" s="22" customFormat="1" ht="13.5" customHeight="1" x14ac:dyDescent="0.4">
      <c r="A15" s="34" t="s">
        <v>743</v>
      </c>
      <c r="B15" s="23" t="s">
        <v>744</v>
      </c>
      <c r="C15" s="32" t="str">
        <f>IFERROR([1]!IntrinioBankFinancials(rssd_id,$R$2,C$6,C$5,$B15),"")</f>
        <v/>
      </c>
      <c r="D15" s="32" t="str">
        <f>IFERROR([1]!IntrinioBankFinancials(rssd_id,$R$2,D$6,D$5,$B15),"")</f>
        <v/>
      </c>
      <c r="E15" s="32" t="str">
        <f>IFERROR([1]!IntrinioBankFinancials(rssd_id,$R$2,E$6,E$5,$B15),"")</f>
        <v/>
      </c>
      <c r="F15" s="32" t="str">
        <f>IFERROR([1]!IntrinioBankFinancials(rssd_id,$R$2,F$6,F$5,$B15),"")</f>
        <v/>
      </c>
      <c r="G15" s="32" t="str">
        <f>IFERROR([1]!IntrinioBankFinancials(rssd_id,$R$2,G$6,G$5,$B15),"")</f>
        <v/>
      </c>
      <c r="H15" s="32" t="str">
        <f>IFERROR([1]!IntrinioBankFinancials(rssd_id,$R$2,H$6,H$5,$B15),"")</f>
        <v/>
      </c>
      <c r="I15" s="32" t="str">
        <f>IFERROR([1]!IntrinioBankFinancials(rssd_id,$R$2,I$6,I$5,$B15),"")</f>
        <v/>
      </c>
      <c r="J15" s="32" t="str">
        <f>IFERROR([1]!IntrinioBankFinancials(rssd_id,$R$2,J$6,J$5,$B15),"")</f>
        <v/>
      </c>
      <c r="K15" s="32" t="str">
        <f>IFERROR([1]!IntrinioBankFinancials(rssd_id,$R$2,K$6,K$5,$B15),"")</f>
        <v/>
      </c>
      <c r="L15" s="32" t="str">
        <f>IFERROR([1]!IntrinioBankFinancials(rssd_id,$R$2,L$6,L$5,$B15),"")</f>
        <v/>
      </c>
      <c r="M15" s="32" t="str">
        <f>IFERROR([1]!IntrinioBankFinancials(rssd_id,$R$2,M$6,M$5,$B15),"")</f>
        <v/>
      </c>
      <c r="N15" s="32" t="str">
        <f>IFERROR([1]!IntrinioBankFinancials(rssd_id,$R$2,N$6,N$5,$B15),"")</f>
        <v/>
      </c>
      <c r="O15" s="32" t="str">
        <f>IFERROR([1]!IntrinioBankFinancials(rssd_id,$R$2,O$6,O$5,$B15),"")</f>
        <v/>
      </c>
    </row>
    <row r="16" spans="1:18" s="22" customFormat="1" ht="13.5" customHeight="1" x14ac:dyDescent="0.4">
      <c r="A16" s="34" t="s">
        <v>745</v>
      </c>
      <c r="B16" s="23" t="s">
        <v>746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3.5" customHeight="1" x14ac:dyDescent="0.4">
      <c r="A17" s="34" t="s">
        <v>747</v>
      </c>
      <c r="B17" s="23" t="s">
        <v>748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3.5" customHeight="1" x14ac:dyDescent="0.4">
      <c r="A18" s="34" t="s">
        <v>749</v>
      </c>
      <c r="B18" s="23" t="s">
        <v>750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3.5" customHeight="1" x14ac:dyDescent="0.4">
      <c r="A19" s="34" t="s">
        <v>751</v>
      </c>
      <c r="B19" s="23" t="s">
        <v>752</v>
      </c>
      <c r="C19" s="32" t="str">
        <f>IFERROR([1]!IntrinioBankFinancials(rssd_id,$R$2,C$6,C$5,$B19),"")</f>
        <v/>
      </c>
      <c r="D19" s="32" t="str">
        <f>IFERROR([1]!IntrinioBankFinancials(rssd_id,$R$2,D$6,D$5,$B19),"")</f>
        <v/>
      </c>
      <c r="E19" s="32" t="str">
        <f>IFERROR([1]!IntrinioBankFinancials(rssd_id,$R$2,E$6,E$5,$B19),"")</f>
        <v/>
      </c>
      <c r="F19" s="32" t="str">
        <f>IFERROR([1]!IntrinioBankFinancials(rssd_id,$R$2,F$6,F$5,$B19),"")</f>
        <v/>
      </c>
      <c r="G19" s="32" t="str">
        <f>IFERROR([1]!IntrinioBankFinancials(rssd_id,$R$2,G$6,G$5,$B19),"")</f>
        <v/>
      </c>
      <c r="H19" s="32" t="str">
        <f>IFERROR([1]!IntrinioBankFinancials(rssd_id,$R$2,H$6,H$5,$B19),"")</f>
        <v/>
      </c>
      <c r="I19" s="32" t="str">
        <f>IFERROR([1]!IntrinioBankFinancials(rssd_id,$R$2,I$6,I$5,$B19),"")</f>
        <v/>
      </c>
      <c r="J19" s="32" t="str">
        <f>IFERROR([1]!IntrinioBankFinancials(rssd_id,$R$2,J$6,J$5,$B19),"")</f>
        <v/>
      </c>
      <c r="K19" s="32" t="str">
        <f>IFERROR([1]!IntrinioBankFinancials(rssd_id,$R$2,K$6,K$5,$B19),"")</f>
        <v/>
      </c>
      <c r="L19" s="32" t="str">
        <f>IFERROR([1]!IntrinioBankFinancials(rssd_id,$R$2,L$6,L$5,$B19),"")</f>
        <v/>
      </c>
      <c r="M19" s="32" t="str">
        <f>IFERROR([1]!IntrinioBankFinancials(rssd_id,$R$2,M$6,M$5,$B19),"")</f>
        <v/>
      </c>
      <c r="N19" s="32" t="str">
        <f>IFERROR([1]!IntrinioBankFinancials(rssd_id,$R$2,N$6,N$5,$B19),"")</f>
        <v/>
      </c>
      <c r="O19" s="32" t="str">
        <f>IFERROR([1]!IntrinioBankFinancials(rssd_id,$R$2,O$6,O$5,$B19),"")</f>
        <v/>
      </c>
    </row>
    <row r="20" spans="1:15" s="22" customFormat="1" ht="13.5" customHeight="1" x14ac:dyDescent="0.4">
      <c r="A20" s="34" t="s">
        <v>753</v>
      </c>
      <c r="B20" s="23" t="s">
        <v>754</v>
      </c>
      <c r="C20" s="32" t="str">
        <f>IFERROR([1]!IntrinioBankFinancials(rssd_id,$R$2,C$6,C$5,$B20),"")</f>
        <v/>
      </c>
      <c r="D20" s="32" t="str">
        <f>IFERROR([1]!IntrinioBankFinancials(rssd_id,$R$2,D$6,D$5,$B20),"")</f>
        <v/>
      </c>
      <c r="E20" s="32" t="str">
        <f>IFERROR([1]!IntrinioBankFinancials(rssd_id,$R$2,E$6,E$5,$B20),"")</f>
        <v/>
      </c>
      <c r="F20" s="32" t="str">
        <f>IFERROR([1]!IntrinioBankFinancials(rssd_id,$R$2,F$6,F$5,$B20),"")</f>
        <v/>
      </c>
      <c r="G20" s="32" t="str">
        <f>IFERROR([1]!IntrinioBankFinancials(rssd_id,$R$2,G$6,G$5,$B20),"")</f>
        <v/>
      </c>
      <c r="H20" s="32" t="str">
        <f>IFERROR([1]!IntrinioBankFinancials(rssd_id,$R$2,H$6,H$5,$B20),"")</f>
        <v/>
      </c>
      <c r="I20" s="32" t="str">
        <f>IFERROR([1]!IntrinioBankFinancials(rssd_id,$R$2,I$6,I$5,$B20),"")</f>
        <v/>
      </c>
      <c r="J20" s="32" t="str">
        <f>IFERROR([1]!IntrinioBankFinancials(rssd_id,$R$2,J$6,J$5,$B20),"")</f>
        <v/>
      </c>
      <c r="K20" s="32" t="str">
        <f>IFERROR([1]!IntrinioBankFinancials(rssd_id,$R$2,K$6,K$5,$B20),"")</f>
        <v/>
      </c>
      <c r="L20" s="32" t="str">
        <f>IFERROR([1]!IntrinioBankFinancials(rssd_id,$R$2,L$6,L$5,$B20),"")</f>
        <v/>
      </c>
      <c r="M20" s="32" t="str">
        <f>IFERROR([1]!IntrinioBankFinancials(rssd_id,$R$2,M$6,M$5,$B20),"")</f>
        <v/>
      </c>
      <c r="N20" s="32" t="str">
        <f>IFERROR([1]!IntrinioBankFinancials(rssd_id,$R$2,N$6,N$5,$B20),"")</f>
        <v/>
      </c>
      <c r="O20" s="32" t="str">
        <f>IFERROR([1]!IntrinioBankFinancials(rssd_id,$R$2,O$6,O$5,$B20),"")</f>
        <v/>
      </c>
    </row>
    <row r="21" spans="1:15" s="22" customFormat="1" ht="13.5" customHeight="1" x14ac:dyDescent="0.4">
      <c r="A21" s="33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</row>
    <row r="22" spans="1:15" s="22" customFormat="1" ht="13.5" customHeight="1" x14ac:dyDescent="0.4">
      <c r="A22" s="33" t="s">
        <v>788</v>
      </c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</row>
    <row r="23" spans="1:15" s="22" customFormat="1" ht="13.5" customHeight="1" x14ac:dyDescent="0.4">
      <c r="A23" s="34" t="s">
        <v>755</v>
      </c>
      <c r="B23" s="23" t="s">
        <v>756</v>
      </c>
      <c r="C23" s="32" t="str">
        <f>IFERROR([1]!IntrinioBankFinancials(rssd_id,$R$2,C$6,C$5,$B23),"")</f>
        <v/>
      </c>
      <c r="D23" s="32" t="str">
        <f>IFERROR([1]!IntrinioBankFinancials(rssd_id,$R$2,D$6,D$5,$B23),"")</f>
        <v/>
      </c>
      <c r="E23" s="32" t="str">
        <f>IFERROR([1]!IntrinioBankFinancials(rssd_id,$R$2,E$6,E$5,$B23),"")</f>
        <v/>
      </c>
      <c r="F23" s="32" t="str">
        <f>IFERROR([1]!IntrinioBankFinancials(rssd_id,$R$2,F$6,F$5,$B23),"")</f>
        <v/>
      </c>
      <c r="G23" s="32" t="str">
        <f>IFERROR([1]!IntrinioBankFinancials(rssd_id,$R$2,G$6,G$5,$B23),"")</f>
        <v/>
      </c>
      <c r="H23" s="32" t="str">
        <f>IFERROR([1]!IntrinioBankFinancials(rssd_id,$R$2,H$6,H$5,$B23),"")</f>
        <v/>
      </c>
      <c r="I23" s="32" t="str">
        <f>IFERROR([1]!IntrinioBankFinancials(rssd_id,$R$2,I$6,I$5,$B23),"")</f>
        <v/>
      </c>
      <c r="J23" s="32" t="str">
        <f>IFERROR([1]!IntrinioBankFinancials(rssd_id,$R$2,J$6,J$5,$B23),"")</f>
        <v/>
      </c>
      <c r="K23" s="32" t="str">
        <f>IFERROR([1]!IntrinioBankFinancials(rssd_id,$R$2,K$6,K$5,$B23),"")</f>
        <v/>
      </c>
      <c r="L23" s="32" t="str">
        <f>IFERROR([1]!IntrinioBankFinancials(rssd_id,$R$2,L$6,L$5,$B23),"")</f>
        <v/>
      </c>
      <c r="M23" s="32" t="str">
        <f>IFERROR([1]!IntrinioBankFinancials(rssd_id,$R$2,M$6,M$5,$B23),"")</f>
        <v/>
      </c>
      <c r="N23" s="32" t="str">
        <f>IFERROR([1]!IntrinioBankFinancials(rssd_id,$R$2,N$6,N$5,$B23),"")</f>
        <v/>
      </c>
      <c r="O23" s="32" t="str">
        <f>IFERROR([1]!IntrinioBankFinancials(rssd_id,$R$2,O$6,O$5,$B23),"")</f>
        <v/>
      </c>
    </row>
    <row r="24" spans="1:15" s="22" customFormat="1" ht="13.5" customHeight="1" x14ac:dyDescent="0.4">
      <c r="A24" s="34" t="s">
        <v>757</v>
      </c>
      <c r="B24" s="23" t="s">
        <v>758</v>
      </c>
      <c r="C24" s="32" t="str">
        <f>IFERROR([1]!IntrinioBankFinancials(rssd_id,$R$2,C$6,C$5,$B24),"")</f>
        <v/>
      </c>
      <c r="D24" s="32" t="str">
        <f>IFERROR([1]!IntrinioBankFinancials(rssd_id,$R$2,D$6,D$5,$B24),"")</f>
        <v/>
      </c>
      <c r="E24" s="32" t="str">
        <f>IFERROR([1]!IntrinioBankFinancials(rssd_id,$R$2,E$6,E$5,$B24),"")</f>
        <v/>
      </c>
      <c r="F24" s="32" t="str">
        <f>IFERROR([1]!IntrinioBankFinancials(rssd_id,$R$2,F$6,F$5,$B24),"")</f>
        <v/>
      </c>
      <c r="G24" s="32" t="str">
        <f>IFERROR([1]!IntrinioBankFinancials(rssd_id,$R$2,G$6,G$5,$B24),"")</f>
        <v/>
      </c>
      <c r="H24" s="32" t="str">
        <f>IFERROR([1]!IntrinioBankFinancials(rssd_id,$R$2,H$6,H$5,$B24),"")</f>
        <v/>
      </c>
      <c r="I24" s="32" t="str">
        <f>IFERROR([1]!IntrinioBankFinancials(rssd_id,$R$2,I$6,I$5,$B24),"")</f>
        <v/>
      </c>
      <c r="J24" s="32" t="str">
        <f>IFERROR([1]!IntrinioBankFinancials(rssd_id,$R$2,J$6,J$5,$B24),"")</f>
        <v/>
      </c>
      <c r="K24" s="32" t="str">
        <f>IFERROR([1]!IntrinioBankFinancials(rssd_id,$R$2,K$6,K$5,$B24),"")</f>
        <v/>
      </c>
      <c r="L24" s="32" t="str">
        <f>IFERROR([1]!IntrinioBankFinancials(rssd_id,$R$2,L$6,L$5,$B24),"")</f>
        <v/>
      </c>
      <c r="M24" s="32" t="str">
        <f>IFERROR([1]!IntrinioBankFinancials(rssd_id,$R$2,M$6,M$5,$B24),"")</f>
        <v/>
      </c>
      <c r="N24" s="32" t="str">
        <f>IFERROR([1]!IntrinioBankFinancials(rssd_id,$R$2,N$6,N$5,$B24),"")</f>
        <v/>
      </c>
      <c r="O24" s="32" t="str">
        <f>IFERROR([1]!IntrinioBankFinancials(rssd_id,$R$2,O$6,O$5,$B24),"")</f>
        <v/>
      </c>
    </row>
    <row r="25" spans="1:15" s="22" customFormat="1" ht="13.5" customHeight="1" x14ac:dyDescent="0.4">
      <c r="A25" s="34" t="s">
        <v>759</v>
      </c>
      <c r="B25" s="23" t="s">
        <v>760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3.5" customHeight="1" x14ac:dyDescent="0.4">
      <c r="A26" s="34" t="s">
        <v>761</v>
      </c>
      <c r="B26" s="23" t="s">
        <v>762</v>
      </c>
      <c r="C26" s="32" t="str">
        <f>IFERROR([1]!IntrinioBankFinancials(rssd_id,$R$2,C$6,C$5,$B26),"")</f>
        <v/>
      </c>
      <c r="D26" s="32" t="str">
        <f>IFERROR([1]!IntrinioBankFinancials(rssd_id,$R$2,D$6,D$5,$B26),"")</f>
        <v/>
      </c>
      <c r="E26" s="32" t="str">
        <f>IFERROR([1]!IntrinioBankFinancials(rssd_id,$R$2,E$6,E$5,$B26),"")</f>
        <v/>
      </c>
      <c r="F26" s="32" t="str">
        <f>IFERROR([1]!IntrinioBankFinancials(rssd_id,$R$2,F$6,F$5,$B26),"")</f>
        <v/>
      </c>
      <c r="G26" s="32" t="str">
        <f>IFERROR([1]!IntrinioBankFinancials(rssd_id,$R$2,G$6,G$5,$B26),"")</f>
        <v/>
      </c>
      <c r="H26" s="32" t="str">
        <f>IFERROR([1]!IntrinioBankFinancials(rssd_id,$R$2,H$6,H$5,$B26),"")</f>
        <v/>
      </c>
      <c r="I26" s="32" t="str">
        <f>IFERROR([1]!IntrinioBankFinancials(rssd_id,$R$2,I$6,I$5,$B26),"")</f>
        <v/>
      </c>
      <c r="J26" s="32" t="str">
        <f>IFERROR([1]!IntrinioBankFinancials(rssd_id,$R$2,J$6,J$5,$B26),"")</f>
        <v/>
      </c>
      <c r="K26" s="32" t="str">
        <f>IFERROR([1]!IntrinioBankFinancials(rssd_id,$R$2,K$6,K$5,$B26),"")</f>
        <v/>
      </c>
      <c r="L26" s="32" t="str">
        <f>IFERROR([1]!IntrinioBankFinancials(rssd_id,$R$2,L$6,L$5,$B26),"")</f>
        <v/>
      </c>
      <c r="M26" s="32" t="str">
        <f>IFERROR([1]!IntrinioBankFinancials(rssd_id,$R$2,M$6,M$5,$B26),"")</f>
        <v/>
      </c>
      <c r="N26" s="32" t="str">
        <f>IFERROR([1]!IntrinioBankFinancials(rssd_id,$R$2,N$6,N$5,$B26),"")</f>
        <v/>
      </c>
      <c r="O26" s="32" t="str">
        <f>IFERROR([1]!IntrinioBankFinancials(rssd_id,$R$2,O$6,O$5,$B26),"")</f>
        <v/>
      </c>
    </row>
    <row r="27" spans="1:15" s="22" customFormat="1" ht="13.5" customHeight="1" x14ac:dyDescent="0.4">
      <c r="A27" s="34" t="s">
        <v>763</v>
      </c>
      <c r="B27" s="23" t="s">
        <v>764</v>
      </c>
      <c r="C27" s="32" t="str">
        <f>IFERROR([1]!IntrinioBankFinancials(rssd_id,$R$2,C$6,C$5,$B27),"")</f>
        <v/>
      </c>
      <c r="D27" s="32" t="str">
        <f>IFERROR([1]!IntrinioBankFinancials(rssd_id,$R$2,D$6,D$5,$B27),"")</f>
        <v/>
      </c>
      <c r="E27" s="32" t="str">
        <f>IFERROR([1]!IntrinioBankFinancials(rssd_id,$R$2,E$6,E$5,$B27),"")</f>
        <v/>
      </c>
      <c r="F27" s="32" t="str">
        <f>IFERROR([1]!IntrinioBankFinancials(rssd_id,$R$2,F$6,F$5,$B27),"")</f>
        <v/>
      </c>
      <c r="G27" s="32" t="str">
        <f>IFERROR([1]!IntrinioBankFinancials(rssd_id,$R$2,G$6,G$5,$B27),"")</f>
        <v/>
      </c>
      <c r="H27" s="32" t="str">
        <f>IFERROR([1]!IntrinioBankFinancials(rssd_id,$R$2,H$6,H$5,$B27),"")</f>
        <v/>
      </c>
      <c r="I27" s="32" t="str">
        <f>IFERROR([1]!IntrinioBankFinancials(rssd_id,$R$2,I$6,I$5,$B27),"")</f>
        <v/>
      </c>
      <c r="J27" s="32" t="str">
        <f>IFERROR([1]!IntrinioBankFinancials(rssd_id,$R$2,J$6,J$5,$B27),"")</f>
        <v/>
      </c>
      <c r="K27" s="32" t="str">
        <f>IFERROR([1]!IntrinioBankFinancials(rssd_id,$R$2,K$6,K$5,$B27),"")</f>
        <v/>
      </c>
      <c r="L27" s="32" t="str">
        <f>IFERROR([1]!IntrinioBankFinancials(rssd_id,$R$2,L$6,L$5,$B27),"")</f>
        <v/>
      </c>
      <c r="M27" s="32" t="str">
        <f>IFERROR([1]!IntrinioBankFinancials(rssd_id,$R$2,M$6,M$5,$B27),"")</f>
        <v/>
      </c>
      <c r="N27" s="32" t="str">
        <f>IFERROR([1]!IntrinioBankFinancials(rssd_id,$R$2,N$6,N$5,$B27),"")</f>
        <v/>
      </c>
      <c r="O27" s="32" t="str">
        <f>IFERROR([1]!IntrinioBankFinancials(rssd_id,$R$2,O$6,O$5,$B27),"")</f>
        <v/>
      </c>
    </row>
    <row r="28" spans="1:15" s="22" customFormat="1" ht="13.5" customHeight="1" x14ac:dyDescent="0.4">
      <c r="A28" s="33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</row>
    <row r="29" spans="1:15" s="22" customFormat="1" ht="13.5" customHeight="1" x14ac:dyDescent="0.4">
      <c r="A29" s="33" t="s">
        <v>787</v>
      </c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</row>
    <row r="30" spans="1:15" s="22" customFormat="1" ht="13.5" customHeight="1" x14ac:dyDescent="0.4">
      <c r="A30" s="34" t="s">
        <v>765</v>
      </c>
      <c r="B30" s="23" t="s">
        <v>766</v>
      </c>
      <c r="C30" s="32" t="str">
        <f>IFERROR([1]!IntrinioBankFinancials(rssd_id,$R$2,C$6,C$5,$B30),"")</f>
        <v/>
      </c>
      <c r="D30" s="32" t="str">
        <f>IFERROR([1]!IntrinioBankFinancials(rssd_id,$R$2,D$6,D$5,$B30),"")</f>
        <v/>
      </c>
      <c r="E30" s="32" t="str">
        <f>IFERROR([1]!IntrinioBankFinancials(rssd_id,$R$2,E$6,E$5,$B30),"")</f>
        <v/>
      </c>
      <c r="F30" s="32" t="str">
        <f>IFERROR([1]!IntrinioBankFinancials(rssd_id,$R$2,F$6,F$5,$B30),"")</f>
        <v/>
      </c>
      <c r="G30" s="32" t="str">
        <f>IFERROR([1]!IntrinioBankFinancials(rssd_id,$R$2,G$6,G$5,$B30),"")</f>
        <v/>
      </c>
      <c r="H30" s="32" t="str">
        <f>IFERROR([1]!IntrinioBankFinancials(rssd_id,$R$2,H$6,H$5,$B30),"")</f>
        <v/>
      </c>
      <c r="I30" s="32" t="str">
        <f>IFERROR([1]!IntrinioBankFinancials(rssd_id,$R$2,I$6,I$5,$B30),"")</f>
        <v/>
      </c>
      <c r="J30" s="32" t="str">
        <f>IFERROR([1]!IntrinioBankFinancials(rssd_id,$R$2,J$6,J$5,$B30),"")</f>
        <v/>
      </c>
      <c r="K30" s="32" t="str">
        <f>IFERROR([1]!IntrinioBankFinancials(rssd_id,$R$2,K$6,K$5,$B30),"")</f>
        <v/>
      </c>
      <c r="L30" s="32" t="str">
        <f>IFERROR([1]!IntrinioBankFinancials(rssd_id,$R$2,L$6,L$5,$B30),"")</f>
        <v/>
      </c>
      <c r="M30" s="32" t="str">
        <f>IFERROR([1]!IntrinioBankFinancials(rssd_id,$R$2,M$6,M$5,$B30),"")</f>
        <v/>
      </c>
      <c r="N30" s="32" t="str">
        <f>IFERROR([1]!IntrinioBankFinancials(rssd_id,$R$2,N$6,N$5,$B30),"")</f>
        <v/>
      </c>
      <c r="O30" s="32" t="str">
        <f>IFERROR([1]!IntrinioBankFinancials(rssd_id,$R$2,O$6,O$5,$B30),"")</f>
        <v/>
      </c>
    </row>
    <row r="31" spans="1:15" s="22" customFormat="1" ht="13.5" customHeight="1" x14ac:dyDescent="0.4">
      <c r="A31" s="34" t="s">
        <v>767</v>
      </c>
      <c r="B31" s="23" t="s">
        <v>768</v>
      </c>
      <c r="C31" s="32" t="str">
        <f>IFERROR([1]!IntrinioBankFinancials(rssd_id,$R$2,C$6,C$5,$B31),"")</f>
        <v/>
      </c>
      <c r="D31" s="32" t="str">
        <f>IFERROR([1]!IntrinioBankFinancials(rssd_id,$R$2,D$6,D$5,$B31),"")</f>
        <v/>
      </c>
      <c r="E31" s="32" t="str">
        <f>IFERROR([1]!IntrinioBankFinancials(rssd_id,$R$2,E$6,E$5,$B31),"")</f>
        <v/>
      </c>
      <c r="F31" s="32" t="str">
        <f>IFERROR([1]!IntrinioBankFinancials(rssd_id,$R$2,F$6,F$5,$B31),"")</f>
        <v/>
      </c>
      <c r="G31" s="32" t="str">
        <f>IFERROR([1]!IntrinioBankFinancials(rssd_id,$R$2,G$6,G$5,$B31),"")</f>
        <v/>
      </c>
      <c r="H31" s="32" t="str">
        <f>IFERROR([1]!IntrinioBankFinancials(rssd_id,$R$2,H$6,H$5,$B31),"")</f>
        <v/>
      </c>
      <c r="I31" s="32" t="str">
        <f>IFERROR([1]!IntrinioBankFinancials(rssd_id,$R$2,I$6,I$5,$B31),"")</f>
        <v/>
      </c>
      <c r="J31" s="32" t="str">
        <f>IFERROR([1]!IntrinioBankFinancials(rssd_id,$R$2,J$6,J$5,$B31),"")</f>
        <v/>
      </c>
      <c r="K31" s="32" t="str">
        <f>IFERROR([1]!IntrinioBankFinancials(rssd_id,$R$2,K$6,K$5,$B31),"")</f>
        <v/>
      </c>
      <c r="L31" s="32" t="str">
        <f>IFERROR([1]!IntrinioBankFinancials(rssd_id,$R$2,L$6,L$5,$B31),"")</f>
        <v/>
      </c>
      <c r="M31" s="32" t="str">
        <f>IFERROR([1]!IntrinioBankFinancials(rssd_id,$R$2,M$6,M$5,$B31),"")</f>
        <v/>
      </c>
      <c r="N31" s="32" t="str">
        <f>IFERROR([1]!IntrinioBankFinancials(rssd_id,$R$2,N$6,N$5,$B31),"")</f>
        <v/>
      </c>
      <c r="O31" s="32" t="str">
        <f>IFERROR([1]!IntrinioBankFinancials(rssd_id,$R$2,O$6,O$5,$B31),"")</f>
        <v/>
      </c>
    </row>
    <row r="32" spans="1:15" s="22" customFormat="1" ht="13.5" customHeight="1" x14ac:dyDescent="0.4">
      <c r="A32" s="34" t="s">
        <v>769</v>
      </c>
      <c r="B32" s="23" t="s">
        <v>770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s="22" customFormat="1" ht="13.5" customHeight="1" x14ac:dyDescent="0.4">
      <c r="A33" s="34" t="s">
        <v>771</v>
      </c>
      <c r="B33" s="23" t="s">
        <v>772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s="22" customFormat="1" ht="13.5" customHeight="1" x14ac:dyDescent="0.4">
      <c r="A34" s="34" t="s">
        <v>773</v>
      </c>
      <c r="B34" s="23" t="s">
        <v>774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3.5" customHeight="1" x14ac:dyDescent="0.4">
      <c r="A35" s="34" t="s">
        <v>775</v>
      </c>
      <c r="B35" s="23" t="s">
        <v>776</v>
      </c>
      <c r="C35" s="32" t="str">
        <f>IFERROR([1]!IntrinioBankFinancials(rssd_id,$R$2,C$6,C$5,$B35),"")</f>
        <v/>
      </c>
      <c r="D35" s="32" t="str">
        <f>IFERROR([1]!IntrinioBankFinancials(rssd_id,$R$2,D$6,D$5,$B35),"")</f>
        <v/>
      </c>
      <c r="E35" s="32" t="str">
        <f>IFERROR([1]!IntrinioBankFinancials(rssd_id,$R$2,E$6,E$5,$B35),"")</f>
        <v/>
      </c>
      <c r="F35" s="32" t="str">
        <f>IFERROR([1]!IntrinioBankFinancials(rssd_id,$R$2,F$6,F$5,$B35),"")</f>
        <v/>
      </c>
      <c r="G35" s="32" t="str">
        <f>IFERROR([1]!IntrinioBankFinancials(rssd_id,$R$2,G$6,G$5,$B35),"")</f>
        <v/>
      </c>
      <c r="H35" s="32" t="str">
        <f>IFERROR([1]!IntrinioBankFinancials(rssd_id,$R$2,H$6,H$5,$B35),"")</f>
        <v/>
      </c>
      <c r="I35" s="32" t="str">
        <f>IFERROR([1]!IntrinioBankFinancials(rssd_id,$R$2,I$6,I$5,$B35),"")</f>
        <v/>
      </c>
      <c r="J35" s="32" t="str">
        <f>IFERROR([1]!IntrinioBankFinancials(rssd_id,$R$2,J$6,J$5,$B35),"")</f>
        <v/>
      </c>
      <c r="K35" s="32" t="str">
        <f>IFERROR([1]!IntrinioBankFinancials(rssd_id,$R$2,K$6,K$5,$B35),"")</f>
        <v/>
      </c>
      <c r="L35" s="32" t="str">
        <f>IFERROR([1]!IntrinioBankFinancials(rssd_id,$R$2,L$6,L$5,$B35),"")</f>
        <v/>
      </c>
      <c r="M35" s="32" t="str">
        <f>IFERROR([1]!IntrinioBankFinancials(rssd_id,$R$2,M$6,M$5,$B35),"")</f>
        <v/>
      </c>
      <c r="N35" s="32" t="str">
        <f>IFERROR([1]!IntrinioBankFinancials(rssd_id,$R$2,N$6,N$5,$B35),"")</f>
        <v/>
      </c>
      <c r="O35" s="32" t="str">
        <f>IFERROR([1]!IntrinioBankFinancials(rssd_id,$R$2,O$6,O$5,$B35),"")</f>
        <v/>
      </c>
    </row>
    <row r="36" spans="1:15" s="22" customFormat="1" ht="13.5" customHeight="1" x14ac:dyDescent="0.4">
      <c r="A36" s="34" t="s">
        <v>777</v>
      </c>
      <c r="B36" s="23" t="s">
        <v>778</v>
      </c>
      <c r="C36" s="32" t="str">
        <f>IFERROR([1]!IntrinioBankFinancials(rssd_id,$R$2,C$6,C$5,$B36),"")</f>
        <v/>
      </c>
      <c r="D36" s="32" t="str">
        <f>IFERROR([1]!IntrinioBankFinancials(rssd_id,$R$2,D$6,D$5,$B36),"")</f>
        <v/>
      </c>
      <c r="E36" s="32" t="str">
        <f>IFERROR([1]!IntrinioBankFinancials(rssd_id,$R$2,E$6,E$5,$B36),"")</f>
        <v/>
      </c>
      <c r="F36" s="32" t="str">
        <f>IFERROR([1]!IntrinioBankFinancials(rssd_id,$R$2,F$6,F$5,$B36),"")</f>
        <v/>
      </c>
      <c r="G36" s="32" t="str">
        <f>IFERROR([1]!IntrinioBankFinancials(rssd_id,$R$2,G$6,G$5,$B36),"")</f>
        <v/>
      </c>
      <c r="H36" s="32" t="str">
        <f>IFERROR([1]!IntrinioBankFinancials(rssd_id,$R$2,H$6,H$5,$B36),"")</f>
        <v/>
      </c>
      <c r="I36" s="32" t="str">
        <f>IFERROR([1]!IntrinioBankFinancials(rssd_id,$R$2,I$6,I$5,$B36),"")</f>
        <v/>
      </c>
      <c r="J36" s="32" t="str">
        <f>IFERROR([1]!IntrinioBankFinancials(rssd_id,$R$2,J$6,J$5,$B36),"")</f>
        <v/>
      </c>
      <c r="K36" s="32" t="str">
        <f>IFERROR([1]!IntrinioBankFinancials(rssd_id,$R$2,K$6,K$5,$B36),"")</f>
        <v/>
      </c>
      <c r="L36" s="32" t="str">
        <f>IFERROR([1]!IntrinioBankFinancials(rssd_id,$R$2,L$6,L$5,$B36),"")</f>
        <v/>
      </c>
      <c r="M36" s="32" t="str">
        <f>IFERROR([1]!IntrinioBankFinancials(rssd_id,$R$2,M$6,M$5,$B36),"")</f>
        <v/>
      </c>
      <c r="N36" s="32" t="str">
        <f>IFERROR([1]!IntrinioBankFinancials(rssd_id,$R$2,N$6,N$5,$B36),"")</f>
        <v/>
      </c>
      <c r="O36" s="32" t="str">
        <f>IFERROR([1]!IntrinioBankFinancials(rssd_id,$R$2,O$6,O$5,$B36),"")</f>
        <v/>
      </c>
    </row>
    <row r="37" spans="1:15" s="22" customFormat="1" ht="13.5" customHeight="1" x14ac:dyDescent="0.4">
      <c r="A37" s="34" t="s">
        <v>779</v>
      </c>
      <c r="B37" s="23" t="s">
        <v>780</v>
      </c>
      <c r="C37" s="32" t="str">
        <f>IFERROR([1]!IntrinioBankFinancials(rssd_id,$R$2,C$6,C$5,$B37),"")</f>
        <v/>
      </c>
      <c r="D37" s="32" t="str">
        <f>IFERROR([1]!IntrinioBankFinancials(rssd_id,$R$2,D$6,D$5,$B37),"")</f>
        <v/>
      </c>
      <c r="E37" s="32" t="str">
        <f>IFERROR([1]!IntrinioBankFinancials(rssd_id,$R$2,E$6,E$5,$B37),"")</f>
        <v/>
      </c>
      <c r="F37" s="32" t="str">
        <f>IFERROR([1]!IntrinioBankFinancials(rssd_id,$R$2,F$6,F$5,$B37),"")</f>
        <v/>
      </c>
      <c r="G37" s="32" t="str">
        <f>IFERROR([1]!IntrinioBankFinancials(rssd_id,$R$2,G$6,G$5,$B37),"")</f>
        <v/>
      </c>
      <c r="H37" s="32" t="str">
        <f>IFERROR([1]!IntrinioBankFinancials(rssd_id,$R$2,H$6,H$5,$B37),"")</f>
        <v/>
      </c>
      <c r="I37" s="32" t="str">
        <f>IFERROR([1]!IntrinioBankFinancials(rssd_id,$R$2,I$6,I$5,$B37),"")</f>
        <v/>
      </c>
      <c r="J37" s="32" t="str">
        <f>IFERROR([1]!IntrinioBankFinancials(rssd_id,$R$2,J$6,J$5,$B37),"")</f>
        <v/>
      </c>
      <c r="K37" s="32" t="str">
        <f>IFERROR([1]!IntrinioBankFinancials(rssd_id,$R$2,K$6,K$5,$B37),"")</f>
        <v/>
      </c>
      <c r="L37" s="32" t="str">
        <f>IFERROR([1]!IntrinioBankFinancials(rssd_id,$R$2,L$6,L$5,$B37),"")</f>
        <v/>
      </c>
      <c r="M37" s="32" t="str">
        <f>IFERROR([1]!IntrinioBankFinancials(rssd_id,$R$2,M$6,M$5,$B37),"")</f>
        <v/>
      </c>
      <c r="N37" s="32" t="str">
        <f>IFERROR([1]!IntrinioBankFinancials(rssd_id,$R$2,N$6,N$5,$B37),"")</f>
        <v/>
      </c>
      <c r="O37" s="32" t="str">
        <f>IFERROR([1]!IntrinioBankFinancials(rssd_id,$R$2,O$6,O$5,$B37),"")</f>
        <v/>
      </c>
    </row>
    <row r="38" spans="1:15" s="22" customFormat="1" ht="13.5" customHeight="1" x14ac:dyDescent="0.4">
      <c r="A38" s="34" t="s">
        <v>769</v>
      </c>
      <c r="B38" s="23" t="s">
        <v>781</v>
      </c>
      <c r="C38" s="32" t="str">
        <f>IFERROR([1]!IntrinioBankFinancials(rssd_id,$R$2,C$6,C$5,$B38),"")</f>
        <v/>
      </c>
      <c r="D38" s="32" t="str">
        <f>IFERROR([1]!IntrinioBankFinancials(rssd_id,$R$2,D$6,D$5,$B38),"")</f>
        <v/>
      </c>
      <c r="E38" s="32" t="str">
        <f>IFERROR([1]!IntrinioBankFinancials(rssd_id,$R$2,E$6,E$5,$B38),"")</f>
        <v/>
      </c>
      <c r="F38" s="32" t="str">
        <f>IFERROR([1]!IntrinioBankFinancials(rssd_id,$R$2,F$6,F$5,$B38),"")</f>
        <v/>
      </c>
      <c r="G38" s="32" t="str">
        <f>IFERROR([1]!IntrinioBankFinancials(rssd_id,$R$2,G$6,G$5,$B38),"")</f>
        <v/>
      </c>
      <c r="H38" s="32" t="str">
        <f>IFERROR([1]!IntrinioBankFinancials(rssd_id,$R$2,H$6,H$5,$B38),"")</f>
        <v/>
      </c>
      <c r="I38" s="32" t="str">
        <f>IFERROR([1]!IntrinioBankFinancials(rssd_id,$R$2,I$6,I$5,$B38),"")</f>
        <v/>
      </c>
      <c r="J38" s="32" t="str">
        <f>IFERROR([1]!IntrinioBankFinancials(rssd_id,$R$2,J$6,J$5,$B38),"")</f>
        <v/>
      </c>
      <c r="K38" s="32" t="str">
        <f>IFERROR([1]!IntrinioBankFinancials(rssd_id,$R$2,K$6,K$5,$B38),"")</f>
        <v/>
      </c>
      <c r="L38" s="32" t="str">
        <f>IFERROR([1]!IntrinioBankFinancials(rssd_id,$R$2,L$6,L$5,$B38),"")</f>
        <v/>
      </c>
      <c r="M38" s="32" t="str">
        <f>IFERROR([1]!IntrinioBankFinancials(rssd_id,$R$2,M$6,M$5,$B38),"")</f>
        <v/>
      </c>
      <c r="N38" s="32" t="str">
        <f>IFERROR([1]!IntrinioBankFinancials(rssd_id,$R$2,N$6,N$5,$B38),"")</f>
        <v/>
      </c>
      <c r="O38" s="32" t="str">
        <f>IFERROR([1]!IntrinioBankFinancials(rssd_id,$R$2,O$6,O$5,$B38),"")</f>
        <v/>
      </c>
    </row>
    <row r="39" spans="1:15" s="22" customFormat="1" ht="13.5" customHeight="1" x14ac:dyDescent="0.4">
      <c r="A39" s="33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</row>
    <row r="40" spans="1:15" s="22" customFormat="1" ht="13.5" customHeight="1" x14ac:dyDescent="0.4">
      <c r="A40" s="33" t="s">
        <v>786</v>
      </c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</row>
    <row r="41" spans="1:15" s="22" customFormat="1" ht="13.5" customHeight="1" x14ac:dyDescent="0.4">
      <c r="A41" s="34" t="s">
        <v>749</v>
      </c>
      <c r="B41" s="23" t="s">
        <v>782</v>
      </c>
      <c r="C41" s="32" t="str">
        <f>IFERROR([1]!IntrinioBankFinancials(rssd_id,$R$2,C$6,C$5,$B41),"")</f>
        <v/>
      </c>
      <c r="D41" s="32" t="str">
        <f>IFERROR([1]!IntrinioBankFinancials(rssd_id,$R$2,D$6,D$5,$B41),"")</f>
        <v/>
      </c>
      <c r="E41" s="32" t="str">
        <f>IFERROR([1]!IntrinioBankFinancials(rssd_id,$R$2,E$6,E$5,$B41),"")</f>
        <v/>
      </c>
      <c r="F41" s="32" t="str">
        <f>IFERROR([1]!IntrinioBankFinancials(rssd_id,$R$2,F$6,F$5,$B41),"")</f>
        <v/>
      </c>
      <c r="G41" s="32" t="str">
        <f>IFERROR([1]!IntrinioBankFinancials(rssd_id,$R$2,G$6,G$5,$B41),"")</f>
        <v/>
      </c>
      <c r="H41" s="32" t="str">
        <f>IFERROR([1]!IntrinioBankFinancials(rssd_id,$R$2,H$6,H$5,$B41),"")</f>
        <v/>
      </c>
      <c r="I41" s="32" t="str">
        <f>IFERROR([1]!IntrinioBankFinancials(rssd_id,$R$2,I$6,I$5,$B41),"")</f>
        <v/>
      </c>
      <c r="J41" s="32" t="str">
        <f>IFERROR([1]!IntrinioBankFinancials(rssd_id,$R$2,J$6,J$5,$B41),"")</f>
        <v/>
      </c>
      <c r="K41" s="32" t="str">
        <f>IFERROR([1]!IntrinioBankFinancials(rssd_id,$R$2,K$6,K$5,$B41),"")</f>
        <v/>
      </c>
      <c r="L41" s="32" t="str">
        <f>IFERROR([1]!IntrinioBankFinancials(rssd_id,$R$2,L$6,L$5,$B41),"")</f>
        <v/>
      </c>
      <c r="M41" s="32" t="str">
        <f>IFERROR([1]!IntrinioBankFinancials(rssd_id,$R$2,M$6,M$5,$B41),"")</f>
        <v/>
      </c>
      <c r="N41" s="32" t="str">
        <f>IFERROR([1]!IntrinioBankFinancials(rssd_id,$R$2,N$6,N$5,$B41),"")</f>
        <v/>
      </c>
      <c r="O41" s="32" t="str">
        <f>IFERROR([1]!IntrinioBankFinancials(rssd_id,$R$2,O$6,O$5,$B41),"")</f>
        <v/>
      </c>
    </row>
    <row r="42" spans="1:15" s="22" customFormat="1" ht="13.5" customHeight="1" x14ac:dyDescent="0.4">
      <c r="A42" s="34" t="s">
        <v>751</v>
      </c>
      <c r="B42" s="23" t="s">
        <v>783</v>
      </c>
      <c r="C42" s="32" t="str">
        <f>IFERROR([1]!IntrinioBankFinancials(rssd_id,$R$2,C$6,C$5,$B42),"")</f>
        <v/>
      </c>
      <c r="D42" s="32" t="str">
        <f>IFERROR([1]!IntrinioBankFinancials(rssd_id,$R$2,D$6,D$5,$B42),"")</f>
        <v/>
      </c>
      <c r="E42" s="32" t="str">
        <f>IFERROR([1]!IntrinioBankFinancials(rssd_id,$R$2,E$6,E$5,$B42),"")</f>
        <v/>
      </c>
      <c r="F42" s="32" t="str">
        <f>IFERROR([1]!IntrinioBankFinancials(rssd_id,$R$2,F$6,F$5,$B42),"")</f>
        <v/>
      </c>
      <c r="G42" s="32" t="str">
        <f>IFERROR([1]!IntrinioBankFinancials(rssd_id,$R$2,G$6,G$5,$B42),"")</f>
        <v/>
      </c>
      <c r="H42" s="32" t="str">
        <f>IFERROR([1]!IntrinioBankFinancials(rssd_id,$R$2,H$6,H$5,$B42),"")</f>
        <v/>
      </c>
      <c r="I42" s="32" t="str">
        <f>IFERROR([1]!IntrinioBankFinancials(rssd_id,$R$2,I$6,I$5,$B42),"")</f>
        <v/>
      </c>
      <c r="J42" s="32" t="str">
        <f>IFERROR([1]!IntrinioBankFinancials(rssd_id,$R$2,J$6,J$5,$B42),"")</f>
        <v/>
      </c>
      <c r="K42" s="32" t="str">
        <f>IFERROR([1]!IntrinioBankFinancials(rssd_id,$R$2,K$6,K$5,$B42),"")</f>
        <v/>
      </c>
      <c r="L42" s="32" t="str">
        <f>IFERROR([1]!IntrinioBankFinancials(rssd_id,$R$2,L$6,L$5,$B42),"")</f>
        <v/>
      </c>
      <c r="M42" s="32" t="str">
        <f>IFERROR([1]!IntrinioBankFinancials(rssd_id,$R$2,M$6,M$5,$B42),"")</f>
        <v/>
      </c>
      <c r="N42" s="32" t="str">
        <f>IFERROR([1]!IntrinioBankFinancials(rssd_id,$R$2,N$6,N$5,$B42),"")</f>
        <v/>
      </c>
      <c r="O42" s="32" t="str">
        <f>IFERROR([1]!IntrinioBankFinancials(rssd_id,$R$2,O$6,O$5,$B42),"")</f>
        <v/>
      </c>
    </row>
    <row r="43" spans="1:15" s="22" customFormat="1" ht="13.5" customHeight="1" x14ac:dyDescent="0.4">
      <c r="A43" s="34" t="s">
        <v>753</v>
      </c>
      <c r="B43" s="23" t="s">
        <v>784</v>
      </c>
      <c r="C43" s="32" t="str">
        <f>IFERROR([1]!IntrinioBankFinancials(rssd_id,$R$2,C$6,C$5,$B43),"")</f>
        <v/>
      </c>
      <c r="D43" s="32" t="str">
        <f>IFERROR([1]!IntrinioBankFinancials(rssd_id,$R$2,D$6,D$5,$B43),"")</f>
        <v/>
      </c>
      <c r="E43" s="32" t="str">
        <f>IFERROR([1]!IntrinioBankFinancials(rssd_id,$R$2,E$6,E$5,$B43),"")</f>
        <v/>
      </c>
      <c r="F43" s="32" t="str">
        <f>IFERROR([1]!IntrinioBankFinancials(rssd_id,$R$2,F$6,F$5,$B43),"")</f>
        <v/>
      </c>
      <c r="G43" s="32" t="str">
        <f>IFERROR([1]!IntrinioBankFinancials(rssd_id,$R$2,G$6,G$5,$B43),"")</f>
        <v/>
      </c>
      <c r="H43" s="32" t="str">
        <f>IFERROR([1]!IntrinioBankFinancials(rssd_id,$R$2,H$6,H$5,$B43),"")</f>
        <v/>
      </c>
      <c r="I43" s="32" t="str">
        <f>IFERROR([1]!IntrinioBankFinancials(rssd_id,$R$2,I$6,I$5,$B43),"")</f>
        <v/>
      </c>
      <c r="J43" s="32" t="str">
        <f>IFERROR([1]!IntrinioBankFinancials(rssd_id,$R$2,J$6,J$5,$B43),"")</f>
        <v/>
      </c>
      <c r="K43" s="32" t="str">
        <f>IFERROR([1]!IntrinioBankFinancials(rssd_id,$R$2,K$6,K$5,$B43),"")</f>
        <v/>
      </c>
      <c r="L43" s="32" t="str">
        <f>IFERROR([1]!IntrinioBankFinancials(rssd_id,$R$2,L$6,L$5,$B43),"")</f>
        <v/>
      </c>
      <c r="M43" s="32" t="str">
        <f>IFERROR([1]!IntrinioBankFinancials(rssd_id,$R$2,M$6,M$5,$B43),"")</f>
        <v/>
      </c>
      <c r="N43" s="32" t="str">
        <f>IFERROR([1]!IntrinioBankFinancials(rssd_id,$R$2,N$6,N$5,$B43),"")</f>
        <v/>
      </c>
      <c r="O43" s="32" t="str">
        <f>IFERROR([1]!IntrinioBankFinancials(rssd_id,$R$2,O$6,O$5,$B43),"")</f>
        <v/>
      </c>
    </row>
  </sheetData>
  <pageMargins left="0.7" right="0.7" top="0.75" bottom="0.75" header="0.3" footer="0.3"/>
  <pageSetup fitToHeight="2" orientation="landscape" r:id="rId1"/>
  <headerFooter>
    <oddFooter>&amp;L&amp;G&amp;R&amp;P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4"/>
    <pageSetUpPr fitToPage="1"/>
  </sheetPr>
  <dimension ref="A1:R68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4" width="13.640625" style="3" customWidth="1"/>
    <col min="15" max="15" width="14.3554687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790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1196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886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791</v>
      </c>
      <c r="B9" s="23" t="s">
        <v>792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3.5" customHeight="1" x14ac:dyDescent="0.4">
      <c r="A10" s="34" t="s">
        <v>793</v>
      </c>
      <c r="B10" s="23" t="s">
        <v>794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3.5" customHeight="1" x14ac:dyDescent="0.4">
      <c r="A11" s="34" t="s">
        <v>795</v>
      </c>
      <c r="B11" s="23" t="s">
        <v>796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3.5" customHeight="1" x14ac:dyDescent="0.4">
      <c r="A12" s="34" t="s">
        <v>797</v>
      </c>
      <c r="B12" s="23" t="s">
        <v>798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3.5" customHeight="1" x14ac:dyDescent="0.4">
      <c r="A13" s="34" t="s">
        <v>799</v>
      </c>
      <c r="B13" s="23" t="s">
        <v>800</v>
      </c>
      <c r="C13" s="32" t="str">
        <f>IFERROR([1]!IntrinioBankFinancials(rssd_id,$R$2,C$6,C$5,$B13),"")</f>
        <v/>
      </c>
      <c r="D13" s="32" t="str">
        <f>IFERROR([1]!IntrinioBankFinancials(rssd_id,$R$2,D$6,D$5,$B13),"")</f>
        <v/>
      </c>
      <c r="E13" s="32" t="str">
        <f>IFERROR([1]!IntrinioBankFinancials(rssd_id,$R$2,E$6,E$5,$B13),"")</f>
        <v/>
      </c>
      <c r="F13" s="32" t="str">
        <f>IFERROR([1]!IntrinioBankFinancials(rssd_id,$R$2,F$6,F$5,$B13),"")</f>
        <v/>
      </c>
      <c r="G13" s="32" t="str">
        <f>IFERROR([1]!IntrinioBankFinancials(rssd_id,$R$2,G$6,G$5,$B13),"")</f>
        <v/>
      </c>
      <c r="H13" s="32" t="str">
        <f>IFERROR([1]!IntrinioBankFinancials(rssd_id,$R$2,H$6,H$5,$B13),"")</f>
        <v/>
      </c>
      <c r="I13" s="32" t="str">
        <f>IFERROR([1]!IntrinioBankFinancials(rssd_id,$R$2,I$6,I$5,$B13),"")</f>
        <v/>
      </c>
      <c r="J13" s="32" t="str">
        <f>IFERROR([1]!IntrinioBankFinancials(rssd_id,$R$2,J$6,J$5,$B13),"")</f>
        <v/>
      </c>
      <c r="K13" s="32" t="str">
        <f>IFERROR([1]!IntrinioBankFinancials(rssd_id,$R$2,K$6,K$5,$B13),"")</f>
        <v/>
      </c>
      <c r="L13" s="32" t="str">
        <f>IFERROR([1]!IntrinioBankFinancials(rssd_id,$R$2,L$6,L$5,$B13),"")</f>
        <v/>
      </c>
      <c r="M13" s="32" t="str">
        <f>IFERROR([1]!IntrinioBankFinancials(rssd_id,$R$2,M$6,M$5,$B13),"")</f>
        <v/>
      </c>
      <c r="N13" s="32" t="str">
        <f>IFERROR([1]!IntrinioBankFinancials(rssd_id,$R$2,N$6,N$5,$B13),"")</f>
        <v/>
      </c>
      <c r="O13" s="32" t="str">
        <f>IFERROR([1]!IntrinioBankFinancials(rssd_id,$R$2,O$6,O$5,$B13),"")</f>
        <v/>
      </c>
    </row>
    <row r="14" spans="1:18" s="22" customFormat="1" ht="13.5" customHeight="1" x14ac:dyDescent="0.4">
      <c r="A14" s="34" t="s">
        <v>801</v>
      </c>
      <c r="B14" s="23" t="s">
        <v>802</v>
      </c>
      <c r="C14" s="32" t="str">
        <f>IFERROR([1]!IntrinioBankFinancials(rssd_id,$R$2,C$6,C$5,$B14),"")</f>
        <v/>
      </c>
      <c r="D14" s="32" t="str">
        <f>IFERROR([1]!IntrinioBankFinancials(rssd_id,$R$2,D$6,D$5,$B14),"")</f>
        <v/>
      </c>
      <c r="E14" s="32" t="str">
        <f>IFERROR([1]!IntrinioBankFinancials(rssd_id,$R$2,E$6,E$5,$B14),"")</f>
        <v/>
      </c>
      <c r="F14" s="32" t="str">
        <f>IFERROR([1]!IntrinioBankFinancials(rssd_id,$R$2,F$6,F$5,$B14),"")</f>
        <v/>
      </c>
      <c r="G14" s="32" t="str">
        <f>IFERROR([1]!IntrinioBankFinancials(rssd_id,$R$2,G$6,G$5,$B14),"")</f>
        <v/>
      </c>
      <c r="H14" s="32" t="str">
        <f>IFERROR([1]!IntrinioBankFinancials(rssd_id,$R$2,H$6,H$5,$B14),"")</f>
        <v/>
      </c>
      <c r="I14" s="32" t="str">
        <f>IFERROR([1]!IntrinioBankFinancials(rssd_id,$R$2,I$6,I$5,$B14),"")</f>
        <v/>
      </c>
      <c r="J14" s="32" t="str">
        <f>IFERROR([1]!IntrinioBankFinancials(rssd_id,$R$2,J$6,J$5,$B14),"")</f>
        <v/>
      </c>
      <c r="K14" s="32" t="str">
        <f>IFERROR([1]!IntrinioBankFinancials(rssd_id,$R$2,K$6,K$5,$B14),"")</f>
        <v/>
      </c>
      <c r="L14" s="32" t="str">
        <f>IFERROR([1]!IntrinioBankFinancials(rssd_id,$R$2,L$6,L$5,$B14),"")</f>
        <v/>
      </c>
      <c r="M14" s="32" t="str">
        <f>IFERROR([1]!IntrinioBankFinancials(rssd_id,$R$2,M$6,M$5,$B14),"")</f>
        <v/>
      </c>
      <c r="N14" s="32" t="str">
        <f>IFERROR([1]!IntrinioBankFinancials(rssd_id,$R$2,N$6,N$5,$B14),"")</f>
        <v/>
      </c>
      <c r="O14" s="32" t="str">
        <f>IFERROR([1]!IntrinioBankFinancials(rssd_id,$R$2,O$6,O$5,$B14),"")</f>
        <v/>
      </c>
    </row>
    <row r="15" spans="1:18" s="22" customFormat="1" ht="13.5" customHeight="1" x14ac:dyDescent="0.4">
      <c r="A15" s="34" t="s">
        <v>803</v>
      </c>
      <c r="B15" s="23" t="s">
        <v>804</v>
      </c>
      <c r="C15" s="32" t="str">
        <f>IFERROR([1]!IntrinioBankFinancials(rssd_id,$R$2,C$6,C$5,$B15),"")</f>
        <v/>
      </c>
      <c r="D15" s="32" t="str">
        <f>IFERROR([1]!IntrinioBankFinancials(rssd_id,$R$2,D$6,D$5,$B15),"")</f>
        <v/>
      </c>
      <c r="E15" s="32" t="str">
        <f>IFERROR([1]!IntrinioBankFinancials(rssd_id,$R$2,E$6,E$5,$B15),"")</f>
        <v/>
      </c>
      <c r="F15" s="32" t="str">
        <f>IFERROR([1]!IntrinioBankFinancials(rssd_id,$R$2,F$6,F$5,$B15),"")</f>
        <v/>
      </c>
      <c r="G15" s="32" t="str">
        <f>IFERROR([1]!IntrinioBankFinancials(rssd_id,$R$2,G$6,G$5,$B15),"")</f>
        <v/>
      </c>
      <c r="H15" s="32" t="str">
        <f>IFERROR([1]!IntrinioBankFinancials(rssd_id,$R$2,H$6,H$5,$B15),"")</f>
        <v/>
      </c>
      <c r="I15" s="32" t="str">
        <f>IFERROR([1]!IntrinioBankFinancials(rssd_id,$R$2,I$6,I$5,$B15),"")</f>
        <v/>
      </c>
      <c r="J15" s="32" t="str">
        <f>IFERROR([1]!IntrinioBankFinancials(rssd_id,$R$2,J$6,J$5,$B15),"")</f>
        <v/>
      </c>
      <c r="K15" s="32" t="str">
        <f>IFERROR([1]!IntrinioBankFinancials(rssd_id,$R$2,K$6,K$5,$B15),"")</f>
        <v/>
      </c>
      <c r="L15" s="32" t="str">
        <f>IFERROR([1]!IntrinioBankFinancials(rssd_id,$R$2,L$6,L$5,$B15),"")</f>
        <v/>
      </c>
      <c r="M15" s="32" t="str">
        <f>IFERROR([1]!IntrinioBankFinancials(rssd_id,$R$2,M$6,M$5,$B15),"")</f>
        <v/>
      </c>
      <c r="N15" s="32" t="str">
        <f>IFERROR([1]!IntrinioBankFinancials(rssd_id,$R$2,N$6,N$5,$B15),"")</f>
        <v/>
      </c>
      <c r="O15" s="32" t="str">
        <f>IFERROR([1]!IntrinioBankFinancials(rssd_id,$R$2,O$6,O$5,$B15),"")</f>
        <v/>
      </c>
    </row>
    <row r="16" spans="1:18" s="22" customFormat="1" ht="13.5" customHeight="1" x14ac:dyDescent="0.4">
      <c r="A16" s="34" t="s">
        <v>805</v>
      </c>
      <c r="B16" s="23" t="s">
        <v>806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3.5" customHeight="1" x14ac:dyDescent="0.4">
      <c r="A17" s="34" t="s">
        <v>807</v>
      </c>
      <c r="B17" s="23" t="s">
        <v>808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3.5" customHeight="1" x14ac:dyDescent="0.4">
      <c r="A18" s="34" t="s">
        <v>809</v>
      </c>
      <c r="B18" s="23" t="s">
        <v>810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3.5" customHeight="1" x14ac:dyDescent="0.4">
      <c r="A19" s="34" t="s">
        <v>321</v>
      </c>
      <c r="B19" s="23" t="s">
        <v>811</v>
      </c>
      <c r="C19" s="32" t="str">
        <f>IFERROR([1]!IntrinioBankFinancials(rssd_id,$R$2,C$6,C$5,$B19),"")</f>
        <v/>
      </c>
      <c r="D19" s="32" t="str">
        <f>IFERROR([1]!IntrinioBankFinancials(rssd_id,$R$2,D$6,D$5,$B19),"")</f>
        <v/>
      </c>
      <c r="E19" s="32" t="str">
        <f>IFERROR([1]!IntrinioBankFinancials(rssd_id,$R$2,E$6,E$5,$B19),"")</f>
        <v/>
      </c>
      <c r="F19" s="32" t="str">
        <f>IFERROR([1]!IntrinioBankFinancials(rssd_id,$R$2,F$6,F$5,$B19),"")</f>
        <v/>
      </c>
      <c r="G19" s="32" t="str">
        <f>IFERROR([1]!IntrinioBankFinancials(rssd_id,$R$2,G$6,G$5,$B19),"")</f>
        <v/>
      </c>
      <c r="H19" s="32" t="str">
        <f>IFERROR([1]!IntrinioBankFinancials(rssd_id,$R$2,H$6,H$5,$B19),"")</f>
        <v/>
      </c>
      <c r="I19" s="32" t="str">
        <f>IFERROR([1]!IntrinioBankFinancials(rssd_id,$R$2,I$6,I$5,$B19),"")</f>
        <v/>
      </c>
      <c r="J19" s="32" t="str">
        <f>IFERROR([1]!IntrinioBankFinancials(rssd_id,$R$2,J$6,J$5,$B19),"")</f>
        <v/>
      </c>
      <c r="K19" s="32" t="str">
        <f>IFERROR([1]!IntrinioBankFinancials(rssd_id,$R$2,K$6,K$5,$B19),"")</f>
        <v/>
      </c>
      <c r="L19" s="32" t="str">
        <f>IFERROR([1]!IntrinioBankFinancials(rssd_id,$R$2,L$6,L$5,$B19),"")</f>
        <v/>
      </c>
      <c r="M19" s="32" t="str">
        <f>IFERROR([1]!IntrinioBankFinancials(rssd_id,$R$2,M$6,M$5,$B19),"")</f>
        <v/>
      </c>
      <c r="N19" s="32" t="str">
        <f>IFERROR([1]!IntrinioBankFinancials(rssd_id,$R$2,N$6,N$5,$B19),"")</f>
        <v/>
      </c>
      <c r="O19" s="32" t="str">
        <f>IFERROR([1]!IntrinioBankFinancials(rssd_id,$R$2,O$6,O$5,$B19),"")</f>
        <v/>
      </c>
    </row>
    <row r="20" spans="1:15" s="22" customFormat="1" ht="13.5" customHeight="1" x14ac:dyDescent="0.4">
      <c r="A20" s="34" t="s">
        <v>812</v>
      </c>
      <c r="B20" s="23" t="s">
        <v>813</v>
      </c>
      <c r="C20" s="32" t="str">
        <f>IFERROR([1]!IntrinioBankFinancials(rssd_id,$R$2,C$6,C$5,$B20),"")</f>
        <v/>
      </c>
      <c r="D20" s="32" t="str">
        <f>IFERROR([1]!IntrinioBankFinancials(rssd_id,$R$2,D$6,D$5,$B20),"")</f>
        <v/>
      </c>
      <c r="E20" s="32" t="str">
        <f>IFERROR([1]!IntrinioBankFinancials(rssd_id,$R$2,E$6,E$5,$B20),"")</f>
        <v/>
      </c>
      <c r="F20" s="32" t="str">
        <f>IFERROR([1]!IntrinioBankFinancials(rssd_id,$R$2,F$6,F$5,$B20),"")</f>
        <v/>
      </c>
      <c r="G20" s="32" t="str">
        <f>IFERROR([1]!IntrinioBankFinancials(rssd_id,$R$2,G$6,G$5,$B20),"")</f>
        <v/>
      </c>
      <c r="H20" s="32" t="str">
        <f>IFERROR([1]!IntrinioBankFinancials(rssd_id,$R$2,H$6,H$5,$B20),"")</f>
        <v/>
      </c>
      <c r="I20" s="32" t="str">
        <f>IFERROR([1]!IntrinioBankFinancials(rssd_id,$R$2,I$6,I$5,$B20),"")</f>
        <v/>
      </c>
      <c r="J20" s="32" t="str">
        <f>IFERROR([1]!IntrinioBankFinancials(rssd_id,$R$2,J$6,J$5,$B20),"")</f>
        <v/>
      </c>
      <c r="K20" s="32" t="str">
        <f>IFERROR([1]!IntrinioBankFinancials(rssd_id,$R$2,K$6,K$5,$B20),"")</f>
        <v/>
      </c>
      <c r="L20" s="32" t="str">
        <f>IFERROR([1]!IntrinioBankFinancials(rssd_id,$R$2,L$6,L$5,$B20),"")</f>
        <v/>
      </c>
      <c r="M20" s="32" t="str">
        <f>IFERROR([1]!IntrinioBankFinancials(rssd_id,$R$2,M$6,M$5,$B20),"")</f>
        <v/>
      </c>
      <c r="N20" s="32" t="str">
        <f>IFERROR([1]!IntrinioBankFinancials(rssd_id,$R$2,N$6,N$5,$B20),"")</f>
        <v/>
      </c>
      <c r="O20" s="32" t="str">
        <f>IFERROR([1]!IntrinioBankFinancials(rssd_id,$R$2,O$6,O$5,$B20),"")</f>
        <v/>
      </c>
    </row>
    <row r="21" spans="1:15" s="22" customFormat="1" ht="13.5" customHeight="1" x14ac:dyDescent="0.4">
      <c r="A21" s="33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</row>
    <row r="22" spans="1:15" s="22" customFormat="1" ht="13.5" customHeight="1" x14ac:dyDescent="0.4">
      <c r="A22" s="33" t="s">
        <v>888</v>
      </c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</row>
    <row r="23" spans="1:15" s="22" customFormat="1" ht="13.5" customHeight="1" x14ac:dyDescent="0.4">
      <c r="A23" s="34" t="s">
        <v>814</v>
      </c>
      <c r="B23" s="23" t="s">
        <v>815</v>
      </c>
      <c r="C23" s="32" t="str">
        <f>IFERROR([1]!IntrinioBankFinancials(rssd_id,$R$2,C$6,C$5,$B23),"")</f>
        <v/>
      </c>
      <c r="D23" s="32" t="str">
        <f>IFERROR([1]!IntrinioBankFinancials(rssd_id,$R$2,D$6,D$5,$B23),"")</f>
        <v/>
      </c>
      <c r="E23" s="32" t="str">
        <f>IFERROR([1]!IntrinioBankFinancials(rssd_id,$R$2,E$6,E$5,$B23),"")</f>
        <v/>
      </c>
      <c r="F23" s="32" t="str">
        <f>IFERROR([1]!IntrinioBankFinancials(rssd_id,$R$2,F$6,F$5,$B23),"")</f>
        <v/>
      </c>
      <c r="G23" s="32" t="str">
        <f>IFERROR([1]!IntrinioBankFinancials(rssd_id,$R$2,G$6,G$5,$B23),"")</f>
        <v/>
      </c>
      <c r="H23" s="32" t="str">
        <f>IFERROR([1]!IntrinioBankFinancials(rssd_id,$R$2,H$6,H$5,$B23),"")</f>
        <v/>
      </c>
      <c r="I23" s="32" t="str">
        <f>IFERROR([1]!IntrinioBankFinancials(rssd_id,$R$2,I$6,I$5,$B23),"")</f>
        <v/>
      </c>
      <c r="J23" s="32" t="str">
        <f>IFERROR([1]!IntrinioBankFinancials(rssd_id,$R$2,J$6,J$5,$B23),"")</f>
        <v/>
      </c>
      <c r="K23" s="32" t="str">
        <f>IFERROR([1]!IntrinioBankFinancials(rssd_id,$R$2,K$6,K$5,$B23),"")</f>
        <v/>
      </c>
      <c r="L23" s="32" t="str">
        <f>IFERROR([1]!IntrinioBankFinancials(rssd_id,$R$2,L$6,L$5,$B23),"")</f>
        <v/>
      </c>
      <c r="M23" s="32" t="str">
        <f>IFERROR([1]!IntrinioBankFinancials(rssd_id,$R$2,M$6,M$5,$B23),"")</f>
        <v/>
      </c>
      <c r="N23" s="32" t="str">
        <f>IFERROR([1]!IntrinioBankFinancials(rssd_id,$R$2,N$6,N$5,$B23),"")</f>
        <v/>
      </c>
      <c r="O23" s="32" t="str">
        <f>IFERROR([1]!IntrinioBankFinancials(rssd_id,$R$2,O$6,O$5,$B23),"")</f>
        <v/>
      </c>
    </row>
    <row r="24" spans="1:15" s="22" customFormat="1" ht="13.5" customHeight="1" x14ac:dyDescent="0.4">
      <c r="A24" s="34" t="s">
        <v>816</v>
      </c>
      <c r="B24" s="23" t="s">
        <v>817</v>
      </c>
      <c r="C24" s="32" t="str">
        <f>IFERROR([1]!IntrinioBankFinancials(rssd_id,$R$2,C$6,C$5,$B24),"")</f>
        <v/>
      </c>
      <c r="D24" s="32" t="str">
        <f>IFERROR([1]!IntrinioBankFinancials(rssd_id,$R$2,D$6,D$5,$B24),"")</f>
        <v/>
      </c>
      <c r="E24" s="32" t="str">
        <f>IFERROR([1]!IntrinioBankFinancials(rssd_id,$R$2,E$6,E$5,$B24),"")</f>
        <v/>
      </c>
      <c r="F24" s="32" t="str">
        <f>IFERROR([1]!IntrinioBankFinancials(rssd_id,$R$2,F$6,F$5,$B24),"")</f>
        <v/>
      </c>
      <c r="G24" s="32" t="str">
        <f>IFERROR([1]!IntrinioBankFinancials(rssd_id,$R$2,G$6,G$5,$B24),"")</f>
        <v/>
      </c>
      <c r="H24" s="32" t="str">
        <f>IFERROR([1]!IntrinioBankFinancials(rssd_id,$R$2,H$6,H$5,$B24),"")</f>
        <v/>
      </c>
      <c r="I24" s="32" t="str">
        <f>IFERROR([1]!IntrinioBankFinancials(rssd_id,$R$2,I$6,I$5,$B24),"")</f>
        <v/>
      </c>
      <c r="J24" s="32" t="str">
        <f>IFERROR([1]!IntrinioBankFinancials(rssd_id,$R$2,J$6,J$5,$B24),"")</f>
        <v/>
      </c>
      <c r="K24" s="32" t="str">
        <f>IFERROR([1]!IntrinioBankFinancials(rssd_id,$R$2,K$6,K$5,$B24),"")</f>
        <v/>
      </c>
      <c r="L24" s="32" t="str">
        <f>IFERROR([1]!IntrinioBankFinancials(rssd_id,$R$2,L$6,L$5,$B24),"")</f>
        <v/>
      </c>
      <c r="M24" s="32" t="str">
        <f>IFERROR([1]!IntrinioBankFinancials(rssd_id,$R$2,M$6,M$5,$B24),"")</f>
        <v/>
      </c>
      <c r="N24" s="32" t="str">
        <f>IFERROR([1]!IntrinioBankFinancials(rssd_id,$R$2,N$6,N$5,$B24),"")</f>
        <v/>
      </c>
      <c r="O24" s="32" t="str">
        <f>IFERROR([1]!IntrinioBankFinancials(rssd_id,$R$2,O$6,O$5,$B24),"")</f>
        <v/>
      </c>
    </row>
    <row r="25" spans="1:15" s="22" customFormat="1" ht="13.5" customHeight="1" x14ac:dyDescent="0.4">
      <c r="A25" s="34" t="s">
        <v>818</v>
      </c>
      <c r="B25" s="23" t="s">
        <v>819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3.5" customHeight="1" x14ac:dyDescent="0.4">
      <c r="A26" s="34" t="s">
        <v>65</v>
      </c>
      <c r="B26" s="23" t="s">
        <v>820</v>
      </c>
      <c r="C26" s="32" t="str">
        <f>IFERROR([1]!IntrinioBankFinancials(rssd_id,$R$2,C$6,C$5,$B26),"")</f>
        <v/>
      </c>
      <c r="D26" s="32" t="str">
        <f>IFERROR([1]!IntrinioBankFinancials(rssd_id,$R$2,D$6,D$5,$B26),"")</f>
        <v/>
      </c>
      <c r="E26" s="32" t="str">
        <f>IFERROR([1]!IntrinioBankFinancials(rssd_id,$R$2,E$6,E$5,$B26),"")</f>
        <v/>
      </c>
      <c r="F26" s="32" t="str">
        <f>IFERROR([1]!IntrinioBankFinancials(rssd_id,$R$2,F$6,F$5,$B26),"")</f>
        <v/>
      </c>
      <c r="G26" s="32" t="str">
        <f>IFERROR([1]!IntrinioBankFinancials(rssd_id,$R$2,G$6,G$5,$B26),"")</f>
        <v/>
      </c>
      <c r="H26" s="32" t="str">
        <f>IFERROR([1]!IntrinioBankFinancials(rssd_id,$R$2,H$6,H$5,$B26),"")</f>
        <v/>
      </c>
      <c r="I26" s="32" t="str">
        <f>IFERROR([1]!IntrinioBankFinancials(rssd_id,$R$2,I$6,I$5,$B26),"")</f>
        <v/>
      </c>
      <c r="J26" s="32" t="str">
        <f>IFERROR([1]!IntrinioBankFinancials(rssd_id,$R$2,J$6,J$5,$B26),"")</f>
        <v/>
      </c>
      <c r="K26" s="32" t="str">
        <f>IFERROR([1]!IntrinioBankFinancials(rssd_id,$R$2,K$6,K$5,$B26),"")</f>
        <v/>
      </c>
      <c r="L26" s="32" t="str">
        <f>IFERROR([1]!IntrinioBankFinancials(rssd_id,$R$2,L$6,L$5,$B26),"")</f>
        <v/>
      </c>
      <c r="M26" s="32" t="str">
        <f>IFERROR([1]!IntrinioBankFinancials(rssd_id,$R$2,M$6,M$5,$B26),"")</f>
        <v/>
      </c>
      <c r="N26" s="32" t="str">
        <f>IFERROR([1]!IntrinioBankFinancials(rssd_id,$R$2,N$6,N$5,$B26),"")</f>
        <v/>
      </c>
      <c r="O26" s="32" t="str">
        <f>IFERROR([1]!IntrinioBankFinancials(rssd_id,$R$2,O$6,O$5,$B26),"")</f>
        <v/>
      </c>
    </row>
    <row r="27" spans="1:15" s="22" customFormat="1" ht="13.5" customHeight="1" x14ac:dyDescent="0.4">
      <c r="A27" s="34" t="s">
        <v>821</v>
      </c>
      <c r="B27" s="23" t="s">
        <v>822</v>
      </c>
      <c r="C27" s="32" t="str">
        <f>IFERROR([1]!IntrinioBankFinancials(rssd_id,$R$2,C$6,C$5,$B27),"")</f>
        <v/>
      </c>
      <c r="D27" s="32" t="str">
        <f>IFERROR([1]!IntrinioBankFinancials(rssd_id,$R$2,D$6,D$5,$B27),"")</f>
        <v/>
      </c>
      <c r="E27" s="32" t="str">
        <f>IFERROR([1]!IntrinioBankFinancials(rssd_id,$R$2,E$6,E$5,$B27),"")</f>
        <v/>
      </c>
      <c r="F27" s="32" t="str">
        <f>IFERROR([1]!IntrinioBankFinancials(rssd_id,$R$2,F$6,F$5,$B27),"")</f>
        <v/>
      </c>
      <c r="G27" s="32" t="str">
        <f>IFERROR([1]!IntrinioBankFinancials(rssd_id,$R$2,G$6,G$5,$B27),"")</f>
        <v/>
      </c>
      <c r="H27" s="32" t="str">
        <f>IFERROR([1]!IntrinioBankFinancials(rssd_id,$R$2,H$6,H$5,$B27),"")</f>
        <v/>
      </c>
      <c r="I27" s="32" t="str">
        <f>IFERROR([1]!IntrinioBankFinancials(rssd_id,$R$2,I$6,I$5,$B27),"")</f>
        <v/>
      </c>
      <c r="J27" s="32" t="str">
        <f>IFERROR([1]!IntrinioBankFinancials(rssd_id,$R$2,J$6,J$5,$B27),"")</f>
        <v/>
      </c>
      <c r="K27" s="32" t="str">
        <f>IFERROR([1]!IntrinioBankFinancials(rssd_id,$R$2,K$6,K$5,$B27),"")</f>
        <v/>
      </c>
      <c r="L27" s="32" t="str">
        <f>IFERROR([1]!IntrinioBankFinancials(rssd_id,$R$2,L$6,L$5,$B27),"")</f>
        <v/>
      </c>
      <c r="M27" s="32" t="str">
        <f>IFERROR([1]!IntrinioBankFinancials(rssd_id,$R$2,M$6,M$5,$B27),"")</f>
        <v/>
      </c>
      <c r="N27" s="32" t="str">
        <f>IFERROR([1]!IntrinioBankFinancials(rssd_id,$R$2,N$6,N$5,$B27),"")</f>
        <v/>
      </c>
      <c r="O27" s="32" t="str">
        <f>IFERROR([1]!IntrinioBankFinancials(rssd_id,$R$2,O$6,O$5,$B27),"")</f>
        <v/>
      </c>
    </row>
    <row r="28" spans="1:15" s="22" customFormat="1" ht="13.5" customHeight="1" x14ac:dyDescent="0.4">
      <c r="A28" s="34" t="s">
        <v>823</v>
      </c>
      <c r="B28" s="23" t="s">
        <v>824</v>
      </c>
      <c r="C28" s="32" t="str">
        <f>IFERROR([1]!IntrinioBankFinancials(rssd_id,$R$2,C$6,C$5,$B28),"")</f>
        <v/>
      </c>
      <c r="D28" s="32" t="str">
        <f>IFERROR([1]!IntrinioBankFinancials(rssd_id,$R$2,D$6,D$5,$B28),"")</f>
        <v/>
      </c>
      <c r="E28" s="32" t="str">
        <f>IFERROR([1]!IntrinioBankFinancials(rssd_id,$R$2,E$6,E$5,$B28),"")</f>
        <v/>
      </c>
      <c r="F28" s="32" t="str">
        <f>IFERROR([1]!IntrinioBankFinancials(rssd_id,$R$2,F$6,F$5,$B28),"")</f>
        <v/>
      </c>
      <c r="G28" s="32" t="str">
        <f>IFERROR([1]!IntrinioBankFinancials(rssd_id,$R$2,G$6,G$5,$B28),"")</f>
        <v/>
      </c>
      <c r="H28" s="32" t="str">
        <f>IFERROR([1]!IntrinioBankFinancials(rssd_id,$R$2,H$6,H$5,$B28),"")</f>
        <v/>
      </c>
      <c r="I28" s="32" t="str">
        <f>IFERROR([1]!IntrinioBankFinancials(rssd_id,$R$2,I$6,I$5,$B28),"")</f>
        <v/>
      </c>
      <c r="J28" s="32" t="str">
        <f>IFERROR([1]!IntrinioBankFinancials(rssd_id,$R$2,J$6,J$5,$B28),"")</f>
        <v/>
      </c>
      <c r="K28" s="32" t="str">
        <f>IFERROR([1]!IntrinioBankFinancials(rssd_id,$R$2,K$6,K$5,$B28),"")</f>
        <v/>
      </c>
      <c r="L28" s="32" t="str">
        <f>IFERROR([1]!IntrinioBankFinancials(rssd_id,$R$2,L$6,L$5,$B28),"")</f>
        <v/>
      </c>
      <c r="M28" s="32" t="str">
        <f>IFERROR([1]!IntrinioBankFinancials(rssd_id,$R$2,M$6,M$5,$B28),"")</f>
        <v/>
      </c>
      <c r="N28" s="32" t="str">
        <f>IFERROR([1]!IntrinioBankFinancials(rssd_id,$R$2,N$6,N$5,$B28),"")</f>
        <v/>
      </c>
      <c r="O28" s="32" t="str">
        <f>IFERROR([1]!IntrinioBankFinancials(rssd_id,$R$2,O$6,O$5,$B28),"")</f>
        <v/>
      </c>
    </row>
    <row r="29" spans="1:15" s="22" customFormat="1" ht="13.5" customHeight="1" x14ac:dyDescent="0.4">
      <c r="A29" s="34" t="s">
        <v>825</v>
      </c>
      <c r="B29" s="23" t="s">
        <v>826</v>
      </c>
      <c r="C29" s="32" t="str">
        <f>IFERROR([1]!IntrinioBankFinancials(rssd_id,$R$2,C$6,C$5,$B29),"")</f>
        <v/>
      </c>
      <c r="D29" s="32" t="str">
        <f>IFERROR([1]!IntrinioBankFinancials(rssd_id,$R$2,D$6,D$5,$B29),"")</f>
        <v/>
      </c>
      <c r="E29" s="32" t="str">
        <f>IFERROR([1]!IntrinioBankFinancials(rssd_id,$R$2,E$6,E$5,$B29),"")</f>
        <v/>
      </c>
      <c r="F29" s="32" t="str">
        <f>IFERROR([1]!IntrinioBankFinancials(rssd_id,$R$2,F$6,F$5,$B29),"")</f>
        <v/>
      </c>
      <c r="G29" s="32" t="str">
        <f>IFERROR([1]!IntrinioBankFinancials(rssd_id,$R$2,G$6,G$5,$B29),"")</f>
        <v/>
      </c>
      <c r="H29" s="32" t="str">
        <f>IFERROR([1]!IntrinioBankFinancials(rssd_id,$R$2,H$6,H$5,$B29),"")</f>
        <v/>
      </c>
      <c r="I29" s="32" t="str">
        <f>IFERROR([1]!IntrinioBankFinancials(rssd_id,$R$2,I$6,I$5,$B29),"")</f>
        <v/>
      </c>
      <c r="J29" s="32" t="str">
        <f>IFERROR([1]!IntrinioBankFinancials(rssd_id,$R$2,J$6,J$5,$B29),"")</f>
        <v/>
      </c>
      <c r="K29" s="32" t="str">
        <f>IFERROR([1]!IntrinioBankFinancials(rssd_id,$R$2,K$6,K$5,$B29),"")</f>
        <v/>
      </c>
      <c r="L29" s="32" t="str">
        <f>IFERROR([1]!IntrinioBankFinancials(rssd_id,$R$2,L$6,L$5,$B29),"")</f>
        <v/>
      </c>
      <c r="M29" s="32" t="str">
        <f>IFERROR([1]!IntrinioBankFinancials(rssd_id,$R$2,M$6,M$5,$B29),"")</f>
        <v/>
      </c>
      <c r="N29" s="32" t="str">
        <f>IFERROR([1]!IntrinioBankFinancials(rssd_id,$R$2,N$6,N$5,$B29),"")</f>
        <v/>
      </c>
      <c r="O29" s="32" t="str">
        <f>IFERROR([1]!IntrinioBankFinancials(rssd_id,$R$2,O$6,O$5,$B29),"")</f>
        <v/>
      </c>
    </row>
    <row r="30" spans="1:15" s="22" customFormat="1" ht="13.5" customHeight="1" x14ac:dyDescent="0.4">
      <c r="A30" s="34" t="s">
        <v>827</v>
      </c>
      <c r="B30" s="23" t="s">
        <v>828</v>
      </c>
      <c r="C30" s="32" t="str">
        <f>IFERROR([1]!IntrinioBankFinancials(rssd_id,$R$2,C$6,C$5,$B30),"")</f>
        <v/>
      </c>
      <c r="D30" s="32" t="str">
        <f>IFERROR([1]!IntrinioBankFinancials(rssd_id,$R$2,D$6,D$5,$B30),"")</f>
        <v/>
      </c>
      <c r="E30" s="32" t="str">
        <f>IFERROR([1]!IntrinioBankFinancials(rssd_id,$R$2,E$6,E$5,$B30),"")</f>
        <v/>
      </c>
      <c r="F30" s="32" t="str">
        <f>IFERROR([1]!IntrinioBankFinancials(rssd_id,$R$2,F$6,F$5,$B30),"")</f>
        <v/>
      </c>
      <c r="G30" s="32" t="str">
        <f>IFERROR([1]!IntrinioBankFinancials(rssd_id,$R$2,G$6,G$5,$B30),"")</f>
        <v/>
      </c>
      <c r="H30" s="32" t="str">
        <f>IFERROR([1]!IntrinioBankFinancials(rssd_id,$R$2,H$6,H$5,$B30),"")</f>
        <v/>
      </c>
      <c r="I30" s="32" t="str">
        <f>IFERROR([1]!IntrinioBankFinancials(rssd_id,$R$2,I$6,I$5,$B30),"")</f>
        <v/>
      </c>
      <c r="J30" s="32" t="str">
        <f>IFERROR([1]!IntrinioBankFinancials(rssd_id,$R$2,J$6,J$5,$B30),"")</f>
        <v/>
      </c>
      <c r="K30" s="32" t="str">
        <f>IFERROR([1]!IntrinioBankFinancials(rssd_id,$R$2,K$6,K$5,$B30),"")</f>
        <v/>
      </c>
      <c r="L30" s="32" t="str">
        <f>IFERROR([1]!IntrinioBankFinancials(rssd_id,$R$2,L$6,L$5,$B30),"")</f>
        <v/>
      </c>
      <c r="M30" s="32" t="str">
        <f>IFERROR([1]!IntrinioBankFinancials(rssd_id,$R$2,M$6,M$5,$B30),"")</f>
        <v/>
      </c>
      <c r="N30" s="32" t="str">
        <f>IFERROR([1]!IntrinioBankFinancials(rssd_id,$R$2,N$6,N$5,$B30),"")</f>
        <v/>
      </c>
      <c r="O30" s="32" t="str">
        <f>IFERROR([1]!IntrinioBankFinancials(rssd_id,$R$2,O$6,O$5,$B30),"")</f>
        <v/>
      </c>
    </row>
    <row r="31" spans="1:15" s="22" customFormat="1" ht="13.5" customHeight="1" x14ac:dyDescent="0.4">
      <c r="A31" s="34" t="s">
        <v>829</v>
      </c>
      <c r="B31" s="23" t="s">
        <v>830</v>
      </c>
      <c r="C31" s="32" t="str">
        <f>IFERROR([1]!IntrinioBankFinancials(rssd_id,$R$2,C$6,C$5,$B31),"")</f>
        <v/>
      </c>
      <c r="D31" s="32" t="str">
        <f>IFERROR([1]!IntrinioBankFinancials(rssd_id,$R$2,D$6,D$5,$B31),"")</f>
        <v/>
      </c>
      <c r="E31" s="32" t="str">
        <f>IFERROR([1]!IntrinioBankFinancials(rssd_id,$R$2,E$6,E$5,$B31),"")</f>
        <v/>
      </c>
      <c r="F31" s="32" t="str">
        <f>IFERROR([1]!IntrinioBankFinancials(rssd_id,$R$2,F$6,F$5,$B31),"")</f>
        <v/>
      </c>
      <c r="G31" s="32" t="str">
        <f>IFERROR([1]!IntrinioBankFinancials(rssd_id,$R$2,G$6,G$5,$B31),"")</f>
        <v/>
      </c>
      <c r="H31" s="32" t="str">
        <f>IFERROR([1]!IntrinioBankFinancials(rssd_id,$R$2,H$6,H$5,$B31),"")</f>
        <v/>
      </c>
      <c r="I31" s="32" t="str">
        <f>IFERROR([1]!IntrinioBankFinancials(rssd_id,$R$2,I$6,I$5,$B31),"")</f>
        <v/>
      </c>
      <c r="J31" s="32" t="str">
        <f>IFERROR([1]!IntrinioBankFinancials(rssd_id,$R$2,J$6,J$5,$B31),"")</f>
        <v/>
      </c>
      <c r="K31" s="32" t="str">
        <f>IFERROR([1]!IntrinioBankFinancials(rssd_id,$R$2,K$6,K$5,$B31),"")</f>
        <v/>
      </c>
      <c r="L31" s="32" t="str">
        <f>IFERROR([1]!IntrinioBankFinancials(rssd_id,$R$2,L$6,L$5,$B31),"")</f>
        <v/>
      </c>
      <c r="M31" s="32" t="str">
        <f>IFERROR([1]!IntrinioBankFinancials(rssd_id,$R$2,M$6,M$5,$B31),"")</f>
        <v/>
      </c>
      <c r="N31" s="32" t="str">
        <f>IFERROR([1]!IntrinioBankFinancials(rssd_id,$R$2,N$6,N$5,$B31),"")</f>
        <v/>
      </c>
      <c r="O31" s="32" t="str">
        <f>IFERROR([1]!IntrinioBankFinancials(rssd_id,$R$2,O$6,O$5,$B31),"")</f>
        <v/>
      </c>
    </row>
    <row r="32" spans="1:15" s="22" customFormat="1" ht="13.5" customHeight="1" x14ac:dyDescent="0.4">
      <c r="A32" s="34" t="s">
        <v>831</v>
      </c>
      <c r="B32" s="23" t="s">
        <v>832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s="22" customFormat="1" ht="13.5" customHeight="1" x14ac:dyDescent="0.4">
      <c r="A33" s="34" t="s">
        <v>833</v>
      </c>
      <c r="B33" s="23" t="s">
        <v>834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s="22" customFormat="1" ht="13.5" customHeight="1" x14ac:dyDescent="0.4">
      <c r="A34" s="34" t="s">
        <v>835</v>
      </c>
      <c r="B34" s="23" t="s">
        <v>836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3.5" customHeight="1" x14ac:dyDescent="0.4">
      <c r="A35" s="34" t="s">
        <v>837</v>
      </c>
      <c r="B35" s="23" t="s">
        <v>838</v>
      </c>
      <c r="C35" s="32" t="str">
        <f>IFERROR([1]!IntrinioBankFinancials(rssd_id,$R$2,C$6,C$5,$B35),"")</f>
        <v/>
      </c>
      <c r="D35" s="32" t="str">
        <f>IFERROR([1]!IntrinioBankFinancials(rssd_id,$R$2,D$6,D$5,$B35),"")</f>
        <v/>
      </c>
      <c r="E35" s="32" t="str">
        <f>IFERROR([1]!IntrinioBankFinancials(rssd_id,$R$2,E$6,E$5,$B35),"")</f>
        <v/>
      </c>
      <c r="F35" s="32" t="str">
        <f>IFERROR([1]!IntrinioBankFinancials(rssd_id,$R$2,F$6,F$5,$B35),"")</f>
        <v/>
      </c>
      <c r="G35" s="32" t="str">
        <f>IFERROR([1]!IntrinioBankFinancials(rssd_id,$R$2,G$6,G$5,$B35),"")</f>
        <v/>
      </c>
      <c r="H35" s="32" t="str">
        <f>IFERROR([1]!IntrinioBankFinancials(rssd_id,$R$2,H$6,H$5,$B35),"")</f>
        <v/>
      </c>
      <c r="I35" s="32" t="str">
        <f>IFERROR([1]!IntrinioBankFinancials(rssd_id,$R$2,I$6,I$5,$B35),"")</f>
        <v/>
      </c>
      <c r="J35" s="32" t="str">
        <f>IFERROR([1]!IntrinioBankFinancials(rssd_id,$R$2,J$6,J$5,$B35),"")</f>
        <v/>
      </c>
      <c r="K35" s="32" t="str">
        <f>IFERROR([1]!IntrinioBankFinancials(rssd_id,$R$2,K$6,K$5,$B35),"")</f>
        <v/>
      </c>
      <c r="L35" s="32" t="str">
        <f>IFERROR([1]!IntrinioBankFinancials(rssd_id,$R$2,L$6,L$5,$B35),"")</f>
        <v/>
      </c>
      <c r="M35" s="32" t="str">
        <f>IFERROR([1]!IntrinioBankFinancials(rssd_id,$R$2,M$6,M$5,$B35),"")</f>
        <v/>
      </c>
      <c r="N35" s="32" t="str">
        <f>IFERROR([1]!IntrinioBankFinancials(rssd_id,$R$2,N$6,N$5,$B35),"")</f>
        <v/>
      </c>
      <c r="O35" s="32" t="str">
        <f>IFERROR([1]!IntrinioBankFinancials(rssd_id,$R$2,O$6,O$5,$B35),"")</f>
        <v/>
      </c>
    </row>
    <row r="36" spans="1:15" s="22" customFormat="1" ht="13.5" customHeight="1" x14ac:dyDescent="0.4">
      <c r="A36" s="34" t="s">
        <v>839</v>
      </c>
      <c r="B36" s="23" t="s">
        <v>840</v>
      </c>
      <c r="C36" s="32" t="str">
        <f>IFERROR([1]!IntrinioBankFinancials(rssd_id,$R$2,C$6,C$5,$B36),"")</f>
        <v/>
      </c>
      <c r="D36" s="32" t="str">
        <f>IFERROR([1]!IntrinioBankFinancials(rssd_id,$R$2,D$6,D$5,$B36),"")</f>
        <v/>
      </c>
      <c r="E36" s="32" t="str">
        <f>IFERROR([1]!IntrinioBankFinancials(rssd_id,$R$2,E$6,E$5,$B36),"")</f>
        <v/>
      </c>
      <c r="F36" s="32" t="str">
        <f>IFERROR([1]!IntrinioBankFinancials(rssd_id,$R$2,F$6,F$5,$B36),"")</f>
        <v/>
      </c>
      <c r="G36" s="32" t="str">
        <f>IFERROR([1]!IntrinioBankFinancials(rssd_id,$R$2,G$6,G$5,$B36),"")</f>
        <v/>
      </c>
      <c r="H36" s="32" t="str">
        <f>IFERROR([1]!IntrinioBankFinancials(rssd_id,$R$2,H$6,H$5,$B36),"")</f>
        <v/>
      </c>
      <c r="I36" s="32" t="str">
        <f>IFERROR([1]!IntrinioBankFinancials(rssd_id,$R$2,I$6,I$5,$B36),"")</f>
        <v/>
      </c>
      <c r="J36" s="32" t="str">
        <f>IFERROR([1]!IntrinioBankFinancials(rssd_id,$R$2,J$6,J$5,$B36),"")</f>
        <v/>
      </c>
      <c r="K36" s="32" t="str">
        <f>IFERROR([1]!IntrinioBankFinancials(rssd_id,$R$2,K$6,K$5,$B36),"")</f>
        <v/>
      </c>
      <c r="L36" s="32" t="str">
        <f>IFERROR([1]!IntrinioBankFinancials(rssd_id,$R$2,L$6,L$5,$B36),"")</f>
        <v/>
      </c>
      <c r="M36" s="32" t="str">
        <f>IFERROR([1]!IntrinioBankFinancials(rssd_id,$R$2,M$6,M$5,$B36),"")</f>
        <v/>
      </c>
      <c r="N36" s="32" t="str">
        <f>IFERROR([1]!IntrinioBankFinancials(rssd_id,$R$2,N$6,N$5,$B36),"")</f>
        <v/>
      </c>
      <c r="O36" s="32" t="str">
        <f>IFERROR([1]!IntrinioBankFinancials(rssd_id,$R$2,O$6,O$5,$B36),"")</f>
        <v/>
      </c>
    </row>
    <row r="37" spans="1:15" s="22" customFormat="1" ht="13.5" customHeight="1" x14ac:dyDescent="0.4">
      <c r="A37" s="34" t="s">
        <v>841</v>
      </c>
      <c r="B37" s="23" t="s">
        <v>842</v>
      </c>
      <c r="C37" s="32" t="str">
        <f>IFERROR([1]!IntrinioBankFinancials(rssd_id,$R$2,C$6,C$5,$B37),"")</f>
        <v/>
      </c>
      <c r="D37" s="32" t="str">
        <f>IFERROR([1]!IntrinioBankFinancials(rssd_id,$R$2,D$6,D$5,$B37),"")</f>
        <v/>
      </c>
      <c r="E37" s="32" t="str">
        <f>IFERROR([1]!IntrinioBankFinancials(rssd_id,$R$2,E$6,E$5,$B37),"")</f>
        <v/>
      </c>
      <c r="F37" s="32" t="str">
        <f>IFERROR([1]!IntrinioBankFinancials(rssd_id,$R$2,F$6,F$5,$B37),"")</f>
        <v/>
      </c>
      <c r="G37" s="32" t="str">
        <f>IFERROR([1]!IntrinioBankFinancials(rssd_id,$R$2,G$6,G$5,$B37),"")</f>
        <v/>
      </c>
      <c r="H37" s="32" t="str">
        <f>IFERROR([1]!IntrinioBankFinancials(rssd_id,$R$2,H$6,H$5,$B37),"")</f>
        <v/>
      </c>
      <c r="I37" s="32" t="str">
        <f>IFERROR([1]!IntrinioBankFinancials(rssd_id,$R$2,I$6,I$5,$B37),"")</f>
        <v/>
      </c>
      <c r="J37" s="32" t="str">
        <f>IFERROR([1]!IntrinioBankFinancials(rssd_id,$R$2,J$6,J$5,$B37),"")</f>
        <v/>
      </c>
      <c r="K37" s="32" t="str">
        <f>IFERROR([1]!IntrinioBankFinancials(rssd_id,$R$2,K$6,K$5,$B37),"")</f>
        <v/>
      </c>
      <c r="L37" s="32" t="str">
        <f>IFERROR([1]!IntrinioBankFinancials(rssd_id,$R$2,L$6,L$5,$B37),"")</f>
        <v/>
      </c>
      <c r="M37" s="32" t="str">
        <f>IFERROR([1]!IntrinioBankFinancials(rssd_id,$R$2,M$6,M$5,$B37),"")</f>
        <v/>
      </c>
      <c r="N37" s="32" t="str">
        <f>IFERROR([1]!IntrinioBankFinancials(rssd_id,$R$2,N$6,N$5,$B37),"")</f>
        <v/>
      </c>
      <c r="O37" s="32" t="str">
        <f>IFERROR([1]!IntrinioBankFinancials(rssd_id,$R$2,O$6,O$5,$B37),"")</f>
        <v/>
      </c>
    </row>
    <row r="38" spans="1:15" s="22" customFormat="1" ht="13.5" customHeight="1" x14ac:dyDescent="0.4">
      <c r="A38" s="33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</row>
    <row r="39" spans="1:15" s="22" customFormat="1" ht="13.5" customHeight="1" x14ac:dyDescent="0.4">
      <c r="A39" s="33" t="s">
        <v>887</v>
      </c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</row>
    <row r="40" spans="1:15" s="22" customFormat="1" ht="13.5" customHeight="1" x14ac:dyDescent="0.4">
      <c r="A40" s="34" t="s">
        <v>791</v>
      </c>
      <c r="B40" s="23" t="s">
        <v>843</v>
      </c>
      <c r="C40" s="24" t="str">
        <f>IFERROR([1]!IntrinioBankFinancials(rssd_id,$R$2,C$6,C$5,$B40,"K"),"")</f>
        <v/>
      </c>
      <c r="D40" s="24" t="str">
        <f>IFERROR([1]!IntrinioBankFinancials(rssd_id,$R$2,D$6,D$5,$B40,"K"),"")</f>
        <v/>
      </c>
      <c r="E40" s="24" t="str">
        <f>IFERROR([1]!IntrinioBankFinancials(rssd_id,$R$2,E$6,E$5,$B40,"K"),"")</f>
        <v/>
      </c>
      <c r="F40" s="24" t="str">
        <f>IFERROR([1]!IntrinioBankFinancials(rssd_id,$R$2,F$6,F$5,$B40,"K"),"")</f>
        <v/>
      </c>
      <c r="G40" s="24" t="str">
        <f>IFERROR([1]!IntrinioBankFinancials(rssd_id,$R$2,G$6,G$5,$B40,"K"),"")</f>
        <v/>
      </c>
      <c r="H40" s="24" t="str">
        <f>IFERROR([1]!IntrinioBankFinancials(rssd_id,$R$2,H$6,H$5,$B40,"K"),"")</f>
        <v/>
      </c>
      <c r="I40" s="24" t="str">
        <f>IFERROR([1]!IntrinioBankFinancials(rssd_id,$R$2,I$6,I$5,$B40,"K"),"")</f>
        <v/>
      </c>
      <c r="J40" s="24" t="str">
        <f>IFERROR([1]!IntrinioBankFinancials(rssd_id,$R$2,J$6,J$5,$B40,"K"),"")</f>
        <v/>
      </c>
      <c r="K40" s="24" t="str">
        <f>IFERROR([1]!IntrinioBankFinancials(rssd_id,$R$2,K$6,K$5,$B40,"K"),"")</f>
        <v/>
      </c>
      <c r="L40" s="24" t="str">
        <f>IFERROR([1]!IntrinioBankFinancials(rssd_id,$R$2,L$6,L$5,$B40,"K"),"")</f>
        <v/>
      </c>
      <c r="M40" s="24" t="str">
        <f>IFERROR([1]!IntrinioBankFinancials(rssd_id,$R$2,M$6,M$5,$B40,"K"),"")</f>
        <v/>
      </c>
      <c r="N40" s="24" t="str">
        <f>IFERROR([1]!IntrinioBankFinancials(rssd_id,$R$2,N$6,N$5,$B40,"K"),"")</f>
        <v/>
      </c>
      <c r="O40" s="24" t="str">
        <f>IFERROR([1]!IntrinioBankFinancials(rssd_id,$R$2,O$6,O$5,$B40,"K"),"")</f>
        <v/>
      </c>
    </row>
    <row r="41" spans="1:15" s="22" customFormat="1" ht="13.5" customHeight="1" x14ac:dyDescent="0.4">
      <c r="A41" s="34" t="s">
        <v>793</v>
      </c>
      <c r="B41" s="23" t="s">
        <v>844</v>
      </c>
      <c r="C41" s="24" t="str">
        <f>IFERROR([1]!IntrinioBankFinancials(rssd_id,$R$2,C$6,C$5,$B41,"K"),"")</f>
        <v/>
      </c>
      <c r="D41" s="24" t="str">
        <f>IFERROR([1]!IntrinioBankFinancials(rssd_id,$R$2,D$6,D$5,$B41,"K"),"")</f>
        <v/>
      </c>
      <c r="E41" s="24" t="str">
        <f>IFERROR([1]!IntrinioBankFinancials(rssd_id,$R$2,E$6,E$5,$B41,"K"),"")</f>
        <v/>
      </c>
      <c r="F41" s="24" t="str">
        <f>IFERROR([1]!IntrinioBankFinancials(rssd_id,$R$2,F$6,F$5,$B41,"K"),"")</f>
        <v/>
      </c>
      <c r="G41" s="24" t="str">
        <f>IFERROR([1]!IntrinioBankFinancials(rssd_id,$R$2,G$6,G$5,$B41,"K"),"")</f>
        <v/>
      </c>
      <c r="H41" s="24" t="str">
        <f>IFERROR([1]!IntrinioBankFinancials(rssd_id,$R$2,H$6,H$5,$B41,"K"),"")</f>
        <v/>
      </c>
      <c r="I41" s="24" t="str">
        <f>IFERROR([1]!IntrinioBankFinancials(rssd_id,$R$2,I$6,I$5,$B41,"K"),"")</f>
        <v/>
      </c>
      <c r="J41" s="24" t="str">
        <f>IFERROR([1]!IntrinioBankFinancials(rssd_id,$R$2,J$6,J$5,$B41,"K"),"")</f>
        <v/>
      </c>
      <c r="K41" s="24" t="str">
        <f>IFERROR([1]!IntrinioBankFinancials(rssd_id,$R$2,K$6,K$5,$B41,"K"),"")</f>
        <v/>
      </c>
      <c r="L41" s="24" t="str">
        <f>IFERROR([1]!IntrinioBankFinancials(rssd_id,$R$2,L$6,L$5,$B41,"K"),"")</f>
        <v/>
      </c>
      <c r="M41" s="24" t="str">
        <f>IFERROR([1]!IntrinioBankFinancials(rssd_id,$R$2,M$6,M$5,$B41,"K"),"")</f>
        <v/>
      </c>
      <c r="N41" s="24" t="str">
        <f>IFERROR([1]!IntrinioBankFinancials(rssd_id,$R$2,N$6,N$5,$B41,"K"),"")</f>
        <v/>
      </c>
      <c r="O41" s="24" t="str">
        <f>IFERROR([1]!IntrinioBankFinancials(rssd_id,$R$2,O$6,O$5,$B41,"K"),"")</f>
        <v/>
      </c>
    </row>
    <row r="42" spans="1:15" s="22" customFormat="1" ht="13.5" customHeight="1" x14ac:dyDescent="0.4">
      <c r="A42" s="34" t="s">
        <v>795</v>
      </c>
      <c r="B42" s="23" t="s">
        <v>845</v>
      </c>
      <c r="C42" s="24" t="str">
        <f>IFERROR([1]!IntrinioBankFinancials(rssd_id,$R$2,C$6,C$5,$B42,"K"),"")</f>
        <v/>
      </c>
      <c r="D42" s="24" t="str">
        <f>IFERROR([1]!IntrinioBankFinancials(rssd_id,$R$2,D$6,D$5,$B42,"K"),"")</f>
        <v/>
      </c>
      <c r="E42" s="24" t="str">
        <f>IFERROR([1]!IntrinioBankFinancials(rssd_id,$R$2,E$6,E$5,$B42,"K"),"")</f>
        <v/>
      </c>
      <c r="F42" s="24" t="str">
        <f>IFERROR([1]!IntrinioBankFinancials(rssd_id,$R$2,F$6,F$5,$B42,"K"),"")</f>
        <v/>
      </c>
      <c r="G42" s="24" t="str">
        <f>IFERROR([1]!IntrinioBankFinancials(rssd_id,$R$2,G$6,G$5,$B42,"K"),"")</f>
        <v/>
      </c>
      <c r="H42" s="24" t="str">
        <f>IFERROR([1]!IntrinioBankFinancials(rssd_id,$R$2,H$6,H$5,$B42,"K"),"")</f>
        <v/>
      </c>
      <c r="I42" s="24" t="str">
        <f>IFERROR([1]!IntrinioBankFinancials(rssd_id,$R$2,I$6,I$5,$B42,"K"),"")</f>
        <v/>
      </c>
      <c r="J42" s="24" t="str">
        <f>IFERROR([1]!IntrinioBankFinancials(rssd_id,$R$2,J$6,J$5,$B42,"K"),"")</f>
        <v/>
      </c>
      <c r="K42" s="24" t="str">
        <f>IFERROR([1]!IntrinioBankFinancials(rssd_id,$R$2,K$6,K$5,$B42,"K"),"")</f>
        <v/>
      </c>
      <c r="L42" s="24" t="str">
        <f>IFERROR([1]!IntrinioBankFinancials(rssd_id,$R$2,L$6,L$5,$B42,"K"),"")</f>
        <v/>
      </c>
      <c r="M42" s="24" t="str">
        <f>IFERROR([1]!IntrinioBankFinancials(rssd_id,$R$2,M$6,M$5,$B42,"K"),"")</f>
        <v/>
      </c>
      <c r="N42" s="24" t="str">
        <f>IFERROR([1]!IntrinioBankFinancials(rssd_id,$R$2,N$6,N$5,$B42,"K"),"")</f>
        <v/>
      </c>
      <c r="O42" s="24" t="str">
        <f>IFERROR([1]!IntrinioBankFinancials(rssd_id,$R$2,O$6,O$5,$B42,"K"),"")</f>
        <v/>
      </c>
    </row>
    <row r="43" spans="1:15" s="22" customFormat="1" ht="13.5" customHeight="1" x14ac:dyDescent="0.4">
      <c r="A43" s="34" t="s">
        <v>797</v>
      </c>
      <c r="B43" s="23" t="s">
        <v>846</v>
      </c>
      <c r="C43" s="24" t="str">
        <f>IFERROR([1]!IntrinioBankFinancials(rssd_id,$R$2,C$6,C$5,$B43,"K"),"")</f>
        <v/>
      </c>
      <c r="D43" s="24" t="str">
        <f>IFERROR([1]!IntrinioBankFinancials(rssd_id,$R$2,D$6,D$5,$B43,"K"),"")</f>
        <v/>
      </c>
      <c r="E43" s="24" t="str">
        <f>IFERROR([1]!IntrinioBankFinancials(rssd_id,$R$2,E$6,E$5,$B43,"K"),"")</f>
        <v/>
      </c>
      <c r="F43" s="24" t="str">
        <f>IFERROR([1]!IntrinioBankFinancials(rssd_id,$R$2,F$6,F$5,$B43,"K"),"")</f>
        <v/>
      </c>
      <c r="G43" s="24" t="str">
        <f>IFERROR([1]!IntrinioBankFinancials(rssd_id,$R$2,G$6,G$5,$B43,"K"),"")</f>
        <v/>
      </c>
      <c r="H43" s="24" t="str">
        <f>IFERROR([1]!IntrinioBankFinancials(rssd_id,$R$2,H$6,H$5,$B43,"K"),"")</f>
        <v/>
      </c>
      <c r="I43" s="24" t="str">
        <f>IFERROR([1]!IntrinioBankFinancials(rssd_id,$R$2,I$6,I$5,$B43,"K"),"")</f>
        <v/>
      </c>
      <c r="J43" s="24" t="str">
        <f>IFERROR([1]!IntrinioBankFinancials(rssd_id,$R$2,J$6,J$5,$B43,"K"),"")</f>
        <v/>
      </c>
      <c r="K43" s="24" t="str">
        <f>IFERROR([1]!IntrinioBankFinancials(rssd_id,$R$2,K$6,K$5,$B43,"K"),"")</f>
        <v/>
      </c>
      <c r="L43" s="24" t="str">
        <f>IFERROR([1]!IntrinioBankFinancials(rssd_id,$R$2,L$6,L$5,$B43,"K"),"")</f>
        <v/>
      </c>
      <c r="M43" s="24" t="str">
        <f>IFERROR([1]!IntrinioBankFinancials(rssd_id,$R$2,M$6,M$5,$B43,"K"),"")</f>
        <v/>
      </c>
      <c r="N43" s="24" t="str">
        <f>IFERROR([1]!IntrinioBankFinancials(rssd_id,$R$2,N$6,N$5,$B43,"K"),"")</f>
        <v/>
      </c>
      <c r="O43" s="24" t="str">
        <f>IFERROR([1]!IntrinioBankFinancials(rssd_id,$R$2,O$6,O$5,$B43,"K"),"")</f>
        <v/>
      </c>
    </row>
    <row r="44" spans="1:15" s="22" customFormat="1" ht="13.5" customHeight="1" x14ac:dyDescent="0.4">
      <c r="A44" s="34" t="s">
        <v>799</v>
      </c>
      <c r="B44" s="23" t="s">
        <v>847</v>
      </c>
      <c r="C44" s="24" t="str">
        <f>IFERROR([1]!IntrinioBankFinancials(rssd_id,$R$2,C$6,C$5,$B44,"K"),"")</f>
        <v/>
      </c>
      <c r="D44" s="24" t="str">
        <f>IFERROR([1]!IntrinioBankFinancials(rssd_id,$R$2,D$6,D$5,$B44,"K"),"")</f>
        <v/>
      </c>
      <c r="E44" s="24" t="str">
        <f>IFERROR([1]!IntrinioBankFinancials(rssd_id,$R$2,E$6,E$5,$B44,"K"),"")</f>
        <v/>
      </c>
      <c r="F44" s="24" t="str">
        <f>IFERROR([1]!IntrinioBankFinancials(rssd_id,$R$2,F$6,F$5,$B44,"K"),"")</f>
        <v/>
      </c>
      <c r="G44" s="24" t="str">
        <f>IFERROR([1]!IntrinioBankFinancials(rssd_id,$R$2,G$6,G$5,$B44,"K"),"")</f>
        <v/>
      </c>
      <c r="H44" s="24" t="str">
        <f>IFERROR([1]!IntrinioBankFinancials(rssd_id,$R$2,H$6,H$5,$B44,"K"),"")</f>
        <v/>
      </c>
      <c r="I44" s="24" t="str">
        <f>IFERROR([1]!IntrinioBankFinancials(rssd_id,$R$2,I$6,I$5,$B44,"K"),"")</f>
        <v/>
      </c>
      <c r="J44" s="24" t="str">
        <f>IFERROR([1]!IntrinioBankFinancials(rssd_id,$R$2,J$6,J$5,$B44,"K"),"")</f>
        <v/>
      </c>
      <c r="K44" s="24" t="str">
        <f>IFERROR([1]!IntrinioBankFinancials(rssd_id,$R$2,K$6,K$5,$B44,"K"),"")</f>
        <v/>
      </c>
      <c r="L44" s="24" t="str">
        <f>IFERROR([1]!IntrinioBankFinancials(rssd_id,$R$2,L$6,L$5,$B44,"K"),"")</f>
        <v/>
      </c>
      <c r="M44" s="24" t="str">
        <f>IFERROR([1]!IntrinioBankFinancials(rssd_id,$R$2,M$6,M$5,$B44,"K"),"")</f>
        <v/>
      </c>
      <c r="N44" s="24" t="str">
        <f>IFERROR([1]!IntrinioBankFinancials(rssd_id,$R$2,N$6,N$5,$B44,"K"),"")</f>
        <v/>
      </c>
      <c r="O44" s="24" t="str">
        <f>IFERROR([1]!IntrinioBankFinancials(rssd_id,$R$2,O$6,O$5,$B44,"K"),"")</f>
        <v/>
      </c>
    </row>
    <row r="45" spans="1:15" s="22" customFormat="1" ht="13.5" customHeight="1" x14ac:dyDescent="0.4">
      <c r="A45" s="34" t="s">
        <v>805</v>
      </c>
      <c r="B45" s="23" t="s">
        <v>848</v>
      </c>
      <c r="C45" s="24" t="str">
        <f>IFERROR([1]!IntrinioBankFinancials(rssd_id,$R$2,C$6,C$5,$B45,"K"),"")</f>
        <v/>
      </c>
      <c r="D45" s="24" t="str">
        <f>IFERROR([1]!IntrinioBankFinancials(rssd_id,$R$2,D$6,D$5,$B45,"K"),"")</f>
        <v/>
      </c>
      <c r="E45" s="24" t="str">
        <f>IFERROR([1]!IntrinioBankFinancials(rssd_id,$R$2,E$6,E$5,$B45,"K"),"")</f>
        <v/>
      </c>
      <c r="F45" s="24" t="str">
        <f>IFERROR([1]!IntrinioBankFinancials(rssd_id,$R$2,F$6,F$5,$B45,"K"),"")</f>
        <v/>
      </c>
      <c r="G45" s="24" t="str">
        <f>IFERROR([1]!IntrinioBankFinancials(rssd_id,$R$2,G$6,G$5,$B45,"K"),"")</f>
        <v/>
      </c>
      <c r="H45" s="24" t="str">
        <f>IFERROR([1]!IntrinioBankFinancials(rssd_id,$R$2,H$6,H$5,$B45,"K"),"")</f>
        <v/>
      </c>
      <c r="I45" s="24" t="str">
        <f>IFERROR([1]!IntrinioBankFinancials(rssd_id,$R$2,I$6,I$5,$B45,"K"),"")</f>
        <v/>
      </c>
      <c r="J45" s="24" t="str">
        <f>IFERROR([1]!IntrinioBankFinancials(rssd_id,$R$2,J$6,J$5,$B45,"K"),"")</f>
        <v/>
      </c>
      <c r="K45" s="24" t="str">
        <f>IFERROR([1]!IntrinioBankFinancials(rssd_id,$R$2,K$6,K$5,$B45,"K"),"")</f>
        <v/>
      </c>
      <c r="L45" s="24" t="str">
        <f>IFERROR([1]!IntrinioBankFinancials(rssd_id,$R$2,L$6,L$5,$B45,"K"),"")</f>
        <v/>
      </c>
      <c r="M45" s="24" t="str">
        <f>IFERROR([1]!IntrinioBankFinancials(rssd_id,$R$2,M$6,M$5,$B45,"K"),"")</f>
        <v/>
      </c>
      <c r="N45" s="24" t="str">
        <f>IFERROR([1]!IntrinioBankFinancials(rssd_id,$R$2,N$6,N$5,$B45,"K"),"")</f>
        <v/>
      </c>
      <c r="O45" s="24" t="str">
        <f>IFERROR([1]!IntrinioBankFinancials(rssd_id,$R$2,O$6,O$5,$B45,"K"),"")</f>
        <v/>
      </c>
    </row>
    <row r="46" spans="1:15" s="22" customFormat="1" ht="13.5" customHeight="1" x14ac:dyDescent="0.4">
      <c r="A46" s="34" t="s">
        <v>807</v>
      </c>
      <c r="B46" s="23" t="s">
        <v>849</v>
      </c>
      <c r="C46" s="24" t="str">
        <f>IFERROR([1]!IntrinioBankFinancials(rssd_id,$R$2,C$6,C$5,$B46,"K"),"")</f>
        <v/>
      </c>
      <c r="D46" s="24" t="str">
        <f>IFERROR([1]!IntrinioBankFinancials(rssd_id,$R$2,D$6,D$5,$B46,"K"),"")</f>
        <v/>
      </c>
      <c r="E46" s="24" t="str">
        <f>IFERROR([1]!IntrinioBankFinancials(rssd_id,$R$2,E$6,E$5,$B46,"K"),"")</f>
        <v/>
      </c>
      <c r="F46" s="24" t="str">
        <f>IFERROR([1]!IntrinioBankFinancials(rssd_id,$R$2,F$6,F$5,$B46,"K"),"")</f>
        <v/>
      </c>
      <c r="G46" s="24" t="str">
        <f>IFERROR([1]!IntrinioBankFinancials(rssd_id,$R$2,G$6,G$5,$B46,"K"),"")</f>
        <v/>
      </c>
      <c r="H46" s="24" t="str">
        <f>IFERROR([1]!IntrinioBankFinancials(rssd_id,$R$2,H$6,H$5,$B46,"K"),"")</f>
        <v/>
      </c>
      <c r="I46" s="24" t="str">
        <f>IFERROR([1]!IntrinioBankFinancials(rssd_id,$R$2,I$6,I$5,$B46,"K"),"")</f>
        <v/>
      </c>
      <c r="J46" s="24" t="str">
        <f>IFERROR([1]!IntrinioBankFinancials(rssd_id,$R$2,J$6,J$5,$B46,"K"),"")</f>
        <v/>
      </c>
      <c r="K46" s="24" t="str">
        <f>IFERROR([1]!IntrinioBankFinancials(rssd_id,$R$2,K$6,K$5,$B46,"K"),"")</f>
        <v/>
      </c>
      <c r="L46" s="24" t="str">
        <f>IFERROR([1]!IntrinioBankFinancials(rssd_id,$R$2,L$6,L$5,$B46,"K"),"")</f>
        <v/>
      </c>
      <c r="M46" s="24" t="str">
        <f>IFERROR([1]!IntrinioBankFinancials(rssd_id,$R$2,M$6,M$5,$B46,"K"),"")</f>
        <v/>
      </c>
      <c r="N46" s="24" t="str">
        <f>IFERROR([1]!IntrinioBankFinancials(rssd_id,$R$2,N$6,N$5,$B46,"K"),"")</f>
        <v/>
      </c>
      <c r="O46" s="24" t="str">
        <f>IFERROR([1]!IntrinioBankFinancials(rssd_id,$R$2,O$6,O$5,$B46,"K"),"")</f>
        <v/>
      </c>
    </row>
    <row r="47" spans="1:15" s="22" customFormat="1" ht="13.5" customHeight="1" x14ac:dyDescent="0.4">
      <c r="A47" s="34" t="s">
        <v>321</v>
      </c>
      <c r="B47" s="23" t="s">
        <v>850</v>
      </c>
      <c r="C47" s="24" t="str">
        <f>IFERROR([1]!IntrinioBankFinancials(rssd_id,$R$2,C$6,C$5,$B47,"K"),"")</f>
        <v/>
      </c>
      <c r="D47" s="24" t="str">
        <f>IFERROR([1]!IntrinioBankFinancials(rssd_id,$R$2,D$6,D$5,$B47,"K"),"")</f>
        <v/>
      </c>
      <c r="E47" s="24" t="str">
        <f>IFERROR([1]!IntrinioBankFinancials(rssd_id,$R$2,E$6,E$5,$B47,"K"),"")</f>
        <v/>
      </c>
      <c r="F47" s="24" t="str">
        <f>IFERROR([1]!IntrinioBankFinancials(rssd_id,$R$2,F$6,F$5,$B47,"K"),"")</f>
        <v/>
      </c>
      <c r="G47" s="24" t="str">
        <f>IFERROR([1]!IntrinioBankFinancials(rssd_id,$R$2,G$6,G$5,$B47,"K"),"")</f>
        <v/>
      </c>
      <c r="H47" s="24" t="str">
        <f>IFERROR([1]!IntrinioBankFinancials(rssd_id,$R$2,H$6,H$5,$B47,"K"),"")</f>
        <v/>
      </c>
      <c r="I47" s="24" t="str">
        <f>IFERROR([1]!IntrinioBankFinancials(rssd_id,$R$2,I$6,I$5,$B47,"K"),"")</f>
        <v/>
      </c>
      <c r="J47" s="24" t="str">
        <f>IFERROR([1]!IntrinioBankFinancials(rssd_id,$R$2,J$6,J$5,$B47,"K"),"")</f>
        <v/>
      </c>
      <c r="K47" s="24" t="str">
        <f>IFERROR([1]!IntrinioBankFinancials(rssd_id,$R$2,K$6,K$5,$B47,"K"),"")</f>
        <v/>
      </c>
      <c r="L47" s="24" t="str">
        <f>IFERROR([1]!IntrinioBankFinancials(rssd_id,$R$2,L$6,L$5,$B47,"K"),"")</f>
        <v/>
      </c>
      <c r="M47" s="24" t="str">
        <f>IFERROR([1]!IntrinioBankFinancials(rssd_id,$R$2,M$6,M$5,$B47,"K"),"")</f>
        <v/>
      </c>
      <c r="N47" s="24" t="str">
        <f>IFERROR([1]!IntrinioBankFinancials(rssd_id,$R$2,N$6,N$5,$B47,"K"),"")</f>
        <v/>
      </c>
      <c r="O47" s="24" t="str">
        <f>IFERROR([1]!IntrinioBankFinancials(rssd_id,$R$2,O$6,O$5,$B47,"K"),"")</f>
        <v/>
      </c>
    </row>
    <row r="48" spans="1:15" s="22" customFormat="1" ht="13.5" customHeight="1" x14ac:dyDescent="0.4">
      <c r="A48" s="34" t="s">
        <v>812</v>
      </c>
      <c r="B48" s="23" t="s">
        <v>851</v>
      </c>
      <c r="C48" s="24" t="str">
        <f>IFERROR([1]!IntrinioBankFinancials(rssd_id,$R$2,C$6,C$5,$B48,"K"),"")</f>
        <v/>
      </c>
      <c r="D48" s="24" t="str">
        <f>IFERROR([1]!IntrinioBankFinancials(rssd_id,$R$2,D$6,D$5,$B48,"K"),"")</f>
        <v/>
      </c>
      <c r="E48" s="24" t="str">
        <f>IFERROR([1]!IntrinioBankFinancials(rssd_id,$R$2,E$6,E$5,$B48,"K"),"")</f>
        <v/>
      </c>
      <c r="F48" s="24" t="str">
        <f>IFERROR([1]!IntrinioBankFinancials(rssd_id,$R$2,F$6,F$5,$B48,"K"),"")</f>
        <v/>
      </c>
      <c r="G48" s="24" t="str">
        <f>IFERROR([1]!IntrinioBankFinancials(rssd_id,$R$2,G$6,G$5,$B48,"K"),"")</f>
        <v/>
      </c>
      <c r="H48" s="24" t="str">
        <f>IFERROR([1]!IntrinioBankFinancials(rssd_id,$R$2,H$6,H$5,$B48,"K"),"")</f>
        <v/>
      </c>
      <c r="I48" s="24" t="str">
        <f>IFERROR([1]!IntrinioBankFinancials(rssd_id,$R$2,I$6,I$5,$B48,"K"),"")</f>
        <v/>
      </c>
      <c r="J48" s="24" t="str">
        <f>IFERROR([1]!IntrinioBankFinancials(rssd_id,$R$2,J$6,J$5,$B48,"K"),"")</f>
        <v/>
      </c>
      <c r="K48" s="24" t="str">
        <f>IFERROR([1]!IntrinioBankFinancials(rssd_id,$R$2,K$6,K$5,$B48,"K"),"")</f>
        <v/>
      </c>
      <c r="L48" s="24" t="str">
        <f>IFERROR([1]!IntrinioBankFinancials(rssd_id,$R$2,L$6,L$5,$B48,"K"),"")</f>
        <v/>
      </c>
      <c r="M48" s="24" t="str">
        <f>IFERROR([1]!IntrinioBankFinancials(rssd_id,$R$2,M$6,M$5,$B48,"K"),"")</f>
        <v/>
      </c>
      <c r="N48" s="24" t="str">
        <f>IFERROR([1]!IntrinioBankFinancials(rssd_id,$R$2,N$6,N$5,$B48,"K"),"")</f>
        <v/>
      </c>
      <c r="O48" s="24" t="str">
        <f>IFERROR([1]!IntrinioBankFinancials(rssd_id,$R$2,O$6,O$5,$B48,"K"),"")</f>
        <v/>
      </c>
    </row>
    <row r="49" spans="1:15" s="22" customFormat="1" ht="13.5" customHeight="1" x14ac:dyDescent="0.4">
      <c r="A49" s="33"/>
      <c r="B49" s="20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s="22" customFormat="1" ht="13.5" customHeight="1" x14ac:dyDescent="0.4">
      <c r="A50" s="33" t="s">
        <v>889</v>
      </c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  <row r="51" spans="1:15" s="22" customFormat="1" ht="13.5" customHeight="1" x14ac:dyDescent="0.4">
      <c r="A51" s="34" t="s">
        <v>852</v>
      </c>
      <c r="B51" s="23" t="s">
        <v>853</v>
      </c>
      <c r="C51" s="24" t="str">
        <f>IFERROR([1]!IntrinioBankFinancials(rssd_id,$R$2,C$6,C$5,$B51,"K"),"")</f>
        <v/>
      </c>
      <c r="D51" s="24" t="str">
        <f>IFERROR([1]!IntrinioBankFinancials(rssd_id,$R$2,D$6,D$5,$B51,"K"),"")</f>
        <v/>
      </c>
      <c r="E51" s="24" t="str">
        <f>IFERROR([1]!IntrinioBankFinancials(rssd_id,$R$2,E$6,E$5,$B51,"K"),"")</f>
        <v/>
      </c>
      <c r="F51" s="24" t="str">
        <f>IFERROR([1]!IntrinioBankFinancials(rssd_id,$R$2,F$6,F$5,$B51,"K"),"")</f>
        <v/>
      </c>
      <c r="G51" s="24" t="str">
        <f>IFERROR([1]!IntrinioBankFinancials(rssd_id,$R$2,G$6,G$5,$B51,"K"),"")</f>
        <v/>
      </c>
      <c r="H51" s="24" t="str">
        <f>IFERROR([1]!IntrinioBankFinancials(rssd_id,$R$2,H$6,H$5,$B51,"K"),"")</f>
        <v/>
      </c>
      <c r="I51" s="24" t="str">
        <f>IFERROR([1]!IntrinioBankFinancials(rssd_id,$R$2,I$6,I$5,$B51,"K"),"")</f>
        <v/>
      </c>
      <c r="J51" s="24" t="str">
        <f>IFERROR([1]!IntrinioBankFinancials(rssd_id,$R$2,J$6,J$5,$B51,"K"),"")</f>
        <v/>
      </c>
      <c r="K51" s="24" t="str">
        <f>IFERROR([1]!IntrinioBankFinancials(rssd_id,$R$2,K$6,K$5,$B51,"K"),"")</f>
        <v/>
      </c>
      <c r="L51" s="24" t="str">
        <f>IFERROR([1]!IntrinioBankFinancials(rssd_id,$R$2,L$6,L$5,$B51,"K"),"")</f>
        <v/>
      </c>
      <c r="M51" s="24" t="str">
        <f>IFERROR([1]!IntrinioBankFinancials(rssd_id,$R$2,M$6,M$5,$B51,"K"),"")</f>
        <v/>
      </c>
      <c r="N51" s="24" t="str">
        <f>IFERROR([1]!IntrinioBankFinancials(rssd_id,$R$2,N$6,N$5,$B51,"K"),"")</f>
        <v/>
      </c>
      <c r="O51" s="24" t="str">
        <f>IFERROR([1]!IntrinioBankFinancials(rssd_id,$R$2,O$6,O$5,$B51,"K"),"")</f>
        <v/>
      </c>
    </row>
    <row r="52" spans="1:15" s="22" customFormat="1" ht="13.5" customHeight="1" x14ac:dyDescent="0.4">
      <c r="A52" s="34" t="s">
        <v>854</v>
      </c>
      <c r="B52" s="23" t="s">
        <v>855</v>
      </c>
      <c r="C52" s="24" t="str">
        <f>IFERROR([1]!IntrinioBankFinancials(rssd_id,$R$2,C$6,C$5,$B52,"K"),"")</f>
        <v/>
      </c>
      <c r="D52" s="24" t="str">
        <f>IFERROR([1]!IntrinioBankFinancials(rssd_id,$R$2,D$6,D$5,$B52,"K"),"")</f>
        <v/>
      </c>
      <c r="E52" s="24" t="str">
        <f>IFERROR([1]!IntrinioBankFinancials(rssd_id,$R$2,E$6,E$5,$B52,"K"),"")</f>
        <v/>
      </c>
      <c r="F52" s="24" t="str">
        <f>IFERROR([1]!IntrinioBankFinancials(rssd_id,$R$2,F$6,F$5,$B52,"K"),"")</f>
        <v/>
      </c>
      <c r="G52" s="24" t="str">
        <f>IFERROR([1]!IntrinioBankFinancials(rssd_id,$R$2,G$6,G$5,$B52,"K"),"")</f>
        <v/>
      </c>
      <c r="H52" s="24" t="str">
        <f>IFERROR([1]!IntrinioBankFinancials(rssd_id,$R$2,H$6,H$5,$B52,"K"),"")</f>
        <v/>
      </c>
      <c r="I52" s="24" t="str">
        <f>IFERROR([1]!IntrinioBankFinancials(rssd_id,$R$2,I$6,I$5,$B52,"K"),"")</f>
        <v/>
      </c>
      <c r="J52" s="24" t="str">
        <f>IFERROR([1]!IntrinioBankFinancials(rssd_id,$R$2,J$6,J$5,$B52,"K"),"")</f>
        <v/>
      </c>
      <c r="K52" s="24" t="str">
        <f>IFERROR([1]!IntrinioBankFinancials(rssd_id,$R$2,K$6,K$5,$B52,"K"),"")</f>
        <v/>
      </c>
      <c r="L52" s="24" t="str">
        <f>IFERROR([1]!IntrinioBankFinancials(rssd_id,$R$2,L$6,L$5,$B52,"K"),"")</f>
        <v/>
      </c>
      <c r="M52" s="24" t="str">
        <f>IFERROR([1]!IntrinioBankFinancials(rssd_id,$R$2,M$6,M$5,$B52,"K"),"")</f>
        <v/>
      </c>
      <c r="N52" s="24" t="str">
        <f>IFERROR([1]!IntrinioBankFinancials(rssd_id,$R$2,N$6,N$5,$B52,"K"),"")</f>
        <v/>
      </c>
      <c r="O52" s="24" t="str">
        <f>IFERROR([1]!IntrinioBankFinancials(rssd_id,$R$2,O$6,O$5,$B52,"K"),"")</f>
        <v/>
      </c>
    </row>
    <row r="53" spans="1:15" s="22" customFormat="1" ht="13.5" customHeight="1" x14ac:dyDescent="0.4">
      <c r="A53" s="34" t="s">
        <v>65</v>
      </c>
      <c r="B53" s="23" t="s">
        <v>856</v>
      </c>
      <c r="C53" s="24" t="str">
        <f>IFERROR([1]!IntrinioBankFinancials(rssd_id,$R$2,C$6,C$5,$B53,"K"),"")</f>
        <v/>
      </c>
      <c r="D53" s="24" t="str">
        <f>IFERROR([1]!IntrinioBankFinancials(rssd_id,$R$2,D$6,D$5,$B53,"K"),"")</f>
        <v/>
      </c>
      <c r="E53" s="24" t="str">
        <f>IFERROR([1]!IntrinioBankFinancials(rssd_id,$R$2,E$6,E$5,$B53,"K"),"")</f>
        <v/>
      </c>
      <c r="F53" s="24" t="str">
        <f>IFERROR([1]!IntrinioBankFinancials(rssd_id,$R$2,F$6,F$5,$B53,"K"),"")</f>
        <v/>
      </c>
      <c r="G53" s="24" t="str">
        <f>IFERROR([1]!IntrinioBankFinancials(rssd_id,$R$2,G$6,G$5,$B53,"K"),"")</f>
        <v/>
      </c>
      <c r="H53" s="24" t="str">
        <f>IFERROR([1]!IntrinioBankFinancials(rssd_id,$R$2,H$6,H$5,$B53,"K"),"")</f>
        <v/>
      </c>
      <c r="I53" s="24" t="str">
        <f>IFERROR([1]!IntrinioBankFinancials(rssd_id,$R$2,I$6,I$5,$B53,"K"),"")</f>
        <v/>
      </c>
      <c r="J53" s="24" t="str">
        <f>IFERROR([1]!IntrinioBankFinancials(rssd_id,$R$2,J$6,J$5,$B53,"K"),"")</f>
        <v/>
      </c>
      <c r="K53" s="24" t="str">
        <f>IFERROR([1]!IntrinioBankFinancials(rssd_id,$R$2,K$6,K$5,$B53,"K"),"")</f>
        <v/>
      </c>
      <c r="L53" s="24" t="str">
        <f>IFERROR([1]!IntrinioBankFinancials(rssd_id,$R$2,L$6,L$5,$B53,"K"),"")</f>
        <v/>
      </c>
      <c r="M53" s="24" t="str">
        <f>IFERROR([1]!IntrinioBankFinancials(rssd_id,$R$2,M$6,M$5,$B53,"K"),"")</f>
        <v/>
      </c>
      <c r="N53" s="24" t="str">
        <f>IFERROR([1]!IntrinioBankFinancials(rssd_id,$R$2,N$6,N$5,$B53,"K"),"")</f>
        <v/>
      </c>
      <c r="O53" s="24" t="str">
        <f>IFERROR([1]!IntrinioBankFinancials(rssd_id,$R$2,O$6,O$5,$B53,"K"),"")</f>
        <v/>
      </c>
    </row>
    <row r="54" spans="1:15" s="22" customFormat="1" ht="13.5" customHeight="1" x14ac:dyDescent="0.4">
      <c r="A54" s="34" t="s">
        <v>818</v>
      </c>
      <c r="B54" s="23" t="s">
        <v>857</v>
      </c>
      <c r="C54" s="24" t="str">
        <f>IFERROR([1]!IntrinioBankFinancials(rssd_id,$R$2,C$6,C$5,$B54,"K"),"")</f>
        <v/>
      </c>
      <c r="D54" s="24" t="str">
        <f>IFERROR([1]!IntrinioBankFinancials(rssd_id,$R$2,D$6,D$5,$B54,"K"),"")</f>
        <v/>
      </c>
      <c r="E54" s="24" t="str">
        <f>IFERROR([1]!IntrinioBankFinancials(rssd_id,$R$2,E$6,E$5,$B54,"K"),"")</f>
        <v/>
      </c>
      <c r="F54" s="24" t="str">
        <f>IFERROR([1]!IntrinioBankFinancials(rssd_id,$R$2,F$6,F$5,$B54,"K"),"")</f>
        <v/>
      </c>
      <c r="G54" s="24" t="str">
        <f>IFERROR([1]!IntrinioBankFinancials(rssd_id,$R$2,G$6,G$5,$B54,"K"),"")</f>
        <v/>
      </c>
      <c r="H54" s="24" t="str">
        <f>IFERROR([1]!IntrinioBankFinancials(rssd_id,$R$2,H$6,H$5,$B54,"K"),"")</f>
        <v/>
      </c>
      <c r="I54" s="24" t="str">
        <f>IFERROR([1]!IntrinioBankFinancials(rssd_id,$R$2,I$6,I$5,$B54,"K"),"")</f>
        <v/>
      </c>
      <c r="J54" s="24" t="str">
        <f>IFERROR([1]!IntrinioBankFinancials(rssd_id,$R$2,J$6,J$5,$B54,"K"),"")</f>
        <v/>
      </c>
      <c r="K54" s="24" t="str">
        <f>IFERROR([1]!IntrinioBankFinancials(rssd_id,$R$2,K$6,K$5,$B54,"K"),"")</f>
        <v/>
      </c>
      <c r="L54" s="24" t="str">
        <f>IFERROR([1]!IntrinioBankFinancials(rssd_id,$R$2,L$6,L$5,$B54,"K"),"")</f>
        <v/>
      </c>
      <c r="M54" s="24" t="str">
        <f>IFERROR([1]!IntrinioBankFinancials(rssd_id,$R$2,M$6,M$5,$B54,"K"),"")</f>
        <v/>
      </c>
      <c r="N54" s="24" t="str">
        <f>IFERROR([1]!IntrinioBankFinancials(rssd_id,$R$2,N$6,N$5,$B54,"K"),"")</f>
        <v/>
      </c>
      <c r="O54" s="24" t="str">
        <f>IFERROR([1]!IntrinioBankFinancials(rssd_id,$R$2,O$6,O$5,$B54,"K"),"")</f>
        <v/>
      </c>
    </row>
    <row r="55" spans="1:15" s="22" customFormat="1" ht="13.5" customHeight="1" x14ac:dyDescent="0.4">
      <c r="A55" s="34" t="s">
        <v>858</v>
      </c>
      <c r="B55" s="23" t="s">
        <v>859</v>
      </c>
      <c r="C55" s="24" t="str">
        <f>IFERROR([1]!IntrinioBankFinancials(rssd_id,$R$2,C$6,C$5,$B55,"K"),"")</f>
        <v/>
      </c>
      <c r="D55" s="24" t="str">
        <f>IFERROR([1]!IntrinioBankFinancials(rssd_id,$R$2,D$6,D$5,$B55,"K"),"")</f>
        <v/>
      </c>
      <c r="E55" s="24" t="str">
        <f>IFERROR([1]!IntrinioBankFinancials(rssd_id,$R$2,E$6,E$5,$B55,"K"),"")</f>
        <v/>
      </c>
      <c r="F55" s="24" t="str">
        <f>IFERROR([1]!IntrinioBankFinancials(rssd_id,$R$2,F$6,F$5,$B55,"K"),"")</f>
        <v/>
      </c>
      <c r="G55" s="24" t="str">
        <f>IFERROR([1]!IntrinioBankFinancials(rssd_id,$R$2,G$6,G$5,$B55,"K"),"")</f>
        <v/>
      </c>
      <c r="H55" s="24" t="str">
        <f>IFERROR([1]!IntrinioBankFinancials(rssd_id,$R$2,H$6,H$5,$B55,"K"),"")</f>
        <v/>
      </c>
      <c r="I55" s="24" t="str">
        <f>IFERROR([1]!IntrinioBankFinancials(rssd_id,$R$2,I$6,I$5,$B55,"K"),"")</f>
        <v/>
      </c>
      <c r="J55" s="24" t="str">
        <f>IFERROR([1]!IntrinioBankFinancials(rssd_id,$R$2,J$6,J$5,$B55,"K"),"")</f>
        <v/>
      </c>
      <c r="K55" s="24" t="str">
        <f>IFERROR([1]!IntrinioBankFinancials(rssd_id,$R$2,K$6,K$5,$B55,"K"),"")</f>
        <v/>
      </c>
      <c r="L55" s="24" t="str">
        <f>IFERROR([1]!IntrinioBankFinancials(rssd_id,$R$2,L$6,L$5,$B55,"K"),"")</f>
        <v/>
      </c>
      <c r="M55" s="24" t="str">
        <f>IFERROR([1]!IntrinioBankFinancials(rssd_id,$R$2,M$6,M$5,$B55,"K"),"")</f>
        <v/>
      </c>
      <c r="N55" s="24" t="str">
        <f>IFERROR([1]!IntrinioBankFinancials(rssd_id,$R$2,N$6,N$5,$B55,"K"),"")</f>
        <v/>
      </c>
      <c r="O55" s="24" t="str">
        <f>IFERROR([1]!IntrinioBankFinancials(rssd_id,$R$2,O$6,O$5,$B55,"K"),"")</f>
        <v/>
      </c>
    </row>
    <row r="56" spans="1:15" s="22" customFormat="1" ht="13.5" customHeight="1" x14ac:dyDescent="0.4">
      <c r="A56" s="34" t="s">
        <v>860</v>
      </c>
      <c r="B56" s="23" t="s">
        <v>861</v>
      </c>
      <c r="C56" s="24" t="str">
        <f>IFERROR([1]!IntrinioBankFinancials(rssd_id,$R$2,C$6,C$5,$B56,"K"),"")</f>
        <v/>
      </c>
      <c r="D56" s="24" t="str">
        <f>IFERROR([1]!IntrinioBankFinancials(rssd_id,$R$2,D$6,D$5,$B56,"K"),"")</f>
        <v/>
      </c>
      <c r="E56" s="24" t="str">
        <f>IFERROR([1]!IntrinioBankFinancials(rssd_id,$R$2,E$6,E$5,$B56,"K"),"")</f>
        <v/>
      </c>
      <c r="F56" s="24" t="str">
        <f>IFERROR([1]!IntrinioBankFinancials(rssd_id,$R$2,F$6,F$5,$B56,"K"),"")</f>
        <v/>
      </c>
      <c r="G56" s="24" t="str">
        <f>IFERROR([1]!IntrinioBankFinancials(rssd_id,$R$2,G$6,G$5,$B56,"K"),"")</f>
        <v/>
      </c>
      <c r="H56" s="24" t="str">
        <f>IFERROR([1]!IntrinioBankFinancials(rssd_id,$R$2,H$6,H$5,$B56,"K"),"")</f>
        <v/>
      </c>
      <c r="I56" s="24" t="str">
        <f>IFERROR([1]!IntrinioBankFinancials(rssd_id,$R$2,I$6,I$5,$B56,"K"),"")</f>
        <v/>
      </c>
      <c r="J56" s="24" t="str">
        <f>IFERROR([1]!IntrinioBankFinancials(rssd_id,$R$2,J$6,J$5,$B56,"K"),"")</f>
        <v/>
      </c>
      <c r="K56" s="24" t="str">
        <f>IFERROR([1]!IntrinioBankFinancials(rssd_id,$R$2,K$6,K$5,$B56,"K"),"")</f>
        <v/>
      </c>
      <c r="L56" s="24" t="str">
        <f>IFERROR([1]!IntrinioBankFinancials(rssd_id,$R$2,L$6,L$5,$B56,"K"),"")</f>
        <v/>
      </c>
      <c r="M56" s="24" t="str">
        <f>IFERROR([1]!IntrinioBankFinancials(rssd_id,$R$2,M$6,M$5,$B56,"K"),"")</f>
        <v/>
      </c>
      <c r="N56" s="24" t="str">
        <f>IFERROR([1]!IntrinioBankFinancials(rssd_id,$R$2,N$6,N$5,$B56,"K"),"")</f>
        <v/>
      </c>
      <c r="O56" s="24" t="str">
        <f>IFERROR([1]!IntrinioBankFinancials(rssd_id,$R$2,O$6,O$5,$B56,"K"),"")</f>
        <v/>
      </c>
    </row>
    <row r="57" spans="1:15" s="22" customFormat="1" ht="13.5" customHeight="1" x14ac:dyDescent="0.4">
      <c r="A57" s="34" t="s">
        <v>862</v>
      </c>
      <c r="B57" s="23" t="s">
        <v>863</v>
      </c>
      <c r="C57" s="24" t="str">
        <f>IFERROR([1]!IntrinioBankFinancials(rssd_id,$R$2,C$6,C$5,$B57,"K"),"")</f>
        <v/>
      </c>
      <c r="D57" s="24" t="str">
        <f>IFERROR([1]!IntrinioBankFinancials(rssd_id,$R$2,D$6,D$5,$B57,"K"),"")</f>
        <v/>
      </c>
      <c r="E57" s="24" t="str">
        <f>IFERROR([1]!IntrinioBankFinancials(rssd_id,$R$2,E$6,E$5,$B57,"K"),"")</f>
        <v/>
      </c>
      <c r="F57" s="24" t="str">
        <f>IFERROR([1]!IntrinioBankFinancials(rssd_id,$R$2,F$6,F$5,$B57,"K"),"")</f>
        <v/>
      </c>
      <c r="G57" s="24" t="str">
        <f>IFERROR([1]!IntrinioBankFinancials(rssd_id,$R$2,G$6,G$5,$B57,"K"),"")</f>
        <v/>
      </c>
      <c r="H57" s="24" t="str">
        <f>IFERROR([1]!IntrinioBankFinancials(rssd_id,$R$2,H$6,H$5,$B57,"K"),"")</f>
        <v/>
      </c>
      <c r="I57" s="24" t="str">
        <f>IFERROR([1]!IntrinioBankFinancials(rssd_id,$R$2,I$6,I$5,$B57,"K"),"")</f>
        <v/>
      </c>
      <c r="J57" s="24" t="str">
        <f>IFERROR([1]!IntrinioBankFinancials(rssd_id,$R$2,J$6,J$5,$B57,"K"),"")</f>
        <v/>
      </c>
      <c r="K57" s="24" t="str">
        <f>IFERROR([1]!IntrinioBankFinancials(rssd_id,$R$2,K$6,K$5,$B57,"K"),"")</f>
        <v/>
      </c>
      <c r="L57" s="24" t="str">
        <f>IFERROR([1]!IntrinioBankFinancials(rssd_id,$R$2,L$6,L$5,$B57,"K"),"")</f>
        <v/>
      </c>
      <c r="M57" s="24" t="str">
        <f>IFERROR([1]!IntrinioBankFinancials(rssd_id,$R$2,M$6,M$5,$B57,"K"),"")</f>
        <v/>
      </c>
      <c r="N57" s="24" t="str">
        <f>IFERROR([1]!IntrinioBankFinancials(rssd_id,$R$2,N$6,N$5,$B57,"K"),"")</f>
        <v/>
      </c>
      <c r="O57" s="24" t="str">
        <f>IFERROR([1]!IntrinioBankFinancials(rssd_id,$R$2,O$6,O$5,$B57,"K"),"")</f>
        <v/>
      </c>
    </row>
    <row r="58" spans="1:15" s="22" customFormat="1" ht="13.5" customHeight="1" x14ac:dyDescent="0.4">
      <c r="A58" s="34" t="s">
        <v>864</v>
      </c>
      <c r="B58" s="23" t="s">
        <v>865</v>
      </c>
      <c r="C58" s="24" t="str">
        <f>IFERROR([1]!IntrinioBankFinancials(rssd_id,$R$2,C$6,C$5,$B58,"K"),"")</f>
        <v/>
      </c>
      <c r="D58" s="24" t="str">
        <f>IFERROR([1]!IntrinioBankFinancials(rssd_id,$R$2,D$6,D$5,$B58,"K"),"")</f>
        <v/>
      </c>
      <c r="E58" s="24" t="str">
        <f>IFERROR([1]!IntrinioBankFinancials(rssd_id,$R$2,E$6,E$5,$B58,"K"),"")</f>
        <v/>
      </c>
      <c r="F58" s="24" t="str">
        <f>IFERROR([1]!IntrinioBankFinancials(rssd_id,$R$2,F$6,F$5,$B58,"K"),"")</f>
        <v/>
      </c>
      <c r="G58" s="24" t="str">
        <f>IFERROR([1]!IntrinioBankFinancials(rssd_id,$R$2,G$6,G$5,$B58,"K"),"")</f>
        <v/>
      </c>
      <c r="H58" s="24" t="str">
        <f>IFERROR([1]!IntrinioBankFinancials(rssd_id,$R$2,H$6,H$5,$B58,"K"),"")</f>
        <v/>
      </c>
      <c r="I58" s="24" t="str">
        <f>IFERROR([1]!IntrinioBankFinancials(rssd_id,$R$2,I$6,I$5,$B58,"K"),"")</f>
        <v/>
      </c>
      <c r="J58" s="24" t="str">
        <f>IFERROR([1]!IntrinioBankFinancials(rssd_id,$R$2,J$6,J$5,$B58,"K"),"")</f>
        <v/>
      </c>
      <c r="K58" s="24" t="str">
        <f>IFERROR([1]!IntrinioBankFinancials(rssd_id,$R$2,K$6,K$5,$B58,"K"),"")</f>
        <v/>
      </c>
      <c r="L58" s="24" t="str">
        <f>IFERROR([1]!IntrinioBankFinancials(rssd_id,$R$2,L$6,L$5,$B58,"K"),"")</f>
        <v/>
      </c>
      <c r="M58" s="24" t="str">
        <f>IFERROR([1]!IntrinioBankFinancials(rssd_id,$R$2,M$6,M$5,$B58,"K"),"")</f>
        <v/>
      </c>
      <c r="N58" s="24" t="str">
        <f>IFERROR([1]!IntrinioBankFinancials(rssd_id,$R$2,N$6,N$5,$B58,"K"),"")</f>
        <v/>
      </c>
      <c r="O58" s="24" t="str">
        <f>IFERROR([1]!IntrinioBankFinancials(rssd_id,$R$2,O$6,O$5,$B58,"K"),"")</f>
        <v/>
      </c>
    </row>
    <row r="59" spans="1:15" s="22" customFormat="1" ht="13.5" customHeight="1" x14ac:dyDescent="0.4">
      <c r="A59" s="34" t="s">
        <v>866</v>
      </c>
      <c r="B59" s="23" t="s">
        <v>867</v>
      </c>
      <c r="C59" s="24" t="str">
        <f>IFERROR([1]!IntrinioBankFinancials(rssd_id,$R$2,C$6,C$5,$B59,"K"),"")</f>
        <v/>
      </c>
      <c r="D59" s="24" t="str">
        <f>IFERROR([1]!IntrinioBankFinancials(rssd_id,$R$2,D$6,D$5,$B59,"K"),"")</f>
        <v/>
      </c>
      <c r="E59" s="24" t="str">
        <f>IFERROR([1]!IntrinioBankFinancials(rssd_id,$R$2,E$6,E$5,$B59,"K"),"")</f>
        <v/>
      </c>
      <c r="F59" s="24" t="str">
        <f>IFERROR([1]!IntrinioBankFinancials(rssd_id,$R$2,F$6,F$5,$B59,"K"),"")</f>
        <v/>
      </c>
      <c r="G59" s="24" t="str">
        <f>IFERROR([1]!IntrinioBankFinancials(rssd_id,$R$2,G$6,G$5,$B59,"K"),"")</f>
        <v/>
      </c>
      <c r="H59" s="24" t="str">
        <f>IFERROR([1]!IntrinioBankFinancials(rssd_id,$R$2,H$6,H$5,$B59,"K"),"")</f>
        <v/>
      </c>
      <c r="I59" s="24" t="str">
        <f>IFERROR([1]!IntrinioBankFinancials(rssd_id,$R$2,I$6,I$5,$B59,"K"),"")</f>
        <v/>
      </c>
      <c r="J59" s="24" t="str">
        <f>IFERROR([1]!IntrinioBankFinancials(rssd_id,$R$2,J$6,J$5,$B59,"K"),"")</f>
        <v/>
      </c>
      <c r="K59" s="24" t="str">
        <f>IFERROR([1]!IntrinioBankFinancials(rssd_id,$R$2,K$6,K$5,$B59,"K"),"")</f>
        <v/>
      </c>
      <c r="L59" s="24" t="str">
        <f>IFERROR([1]!IntrinioBankFinancials(rssd_id,$R$2,L$6,L$5,$B59,"K"),"")</f>
        <v/>
      </c>
      <c r="M59" s="24" t="str">
        <f>IFERROR([1]!IntrinioBankFinancials(rssd_id,$R$2,M$6,M$5,$B59,"K"),"")</f>
        <v/>
      </c>
      <c r="N59" s="24" t="str">
        <f>IFERROR([1]!IntrinioBankFinancials(rssd_id,$R$2,N$6,N$5,$B59,"K"),"")</f>
        <v/>
      </c>
      <c r="O59" s="24" t="str">
        <f>IFERROR([1]!IntrinioBankFinancials(rssd_id,$R$2,O$6,O$5,$B59,"K"),"")</f>
        <v/>
      </c>
    </row>
    <row r="60" spans="1:15" s="22" customFormat="1" ht="13.5" customHeight="1" x14ac:dyDescent="0.4">
      <c r="A60" s="34" t="s">
        <v>868</v>
      </c>
      <c r="B60" s="23" t="s">
        <v>869</v>
      </c>
      <c r="C60" s="24" t="str">
        <f>IFERROR([1]!IntrinioBankFinancials(rssd_id,$R$2,C$6,C$5,$B60,"K"),"")</f>
        <v/>
      </c>
      <c r="D60" s="24" t="str">
        <f>IFERROR([1]!IntrinioBankFinancials(rssd_id,$R$2,D$6,D$5,$B60,"K"),"")</f>
        <v/>
      </c>
      <c r="E60" s="24" t="str">
        <f>IFERROR([1]!IntrinioBankFinancials(rssd_id,$R$2,E$6,E$5,$B60,"K"),"")</f>
        <v/>
      </c>
      <c r="F60" s="24" t="str">
        <f>IFERROR([1]!IntrinioBankFinancials(rssd_id,$R$2,F$6,F$5,$B60,"K"),"")</f>
        <v/>
      </c>
      <c r="G60" s="24" t="str">
        <f>IFERROR([1]!IntrinioBankFinancials(rssd_id,$R$2,G$6,G$5,$B60,"K"),"")</f>
        <v/>
      </c>
      <c r="H60" s="24" t="str">
        <f>IFERROR([1]!IntrinioBankFinancials(rssd_id,$R$2,H$6,H$5,$B60,"K"),"")</f>
        <v/>
      </c>
      <c r="I60" s="24" t="str">
        <f>IFERROR([1]!IntrinioBankFinancials(rssd_id,$R$2,I$6,I$5,$B60,"K"),"")</f>
        <v/>
      </c>
      <c r="J60" s="24" t="str">
        <f>IFERROR([1]!IntrinioBankFinancials(rssd_id,$R$2,J$6,J$5,$B60,"K"),"")</f>
        <v/>
      </c>
      <c r="K60" s="24" t="str">
        <f>IFERROR([1]!IntrinioBankFinancials(rssd_id,$R$2,K$6,K$5,$B60,"K"),"")</f>
        <v/>
      </c>
      <c r="L60" s="24" t="str">
        <f>IFERROR([1]!IntrinioBankFinancials(rssd_id,$R$2,L$6,L$5,$B60,"K"),"")</f>
        <v/>
      </c>
      <c r="M60" s="24" t="str">
        <f>IFERROR([1]!IntrinioBankFinancials(rssd_id,$R$2,M$6,M$5,$B60,"K"),"")</f>
        <v/>
      </c>
      <c r="N60" s="24" t="str">
        <f>IFERROR([1]!IntrinioBankFinancials(rssd_id,$R$2,N$6,N$5,$B60,"K"),"")</f>
        <v/>
      </c>
      <c r="O60" s="24" t="str">
        <f>IFERROR([1]!IntrinioBankFinancials(rssd_id,$R$2,O$6,O$5,$B60,"K"),"")</f>
        <v/>
      </c>
    </row>
    <row r="61" spans="1:15" s="22" customFormat="1" ht="13.5" customHeight="1" x14ac:dyDescent="0.4">
      <c r="A61" s="34" t="s">
        <v>870</v>
      </c>
      <c r="B61" s="23" t="s">
        <v>871</v>
      </c>
      <c r="C61" s="24" t="str">
        <f>IFERROR([1]!IntrinioBankFinancials(rssd_id,$R$2,C$6,C$5,$B61,"K"),"")</f>
        <v/>
      </c>
      <c r="D61" s="24" t="str">
        <f>IFERROR([1]!IntrinioBankFinancials(rssd_id,$R$2,D$6,D$5,$B61,"K"),"")</f>
        <v/>
      </c>
      <c r="E61" s="24" t="str">
        <f>IFERROR([1]!IntrinioBankFinancials(rssd_id,$R$2,E$6,E$5,$B61,"K"),"")</f>
        <v/>
      </c>
      <c r="F61" s="24" t="str">
        <f>IFERROR([1]!IntrinioBankFinancials(rssd_id,$R$2,F$6,F$5,$B61,"K"),"")</f>
        <v/>
      </c>
      <c r="G61" s="24" t="str">
        <f>IFERROR([1]!IntrinioBankFinancials(rssd_id,$R$2,G$6,G$5,$B61,"K"),"")</f>
        <v/>
      </c>
      <c r="H61" s="24" t="str">
        <f>IFERROR([1]!IntrinioBankFinancials(rssd_id,$R$2,H$6,H$5,$B61,"K"),"")</f>
        <v/>
      </c>
      <c r="I61" s="24" t="str">
        <f>IFERROR([1]!IntrinioBankFinancials(rssd_id,$R$2,I$6,I$5,$B61,"K"),"")</f>
        <v/>
      </c>
      <c r="J61" s="24" t="str">
        <f>IFERROR([1]!IntrinioBankFinancials(rssd_id,$R$2,J$6,J$5,$B61,"K"),"")</f>
        <v/>
      </c>
      <c r="K61" s="24" t="str">
        <f>IFERROR([1]!IntrinioBankFinancials(rssd_id,$R$2,K$6,K$5,$B61,"K"),"")</f>
        <v/>
      </c>
      <c r="L61" s="24" t="str">
        <f>IFERROR([1]!IntrinioBankFinancials(rssd_id,$R$2,L$6,L$5,$B61,"K"),"")</f>
        <v/>
      </c>
      <c r="M61" s="24" t="str">
        <f>IFERROR([1]!IntrinioBankFinancials(rssd_id,$R$2,M$6,M$5,$B61,"K"),"")</f>
        <v/>
      </c>
      <c r="N61" s="24" t="str">
        <f>IFERROR([1]!IntrinioBankFinancials(rssd_id,$R$2,N$6,N$5,$B61,"K"),"")</f>
        <v/>
      </c>
      <c r="O61" s="24" t="str">
        <f>IFERROR([1]!IntrinioBankFinancials(rssd_id,$R$2,O$6,O$5,$B61,"K"),"")</f>
        <v/>
      </c>
    </row>
    <row r="62" spans="1:15" s="22" customFormat="1" ht="13.5" customHeight="1" x14ac:dyDescent="0.4">
      <c r="A62" s="34" t="s">
        <v>872</v>
      </c>
      <c r="B62" s="23" t="s">
        <v>873</v>
      </c>
      <c r="C62" s="24" t="str">
        <f>IFERROR([1]!IntrinioBankFinancials(rssd_id,$R$2,C$6,C$5,$B62,"K"),"")</f>
        <v/>
      </c>
      <c r="D62" s="24" t="str">
        <f>IFERROR([1]!IntrinioBankFinancials(rssd_id,$R$2,D$6,D$5,$B62,"K"),"")</f>
        <v/>
      </c>
      <c r="E62" s="24" t="str">
        <f>IFERROR([1]!IntrinioBankFinancials(rssd_id,$R$2,E$6,E$5,$B62,"K"),"")</f>
        <v/>
      </c>
      <c r="F62" s="24" t="str">
        <f>IFERROR([1]!IntrinioBankFinancials(rssd_id,$R$2,F$6,F$5,$B62,"K"),"")</f>
        <v/>
      </c>
      <c r="G62" s="24" t="str">
        <f>IFERROR([1]!IntrinioBankFinancials(rssd_id,$R$2,G$6,G$5,$B62,"K"),"")</f>
        <v/>
      </c>
      <c r="H62" s="24" t="str">
        <f>IFERROR([1]!IntrinioBankFinancials(rssd_id,$R$2,H$6,H$5,$B62,"K"),"")</f>
        <v/>
      </c>
      <c r="I62" s="24" t="str">
        <f>IFERROR([1]!IntrinioBankFinancials(rssd_id,$R$2,I$6,I$5,$B62,"K"),"")</f>
        <v/>
      </c>
      <c r="J62" s="24" t="str">
        <f>IFERROR([1]!IntrinioBankFinancials(rssd_id,$R$2,J$6,J$5,$B62,"K"),"")</f>
        <v/>
      </c>
      <c r="K62" s="24" t="str">
        <f>IFERROR([1]!IntrinioBankFinancials(rssd_id,$R$2,K$6,K$5,$B62,"K"),"")</f>
        <v/>
      </c>
      <c r="L62" s="24" t="str">
        <f>IFERROR([1]!IntrinioBankFinancials(rssd_id,$R$2,L$6,L$5,$B62,"K"),"")</f>
        <v/>
      </c>
      <c r="M62" s="24" t="str">
        <f>IFERROR([1]!IntrinioBankFinancials(rssd_id,$R$2,M$6,M$5,$B62,"K"),"")</f>
        <v/>
      </c>
      <c r="N62" s="24" t="str">
        <f>IFERROR([1]!IntrinioBankFinancials(rssd_id,$R$2,N$6,N$5,$B62,"K"),"")</f>
        <v/>
      </c>
      <c r="O62" s="24" t="str">
        <f>IFERROR([1]!IntrinioBankFinancials(rssd_id,$R$2,O$6,O$5,$B62,"K"),"")</f>
        <v/>
      </c>
    </row>
    <row r="63" spans="1:15" s="22" customFormat="1" ht="13.5" customHeight="1" x14ac:dyDescent="0.4">
      <c r="A63" s="34" t="s">
        <v>874</v>
      </c>
      <c r="B63" s="23" t="s">
        <v>875</v>
      </c>
      <c r="C63" s="24" t="str">
        <f>IFERROR([1]!IntrinioBankFinancials(rssd_id,$R$2,C$6,C$5,$B63,"K"),"")</f>
        <v/>
      </c>
      <c r="D63" s="24" t="str">
        <f>IFERROR([1]!IntrinioBankFinancials(rssd_id,$R$2,D$6,D$5,$B63,"K"),"")</f>
        <v/>
      </c>
      <c r="E63" s="24" t="str">
        <f>IFERROR([1]!IntrinioBankFinancials(rssd_id,$R$2,E$6,E$5,$B63,"K"),"")</f>
        <v/>
      </c>
      <c r="F63" s="24" t="str">
        <f>IFERROR([1]!IntrinioBankFinancials(rssd_id,$R$2,F$6,F$5,$B63,"K"),"")</f>
        <v/>
      </c>
      <c r="G63" s="24" t="str">
        <f>IFERROR([1]!IntrinioBankFinancials(rssd_id,$R$2,G$6,G$5,$B63,"K"),"")</f>
        <v/>
      </c>
      <c r="H63" s="24" t="str">
        <f>IFERROR([1]!IntrinioBankFinancials(rssd_id,$R$2,H$6,H$5,$B63,"K"),"")</f>
        <v/>
      </c>
      <c r="I63" s="24" t="str">
        <f>IFERROR([1]!IntrinioBankFinancials(rssd_id,$R$2,I$6,I$5,$B63,"K"),"")</f>
        <v/>
      </c>
      <c r="J63" s="24" t="str">
        <f>IFERROR([1]!IntrinioBankFinancials(rssd_id,$R$2,J$6,J$5,$B63,"K"),"")</f>
        <v/>
      </c>
      <c r="K63" s="24" t="str">
        <f>IFERROR([1]!IntrinioBankFinancials(rssd_id,$R$2,K$6,K$5,$B63,"K"),"")</f>
        <v/>
      </c>
      <c r="L63" s="24" t="str">
        <f>IFERROR([1]!IntrinioBankFinancials(rssd_id,$R$2,L$6,L$5,$B63,"K"),"")</f>
        <v/>
      </c>
      <c r="M63" s="24" t="str">
        <f>IFERROR([1]!IntrinioBankFinancials(rssd_id,$R$2,M$6,M$5,$B63,"K"),"")</f>
        <v/>
      </c>
      <c r="N63" s="24" t="str">
        <f>IFERROR([1]!IntrinioBankFinancials(rssd_id,$R$2,N$6,N$5,$B63,"K"),"")</f>
        <v/>
      </c>
      <c r="O63" s="24" t="str">
        <f>IFERROR([1]!IntrinioBankFinancials(rssd_id,$R$2,O$6,O$5,$B63,"K"),"")</f>
        <v/>
      </c>
    </row>
    <row r="64" spans="1:15" s="22" customFormat="1" ht="13.5" customHeight="1" x14ac:dyDescent="0.4">
      <c r="A64" s="34" t="s">
        <v>876</v>
      </c>
      <c r="B64" s="23" t="s">
        <v>877</v>
      </c>
      <c r="C64" s="24" t="str">
        <f>IFERROR([1]!IntrinioBankFinancials(rssd_id,$R$2,C$6,C$5,$B64,"K"),"")</f>
        <v/>
      </c>
      <c r="D64" s="24" t="str">
        <f>IFERROR([1]!IntrinioBankFinancials(rssd_id,$R$2,D$6,D$5,$B64,"K"),"")</f>
        <v/>
      </c>
      <c r="E64" s="24" t="str">
        <f>IFERROR([1]!IntrinioBankFinancials(rssd_id,$R$2,E$6,E$5,$B64,"K"),"")</f>
        <v/>
      </c>
      <c r="F64" s="24" t="str">
        <f>IFERROR([1]!IntrinioBankFinancials(rssd_id,$R$2,F$6,F$5,$B64,"K"),"")</f>
        <v/>
      </c>
      <c r="G64" s="24" t="str">
        <f>IFERROR([1]!IntrinioBankFinancials(rssd_id,$R$2,G$6,G$5,$B64,"K"),"")</f>
        <v/>
      </c>
      <c r="H64" s="24" t="str">
        <f>IFERROR([1]!IntrinioBankFinancials(rssd_id,$R$2,H$6,H$5,$B64,"K"),"")</f>
        <v/>
      </c>
      <c r="I64" s="24" t="str">
        <f>IFERROR([1]!IntrinioBankFinancials(rssd_id,$R$2,I$6,I$5,$B64,"K"),"")</f>
        <v/>
      </c>
      <c r="J64" s="24" t="str">
        <f>IFERROR([1]!IntrinioBankFinancials(rssd_id,$R$2,J$6,J$5,$B64,"K"),"")</f>
        <v/>
      </c>
      <c r="K64" s="24" t="str">
        <f>IFERROR([1]!IntrinioBankFinancials(rssd_id,$R$2,K$6,K$5,$B64,"K"),"")</f>
        <v/>
      </c>
      <c r="L64" s="24" t="str">
        <f>IFERROR([1]!IntrinioBankFinancials(rssd_id,$R$2,L$6,L$5,$B64,"K"),"")</f>
        <v/>
      </c>
      <c r="M64" s="24" t="str">
        <f>IFERROR([1]!IntrinioBankFinancials(rssd_id,$R$2,M$6,M$5,$B64,"K"),"")</f>
        <v/>
      </c>
      <c r="N64" s="24" t="str">
        <f>IFERROR([1]!IntrinioBankFinancials(rssd_id,$R$2,N$6,N$5,$B64,"K"),"")</f>
        <v/>
      </c>
      <c r="O64" s="24" t="str">
        <f>IFERROR([1]!IntrinioBankFinancials(rssd_id,$R$2,O$6,O$5,$B64,"K"),"")</f>
        <v/>
      </c>
    </row>
    <row r="65" spans="1:15" s="22" customFormat="1" ht="13.5" customHeight="1" x14ac:dyDescent="0.4">
      <c r="A65" s="34" t="s">
        <v>878</v>
      </c>
      <c r="B65" s="23" t="s">
        <v>879</v>
      </c>
      <c r="C65" s="24" t="str">
        <f>IFERROR([1]!IntrinioBankFinancials(rssd_id,$R$2,C$6,C$5,$B65,"K"),"")</f>
        <v/>
      </c>
      <c r="D65" s="24" t="str">
        <f>IFERROR([1]!IntrinioBankFinancials(rssd_id,$R$2,D$6,D$5,$B65,"K"),"")</f>
        <v/>
      </c>
      <c r="E65" s="24" t="str">
        <f>IFERROR([1]!IntrinioBankFinancials(rssd_id,$R$2,E$6,E$5,$B65,"K"),"")</f>
        <v/>
      </c>
      <c r="F65" s="24" t="str">
        <f>IFERROR([1]!IntrinioBankFinancials(rssd_id,$R$2,F$6,F$5,$B65,"K"),"")</f>
        <v/>
      </c>
      <c r="G65" s="24" t="str">
        <f>IFERROR([1]!IntrinioBankFinancials(rssd_id,$R$2,G$6,G$5,$B65,"K"),"")</f>
        <v/>
      </c>
      <c r="H65" s="24" t="str">
        <f>IFERROR([1]!IntrinioBankFinancials(rssd_id,$R$2,H$6,H$5,$B65,"K"),"")</f>
        <v/>
      </c>
      <c r="I65" s="24" t="str">
        <f>IFERROR([1]!IntrinioBankFinancials(rssd_id,$R$2,I$6,I$5,$B65,"K"),"")</f>
        <v/>
      </c>
      <c r="J65" s="24" t="str">
        <f>IFERROR([1]!IntrinioBankFinancials(rssd_id,$R$2,J$6,J$5,$B65,"K"),"")</f>
        <v/>
      </c>
      <c r="K65" s="24" t="str">
        <f>IFERROR([1]!IntrinioBankFinancials(rssd_id,$R$2,K$6,K$5,$B65,"K"),"")</f>
        <v/>
      </c>
      <c r="L65" s="24" t="str">
        <f>IFERROR([1]!IntrinioBankFinancials(rssd_id,$R$2,L$6,L$5,$B65,"K"),"")</f>
        <v/>
      </c>
      <c r="M65" s="24" t="str">
        <f>IFERROR([1]!IntrinioBankFinancials(rssd_id,$R$2,M$6,M$5,$B65,"K"),"")</f>
        <v/>
      </c>
      <c r="N65" s="24" t="str">
        <f>IFERROR([1]!IntrinioBankFinancials(rssd_id,$R$2,N$6,N$5,$B65,"K"),"")</f>
        <v/>
      </c>
      <c r="O65" s="24" t="str">
        <f>IFERROR([1]!IntrinioBankFinancials(rssd_id,$R$2,O$6,O$5,$B65,"K"),"")</f>
        <v/>
      </c>
    </row>
    <row r="66" spans="1:15" s="22" customFormat="1" ht="13.5" customHeight="1" x14ac:dyDescent="0.4">
      <c r="A66" s="34" t="s">
        <v>880</v>
      </c>
      <c r="B66" s="23" t="s">
        <v>881</v>
      </c>
      <c r="C66" s="24" t="str">
        <f>IFERROR([1]!IntrinioBankFinancials(rssd_id,$R$2,C$6,C$5,$B66,"K"),"")</f>
        <v/>
      </c>
      <c r="D66" s="24" t="str">
        <f>IFERROR([1]!IntrinioBankFinancials(rssd_id,$R$2,D$6,D$5,$B66,"K"),"")</f>
        <v/>
      </c>
      <c r="E66" s="24" t="str">
        <f>IFERROR([1]!IntrinioBankFinancials(rssd_id,$R$2,E$6,E$5,$B66,"K"),"")</f>
        <v/>
      </c>
      <c r="F66" s="24" t="str">
        <f>IFERROR([1]!IntrinioBankFinancials(rssd_id,$R$2,F$6,F$5,$B66,"K"),"")</f>
        <v/>
      </c>
      <c r="G66" s="24" t="str">
        <f>IFERROR([1]!IntrinioBankFinancials(rssd_id,$R$2,G$6,G$5,$B66,"K"),"")</f>
        <v/>
      </c>
      <c r="H66" s="24" t="str">
        <f>IFERROR([1]!IntrinioBankFinancials(rssd_id,$R$2,H$6,H$5,$B66,"K"),"")</f>
        <v/>
      </c>
      <c r="I66" s="24" t="str">
        <f>IFERROR([1]!IntrinioBankFinancials(rssd_id,$R$2,I$6,I$5,$B66,"K"),"")</f>
        <v/>
      </c>
      <c r="J66" s="24" t="str">
        <f>IFERROR([1]!IntrinioBankFinancials(rssd_id,$R$2,J$6,J$5,$B66,"K"),"")</f>
        <v/>
      </c>
      <c r="K66" s="24" t="str">
        <f>IFERROR([1]!IntrinioBankFinancials(rssd_id,$R$2,K$6,K$5,$B66,"K"),"")</f>
        <v/>
      </c>
      <c r="L66" s="24" t="str">
        <f>IFERROR([1]!IntrinioBankFinancials(rssd_id,$R$2,L$6,L$5,$B66,"K"),"")</f>
        <v/>
      </c>
      <c r="M66" s="24" t="str">
        <f>IFERROR([1]!IntrinioBankFinancials(rssd_id,$R$2,M$6,M$5,$B66,"K"),"")</f>
        <v/>
      </c>
      <c r="N66" s="24" t="str">
        <f>IFERROR([1]!IntrinioBankFinancials(rssd_id,$R$2,N$6,N$5,$B66,"K"),"")</f>
        <v/>
      </c>
      <c r="O66" s="24" t="str">
        <f>IFERROR([1]!IntrinioBankFinancials(rssd_id,$R$2,O$6,O$5,$B66,"K"),"")</f>
        <v/>
      </c>
    </row>
    <row r="67" spans="1:15" s="22" customFormat="1" ht="13.5" customHeight="1" x14ac:dyDescent="0.4">
      <c r="A67" s="34" t="s">
        <v>882</v>
      </c>
      <c r="B67" s="23" t="s">
        <v>883</v>
      </c>
      <c r="C67" s="24" t="str">
        <f>IFERROR([1]!IntrinioBankFinancials(rssd_id,$R$2,C$6,C$5,$B67,"K"),"")</f>
        <v/>
      </c>
      <c r="D67" s="24" t="str">
        <f>IFERROR([1]!IntrinioBankFinancials(rssd_id,$R$2,D$6,D$5,$B67,"K"),"")</f>
        <v/>
      </c>
      <c r="E67" s="24" t="str">
        <f>IFERROR([1]!IntrinioBankFinancials(rssd_id,$R$2,E$6,E$5,$B67,"K"),"")</f>
        <v/>
      </c>
      <c r="F67" s="24" t="str">
        <f>IFERROR([1]!IntrinioBankFinancials(rssd_id,$R$2,F$6,F$5,$B67,"K"),"")</f>
        <v/>
      </c>
      <c r="G67" s="24" t="str">
        <f>IFERROR([1]!IntrinioBankFinancials(rssd_id,$R$2,G$6,G$5,$B67,"K"),"")</f>
        <v/>
      </c>
      <c r="H67" s="24" t="str">
        <f>IFERROR([1]!IntrinioBankFinancials(rssd_id,$R$2,H$6,H$5,$B67,"K"),"")</f>
        <v/>
      </c>
      <c r="I67" s="24" t="str">
        <f>IFERROR([1]!IntrinioBankFinancials(rssd_id,$R$2,I$6,I$5,$B67,"K"),"")</f>
        <v/>
      </c>
      <c r="J67" s="24" t="str">
        <f>IFERROR([1]!IntrinioBankFinancials(rssd_id,$R$2,J$6,J$5,$B67,"K"),"")</f>
        <v/>
      </c>
      <c r="K67" s="24" t="str">
        <f>IFERROR([1]!IntrinioBankFinancials(rssd_id,$R$2,K$6,K$5,$B67,"K"),"")</f>
        <v/>
      </c>
      <c r="L67" s="24" t="str">
        <f>IFERROR([1]!IntrinioBankFinancials(rssd_id,$R$2,L$6,L$5,$B67,"K"),"")</f>
        <v/>
      </c>
      <c r="M67" s="24" t="str">
        <f>IFERROR([1]!IntrinioBankFinancials(rssd_id,$R$2,M$6,M$5,$B67,"K"),"")</f>
        <v/>
      </c>
      <c r="N67" s="24" t="str">
        <f>IFERROR([1]!IntrinioBankFinancials(rssd_id,$R$2,N$6,N$5,$B67,"K"),"")</f>
        <v/>
      </c>
      <c r="O67" s="24" t="str">
        <f>IFERROR([1]!IntrinioBankFinancials(rssd_id,$R$2,O$6,O$5,$B67,"K"),"")</f>
        <v/>
      </c>
    </row>
    <row r="68" spans="1:15" s="22" customFormat="1" ht="13.5" customHeight="1" x14ac:dyDescent="0.4">
      <c r="A68" s="34" t="s">
        <v>884</v>
      </c>
      <c r="B68" s="23" t="s">
        <v>885</v>
      </c>
      <c r="C68" s="24" t="str">
        <f>IFERROR([1]!IntrinioBankFinancials(rssd_id,$R$2,C$6,C$5,$B68,"K"),"")</f>
        <v/>
      </c>
      <c r="D68" s="24" t="str">
        <f>IFERROR([1]!IntrinioBankFinancials(rssd_id,$R$2,D$6,D$5,$B68,"K"),"")</f>
        <v/>
      </c>
      <c r="E68" s="24" t="str">
        <f>IFERROR([1]!IntrinioBankFinancials(rssd_id,$R$2,E$6,E$5,$B68,"K"),"")</f>
        <v/>
      </c>
      <c r="F68" s="24" t="str">
        <f>IFERROR([1]!IntrinioBankFinancials(rssd_id,$R$2,F$6,F$5,$B68,"K"),"")</f>
        <v/>
      </c>
      <c r="G68" s="24" t="str">
        <f>IFERROR([1]!IntrinioBankFinancials(rssd_id,$R$2,G$6,G$5,$B68,"K"),"")</f>
        <v/>
      </c>
      <c r="H68" s="24" t="str">
        <f>IFERROR([1]!IntrinioBankFinancials(rssd_id,$R$2,H$6,H$5,$B68,"K"),"")</f>
        <v/>
      </c>
      <c r="I68" s="24" t="str">
        <f>IFERROR([1]!IntrinioBankFinancials(rssd_id,$R$2,I$6,I$5,$B68,"K"),"")</f>
        <v/>
      </c>
      <c r="J68" s="24" t="str">
        <f>IFERROR([1]!IntrinioBankFinancials(rssd_id,$R$2,J$6,J$5,$B68,"K"),"")</f>
        <v/>
      </c>
      <c r="K68" s="24" t="str">
        <f>IFERROR([1]!IntrinioBankFinancials(rssd_id,$R$2,K$6,K$5,$B68,"K"),"")</f>
        <v/>
      </c>
      <c r="L68" s="24" t="str">
        <f>IFERROR([1]!IntrinioBankFinancials(rssd_id,$R$2,L$6,L$5,$B68,"K"),"")</f>
        <v/>
      </c>
      <c r="M68" s="24" t="str">
        <f>IFERROR([1]!IntrinioBankFinancials(rssd_id,$R$2,M$6,M$5,$B68,"K"),"")</f>
        <v/>
      </c>
      <c r="N68" s="24" t="str">
        <f>IFERROR([1]!IntrinioBankFinancials(rssd_id,$R$2,N$6,N$5,$B68,"K"),"")</f>
        <v/>
      </c>
      <c r="O68" s="24" t="str">
        <f>IFERROR([1]!IntrinioBankFinancials(rssd_id,$R$2,O$6,O$5,$B68,"K"),"")</f>
        <v/>
      </c>
    </row>
  </sheetData>
  <pageMargins left="0.7" right="0.7" top="0.75" bottom="0.75" header="0.3" footer="0.3"/>
  <pageSetup scale="93" fitToHeight="2" orientation="landscape" r:id="rId1"/>
  <headerFooter>
    <oddFooter>&amp;L&amp;G&amp;R&amp;P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4"/>
    <pageSetUpPr fitToPage="1"/>
  </sheetPr>
  <dimension ref="A1:R197"/>
  <sheetViews>
    <sheetView view="pageBreakPreview" zoomScaleNormal="100" zoomScaleSheetLayoutView="100" workbookViewId="0">
      <pane xSplit="1" ySplit="6" topLeftCell="B7" activePane="bottomRight" state="frozen"/>
      <selection activeCell="K18" sqref="K18"/>
      <selection pane="topRight" activeCell="K18" sqref="K18"/>
      <selection pane="bottomLeft" activeCell="K18" sqref="K18"/>
      <selection pane="bottomRight"/>
    </sheetView>
  </sheetViews>
  <sheetFormatPr defaultColWidth="12.640625" defaultRowHeight="13.5" customHeight="1" outlineLevelCol="1" x14ac:dyDescent="0.4"/>
  <cols>
    <col min="1" max="1" width="46.140625" style="8" customWidth="1"/>
    <col min="2" max="2" width="13.35546875" style="2" hidden="1" customWidth="1" outlineLevel="1"/>
    <col min="3" max="9" width="13.640625" style="3" hidden="1" customWidth="1" outlineLevel="1"/>
    <col min="10" max="10" width="13.640625" style="3" customWidth="1" collapsed="1"/>
    <col min="11" max="15" width="13.640625" style="3" customWidth="1"/>
    <col min="16" max="16" width="12.640625" style="4"/>
    <col min="17" max="17" width="18.5" style="4" bestFit="1" customWidth="1"/>
    <col min="18" max="18" width="18" style="4" bestFit="1" customWidth="1"/>
    <col min="19" max="16384" width="12.640625" style="4"/>
  </cols>
  <sheetData>
    <row r="1" spans="1:18" ht="13.5" customHeight="1" x14ac:dyDescent="0.4">
      <c r="A1" s="9" t="str">
        <f>name</f>
        <v/>
      </c>
    </row>
    <row r="2" spans="1:18" ht="18" x14ac:dyDescent="0.4">
      <c r="A2" s="9" t="s">
        <v>890</v>
      </c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4" t="s">
        <v>17</v>
      </c>
      <c r="R2" s="4" t="s">
        <v>1197</v>
      </c>
    </row>
    <row r="3" spans="1:18" ht="13.5" customHeight="1" x14ac:dyDescent="0.4">
      <c r="A3" s="17" t="s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8" ht="13.5" customHeight="1" x14ac:dyDescent="0.4">
      <c r="A4" s="17"/>
      <c r="B4" s="25">
        <f>J4+1</f>
        <v>6</v>
      </c>
      <c r="C4" s="25">
        <f t="shared" ref="C4:M4" si="0">D4+1</f>
        <v>12</v>
      </c>
      <c r="D4" s="25">
        <f t="shared" si="0"/>
        <v>11</v>
      </c>
      <c r="E4" s="25">
        <f t="shared" si="0"/>
        <v>10</v>
      </c>
      <c r="F4" s="25">
        <f t="shared" si="0"/>
        <v>9</v>
      </c>
      <c r="G4" s="25">
        <f t="shared" si="0"/>
        <v>8</v>
      </c>
      <c r="H4" s="25">
        <f t="shared" si="0"/>
        <v>7</v>
      </c>
      <c r="I4" s="25">
        <f t="shared" si="0"/>
        <v>6</v>
      </c>
      <c r="J4" s="25">
        <f t="shared" si="0"/>
        <v>5</v>
      </c>
      <c r="K4" s="25">
        <f t="shared" si="0"/>
        <v>4</v>
      </c>
      <c r="L4" s="25">
        <f t="shared" si="0"/>
        <v>3</v>
      </c>
      <c r="M4" s="25">
        <f t="shared" si="0"/>
        <v>2</v>
      </c>
      <c r="N4" s="25">
        <f>O4+1</f>
        <v>1</v>
      </c>
      <c r="O4" s="25">
        <f>fiscal_period_sequence</f>
        <v>0</v>
      </c>
    </row>
    <row r="5" spans="1:18" ht="13.5" customHeight="1" x14ac:dyDescent="0.4">
      <c r="A5" s="7"/>
      <c r="B5" s="5"/>
      <c r="C5" s="18" t="str">
        <f>[1]!IntrinioBankFundamentals(rssd_id,$R$2,fiscal_period_type,C$4,"fiscal_period")</f>
        <v/>
      </c>
      <c r="D5" s="18" t="str">
        <f>[1]!IntrinioBankFundamentals(rssd_id,$R$2,fiscal_period_type,D$4,"fiscal_period")</f>
        <v/>
      </c>
      <c r="E5" s="18" t="str">
        <f>[1]!IntrinioBankFundamentals(rssd_id,$R$2,fiscal_period_type,E$4,"fiscal_period")</f>
        <v/>
      </c>
      <c r="F5" s="18" t="str">
        <f>[1]!IntrinioBankFundamentals(rssd_id,$R$2,fiscal_period_type,F$4,"fiscal_period")</f>
        <v/>
      </c>
      <c r="G5" s="18" t="str">
        <f>[1]!IntrinioBankFundamentals(rssd_id,$R$2,fiscal_period_type,G$4,"fiscal_period")</f>
        <v/>
      </c>
      <c r="H5" s="18" t="str">
        <f>[1]!IntrinioBankFundamentals(rssd_id,$R$2,fiscal_period_type,H$4,"fiscal_period")</f>
        <v/>
      </c>
      <c r="I5" s="18" t="str">
        <f>[1]!IntrinioBankFundamentals(rssd_id,$R$2,fiscal_period_type,I$4,"fiscal_period")</f>
        <v/>
      </c>
      <c r="J5" s="18" t="str">
        <f>[1]!IntrinioBankFundamentals(rssd_id,$R$2,fiscal_period_type,J$4,"fiscal_period")</f>
        <v/>
      </c>
      <c r="K5" s="18" t="str">
        <f>[1]!IntrinioBankFundamentals(rssd_id,$R$2,fiscal_period_type,K$4,"fiscal_period")</f>
        <v/>
      </c>
      <c r="L5" s="18" t="str">
        <f>[1]!IntrinioBankFundamentals(rssd_id,$R$2,fiscal_period_type,L$4,"fiscal_period")</f>
        <v/>
      </c>
      <c r="M5" s="18" t="str">
        <f>[1]!IntrinioBankFundamentals(rssd_id,$R$2,fiscal_period_type,M$4,"fiscal_period")</f>
        <v/>
      </c>
      <c r="N5" s="18" t="str">
        <f>[1]!IntrinioBankFundamentals(rssd_id,$R$2,fiscal_period_type,N$4,"fiscal_period")</f>
        <v/>
      </c>
      <c r="O5" s="18" t="str">
        <f>[1]!IntrinioBankFundamentals(rssd_id,$R$2,fiscal_period_type,O$4,"fiscal_period")</f>
        <v/>
      </c>
    </row>
    <row r="6" spans="1:18" ht="13.5" customHeight="1" x14ac:dyDescent="0.4">
      <c r="B6" s="5"/>
      <c r="C6" s="19" t="str">
        <f>[1]!IntrinioBankFundamentals(rssd_id,$R$2,fiscal_period_type,C$4,"fiscal_year")</f>
        <v/>
      </c>
      <c r="D6" s="19" t="str">
        <f>[1]!IntrinioBankFundamentals(rssd_id,$R$2,fiscal_period_type,D$4,"fiscal_year")</f>
        <v/>
      </c>
      <c r="E6" s="19" t="str">
        <f>[1]!IntrinioBankFundamentals(rssd_id,$R$2,fiscal_period_type,E$4,"fiscal_year")</f>
        <v/>
      </c>
      <c r="F6" s="19" t="str">
        <f>[1]!IntrinioBankFundamentals(rssd_id,$R$2,fiscal_period_type,F$4,"fiscal_year")</f>
        <v/>
      </c>
      <c r="G6" s="19" t="str">
        <f>[1]!IntrinioBankFundamentals(rssd_id,$R$2,fiscal_period_type,G$4,"fiscal_year")</f>
        <v/>
      </c>
      <c r="H6" s="19" t="str">
        <f>[1]!IntrinioBankFundamentals(rssd_id,$R$2,fiscal_period_type,H$4,"fiscal_year")</f>
        <v/>
      </c>
      <c r="I6" s="19" t="str">
        <f>[1]!IntrinioBankFundamentals(rssd_id,$R$2,fiscal_period_type,I$4,"fiscal_year")</f>
        <v/>
      </c>
      <c r="J6" s="19" t="str">
        <f>[1]!IntrinioBankFundamentals(rssd_id,$R$2,fiscal_period_type,J$4,"fiscal_year")</f>
        <v/>
      </c>
      <c r="K6" s="19" t="str">
        <f>[1]!IntrinioBankFundamentals(rssd_id,$R$2,fiscal_period_type,K$4,"fiscal_year")</f>
        <v/>
      </c>
      <c r="L6" s="19" t="str">
        <f>[1]!IntrinioBankFundamentals(rssd_id,$R$2,fiscal_period_type,L$4,"fiscal_year")</f>
        <v/>
      </c>
      <c r="M6" s="19" t="str">
        <f>[1]!IntrinioBankFundamentals(rssd_id,$R$2,fiscal_period_type,M$4,"fiscal_year")</f>
        <v/>
      </c>
      <c r="N6" s="19" t="str">
        <f>[1]!IntrinioBankFundamentals(rssd_id,$R$2,fiscal_period_type,N$4,"fiscal_year")</f>
        <v/>
      </c>
      <c r="O6" s="19" t="str">
        <f>[1]!IntrinioBankFundamentals(rssd_id,$R$2,fiscal_period_type,O$4,"fiscal_year")</f>
        <v/>
      </c>
    </row>
    <row r="7" spans="1:18" s="22" customFormat="1" ht="13.5" customHeight="1" x14ac:dyDescent="0.4">
      <c r="A7" s="33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8" s="22" customFormat="1" ht="13.5" customHeight="1" x14ac:dyDescent="0.4">
      <c r="A8" s="33" t="s">
        <v>1144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8" s="22" customFormat="1" ht="13.5" customHeight="1" x14ac:dyDescent="0.4">
      <c r="A9" s="34" t="s">
        <v>64</v>
      </c>
      <c r="B9" s="23" t="s">
        <v>891</v>
      </c>
      <c r="C9" s="32" t="str">
        <f>IFERROR([1]!IntrinioBankFinancials(rssd_id,$R$2,C$6,C$5,$B9),"")</f>
        <v/>
      </c>
      <c r="D9" s="32" t="str">
        <f>IFERROR([1]!IntrinioBankFinancials(rssd_id,$R$2,D$6,D$5,$B9),"")</f>
        <v/>
      </c>
      <c r="E9" s="32" t="str">
        <f>IFERROR([1]!IntrinioBankFinancials(rssd_id,$R$2,E$6,E$5,$B9),"")</f>
        <v/>
      </c>
      <c r="F9" s="32" t="str">
        <f>IFERROR([1]!IntrinioBankFinancials(rssd_id,$R$2,F$6,F$5,$B9),"")</f>
        <v/>
      </c>
      <c r="G9" s="32" t="str">
        <f>IFERROR([1]!IntrinioBankFinancials(rssd_id,$R$2,G$6,G$5,$B9),"")</f>
        <v/>
      </c>
      <c r="H9" s="32" t="str">
        <f>IFERROR([1]!IntrinioBankFinancials(rssd_id,$R$2,H$6,H$5,$B9),"")</f>
        <v/>
      </c>
      <c r="I9" s="32" t="str">
        <f>IFERROR([1]!IntrinioBankFinancials(rssd_id,$R$2,I$6,I$5,$B9),"")</f>
        <v/>
      </c>
      <c r="J9" s="32" t="str">
        <f>IFERROR([1]!IntrinioBankFinancials(rssd_id,$R$2,J$6,J$5,$B9),"")</f>
        <v/>
      </c>
      <c r="K9" s="32" t="str">
        <f>IFERROR([1]!IntrinioBankFinancials(rssd_id,$R$2,K$6,K$5,$B9),"")</f>
        <v/>
      </c>
      <c r="L9" s="32" t="str">
        <f>IFERROR([1]!IntrinioBankFinancials(rssd_id,$R$2,L$6,L$5,$B9),"")</f>
        <v/>
      </c>
      <c r="M9" s="32" t="str">
        <f>IFERROR([1]!IntrinioBankFinancials(rssd_id,$R$2,M$6,M$5,$B9),"")</f>
        <v/>
      </c>
      <c r="N9" s="32" t="str">
        <f>IFERROR([1]!IntrinioBankFinancials(rssd_id,$R$2,N$6,N$5,$B9),"")</f>
        <v/>
      </c>
      <c r="O9" s="32" t="str">
        <f>IFERROR([1]!IntrinioBankFinancials(rssd_id,$R$2,O$6,O$5,$B9),"")</f>
        <v/>
      </c>
    </row>
    <row r="10" spans="1:18" s="22" customFormat="1" ht="13.5" customHeight="1" x14ac:dyDescent="0.4">
      <c r="A10" s="34" t="s">
        <v>892</v>
      </c>
      <c r="B10" s="23" t="s">
        <v>893</v>
      </c>
      <c r="C10" s="32" t="str">
        <f>IFERROR([1]!IntrinioBankFinancials(rssd_id,$R$2,C$6,C$5,$B10),"")</f>
        <v/>
      </c>
      <c r="D10" s="32" t="str">
        <f>IFERROR([1]!IntrinioBankFinancials(rssd_id,$R$2,D$6,D$5,$B10),"")</f>
        <v/>
      </c>
      <c r="E10" s="32" t="str">
        <f>IFERROR([1]!IntrinioBankFinancials(rssd_id,$R$2,E$6,E$5,$B10),"")</f>
        <v/>
      </c>
      <c r="F10" s="32" t="str">
        <f>IFERROR([1]!IntrinioBankFinancials(rssd_id,$R$2,F$6,F$5,$B10),"")</f>
        <v/>
      </c>
      <c r="G10" s="32" t="str">
        <f>IFERROR([1]!IntrinioBankFinancials(rssd_id,$R$2,G$6,G$5,$B10),"")</f>
        <v/>
      </c>
      <c r="H10" s="32" t="str">
        <f>IFERROR([1]!IntrinioBankFinancials(rssd_id,$R$2,H$6,H$5,$B10),"")</f>
        <v/>
      </c>
      <c r="I10" s="32" t="str">
        <f>IFERROR([1]!IntrinioBankFinancials(rssd_id,$R$2,I$6,I$5,$B10),"")</f>
        <v/>
      </c>
      <c r="J10" s="32" t="str">
        <f>IFERROR([1]!IntrinioBankFinancials(rssd_id,$R$2,J$6,J$5,$B10),"")</f>
        <v/>
      </c>
      <c r="K10" s="32" t="str">
        <f>IFERROR([1]!IntrinioBankFinancials(rssd_id,$R$2,K$6,K$5,$B10),"")</f>
        <v/>
      </c>
      <c r="L10" s="32" t="str">
        <f>IFERROR([1]!IntrinioBankFinancials(rssd_id,$R$2,L$6,L$5,$B10),"")</f>
        <v/>
      </c>
      <c r="M10" s="32" t="str">
        <f>IFERROR([1]!IntrinioBankFinancials(rssd_id,$R$2,M$6,M$5,$B10),"")</f>
        <v/>
      </c>
      <c r="N10" s="32" t="str">
        <f>IFERROR([1]!IntrinioBankFinancials(rssd_id,$R$2,N$6,N$5,$B10),"")</f>
        <v/>
      </c>
      <c r="O10" s="32" t="str">
        <f>IFERROR([1]!IntrinioBankFinancials(rssd_id,$R$2,O$6,O$5,$B10),"")</f>
        <v/>
      </c>
    </row>
    <row r="11" spans="1:18" s="22" customFormat="1" ht="13.5" customHeight="1" x14ac:dyDescent="0.4">
      <c r="A11" s="34" t="s">
        <v>894</v>
      </c>
      <c r="B11" s="23" t="s">
        <v>895</v>
      </c>
      <c r="C11" s="32" t="str">
        <f>IFERROR([1]!IntrinioBankFinancials(rssd_id,$R$2,C$6,C$5,$B11),"")</f>
        <v/>
      </c>
      <c r="D11" s="32" t="str">
        <f>IFERROR([1]!IntrinioBankFinancials(rssd_id,$R$2,D$6,D$5,$B11),"")</f>
        <v/>
      </c>
      <c r="E11" s="32" t="str">
        <f>IFERROR([1]!IntrinioBankFinancials(rssd_id,$R$2,E$6,E$5,$B11),"")</f>
        <v/>
      </c>
      <c r="F11" s="32" t="str">
        <f>IFERROR([1]!IntrinioBankFinancials(rssd_id,$R$2,F$6,F$5,$B11),"")</f>
        <v/>
      </c>
      <c r="G11" s="32" t="str">
        <f>IFERROR([1]!IntrinioBankFinancials(rssd_id,$R$2,G$6,G$5,$B11),"")</f>
        <v/>
      </c>
      <c r="H11" s="32" t="str">
        <f>IFERROR([1]!IntrinioBankFinancials(rssd_id,$R$2,H$6,H$5,$B11),"")</f>
        <v/>
      </c>
      <c r="I11" s="32" t="str">
        <f>IFERROR([1]!IntrinioBankFinancials(rssd_id,$R$2,I$6,I$5,$B11),"")</f>
        <v/>
      </c>
      <c r="J11" s="32" t="str">
        <f>IFERROR([1]!IntrinioBankFinancials(rssd_id,$R$2,J$6,J$5,$B11),"")</f>
        <v/>
      </c>
      <c r="K11" s="32" t="str">
        <f>IFERROR([1]!IntrinioBankFinancials(rssd_id,$R$2,K$6,K$5,$B11),"")</f>
        <v/>
      </c>
      <c r="L11" s="32" t="str">
        <f>IFERROR([1]!IntrinioBankFinancials(rssd_id,$R$2,L$6,L$5,$B11),"")</f>
        <v/>
      </c>
      <c r="M11" s="32" t="str">
        <f>IFERROR([1]!IntrinioBankFinancials(rssd_id,$R$2,M$6,M$5,$B11),"")</f>
        <v/>
      </c>
      <c r="N11" s="32" t="str">
        <f>IFERROR([1]!IntrinioBankFinancials(rssd_id,$R$2,N$6,N$5,$B11),"")</f>
        <v/>
      </c>
      <c r="O11" s="32" t="str">
        <f>IFERROR([1]!IntrinioBankFinancials(rssd_id,$R$2,O$6,O$5,$B11),"")</f>
        <v/>
      </c>
    </row>
    <row r="12" spans="1:18" s="22" customFormat="1" ht="13.5" customHeight="1" x14ac:dyDescent="0.4">
      <c r="A12" s="34" t="s">
        <v>896</v>
      </c>
      <c r="B12" s="23" t="s">
        <v>897</v>
      </c>
      <c r="C12" s="32" t="str">
        <f>IFERROR([1]!IntrinioBankFinancials(rssd_id,$R$2,C$6,C$5,$B12),"")</f>
        <v/>
      </c>
      <c r="D12" s="32" t="str">
        <f>IFERROR([1]!IntrinioBankFinancials(rssd_id,$R$2,D$6,D$5,$B12),"")</f>
        <v/>
      </c>
      <c r="E12" s="32" t="str">
        <f>IFERROR([1]!IntrinioBankFinancials(rssd_id,$R$2,E$6,E$5,$B12),"")</f>
        <v/>
      </c>
      <c r="F12" s="32" t="str">
        <f>IFERROR([1]!IntrinioBankFinancials(rssd_id,$R$2,F$6,F$5,$B12),"")</f>
        <v/>
      </c>
      <c r="G12" s="32" t="str">
        <f>IFERROR([1]!IntrinioBankFinancials(rssd_id,$R$2,G$6,G$5,$B12),"")</f>
        <v/>
      </c>
      <c r="H12" s="32" t="str">
        <f>IFERROR([1]!IntrinioBankFinancials(rssd_id,$R$2,H$6,H$5,$B12),"")</f>
        <v/>
      </c>
      <c r="I12" s="32" t="str">
        <f>IFERROR([1]!IntrinioBankFinancials(rssd_id,$R$2,I$6,I$5,$B12),"")</f>
        <v/>
      </c>
      <c r="J12" s="32" t="str">
        <f>IFERROR([1]!IntrinioBankFinancials(rssd_id,$R$2,J$6,J$5,$B12),"")</f>
        <v/>
      </c>
      <c r="K12" s="32" t="str">
        <f>IFERROR([1]!IntrinioBankFinancials(rssd_id,$R$2,K$6,K$5,$B12),"")</f>
        <v/>
      </c>
      <c r="L12" s="32" t="str">
        <f>IFERROR([1]!IntrinioBankFinancials(rssd_id,$R$2,L$6,L$5,$B12),"")</f>
        <v/>
      </c>
      <c r="M12" s="32" t="str">
        <f>IFERROR([1]!IntrinioBankFinancials(rssd_id,$R$2,M$6,M$5,$B12),"")</f>
        <v/>
      </c>
      <c r="N12" s="32" t="str">
        <f>IFERROR([1]!IntrinioBankFinancials(rssd_id,$R$2,N$6,N$5,$B12),"")</f>
        <v/>
      </c>
      <c r="O12" s="32" t="str">
        <f>IFERROR([1]!IntrinioBankFinancials(rssd_id,$R$2,O$6,O$5,$B12),"")</f>
        <v/>
      </c>
    </row>
    <row r="13" spans="1:18" s="22" customFormat="1" ht="13.5" customHeight="1" x14ac:dyDescent="0.4">
      <c r="A13" s="33" t="s">
        <v>1169</v>
      </c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</row>
    <row r="14" spans="1:18" s="22" customFormat="1" ht="13.5" customHeight="1" x14ac:dyDescent="0.4">
      <c r="A14" s="33" t="s">
        <v>1168</v>
      </c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</row>
    <row r="15" spans="1:18" s="22" customFormat="1" ht="13.5" customHeight="1" x14ac:dyDescent="0.4">
      <c r="A15" s="34" t="s">
        <v>898</v>
      </c>
      <c r="B15" s="23" t="s">
        <v>899</v>
      </c>
      <c r="C15" s="32" t="str">
        <f>IFERROR([1]!IntrinioBankFinancials(rssd_id,$R$2,C$6,C$5,$B15),"")</f>
        <v/>
      </c>
      <c r="D15" s="32" t="str">
        <f>IFERROR([1]!IntrinioBankFinancials(rssd_id,$R$2,D$6,D$5,$B15),"")</f>
        <v/>
      </c>
      <c r="E15" s="32" t="str">
        <f>IFERROR([1]!IntrinioBankFinancials(rssd_id,$R$2,E$6,E$5,$B15),"")</f>
        <v/>
      </c>
      <c r="F15" s="32" t="str">
        <f>IFERROR([1]!IntrinioBankFinancials(rssd_id,$R$2,F$6,F$5,$B15),"")</f>
        <v/>
      </c>
      <c r="G15" s="32" t="str">
        <f>IFERROR([1]!IntrinioBankFinancials(rssd_id,$R$2,G$6,G$5,$B15),"")</f>
        <v/>
      </c>
      <c r="H15" s="32" t="str">
        <f>IFERROR([1]!IntrinioBankFinancials(rssd_id,$R$2,H$6,H$5,$B15),"")</f>
        <v/>
      </c>
      <c r="I15" s="32" t="str">
        <f>IFERROR([1]!IntrinioBankFinancials(rssd_id,$R$2,I$6,I$5,$B15),"")</f>
        <v/>
      </c>
      <c r="J15" s="32" t="str">
        <f>IFERROR([1]!IntrinioBankFinancials(rssd_id,$R$2,J$6,J$5,$B15),"")</f>
        <v/>
      </c>
      <c r="K15" s="32" t="str">
        <f>IFERROR([1]!IntrinioBankFinancials(rssd_id,$R$2,K$6,K$5,$B15),"")</f>
        <v/>
      </c>
      <c r="L15" s="32" t="str">
        <f>IFERROR([1]!IntrinioBankFinancials(rssd_id,$R$2,L$6,L$5,$B15),"")</f>
        <v/>
      </c>
      <c r="M15" s="32" t="str">
        <f>IFERROR([1]!IntrinioBankFinancials(rssd_id,$R$2,M$6,M$5,$B15),"")</f>
        <v/>
      </c>
      <c r="N15" s="32" t="str">
        <f>IFERROR([1]!IntrinioBankFinancials(rssd_id,$R$2,N$6,N$5,$B15),"")</f>
        <v/>
      </c>
      <c r="O15" s="32" t="str">
        <f>IFERROR([1]!IntrinioBankFinancials(rssd_id,$R$2,O$6,O$5,$B15),"")</f>
        <v/>
      </c>
    </row>
    <row r="16" spans="1:18" s="22" customFormat="1" ht="13.5" customHeight="1" x14ac:dyDescent="0.4">
      <c r="A16" s="34" t="s">
        <v>900</v>
      </c>
      <c r="B16" s="23" t="s">
        <v>901</v>
      </c>
      <c r="C16" s="32" t="str">
        <f>IFERROR([1]!IntrinioBankFinancials(rssd_id,$R$2,C$6,C$5,$B16),"")</f>
        <v/>
      </c>
      <c r="D16" s="32" t="str">
        <f>IFERROR([1]!IntrinioBankFinancials(rssd_id,$R$2,D$6,D$5,$B16),"")</f>
        <v/>
      </c>
      <c r="E16" s="32" t="str">
        <f>IFERROR([1]!IntrinioBankFinancials(rssd_id,$R$2,E$6,E$5,$B16),"")</f>
        <v/>
      </c>
      <c r="F16" s="32" t="str">
        <f>IFERROR([1]!IntrinioBankFinancials(rssd_id,$R$2,F$6,F$5,$B16),"")</f>
        <v/>
      </c>
      <c r="G16" s="32" t="str">
        <f>IFERROR([1]!IntrinioBankFinancials(rssd_id,$R$2,G$6,G$5,$B16),"")</f>
        <v/>
      </c>
      <c r="H16" s="32" t="str">
        <f>IFERROR([1]!IntrinioBankFinancials(rssd_id,$R$2,H$6,H$5,$B16),"")</f>
        <v/>
      </c>
      <c r="I16" s="32" t="str">
        <f>IFERROR([1]!IntrinioBankFinancials(rssd_id,$R$2,I$6,I$5,$B16),"")</f>
        <v/>
      </c>
      <c r="J16" s="32" t="str">
        <f>IFERROR([1]!IntrinioBankFinancials(rssd_id,$R$2,J$6,J$5,$B16),"")</f>
        <v/>
      </c>
      <c r="K16" s="32" t="str">
        <f>IFERROR([1]!IntrinioBankFinancials(rssd_id,$R$2,K$6,K$5,$B16),"")</f>
        <v/>
      </c>
      <c r="L16" s="32" t="str">
        <f>IFERROR([1]!IntrinioBankFinancials(rssd_id,$R$2,L$6,L$5,$B16),"")</f>
        <v/>
      </c>
      <c r="M16" s="32" t="str">
        <f>IFERROR([1]!IntrinioBankFinancials(rssd_id,$R$2,M$6,M$5,$B16),"")</f>
        <v/>
      </c>
      <c r="N16" s="32" t="str">
        <f>IFERROR([1]!IntrinioBankFinancials(rssd_id,$R$2,N$6,N$5,$B16),"")</f>
        <v/>
      </c>
      <c r="O16" s="32" t="str">
        <f>IFERROR([1]!IntrinioBankFinancials(rssd_id,$R$2,O$6,O$5,$B16),"")</f>
        <v/>
      </c>
    </row>
    <row r="17" spans="1:15" s="22" customFormat="1" ht="13.5" customHeight="1" x14ac:dyDescent="0.4">
      <c r="A17" s="34" t="s">
        <v>902</v>
      </c>
      <c r="B17" s="23" t="s">
        <v>903</v>
      </c>
      <c r="C17" s="32" t="str">
        <f>IFERROR([1]!IntrinioBankFinancials(rssd_id,$R$2,C$6,C$5,$B17),"")</f>
        <v/>
      </c>
      <c r="D17" s="32" t="str">
        <f>IFERROR([1]!IntrinioBankFinancials(rssd_id,$R$2,D$6,D$5,$B17),"")</f>
        <v/>
      </c>
      <c r="E17" s="32" t="str">
        <f>IFERROR([1]!IntrinioBankFinancials(rssd_id,$R$2,E$6,E$5,$B17),"")</f>
        <v/>
      </c>
      <c r="F17" s="32" t="str">
        <f>IFERROR([1]!IntrinioBankFinancials(rssd_id,$R$2,F$6,F$5,$B17),"")</f>
        <v/>
      </c>
      <c r="G17" s="32" t="str">
        <f>IFERROR([1]!IntrinioBankFinancials(rssd_id,$R$2,G$6,G$5,$B17),"")</f>
        <v/>
      </c>
      <c r="H17" s="32" t="str">
        <f>IFERROR([1]!IntrinioBankFinancials(rssd_id,$R$2,H$6,H$5,$B17),"")</f>
        <v/>
      </c>
      <c r="I17" s="32" t="str">
        <f>IFERROR([1]!IntrinioBankFinancials(rssd_id,$R$2,I$6,I$5,$B17),"")</f>
        <v/>
      </c>
      <c r="J17" s="32" t="str">
        <f>IFERROR([1]!IntrinioBankFinancials(rssd_id,$R$2,J$6,J$5,$B17),"")</f>
        <v/>
      </c>
      <c r="K17" s="32" t="str">
        <f>IFERROR([1]!IntrinioBankFinancials(rssd_id,$R$2,K$6,K$5,$B17),"")</f>
        <v/>
      </c>
      <c r="L17" s="32" t="str">
        <f>IFERROR([1]!IntrinioBankFinancials(rssd_id,$R$2,L$6,L$5,$B17),"")</f>
        <v/>
      </c>
      <c r="M17" s="32" t="str">
        <f>IFERROR([1]!IntrinioBankFinancials(rssd_id,$R$2,M$6,M$5,$B17),"")</f>
        <v/>
      </c>
      <c r="N17" s="32" t="str">
        <f>IFERROR([1]!IntrinioBankFinancials(rssd_id,$R$2,N$6,N$5,$B17),"")</f>
        <v/>
      </c>
      <c r="O17" s="32" t="str">
        <f>IFERROR([1]!IntrinioBankFinancials(rssd_id,$R$2,O$6,O$5,$B17),"")</f>
        <v/>
      </c>
    </row>
    <row r="18" spans="1:15" s="22" customFormat="1" ht="13.5" customHeight="1" x14ac:dyDescent="0.4">
      <c r="A18" s="34" t="s">
        <v>904</v>
      </c>
      <c r="B18" s="23" t="s">
        <v>905</v>
      </c>
      <c r="C18" s="32" t="str">
        <f>IFERROR([1]!IntrinioBankFinancials(rssd_id,$R$2,C$6,C$5,$B18),"")</f>
        <v/>
      </c>
      <c r="D18" s="32" t="str">
        <f>IFERROR([1]!IntrinioBankFinancials(rssd_id,$R$2,D$6,D$5,$B18),"")</f>
        <v/>
      </c>
      <c r="E18" s="32" t="str">
        <f>IFERROR([1]!IntrinioBankFinancials(rssd_id,$R$2,E$6,E$5,$B18),"")</f>
        <v/>
      </c>
      <c r="F18" s="32" t="str">
        <f>IFERROR([1]!IntrinioBankFinancials(rssd_id,$R$2,F$6,F$5,$B18),"")</f>
        <v/>
      </c>
      <c r="G18" s="32" t="str">
        <f>IFERROR([1]!IntrinioBankFinancials(rssd_id,$R$2,G$6,G$5,$B18),"")</f>
        <v/>
      </c>
      <c r="H18" s="32" t="str">
        <f>IFERROR([1]!IntrinioBankFinancials(rssd_id,$R$2,H$6,H$5,$B18),"")</f>
        <v/>
      </c>
      <c r="I18" s="32" t="str">
        <f>IFERROR([1]!IntrinioBankFinancials(rssd_id,$R$2,I$6,I$5,$B18),"")</f>
        <v/>
      </c>
      <c r="J18" s="32" t="str">
        <f>IFERROR([1]!IntrinioBankFinancials(rssd_id,$R$2,J$6,J$5,$B18),"")</f>
        <v/>
      </c>
      <c r="K18" s="32" t="str">
        <f>IFERROR([1]!IntrinioBankFinancials(rssd_id,$R$2,K$6,K$5,$B18),"")</f>
        <v/>
      </c>
      <c r="L18" s="32" t="str">
        <f>IFERROR([1]!IntrinioBankFinancials(rssd_id,$R$2,L$6,L$5,$B18),"")</f>
        <v/>
      </c>
      <c r="M18" s="32" t="str">
        <f>IFERROR([1]!IntrinioBankFinancials(rssd_id,$R$2,M$6,M$5,$B18),"")</f>
        <v/>
      </c>
      <c r="N18" s="32" t="str">
        <f>IFERROR([1]!IntrinioBankFinancials(rssd_id,$R$2,N$6,N$5,$B18),"")</f>
        <v/>
      </c>
      <c r="O18" s="32" t="str">
        <f>IFERROR([1]!IntrinioBankFinancials(rssd_id,$R$2,O$6,O$5,$B18),"")</f>
        <v/>
      </c>
    </row>
    <row r="19" spans="1:15" s="22" customFormat="1" ht="13.5" customHeight="1" x14ac:dyDescent="0.4">
      <c r="A19" s="34" t="s">
        <v>906</v>
      </c>
      <c r="B19" s="23" t="s">
        <v>907</v>
      </c>
      <c r="C19" s="32" t="str">
        <f>IFERROR([1]!IntrinioBankFinancials(rssd_id,$R$2,C$6,C$5,$B19),"")</f>
        <v/>
      </c>
      <c r="D19" s="32" t="str">
        <f>IFERROR([1]!IntrinioBankFinancials(rssd_id,$R$2,D$6,D$5,$B19),"")</f>
        <v/>
      </c>
      <c r="E19" s="32" t="str">
        <f>IFERROR([1]!IntrinioBankFinancials(rssd_id,$R$2,E$6,E$5,$B19),"")</f>
        <v/>
      </c>
      <c r="F19" s="32" t="str">
        <f>IFERROR([1]!IntrinioBankFinancials(rssd_id,$R$2,F$6,F$5,$B19),"")</f>
        <v/>
      </c>
      <c r="G19" s="32" t="str">
        <f>IFERROR([1]!IntrinioBankFinancials(rssd_id,$R$2,G$6,G$5,$B19),"")</f>
        <v/>
      </c>
      <c r="H19" s="32" t="str">
        <f>IFERROR([1]!IntrinioBankFinancials(rssd_id,$R$2,H$6,H$5,$B19),"")</f>
        <v/>
      </c>
      <c r="I19" s="32" t="str">
        <f>IFERROR([1]!IntrinioBankFinancials(rssd_id,$R$2,I$6,I$5,$B19),"")</f>
        <v/>
      </c>
      <c r="J19" s="32" t="str">
        <f>IFERROR([1]!IntrinioBankFinancials(rssd_id,$R$2,J$6,J$5,$B19),"")</f>
        <v/>
      </c>
      <c r="K19" s="32" t="str">
        <f>IFERROR([1]!IntrinioBankFinancials(rssd_id,$R$2,K$6,K$5,$B19),"")</f>
        <v/>
      </c>
      <c r="L19" s="32" t="str">
        <f>IFERROR([1]!IntrinioBankFinancials(rssd_id,$R$2,L$6,L$5,$B19),"")</f>
        <v/>
      </c>
      <c r="M19" s="32" t="str">
        <f>IFERROR([1]!IntrinioBankFinancials(rssd_id,$R$2,M$6,M$5,$B19),"")</f>
        <v/>
      </c>
      <c r="N19" s="32" t="str">
        <f>IFERROR([1]!IntrinioBankFinancials(rssd_id,$R$2,N$6,N$5,$B19),"")</f>
        <v/>
      </c>
      <c r="O19" s="32" t="str">
        <f>IFERROR([1]!IntrinioBankFinancials(rssd_id,$R$2,O$6,O$5,$B19),"")</f>
        <v/>
      </c>
    </row>
    <row r="20" spans="1:15" s="22" customFormat="1" ht="13.5" customHeight="1" x14ac:dyDescent="0.4">
      <c r="A20" s="34" t="s">
        <v>908</v>
      </c>
      <c r="B20" s="23" t="s">
        <v>909</v>
      </c>
      <c r="C20" s="32" t="str">
        <f>IFERROR([1]!IntrinioBankFinancials(rssd_id,$R$2,C$6,C$5,$B20),"")</f>
        <v/>
      </c>
      <c r="D20" s="32" t="str">
        <f>IFERROR([1]!IntrinioBankFinancials(rssd_id,$R$2,D$6,D$5,$B20),"")</f>
        <v/>
      </c>
      <c r="E20" s="32" t="str">
        <f>IFERROR([1]!IntrinioBankFinancials(rssd_id,$R$2,E$6,E$5,$B20),"")</f>
        <v/>
      </c>
      <c r="F20" s="32" t="str">
        <f>IFERROR([1]!IntrinioBankFinancials(rssd_id,$R$2,F$6,F$5,$B20),"")</f>
        <v/>
      </c>
      <c r="G20" s="32" t="str">
        <f>IFERROR([1]!IntrinioBankFinancials(rssd_id,$R$2,G$6,G$5,$B20),"")</f>
        <v/>
      </c>
      <c r="H20" s="32" t="str">
        <f>IFERROR([1]!IntrinioBankFinancials(rssd_id,$R$2,H$6,H$5,$B20),"")</f>
        <v/>
      </c>
      <c r="I20" s="32" t="str">
        <f>IFERROR([1]!IntrinioBankFinancials(rssd_id,$R$2,I$6,I$5,$B20),"")</f>
        <v/>
      </c>
      <c r="J20" s="32" t="str">
        <f>IFERROR([1]!IntrinioBankFinancials(rssd_id,$R$2,J$6,J$5,$B20),"")</f>
        <v/>
      </c>
      <c r="K20" s="32" t="str">
        <f>IFERROR([1]!IntrinioBankFinancials(rssd_id,$R$2,K$6,K$5,$B20),"")</f>
        <v/>
      </c>
      <c r="L20" s="32" t="str">
        <f>IFERROR([1]!IntrinioBankFinancials(rssd_id,$R$2,L$6,L$5,$B20),"")</f>
        <v/>
      </c>
      <c r="M20" s="32" t="str">
        <f>IFERROR([1]!IntrinioBankFinancials(rssd_id,$R$2,M$6,M$5,$B20),"")</f>
        <v/>
      </c>
      <c r="N20" s="32" t="str">
        <f>IFERROR([1]!IntrinioBankFinancials(rssd_id,$R$2,N$6,N$5,$B20),"")</f>
        <v/>
      </c>
      <c r="O20" s="32" t="str">
        <f>IFERROR([1]!IntrinioBankFinancials(rssd_id,$R$2,O$6,O$5,$B20),"")</f>
        <v/>
      </c>
    </row>
    <row r="21" spans="1:15" ht="13.5" customHeight="1" x14ac:dyDescent="0.4">
      <c r="A21" s="34" t="s">
        <v>910</v>
      </c>
      <c r="B21" s="23" t="s">
        <v>911</v>
      </c>
      <c r="C21" s="32" t="str">
        <f>IFERROR([1]!IntrinioBankFinancials(rssd_id,$R$2,C$6,C$5,$B21),"")</f>
        <v/>
      </c>
      <c r="D21" s="32" t="str">
        <f>IFERROR([1]!IntrinioBankFinancials(rssd_id,$R$2,D$6,D$5,$B21),"")</f>
        <v/>
      </c>
      <c r="E21" s="32" t="str">
        <f>IFERROR([1]!IntrinioBankFinancials(rssd_id,$R$2,E$6,E$5,$B21),"")</f>
        <v/>
      </c>
      <c r="F21" s="32" t="str">
        <f>IFERROR([1]!IntrinioBankFinancials(rssd_id,$R$2,F$6,F$5,$B21),"")</f>
        <v/>
      </c>
      <c r="G21" s="32" t="str">
        <f>IFERROR([1]!IntrinioBankFinancials(rssd_id,$R$2,G$6,G$5,$B21),"")</f>
        <v/>
      </c>
      <c r="H21" s="32" t="str">
        <f>IFERROR([1]!IntrinioBankFinancials(rssd_id,$R$2,H$6,H$5,$B21),"")</f>
        <v/>
      </c>
      <c r="I21" s="32" t="str">
        <f>IFERROR([1]!IntrinioBankFinancials(rssd_id,$R$2,I$6,I$5,$B21),"")</f>
        <v/>
      </c>
      <c r="J21" s="32" t="str">
        <f>IFERROR([1]!IntrinioBankFinancials(rssd_id,$R$2,J$6,J$5,$B21),"")</f>
        <v/>
      </c>
      <c r="K21" s="32" t="str">
        <f>IFERROR([1]!IntrinioBankFinancials(rssd_id,$R$2,K$6,K$5,$B21),"")</f>
        <v/>
      </c>
      <c r="L21" s="32" t="str">
        <f>IFERROR([1]!IntrinioBankFinancials(rssd_id,$R$2,L$6,L$5,$B21),"")</f>
        <v/>
      </c>
      <c r="M21" s="32" t="str">
        <f>IFERROR([1]!IntrinioBankFinancials(rssd_id,$R$2,M$6,M$5,$B21),"")</f>
        <v/>
      </c>
      <c r="N21" s="32" t="str">
        <f>IFERROR([1]!IntrinioBankFinancials(rssd_id,$R$2,N$6,N$5,$B21),"")</f>
        <v/>
      </c>
      <c r="O21" s="32" t="str">
        <f>IFERROR([1]!IntrinioBankFinancials(rssd_id,$R$2,O$6,O$5,$B21),"")</f>
        <v/>
      </c>
    </row>
    <row r="22" spans="1:15" ht="13.5" customHeight="1" x14ac:dyDescent="0.4">
      <c r="A22" s="34" t="s">
        <v>912</v>
      </c>
      <c r="B22" s="23" t="s">
        <v>913</v>
      </c>
      <c r="C22" s="32" t="str">
        <f>IFERROR([1]!IntrinioBankFinancials(rssd_id,$R$2,C$6,C$5,$B22),"")</f>
        <v/>
      </c>
      <c r="D22" s="32" t="str">
        <f>IFERROR([1]!IntrinioBankFinancials(rssd_id,$R$2,D$6,D$5,$B22),"")</f>
        <v/>
      </c>
      <c r="E22" s="32" t="str">
        <f>IFERROR([1]!IntrinioBankFinancials(rssd_id,$R$2,E$6,E$5,$B22),"")</f>
        <v/>
      </c>
      <c r="F22" s="32" t="str">
        <f>IFERROR([1]!IntrinioBankFinancials(rssd_id,$R$2,F$6,F$5,$B22),"")</f>
        <v/>
      </c>
      <c r="G22" s="32" t="str">
        <f>IFERROR([1]!IntrinioBankFinancials(rssd_id,$R$2,G$6,G$5,$B22),"")</f>
        <v/>
      </c>
      <c r="H22" s="32" t="str">
        <f>IFERROR([1]!IntrinioBankFinancials(rssd_id,$R$2,H$6,H$5,$B22),"")</f>
        <v/>
      </c>
      <c r="I22" s="32" t="str">
        <f>IFERROR([1]!IntrinioBankFinancials(rssd_id,$R$2,I$6,I$5,$B22),"")</f>
        <v/>
      </c>
      <c r="J22" s="32" t="str">
        <f>IFERROR([1]!IntrinioBankFinancials(rssd_id,$R$2,J$6,J$5,$B22),"")</f>
        <v/>
      </c>
      <c r="K22" s="32" t="str">
        <f>IFERROR([1]!IntrinioBankFinancials(rssd_id,$R$2,K$6,K$5,$B22),"")</f>
        <v/>
      </c>
      <c r="L22" s="32" t="str">
        <f>IFERROR([1]!IntrinioBankFinancials(rssd_id,$R$2,L$6,L$5,$B22),"")</f>
        <v/>
      </c>
      <c r="M22" s="32" t="str">
        <f>IFERROR([1]!IntrinioBankFinancials(rssd_id,$R$2,M$6,M$5,$B22),"")</f>
        <v/>
      </c>
      <c r="N22" s="32" t="str">
        <f>IFERROR([1]!IntrinioBankFinancials(rssd_id,$R$2,N$6,N$5,$B22),"")</f>
        <v/>
      </c>
      <c r="O22" s="32" t="str">
        <f>IFERROR([1]!IntrinioBankFinancials(rssd_id,$R$2,O$6,O$5,$B22),"")</f>
        <v/>
      </c>
    </row>
    <row r="23" spans="1:15" ht="13.5" customHeight="1" x14ac:dyDescent="0.4">
      <c r="A23" s="34" t="s">
        <v>914</v>
      </c>
      <c r="B23" s="23" t="s">
        <v>915</v>
      </c>
      <c r="C23" s="32" t="str">
        <f>IFERROR([1]!IntrinioBankFinancials(rssd_id,$R$2,C$6,C$5,$B23),"")</f>
        <v/>
      </c>
      <c r="D23" s="32" t="str">
        <f>IFERROR([1]!IntrinioBankFinancials(rssd_id,$R$2,D$6,D$5,$B23),"")</f>
        <v/>
      </c>
      <c r="E23" s="32" t="str">
        <f>IFERROR([1]!IntrinioBankFinancials(rssd_id,$R$2,E$6,E$5,$B23),"")</f>
        <v/>
      </c>
      <c r="F23" s="32" t="str">
        <f>IFERROR([1]!IntrinioBankFinancials(rssd_id,$R$2,F$6,F$5,$B23),"")</f>
        <v/>
      </c>
      <c r="G23" s="32" t="str">
        <f>IFERROR([1]!IntrinioBankFinancials(rssd_id,$R$2,G$6,G$5,$B23),"")</f>
        <v/>
      </c>
      <c r="H23" s="32" t="str">
        <f>IFERROR([1]!IntrinioBankFinancials(rssd_id,$R$2,H$6,H$5,$B23),"")</f>
        <v/>
      </c>
      <c r="I23" s="32" t="str">
        <f>IFERROR([1]!IntrinioBankFinancials(rssd_id,$R$2,I$6,I$5,$B23),"")</f>
        <v/>
      </c>
      <c r="J23" s="32" t="str">
        <f>IFERROR([1]!IntrinioBankFinancials(rssd_id,$R$2,J$6,J$5,$B23),"")</f>
        <v/>
      </c>
      <c r="K23" s="32" t="str">
        <f>IFERROR([1]!IntrinioBankFinancials(rssd_id,$R$2,K$6,K$5,$B23),"")</f>
        <v/>
      </c>
      <c r="L23" s="32" t="str">
        <f>IFERROR([1]!IntrinioBankFinancials(rssd_id,$R$2,L$6,L$5,$B23),"")</f>
        <v/>
      </c>
      <c r="M23" s="32" t="str">
        <f>IFERROR([1]!IntrinioBankFinancials(rssd_id,$R$2,M$6,M$5,$B23),"")</f>
        <v/>
      </c>
      <c r="N23" s="32" t="str">
        <f>IFERROR([1]!IntrinioBankFinancials(rssd_id,$R$2,N$6,N$5,$B23),"")</f>
        <v/>
      </c>
      <c r="O23" s="32" t="str">
        <f>IFERROR([1]!IntrinioBankFinancials(rssd_id,$R$2,O$6,O$5,$B23),"")</f>
        <v/>
      </c>
    </row>
    <row r="24" spans="1:15" ht="13.5" customHeight="1" x14ac:dyDescent="0.4">
      <c r="A24" s="34" t="s">
        <v>916</v>
      </c>
      <c r="B24" s="23" t="s">
        <v>917</v>
      </c>
      <c r="C24" s="32" t="str">
        <f>IFERROR([1]!IntrinioBankFinancials(rssd_id,$R$2,C$6,C$5,$B24),"")</f>
        <v/>
      </c>
      <c r="D24" s="32" t="str">
        <f>IFERROR([1]!IntrinioBankFinancials(rssd_id,$R$2,D$6,D$5,$B24),"")</f>
        <v/>
      </c>
      <c r="E24" s="32" t="str">
        <f>IFERROR([1]!IntrinioBankFinancials(rssd_id,$R$2,E$6,E$5,$B24),"")</f>
        <v/>
      </c>
      <c r="F24" s="32" t="str">
        <f>IFERROR([1]!IntrinioBankFinancials(rssd_id,$R$2,F$6,F$5,$B24),"")</f>
        <v/>
      </c>
      <c r="G24" s="32" t="str">
        <f>IFERROR([1]!IntrinioBankFinancials(rssd_id,$R$2,G$6,G$5,$B24),"")</f>
        <v/>
      </c>
      <c r="H24" s="32" t="str">
        <f>IFERROR([1]!IntrinioBankFinancials(rssd_id,$R$2,H$6,H$5,$B24),"")</f>
        <v/>
      </c>
      <c r="I24" s="32" t="str">
        <f>IFERROR([1]!IntrinioBankFinancials(rssd_id,$R$2,I$6,I$5,$B24),"")</f>
        <v/>
      </c>
      <c r="J24" s="32" t="str">
        <f>IFERROR([1]!IntrinioBankFinancials(rssd_id,$R$2,J$6,J$5,$B24),"")</f>
        <v/>
      </c>
      <c r="K24" s="32" t="str">
        <f>IFERROR([1]!IntrinioBankFinancials(rssd_id,$R$2,K$6,K$5,$B24),"")</f>
        <v/>
      </c>
      <c r="L24" s="32" t="str">
        <f>IFERROR([1]!IntrinioBankFinancials(rssd_id,$R$2,L$6,L$5,$B24),"")</f>
        <v/>
      </c>
      <c r="M24" s="32" t="str">
        <f>IFERROR([1]!IntrinioBankFinancials(rssd_id,$R$2,M$6,M$5,$B24),"")</f>
        <v/>
      </c>
      <c r="N24" s="32" t="str">
        <f>IFERROR([1]!IntrinioBankFinancials(rssd_id,$R$2,N$6,N$5,$B24),"")</f>
        <v/>
      </c>
      <c r="O24" s="32" t="str">
        <f>IFERROR([1]!IntrinioBankFinancials(rssd_id,$R$2,O$6,O$5,$B24),"")</f>
        <v/>
      </c>
    </row>
    <row r="25" spans="1:15" ht="13.5" customHeight="1" x14ac:dyDescent="0.4">
      <c r="A25" s="34" t="s">
        <v>494</v>
      </c>
      <c r="B25" s="23" t="s">
        <v>918</v>
      </c>
      <c r="C25" s="32" t="str">
        <f>IFERROR([1]!IntrinioBankFinancials(rssd_id,$R$2,C$6,C$5,$B25),"")</f>
        <v/>
      </c>
      <c r="D25" s="32" t="str">
        <f>IFERROR([1]!IntrinioBankFinancials(rssd_id,$R$2,D$6,D$5,$B25),"")</f>
        <v/>
      </c>
      <c r="E25" s="32" t="str">
        <f>IFERROR([1]!IntrinioBankFinancials(rssd_id,$R$2,E$6,E$5,$B25),"")</f>
        <v/>
      </c>
      <c r="F25" s="32" t="str">
        <f>IFERROR([1]!IntrinioBankFinancials(rssd_id,$R$2,F$6,F$5,$B25),"")</f>
        <v/>
      </c>
      <c r="G25" s="32" t="str">
        <f>IFERROR([1]!IntrinioBankFinancials(rssd_id,$R$2,G$6,G$5,$B25),"")</f>
        <v/>
      </c>
      <c r="H25" s="32" t="str">
        <f>IFERROR([1]!IntrinioBankFinancials(rssd_id,$R$2,H$6,H$5,$B25),"")</f>
        <v/>
      </c>
      <c r="I25" s="32" t="str">
        <f>IFERROR([1]!IntrinioBankFinancials(rssd_id,$R$2,I$6,I$5,$B25),"")</f>
        <v/>
      </c>
      <c r="J25" s="32" t="str">
        <f>IFERROR([1]!IntrinioBankFinancials(rssd_id,$R$2,J$6,J$5,$B25),"")</f>
        <v/>
      </c>
      <c r="K25" s="32" t="str">
        <f>IFERROR([1]!IntrinioBankFinancials(rssd_id,$R$2,K$6,K$5,$B25),"")</f>
        <v/>
      </c>
      <c r="L25" s="32" t="str">
        <f>IFERROR([1]!IntrinioBankFinancials(rssd_id,$R$2,L$6,L$5,$B25),"")</f>
        <v/>
      </c>
      <c r="M25" s="32" t="str">
        <f>IFERROR([1]!IntrinioBankFinancials(rssd_id,$R$2,M$6,M$5,$B25),"")</f>
        <v/>
      </c>
      <c r="N25" s="32" t="str">
        <f>IFERROR([1]!IntrinioBankFinancials(rssd_id,$R$2,N$6,N$5,$B25),"")</f>
        <v/>
      </c>
      <c r="O25" s="32" t="str">
        <f>IFERROR([1]!IntrinioBankFinancials(rssd_id,$R$2,O$6,O$5,$B25),"")</f>
        <v/>
      </c>
    </row>
    <row r="26" spans="1:15" s="22" customFormat="1" ht="13.5" customHeight="1" x14ac:dyDescent="0.4">
      <c r="A26" s="33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</row>
    <row r="27" spans="1:15" s="22" customFormat="1" ht="13.5" customHeight="1" x14ac:dyDescent="0.4">
      <c r="A27" s="33" t="s">
        <v>1167</v>
      </c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</row>
    <row r="28" spans="1:15" ht="13.5" customHeight="1" x14ac:dyDescent="0.4">
      <c r="A28" s="34" t="s">
        <v>919</v>
      </c>
      <c r="B28" s="23" t="s">
        <v>920</v>
      </c>
      <c r="C28" s="32" t="str">
        <f>IFERROR([1]!IntrinioBankFinancials(rssd_id,$R$2,C$6,C$5,$B28),"")</f>
        <v/>
      </c>
      <c r="D28" s="32" t="str">
        <f>IFERROR([1]!IntrinioBankFinancials(rssd_id,$R$2,D$6,D$5,$B28),"")</f>
        <v/>
      </c>
      <c r="E28" s="32" t="str">
        <f>IFERROR([1]!IntrinioBankFinancials(rssd_id,$R$2,E$6,E$5,$B28),"")</f>
        <v/>
      </c>
      <c r="F28" s="32" t="str">
        <f>IFERROR([1]!IntrinioBankFinancials(rssd_id,$R$2,F$6,F$5,$B28),"")</f>
        <v/>
      </c>
      <c r="G28" s="32" t="str">
        <f>IFERROR([1]!IntrinioBankFinancials(rssd_id,$R$2,G$6,G$5,$B28),"")</f>
        <v/>
      </c>
      <c r="H28" s="32" t="str">
        <f>IFERROR([1]!IntrinioBankFinancials(rssd_id,$R$2,H$6,H$5,$B28),"")</f>
        <v/>
      </c>
      <c r="I28" s="32" t="str">
        <f>IFERROR([1]!IntrinioBankFinancials(rssd_id,$R$2,I$6,I$5,$B28),"")</f>
        <v/>
      </c>
      <c r="J28" s="32" t="str">
        <f>IFERROR([1]!IntrinioBankFinancials(rssd_id,$R$2,J$6,J$5,$B28),"")</f>
        <v/>
      </c>
      <c r="K28" s="32" t="str">
        <f>IFERROR([1]!IntrinioBankFinancials(rssd_id,$R$2,K$6,K$5,$B28),"")</f>
        <v/>
      </c>
      <c r="L28" s="32" t="str">
        <f>IFERROR([1]!IntrinioBankFinancials(rssd_id,$R$2,L$6,L$5,$B28),"")</f>
        <v/>
      </c>
      <c r="M28" s="32" t="str">
        <f>IFERROR([1]!IntrinioBankFinancials(rssd_id,$R$2,M$6,M$5,$B28),"")</f>
        <v/>
      </c>
      <c r="N28" s="32" t="str">
        <f>IFERROR([1]!IntrinioBankFinancials(rssd_id,$R$2,N$6,N$5,$B28),"")</f>
        <v/>
      </c>
      <c r="O28" s="32" t="str">
        <f>IFERROR([1]!IntrinioBankFinancials(rssd_id,$R$2,O$6,O$5,$B28),"")</f>
        <v/>
      </c>
    </row>
    <row r="29" spans="1:15" ht="13.5" customHeight="1" x14ac:dyDescent="0.4">
      <c r="A29" s="34" t="s">
        <v>921</v>
      </c>
      <c r="B29" s="23" t="s">
        <v>922</v>
      </c>
      <c r="C29" s="32" t="str">
        <f>IFERROR([1]!IntrinioBankFinancials(rssd_id,$R$2,C$6,C$5,$B29),"")</f>
        <v/>
      </c>
      <c r="D29" s="32" t="str">
        <f>IFERROR([1]!IntrinioBankFinancials(rssd_id,$R$2,D$6,D$5,$B29),"")</f>
        <v/>
      </c>
      <c r="E29" s="32" t="str">
        <f>IFERROR([1]!IntrinioBankFinancials(rssd_id,$R$2,E$6,E$5,$B29),"")</f>
        <v/>
      </c>
      <c r="F29" s="32" t="str">
        <f>IFERROR([1]!IntrinioBankFinancials(rssd_id,$R$2,F$6,F$5,$B29),"")</f>
        <v/>
      </c>
      <c r="G29" s="32" t="str">
        <f>IFERROR([1]!IntrinioBankFinancials(rssd_id,$R$2,G$6,G$5,$B29),"")</f>
        <v/>
      </c>
      <c r="H29" s="32" t="str">
        <f>IFERROR([1]!IntrinioBankFinancials(rssd_id,$R$2,H$6,H$5,$B29),"")</f>
        <v/>
      </c>
      <c r="I29" s="32" t="str">
        <f>IFERROR([1]!IntrinioBankFinancials(rssd_id,$R$2,I$6,I$5,$B29),"")</f>
        <v/>
      </c>
      <c r="J29" s="32" t="str">
        <f>IFERROR([1]!IntrinioBankFinancials(rssd_id,$R$2,J$6,J$5,$B29),"")</f>
        <v/>
      </c>
      <c r="K29" s="32" t="str">
        <f>IFERROR([1]!IntrinioBankFinancials(rssd_id,$R$2,K$6,K$5,$B29),"")</f>
        <v/>
      </c>
      <c r="L29" s="32" t="str">
        <f>IFERROR([1]!IntrinioBankFinancials(rssd_id,$R$2,L$6,L$5,$B29),"")</f>
        <v/>
      </c>
      <c r="M29" s="32" t="str">
        <f>IFERROR([1]!IntrinioBankFinancials(rssd_id,$R$2,M$6,M$5,$B29),"")</f>
        <v/>
      </c>
      <c r="N29" s="32" t="str">
        <f>IFERROR([1]!IntrinioBankFinancials(rssd_id,$R$2,N$6,N$5,$B29),"")</f>
        <v/>
      </c>
      <c r="O29" s="32" t="str">
        <f>IFERROR([1]!IntrinioBankFinancials(rssd_id,$R$2,O$6,O$5,$B29),"")</f>
        <v/>
      </c>
    </row>
    <row r="30" spans="1:15" ht="13.5" customHeight="1" x14ac:dyDescent="0.4">
      <c r="A30" s="34" t="s">
        <v>923</v>
      </c>
      <c r="B30" s="23" t="s">
        <v>924</v>
      </c>
      <c r="C30" s="32" t="str">
        <f>IFERROR([1]!IntrinioBankFinancials(rssd_id,$R$2,C$6,C$5,$B30),"")</f>
        <v/>
      </c>
      <c r="D30" s="32" t="str">
        <f>IFERROR([1]!IntrinioBankFinancials(rssd_id,$R$2,D$6,D$5,$B30),"")</f>
        <v/>
      </c>
      <c r="E30" s="32" t="str">
        <f>IFERROR([1]!IntrinioBankFinancials(rssd_id,$R$2,E$6,E$5,$B30),"")</f>
        <v/>
      </c>
      <c r="F30" s="32" t="str">
        <f>IFERROR([1]!IntrinioBankFinancials(rssd_id,$R$2,F$6,F$5,$B30),"")</f>
        <v/>
      </c>
      <c r="G30" s="32" t="str">
        <f>IFERROR([1]!IntrinioBankFinancials(rssd_id,$R$2,G$6,G$5,$B30),"")</f>
        <v/>
      </c>
      <c r="H30" s="32" t="str">
        <f>IFERROR([1]!IntrinioBankFinancials(rssd_id,$R$2,H$6,H$5,$B30),"")</f>
        <v/>
      </c>
      <c r="I30" s="32" t="str">
        <f>IFERROR([1]!IntrinioBankFinancials(rssd_id,$R$2,I$6,I$5,$B30),"")</f>
        <v/>
      </c>
      <c r="J30" s="32" t="str">
        <f>IFERROR([1]!IntrinioBankFinancials(rssd_id,$R$2,J$6,J$5,$B30),"")</f>
        <v/>
      </c>
      <c r="K30" s="32" t="str">
        <f>IFERROR([1]!IntrinioBankFinancials(rssd_id,$R$2,K$6,K$5,$B30),"")</f>
        <v/>
      </c>
      <c r="L30" s="32" t="str">
        <f>IFERROR([1]!IntrinioBankFinancials(rssd_id,$R$2,L$6,L$5,$B30),"")</f>
        <v/>
      </c>
      <c r="M30" s="32" t="str">
        <f>IFERROR([1]!IntrinioBankFinancials(rssd_id,$R$2,M$6,M$5,$B30),"")</f>
        <v/>
      </c>
      <c r="N30" s="32" t="str">
        <f>IFERROR([1]!IntrinioBankFinancials(rssd_id,$R$2,N$6,N$5,$B30),"")</f>
        <v/>
      </c>
      <c r="O30" s="32" t="str">
        <f>IFERROR([1]!IntrinioBankFinancials(rssd_id,$R$2,O$6,O$5,$B30),"")</f>
        <v/>
      </c>
    </row>
    <row r="31" spans="1:15" ht="13.5" customHeight="1" x14ac:dyDescent="0.4">
      <c r="A31" s="34" t="s">
        <v>925</v>
      </c>
      <c r="B31" s="23" t="s">
        <v>926</v>
      </c>
      <c r="C31" s="32" t="str">
        <f>IFERROR([1]!IntrinioBankFinancials(rssd_id,$R$2,C$6,C$5,$B31),"")</f>
        <v/>
      </c>
      <c r="D31" s="32" t="str">
        <f>IFERROR([1]!IntrinioBankFinancials(rssd_id,$R$2,D$6,D$5,$B31),"")</f>
        <v/>
      </c>
      <c r="E31" s="32" t="str">
        <f>IFERROR([1]!IntrinioBankFinancials(rssd_id,$R$2,E$6,E$5,$B31),"")</f>
        <v/>
      </c>
      <c r="F31" s="32" t="str">
        <f>IFERROR([1]!IntrinioBankFinancials(rssd_id,$R$2,F$6,F$5,$B31),"")</f>
        <v/>
      </c>
      <c r="G31" s="32" t="str">
        <f>IFERROR([1]!IntrinioBankFinancials(rssd_id,$R$2,G$6,G$5,$B31),"")</f>
        <v/>
      </c>
      <c r="H31" s="32" t="str">
        <f>IFERROR([1]!IntrinioBankFinancials(rssd_id,$R$2,H$6,H$5,$B31),"")</f>
        <v/>
      </c>
      <c r="I31" s="32" t="str">
        <f>IFERROR([1]!IntrinioBankFinancials(rssd_id,$R$2,I$6,I$5,$B31),"")</f>
        <v/>
      </c>
      <c r="J31" s="32" t="str">
        <f>IFERROR([1]!IntrinioBankFinancials(rssd_id,$R$2,J$6,J$5,$B31),"")</f>
        <v/>
      </c>
      <c r="K31" s="32" t="str">
        <f>IFERROR([1]!IntrinioBankFinancials(rssd_id,$R$2,K$6,K$5,$B31),"")</f>
        <v/>
      </c>
      <c r="L31" s="32" t="str">
        <f>IFERROR([1]!IntrinioBankFinancials(rssd_id,$R$2,L$6,L$5,$B31),"")</f>
        <v/>
      </c>
      <c r="M31" s="32" t="str">
        <f>IFERROR([1]!IntrinioBankFinancials(rssd_id,$R$2,M$6,M$5,$B31),"")</f>
        <v/>
      </c>
      <c r="N31" s="32" t="str">
        <f>IFERROR([1]!IntrinioBankFinancials(rssd_id,$R$2,N$6,N$5,$B31),"")</f>
        <v/>
      </c>
      <c r="O31" s="32" t="str">
        <f>IFERROR([1]!IntrinioBankFinancials(rssd_id,$R$2,O$6,O$5,$B31),"")</f>
        <v/>
      </c>
    </row>
    <row r="32" spans="1:15" ht="13.5" customHeight="1" x14ac:dyDescent="0.4">
      <c r="A32" s="34" t="s">
        <v>927</v>
      </c>
      <c r="B32" s="23" t="s">
        <v>928</v>
      </c>
      <c r="C32" s="32" t="str">
        <f>IFERROR([1]!IntrinioBankFinancials(rssd_id,$R$2,C$6,C$5,$B32),"")</f>
        <v/>
      </c>
      <c r="D32" s="32" t="str">
        <f>IFERROR([1]!IntrinioBankFinancials(rssd_id,$R$2,D$6,D$5,$B32),"")</f>
        <v/>
      </c>
      <c r="E32" s="32" t="str">
        <f>IFERROR([1]!IntrinioBankFinancials(rssd_id,$R$2,E$6,E$5,$B32),"")</f>
        <v/>
      </c>
      <c r="F32" s="32" t="str">
        <f>IFERROR([1]!IntrinioBankFinancials(rssd_id,$R$2,F$6,F$5,$B32),"")</f>
        <v/>
      </c>
      <c r="G32" s="32" t="str">
        <f>IFERROR([1]!IntrinioBankFinancials(rssd_id,$R$2,G$6,G$5,$B32),"")</f>
        <v/>
      </c>
      <c r="H32" s="32" t="str">
        <f>IFERROR([1]!IntrinioBankFinancials(rssd_id,$R$2,H$6,H$5,$B32),"")</f>
        <v/>
      </c>
      <c r="I32" s="32" t="str">
        <f>IFERROR([1]!IntrinioBankFinancials(rssd_id,$R$2,I$6,I$5,$B32),"")</f>
        <v/>
      </c>
      <c r="J32" s="32" t="str">
        <f>IFERROR([1]!IntrinioBankFinancials(rssd_id,$R$2,J$6,J$5,$B32),"")</f>
        <v/>
      </c>
      <c r="K32" s="32" t="str">
        <f>IFERROR([1]!IntrinioBankFinancials(rssd_id,$R$2,K$6,K$5,$B32),"")</f>
        <v/>
      </c>
      <c r="L32" s="32" t="str">
        <f>IFERROR([1]!IntrinioBankFinancials(rssd_id,$R$2,L$6,L$5,$B32),"")</f>
        <v/>
      </c>
      <c r="M32" s="32" t="str">
        <f>IFERROR([1]!IntrinioBankFinancials(rssd_id,$R$2,M$6,M$5,$B32),"")</f>
        <v/>
      </c>
      <c r="N32" s="32" t="str">
        <f>IFERROR([1]!IntrinioBankFinancials(rssd_id,$R$2,N$6,N$5,$B32),"")</f>
        <v/>
      </c>
      <c r="O32" s="32" t="str">
        <f>IFERROR([1]!IntrinioBankFinancials(rssd_id,$R$2,O$6,O$5,$B32),"")</f>
        <v/>
      </c>
    </row>
    <row r="33" spans="1:15" ht="13.5" customHeight="1" x14ac:dyDescent="0.4">
      <c r="A33" s="34" t="s">
        <v>929</v>
      </c>
      <c r="B33" s="23" t="s">
        <v>930</v>
      </c>
      <c r="C33" s="32" t="str">
        <f>IFERROR([1]!IntrinioBankFinancials(rssd_id,$R$2,C$6,C$5,$B33),"")</f>
        <v/>
      </c>
      <c r="D33" s="32" t="str">
        <f>IFERROR([1]!IntrinioBankFinancials(rssd_id,$R$2,D$6,D$5,$B33),"")</f>
        <v/>
      </c>
      <c r="E33" s="32" t="str">
        <f>IFERROR([1]!IntrinioBankFinancials(rssd_id,$R$2,E$6,E$5,$B33),"")</f>
        <v/>
      </c>
      <c r="F33" s="32" t="str">
        <f>IFERROR([1]!IntrinioBankFinancials(rssd_id,$R$2,F$6,F$5,$B33),"")</f>
        <v/>
      </c>
      <c r="G33" s="32" t="str">
        <f>IFERROR([1]!IntrinioBankFinancials(rssd_id,$R$2,G$6,G$5,$B33),"")</f>
        <v/>
      </c>
      <c r="H33" s="32" t="str">
        <f>IFERROR([1]!IntrinioBankFinancials(rssd_id,$R$2,H$6,H$5,$B33),"")</f>
        <v/>
      </c>
      <c r="I33" s="32" t="str">
        <f>IFERROR([1]!IntrinioBankFinancials(rssd_id,$R$2,I$6,I$5,$B33),"")</f>
        <v/>
      </c>
      <c r="J33" s="32" t="str">
        <f>IFERROR([1]!IntrinioBankFinancials(rssd_id,$R$2,J$6,J$5,$B33),"")</f>
        <v/>
      </c>
      <c r="K33" s="32" t="str">
        <f>IFERROR([1]!IntrinioBankFinancials(rssd_id,$R$2,K$6,K$5,$B33),"")</f>
        <v/>
      </c>
      <c r="L33" s="32" t="str">
        <f>IFERROR([1]!IntrinioBankFinancials(rssd_id,$R$2,L$6,L$5,$B33),"")</f>
        <v/>
      </c>
      <c r="M33" s="32" t="str">
        <f>IFERROR([1]!IntrinioBankFinancials(rssd_id,$R$2,M$6,M$5,$B33),"")</f>
        <v/>
      </c>
      <c r="N33" s="32" t="str">
        <f>IFERROR([1]!IntrinioBankFinancials(rssd_id,$R$2,N$6,N$5,$B33),"")</f>
        <v/>
      </c>
      <c r="O33" s="32" t="str">
        <f>IFERROR([1]!IntrinioBankFinancials(rssd_id,$R$2,O$6,O$5,$B33),"")</f>
        <v/>
      </c>
    </row>
    <row r="34" spans="1:15" ht="13.5" customHeight="1" x14ac:dyDescent="0.4">
      <c r="A34" s="34" t="s">
        <v>931</v>
      </c>
      <c r="B34" s="23" t="s">
        <v>932</v>
      </c>
      <c r="C34" s="32" t="str">
        <f>IFERROR([1]!IntrinioBankFinancials(rssd_id,$R$2,C$6,C$5,$B34),"")</f>
        <v/>
      </c>
      <c r="D34" s="32" t="str">
        <f>IFERROR([1]!IntrinioBankFinancials(rssd_id,$R$2,D$6,D$5,$B34),"")</f>
        <v/>
      </c>
      <c r="E34" s="32" t="str">
        <f>IFERROR([1]!IntrinioBankFinancials(rssd_id,$R$2,E$6,E$5,$B34),"")</f>
        <v/>
      </c>
      <c r="F34" s="32" t="str">
        <f>IFERROR([1]!IntrinioBankFinancials(rssd_id,$R$2,F$6,F$5,$B34),"")</f>
        <v/>
      </c>
      <c r="G34" s="32" t="str">
        <f>IFERROR([1]!IntrinioBankFinancials(rssd_id,$R$2,G$6,G$5,$B34),"")</f>
        <v/>
      </c>
      <c r="H34" s="32" t="str">
        <f>IFERROR([1]!IntrinioBankFinancials(rssd_id,$R$2,H$6,H$5,$B34),"")</f>
        <v/>
      </c>
      <c r="I34" s="32" t="str">
        <f>IFERROR([1]!IntrinioBankFinancials(rssd_id,$R$2,I$6,I$5,$B34),"")</f>
        <v/>
      </c>
      <c r="J34" s="32" t="str">
        <f>IFERROR([1]!IntrinioBankFinancials(rssd_id,$R$2,J$6,J$5,$B34),"")</f>
        <v/>
      </c>
      <c r="K34" s="32" t="str">
        <f>IFERROR([1]!IntrinioBankFinancials(rssd_id,$R$2,K$6,K$5,$B34),"")</f>
        <v/>
      </c>
      <c r="L34" s="32" t="str">
        <f>IFERROR([1]!IntrinioBankFinancials(rssd_id,$R$2,L$6,L$5,$B34),"")</f>
        <v/>
      </c>
      <c r="M34" s="32" t="str">
        <f>IFERROR([1]!IntrinioBankFinancials(rssd_id,$R$2,M$6,M$5,$B34),"")</f>
        <v/>
      </c>
      <c r="N34" s="32" t="str">
        <f>IFERROR([1]!IntrinioBankFinancials(rssd_id,$R$2,N$6,N$5,$B34),"")</f>
        <v/>
      </c>
      <c r="O34" s="32" t="str">
        <f>IFERROR([1]!IntrinioBankFinancials(rssd_id,$R$2,O$6,O$5,$B34),"")</f>
        <v/>
      </c>
    </row>
    <row r="35" spans="1:15" s="22" customFormat="1" ht="13.5" customHeight="1" x14ac:dyDescent="0.4">
      <c r="A35" s="33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</row>
    <row r="36" spans="1:15" s="22" customFormat="1" ht="13.5" customHeight="1" x14ac:dyDescent="0.4">
      <c r="A36" s="33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</row>
    <row r="37" spans="1:15" ht="13.5" customHeight="1" x14ac:dyDescent="0.4">
      <c r="A37" s="34" t="s">
        <v>64</v>
      </c>
      <c r="B37" s="23" t="s">
        <v>933</v>
      </c>
      <c r="C37" s="24" t="str">
        <f>IFERROR([1]!IntrinioBankFinancials(rssd_id,$R$2,C$6,C$5,$B37,"K"),"")</f>
        <v/>
      </c>
      <c r="D37" s="24" t="str">
        <f>IFERROR([1]!IntrinioBankFinancials(rssd_id,$R$2,D$6,D$5,$B37,"K"),"")</f>
        <v/>
      </c>
      <c r="E37" s="24" t="str">
        <f>IFERROR([1]!IntrinioBankFinancials(rssd_id,$R$2,E$6,E$5,$B37,"K"),"")</f>
        <v/>
      </c>
      <c r="F37" s="24" t="str">
        <f>IFERROR([1]!IntrinioBankFinancials(rssd_id,$R$2,F$6,F$5,$B37,"K"),"")</f>
        <v/>
      </c>
      <c r="G37" s="24" t="str">
        <f>IFERROR([1]!IntrinioBankFinancials(rssd_id,$R$2,G$6,G$5,$B37,"K"),"")</f>
        <v/>
      </c>
      <c r="H37" s="24" t="str">
        <f>IFERROR([1]!IntrinioBankFinancials(rssd_id,$R$2,H$6,H$5,$B37,"K"),"")</f>
        <v/>
      </c>
      <c r="I37" s="24" t="str">
        <f>IFERROR([1]!IntrinioBankFinancials(rssd_id,$R$2,I$6,I$5,$B37,"K"),"")</f>
        <v/>
      </c>
      <c r="J37" s="24" t="str">
        <f>IFERROR([1]!IntrinioBankFinancials(rssd_id,$R$2,J$6,J$5,$B37,"K"),"")</f>
        <v/>
      </c>
      <c r="K37" s="24" t="str">
        <f>IFERROR([1]!IntrinioBankFinancials(rssd_id,$R$2,K$6,K$5,$B37,"K"),"")</f>
        <v/>
      </c>
      <c r="L37" s="24" t="str">
        <f>IFERROR([1]!IntrinioBankFinancials(rssd_id,$R$2,L$6,L$5,$B37,"K"),"")</f>
        <v/>
      </c>
      <c r="M37" s="24" t="str">
        <f>IFERROR([1]!IntrinioBankFinancials(rssd_id,$R$2,M$6,M$5,$B37,"K"),"")</f>
        <v/>
      </c>
      <c r="N37" s="24" t="str">
        <f>IFERROR([1]!IntrinioBankFinancials(rssd_id,$R$2,N$6,N$5,$B37,"K"),"")</f>
        <v/>
      </c>
      <c r="O37" s="24" t="str">
        <f>IFERROR([1]!IntrinioBankFinancials(rssd_id,$R$2,O$6,O$5,$B37,"K"),"")</f>
        <v/>
      </c>
    </row>
    <row r="38" spans="1:15" ht="13.5" customHeight="1" x14ac:dyDescent="0.4">
      <c r="A38" s="34" t="s">
        <v>934</v>
      </c>
      <c r="B38" s="23" t="s">
        <v>935</v>
      </c>
      <c r="C38" s="24" t="str">
        <f>IFERROR([1]!IntrinioBankFinancials(rssd_id,$R$2,C$6,C$5,$B38,"K"),"")</f>
        <v/>
      </c>
      <c r="D38" s="24" t="str">
        <f>IFERROR([1]!IntrinioBankFinancials(rssd_id,$R$2,D$6,D$5,$B38,"K"),"")</f>
        <v/>
      </c>
      <c r="E38" s="24" t="str">
        <f>IFERROR([1]!IntrinioBankFinancials(rssd_id,$R$2,E$6,E$5,$B38,"K"),"")</f>
        <v/>
      </c>
      <c r="F38" s="24" t="str">
        <f>IFERROR([1]!IntrinioBankFinancials(rssd_id,$R$2,F$6,F$5,$B38,"K"),"")</f>
        <v/>
      </c>
      <c r="G38" s="24" t="str">
        <f>IFERROR([1]!IntrinioBankFinancials(rssd_id,$R$2,G$6,G$5,$B38,"K"),"")</f>
        <v/>
      </c>
      <c r="H38" s="24" t="str">
        <f>IFERROR([1]!IntrinioBankFinancials(rssd_id,$R$2,H$6,H$5,$B38,"K"),"")</f>
        <v/>
      </c>
      <c r="I38" s="24" t="str">
        <f>IFERROR([1]!IntrinioBankFinancials(rssd_id,$R$2,I$6,I$5,$B38,"K"),"")</f>
        <v/>
      </c>
      <c r="J38" s="24" t="str">
        <f>IFERROR([1]!IntrinioBankFinancials(rssd_id,$R$2,J$6,J$5,$B38,"K"),"")</f>
        <v/>
      </c>
      <c r="K38" s="24" t="str">
        <f>IFERROR([1]!IntrinioBankFinancials(rssd_id,$R$2,K$6,K$5,$B38,"K"),"")</f>
        <v/>
      </c>
      <c r="L38" s="24" t="str">
        <f>IFERROR([1]!IntrinioBankFinancials(rssd_id,$R$2,L$6,L$5,$B38,"K"),"")</f>
        <v/>
      </c>
      <c r="M38" s="24" t="str">
        <f>IFERROR([1]!IntrinioBankFinancials(rssd_id,$R$2,M$6,M$5,$B38,"K"),"")</f>
        <v/>
      </c>
      <c r="N38" s="24" t="str">
        <f>IFERROR([1]!IntrinioBankFinancials(rssd_id,$R$2,N$6,N$5,$B38,"K"),"")</f>
        <v/>
      </c>
      <c r="O38" s="24" t="str">
        <f>IFERROR([1]!IntrinioBankFinancials(rssd_id,$R$2,O$6,O$5,$B38,"K"),"")</f>
        <v/>
      </c>
    </row>
    <row r="39" spans="1:15" ht="13.5" customHeight="1" x14ac:dyDescent="0.4">
      <c r="A39" s="34" t="s">
        <v>936</v>
      </c>
      <c r="B39" s="23" t="s">
        <v>937</v>
      </c>
      <c r="C39" s="24" t="str">
        <f>IFERROR([1]!IntrinioBankFinancials(rssd_id,$R$2,C$6,C$5,$B39,"K"),"")</f>
        <v/>
      </c>
      <c r="D39" s="24" t="str">
        <f>IFERROR([1]!IntrinioBankFinancials(rssd_id,$R$2,D$6,D$5,$B39,"K"),"")</f>
        <v/>
      </c>
      <c r="E39" s="24" t="str">
        <f>IFERROR([1]!IntrinioBankFinancials(rssd_id,$R$2,E$6,E$5,$B39,"K"),"")</f>
        <v/>
      </c>
      <c r="F39" s="24" t="str">
        <f>IFERROR([1]!IntrinioBankFinancials(rssd_id,$R$2,F$6,F$5,$B39,"K"),"")</f>
        <v/>
      </c>
      <c r="G39" s="24" t="str">
        <f>IFERROR([1]!IntrinioBankFinancials(rssd_id,$R$2,G$6,G$5,$B39,"K"),"")</f>
        <v/>
      </c>
      <c r="H39" s="24" t="str">
        <f>IFERROR([1]!IntrinioBankFinancials(rssd_id,$R$2,H$6,H$5,$B39,"K"),"")</f>
        <v/>
      </c>
      <c r="I39" s="24" t="str">
        <f>IFERROR([1]!IntrinioBankFinancials(rssd_id,$R$2,I$6,I$5,$B39,"K"),"")</f>
        <v/>
      </c>
      <c r="J39" s="24" t="str">
        <f>IFERROR([1]!IntrinioBankFinancials(rssd_id,$R$2,J$6,J$5,$B39,"K"),"")</f>
        <v/>
      </c>
      <c r="K39" s="24" t="str">
        <f>IFERROR([1]!IntrinioBankFinancials(rssd_id,$R$2,K$6,K$5,$B39,"K"),"")</f>
        <v/>
      </c>
      <c r="L39" s="24" t="str">
        <f>IFERROR([1]!IntrinioBankFinancials(rssd_id,$R$2,L$6,L$5,$B39,"K"),"")</f>
        <v/>
      </c>
      <c r="M39" s="24" t="str">
        <f>IFERROR([1]!IntrinioBankFinancials(rssd_id,$R$2,M$6,M$5,$B39,"K"),"")</f>
        <v/>
      </c>
      <c r="N39" s="24" t="str">
        <f>IFERROR([1]!IntrinioBankFinancials(rssd_id,$R$2,N$6,N$5,$B39,"K"),"")</f>
        <v/>
      </c>
      <c r="O39" s="24" t="str">
        <f>IFERROR([1]!IntrinioBankFinancials(rssd_id,$R$2,O$6,O$5,$B39,"K"),"")</f>
        <v/>
      </c>
    </row>
    <row r="40" spans="1:15" ht="13.5" customHeight="1" x14ac:dyDescent="0.4">
      <c r="A40" s="34" t="s">
        <v>938</v>
      </c>
      <c r="B40" s="23" t="s">
        <v>939</v>
      </c>
      <c r="C40" s="24" t="str">
        <f>IFERROR([1]!IntrinioBankFinancials(rssd_id,$R$2,C$6,C$5,$B40,"K"),"")</f>
        <v/>
      </c>
      <c r="D40" s="24" t="str">
        <f>IFERROR([1]!IntrinioBankFinancials(rssd_id,$R$2,D$6,D$5,$B40,"K"),"")</f>
        <v/>
      </c>
      <c r="E40" s="24" t="str">
        <f>IFERROR([1]!IntrinioBankFinancials(rssd_id,$R$2,E$6,E$5,$B40,"K"),"")</f>
        <v/>
      </c>
      <c r="F40" s="24" t="str">
        <f>IFERROR([1]!IntrinioBankFinancials(rssd_id,$R$2,F$6,F$5,$B40,"K"),"")</f>
        <v/>
      </c>
      <c r="G40" s="24" t="str">
        <f>IFERROR([1]!IntrinioBankFinancials(rssd_id,$R$2,G$6,G$5,$B40,"K"),"")</f>
        <v/>
      </c>
      <c r="H40" s="24" t="str">
        <f>IFERROR([1]!IntrinioBankFinancials(rssd_id,$R$2,H$6,H$5,$B40,"K"),"")</f>
        <v/>
      </c>
      <c r="I40" s="24" t="str">
        <f>IFERROR([1]!IntrinioBankFinancials(rssd_id,$R$2,I$6,I$5,$B40,"K"),"")</f>
        <v/>
      </c>
      <c r="J40" s="24" t="str">
        <f>IFERROR([1]!IntrinioBankFinancials(rssd_id,$R$2,J$6,J$5,$B40,"K"),"")</f>
        <v/>
      </c>
      <c r="K40" s="24" t="str">
        <f>IFERROR([1]!IntrinioBankFinancials(rssd_id,$R$2,K$6,K$5,$B40,"K"),"")</f>
        <v/>
      </c>
      <c r="L40" s="24" t="str">
        <f>IFERROR([1]!IntrinioBankFinancials(rssd_id,$R$2,L$6,L$5,$B40,"K"),"")</f>
        <v/>
      </c>
      <c r="M40" s="24" t="str">
        <f>IFERROR([1]!IntrinioBankFinancials(rssd_id,$R$2,M$6,M$5,$B40,"K"),"")</f>
        <v/>
      </c>
      <c r="N40" s="24" t="str">
        <f>IFERROR([1]!IntrinioBankFinancials(rssd_id,$R$2,N$6,N$5,$B40,"K"),"")</f>
        <v/>
      </c>
      <c r="O40" s="24" t="str">
        <f>IFERROR([1]!IntrinioBankFinancials(rssd_id,$R$2,O$6,O$5,$B40,"K"),"")</f>
        <v/>
      </c>
    </row>
    <row r="41" spans="1:15" ht="13.5" customHeight="1" x14ac:dyDescent="0.4">
      <c r="A41" s="34" t="s">
        <v>940</v>
      </c>
      <c r="B41" s="23" t="s">
        <v>941</v>
      </c>
      <c r="C41" s="24" t="str">
        <f>IFERROR([1]!IntrinioBankFinancials(rssd_id,$R$2,C$6,C$5,$B41,"K"),"")</f>
        <v/>
      </c>
      <c r="D41" s="24" t="str">
        <f>IFERROR([1]!IntrinioBankFinancials(rssd_id,$R$2,D$6,D$5,$B41,"K"),"")</f>
        <v/>
      </c>
      <c r="E41" s="24" t="str">
        <f>IFERROR([1]!IntrinioBankFinancials(rssd_id,$R$2,E$6,E$5,$B41,"K"),"")</f>
        <v/>
      </c>
      <c r="F41" s="24" t="str">
        <f>IFERROR([1]!IntrinioBankFinancials(rssd_id,$R$2,F$6,F$5,$B41,"K"),"")</f>
        <v/>
      </c>
      <c r="G41" s="24" t="str">
        <f>IFERROR([1]!IntrinioBankFinancials(rssd_id,$R$2,G$6,G$5,$B41,"K"),"")</f>
        <v/>
      </c>
      <c r="H41" s="24" t="str">
        <f>IFERROR([1]!IntrinioBankFinancials(rssd_id,$R$2,H$6,H$5,$B41,"K"),"")</f>
        <v/>
      </c>
      <c r="I41" s="24" t="str">
        <f>IFERROR([1]!IntrinioBankFinancials(rssd_id,$R$2,I$6,I$5,$B41,"K"),"")</f>
        <v/>
      </c>
      <c r="J41" s="24" t="str">
        <f>IFERROR([1]!IntrinioBankFinancials(rssd_id,$R$2,J$6,J$5,$B41,"K"),"")</f>
        <v/>
      </c>
      <c r="K41" s="24" t="str">
        <f>IFERROR([1]!IntrinioBankFinancials(rssd_id,$R$2,K$6,K$5,$B41,"K"),"")</f>
        <v/>
      </c>
      <c r="L41" s="24" t="str">
        <f>IFERROR([1]!IntrinioBankFinancials(rssd_id,$R$2,L$6,L$5,$B41,"K"),"")</f>
        <v/>
      </c>
      <c r="M41" s="24" t="str">
        <f>IFERROR([1]!IntrinioBankFinancials(rssd_id,$R$2,M$6,M$5,$B41,"K"),"")</f>
        <v/>
      </c>
      <c r="N41" s="24" t="str">
        <f>IFERROR([1]!IntrinioBankFinancials(rssd_id,$R$2,N$6,N$5,$B41,"K"),"")</f>
        <v/>
      </c>
      <c r="O41" s="24" t="str">
        <f>IFERROR([1]!IntrinioBankFinancials(rssd_id,$R$2,O$6,O$5,$B41,"K"),"")</f>
        <v/>
      </c>
    </row>
    <row r="42" spans="1:15" ht="13.5" customHeight="1" x14ac:dyDescent="0.4">
      <c r="A42" s="34" t="s">
        <v>942</v>
      </c>
      <c r="B42" s="23" t="s">
        <v>943</v>
      </c>
      <c r="C42" s="24" t="str">
        <f>IFERROR([1]!IntrinioBankFinancials(rssd_id,$R$2,C$6,C$5,$B42,"K"),"")</f>
        <v/>
      </c>
      <c r="D42" s="24" t="str">
        <f>IFERROR([1]!IntrinioBankFinancials(rssd_id,$R$2,D$6,D$5,$B42,"K"),"")</f>
        <v/>
      </c>
      <c r="E42" s="24" t="str">
        <f>IFERROR([1]!IntrinioBankFinancials(rssd_id,$R$2,E$6,E$5,$B42,"K"),"")</f>
        <v/>
      </c>
      <c r="F42" s="24" t="str">
        <f>IFERROR([1]!IntrinioBankFinancials(rssd_id,$R$2,F$6,F$5,$B42,"K"),"")</f>
        <v/>
      </c>
      <c r="G42" s="24" t="str">
        <f>IFERROR([1]!IntrinioBankFinancials(rssd_id,$R$2,G$6,G$5,$B42,"K"),"")</f>
        <v/>
      </c>
      <c r="H42" s="24" t="str">
        <f>IFERROR([1]!IntrinioBankFinancials(rssd_id,$R$2,H$6,H$5,$B42,"K"),"")</f>
        <v/>
      </c>
      <c r="I42" s="24" t="str">
        <f>IFERROR([1]!IntrinioBankFinancials(rssd_id,$R$2,I$6,I$5,$B42,"K"),"")</f>
        <v/>
      </c>
      <c r="J42" s="24" t="str">
        <f>IFERROR([1]!IntrinioBankFinancials(rssd_id,$R$2,J$6,J$5,$B42,"K"),"")</f>
        <v/>
      </c>
      <c r="K42" s="24" t="str">
        <f>IFERROR([1]!IntrinioBankFinancials(rssd_id,$R$2,K$6,K$5,$B42,"K"),"")</f>
        <v/>
      </c>
      <c r="L42" s="24" t="str">
        <f>IFERROR([1]!IntrinioBankFinancials(rssd_id,$R$2,L$6,L$5,$B42,"K"),"")</f>
        <v/>
      </c>
      <c r="M42" s="24" t="str">
        <f>IFERROR([1]!IntrinioBankFinancials(rssd_id,$R$2,M$6,M$5,$B42,"K"),"")</f>
        <v/>
      </c>
      <c r="N42" s="24" t="str">
        <f>IFERROR([1]!IntrinioBankFinancials(rssd_id,$R$2,N$6,N$5,$B42,"K"),"")</f>
        <v/>
      </c>
      <c r="O42" s="24" t="str">
        <f>IFERROR([1]!IntrinioBankFinancials(rssd_id,$R$2,O$6,O$5,$B42,"K"),"")</f>
        <v/>
      </c>
    </row>
    <row r="43" spans="1:15" ht="13.5" customHeight="1" x14ac:dyDescent="0.4">
      <c r="A43" s="34" t="s">
        <v>944</v>
      </c>
      <c r="B43" s="23" t="s">
        <v>945</v>
      </c>
      <c r="C43" s="24" t="str">
        <f>IFERROR([1]!IntrinioBankFinancials(rssd_id,$R$2,C$6,C$5,$B43,"K"),"")</f>
        <v/>
      </c>
      <c r="D43" s="24" t="str">
        <f>IFERROR([1]!IntrinioBankFinancials(rssd_id,$R$2,D$6,D$5,$B43,"K"),"")</f>
        <v/>
      </c>
      <c r="E43" s="24" t="str">
        <f>IFERROR([1]!IntrinioBankFinancials(rssd_id,$R$2,E$6,E$5,$B43,"K"),"")</f>
        <v/>
      </c>
      <c r="F43" s="24" t="str">
        <f>IFERROR([1]!IntrinioBankFinancials(rssd_id,$R$2,F$6,F$5,$B43,"K"),"")</f>
        <v/>
      </c>
      <c r="G43" s="24" t="str">
        <f>IFERROR([1]!IntrinioBankFinancials(rssd_id,$R$2,G$6,G$5,$B43,"K"),"")</f>
        <v/>
      </c>
      <c r="H43" s="24" t="str">
        <f>IFERROR([1]!IntrinioBankFinancials(rssd_id,$R$2,H$6,H$5,$B43,"K"),"")</f>
        <v/>
      </c>
      <c r="I43" s="24" t="str">
        <f>IFERROR([1]!IntrinioBankFinancials(rssd_id,$R$2,I$6,I$5,$B43,"K"),"")</f>
        <v/>
      </c>
      <c r="J43" s="24" t="str">
        <f>IFERROR([1]!IntrinioBankFinancials(rssd_id,$R$2,J$6,J$5,$B43,"K"),"")</f>
        <v/>
      </c>
      <c r="K43" s="24" t="str">
        <f>IFERROR([1]!IntrinioBankFinancials(rssd_id,$R$2,K$6,K$5,$B43,"K"),"")</f>
        <v/>
      </c>
      <c r="L43" s="24" t="str">
        <f>IFERROR([1]!IntrinioBankFinancials(rssd_id,$R$2,L$6,L$5,$B43,"K"),"")</f>
        <v/>
      </c>
      <c r="M43" s="24" t="str">
        <f>IFERROR([1]!IntrinioBankFinancials(rssd_id,$R$2,M$6,M$5,$B43,"K"),"")</f>
        <v/>
      </c>
      <c r="N43" s="24" t="str">
        <f>IFERROR([1]!IntrinioBankFinancials(rssd_id,$R$2,N$6,N$5,$B43,"K"),"")</f>
        <v/>
      </c>
      <c r="O43" s="24" t="str">
        <f>IFERROR([1]!IntrinioBankFinancials(rssd_id,$R$2,O$6,O$5,$B43,"K"),"")</f>
        <v/>
      </c>
    </row>
    <row r="44" spans="1:15" ht="13.5" customHeight="1" x14ac:dyDescent="0.4">
      <c r="A44" s="34" t="s">
        <v>946</v>
      </c>
      <c r="B44" s="23" t="s">
        <v>947</v>
      </c>
      <c r="C44" s="24" t="str">
        <f>IFERROR([1]!IntrinioBankFinancials(rssd_id,$R$2,C$6,C$5,$B44,"K"),"")</f>
        <v/>
      </c>
      <c r="D44" s="24" t="str">
        <f>IFERROR([1]!IntrinioBankFinancials(rssd_id,$R$2,D$6,D$5,$B44,"K"),"")</f>
        <v/>
      </c>
      <c r="E44" s="24" t="str">
        <f>IFERROR([1]!IntrinioBankFinancials(rssd_id,$R$2,E$6,E$5,$B44,"K"),"")</f>
        <v/>
      </c>
      <c r="F44" s="24" t="str">
        <f>IFERROR([1]!IntrinioBankFinancials(rssd_id,$R$2,F$6,F$5,$B44,"K"),"")</f>
        <v/>
      </c>
      <c r="G44" s="24" t="str">
        <f>IFERROR([1]!IntrinioBankFinancials(rssd_id,$R$2,G$6,G$5,$B44,"K"),"")</f>
        <v/>
      </c>
      <c r="H44" s="24" t="str">
        <f>IFERROR([1]!IntrinioBankFinancials(rssd_id,$R$2,H$6,H$5,$B44,"K"),"")</f>
        <v/>
      </c>
      <c r="I44" s="24" t="str">
        <f>IFERROR([1]!IntrinioBankFinancials(rssd_id,$R$2,I$6,I$5,$B44,"K"),"")</f>
        <v/>
      </c>
      <c r="J44" s="24" t="str">
        <f>IFERROR([1]!IntrinioBankFinancials(rssd_id,$R$2,J$6,J$5,$B44,"K"),"")</f>
        <v/>
      </c>
      <c r="K44" s="24" t="str">
        <f>IFERROR([1]!IntrinioBankFinancials(rssd_id,$R$2,K$6,K$5,$B44,"K"),"")</f>
        <v/>
      </c>
      <c r="L44" s="24" t="str">
        <f>IFERROR([1]!IntrinioBankFinancials(rssd_id,$R$2,L$6,L$5,$B44,"K"),"")</f>
        <v/>
      </c>
      <c r="M44" s="24" t="str">
        <f>IFERROR([1]!IntrinioBankFinancials(rssd_id,$R$2,M$6,M$5,$B44,"K"),"")</f>
        <v/>
      </c>
      <c r="N44" s="24" t="str">
        <f>IFERROR([1]!IntrinioBankFinancials(rssd_id,$R$2,N$6,N$5,$B44,"K"),"")</f>
        <v/>
      </c>
      <c r="O44" s="24" t="str">
        <f>IFERROR([1]!IntrinioBankFinancials(rssd_id,$R$2,O$6,O$5,$B44,"K"),"")</f>
        <v/>
      </c>
    </row>
    <row r="45" spans="1:15" s="22" customFormat="1" ht="13.5" customHeight="1" x14ac:dyDescent="0.4">
      <c r="A45" s="33" t="s">
        <v>1166</v>
      </c>
      <c r="B45" s="20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</row>
    <row r="46" spans="1:15" s="22" customFormat="1" ht="13.5" customHeight="1" x14ac:dyDescent="0.4">
      <c r="A46" s="33" t="s">
        <v>1165</v>
      </c>
      <c r="B46" s="20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</row>
    <row r="47" spans="1:15" ht="13.5" customHeight="1" x14ac:dyDescent="0.4">
      <c r="A47" s="34" t="s">
        <v>948</v>
      </c>
      <c r="B47" s="23" t="s">
        <v>949</v>
      </c>
      <c r="C47" s="32" t="str">
        <f>IFERROR([1]!IntrinioBankFinancials(rssd_id,$R$2,C$6,C$5,$B47),"")</f>
        <v/>
      </c>
      <c r="D47" s="32" t="str">
        <f>IFERROR([1]!IntrinioBankFinancials(rssd_id,$R$2,D$6,D$5,$B47),"")</f>
        <v/>
      </c>
      <c r="E47" s="32" t="str">
        <f>IFERROR([1]!IntrinioBankFinancials(rssd_id,$R$2,E$6,E$5,$B47),"")</f>
        <v/>
      </c>
      <c r="F47" s="32" t="str">
        <f>IFERROR([1]!IntrinioBankFinancials(rssd_id,$R$2,F$6,F$5,$B47),"")</f>
        <v/>
      </c>
      <c r="G47" s="32" t="str">
        <f>IFERROR([1]!IntrinioBankFinancials(rssd_id,$R$2,G$6,G$5,$B47),"")</f>
        <v/>
      </c>
      <c r="H47" s="32" t="str">
        <f>IFERROR([1]!IntrinioBankFinancials(rssd_id,$R$2,H$6,H$5,$B47),"")</f>
        <v/>
      </c>
      <c r="I47" s="32" t="str">
        <f>IFERROR([1]!IntrinioBankFinancials(rssd_id,$R$2,I$6,I$5,$B47),"")</f>
        <v/>
      </c>
      <c r="J47" s="32" t="str">
        <f>IFERROR([1]!IntrinioBankFinancials(rssd_id,$R$2,J$6,J$5,$B47),"")</f>
        <v/>
      </c>
      <c r="K47" s="32" t="str">
        <f>IFERROR([1]!IntrinioBankFinancials(rssd_id,$R$2,K$6,K$5,$B47),"")</f>
        <v/>
      </c>
      <c r="L47" s="32" t="str">
        <f>IFERROR([1]!IntrinioBankFinancials(rssd_id,$R$2,L$6,L$5,$B47),"")</f>
        <v/>
      </c>
      <c r="M47" s="32" t="str">
        <f>IFERROR([1]!IntrinioBankFinancials(rssd_id,$R$2,M$6,M$5,$B47),"")</f>
        <v/>
      </c>
      <c r="N47" s="32" t="str">
        <f>IFERROR([1]!IntrinioBankFinancials(rssd_id,$R$2,N$6,N$5,$B47),"")</f>
        <v/>
      </c>
      <c r="O47" s="32" t="str">
        <f>IFERROR([1]!IntrinioBankFinancials(rssd_id,$R$2,O$6,O$5,$B47),"")</f>
        <v/>
      </c>
    </row>
    <row r="48" spans="1:15" ht="13.5" customHeight="1" x14ac:dyDescent="0.4">
      <c r="A48" s="34" t="s">
        <v>950</v>
      </c>
      <c r="B48" s="23" t="s">
        <v>951</v>
      </c>
      <c r="C48" s="32" t="str">
        <f>IFERROR([1]!IntrinioBankFinancials(rssd_id,$R$2,C$6,C$5,$B48),"")</f>
        <v/>
      </c>
      <c r="D48" s="32" t="str">
        <f>IFERROR([1]!IntrinioBankFinancials(rssd_id,$R$2,D$6,D$5,$B48),"")</f>
        <v/>
      </c>
      <c r="E48" s="32" t="str">
        <f>IFERROR([1]!IntrinioBankFinancials(rssd_id,$R$2,E$6,E$5,$B48),"")</f>
        <v/>
      </c>
      <c r="F48" s="32" t="str">
        <f>IFERROR([1]!IntrinioBankFinancials(rssd_id,$R$2,F$6,F$5,$B48),"")</f>
        <v/>
      </c>
      <c r="G48" s="32" t="str">
        <f>IFERROR([1]!IntrinioBankFinancials(rssd_id,$R$2,G$6,G$5,$B48),"")</f>
        <v/>
      </c>
      <c r="H48" s="32" t="str">
        <f>IFERROR([1]!IntrinioBankFinancials(rssd_id,$R$2,H$6,H$5,$B48),"")</f>
        <v/>
      </c>
      <c r="I48" s="32" t="str">
        <f>IFERROR([1]!IntrinioBankFinancials(rssd_id,$R$2,I$6,I$5,$B48),"")</f>
        <v/>
      </c>
      <c r="J48" s="32" t="str">
        <f>IFERROR([1]!IntrinioBankFinancials(rssd_id,$R$2,J$6,J$5,$B48),"")</f>
        <v/>
      </c>
      <c r="K48" s="32" t="str">
        <f>IFERROR([1]!IntrinioBankFinancials(rssd_id,$R$2,K$6,K$5,$B48),"")</f>
        <v/>
      </c>
      <c r="L48" s="32" t="str">
        <f>IFERROR([1]!IntrinioBankFinancials(rssd_id,$R$2,L$6,L$5,$B48),"")</f>
        <v/>
      </c>
      <c r="M48" s="32" t="str">
        <f>IFERROR([1]!IntrinioBankFinancials(rssd_id,$R$2,M$6,M$5,$B48),"")</f>
        <v/>
      </c>
      <c r="N48" s="32" t="str">
        <f>IFERROR([1]!IntrinioBankFinancials(rssd_id,$R$2,N$6,N$5,$B48),"")</f>
        <v/>
      </c>
      <c r="O48" s="32" t="str">
        <f>IFERROR([1]!IntrinioBankFinancials(rssd_id,$R$2,O$6,O$5,$B48),"")</f>
        <v/>
      </c>
    </row>
    <row r="49" spans="1:15" ht="13.5" customHeight="1" x14ac:dyDescent="0.4">
      <c r="A49" s="34" t="s">
        <v>952</v>
      </c>
      <c r="B49" s="23" t="s">
        <v>953</v>
      </c>
      <c r="C49" s="32" t="str">
        <f>IFERROR([1]!IntrinioBankFinancials(rssd_id,$R$2,C$6,C$5,$B49),"")</f>
        <v/>
      </c>
      <c r="D49" s="32" t="str">
        <f>IFERROR([1]!IntrinioBankFinancials(rssd_id,$R$2,D$6,D$5,$B49),"")</f>
        <v/>
      </c>
      <c r="E49" s="32" t="str">
        <f>IFERROR([1]!IntrinioBankFinancials(rssd_id,$R$2,E$6,E$5,$B49),"")</f>
        <v/>
      </c>
      <c r="F49" s="32" t="str">
        <f>IFERROR([1]!IntrinioBankFinancials(rssd_id,$R$2,F$6,F$5,$B49),"")</f>
        <v/>
      </c>
      <c r="G49" s="32" t="str">
        <f>IFERROR([1]!IntrinioBankFinancials(rssd_id,$R$2,G$6,G$5,$B49),"")</f>
        <v/>
      </c>
      <c r="H49" s="32" t="str">
        <f>IFERROR([1]!IntrinioBankFinancials(rssd_id,$R$2,H$6,H$5,$B49),"")</f>
        <v/>
      </c>
      <c r="I49" s="32" t="str">
        <f>IFERROR([1]!IntrinioBankFinancials(rssd_id,$R$2,I$6,I$5,$B49),"")</f>
        <v/>
      </c>
      <c r="J49" s="32" t="str">
        <f>IFERROR([1]!IntrinioBankFinancials(rssd_id,$R$2,J$6,J$5,$B49),"")</f>
        <v/>
      </c>
      <c r="K49" s="32" t="str">
        <f>IFERROR([1]!IntrinioBankFinancials(rssd_id,$R$2,K$6,K$5,$B49),"")</f>
        <v/>
      </c>
      <c r="L49" s="32" t="str">
        <f>IFERROR([1]!IntrinioBankFinancials(rssd_id,$R$2,L$6,L$5,$B49),"")</f>
        <v/>
      </c>
      <c r="M49" s="32" t="str">
        <f>IFERROR([1]!IntrinioBankFinancials(rssd_id,$R$2,M$6,M$5,$B49),"")</f>
        <v/>
      </c>
      <c r="N49" s="32" t="str">
        <f>IFERROR([1]!IntrinioBankFinancials(rssd_id,$R$2,N$6,N$5,$B49),"")</f>
        <v/>
      </c>
      <c r="O49" s="32" t="str">
        <f>IFERROR([1]!IntrinioBankFinancials(rssd_id,$R$2,O$6,O$5,$B49),"")</f>
        <v/>
      </c>
    </row>
    <row r="50" spans="1:15" ht="13.5" customHeight="1" x14ac:dyDescent="0.4">
      <c r="A50" s="34" t="s">
        <v>954</v>
      </c>
      <c r="B50" s="23" t="s">
        <v>955</v>
      </c>
      <c r="C50" s="32" t="str">
        <f>IFERROR([1]!IntrinioBankFinancials(rssd_id,$R$2,C$6,C$5,$B50),"")</f>
        <v/>
      </c>
      <c r="D50" s="32" t="str">
        <f>IFERROR([1]!IntrinioBankFinancials(rssd_id,$R$2,D$6,D$5,$B50),"")</f>
        <v/>
      </c>
      <c r="E50" s="32" t="str">
        <f>IFERROR([1]!IntrinioBankFinancials(rssd_id,$R$2,E$6,E$5,$B50),"")</f>
        <v/>
      </c>
      <c r="F50" s="32" t="str">
        <f>IFERROR([1]!IntrinioBankFinancials(rssd_id,$R$2,F$6,F$5,$B50),"")</f>
        <v/>
      </c>
      <c r="G50" s="32" t="str">
        <f>IFERROR([1]!IntrinioBankFinancials(rssd_id,$R$2,G$6,G$5,$B50),"")</f>
        <v/>
      </c>
      <c r="H50" s="32" t="str">
        <f>IFERROR([1]!IntrinioBankFinancials(rssd_id,$R$2,H$6,H$5,$B50),"")</f>
        <v/>
      </c>
      <c r="I50" s="32" t="str">
        <f>IFERROR([1]!IntrinioBankFinancials(rssd_id,$R$2,I$6,I$5,$B50),"")</f>
        <v/>
      </c>
      <c r="J50" s="32" t="str">
        <f>IFERROR([1]!IntrinioBankFinancials(rssd_id,$R$2,J$6,J$5,$B50),"")</f>
        <v/>
      </c>
      <c r="K50" s="32" t="str">
        <f>IFERROR([1]!IntrinioBankFinancials(rssd_id,$R$2,K$6,K$5,$B50),"")</f>
        <v/>
      </c>
      <c r="L50" s="32" t="str">
        <f>IFERROR([1]!IntrinioBankFinancials(rssd_id,$R$2,L$6,L$5,$B50),"")</f>
        <v/>
      </c>
      <c r="M50" s="32" t="str">
        <f>IFERROR([1]!IntrinioBankFinancials(rssd_id,$R$2,M$6,M$5,$B50),"")</f>
        <v/>
      </c>
      <c r="N50" s="32" t="str">
        <f>IFERROR([1]!IntrinioBankFinancials(rssd_id,$R$2,N$6,N$5,$B50),"")</f>
        <v/>
      </c>
      <c r="O50" s="32" t="str">
        <f>IFERROR([1]!IntrinioBankFinancials(rssd_id,$R$2,O$6,O$5,$B50),"")</f>
        <v/>
      </c>
    </row>
    <row r="51" spans="1:15" s="22" customFormat="1" ht="13.5" customHeight="1" x14ac:dyDescent="0.4">
      <c r="A51" s="33"/>
      <c r="B51" s="20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</row>
    <row r="52" spans="1:15" s="22" customFormat="1" ht="13.5" customHeight="1" x14ac:dyDescent="0.4">
      <c r="A52" s="33" t="s">
        <v>1164</v>
      </c>
      <c r="B52" s="20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1:15" ht="13.5" customHeight="1" x14ac:dyDescent="0.4">
      <c r="A53" s="34" t="s">
        <v>956</v>
      </c>
      <c r="B53" s="23" t="s">
        <v>957</v>
      </c>
      <c r="C53" s="32" t="str">
        <f>IFERROR([1]!IntrinioBankFinancials(rssd_id,$R$2,C$6,C$5,$B53),"")</f>
        <v/>
      </c>
      <c r="D53" s="32" t="str">
        <f>IFERROR([1]!IntrinioBankFinancials(rssd_id,$R$2,D$6,D$5,$B53),"")</f>
        <v/>
      </c>
      <c r="E53" s="32" t="str">
        <f>IFERROR([1]!IntrinioBankFinancials(rssd_id,$R$2,E$6,E$5,$B53),"")</f>
        <v/>
      </c>
      <c r="F53" s="32" t="str">
        <f>IFERROR([1]!IntrinioBankFinancials(rssd_id,$R$2,F$6,F$5,$B53),"")</f>
        <v/>
      </c>
      <c r="G53" s="32" t="str">
        <f>IFERROR([1]!IntrinioBankFinancials(rssd_id,$R$2,G$6,G$5,$B53),"")</f>
        <v/>
      </c>
      <c r="H53" s="32" t="str">
        <f>IFERROR([1]!IntrinioBankFinancials(rssd_id,$R$2,H$6,H$5,$B53),"")</f>
        <v/>
      </c>
      <c r="I53" s="32" t="str">
        <f>IFERROR([1]!IntrinioBankFinancials(rssd_id,$R$2,I$6,I$5,$B53),"")</f>
        <v/>
      </c>
      <c r="J53" s="32" t="str">
        <f>IFERROR([1]!IntrinioBankFinancials(rssd_id,$R$2,J$6,J$5,$B53),"")</f>
        <v/>
      </c>
      <c r="K53" s="32" t="str">
        <f>IFERROR([1]!IntrinioBankFinancials(rssd_id,$R$2,K$6,K$5,$B53),"")</f>
        <v/>
      </c>
      <c r="L53" s="32" t="str">
        <f>IFERROR([1]!IntrinioBankFinancials(rssd_id,$R$2,L$6,L$5,$B53),"")</f>
        <v/>
      </c>
      <c r="M53" s="32" t="str">
        <f>IFERROR([1]!IntrinioBankFinancials(rssd_id,$R$2,M$6,M$5,$B53),"")</f>
        <v/>
      </c>
      <c r="N53" s="32" t="str">
        <f>IFERROR([1]!IntrinioBankFinancials(rssd_id,$R$2,N$6,N$5,$B53),"")</f>
        <v/>
      </c>
      <c r="O53" s="32" t="str">
        <f>IFERROR([1]!IntrinioBankFinancials(rssd_id,$R$2,O$6,O$5,$B53),"")</f>
        <v/>
      </c>
    </row>
    <row r="54" spans="1:15" ht="13.5" customHeight="1" x14ac:dyDescent="0.4">
      <c r="A54" s="34" t="s">
        <v>958</v>
      </c>
      <c r="B54" s="23" t="s">
        <v>959</v>
      </c>
      <c r="C54" s="32" t="str">
        <f>IFERROR([1]!IntrinioBankFinancials(rssd_id,$R$2,C$6,C$5,$B54),"")</f>
        <v/>
      </c>
      <c r="D54" s="32" t="str">
        <f>IFERROR([1]!IntrinioBankFinancials(rssd_id,$R$2,D$6,D$5,$B54),"")</f>
        <v/>
      </c>
      <c r="E54" s="32" t="str">
        <f>IFERROR([1]!IntrinioBankFinancials(rssd_id,$R$2,E$6,E$5,$B54),"")</f>
        <v/>
      </c>
      <c r="F54" s="32" t="str">
        <f>IFERROR([1]!IntrinioBankFinancials(rssd_id,$R$2,F$6,F$5,$B54),"")</f>
        <v/>
      </c>
      <c r="G54" s="32" t="str">
        <f>IFERROR([1]!IntrinioBankFinancials(rssd_id,$R$2,G$6,G$5,$B54),"")</f>
        <v/>
      </c>
      <c r="H54" s="32" t="str">
        <f>IFERROR([1]!IntrinioBankFinancials(rssd_id,$R$2,H$6,H$5,$B54),"")</f>
        <v/>
      </c>
      <c r="I54" s="32" t="str">
        <f>IFERROR([1]!IntrinioBankFinancials(rssd_id,$R$2,I$6,I$5,$B54),"")</f>
        <v/>
      </c>
      <c r="J54" s="32" t="str">
        <f>IFERROR([1]!IntrinioBankFinancials(rssd_id,$R$2,J$6,J$5,$B54),"")</f>
        <v/>
      </c>
      <c r="K54" s="32" t="str">
        <f>IFERROR([1]!IntrinioBankFinancials(rssd_id,$R$2,K$6,K$5,$B54),"")</f>
        <v/>
      </c>
      <c r="L54" s="32" t="str">
        <f>IFERROR([1]!IntrinioBankFinancials(rssd_id,$R$2,L$6,L$5,$B54),"")</f>
        <v/>
      </c>
      <c r="M54" s="32" t="str">
        <f>IFERROR([1]!IntrinioBankFinancials(rssd_id,$R$2,M$6,M$5,$B54),"")</f>
        <v/>
      </c>
      <c r="N54" s="32" t="str">
        <f>IFERROR([1]!IntrinioBankFinancials(rssd_id,$R$2,N$6,N$5,$B54),"")</f>
        <v/>
      </c>
      <c r="O54" s="32" t="str">
        <f>IFERROR([1]!IntrinioBankFinancials(rssd_id,$R$2,O$6,O$5,$B54),"")</f>
        <v/>
      </c>
    </row>
    <row r="55" spans="1:15" ht="13.5" customHeight="1" x14ac:dyDescent="0.4">
      <c r="A55" s="34" t="s">
        <v>960</v>
      </c>
      <c r="B55" s="23" t="s">
        <v>961</v>
      </c>
      <c r="C55" s="32" t="str">
        <f>IFERROR([1]!IntrinioBankFinancials(rssd_id,$R$2,C$6,C$5,$B55),"")</f>
        <v/>
      </c>
      <c r="D55" s="32" t="str">
        <f>IFERROR([1]!IntrinioBankFinancials(rssd_id,$R$2,D$6,D$5,$B55),"")</f>
        <v/>
      </c>
      <c r="E55" s="32" t="str">
        <f>IFERROR([1]!IntrinioBankFinancials(rssd_id,$R$2,E$6,E$5,$B55),"")</f>
        <v/>
      </c>
      <c r="F55" s="32" t="str">
        <f>IFERROR([1]!IntrinioBankFinancials(rssd_id,$R$2,F$6,F$5,$B55),"")</f>
        <v/>
      </c>
      <c r="G55" s="32" t="str">
        <f>IFERROR([1]!IntrinioBankFinancials(rssd_id,$R$2,G$6,G$5,$B55),"")</f>
        <v/>
      </c>
      <c r="H55" s="32" t="str">
        <f>IFERROR([1]!IntrinioBankFinancials(rssd_id,$R$2,H$6,H$5,$B55),"")</f>
        <v/>
      </c>
      <c r="I55" s="32" t="str">
        <f>IFERROR([1]!IntrinioBankFinancials(rssd_id,$R$2,I$6,I$5,$B55),"")</f>
        <v/>
      </c>
      <c r="J55" s="32" t="str">
        <f>IFERROR([1]!IntrinioBankFinancials(rssd_id,$R$2,J$6,J$5,$B55),"")</f>
        <v/>
      </c>
      <c r="K55" s="32" t="str">
        <f>IFERROR([1]!IntrinioBankFinancials(rssd_id,$R$2,K$6,K$5,$B55),"")</f>
        <v/>
      </c>
      <c r="L55" s="32" t="str">
        <f>IFERROR([1]!IntrinioBankFinancials(rssd_id,$R$2,L$6,L$5,$B55),"")</f>
        <v/>
      </c>
      <c r="M55" s="32" t="str">
        <f>IFERROR([1]!IntrinioBankFinancials(rssd_id,$R$2,M$6,M$5,$B55),"")</f>
        <v/>
      </c>
      <c r="N55" s="32" t="str">
        <f>IFERROR([1]!IntrinioBankFinancials(rssd_id,$R$2,N$6,N$5,$B55),"")</f>
        <v/>
      </c>
      <c r="O55" s="32" t="str">
        <f>IFERROR([1]!IntrinioBankFinancials(rssd_id,$R$2,O$6,O$5,$B55),"")</f>
        <v/>
      </c>
    </row>
    <row r="56" spans="1:15" s="22" customFormat="1" ht="13.5" customHeight="1" x14ac:dyDescent="0.4">
      <c r="A56" s="33"/>
      <c r="B56" s="20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</row>
    <row r="57" spans="1:15" s="22" customFormat="1" ht="13.5" customHeight="1" x14ac:dyDescent="0.4">
      <c r="A57" s="33" t="s">
        <v>1163</v>
      </c>
      <c r="B57" s="20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</row>
    <row r="58" spans="1:15" ht="13.5" customHeight="1" x14ac:dyDescent="0.4">
      <c r="A58" s="34" t="s">
        <v>962</v>
      </c>
      <c r="B58" s="23" t="s">
        <v>963</v>
      </c>
      <c r="C58" s="32" t="str">
        <f>IFERROR([1]!IntrinioBankFinancials(rssd_id,$R$2,C$6,C$5,$B58),"")</f>
        <v/>
      </c>
      <c r="D58" s="32" t="str">
        <f>IFERROR([1]!IntrinioBankFinancials(rssd_id,$R$2,D$6,D$5,$B58),"")</f>
        <v/>
      </c>
      <c r="E58" s="32" t="str">
        <f>IFERROR([1]!IntrinioBankFinancials(rssd_id,$R$2,E$6,E$5,$B58),"")</f>
        <v/>
      </c>
      <c r="F58" s="32" t="str">
        <f>IFERROR([1]!IntrinioBankFinancials(rssd_id,$R$2,F$6,F$5,$B58),"")</f>
        <v/>
      </c>
      <c r="G58" s="32" t="str">
        <f>IFERROR([1]!IntrinioBankFinancials(rssd_id,$R$2,G$6,G$5,$B58),"")</f>
        <v/>
      </c>
      <c r="H58" s="32" t="str">
        <f>IFERROR([1]!IntrinioBankFinancials(rssd_id,$R$2,H$6,H$5,$B58),"")</f>
        <v/>
      </c>
      <c r="I58" s="32" t="str">
        <f>IFERROR([1]!IntrinioBankFinancials(rssd_id,$R$2,I$6,I$5,$B58),"")</f>
        <v/>
      </c>
      <c r="J58" s="32" t="str">
        <f>IFERROR([1]!IntrinioBankFinancials(rssd_id,$R$2,J$6,J$5,$B58),"")</f>
        <v/>
      </c>
      <c r="K58" s="32" t="str">
        <f>IFERROR([1]!IntrinioBankFinancials(rssd_id,$R$2,K$6,K$5,$B58),"")</f>
        <v/>
      </c>
      <c r="L58" s="32" t="str">
        <f>IFERROR([1]!IntrinioBankFinancials(rssd_id,$R$2,L$6,L$5,$B58),"")</f>
        <v/>
      </c>
      <c r="M58" s="32" t="str">
        <f>IFERROR([1]!IntrinioBankFinancials(rssd_id,$R$2,M$6,M$5,$B58),"")</f>
        <v/>
      </c>
      <c r="N58" s="32" t="str">
        <f>IFERROR([1]!IntrinioBankFinancials(rssd_id,$R$2,N$6,N$5,$B58),"")</f>
        <v/>
      </c>
      <c r="O58" s="32" t="str">
        <f>IFERROR([1]!IntrinioBankFinancials(rssd_id,$R$2,O$6,O$5,$B58),"")</f>
        <v/>
      </c>
    </row>
    <row r="59" spans="1:15" ht="13.5" customHeight="1" x14ac:dyDescent="0.4">
      <c r="A59" s="34" t="s">
        <v>964</v>
      </c>
      <c r="B59" s="23" t="s">
        <v>965</v>
      </c>
      <c r="C59" s="32" t="str">
        <f>IFERROR([1]!IntrinioBankFinancials(rssd_id,$R$2,C$6,C$5,$B59),"")</f>
        <v/>
      </c>
      <c r="D59" s="32" t="str">
        <f>IFERROR([1]!IntrinioBankFinancials(rssd_id,$R$2,D$6,D$5,$B59),"")</f>
        <v/>
      </c>
      <c r="E59" s="32" t="str">
        <f>IFERROR([1]!IntrinioBankFinancials(rssd_id,$R$2,E$6,E$5,$B59),"")</f>
        <v/>
      </c>
      <c r="F59" s="32" t="str">
        <f>IFERROR([1]!IntrinioBankFinancials(rssd_id,$R$2,F$6,F$5,$B59),"")</f>
        <v/>
      </c>
      <c r="G59" s="32" t="str">
        <f>IFERROR([1]!IntrinioBankFinancials(rssd_id,$R$2,G$6,G$5,$B59),"")</f>
        <v/>
      </c>
      <c r="H59" s="32" t="str">
        <f>IFERROR([1]!IntrinioBankFinancials(rssd_id,$R$2,H$6,H$5,$B59),"")</f>
        <v/>
      </c>
      <c r="I59" s="32" t="str">
        <f>IFERROR([1]!IntrinioBankFinancials(rssd_id,$R$2,I$6,I$5,$B59),"")</f>
        <v/>
      </c>
      <c r="J59" s="32" t="str">
        <f>IFERROR([1]!IntrinioBankFinancials(rssd_id,$R$2,J$6,J$5,$B59),"")</f>
        <v/>
      </c>
      <c r="K59" s="32" t="str">
        <f>IFERROR([1]!IntrinioBankFinancials(rssd_id,$R$2,K$6,K$5,$B59),"")</f>
        <v/>
      </c>
      <c r="L59" s="32" t="str">
        <f>IFERROR([1]!IntrinioBankFinancials(rssd_id,$R$2,L$6,L$5,$B59),"")</f>
        <v/>
      </c>
      <c r="M59" s="32" t="str">
        <f>IFERROR([1]!IntrinioBankFinancials(rssd_id,$R$2,M$6,M$5,$B59),"")</f>
        <v/>
      </c>
      <c r="N59" s="32" t="str">
        <f>IFERROR([1]!IntrinioBankFinancials(rssd_id,$R$2,N$6,N$5,$B59),"")</f>
        <v/>
      </c>
      <c r="O59" s="32" t="str">
        <f>IFERROR([1]!IntrinioBankFinancials(rssd_id,$R$2,O$6,O$5,$B59),"")</f>
        <v/>
      </c>
    </row>
    <row r="60" spans="1:15" s="22" customFormat="1" ht="13.5" customHeight="1" x14ac:dyDescent="0.4">
      <c r="A60" s="33"/>
      <c r="B60" s="20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</row>
    <row r="61" spans="1:15" s="22" customFormat="1" ht="13.5" customHeight="1" x14ac:dyDescent="0.4">
      <c r="A61" s="33" t="s">
        <v>1162</v>
      </c>
      <c r="B61" s="20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</row>
    <row r="62" spans="1:15" ht="13.5" customHeight="1" x14ac:dyDescent="0.4">
      <c r="A62" s="34" t="s">
        <v>966</v>
      </c>
      <c r="B62" s="23" t="s">
        <v>967</v>
      </c>
      <c r="C62" s="32" t="str">
        <f>IFERROR([1]!IntrinioBankFinancials(rssd_id,$R$2,C$6,C$5,$B62),"")</f>
        <v/>
      </c>
      <c r="D62" s="32" t="str">
        <f>IFERROR([1]!IntrinioBankFinancials(rssd_id,$R$2,D$6,D$5,$B62),"")</f>
        <v/>
      </c>
      <c r="E62" s="32" t="str">
        <f>IFERROR([1]!IntrinioBankFinancials(rssd_id,$R$2,E$6,E$5,$B62),"")</f>
        <v/>
      </c>
      <c r="F62" s="32" t="str">
        <f>IFERROR([1]!IntrinioBankFinancials(rssd_id,$R$2,F$6,F$5,$B62),"")</f>
        <v/>
      </c>
      <c r="G62" s="32" t="str">
        <f>IFERROR([1]!IntrinioBankFinancials(rssd_id,$R$2,G$6,G$5,$B62),"")</f>
        <v/>
      </c>
      <c r="H62" s="32" t="str">
        <f>IFERROR([1]!IntrinioBankFinancials(rssd_id,$R$2,H$6,H$5,$B62),"")</f>
        <v/>
      </c>
      <c r="I62" s="32" t="str">
        <f>IFERROR([1]!IntrinioBankFinancials(rssd_id,$R$2,I$6,I$5,$B62),"")</f>
        <v/>
      </c>
      <c r="J62" s="32" t="str">
        <f>IFERROR([1]!IntrinioBankFinancials(rssd_id,$R$2,J$6,J$5,$B62),"")</f>
        <v/>
      </c>
      <c r="K62" s="32" t="str">
        <f>IFERROR([1]!IntrinioBankFinancials(rssd_id,$R$2,K$6,K$5,$B62),"")</f>
        <v/>
      </c>
      <c r="L62" s="32" t="str">
        <f>IFERROR([1]!IntrinioBankFinancials(rssd_id,$R$2,L$6,L$5,$B62),"")</f>
        <v/>
      </c>
      <c r="M62" s="32" t="str">
        <f>IFERROR([1]!IntrinioBankFinancials(rssd_id,$R$2,M$6,M$5,$B62),"")</f>
        <v/>
      </c>
      <c r="N62" s="32" t="str">
        <f>IFERROR([1]!IntrinioBankFinancials(rssd_id,$R$2,N$6,N$5,$B62),"")</f>
        <v/>
      </c>
      <c r="O62" s="32" t="str">
        <f>IFERROR([1]!IntrinioBankFinancials(rssd_id,$R$2,O$6,O$5,$B62),"")</f>
        <v/>
      </c>
    </row>
    <row r="63" spans="1:15" ht="13.5" customHeight="1" x14ac:dyDescent="0.4">
      <c r="A63" s="34" t="s">
        <v>968</v>
      </c>
      <c r="B63" s="23" t="s">
        <v>969</v>
      </c>
      <c r="C63" s="32" t="str">
        <f>IFERROR([1]!IntrinioBankFinancials(rssd_id,$R$2,C$6,C$5,$B63),"")</f>
        <v/>
      </c>
      <c r="D63" s="32" t="str">
        <f>IFERROR([1]!IntrinioBankFinancials(rssd_id,$R$2,D$6,D$5,$B63),"")</f>
        <v/>
      </c>
      <c r="E63" s="32" t="str">
        <f>IFERROR([1]!IntrinioBankFinancials(rssd_id,$R$2,E$6,E$5,$B63),"")</f>
        <v/>
      </c>
      <c r="F63" s="32" t="str">
        <f>IFERROR([1]!IntrinioBankFinancials(rssd_id,$R$2,F$6,F$5,$B63),"")</f>
        <v/>
      </c>
      <c r="G63" s="32" t="str">
        <f>IFERROR([1]!IntrinioBankFinancials(rssd_id,$R$2,G$6,G$5,$B63),"")</f>
        <v/>
      </c>
      <c r="H63" s="32" t="str">
        <f>IFERROR([1]!IntrinioBankFinancials(rssd_id,$R$2,H$6,H$5,$B63),"")</f>
        <v/>
      </c>
      <c r="I63" s="32" t="str">
        <f>IFERROR([1]!IntrinioBankFinancials(rssd_id,$R$2,I$6,I$5,$B63),"")</f>
        <v/>
      </c>
      <c r="J63" s="32" t="str">
        <f>IFERROR([1]!IntrinioBankFinancials(rssd_id,$R$2,J$6,J$5,$B63),"")</f>
        <v/>
      </c>
      <c r="K63" s="32" t="str">
        <f>IFERROR([1]!IntrinioBankFinancials(rssd_id,$R$2,K$6,K$5,$B63),"")</f>
        <v/>
      </c>
      <c r="L63" s="32" t="str">
        <f>IFERROR([1]!IntrinioBankFinancials(rssd_id,$R$2,L$6,L$5,$B63),"")</f>
        <v/>
      </c>
      <c r="M63" s="32" t="str">
        <f>IFERROR([1]!IntrinioBankFinancials(rssd_id,$R$2,M$6,M$5,$B63),"")</f>
        <v/>
      </c>
      <c r="N63" s="32" t="str">
        <f>IFERROR([1]!IntrinioBankFinancials(rssd_id,$R$2,N$6,N$5,$B63),"")</f>
        <v/>
      </c>
      <c r="O63" s="32" t="str">
        <f>IFERROR([1]!IntrinioBankFinancials(rssd_id,$R$2,O$6,O$5,$B63),"")</f>
        <v/>
      </c>
    </row>
    <row r="64" spans="1:15" s="22" customFormat="1" ht="13.5" customHeight="1" x14ac:dyDescent="0.4">
      <c r="A64" s="33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</row>
    <row r="65" spans="1:15" s="22" customFormat="1" ht="13.5" customHeight="1" x14ac:dyDescent="0.4">
      <c r="A65" s="33" t="s">
        <v>1161</v>
      </c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</row>
    <row r="66" spans="1:15" ht="13.5" customHeight="1" x14ac:dyDescent="0.4">
      <c r="A66" s="34" t="s">
        <v>970</v>
      </c>
      <c r="B66" s="23" t="s">
        <v>971</v>
      </c>
      <c r="C66" s="32" t="str">
        <f>IFERROR([1]!IntrinioBankFinancials(rssd_id,$R$2,C$6,C$5,$B66),"")</f>
        <v/>
      </c>
      <c r="D66" s="32" t="str">
        <f>IFERROR([1]!IntrinioBankFinancials(rssd_id,$R$2,D$6,D$5,$B66),"")</f>
        <v/>
      </c>
      <c r="E66" s="32" t="str">
        <f>IFERROR([1]!IntrinioBankFinancials(rssd_id,$R$2,E$6,E$5,$B66),"")</f>
        <v/>
      </c>
      <c r="F66" s="32" t="str">
        <f>IFERROR([1]!IntrinioBankFinancials(rssd_id,$R$2,F$6,F$5,$B66),"")</f>
        <v/>
      </c>
      <c r="G66" s="32" t="str">
        <f>IFERROR([1]!IntrinioBankFinancials(rssd_id,$R$2,G$6,G$5,$B66),"")</f>
        <v/>
      </c>
      <c r="H66" s="32" t="str">
        <f>IFERROR([1]!IntrinioBankFinancials(rssd_id,$R$2,H$6,H$5,$B66),"")</f>
        <v/>
      </c>
      <c r="I66" s="32" t="str">
        <f>IFERROR([1]!IntrinioBankFinancials(rssd_id,$R$2,I$6,I$5,$B66),"")</f>
        <v/>
      </c>
      <c r="J66" s="32" t="str">
        <f>IFERROR([1]!IntrinioBankFinancials(rssd_id,$R$2,J$6,J$5,$B66),"")</f>
        <v/>
      </c>
      <c r="K66" s="32" t="str">
        <f>IFERROR([1]!IntrinioBankFinancials(rssd_id,$R$2,K$6,K$5,$B66),"")</f>
        <v/>
      </c>
      <c r="L66" s="32" t="str">
        <f>IFERROR([1]!IntrinioBankFinancials(rssd_id,$R$2,L$6,L$5,$B66),"")</f>
        <v/>
      </c>
      <c r="M66" s="32" t="str">
        <f>IFERROR([1]!IntrinioBankFinancials(rssd_id,$R$2,M$6,M$5,$B66),"")</f>
        <v/>
      </c>
      <c r="N66" s="32" t="str">
        <f>IFERROR([1]!IntrinioBankFinancials(rssd_id,$R$2,N$6,N$5,$B66),"")</f>
        <v/>
      </c>
      <c r="O66" s="32" t="str">
        <f>IFERROR([1]!IntrinioBankFinancials(rssd_id,$R$2,O$6,O$5,$B66),"")</f>
        <v/>
      </c>
    </row>
    <row r="67" spans="1:15" ht="13.5" customHeight="1" x14ac:dyDescent="0.4">
      <c r="A67" s="34" t="s">
        <v>972</v>
      </c>
      <c r="B67" s="23" t="s">
        <v>973</v>
      </c>
      <c r="C67" s="32" t="str">
        <f>IFERROR([1]!IntrinioBankFinancials(rssd_id,$R$2,C$6,C$5,$B67),"")</f>
        <v/>
      </c>
      <c r="D67" s="32" t="str">
        <f>IFERROR([1]!IntrinioBankFinancials(rssd_id,$R$2,D$6,D$5,$B67),"")</f>
        <v/>
      </c>
      <c r="E67" s="32" t="str">
        <f>IFERROR([1]!IntrinioBankFinancials(rssd_id,$R$2,E$6,E$5,$B67),"")</f>
        <v/>
      </c>
      <c r="F67" s="32" t="str">
        <f>IFERROR([1]!IntrinioBankFinancials(rssd_id,$R$2,F$6,F$5,$B67),"")</f>
        <v/>
      </c>
      <c r="G67" s="32" t="str">
        <f>IFERROR([1]!IntrinioBankFinancials(rssd_id,$R$2,G$6,G$5,$B67),"")</f>
        <v/>
      </c>
      <c r="H67" s="32" t="str">
        <f>IFERROR([1]!IntrinioBankFinancials(rssd_id,$R$2,H$6,H$5,$B67),"")</f>
        <v/>
      </c>
      <c r="I67" s="32" t="str">
        <f>IFERROR([1]!IntrinioBankFinancials(rssd_id,$R$2,I$6,I$5,$B67),"")</f>
        <v/>
      </c>
      <c r="J67" s="32" t="str">
        <f>IFERROR([1]!IntrinioBankFinancials(rssd_id,$R$2,J$6,J$5,$B67),"")</f>
        <v/>
      </c>
      <c r="K67" s="32" t="str">
        <f>IFERROR([1]!IntrinioBankFinancials(rssd_id,$R$2,K$6,K$5,$B67),"")</f>
        <v/>
      </c>
      <c r="L67" s="32" t="str">
        <f>IFERROR([1]!IntrinioBankFinancials(rssd_id,$R$2,L$6,L$5,$B67),"")</f>
        <v/>
      </c>
      <c r="M67" s="32" t="str">
        <f>IFERROR([1]!IntrinioBankFinancials(rssd_id,$R$2,M$6,M$5,$B67),"")</f>
        <v/>
      </c>
      <c r="N67" s="32" t="str">
        <f>IFERROR([1]!IntrinioBankFinancials(rssd_id,$R$2,N$6,N$5,$B67),"")</f>
        <v/>
      </c>
      <c r="O67" s="32" t="str">
        <f>IFERROR([1]!IntrinioBankFinancials(rssd_id,$R$2,O$6,O$5,$B67),"")</f>
        <v/>
      </c>
    </row>
    <row r="68" spans="1:15" ht="13.5" customHeight="1" x14ac:dyDescent="0.4">
      <c r="A68" s="34" t="s">
        <v>974</v>
      </c>
      <c r="B68" s="23" t="s">
        <v>975</v>
      </c>
      <c r="C68" s="32" t="str">
        <f>IFERROR([1]!IntrinioBankFinancials(rssd_id,$R$2,C$6,C$5,$B68),"")</f>
        <v/>
      </c>
      <c r="D68" s="32" t="str">
        <f>IFERROR([1]!IntrinioBankFinancials(rssd_id,$R$2,D$6,D$5,$B68),"")</f>
        <v/>
      </c>
      <c r="E68" s="32" t="str">
        <f>IFERROR([1]!IntrinioBankFinancials(rssd_id,$R$2,E$6,E$5,$B68),"")</f>
        <v/>
      </c>
      <c r="F68" s="32" t="str">
        <f>IFERROR([1]!IntrinioBankFinancials(rssd_id,$R$2,F$6,F$5,$B68),"")</f>
        <v/>
      </c>
      <c r="G68" s="32" t="str">
        <f>IFERROR([1]!IntrinioBankFinancials(rssd_id,$R$2,G$6,G$5,$B68),"")</f>
        <v/>
      </c>
      <c r="H68" s="32" t="str">
        <f>IFERROR([1]!IntrinioBankFinancials(rssd_id,$R$2,H$6,H$5,$B68),"")</f>
        <v/>
      </c>
      <c r="I68" s="32" t="str">
        <f>IFERROR([1]!IntrinioBankFinancials(rssd_id,$R$2,I$6,I$5,$B68),"")</f>
        <v/>
      </c>
      <c r="J68" s="32" t="str">
        <f>IFERROR([1]!IntrinioBankFinancials(rssd_id,$R$2,J$6,J$5,$B68),"")</f>
        <v/>
      </c>
      <c r="K68" s="32" t="str">
        <f>IFERROR([1]!IntrinioBankFinancials(rssd_id,$R$2,K$6,K$5,$B68),"")</f>
        <v/>
      </c>
      <c r="L68" s="32" t="str">
        <f>IFERROR([1]!IntrinioBankFinancials(rssd_id,$R$2,L$6,L$5,$B68),"")</f>
        <v/>
      </c>
      <c r="M68" s="32" t="str">
        <f>IFERROR([1]!IntrinioBankFinancials(rssd_id,$R$2,M$6,M$5,$B68),"")</f>
        <v/>
      </c>
      <c r="N68" s="32" t="str">
        <f>IFERROR([1]!IntrinioBankFinancials(rssd_id,$R$2,N$6,N$5,$B68),"")</f>
        <v/>
      </c>
      <c r="O68" s="32" t="str">
        <f>IFERROR([1]!IntrinioBankFinancials(rssd_id,$R$2,O$6,O$5,$B68),"")</f>
        <v/>
      </c>
    </row>
    <row r="69" spans="1:15" ht="13.5" customHeight="1" x14ac:dyDescent="0.4">
      <c r="A69" s="34" t="s">
        <v>976</v>
      </c>
      <c r="B69" s="23" t="s">
        <v>977</v>
      </c>
      <c r="C69" s="32" t="str">
        <f>IFERROR([1]!IntrinioBankFinancials(rssd_id,$R$2,C$6,C$5,$B69),"")</f>
        <v/>
      </c>
      <c r="D69" s="32" t="str">
        <f>IFERROR([1]!IntrinioBankFinancials(rssd_id,$R$2,D$6,D$5,$B69),"")</f>
        <v/>
      </c>
      <c r="E69" s="32" t="str">
        <f>IFERROR([1]!IntrinioBankFinancials(rssd_id,$R$2,E$6,E$5,$B69),"")</f>
        <v/>
      </c>
      <c r="F69" s="32" t="str">
        <f>IFERROR([1]!IntrinioBankFinancials(rssd_id,$R$2,F$6,F$5,$B69),"")</f>
        <v/>
      </c>
      <c r="G69" s="32" t="str">
        <f>IFERROR([1]!IntrinioBankFinancials(rssd_id,$R$2,G$6,G$5,$B69),"")</f>
        <v/>
      </c>
      <c r="H69" s="32" t="str">
        <f>IFERROR([1]!IntrinioBankFinancials(rssd_id,$R$2,H$6,H$5,$B69),"")</f>
        <v/>
      </c>
      <c r="I69" s="32" t="str">
        <f>IFERROR([1]!IntrinioBankFinancials(rssd_id,$R$2,I$6,I$5,$B69),"")</f>
        <v/>
      </c>
      <c r="J69" s="32" t="str">
        <f>IFERROR([1]!IntrinioBankFinancials(rssd_id,$R$2,J$6,J$5,$B69),"")</f>
        <v/>
      </c>
      <c r="K69" s="32" t="str">
        <f>IFERROR([1]!IntrinioBankFinancials(rssd_id,$R$2,K$6,K$5,$B69),"")</f>
        <v/>
      </c>
      <c r="L69" s="32" t="str">
        <f>IFERROR([1]!IntrinioBankFinancials(rssd_id,$R$2,L$6,L$5,$B69),"")</f>
        <v/>
      </c>
      <c r="M69" s="32" t="str">
        <f>IFERROR([1]!IntrinioBankFinancials(rssd_id,$R$2,M$6,M$5,$B69),"")</f>
        <v/>
      </c>
      <c r="N69" s="32" t="str">
        <f>IFERROR([1]!IntrinioBankFinancials(rssd_id,$R$2,N$6,N$5,$B69),"")</f>
        <v/>
      </c>
      <c r="O69" s="32" t="str">
        <f>IFERROR([1]!IntrinioBankFinancials(rssd_id,$R$2,O$6,O$5,$B69),"")</f>
        <v/>
      </c>
    </row>
    <row r="70" spans="1:15" ht="13.5" customHeight="1" x14ac:dyDescent="0.4">
      <c r="A70" s="34" t="s">
        <v>978</v>
      </c>
      <c r="B70" s="23" t="s">
        <v>979</v>
      </c>
      <c r="C70" s="32" t="str">
        <f>IFERROR([1]!IntrinioBankFinancials(rssd_id,$R$2,C$6,C$5,$B70),"")</f>
        <v/>
      </c>
      <c r="D70" s="32" t="str">
        <f>IFERROR([1]!IntrinioBankFinancials(rssd_id,$R$2,D$6,D$5,$B70),"")</f>
        <v/>
      </c>
      <c r="E70" s="32" t="str">
        <f>IFERROR([1]!IntrinioBankFinancials(rssd_id,$R$2,E$6,E$5,$B70),"")</f>
        <v/>
      </c>
      <c r="F70" s="32" t="str">
        <f>IFERROR([1]!IntrinioBankFinancials(rssd_id,$R$2,F$6,F$5,$B70),"")</f>
        <v/>
      </c>
      <c r="G70" s="32" t="str">
        <f>IFERROR([1]!IntrinioBankFinancials(rssd_id,$R$2,G$6,G$5,$B70),"")</f>
        <v/>
      </c>
      <c r="H70" s="32" t="str">
        <f>IFERROR([1]!IntrinioBankFinancials(rssd_id,$R$2,H$6,H$5,$B70),"")</f>
        <v/>
      </c>
      <c r="I70" s="32" t="str">
        <f>IFERROR([1]!IntrinioBankFinancials(rssd_id,$R$2,I$6,I$5,$B70),"")</f>
        <v/>
      </c>
      <c r="J70" s="32" t="str">
        <f>IFERROR([1]!IntrinioBankFinancials(rssd_id,$R$2,J$6,J$5,$B70),"")</f>
        <v/>
      </c>
      <c r="K70" s="32" t="str">
        <f>IFERROR([1]!IntrinioBankFinancials(rssd_id,$R$2,K$6,K$5,$B70),"")</f>
        <v/>
      </c>
      <c r="L70" s="32" t="str">
        <f>IFERROR([1]!IntrinioBankFinancials(rssd_id,$R$2,L$6,L$5,$B70),"")</f>
        <v/>
      </c>
      <c r="M70" s="32" t="str">
        <f>IFERROR([1]!IntrinioBankFinancials(rssd_id,$R$2,M$6,M$5,$B70),"")</f>
        <v/>
      </c>
      <c r="N70" s="32" t="str">
        <f>IFERROR([1]!IntrinioBankFinancials(rssd_id,$R$2,N$6,N$5,$B70),"")</f>
        <v/>
      </c>
      <c r="O70" s="32" t="str">
        <f>IFERROR([1]!IntrinioBankFinancials(rssd_id,$R$2,O$6,O$5,$B70),"")</f>
        <v/>
      </c>
    </row>
    <row r="71" spans="1:15" ht="13.5" customHeight="1" x14ac:dyDescent="0.4">
      <c r="A71" s="34" t="s">
        <v>56</v>
      </c>
      <c r="B71" s="23" t="s">
        <v>980</v>
      </c>
      <c r="C71" s="32" t="str">
        <f>IFERROR([1]!IntrinioBankFinancials(rssd_id,$R$2,C$6,C$5,$B71),"")</f>
        <v/>
      </c>
      <c r="D71" s="32" t="str">
        <f>IFERROR([1]!IntrinioBankFinancials(rssd_id,$R$2,D$6,D$5,$B71),"")</f>
        <v/>
      </c>
      <c r="E71" s="32" t="str">
        <f>IFERROR([1]!IntrinioBankFinancials(rssd_id,$R$2,E$6,E$5,$B71),"")</f>
        <v/>
      </c>
      <c r="F71" s="32" t="str">
        <f>IFERROR([1]!IntrinioBankFinancials(rssd_id,$R$2,F$6,F$5,$B71),"")</f>
        <v/>
      </c>
      <c r="G71" s="32" t="str">
        <f>IFERROR([1]!IntrinioBankFinancials(rssd_id,$R$2,G$6,G$5,$B71),"")</f>
        <v/>
      </c>
      <c r="H71" s="32" t="str">
        <f>IFERROR([1]!IntrinioBankFinancials(rssd_id,$R$2,H$6,H$5,$B71),"")</f>
        <v/>
      </c>
      <c r="I71" s="32" t="str">
        <f>IFERROR([1]!IntrinioBankFinancials(rssd_id,$R$2,I$6,I$5,$B71),"")</f>
        <v/>
      </c>
      <c r="J71" s="32" t="str">
        <f>IFERROR([1]!IntrinioBankFinancials(rssd_id,$R$2,J$6,J$5,$B71),"")</f>
        <v/>
      </c>
      <c r="K71" s="32" t="str">
        <f>IFERROR([1]!IntrinioBankFinancials(rssd_id,$R$2,K$6,K$5,$B71),"")</f>
        <v/>
      </c>
      <c r="L71" s="32" t="str">
        <f>IFERROR([1]!IntrinioBankFinancials(rssd_id,$R$2,L$6,L$5,$B71),"")</f>
        <v/>
      </c>
      <c r="M71" s="32" t="str">
        <f>IFERROR([1]!IntrinioBankFinancials(rssd_id,$R$2,M$6,M$5,$B71),"")</f>
        <v/>
      </c>
      <c r="N71" s="32" t="str">
        <f>IFERROR([1]!IntrinioBankFinancials(rssd_id,$R$2,N$6,N$5,$B71),"")</f>
        <v/>
      </c>
      <c r="O71" s="32" t="str">
        <f>IFERROR([1]!IntrinioBankFinancials(rssd_id,$R$2,O$6,O$5,$B71),"")</f>
        <v/>
      </c>
    </row>
    <row r="72" spans="1:15" s="22" customFormat="1" ht="13.5" customHeight="1" x14ac:dyDescent="0.4">
      <c r="A72" s="33"/>
      <c r="B72" s="20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</row>
    <row r="73" spans="1:15" s="22" customFormat="1" ht="13.5" customHeight="1" x14ac:dyDescent="0.4">
      <c r="A73" s="33" t="s">
        <v>1160</v>
      </c>
      <c r="B73" s="20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</row>
    <row r="74" spans="1:15" ht="13.5" customHeight="1" x14ac:dyDescent="0.4">
      <c r="A74" s="34" t="s">
        <v>981</v>
      </c>
      <c r="B74" s="23" t="s">
        <v>982</v>
      </c>
      <c r="C74" s="32" t="str">
        <f>IFERROR([1]!IntrinioBankFinancials(rssd_id,$R$2,C$6,C$5,$B74),"")</f>
        <v/>
      </c>
      <c r="D74" s="32" t="str">
        <f>IFERROR([1]!IntrinioBankFinancials(rssd_id,$R$2,D$6,D$5,$B74),"")</f>
        <v/>
      </c>
      <c r="E74" s="32" t="str">
        <f>IFERROR([1]!IntrinioBankFinancials(rssd_id,$R$2,E$6,E$5,$B74),"")</f>
        <v/>
      </c>
      <c r="F74" s="32" t="str">
        <f>IFERROR([1]!IntrinioBankFinancials(rssd_id,$R$2,F$6,F$5,$B74),"")</f>
        <v/>
      </c>
      <c r="G74" s="32" t="str">
        <f>IFERROR([1]!IntrinioBankFinancials(rssd_id,$R$2,G$6,G$5,$B74),"")</f>
        <v/>
      </c>
      <c r="H74" s="32" t="str">
        <f>IFERROR([1]!IntrinioBankFinancials(rssd_id,$R$2,H$6,H$5,$B74),"")</f>
        <v/>
      </c>
      <c r="I74" s="32" t="str">
        <f>IFERROR([1]!IntrinioBankFinancials(rssd_id,$R$2,I$6,I$5,$B74),"")</f>
        <v/>
      </c>
      <c r="J74" s="32" t="str">
        <f>IFERROR([1]!IntrinioBankFinancials(rssd_id,$R$2,J$6,J$5,$B74),"")</f>
        <v/>
      </c>
      <c r="K74" s="32" t="str">
        <f>IFERROR([1]!IntrinioBankFinancials(rssd_id,$R$2,K$6,K$5,$B74),"")</f>
        <v/>
      </c>
      <c r="L74" s="32" t="str">
        <f>IFERROR([1]!IntrinioBankFinancials(rssd_id,$R$2,L$6,L$5,$B74),"")</f>
        <v/>
      </c>
      <c r="M74" s="32" t="str">
        <f>IFERROR([1]!IntrinioBankFinancials(rssd_id,$R$2,M$6,M$5,$B74),"")</f>
        <v/>
      </c>
      <c r="N74" s="32" t="str">
        <f>IFERROR([1]!IntrinioBankFinancials(rssd_id,$R$2,N$6,N$5,$B74),"")</f>
        <v/>
      </c>
      <c r="O74" s="32" t="str">
        <f>IFERROR([1]!IntrinioBankFinancials(rssd_id,$R$2,O$6,O$5,$B74),"")</f>
        <v/>
      </c>
    </row>
    <row r="75" spans="1:15" ht="13.5" customHeight="1" x14ac:dyDescent="0.4">
      <c r="A75" s="34" t="s">
        <v>983</v>
      </c>
      <c r="B75" s="23" t="s">
        <v>984</v>
      </c>
      <c r="C75" s="32" t="str">
        <f>IFERROR([1]!IntrinioBankFinancials(rssd_id,$R$2,C$6,C$5,$B75),"")</f>
        <v/>
      </c>
      <c r="D75" s="32" t="str">
        <f>IFERROR([1]!IntrinioBankFinancials(rssd_id,$R$2,D$6,D$5,$B75),"")</f>
        <v/>
      </c>
      <c r="E75" s="32" t="str">
        <f>IFERROR([1]!IntrinioBankFinancials(rssd_id,$R$2,E$6,E$5,$B75),"")</f>
        <v/>
      </c>
      <c r="F75" s="32" t="str">
        <f>IFERROR([1]!IntrinioBankFinancials(rssd_id,$R$2,F$6,F$5,$B75),"")</f>
        <v/>
      </c>
      <c r="G75" s="32" t="str">
        <f>IFERROR([1]!IntrinioBankFinancials(rssd_id,$R$2,G$6,G$5,$B75),"")</f>
        <v/>
      </c>
      <c r="H75" s="32" t="str">
        <f>IFERROR([1]!IntrinioBankFinancials(rssd_id,$R$2,H$6,H$5,$B75),"")</f>
        <v/>
      </c>
      <c r="I75" s="32" t="str">
        <f>IFERROR([1]!IntrinioBankFinancials(rssd_id,$R$2,I$6,I$5,$B75),"")</f>
        <v/>
      </c>
      <c r="J75" s="32" t="str">
        <f>IFERROR([1]!IntrinioBankFinancials(rssd_id,$R$2,J$6,J$5,$B75),"")</f>
        <v/>
      </c>
      <c r="K75" s="32" t="str">
        <f>IFERROR([1]!IntrinioBankFinancials(rssd_id,$R$2,K$6,K$5,$B75),"")</f>
        <v/>
      </c>
      <c r="L75" s="32" t="str">
        <f>IFERROR([1]!IntrinioBankFinancials(rssd_id,$R$2,L$6,L$5,$B75),"")</f>
        <v/>
      </c>
      <c r="M75" s="32" t="str">
        <f>IFERROR([1]!IntrinioBankFinancials(rssd_id,$R$2,M$6,M$5,$B75),"")</f>
        <v/>
      </c>
      <c r="N75" s="32" t="str">
        <f>IFERROR([1]!IntrinioBankFinancials(rssd_id,$R$2,N$6,N$5,$B75),"")</f>
        <v/>
      </c>
      <c r="O75" s="32" t="str">
        <f>IFERROR([1]!IntrinioBankFinancials(rssd_id,$R$2,O$6,O$5,$B75),"")</f>
        <v/>
      </c>
    </row>
    <row r="76" spans="1:15" ht="13.5" customHeight="1" x14ac:dyDescent="0.4">
      <c r="A76" s="34" t="s">
        <v>985</v>
      </c>
      <c r="B76" s="23" t="s">
        <v>986</v>
      </c>
      <c r="C76" s="32" t="str">
        <f>IFERROR([1]!IntrinioBankFinancials(rssd_id,$R$2,C$6,C$5,$B76),"")</f>
        <v/>
      </c>
      <c r="D76" s="32" t="str">
        <f>IFERROR([1]!IntrinioBankFinancials(rssd_id,$R$2,D$6,D$5,$B76),"")</f>
        <v/>
      </c>
      <c r="E76" s="32" t="str">
        <f>IFERROR([1]!IntrinioBankFinancials(rssd_id,$R$2,E$6,E$5,$B76),"")</f>
        <v/>
      </c>
      <c r="F76" s="32" t="str">
        <f>IFERROR([1]!IntrinioBankFinancials(rssd_id,$R$2,F$6,F$5,$B76),"")</f>
        <v/>
      </c>
      <c r="G76" s="32" t="str">
        <f>IFERROR([1]!IntrinioBankFinancials(rssd_id,$R$2,G$6,G$5,$B76),"")</f>
        <v/>
      </c>
      <c r="H76" s="32" t="str">
        <f>IFERROR([1]!IntrinioBankFinancials(rssd_id,$R$2,H$6,H$5,$B76),"")</f>
        <v/>
      </c>
      <c r="I76" s="32" t="str">
        <f>IFERROR([1]!IntrinioBankFinancials(rssd_id,$R$2,I$6,I$5,$B76),"")</f>
        <v/>
      </c>
      <c r="J76" s="32" t="str">
        <f>IFERROR([1]!IntrinioBankFinancials(rssd_id,$R$2,J$6,J$5,$B76),"")</f>
        <v/>
      </c>
      <c r="K76" s="32" t="str">
        <f>IFERROR([1]!IntrinioBankFinancials(rssd_id,$R$2,K$6,K$5,$B76),"")</f>
        <v/>
      </c>
      <c r="L76" s="32" t="str">
        <f>IFERROR([1]!IntrinioBankFinancials(rssd_id,$R$2,L$6,L$5,$B76),"")</f>
        <v/>
      </c>
      <c r="M76" s="32" t="str">
        <f>IFERROR([1]!IntrinioBankFinancials(rssd_id,$R$2,M$6,M$5,$B76),"")</f>
        <v/>
      </c>
      <c r="N76" s="32" t="str">
        <f>IFERROR([1]!IntrinioBankFinancials(rssd_id,$R$2,N$6,N$5,$B76),"")</f>
        <v/>
      </c>
      <c r="O76" s="32" t="str">
        <f>IFERROR([1]!IntrinioBankFinancials(rssd_id,$R$2,O$6,O$5,$B76),"")</f>
        <v/>
      </c>
    </row>
    <row r="77" spans="1:15" s="22" customFormat="1" ht="13.5" customHeight="1" x14ac:dyDescent="0.4">
      <c r="A77" s="33"/>
      <c r="B77" s="20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</row>
    <row r="78" spans="1:15" s="22" customFormat="1" ht="13.5" customHeight="1" x14ac:dyDescent="0.4">
      <c r="A78" s="33" t="s">
        <v>1159</v>
      </c>
      <c r="B78" s="20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</row>
    <row r="79" spans="1:15" ht="13.5" customHeight="1" x14ac:dyDescent="0.4">
      <c r="A79" s="34" t="s">
        <v>981</v>
      </c>
      <c r="B79" s="23" t="s">
        <v>987</v>
      </c>
      <c r="C79" s="32" t="str">
        <f>IFERROR([1]!IntrinioBankFinancials(rssd_id,$R$2,C$6,C$5,$B79),"")</f>
        <v/>
      </c>
      <c r="D79" s="32" t="str">
        <f>IFERROR([1]!IntrinioBankFinancials(rssd_id,$R$2,D$6,D$5,$B79),"")</f>
        <v/>
      </c>
      <c r="E79" s="32" t="str">
        <f>IFERROR([1]!IntrinioBankFinancials(rssd_id,$R$2,E$6,E$5,$B79),"")</f>
        <v/>
      </c>
      <c r="F79" s="32" t="str">
        <f>IFERROR([1]!IntrinioBankFinancials(rssd_id,$R$2,F$6,F$5,$B79),"")</f>
        <v/>
      </c>
      <c r="G79" s="32" t="str">
        <f>IFERROR([1]!IntrinioBankFinancials(rssd_id,$R$2,G$6,G$5,$B79),"")</f>
        <v/>
      </c>
      <c r="H79" s="32" t="str">
        <f>IFERROR([1]!IntrinioBankFinancials(rssd_id,$R$2,H$6,H$5,$B79),"")</f>
        <v/>
      </c>
      <c r="I79" s="32" t="str">
        <f>IFERROR([1]!IntrinioBankFinancials(rssd_id,$R$2,I$6,I$5,$B79),"")</f>
        <v/>
      </c>
      <c r="J79" s="32" t="str">
        <f>IFERROR([1]!IntrinioBankFinancials(rssd_id,$R$2,J$6,J$5,$B79),"")</f>
        <v/>
      </c>
      <c r="K79" s="32" t="str">
        <f>IFERROR([1]!IntrinioBankFinancials(rssd_id,$R$2,K$6,K$5,$B79),"")</f>
        <v/>
      </c>
      <c r="L79" s="32" t="str">
        <f>IFERROR([1]!IntrinioBankFinancials(rssd_id,$R$2,L$6,L$5,$B79),"")</f>
        <v/>
      </c>
      <c r="M79" s="32" t="str">
        <f>IFERROR([1]!IntrinioBankFinancials(rssd_id,$R$2,M$6,M$5,$B79),"")</f>
        <v/>
      </c>
      <c r="N79" s="32" t="str">
        <f>IFERROR([1]!IntrinioBankFinancials(rssd_id,$R$2,N$6,N$5,$B79),"")</f>
        <v/>
      </c>
      <c r="O79" s="32" t="str">
        <f>IFERROR([1]!IntrinioBankFinancials(rssd_id,$R$2,O$6,O$5,$B79),"")</f>
        <v/>
      </c>
    </row>
    <row r="80" spans="1:15" ht="13.5" customHeight="1" x14ac:dyDescent="0.4">
      <c r="A80" s="34" t="s">
        <v>988</v>
      </c>
      <c r="B80" s="23" t="s">
        <v>989</v>
      </c>
      <c r="C80" s="32" t="str">
        <f>IFERROR([1]!IntrinioBankFinancials(rssd_id,$R$2,C$6,C$5,$B80),"")</f>
        <v/>
      </c>
      <c r="D80" s="32" t="str">
        <f>IFERROR([1]!IntrinioBankFinancials(rssd_id,$R$2,D$6,D$5,$B80),"")</f>
        <v/>
      </c>
      <c r="E80" s="32" t="str">
        <f>IFERROR([1]!IntrinioBankFinancials(rssd_id,$R$2,E$6,E$5,$B80),"")</f>
        <v/>
      </c>
      <c r="F80" s="32" t="str">
        <f>IFERROR([1]!IntrinioBankFinancials(rssd_id,$R$2,F$6,F$5,$B80),"")</f>
        <v/>
      </c>
      <c r="G80" s="32" t="str">
        <f>IFERROR([1]!IntrinioBankFinancials(rssd_id,$R$2,G$6,G$5,$B80),"")</f>
        <v/>
      </c>
      <c r="H80" s="32" t="str">
        <f>IFERROR([1]!IntrinioBankFinancials(rssd_id,$R$2,H$6,H$5,$B80),"")</f>
        <v/>
      </c>
      <c r="I80" s="32" t="str">
        <f>IFERROR([1]!IntrinioBankFinancials(rssd_id,$R$2,I$6,I$5,$B80),"")</f>
        <v/>
      </c>
      <c r="J80" s="32" t="str">
        <f>IFERROR([1]!IntrinioBankFinancials(rssd_id,$R$2,J$6,J$5,$B80),"")</f>
        <v/>
      </c>
      <c r="K80" s="32" t="str">
        <f>IFERROR([1]!IntrinioBankFinancials(rssd_id,$R$2,K$6,K$5,$B80),"")</f>
        <v/>
      </c>
      <c r="L80" s="32" t="str">
        <f>IFERROR([1]!IntrinioBankFinancials(rssd_id,$R$2,L$6,L$5,$B80),"")</f>
        <v/>
      </c>
      <c r="M80" s="32" t="str">
        <f>IFERROR([1]!IntrinioBankFinancials(rssd_id,$R$2,M$6,M$5,$B80),"")</f>
        <v/>
      </c>
      <c r="N80" s="32" t="str">
        <f>IFERROR([1]!IntrinioBankFinancials(rssd_id,$R$2,N$6,N$5,$B80),"")</f>
        <v/>
      </c>
      <c r="O80" s="32" t="str">
        <f>IFERROR([1]!IntrinioBankFinancials(rssd_id,$R$2,O$6,O$5,$B80),"")</f>
        <v/>
      </c>
    </row>
    <row r="81" spans="1:15" ht="13.5" customHeight="1" x14ac:dyDescent="0.4">
      <c r="A81" s="34" t="s">
        <v>985</v>
      </c>
      <c r="B81" s="23" t="s">
        <v>990</v>
      </c>
      <c r="C81" s="32" t="str">
        <f>IFERROR([1]!IntrinioBankFinancials(rssd_id,$R$2,C$6,C$5,$B81),"")</f>
        <v/>
      </c>
      <c r="D81" s="32" t="str">
        <f>IFERROR([1]!IntrinioBankFinancials(rssd_id,$R$2,D$6,D$5,$B81),"")</f>
        <v/>
      </c>
      <c r="E81" s="32" t="str">
        <f>IFERROR([1]!IntrinioBankFinancials(rssd_id,$R$2,E$6,E$5,$B81),"")</f>
        <v/>
      </c>
      <c r="F81" s="32" t="str">
        <f>IFERROR([1]!IntrinioBankFinancials(rssd_id,$R$2,F$6,F$5,$B81),"")</f>
        <v/>
      </c>
      <c r="G81" s="32" t="str">
        <f>IFERROR([1]!IntrinioBankFinancials(rssd_id,$R$2,G$6,G$5,$B81),"")</f>
        <v/>
      </c>
      <c r="H81" s="32" t="str">
        <f>IFERROR([1]!IntrinioBankFinancials(rssd_id,$R$2,H$6,H$5,$B81),"")</f>
        <v/>
      </c>
      <c r="I81" s="32" t="str">
        <f>IFERROR([1]!IntrinioBankFinancials(rssd_id,$R$2,I$6,I$5,$B81),"")</f>
        <v/>
      </c>
      <c r="J81" s="32" t="str">
        <f>IFERROR([1]!IntrinioBankFinancials(rssd_id,$R$2,J$6,J$5,$B81),"")</f>
        <v/>
      </c>
      <c r="K81" s="32" t="str">
        <f>IFERROR([1]!IntrinioBankFinancials(rssd_id,$R$2,K$6,K$5,$B81),"")</f>
        <v/>
      </c>
      <c r="L81" s="32" t="str">
        <f>IFERROR([1]!IntrinioBankFinancials(rssd_id,$R$2,L$6,L$5,$B81),"")</f>
        <v/>
      </c>
      <c r="M81" s="32" t="str">
        <f>IFERROR([1]!IntrinioBankFinancials(rssd_id,$R$2,M$6,M$5,$B81),"")</f>
        <v/>
      </c>
      <c r="N81" s="32" t="str">
        <f>IFERROR([1]!IntrinioBankFinancials(rssd_id,$R$2,N$6,N$5,$B81),"")</f>
        <v/>
      </c>
      <c r="O81" s="32" t="str">
        <f>IFERROR([1]!IntrinioBankFinancials(rssd_id,$R$2,O$6,O$5,$B81),"")</f>
        <v/>
      </c>
    </row>
    <row r="82" spans="1:15" s="22" customFormat="1" ht="13.5" customHeight="1" x14ac:dyDescent="0.4">
      <c r="A82" s="33"/>
      <c r="B82" s="20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</row>
    <row r="83" spans="1:15" s="22" customFormat="1" ht="13.5" customHeight="1" x14ac:dyDescent="0.4">
      <c r="A83" s="33" t="s">
        <v>1158</v>
      </c>
      <c r="B83" s="20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</row>
    <row r="84" spans="1:15" ht="13.5" customHeight="1" x14ac:dyDescent="0.4">
      <c r="A84" s="34" t="s">
        <v>991</v>
      </c>
      <c r="B84" s="23" t="s">
        <v>992</v>
      </c>
      <c r="C84" s="32" t="str">
        <f>IFERROR([1]!IntrinioBankFinancials(rssd_id,$R$2,C$6,C$5,$B84,"K"),"")</f>
        <v/>
      </c>
      <c r="D84" s="32" t="str">
        <f>IFERROR([1]!IntrinioBankFinancials(rssd_id,$R$2,D$6,D$5,$B84),"")</f>
        <v/>
      </c>
      <c r="E84" s="32" t="str">
        <f>IFERROR([1]!IntrinioBankFinancials(rssd_id,$R$2,E$6,E$5,$B84),"")</f>
        <v/>
      </c>
      <c r="F84" s="32" t="str">
        <f>IFERROR([1]!IntrinioBankFinancials(rssd_id,$R$2,F$6,F$5,$B84),"")</f>
        <v/>
      </c>
      <c r="G84" s="32" t="str">
        <f>IFERROR([1]!IntrinioBankFinancials(rssd_id,$R$2,G$6,G$5,$B84),"")</f>
        <v/>
      </c>
      <c r="H84" s="32" t="str">
        <f>IFERROR([1]!IntrinioBankFinancials(rssd_id,$R$2,H$6,H$5,$B84),"")</f>
        <v/>
      </c>
      <c r="I84" s="32" t="str">
        <f>IFERROR([1]!IntrinioBankFinancials(rssd_id,$R$2,I$6,I$5,$B84),"")</f>
        <v/>
      </c>
      <c r="J84" s="32" t="str">
        <f>IFERROR([1]!IntrinioBankFinancials(rssd_id,$R$2,J$6,J$5,$B84),"")</f>
        <v/>
      </c>
      <c r="K84" s="32" t="str">
        <f>IFERROR([1]!IntrinioBankFinancials(rssd_id,$R$2,K$6,K$5,$B84),"")</f>
        <v/>
      </c>
      <c r="L84" s="32" t="str">
        <f>IFERROR([1]!IntrinioBankFinancials(rssd_id,$R$2,L$6,L$5,$B84),"")</f>
        <v/>
      </c>
      <c r="M84" s="32" t="str">
        <f>IFERROR([1]!IntrinioBankFinancials(rssd_id,$R$2,M$6,M$5,$B84),"")</f>
        <v/>
      </c>
      <c r="N84" s="32" t="str">
        <f>IFERROR([1]!IntrinioBankFinancials(rssd_id,$R$2,N$6,N$5,$B84),"")</f>
        <v/>
      </c>
      <c r="O84" s="32" t="str">
        <f>IFERROR([1]!IntrinioBankFinancials(rssd_id,$R$2,O$6,O$5,$B84),"")</f>
        <v/>
      </c>
    </row>
    <row r="85" spans="1:15" ht="13.5" customHeight="1" x14ac:dyDescent="0.4">
      <c r="A85" s="34" t="s">
        <v>1145</v>
      </c>
      <c r="B85" s="23" t="s">
        <v>993</v>
      </c>
      <c r="C85" s="24" t="str">
        <f>IFERROR([1]!IntrinioBankFinancials(rssd_id,$R$2,C$6,C$5,$B85,"K"),"")</f>
        <v/>
      </c>
      <c r="D85" s="24" t="str">
        <f>IFERROR([1]!IntrinioBankFinancials(rssd_id,$R$2,D$6,D$5,$B85,"K"),"")</f>
        <v/>
      </c>
      <c r="E85" s="24" t="str">
        <f>IFERROR([1]!IntrinioBankFinancials(rssd_id,$R$2,E$6,E$5,$B85,"K"),"")</f>
        <v/>
      </c>
      <c r="F85" s="24" t="str">
        <f>IFERROR([1]!IntrinioBankFinancials(rssd_id,$R$2,F$6,F$5,$B85,"K"),"")</f>
        <v/>
      </c>
      <c r="G85" s="24" t="str">
        <f>IFERROR([1]!IntrinioBankFinancials(rssd_id,$R$2,G$6,G$5,$B85,"K"),"")</f>
        <v/>
      </c>
      <c r="H85" s="24" t="str">
        <f>IFERROR([1]!IntrinioBankFinancials(rssd_id,$R$2,H$6,H$5,$B85,"K"),"")</f>
        <v/>
      </c>
      <c r="I85" s="24" t="str">
        <f>IFERROR([1]!IntrinioBankFinancials(rssd_id,$R$2,I$6,I$5,$B85,"K"),"")</f>
        <v/>
      </c>
      <c r="J85" s="24" t="str">
        <f>IFERROR([1]!IntrinioBankFinancials(rssd_id,$R$2,J$6,J$5,$B85,"K"),"")</f>
        <v/>
      </c>
      <c r="K85" s="24" t="str">
        <f>IFERROR([1]!IntrinioBankFinancials(rssd_id,$R$2,K$6,K$5,$B85,"K"),"")</f>
        <v/>
      </c>
      <c r="L85" s="24" t="str">
        <f>IFERROR([1]!IntrinioBankFinancials(rssd_id,$R$2,L$6,L$5,$B85,"K"),"")</f>
        <v/>
      </c>
      <c r="M85" s="24" t="str">
        <f>IFERROR([1]!IntrinioBankFinancials(rssd_id,$R$2,M$6,M$5,$B85,"K"),"")</f>
        <v/>
      </c>
      <c r="N85" s="24" t="str">
        <f>IFERROR([1]!IntrinioBankFinancials(rssd_id,$R$2,N$6,N$5,$B85,"K"),"")</f>
        <v/>
      </c>
      <c r="O85" s="24" t="str">
        <f>IFERROR([1]!IntrinioBankFinancials(rssd_id,$R$2,O$6,O$5,$B85,"K"),"")</f>
        <v/>
      </c>
    </row>
    <row r="86" spans="1:15" ht="13.5" customHeight="1" x14ac:dyDescent="0.4">
      <c r="A86" s="34" t="s">
        <v>1146</v>
      </c>
      <c r="B86" s="23" t="s">
        <v>994</v>
      </c>
      <c r="C86" s="24" t="str">
        <f>IFERROR([1]!IntrinioBankFinancials(rssd_id,$R$2,C$6,C$5,$B86,"K"),"")</f>
        <v/>
      </c>
      <c r="D86" s="24" t="str">
        <f>IFERROR([1]!IntrinioBankFinancials(rssd_id,$R$2,D$6,D$5,$B86,"K"),"")</f>
        <v/>
      </c>
      <c r="E86" s="24" t="str">
        <f>IFERROR([1]!IntrinioBankFinancials(rssd_id,$R$2,E$6,E$5,$B86,"K"),"")</f>
        <v/>
      </c>
      <c r="F86" s="24" t="str">
        <f>IFERROR([1]!IntrinioBankFinancials(rssd_id,$R$2,F$6,F$5,$B86,"K"),"")</f>
        <v/>
      </c>
      <c r="G86" s="24" t="str">
        <f>IFERROR([1]!IntrinioBankFinancials(rssd_id,$R$2,G$6,G$5,$B86,"K"),"")</f>
        <v/>
      </c>
      <c r="H86" s="24" t="str">
        <f>IFERROR([1]!IntrinioBankFinancials(rssd_id,$R$2,H$6,H$5,$B86,"K"),"")</f>
        <v/>
      </c>
      <c r="I86" s="24" t="str">
        <f>IFERROR([1]!IntrinioBankFinancials(rssd_id,$R$2,I$6,I$5,$B86,"K"),"")</f>
        <v/>
      </c>
      <c r="J86" s="24" t="str">
        <f>IFERROR([1]!IntrinioBankFinancials(rssd_id,$R$2,J$6,J$5,$B86,"K"),"")</f>
        <v/>
      </c>
      <c r="K86" s="24" t="str">
        <f>IFERROR([1]!IntrinioBankFinancials(rssd_id,$R$2,K$6,K$5,$B86,"K"),"")</f>
        <v/>
      </c>
      <c r="L86" s="24" t="str">
        <f>IFERROR([1]!IntrinioBankFinancials(rssd_id,$R$2,L$6,L$5,$B86,"K"),"")</f>
        <v/>
      </c>
      <c r="M86" s="24" t="str">
        <f>IFERROR([1]!IntrinioBankFinancials(rssd_id,$R$2,M$6,M$5,$B86,"K"),"")</f>
        <v/>
      </c>
      <c r="N86" s="24" t="str">
        <f>IFERROR([1]!IntrinioBankFinancials(rssd_id,$R$2,N$6,N$5,$B86,"K"),"")</f>
        <v/>
      </c>
      <c r="O86" s="24" t="str">
        <f>IFERROR([1]!IntrinioBankFinancials(rssd_id,$R$2,O$6,O$5,$B86,"K"),"")</f>
        <v/>
      </c>
    </row>
    <row r="87" spans="1:15" ht="13.5" customHeight="1" x14ac:dyDescent="0.4">
      <c r="A87" s="34" t="s">
        <v>1147</v>
      </c>
      <c r="B87" s="23" t="s">
        <v>995</v>
      </c>
      <c r="C87" s="24" t="str">
        <f>IFERROR([1]!IntrinioBankFinancials(rssd_id,$R$2,C$6,C$5,$B87,"K"),"")</f>
        <v/>
      </c>
      <c r="D87" s="24" t="str">
        <f>IFERROR([1]!IntrinioBankFinancials(rssd_id,$R$2,D$6,D$5,$B87,"K"),"")</f>
        <v/>
      </c>
      <c r="E87" s="24" t="str">
        <f>IFERROR([1]!IntrinioBankFinancials(rssd_id,$R$2,E$6,E$5,$B87,"K"),"")</f>
        <v/>
      </c>
      <c r="F87" s="24" t="str">
        <f>IFERROR([1]!IntrinioBankFinancials(rssd_id,$R$2,F$6,F$5,$B87,"K"),"")</f>
        <v/>
      </c>
      <c r="G87" s="24" t="str">
        <f>IFERROR([1]!IntrinioBankFinancials(rssd_id,$R$2,G$6,G$5,$B87,"K"),"")</f>
        <v/>
      </c>
      <c r="H87" s="24" t="str">
        <f>IFERROR([1]!IntrinioBankFinancials(rssd_id,$R$2,H$6,H$5,$B87,"K"),"")</f>
        <v/>
      </c>
      <c r="I87" s="24" t="str">
        <f>IFERROR([1]!IntrinioBankFinancials(rssd_id,$R$2,I$6,I$5,$B87,"K"),"")</f>
        <v/>
      </c>
      <c r="J87" s="24" t="str">
        <f>IFERROR([1]!IntrinioBankFinancials(rssd_id,$R$2,J$6,J$5,$B87,"K"),"")</f>
        <v/>
      </c>
      <c r="K87" s="24" t="str">
        <f>IFERROR([1]!IntrinioBankFinancials(rssd_id,$R$2,K$6,K$5,$B87,"K"),"")</f>
        <v/>
      </c>
      <c r="L87" s="24" t="str">
        <f>IFERROR([1]!IntrinioBankFinancials(rssd_id,$R$2,L$6,L$5,$B87,"K"),"")</f>
        <v/>
      </c>
      <c r="M87" s="24" t="str">
        <f>IFERROR([1]!IntrinioBankFinancials(rssd_id,$R$2,M$6,M$5,$B87,"K"),"")</f>
        <v/>
      </c>
      <c r="N87" s="24" t="str">
        <f>IFERROR([1]!IntrinioBankFinancials(rssd_id,$R$2,N$6,N$5,$B87,"K"),"")</f>
        <v/>
      </c>
      <c r="O87" s="24" t="str">
        <f>IFERROR([1]!IntrinioBankFinancials(rssd_id,$R$2,O$6,O$5,$B87,"K"),"")</f>
        <v/>
      </c>
    </row>
    <row r="88" spans="1:15" ht="13.5" customHeight="1" x14ac:dyDescent="0.4">
      <c r="A88" s="34" t="s">
        <v>1148</v>
      </c>
      <c r="B88" s="23" t="s">
        <v>996</v>
      </c>
      <c r="C88" s="24" t="str">
        <f>IFERROR([1]!IntrinioBankFinancials(rssd_id,$R$2,C$6,C$5,$B88,"K"),"")</f>
        <v/>
      </c>
      <c r="D88" s="24" t="str">
        <f>IFERROR([1]!IntrinioBankFinancials(rssd_id,$R$2,D$6,D$5,$B88,"K"),"")</f>
        <v/>
      </c>
      <c r="E88" s="24" t="str">
        <f>IFERROR([1]!IntrinioBankFinancials(rssd_id,$R$2,E$6,E$5,$B88,"K"),"")</f>
        <v/>
      </c>
      <c r="F88" s="24" t="str">
        <f>IFERROR([1]!IntrinioBankFinancials(rssd_id,$R$2,F$6,F$5,$B88,"K"),"")</f>
        <v/>
      </c>
      <c r="G88" s="24" t="str">
        <f>IFERROR([1]!IntrinioBankFinancials(rssd_id,$R$2,G$6,G$5,$B88,"K"),"")</f>
        <v/>
      </c>
      <c r="H88" s="24" t="str">
        <f>IFERROR([1]!IntrinioBankFinancials(rssd_id,$R$2,H$6,H$5,$B88,"K"),"")</f>
        <v/>
      </c>
      <c r="I88" s="24" t="str">
        <f>IFERROR([1]!IntrinioBankFinancials(rssd_id,$R$2,I$6,I$5,$B88,"K"),"")</f>
        <v/>
      </c>
      <c r="J88" s="24" t="str">
        <f>IFERROR([1]!IntrinioBankFinancials(rssd_id,$R$2,J$6,J$5,$B88,"K"),"")</f>
        <v/>
      </c>
      <c r="K88" s="24" t="str">
        <f>IFERROR([1]!IntrinioBankFinancials(rssd_id,$R$2,K$6,K$5,$B88,"K"),"")</f>
        <v/>
      </c>
      <c r="L88" s="24" t="str">
        <f>IFERROR([1]!IntrinioBankFinancials(rssd_id,$R$2,L$6,L$5,$B88,"K"),"")</f>
        <v/>
      </c>
      <c r="M88" s="24" t="str">
        <f>IFERROR([1]!IntrinioBankFinancials(rssd_id,$R$2,M$6,M$5,$B88,"K"),"")</f>
        <v/>
      </c>
      <c r="N88" s="24" t="str">
        <f>IFERROR([1]!IntrinioBankFinancials(rssd_id,$R$2,N$6,N$5,$B88,"K"),"")</f>
        <v/>
      </c>
      <c r="O88" s="24" t="str">
        <f>IFERROR([1]!IntrinioBankFinancials(rssd_id,$R$2,O$6,O$5,$B88,"K"),"")</f>
        <v/>
      </c>
    </row>
    <row r="89" spans="1:15" ht="13.5" customHeight="1" x14ac:dyDescent="0.4">
      <c r="A89" s="34" t="s">
        <v>997</v>
      </c>
      <c r="B89" s="23" t="s">
        <v>998</v>
      </c>
      <c r="C89" s="24" t="str">
        <f>IFERROR([1]!IntrinioBankFinancials(rssd_id,$R$2,C$6,C$5,$B89,"K"),"")</f>
        <v/>
      </c>
      <c r="D89" s="24" t="str">
        <f>IFERROR([1]!IntrinioBankFinancials(rssd_id,$R$2,D$6,D$5,$B89,"K"),"")</f>
        <v/>
      </c>
      <c r="E89" s="24" t="str">
        <f>IFERROR([1]!IntrinioBankFinancials(rssd_id,$R$2,E$6,E$5,$B89,"K"),"")</f>
        <v/>
      </c>
      <c r="F89" s="24" t="str">
        <f>IFERROR([1]!IntrinioBankFinancials(rssd_id,$R$2,F$6,F$5,$B89,"K"),"")</f>
        <v/>
      </c>
      <c r="G89" s="24" t="str">
        <f>IFERROR([1]!IntrinioBankFinancials(rssd_id,$R$2,G$6,G$5,$B89,"K"),"")</f>
        <v/>
      </c>
      <c r="H89" s="24" t="str">
        <f>IFERROR([1]!IntrinioBankFinancials(rssd_id,$R$2,H$6,H$5,$B89,"K"),"")</f>
        <v/>
      </c>
      <c r="I89" s="24" t="str">
        <f>IFERROR([1]!IntrinioBankFinancials(rssd_id,$R$2,I$6,I$5,$B89,"K"),"")</f>
        <v/>
      </c>
      <c r="J89" s="24" t="str">
        <f>IFERROR([1]!IntrinioBankFinancials(rssd_id,$R$2,J$6,J$5,$B89,"K"),"")</f>
        <v/>
      </c>
      <c r="K89" s="24" t="str">
        <f>IFERROR([1]!IntrinioBankFinancials(rssd_id,$R$2,K$6,K$5,$B89,"K"),"")</f>
        <v/>
      </c>
      <c r="L89" s="24" t="str">
        <f>IFERROR([1]!IntrinioBankFinancials(rssd_id,$R$2,L$6,L$5,$B89,"K"),"")</f>
        <v/>
      </c>
      <c r="M89" s="24" t="str">
        <f>IFERROR([1]!IntrinioBankFinancials(rssd_id,$R$2,M$6,M$5,$B89,"K"),"")</f>
        <v/>
      </c>
      <c r="N89" s="24" t="str">
        <f>IFERROR([1]!IntrinioBankFinancials(rssd_id,$R$2,N$6,N$5,$B89,"K"),"")</f>
        <v/>
      </c>
      <c r="O89" s="24" t="str">
        <f>IFERROR([1]!IntrinioBankFinancials(rssd_id,$R$2,O$6,O$5,$B89,"K"),"")</f>
        <v/>
      </c>
    </row>
    <row r="90" spans="1:15" ht="13.5" customHeight="1" x14ac:dyDescent="0.4">
      <c r="A90" s="34" t="s">
        <v>999</v>
      </c>
      <c r="B90" s="23" t="s">
        <v>1000</v>
      </c>
      <c r="C90" s="24" t="str">
        <f>IFERROR([1]!IntrinioBankFinancials(rssd_id,$R$2,C$6,C$5,$B90,"K"),"")</f>
        <v/>
      </c>
      <c r="D90" s="24" t="str">
        <f>IFERROR([1]!IntrinioBankFinancials(rssd_id,$R$2,D$6,D$5,$B90,"K"),"")</f>
        <v/>
      </c>
      <c r="E90" s="24" t="str">
        <f>IFERROR([1]!IntrinioBankFinancials(rssd_id,$R$2,E$6,E$5,$B90,"K"),"")</f>
        <v/>
      </c>
      <c r="F90" s="24" t="str">
        <f>IFERROR([1]!IntrinioBankFinancials(rssd_id,$R$2,F$6,F$5,$B90,"K"),"")</f>
        <v/>
      </c>
      <c r="G90" s="24" t="str">
        <f>IFERROR([1]!IntrinioBankFinancials(rssd_id,$R$2,G$6,G$5,$B90,"K"),"")</f>
        <v/>
      </c>
      <c r="H90" s="24" t="str">
        <f>IFERROR([1]!IntrinioBankFinancials(rssd_id,$R$2,H$6,H$5,$B90,"K"),"")</f>
        <v/>
      </c>
      <c r="I90" s="24" t="str">
        <f>IFERROR([1]!IntrinioBankFinancials(rssd_id,$R$2,I$6,I$5,$B90,"K"),"")</f>
        <v/>
      </c>
      <c r="J90" s="24" t="str">
        <f>IFERROR([1]!IntrinioBankFinancials(rssd_id,$R$2,J$6,J$5,$B90,"K"),"")</f>
        <v/>
      </c>
      <c r="K90" s="24" t="str">
        <f>IFERROR([1]!IntrinioBankFinancials(rssd_id,$R$2,K$6,K$5,$B90,"K"),"")</f>
        <v/>
      </c>
      <c r="L90" s="24" t="str">
        <f>IFERROR([1]!IntrinioBankFinancials(rssd_id,$R$2,L$6,L$5,$B90,"K"),"")</f>
        <v/>
      </c>
      <c r="M90" s="24" t="str">
        <f>IFERROR([1]!IntrinioBankFinancials(rssd_id,$R$2,M$6,M$5,$B90,"K"),"")</f>
        <v/>
      </c>
      <c r="N90" s="24" t="str">
        <f>IFERROR([1]!IntrinioBankFinancials(rssd_id,$R$2,N$6,N$5,$B90,"K"),"")</f>
        <v/>
      </c>
      <c r="O90" s="24" t="str">
        <f>IFERROR([1]!IntrinioBankFinancials(rssd_id,$R$2,O$6,O$5,$B90,"K"),"")</f>
        <v/>
      </c>
    </row>
    <row r="91" spans="1:15" ht="13.5" customHeight="1" x14ac:dyDescent="0.4">
      <c r="A91" s="34" t="s">
        <v>339</v>
      </c>
      <c r="B91" s="23" t="s">
        <v>1001</v>
      </c>
      <c r="C91" s="24" t="str">
        <f>IFERROR([1]!IntrinioBankFinancials(rssd_id,$R$2,C$6,C$5,$B91,"K"),"")</f>
        <v/>
      </c>
      <c r="D91" s="24" t="str">
        <f>IFERROR([1]!IntrinioBankFinancials(rssd_id,$R$2,D$6,D$5,$B91,"K"),"")</f>
        <v/>
      </c>
      <c r="E91" s="24" t="str">
        <f>IFERROR([1]!IntrinioBankFinancials(rssd_id,$R$2,E$6,E$5,$B91,"K"),"")</f>
        <v/>
      </c>
      <c r="F91" s="24" t="str">
        <f>IFERROR([1]!IntrinioBankFinancials(rssd_id,$R$2,F$6,F$5,$B91,"K"),"")</f>
        <v/>
      </c>
      <c r="G91" s="24" t="str">
        <f>IFERROR([1]!IntrinioBankFinancials(rssd_id,$R$2,G$6,G$5,$B91,"K"),"")</f>
        <v/>
      </c>
      <c r="H91" s="24" t="str">
        <f>IFERROR([1]!IntrinioBankFinancials(rssd_id,$R$2,H$6,H$5,$B91,"K"),"")</f>
        <v/>
      </c>
      <c r="I91" s="24" t="str">
        <f>IFERROR([1]!IntrinioBankFinancials(rssd_id,$R$2,I$6,I$5,$B91,"K"),"")</f>
        <v/>
      </c>
      <c r="J91" s="24" t="str">
        <f>IFERROR([1]!IntrinioBankFinancials(rssd_id,$R$2,J$6,J$5,$B91,"K"),"")</f>
        <v/>
      </c>
      <c r="K91" s="24" t="str">
        <f>IFERROR([1]!IntrinioBankFinancials(rssd_id,$R$2,K$6,K$5,$B91,"K"),"")</f>
        <v/>
      </c>
      <c r="L91" s="24" t="str">
        <f>IFERROR([1]!IntrinioBankFinancials(rssd_id,$R$2,L$6,L$5,$B91,"K"),"")</f>
        <v/>
      </c>
      <c r="M91" s="24" t="str">
        <f>IFERROR([1]!IntrinioBankFinancials(rssd_id,$R$2,M$6,M$5,$B91,"K"),"")</f>
        <v/>
      </c>
      <c r="N91" s="24" t="str">
        <f>IFERROR([1]!IntrinioBankFinancials(rssd_id,$R$2,N$6,N$5,$B91,"K"),"")</f>
        <v/>
      </c>
      <c r="O91" s="24" t="str">
        <f>IFERROR([1]!IntrinioBankFinancials(rssd_id,$R$2,O$6,O$5,$B91,"K"),"")</f>
        <v/>
      </c>
    </row>
    <row r="92" spans="1:15" ht="13.5" customHeight="1" x14ac:dyDescent="0.4">
      <c r="A92" s="34" t="s">
        <v>337</v>
      </c>
      <c r="B92" s="23" t="s">
        <v>1002</v>
      </c>
      <c r="C92" s="24" t="str">
        <f>IFERROR([1]!IntrinioBankFinancials(rssd_id,$R$2,C$6,C$5,$B92,"K"),"")</f>
        <v/>
      </c>
      <c r="D92" s="24" t="str">
        <f>IFERROR([1]!IntrinioBankFinancials(rssd_id,$R$2,D$6,D$5,$B92,"K"),"")</f>
        <v/>
      </c>
      <c r="E92" s="24" t="str">
        <f>IFERROR([1]!IntrinioBankFinancials(rssd_id,$R$2,E$6,E$5,$B92,"K"),"")</f>
        <v/>
      </c>
      <c r="F92" s="24" t="str">
        <f>IFERROR([1]!IntrinioBankFinancials(rssd_id,$R$2,F$6,F$5,$B92,"K"),"")</f>
        <v/>
      </c>
      <c r="G92" s="24" t="str">
        <f>IFERROR([1]!IntrinioBankFinancials(rssd_id,$R$2,G$6,G$5,$B92,"K"),"")</f>
        <v/>
      </c>
      <c r="H92" s="24" t="str">
        <f>IFERROR([1]!IntrinioBankFinancials(rssd_id,$R$2,H$6,H$5,$B92,"K"),"")</f>
        <v/>
      </c>
      <c r="I92" s="24" t="str">
        <f>IFERROR([1]!IntrinioBankFinancials(rssd_id,$R$2,I$6,I$5,$B92,"K"),"")</f>
        <v/>
      </c>
      <c r="J92" s="24" t="str">
        <f>IFERROR([1]!IntrinioBankFinancials(rssd_id,$R$2,J$6,J$5,$B92,"K"),"")</f>
        <v/>
      </c>
      <c r="K92" s="24" t="str">
        <f>IFERROR([1]!IntrinioBankFinancials(rssd_id,$R$2,K$6,K$5,$B92,"K"),"")</f>
        <v/>
      </c>
      <c r="L92" s="24" t="str">
        <f>IFERROR([1]!IntrinioBankFinancials(rssd_id,$R$2,L$6,L$5,$B92,"K"),"")</f>
        <v/>
      </c>
      <c r="M92" s="24" t="str">
        <f>IFERROR([1]!IntrinioBankFinancials(rssd_id,$R$2,M$6,M$5,$B92,"K"),"")</f>
        <v/>
      </c>
      <c r="N92" s="24" t="str">
        <f>IFERROR([1]!IntrinioBankFinancials(rssd_id,$R$2,N$6,N$5,$B92,"K"),"")</f>
        <v/>
      </c>
      <c r="O92" s="24" t="str">
        <f>IFERROR([1]!IntrinioBankFinancials(rssd_id,$R$2,O$6,O$5,$B92,"K"),"")</f>
        <v/>
      </c>
    </row>
    <row r="93" spans="1:15" s="22" customFormat="1" ht="13.5" customHeight="1" x14ac:dyDescent="0.4">
      <c r="A93" s="33"/>
      <c r="B93" s="20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</row>
    <row r="94" spans="1:15" s="22" customFormat="1" ht="13.5" customHeight="1" x14ac:dyDescent="0.4">
      <c r="A94" s="33" t="s">
        <v>1157</v>
      </c>
      <c r="B94" s="20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</row>
    <row r="95" spans="1:15" ht="13.5" customHeight="1" x14ac:dyDescent="0.4">
      <c r="A95" s="34" t="s">
        <v>1003</v>
      </c>
      <c r="B95" s="23" t="s">
        <v>1004</v>
      </c>
      <c r="C95" s="24" t="str">
        <f>IFERROR([1]!IntrinioBankFinancials(rssd_id,$R$2,C$6,C$5,$B95,"K"),"")</f>
        <v/>
      </c>
      <c r="D95" s="24" t="str">
        <f>IFERROR([1]!IntrinioBankFinancials(rssd_id,$R$2,D$6,D$5,$B95,"K"),"")</f>
        <v/>
      </c>
      <c r="E95" s="24" t="str">
        <f>IFERROR([1]!IntrinioBankFinancials(rssd_id,$R$2,E$6,E$5,$B95,"K"),"")</f>
        <v/>
      </c>
      <c r="F95" s="24" t="str">
        <f>IFERROR([1]!IntrinioBankFinancials(rssd_id,$R$2,F$6,F$5,$B95,"K"),"")</f>
        <v/>
      </c>
      <c r="G95" s="24" t="str">
        <f>IFERROR([1]!IntrinioBankFinancials(rssd_id,$R$2,G$6,G$5,$B95,"K"),"")</f>
        <v/>
      </c>
      <c r="H95" s="24" t="str">
        <f>IFERROR([1]!IntrinioBankFinancials(rssd_id,$R$2,H$6,H$5,$B95,"K"),"")</f>
        <v/>
      </c>
      <c r="I95" s="24" t="str">
        <f>IFERROR([1]!IntrinioBankFinancials(rssd_id,$R$2,I$6,I$5,$B95,"K"),"")</f>
        <v/>
      </c>
      <c r="J95" s="24" t="str">
        <f>IFERROR([1]!IntrinioBankFinancials(rssd_id,$R$2,J$6,J$5,$B95,"K"),"")</f>
        <v/>
      </c>
      <c r="K95" s="24" t="str">
        <f>IFERROR([1]!IntrinioBankFinancials(rssd_id,$R$2,K$6,K$5,$B95,"K"),"")</f>
        <v/>
      </c>
      <c r="L95" s="24" t="str">
        <f>IFERROR([1]!IntrinioBankFinancials(rssd_id,$R$2,L$6,L$5,$B95,"K"),"")</f>
        <v/>
      </c>
      <c r="M95" s="24" t="str">
        <f>IFERROR([1]!IntrinioBankFinancials(rssd_id,$R$2,M$6,M$5,$B95,"K"),"")</f>
        <v/>
      </c>
      <c r="N95" s="24" t="str">
        <f>IFERROR([1]!IntrinioBankFinancials(rssd_id,$R$2,N$6,N$5,$B95,"K"),"")</f>
        <v/>
      </c>
      <c r="O95" s="24" t="str">
        <f>IFERROR([1]!IntrinioBankFinancials(rssd_id,$R$2,O$6,O$5,$B95,"K"),"")</f>
        <v/>
      </c>
    </row>
    <row r="96" spans="1:15" ht="13.5" customHeight="1" x14ac:dyDescent="0.4">
      <c r="A96" s="34" t="s">
        <v>1149</v>
      </c>
      <c r="B96" s="23" t="s">
        <v>1005</v>
      </c>
      <c r="C96" s="24" t="str">
        <f>IFERROR([1]!IntrinioBankFinancials(rssd_id,$R$2,C$6,C$5,$B96,"K"),"")</f>
        <v/>
      </c>
      <c r="D96" s="24" t="str">
        <f>IFERROR([1]!IntrinioBankFinancials(rssd_id,$R$2,D$6,D$5,$B96,"K"),"")</f>
        <v/>
      </c>
      <c r="E96" s="24" t="str">
        <f>IFERROR([1]!IntrinioBankFinancials(rssd_id,$R$2,E$6,E$5,$B96,"K"),"")</f>
        <v/>
      </c>
      <c r="F96" s="24" t="str">
        <f>IFERROR([1]!IntrinioBankFinancials(rssd_id,$R$2,F$6,F$5,$B96,"K"),"")</f>
        <v/>
      </c>
      <c r="G96" s="24" t="str">
        <f>IFERROR([1]!IntrinioBankFinancials(rssd_id,$R$2,G$6,G$5,$B96,"K"),"")</f>
        <v/>
      </c>
      <c r="H96" s="24" t="str">
        <f>IFERROR([1]!IntrinioBankFinancials(rssd_id,$R$2,H$6,H$5,$B96,"K"),"")</f>
        <v/>
      </c>
      <c r="I96" s="24" t="str">
        <f>IFERROR([1]!IntrinioBankFinancials(rssd_id,$R$2,I$6,I$5,$B96,"K"),"")</f>
        <v/>
      </c>
      <c r="J96" s="24" t="str">
        <f>IFERROR([1]!IntrinioBankFinancials(rssd_id,$R$2,J$6,J$5,$B96,"K"),"")</f>
        <v/>
      </c>
      <c r="K96" s="24" t="str">
        <f>IFERROR([1]!IntrinioBankFinancials(rssd_id,$R$2,K$6,K$5,$B96,"K"),"")</f>
        <v/>
      </c>
      <c r="L96" s="24" t="str">
        <f>IFERROR([1]!IntrinioBankFinancials(rssd_id,$R$2,L$6,L$5,$B96,"K"),"")</f>
        <v/>
      </c>
      <c r="M96" s="24" t="str">
        <f>IFERROR([1]!IntrinioBankFinancials(rssd_id,$R$2,M$6,M$5,$B96,"K"),"")</f>
        <v/>
      </c>
      <c r="N96" s="24" t="str">
        <f>IFERROR([1]!IntrinioBankFinancials(rssd_id,$R$2,N$6,N$5,$B96,"K"),"")</f>
        <v/>
      </c>
      <c r="O96" s="24" t="str">
        <f>IFERROR([1]!IntrinioBankFinancials(rssd_id,$R$2,O$6,O$5,$B96,"K"),"")</f>
        <v/>
      </c>
    </row>
    <row r="97" spans="1:15" ht="13.5" customHeight="1" x14ac:dyDescent="0.4">
      <c r="A97" s="34" t="s">
        <v>1150</v>
      </c>
      <c r="B97" s="23" t="s">
        <v>1006</v>
      </c>
      <c r="C97" s="24" t="str">
        <f>IFERROR([1]!IntrinioBankFinancials(rssd_id,$R$2,C$6,C$5,$B97,"K"),"")</f>
        <v/>
      </c>
      <c r="D97" s="24" t="str">
        <f>IFERROR([1]!IntrinioBankFinancials(rssd_id,$R$2,D$6,D$5,$B97,"K"),"")</f>
        <v/>
      </c>
      <c r="E97" s="24" t="str">
        <f>IFERROR([1]!IntrinioBankFinancials(rssd_id,$R$2,E$6,E$5,$B97,"K"),"")</f>
        <v/>
      </c>
      <c r="F97" s="24" t="str">
        <f>IFERROR([1]!IntrinioBankFinancials(rssd_id,$R$2,F$6,F$5,$B97,"K"),"")</f>
        <v/>
      </c>
      <c r="G97" s="24" t="str">
        <f>IFERROR([1]!IntrinioBankFinancials(rssd_id,$R$2,G$6,G$5,$B97,"K"),"")</f>
        <v/>
      </c>
      <c r="H97" s="24" t="str">
        <f>IFERROR([1]!IntrinioBankFinancials(rssd_id,$R$2,H$6,H$5,$B97,"K"),"")</f>
        <v/>
      </c>
      <c r="I97" s="24" t="str">
        <f>IFERROR([1]!IntrinioBankFinancials(rssd_id,$R$2,I$6,I$5,$B97,"K"),"")</f>
        <v/>
      </c>
      <c r="J97" s="24" t="str">
        <f>IFERROR([1]!IntrinioBankFinancials(rssd_id,$R$2,J$6,J$5,$B97,"K"),"")</f>
        <v/>
      </c>
      <c r="K97" s="24" t="str">
        <f>IFERROR([1]!IntrinioBankFinancials(rssd_id,$R$2,K$6,K$5,$B97,"K"),"")</f>
        <v/>
      </c>
      <c r="L97" s="24" t="str">
        <f>IFERROR([1]!IntrinioBankFinancials(rssd_id,$R$2,L$6,L$5,$B97,"K"),"")</f>
        <v/>
      </c>
      <c r="M97" s="24" t="str">
        <f>IFERROR([1]!IntrinioBankFinancials(rssd_id,$R$2,M$6,M$5,$B97,"K"),"")</f>
        <v/>
      </c>
      <c r="N97" s="24" t="str">
        <f>IFERROR([1]!IntrinioBankFinancials(rssd_id,$R$2,N$6,N$5,$B97,"K"),"")</f>
        <v/>
      </c>
      <c r="O97" s="24" t="str">
        <f>IFERROR([1]!IntrinioBankFinancials(rssd_id,$R$2,O$6,O$5,$B97,"K"),"")</f>
        <v/>
      </c>
    </row>
    <row r="98" spans="1:15" ht="13.5" customHeight="1" x14ac:dyDescent="0.4">
      <c r="A98" s="34" t="s">
        <v>1151</v>
      </c>
      <c r="B98" s="23" t="s">
        <v>1007</v>
      </c>
      <c r="C98" s="24" t="str">
        <f>IFERROR([1]!IntrinioBankFinancials(rssd_id,$R$2,C$6,C$5,$B98,"K"),"")</f>
        <v/>
      </c>
      <c r="D98" s="24" t="str">
        <f>IFERROR([1]!IntrinioBankFinancials(rssd_id,$R$2,D$6,D$5,$B98,"K"),"")</f>
        <v/>
      </c>
      <c r="E98" s="24" t="str">
        <f>IFERROR([1]!IntrinioBankFinancials(rssd_id,$R$2,E$6,E$5,$B98,"K"),"")</f>
        <v/>
      </c>
      <c r="F98" s="24" t="str">
        <f>IFERROR([1]!IntrinioBankFinancials(rssd_id,$R$2,F$6,F$5,$B98,"K"),"")</f>
        <v/>
      </c>
      <c r="G98" s="24" t="str">
        <f>IFERROR([1]!IntrinioBankFinancials(rssd_id,$R$2,G$6,G$5,$B98,"K"),"")</f>
        <v/>
      </c>
      <c r="H98" s="24" t="str">
        <f>IFERROR([1]!IntrinioBankFinancials(rssd_id,$R$2,H$6,H$5,$B98,"K"),"")</f>
        <v/>
      </c>
      <c r="I98" s="24" t="str">
        <f>IFERROR([1]!IntrinioBankFinancials(rssd_id,$R$2,I$6,I$5,$B98,"K"),"")</f>
        <v/>
      </c>
      <c r="J98" s="24" t="str">
        <f>IFERROR([1]!IntrinioBankFinancials(rssd_id,$R$2,J$6,J$5,$B98,"K"),"")</f>
        <v/>
      </c>
      <c r="K98" s="24" t="str">
        <f>IFERROR([1]!IntrinioBankFinancials(rssd_id,$R$2,K$6,K$5,$B98,"K"),"")</f>
        <v/>
      </c>
      <c r="L98" s="24" t="str">
        <f>IFERROR([1]!IntrinioBankFinancials(rssd_id,$R$2,L$6,L$5,$B98,"K"),"")</f>
        <v/>
      </c>
      <c r="M98" s="24" t="str">
        <f>IFERROR([1]!IntrinioBankFinancials(rssd_id,$R$2,M$6,M$5,$B98,"K"),"")</f>
        <v/>
      </c>
      <c r="N98" s="24" t="str">
        <f>IFERROR([1]!IntrinioBankFinancials(rssd_id,$R$2,N$6,N$5,$B98,"K"),"")</f>
        <v/>
      </c>
      <c r="O98" s="24" t="str">
        <f>IFERROR([1]!IntrinioBankFinancials(rssd_id,$R$2,O$6,O$5,$B98,"K"),"")</f>
        <v/>
      </c>
    </row>
    <row r="99" spans="1:15" ht="13.5" customHeight="1" x14ac:dyDescent="0.4">
      <c r="A99" s="34" t="s">
        <v>1008</v>
      </c>
      <c r="B99" s="23" t="s">
        <v>1009</v>
      </c>
      <c r="C99" s="24" t="str">
        <f>IFERROR([1]!IntrinioBankFinancials(rssd_id,$R$2,C$6,C$5,$B99,"K"),"")</f>
        <v/>
      </c>
      <c r="D99" s="24" t="str">
        <f>IFERROR([1]!IntrinioBankFinancials(rssd_id,$R$2,D$6,D$5,$B99,"K"),"")</f>
        <v/>
      </c>
      <c r="E99" s="24" t="str">
        <f>IFERROR([1]!IntrinioBankFinancials(rssd_id,$R$2,E$6,E$5,$B99,"K"),"")</f>
        <v/>
      </c>
      <c r="F99" s="24" t="str">
        <f>IFERROR([1]!IntrinioBankFinancials(rssd_id,$R$2,F$6,F$5,$B99,"K"),"")</f>
        <v/>
      </c>
      <c r="G99" s="24" t="str">
        <f>IFERROR([1]!IntrinioBankFinancials(rssd_id,$R$2,G$6,G$5,$B99,"K"),"")</f>
        <v/>
      </c>
      <c r="H99" s="24" t="str">
        <f>IFERROR([1]!IntrinioBankFinancials(rssd_id,$R$2,H$6,H$5,$B99,"K"),"")</f>
        <v/>
      </c>
      <c r="I99" s="24" t="str">
        <f>IFERROR([1]!IntrinioBankFinancials(rssd_id,$R$2,I$6,I$5,$B99,"K"),"")</f>
        <v/>
      </c>
      <c r="J99" s="24" t="str">
        <f>IFERROR([1]!IntrinioBankFinancials(rssd_id,$R$2,J$6,J$5,$B99,"K"),"")</f>
        <v/>
      </c>
      <c r="K99" s="24" t="str">
        <f>IFERROR([1]!IntrinioBankFinancials(rssd_id,$R$2,K$6,K$5,$B99,"K"),"")</f>
        <v/>
      </c>
      <c r="L99" s="24" t="str">
        <f>IFERROR([1]!IntrinioBankFinancials(rssd_id,$R$2,L$6,L$5,$B99,"K"),"")</f>
        <v/>
      </c>
      <c r="M99" s="24" t="str">
        <f>IFERROR([1]!IntrinioBankFinancials(rssd_id,$R$2,M$6,M$5,$B99,"K"),"")</f>
        <v/>
      </c>
      <c r="N99" s="24" t="str">
        <f>IFERROR([1]!IntrinioBankFinancials(rssd_id,$R$2,N$6,N$5,$B99,"K"),"")</f>
        <v/>
      </c>
      <c r="O99" s="24" t="str">
        <f>IFERROR([1]!IntrinioBankFinancials(rssd_id,$R$2,O$6,O$5,$B99,"K"),"")</f>
        <v/>
      </c>
    </row>
    <row r="100" spans="1:15" s="22" customFormat="1" ht="13.5" customHeight="1" x14ac:dyDescent="0.4">
      <c r="A100" s="33"/>
      <c r="B100" s="20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</row>
    <row r="101" spans="1:15" s="22" customFormat="1" ht="13.5" customHeight="1" x14ac:dyDescent="0.4">
      <c r="A101" s="33" t="s">
        <v>1156</v>
      </c>
      <c r="B101" s="20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</row>
    <row r="102" spans="1:15" ht="13.5" customHeight="1" x14ac:dyDescent="0.4">
      <c r="A102" s="34" t="s">
        <v>1010</v>
      </c>
      <c r="B102" s="23" t="s">
        <v>1011</v>
      </c>
      <c r="C102" s="24" t="str">
        <f>IFERROR([1]!IntrinioBankFinancials(rssd_id,$R$2,C$6,C$5,$B102,"K"),"")</f>
        <v/>
      </c>
      <c r="D102" s="24" t="str">
        <f>IFERROR([1]!IntrinioBankFinancials(rssd_id,$R$2,D$6,D$5,$B102,"K"),"")</f>
        <v/>
      </c>
      <c r="E102" s="24" t="str">
        <f>IFERROR([1]!IntrinioBankFinancials(rssd_id,$R$2,E$6,E$5,$B102,"K"),"")</f>
        <v/>
      </c>
      <c r="F102" s="24" t="str">
        <f>IFERROR([1]!IntrinioBankFinancials(rssd_id,$R$2,F$6,F$5,$B102,"K"),"")</f>
        <v/>
      </c>
      <c r="G102" s="24" t="str">
        <f>IFERROR([1]!IntrinioBankFinancials(rssd_id,$R$2,G$6,G$5,$B102,"K"),"")</f>
        <v/>
      </c>
      <c r="H102" s="24" t="str">
        <f>IFERROR([1]!IntrinioBankFinancials(rssd_id,$R$2,H$6,H$5,$B102,"K"),"")</f>
        <v/>
      </c>
      <c r="I102" s="24" t="str">
        <f>IFERROR([1]!IntrinioBankFinancials(rssd_id,$R$2,I$6,I$5,$B102,"K"),"")</f>
        <v/>
      </c>
      <c r="J102" s="24" t="str">
        <f>IFERROR([1]!IntrinioBankFinancials(rssd_id,$R$2,J$6,J$5,$B102,"K"),"")</f>
        <v/>
      </c>
      <c r="K102" s="24" t="str">
        <f>IFERROR([1]!IntrinioBankFinancials(rssd_id,$R$2,K$6,K$5,$B102,"K"),"")</f>
        <v/>
      </c>
      <c r="L102" s="24" t="str">
        <f>IFERROR([1]!IntrinioBankFinancials(rssd_id,$R$2,L$6,L$5,$B102,"K"),"")</f>
        <v/>
      </c>
      <c r="M102" s="24" t="str">
        <f>IFERROR([1]!IntrinioBankFinancials(rssd_id,$R$2,M$6,M$5,$B102,"K"),"")</f>
        <v/>
      </c>
      <c r="N102" s="24" t="str">
        <f>IFERROR([1]!IntrinioBankFinancials(rssd_id,$R$2,N$6,N$5,$B102,"K"),"")</f>
        <v/>
      </c>
      <c r="O102" s="24" t="str">
        <f>IFERROR([1]!IntrinioBankFinancials(rssd_id,$R$2,O$6,O$5,$B102,"K"),"")</f>
        <v/>
      </c>
    </row>
    <row r="103" spans="1:15" ht="13.5" customHeight="1" x14ac:dyDescent="0.4">
      <c r="A103" s="34" t="s">
        <v>1152</v>
      </c>
      <c r="B103" s="23" t="s">
        <v>1012</v>
      </c>
      <c r="C103" s="24" t="str">
        <f>IFERROR([1]!IntrinioBankFinancials(rssd_id,$R$2,C$6,C$5,$B103,"K"),"")</f>
        <v/>
      </c>
      <c r="D103" s="24" t="str">
        <f>IFERROR([1]!IntrinioBankFinancials(rssd_id,$R$2,D$6,D$5,$B103,"K"),"")</f>
        <v/>
      </c>
      <c r="E103" s="24" t="str">
        <f>IFERROR([1]!IntrinioBankFinancials(rssd_id,$R$2,E$6,E$5,$B103,"K"),"")</f>
        <v/>
      </c>
      <c r="F103" s="24" t="str">
        <f>IFERROR([1]!IntrinioBankFinancials(rssd_id,$R$2,F$6,F$5,$B103,"K"),"")</f>
        <v/>
      </c>
      <c r="G103" s="24" t="str">
        <f>IFERROR([1]!IntrinioBankFinancials(rssd_id,$R$2,G$6,G$5,$B103,"K"),"")</f>
        <v/>
      </c>
      <c r="H103" s="24" t="str">
        <f>IFERROR([1]!IntrinioBankFinancials(rssd_id,$R$2,H$6,H$5,$B103,"K"),"")</f>
        <v/>
      </c>
      <c r="I103" s="24" t="str">
        <f>IFERROR([1]!IntrinioBankFinancials(rssd_id,$R$2,I$6,I$5,$B103,"K"),"")</f>
        <v/>
      </c>
      <c r="J103" s="24" t="str">
        <f>IFERROR([1]!IntrinioBankFinancials(rssd_id,$R$2,J$6,J$5,$B103,"K"),"")</f>
        <v/>
      </c>
      <c r="K103" s="24" t="str">
        <f>IFERROR([1]!IntrinioBankFinancials(rssd_id,$R$2,K$6,K$5,$B103,"K"),"")</f>
        <v/>
      </c>
      <c r="L103" s="24" t="str">
        <f>IFERROR([1]!IntrinioBankFinancials(rssd_id,$R$2,L$6,L$5,$B103,"K"),"")</f>
        <v/>
      </c>
      <c r="M103" s="24" t="str">
        <f>IFERROR([1]!IntrinioBankFinancials(rssd_id,$R$2,M$6,M$5,$B103,"K"),"")</f>
        <v/>
      </c>
      <c r="N103" s="24" t="str">
        <f>IFERROR([1]!IntrinioBankFinancials(rssd_id,$R$2,N$6,N$5,$B103,"K"),"")</f>
        <v/>
      </c>
      <c r="O103" s="24" t="str">
        <f>IFERROR([1]!IntrinioBankFinancials(rssd_id,$R$2,O$6,O$5,$B103,"K"),"")</f>
        <v/>
      </c>
    </row>
    <row r="104" spans="1:15" ht="13.5" customHeight="1" x14ac:dyDescent="0.4">
      <c r="A104" s="34" t="s">
        <v>1153</v>
      </c>
      <c r="B104" s="23" t="s">
        <v>1013</v>
      </c>
      <c r="C104" s="24" t="str">
        <f>IFERROR([1]!IntrinioBankFinancials(rssd_id,$R$2,C$6,C$5,$B104,"K"),"")</f>
        <v/>
      </c>
      <c r="D104" s="24" t="str">
        <f>IFERROR([1]!IntrinioBankFinancials(rssd_id,$R$2,D$6,D$5,$B104,"K"),"")</f>
        <v/>
      </c>
      <c r="E104" s="24" t="str">
        <f>IFERROR([1]!IntrinioBankFinancials(rssd_id,$R$2,E$6,E$5,$B104,"K"),"")</f>
        <v/>
      </c>
      <c r="F104" s="24" t="str">
        <f>IFERROR([1]!IntrinioBankFinancials(rssd_id,$R$2,F$6,F$5,$B104,"K"),"")</f>
        <v/>
      </c>
      <c r="G104" s="24" t="str">
        <f>IFERROR([1]!IntrinioBankFinancials(rssd_id,$R$2,G$6,G$5,$B104,"K"),"")</f>
        <v/>
      </c>
      <c r="H104" s="24" t="str">
        <f>IFERROR([1]!IntrinioBankFinancials(rssd_id,$R$2,H$6,H$5,$B104,"K"),"")</f>
        <v/>
      </c>
      <c r="I104" s="24" t="str">
        <f>IFERROR([1]!IntrinioBankFinancials(rssd_id,$R$2,I$6,I$5,$B104,"K"),"")</f>
        <v/>
      </c>
      <c r="J104" s="24" t="str">
        <f>IFERROR([1]!IntrinioBankFinancials(rssd_id,$R$2,J$6,J$5,$B104,"K"),"")</f>
        <v/>
      </c>
      <c r="K104" s="24" t="str">
        <f>IFERROR([1]!IntrinioBankFinancials(rssd_id,$R$2,K$6,K$5,$B104,"K"),"")</f>
        <v/>
      </c>
      <c r="L104" s="24" t="str">
        <f>IFERROR([1]!IntrinioBankFinancials(rssd_id,$R$2,L$6,L$5,$B104,"K"),"")</f>
        <v/>
      </c>
      <c r="M104" s="24" t="str">
        <f>IFERROR([1]!IntrinioBankFinancials(rssd_id,$R$2,M$6,M$5,$B104,"K"),"")</f>
        <v/>
      </c>
      <c r="N104" s="24" t="str">
        <f>IFERROR([1]!IntrinioBankFinancials(rssd_id,$R$2,N$6,N$5,$B104,"K"),"")</f>
        <v/>
      </c>
      <c r="O104" s="24" t="str">
        <f>IFERROR([1]!IntrinioBankFinancials(rssd_id,$R$2,O$6,O$5,$B104,"K"),"")</f>
        <v/>
      </c>
    </row>
    <row r="105" spans="1:15" ht="13.5" customHeight="1" x14ac:dyDescent="0.4">
      <c r="A105" s="34" t="s">
        <v>1154</v>
      </c>
      <c r="B105" s="23" t="s">
        <v>1014</v>
      </c>
      <c r="C105" s="24" t="str">
        <f>IFERROR([1]!IntrinioBankFinancials(rssd_id,$R$2,C$6,C$5,$B105,"K"),"")</f>
        <v/>
      </c>
      <c r="D105" s="24" t="str">
        <f>IFERROR([1]!IntrinioBankFinancials(rssd_id,$R$2,D$6,D$5,$B105,"K"),"")</f>
        <v/>
      </c>
      <c r="E105" s="24" t="str">
        <f>IFERROR([1]!IntrinioBankFinancials(rssd_id,$R$2,E$6,E$5,$B105,"K"),"")</f>
        <v/>
      </c>
      <c r="F105" s="24" t="str">
        <f>IFERROR([1]!IntrinioBankFinancials(rssd_id,$R$2,F$6,F$5,$B105,"K"),"")</f>
        <v/>
      </c>
      <c r="G105" s="24" t="str">
        <f>IFERROR([1]!IntrinioBankFinancials(rssd_id,$R$2,G$6,G$5,$B105,"K"),"")</f>
        <v/>
      </c>
      <c r="H105" s="24" t="str">
        <f>IFERROR([1]!IntrinioBankFinancials(rssd_id,$R$2,H$6,H$5,$B105,"K"),"")</f>
        <v/>
      </c>
      <c r="I105" s="24" t="str">
        <f>IFERROR([1]!IntrinioBankFinancials(rssd_id,$R$2,I$6,I$5,$B105,"K"),"")</f>
        <v/>
      </c>
      <c r="J105" s="24" t="str">
        <f>IFERROR([1]!IntrinioBankFinancials(rssd_id,$R$2,J$6,J$5,$B105,"K"),"")</f>
        <v/>
      </c>
      <c r="K105" s="24" t="str">
        <f>IFERROR([1]!IntrinioBankFinancials(rssd_id,$R$2,K$6,K$5,$B105,"K"),"")</f>
        <v/>
      </c>
      <c r="L105" s="24" t="str">
        <f>IFERROR([1]!IntrinioBankFinancials(rssd_id,$R$2,L$6,L$5,$B105,"K"),"")</f>
        <v/>
      </c>
      <c r="M105" s="24" t="str">
        <f>IFERROR([1]!IntrinioBankFinancials(rssd_id,$R$2,M$6,M$5,$B105,"K"),"")</f>
        <v/>
      </c>
      <c r="N105" s="24" t="str">
        <f>IFERROR([1]!IntrinioBankFinancials(rssd_id,$R$2,N$6,N$5,$B105,"K"),"")</f>
        <v/>
      </c>
      <c r="O105" s="24" t="str">
        <f>IFERROR([1]!IntrinioBankFinancials(rssd_id,$R$2,O$6,O$5,$B105,"K"),"")</f>
        <v/>
      </c>
    </row>
    <row r="106" spans="1:15" ht="13.5" customHeight="1" x14ac:dyDescent="0.4">
      <c r="A106" s="34" t="s">
        <v>1015</v>
      </c>
      <c r="B106" s="23" t="s">
        <v>1016</v>
      </c>
      <c r="C106" s="24" t="str">
        <f>IFERROR([1]!IntrinioBankFinancials(rssd_id,$R$2,C$6,C$5,$B106,"K"),"")</f>
        <v/>
      </c>
      <c r="D106" s="24" t="str">
        <f>IFERROR([1]!IntrinioBankFinancials(rssd_id,$R$2,D$6,D$5,$B106,"K"),"")</f>
        <v/>
      </c>
      <c r="E106" s="24" t="str">
        <f>IFERROR([1]!IntrinioBankFinancials(rssd_id,$R$2,E$6,E$5,$B106,"K"),"")</f>
        <v/>
      </c>
      <c r="F106" s="24" t="str">
        <f>IFERROR([1]!IntrinioBankFinancials(rssd_id,$R$2,F$6,F$5,$B106,"K"),"")</f>
        <v/>
      </c>
      <c r="G106" s="24" t="str">
        <f>IFERROR([1]!IntrinioBankFinancials(rssd_id,$R$2,G$6,G$5,$B106,"K"),"")</f>
        <v/>
      </c>
      <c r="H106" s="24" t="str">
        <f>IFERROR([1]!IntrinioBankFinancials(rssd_id,$R$2,H$6,H$5,$B106,"K"),"")</f>
        <v/>
      </c>
      <c r="I106" s="24" t="str">
        <f>IFERROR([1]!IntrinioBankFinancials(rssd_id,$R$2,I$6,I$5,$B106,"K"),"")</f>
        <v/>
      </c>
      <c r="J106" s="24" t="str">
        <f>IFERROR([1]!IntrinioBankFinancials(rssd_id,$R$2,J$6,J$5,$B106,"K"),"")</f>
        <v/>
      </c>
      <c r="K106" s="24" t="str">
        <f>IFERROR([1]!IntrinioBankFinancials(rssd_id,$R$2,K$6,K$5,$B106,"K"),"")</f>
        <v/>
      </c>
      <c r="L106" s="24" t="str">
        <f>IFERROR([1]!IntrinioBankFinancials(rssd_id,$R$2,L$6,L$5,$B106,"K"),"")</f>
        <v/>
      </c>
      <c r="M106" s="24" t="str">
        <f>IFERROR([1]!IntrinioBankFinancials(rssd_id,$R$2,M$6,M$5,$B106,"K"),"")</f>
        <v/>
      </c>
      <c r="N106" s="24" t="str">
        <f>IFERROR([1]!IntrinioBankFinancials(rssd_id,$R$2,N$6,N$5,$B106,"K"),"")</f>
        <v/>
      </c>
      <c r="O106" s="24" t="str">
        <f>IFERROR([1]!IntrinioBankFinancials(rssd_id,$R$2,O$6,O$5,$B106,"K"),"")</f>
        <v/>
      </c>
    </row>
    <row r="107" spans="1:15" s="22" customFormat="1" ht="13.5" customHeight="1" x14ac:dyDescent="0.4">
      <c r="A107" s="33"/>
      <c r="B107" s="20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</row>
    <row r="108" spans="1:15" s="22" customFormat="1" ht="13.5" customHeight="1" x14ac:dyDescent="0.4">
      <c r="A108" s="33" t="s">
        <v>1155</v>
      </c>
      <c r="B108" s="20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ht="13.5" customHeight="1" x14ac:dyDescent="0.4">
      <c r="A109" s="34" t="s">
        <v>1017</v>
      </c>
      <c r="B109" s="23" t="s">
        <v>1018</v>
      </c>
      <c r="C109" s="24" t="str">
        <f>IFERROR([1]!IntrinioBankFinancials(rssd_id,$R$2,C$6,C$5,$B109,"K"),"")</f>
        <v/>
      </c>
      <c r="D109" s="24" t="str">
        <f>IFERROR([1]!IntrinioBankFinancials(rssd_id,$R$2,D$6,D$5,$B109,"K"),"")</f>
        <v/>
      </c>
      <c r="E109" s="24" t="str">
        <f>IFERROR([1]!IntrinioBankFinancials(rssd_id,$R$2,E$6,E$5,$B109,"K"),"")</f>
        <v/>
      </c>
      <c r="F109" s="24" t="str">
        <f>IFERROR([1]!IntrinioBankFinancials(rssd_id,$R$2,F$6,F$5,$B109,"K"),"")</f>
        <v/>
      </c>
      <c r="G109" s="24" t="str">
        <f>IFERROR([1]!IntrinioBankFinancials(rssd_id,$R$2,G$6,G$5,$B109,"K"),"")</f>
        <v/>
      </c>
      <c r="H109" s="24" t="str">
        <f>IFERROR([1]!IntrinioBankFinancials(rssd_id,$R$2,H$6,H$5,$B109,"K"),"")</f>
        <v/>
      </c>
      <c r="I109" s="24" t="str">
        <f>IFERROR([1]!IntrinioBankFinancials(rssd_id,$R$2,I$6,I$5,$B109,"K"),"")</f>
        <v/>
      </c>
      <c r="J109" s="24" t="str">
        <f>IFERROR([1]!IntrinioBankFinancials(rssd_id,$R$2,J$6,J$5,$B109,"K"),"")</f>
        <v/>
      </c>
      <c r="K109" s="24" t="str">
        <f>IFERROR([1]!IntrinioBankFinancials(rssd_id,$R$2,K$6,K$5,$B109,"K"),"")</f>
        <v/>
      </c>
      <c r="L109" s="24" t="str">
        <f>IFERROR([1]!IntrinioBankFinancials(rssd_id,$R$2,L$6,L$5,$B109,"K"),"")</f>
        <v/>
      </c>
      <c r="M109" s="24" t="str">
        <f>IFERROR([1]!IntrinioBankFinancials(rssd_id,$R$2,M$6,M$5,$B109,"K"),"")</f>
        <v/>
      </c>
      <c r="N109" s="24" t="str">
        <f>IFERROR([1]!IntrinioBankFinancials(rssd_id,$R$2,N$6,N$5,$B109,"K"),"")</f>
        <v/>
      </c>
      <c r="O109" s="24" t="str">
        <f>IFERROR([1]!IntrinioBankFinancials(rssd_id,$R$2,O$6,O$5,$B109,"K"),"")</f>
        <v/>
      </c>
    </row>
    <row r="110" spans="1:15" ht="13.5" customHeight="1" x14ac:dyDescent="0.4">
      <c r="A110" s="34" t="s">
        <v>1019</v>
      </c>
      <c r="B110" s="23" t="s">
        <v>1020</v>
      </c>
      <c r="C110" s="24" t="str">
        <f>IFERROR([1]!IntrinioBankFinancials(rssd_id,$R$2,C$6,C$5,$B110,"K"),"")</f>
        <v/>
      </c>
      <c r="D110" s="24" t="str">
        <f>IFERROR([1]!IntrinioBankFinancials(rssd_id,$R$2,D$6,D$5,$B110,"K"),"")</f>
        <v/>
      </c>
      <c r="E110" s="24" t="str">
        <f>IFERROR([1]!IntrinioBankFinancials(rssd_id,$R$2,E$6,E$5,$B110,"K"),"")</f>
        <v/>
      </c>
      <c r="F110" s="24" t="str">
        <f>IFERROR([1]!IntrinioBankFinancials(rssd_id,$R$2,F$6,F$5,$B110,"K"),"")</f>
        <v/>
      </c>
      <c r="G110" s="24" t="str">
        <f>IFERROR([1]!IntrinioBankFinancials(rssd_id,$R$2,G$6,G$5,$B110,"K"),"")</f>
        <v/>
      </c>
      <c r="H110" s="24" t="str">
        <f>IFERROR([1]!IntrinioBankFinancials(rssd_id,$R$2,H$6,H$5,$B110,"K"),"")</f>
        <v/>
      </c>
      <c r="I110" s="24" t="str">
        <f>IFERROR([1]!IntrinioBankFinancials(rssd_id,$R$2,I$6,I$5,$B110,"K"),"")</f>
        <v/>
      </c>
      <c r="J110" s="24" t="str">
        <f>IFERROR([1]!IntrinioBankFinancials(rssd_id,$R$2,J$6,J$5,$B110,"K"),"")</f>
        <v/>
      </c>
      <c r="K110" s="24" t="str">
        <f>IFERROR([1]!IntrinioBankFinancials(rssd_id,$R$2,K$6,K$5,$B110,"K"),"")</f>
        <v/>
      </c>
      <c r="L110" s="24" t="str">
        <f>IFERROR([1]!IntrinioBankFinancials(rssd_id,$R$2,L$6,L$5,$B110,"K"),"")</f>
        <v/>
      </c>
      <c r="M110" s="24" t="str">
        <f>IFERROR([1]!IntrinioBankFinancials(rssd_id,$R$2,M$6,M$5,$B110,"K"),"")</f>
        <v/>
      </c>
      <c r="N110" s="24" t="str">
        <f>IFERROR([1]!IntrinioBankFinancials(rssd_id,$R$2,N$6,N$5,$B110,"K"),"")</f>
        <v/>
      </c>
      <c r="O110" s="24" t="str">
        <f>IFERROR([1]!IntrinioBankFinancials(rssd_id,$R$2,O$6,O$5,$B110,"K"),"")</f>
        <v/>
      </c>
    </row>
    <row r="111" spans="1:15" ht="13.5" customHeight="1" x14ac:dyDescent="0.4">
      <c r="A111" s="34" t="s">
        <v>1021</v>
      </c>
      <c r="B111" s="23" t="s">
        <v>1022</v>
      </c>
      <c r="C111" s="24" t="str">
        <f>IFERROR([1]!IntrinioBankFinancials(rssd_id,$R$2,C$6,C$5,$B111,"K"),"")</f>
        <v/>
      </c>
      <c r="D111" s="24" t="str">
        <f>IFERROR([1]!IntrinioBankFinancials(rssd_id,$R$2,D$6,D$5,$B111,"K"),"")</f>
        <v/>
      </c>
      <c r="E111" s="24" t="str">
        <f>IFERROR([1]!IntrinioBankFinancials(rssd_id,$R$2,E$6,E$5,$B111,"K"),"")</f>
        <v/>
      </c>
      <c r="F111" s="24" t="str">
        <f>IFERROR([1]!IntrinioBankFinancials(rssd_id,$R$2,F$6,F$5,$B111,"K"),"")</f>
        <v/>
      </c>
      <c r="G111" s="24" t="str">
        <f>IFERROR([1]!IntrinioBankFinancials(rssd_id,$R$2,G$6,G$5,$B111,"K"),"")</f>
        <v/>
      </c>
      <c r="H111" s="24" t="str">
        <f>IFERROR([1]!IntrinioBankFinancials(rssd_id,$R$2,H$6,H$5,$B111,"K"),"")</f>
        <v/>
      </c>
      <c r="I111" s="24" t="str">
        <f>IFERROR([1]!IntrinioBankFinancials(rssd_id,$R$2,I$6,I$5,$B111,"K"),"")</f>
        <v/>
      </c>
      <c r="J111" s="24" t="str">
        <f>IFERROR([1]!IntrinioBankFinancials(rssd_id,$R$2,J$6,J$5,$B111,"K"),"")</f>
        <v/>
      </c>
      <c r="K111" s="24" t="str">
        <f>IFERROR([1]!IntrinioBankFinancials(rssd_id,$R$2,K$6,K$5,$B111,"K"),"")</f>
        <v/>
      </c>
      <c r="L111" s="24" t="str">
        <f>IFERROR([1]!IntrinioBankFinancials(rssd_id,$R$2,L$6,L$5,$B111,"K"),"")</f>
        <v/>
      </c>
      <c r="M111" s="24" t="str">
        <f>IFERROR([1]!IntrinioBankFinancials(rssd_id,$R$2,M$6,M$5,$B111,"K"),"")</f>
        <v/>
      </c>
      <c r="N111" s="24" t="str">
        <f>IFERROR([1]!IntrinioBankFinancials(rssd_id,$R$2,N$6,N$5,$B111,"K"),"")</f>
        <v/>
      </c>
      <c r="O111" s="24" t="str">
        <f>IFERROR([1]!IntrinioBankFinancials(rssd_id,$R$2,O$6,O$5,$B111,"K"),"")</f>
        <v/>
      </c>
    </row>
    <row r="112" spans="1:15" ht="13.5" customHeight="1" x14ac:dyDescent="0.4">
      <c r="A112" s="34" t="s">
        <v>1023</v>
      </c>
      <c r="B112" s="23" t="s">
        <v>1024</v>
      </c>
      <c r="C112" s="24" t="str">
        <f>IFERROR([1]!IntrinioBankFinancials(rssd_id,$R$2,C$6,C$5,$B112,"K"),"")</f>
        <v/>
      </c>
      <c r="D112" s="24" t="str">
        <f>IFERROR([1]!IntrinioBankFinancials(rssd_id,$R$2,D$6,D$5,$B112,"K"),"")</f>
        <v/>
      </c>
      <c r="E112" s="24" t="str">
        <f>IFERROR([1]!IntrinioBankFinancials(rssd_id,$R$2,E$6,E$5,$B112,"K"),"")</f>
        <v/>
      </c>
      <c r="F112" s="24" t="str">
        <f>IFERROR([1]!IntrinioBankFinancials(rssd_id,$R$2,F$6,F$5,$B112,"K"),"")</f>
        <v/>
      </c>
      <c r="G112" s="24" t="str">
        <f>IFERROR([1]!IntrinioBankFinancials(rssd_id,$R$2,G$6,G$5,$B112,"K"),"")</f>
        <v/>
      </c>
      <c r="H112" s="24" t="str">
        <f>IFERROR([1]!IntrinioBankFinancials(rssd_id,$R$2,H$6,H$5,$B112,"K"),"")</f>
        <v/>
      </c>
      <c r="I112" s="24" t="str">
        <f>IFERROR([1]!IntrinioBankFinancials(rssd_id,$R$2,I$6,I$5,$B112,"K"),"")</f>
        <v/>
      </c>
      <c r="J112" s="24" t="str">
        <f>IFERROR([1]!IntrinioBankFinancials(rssd_id,$R$2,J$6,J$5,$B112,"K"),"")</f>
        <v/>
      </c>
      <c r="K112" s="24" t="str">
        <f>IFERROR([1]!IntrinioBankFinancials(rssd_id,$R$2,K$6,K$5,$B112,"K"),"")</f>
        <v/>
      </c>
      <c r="L112" s="24" t="str">
        <f>IFERROR([1]!IntrinioBankFinancials(rssd_id,$R$2,L$6,L$5,$B112,"K"),"")</f>
        <v/>
      </c>
      <c r="M112" s="24" t="str">
        <f>IFERROR([1]!IntrinioBankFinancials(rssd_id,$R$2,M$6,M$5,$B112,"K"),"")</f>
        <v/>
      </c>
      <c r="N112" s="24" t="str">
        <f>IFERROR([1]!IntrinioBankFinancials(rssd_id,$R$2,N$6,N$5,$B112,"K"),"")</f>
        <v/>
      </c>
      <c r="O112" s="24" t="str">
        <f>IFERROR([1]!IntrinioBankFinancials(rssd_id,$R$2,O$6,O$5,$B112,"K"),"")</f>
        <v/>
      </c>
    </row>
    <row r="113" spans="1:15" s="22" customFormat="1" ht="13.5" customHeight="1" x14ac:dyDescent="0.4">
      <c r="A113" s="33" t="s">
        <v>1171</v>
      </c>
      <c r="B113" s="20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</row>
    <row r="114" spans="1:15" s="22" customFormat="1" ht="13.5" customHeight="1" x14ac:dyDescent="0.4">
      <c r="A114" s="33" t="s">
        <v>1170</v>
      </c>
      <c r="B114" s="20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ht="13.5" customHeight="1" x14ac:dyDescent="0.4">
      <c r="A115" s="34" t="s">
        <v>1025</v>
      </c>
      <c r="B115" s="23" t="s">
        <v>1026</v>
      </c>
      <c r="C115" s="24" t="str">
        <f>IFERROR([1]!IntrinioBankFinancials(rssd_id,$R$2,C$6,C$5,$B115,"K"),"")</f>
        <v/>
      </c>
      <c r="D115" s="24" t="str">
        <f>IFERROR([1]!IntrinioBankFinancials(rssd_id,$R$2,D$6,D$5,$B115,"K"),"")</f>
        <v/>
      </c>
      <c r="E115" s="24" t="str">
        <f>IFERROR([1]!IntrinioBankFinancials(rssd_id,$R$2,E$6,E$5,$B115,"K"),"")</f>
        <v/>
      </c>
      <c r="F115" s="24" t="str">
        <f>IFERROR([1]!IntrinioBankFinancials(rssd_id,$R$2,F$6,F$5,$B115,"K"),"")</f>
        <v/>
      </c>
      <c r="G115" s="24" t="str">
        <f>IFERROR([1]!IntrinioBankFinancials(rssd_id,$R$2,G$6,G$5,$B115,"K"),"")</f>
        <v/>
      </c>
      <c r="H115" s="24" t="str">
        <f>IFERROR([1]!IntrinioBankFinancials(rssd_id,$R$2,H$6,H$5,$B115,"K"),"")</f>
        <v/>
      </c>
      <c r="I115" s="24" t="str">
        <f>IFERROR([1]!IntrinioBankFinancials(rssd_id,$R$2,I$6,I$5,$B115,"K"),"")</f>
        <v/>
      </c>
      <c r="J115" s="24" t="str">
        <f>IFERROR([1]!IntrinioBankFinancials(rssd_id,$R$2,J$6,J$5,$B115,"K"),"")</f>
        <v/>
      </c>
      <c r="K115" s="24" t="str">
        <f>IFERROR([1]!IntrinioBankFinancials(rssd_id,$R$2,K$6,K$5,$B115,"K"),"")</f>
        <v/>
      </c>
      <c r="L115" s="24" t="str">
        <f>IFERROR([1]!IntrinioBankFinancials(rssd_id,$R$2,L$6,L$5,$B115,"K"),"")</f>
        <v/>
      </c>
      <c r="M115" s="24" t="str">
        <f>IFERROR([1]!IntrinioBankFinancials(rssd_id,$R$2,M$6,M$5,$B115,"K"),"")</f>
        <v/>
      </c>
      <c r="N115" s="24" t="str">
        <f>IFERROR([1]!IntrinioBankFinancials(rssd_id,$R$2,N$6,N$5,$B115,"K"),"")</f>
        <v/>
      </c>
      <c r="O115" s="24" t="str">
        <f>IFERROR([1]!IntrinioBankFinancials(rssd_id,$R$2,O$6,O$5,$B115,"K"),"")</f>
        <v/>
      </c>
    </row>
    <row r="116" spans="1:15" ht="13.5" customHeight="1" x14ac:dyDescent="0.4">
      <c r="A116" s="34" t="s">
        <v>70</v>
      </c>
      <c r="B116" s="23" t="s">
        <v>1027</v>
      </c>
      <c r="C116" s="24" t="str">
        <f>IFERROR([1]!IntrinioBankFinancials(rssd_id,$R$2,C$6,C$5,$B116,"K"),"")</f>
        <v/>
      </c>
      <c r="D116" s="24" t="str">
        <f>IFERROR([1]!IntrinioBankFinancials(rssd_id,$R$2,D$6,D$5,$B116,"K"),"")</f>
        <v/>
      </c>
      <c r="E116" s="24" t="str">
        <f>IFERROR([1]!IntrinioBankFinancials(rssd_id,$R$2,E$6,E$5,$B116,"K"),"")</f>
        <v/>
      </c>
      <c r="F116" s="24" t="str">
        <f>IFERROR([1]!IntrinioBankFinancials(rssd_id,$R$2,F$6,F$5,$B116,"K"),"")</f>
        <v/>
      </c>
      <c r="G116" s="24" t="str">
        <f>IFERROR([1]!IntrinioBankFinancials(rssd_id,$R$2,G$6,G$5,$B116,"K"),"")</f>
        <v/>
      </c>
      <c r="H116" s="24" t="str">
        <f>IFERROR([1]!IntrinioBankFinancials(rssd_id,$R$2,H$6,H$5,$B116,"K"),"")</f>
        <v/>
      </c>
      <c r="I116" s="24" t="str">
        <f>IFERROR([1]!IntrinioBankFinancials(rssd_id,$R$2,I$6,I$5,$B116,"K"),"")</f>
        <v/>
      </c>
      <c r="J116" s="24" t="str">
        <f>IFERROR([1]!IntrinioBankFinancials(rssd_id,$R$2,J$6,J$5,$B116,"K"),"")</f>
        <v/>
      </c>
      <c r="K116" s="24" t="str">
        <f>IFERROR([1]!IntrinioBankFinancials(rssd_id,$R$2,K$6,K$5,$B116,"K"),"")</f>
        <v/>
      </c>
      <c r="L116" s="24" t="str">
        <f>IFERROR([1]!IntrinioBankFinancials(rssd_id,$R$2,L$6,L$5,$B116,"K"),"")</f>
        <v/>
      </c>
      <c r="M116" s="24" t="str">
        <f>IFERROR([1]!IntrinioBankFinancials(rssd_id,$R$2,M$6,M$5,$B116,"K"),"")</f>
        <v/>
      </c>
      <c r="N116" s="24" t="str">
        <f>IFERROR([1]!IntrinioBankFinancials(rssd_id,$R$2,N$6,N$5,$B116,"K"),"")</f>
        <v/>
      </c>
      <c r="O116" s="24" t="str">
        <f>IFERROR([1]!IntrinioBankFinancials(rssd_id,$R$2,O$6,O$5,$B116,"K"),"")</f>
        <v/>
      </c>
    </row>
    <row r="117" spans="1:15" ht="13.5" customHeight="1" x14ac:dyDescent="0.4">
      <c r="A117" s="34" t="s">
        <v>1028</v>
      </c>
      <c r="B117" s="23" t="s">
        <v>1029</v>
      </c>
      <c r="C117" s="24" t="str">
        <f>IFERROR([1]!IntrinioBankFinancials(rssd_id,$R$2,C$6,C$5,$B117,"K"),"")</f>
        <v/>
      </c>
      <c r="D117" s="24" t="str">
        <f>IFERROR([1]!IntrinioBankFinancials(rssd_id,$R$2,D$6,D$5,$B117,"K"),"")</f>
        <v/>
      </c>
      <c r="E117" s="24" t="str">
        <f>IFERROR([1]!IntrinioBankFinancials(rssd_id,$R$2,E$6,E$5,$B117,"K"),"")</f>
        <v/>
      </c>
      <c r="F117" s="24" t="str">
        <f>IFERROR([1]!IntrinioBankFinancials(rssd_id,$R$2,F$6,F$5,$B117,"K"),"")</f>
        <v/>
      </c>
      <c r="G117" s="24" t="str">
        <f>IFERROR([1]!IntrinioBankFinancials(rssd_id,$R$2,G$6,G$5,$B117,"K"),"")</f>
        <v/>
      </c>
      <c r="H117" s="24" t="str">
        <f>IFERROR([1]!IntrinioBankFinancials(rssd_id,$R$2,H$6,H$5,$B117,"K"),"")</f>
        <v/>
      </c>
      <c r="I117" s="24" t="str">
        <f>IFERROR([1]!IntrinioBankFinancials(rssd_id,$R$2,I$6,I$5,$B117,"K"),"")</f>
        <v/>
      </c>
      <c r="J117" s="24" t="str">
        <f>IFERROR([1]!IntrinioBankFinancials(rssd_id,$R$2,J$6,J$5,$B117,"K"),"")</f>
        <v/>
      </c>
      <c r="K117" s="24" t="str">
        <f>IFERROR([1]!IntrinioBankFinancials(rssd_id,$R$2,K$6,K$5,$B117,"K"),"")</f>
        <v/>
      </c>
      <c r="L117" s="24" t="str">
        <f>IFERROR([1]!IntrinioBankFinancials(rssd_id,$R$2,L$6,L$5,$B117,"K"),"")</f>
        <v/>
      </c>
      <c r="M117" s="24" t="str">
        <f>IFERROR([1]!IntrinioBankFinancials(rssd_id,$R$2,M$6,M$5,$B117,"K"),"")</f>
        <v/>
      </c>
      <c r="N117" s="24" t="str">
        <f>IFERROR([1]!IntrinioBankFinancials(rssd_id,$R$2,N$6,N$5,$B117,"K"),"")</f>
        <v/>
      </c>
      <c r="O117" s="24" t="str">
        <f>IFERROR([1]!IntrinioBankFinancials(rssd_id,$R$2,O$6,O$5,$B117,"K"),"")</f>
        <v/>
      </c>
    </row>
    <row r="118" spans="1:15" ht="13.5" customHeight="1" x14ac:dyDescent="0.4">
      <c r="A118" s="34" t="s">
        <v>1030</v>
      </c>
      <c r="B118" s="23" t="s">
        <v>1031</v>
      </c>
      <c r="C118" s="24" t="str">
        <f>IFERROR([1]!IntrinioBankFinancials(rssd_id,$R$2,C$6,C$5,$B118,"K"),"")</f>
        <v/>
      </c>
      <c r="D118" s="24" t="str">
        <f>IFERROR([1]!IntrinioBankFinancials(rssd_id,$R$2,D$6,D$5,$B118,"K"),"")</f>
        <v/>
      </c>
      <c r="E118" s="24" t="str">
        <f>IFERROR([1]!IntrinioBankFinancials(rssd_id,$R$2,E$6,E$5,$B118,"K"),"")</f>
        <v/>
      </c>
      <c r="F118" s="24" t="str">
        <f>IFERROR([1]!IntrinioBankFinancials(rssd_id,$R$2,F$6,F$5,$B118,"K"),"")</f>
        <v/>
      </c>
      <c r="G118" s="24" t="str">
        <f>IFERROR([1]!IntrinioBankFinancials(rssd_id,$R$2,G$6,G$5,$B118,"K"),"")</f>
        <v/>
      </c>
      <c r="H118" s="24" t="str">
        <f>IFERROR([1]!IntrinioBankFinancials(rssd_id,$R$2,H$6,H$5,$B118,"K"),"")</f>
        <v/>
      </c>
      <c r="I118" s="24" t="str">
        <f>IFERROR([1]!IntrinioBankFinancials(rssd_id,$R$2,I$6,I$5,$B118,"K"),"")</f>
        <v/>
      </c>
      <c r="J118" s="24" t="str">
        <f>IFERROR([1]!IntrinioBankFinancials(rssd_id,$R$2,J$6,J$5,$B118,"K"),"")</f>
        <v/>
      </c>
      <c r="K118" s="24" t="str">
        <f>IFERROR([1]!IntrinioBankFinancials(rssd_id,$R$2,K$6,K$5,$B118,"K"),"")</f>
        <v/>
      </c>
      <c r="L118" s="24" t="str">
        <f>IFERROR([1]!IntrinioBankFinancials(rssd_id,$R$2,L$6,L$5,$B118,"K"),"")</f>
        <v/>
      </c>
      <c r="M118" s="24" t="str">
        <f>IFERROR([1]!IntrinioBankFinancials(rssd_id,$R$2,M$6,M$5,$B118,"K"),"")</f>
        <v/>
      </c>
      <c r="N118" s="24" t="str">
        <f>IFERROR([1]!IntrinioBankFinancials(rssd_id,$R$2,N$6,N$5,$B118,"K"),"")</f>
        <v/>
      </c>
      <c r="O118" s="24" t="str">
        <f>IFERROR([1]!IntrinioBankFinancials(rssd_id,$R$2,O$6,O$5,$B118,"K"),"")</f>
        <v/>
      </c>
    </row>
    <row r="119" spans="1:15" ht="13.5" customHeight="1" x14ac:dyDescent="0.4">
      <c r="A119" s="34" t="s">
        <v>1032</v>
      </c>
      <c r="B119" s="23" t="s">
        <v>1033</v>
      </c>
      <c r="C119" s="24" t="str">
        <f>IFERROR([1]!IntrinioBankFinancials(rssd_id,$R$2,C$6,C$5,$B119,"K"),"")</f>
        <v/>
      </c>
      <c r="D119" s="24" t="str">
        <f>IFERROR([1]!IntrinioBankFinancials(rssd_id,$R$2,D$6,D$5,$B119,"K"),"")</f>
        <v/>
      </c>
      <c r="E119" s="24" t="str">
        <f>IFERROR([1]!IntrinioBankFinancials(rssd_id,$R$2,E$6,E$5,$B119,"K"),"")</f>
        <v/>
      </c>
      <c r="F119" s="24" t="str">
        <f>IFERROR([1]!IntrinioBankFinancials(rssd_id,$R$2,F$6,F$5,$B119,"K"),"")</f>
        <v/>
      </c>
      <c r="G119" s="24" t="str">
        <f>IFERROR([1]!IntrinioBankFinancials(rssd_id,$R$2,G$6,G$5,$B119,"K"),"")</f>
        <v/>
      </c>
      <c r="H119" s="24" t="str">
        <f>IFERROR([1]!IntrinioBankFinancials(rssd_id,$R$2,H$6,H$5,$B119,"K"),"")</f>
        <v/>
      </c>
      <c r="I119" s="24" t="str">
        <f>IFERROR([1]!IntrinioBankFinancials(rssd_id,$R$2,I$6,I$5,$B119,"K"),"")</f>
        <v/>
      </c>
      <c r="J119" s="24" t="str">
        <f>IFERROR([1]!IntrinioBankFinancials(rssd_id,$R$2,J$6,J$5,$B119,"K"),"")</f>
        <v/>
      </c>
      <c r="K119" s="24" t="str">
        <f>IFERROR([1]!IntrinioBankFinancials(rssd_id,$R$2,K$6,K$5,$B119,"K"),"")</f>
        <v/>
      </c>
      <c r="L119" s="24" t="str">
        <f>IFERROR([1]!IntrinioBankFinancials(rssd_id,$R$2,L$6,L$5,$B119,"K"),"")</f>
        <v/>
      </c>
      <c r="M119" s="24" t="str">
        <f>IFERROR([1]!IntrinioBankFinancials(rssd_id,$R$2,M$6,M$5,$B119,"K"),"")</f>
        <v/>
      </c>
      <c r="N119" s="24" t="str">
        <f>IFERROR([1]!IntrinioBankFinancials(rssd_id,$R$2,N$6,N$5,$B119,"K"),"")</f>
        <v/>
      </c>
      <c r="O119" s="24" t="str">
        <f>IFERROR([1]!IntrinioBankFinancials(rssd_id,$R$2,O$6,O$5,$B119,"K"),"")</f>
        <v/>
      </c>
    </row>
    <row r="120" spans="1:15" s="22" customFormat="1" ht="13.5" customHeight="1" x14ac:dyDescent="0.4">
      <c r="A120" s="33"/>
      <c r="B120" s="20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 s="22" customFormat="1" ht="13.5" customHeight="1" x14ac:dyDescent="0.4">
      <c r="A121" s="33" t="s">
        <v>1187</v>
      </c>
      <c r="B121" s="20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</row>
    <row r="122" spans="1:15" ht="13.5" customHeight="1" x14ac:dyDescent="0.4">
      <c r="A122" s="34" t="s">
        <v>1034</v>
      </c>
      <c r="B122" s="23" t="s">
        <v>1035</v>
      </c>
      <c r="C122" s="24" t="str">
        <f>IFERROR([1]!IntrinioBankFinancials(rssd_id,$R$2,C$6,C$5,$B122,"K"),"")</f>
        <v/>
      </c>
      <c r="D122" s="24" t="str">
        <f>IFERROR([1]!IntrinioBankFinancials(rssd_id,$R$2,D$6,D$5,$B122,"K"),"")</f>
        <v/>
      </c>
      <c r="E122" s="24" t="str">
        <f>IFERROR([1]!IntrinioBankFinancials(rssd_id,$R$2,E$6,E$5,$B122,"K"),"")</f>
        <v/>
      </c>
      <c r="F122" s="24" t="str">
        <f>IFERROR([1]!IntrinioBankFinancials(rssd_id,$R$2,F$6,F$5,$B122,"K"),"")</f>
        <v/>
      </c>
      <c r="G122" s="24" t="str">
        <f>IFERROR([1]!IntrinioBankFinancials(rssd_id,$R$2,G$6,G$5,$B122,"K"),"")</f>
        <v/>
      </c>
      <c r="H122" s="24" t="str">
        <f>IFERROR([1]!IntrinioBankFinancials(rssd_id,$R$2,H$6,H$5,$B122,"K"),"")</f>
        <v/>
      </c>
      <c r="I122" s="24" t="str">
        <f>IFERROR([1]!IntrinioBankFinancials(rssd_id,$R$2,I$6,I$5,$B122,"K"),"")</f>
        <v/>
      </c>
      <c r="J122" s="24" t="str">
        <f>IFERROR([1]!IntrinioBankFinancials(rssd_id,$R$2,J$6,J$5,$B122,"K"),"")</f>
        <v/>
      </c>
      <c r="K122" s="24" t="str">
        <f>IFERROR([1]!IntrinioBankFinancials(rssd_id,$R$2,K$6,K$5,$B122,"K"),"")</f>
        <v/>
      </c>
      <c r="L122" s="24" t="str">
        <f>IFERROR([1]!IntrinioBankFinancials(rssd_id,$R$2,L$6,L$5,$B122,"K"),"")</f>
        <v/>
      </c>
      <c r="M122" s="24" t="str">
        <f>IFERROR([1]!IntrinioBankFinancials(rssd_id,$R$2,M$6,M$5,$B122,"K"),"")</f>
        <v/>
      </c>
      <c r="N122" s="24" t="str">
        <f>IFERROR([1]!IntrinioBankFinancials(rssd_id,$R$2,N$6,N$5,$B122,"K"),"")</f>
        <v/>
      </c>
      <c r="O122" s="24" t="str">
        <f>IFERROR([1]!IntrinioBankFinancials(rssd_id,$R$2,O$6,O$5,$B122,"K"),"")</f>
        <v/>
      </c>
    </row>
    <row r="123" spans="1:15" ht="13.5" customHeight="1" x14ac:dyDescent="0.4">
      <c r="A123" s="34" t="s">
        <v>1036</v>
      </c>
      <c r="B123" s="23" t="s">
        <v>1037</v>
      </c>
      <c r="C123" s="24" t="str">
        <f>IFERROR([1]!IntrinioBankFinancials(rssd_id,$R$2,C$6,C$5,$B123,"K"),"")</f>
        <v/>
      </c>
      <c r="D123" s="24" t="str">
        <f>IFERROR([1]!IntrinioBankFinancials(rssd_id,$R$2,D$6,D$5,$B123,"K"),"")</f>
        <v/>
      </c>
      <c r="E123" s="24" t="str">
        <f>IFERROR([1]!IntrinioBankFinancials(rssd_id,$R$2,E$6,E$5,$B123,"K"),"")</f>
        <v/>
      </c>
      <c r="F123" s="24" t="str">
        <f>IFERROR([1]!IntrinioBankFinancials(rssd_id,$R$2,F$6,F$5,$B123,"K"),"")</f>
        <v/>
      </c>
      <c r="G123" s="24" t="str">
        <f>IFERROR([1]!IntrinioBankFinancials(rssd_id,$R$2,G$6,G$5,$B123,"K"),"")</f>
        <v/>
      </c>
      <c r="H123" s="24" t="str">
        <f>IFERROR([1]!IntrinioBankFinancials(rssd_id,$R$2,H$6,H$5,$B123,"K"),"")</f>
        <v/>
      </c>
      <c r="I123" s="24" t="str">
        <f>IFERROR([1]!IntrinioBankFinancials(rssd_id,$R$2,I$6,I$5,$B123,"K"),"")</f>
        <v/>
      </c>
      <c r="J123" s="24" t="str">
        <f>IFERROR([1]!IntrinioBankFinancials(rssd_id,$R$2,J$6,J$5,$B123,"K"),"")</f>
        <v/>
      </c>
      <c r="K123" s="24" t="str">
        <f>IFERROR([1]!IntrinioBankFinancials(rssd_id,$R$2,K$6,K$5,$B123,"K"),"")</f>
        <v/>
      </c>
      <c r="L123" s="24" t="str">
        <f>IFERROR([1]!IntrinioBankFinancials(rssd_id,$R$2,L$6,L$5,$B123,"K"),"")</f>
        <v/>
      </c>
      <c r="M123" s="24" t="str">
        <f>IFERROR([1]!IntrinioBankFinancials(rssd_id,$R$2,M$6,M$5,$B123,"K"),"")</f>
        <v/>
      </c>
      <c r="N123" s="24" t="str">
        <f>IFERROR([1]!IntrinioBankFinancials(rssd_id,$R$2,N$6,N$5,$B123,"K"),"")</f>
        <v/>
      </c>
      <c r="O123" s="24" t="str">
        <f>IFERROR([1]!IntrinioBankFinancials(rssd_id,$R$2,O$6,O$5,$B123,"K"),"")</f>
        <v/>
      </c>
    </row>
    <row r="124" spans="1:15" ht="13.5" customHeight="1" x14ac:dyDescent="0.4">
      <c r="A124" s="34" t="s">
        <v>1038</v>
      </c>
      <c r="B124" s="23" t="s">
        <v>1039</v>
      </c>
      <c r="C124" s="24" t="str">
        <f>IFERROR([1]!IntrinioBankFinancials(rssd_id,$R$2,C$6,C$5,$B124,"K"),"")</f>
        <v/>
      </c>
      <c r="D124" s="24" t="str">
        <f>IFERROR([1]!IntrinioBankFinancials(rssd_id,$R$2,D$6,D$5,$B124,"K"),"")</f>
        <v/>
      </c>
      <c r="E124" s="24" t="str">
        <f>IFERROR([1]!IntrinioBankFinancials(rssd_id,$R$2,E$6,E$5,$B124,"K"),"")</f>
        <v/>
      </c>
      <c r="F124" s="24" t="str">
        <f>IFERROR([1]!IntrinioBankFinancials(rssd_id,$R$2,F$6,F$5,$B124,"K"),"")</f>
        <v/>
      </c>
      <c r="G124" s="24" t="str">
        <f>IFERROR([1]!IntrinioBankFinancials(rssd_id,$R$2,G$6,G$5,$B124,"K"),"")</f>
        <v/>
      </c>
      <c r="H124" s="24" t="str">
        <f>IFERROR([1]!IntrinioBankFinancials(rssd_id,$R$2,H$6,H$5,$B124,"K"),"")</f>
        <v/>
      </c>
      <c r="I124" s="24" t="str">
        <f>IFERROR([1]!IntrinioBankFinancials(rssd_id,$R$2,I$6,I$5,$B124,"K"),"")</f>
        <v/>
      </c>
      <c r="J124" s="24" t="str">
        <f>IFERROR([1]!IntrinioBankFinancials(rssd_id,$R$2,J$6,J$5,$B124,"K"),"")</f>
        <v/>
      </c>
      <c r="K124" s="24" t="str">
        <f>IFERROR([1]!IntrinioBankFinancials(rssd_id,$R$2,K$6,K$5,$B124,"K"),"")</f>
        <v/>
      </c>
      <c r="L124" s="24" t="str">
        <f>IFERROR([1]!IntrinioBankFinancials(rssd_id,$R$2,L$6,L$5,$B124,"K"),"")</f>
        <v/>
      </c>
      <c r="M124" s="24" t="str">
        <f>IFERROR([1]!IntrinioBankFinancials(rssd_id,$R$2,M$6,M$5,$B124,"K"),"")</f>
        <v/>
      </c>
      <c r="N124" s="24" t="str">
        <f>IFERROR([1]!IntrinioBankFinancials(rssd_id,$R$2,N$6,N$5,$B124,"K"),"")</f>
        <v/>
      </c>
      <c r="O124" s="24" t="str">
        <f>IFERROR([1]!IntrinioBankFinancials(rssd_id,$R$2,O$6,O$5,$B124,"K"),"")</f>
        <v/>
      </c>
    </row>
    <row r="125" spans="1:15" ht="13.5" customHeight="1" x14ac:dyDescent="0.4">
      <c r="A125" s="34" t="s">
        <v>1040</v>
      </c>
      <c r="B125" s="23" t="s">
        <v>1041</v>
      </c>
      <c r="C125" s="24" t="str">
        <f>IFERROR([1]!IntrinioBankFinancials(rssd_id,$R$2,C$6,C$5,$B125,"K"),"")</f>
        <v/>
      </c>
      <c r="D125" s="24" t="str">
        <f>IFERROR([1]!IntrinioBankFinancials(rssd_id,$R$2,D$6,D$5,$B125,"K"),"")</f>
        <v/>
      </c>
      <c r="E125" s="24" t="str">
        <f>IFERROR([1]!IntrinioBankFinancials(rssd_id,$R$2,E$6,E$5,$B125,"K"),"")</f>
        <v/>
      </c>
      <c r="F125" s="24" t="str">
        <f>IFERROR([1]!IntrinioBankFinancials(rssd_id,$R$2,F$6,F$5,$B125,"K"),"")</f>
        <v/>
      </c>
      <c r="G125" s="24" t="str">
        <f>IFERROR([1]!IntrinioBankFinancials(rssd_id,$R$2,G$6,G$5,$B125,"K"),"")</f>
        <v/>
      </c>
      <c r="H125" s="24" t="str">
        <f>IFERROR([1]!IntrinioBankFinancials(rssd_id,$R$2,H$6,H$5,$B125,"K"),"")</f>
        <v/>
      </c>
      <c r="I125" s="24" t="str">
        <f>IFERROR([1]!IntrinioBankFinancials(rssd_id,$R$2,I$6,I$5,$B125,"K"),"")</f>
        <v/>
      </c>
      <c r="J125" s="24" t="str">
        <f>IFERROR([1]!IntrinioBankFinancials(rssd_id,$R$2,J$6,J$5,$B125,"K"),"")</f>
        <v/>
      </c>
      <c r="K125" s="24" t="str">
        <f>IFERROR([1]!IntrinioBankFinancials(rssd_id,$R$2,K$6,K$5,$B125,"K"),"")</f>
        <v/>
      </c>
      <c r="L125" s="24" t="str">
        <f>IFERROR([1]!IntrinioBankFinancials(rssd_id,$R$2,L$6,L$5,$B125,"K"),"")</f>
        <v/>
      </c>
      <c r="M125" s="24" t="str">
        <f>IFERROR([1]!IntrinioBankFinancials(rssd_id,$R$2,M$6,M$5,$B125,"K"),"")</f>
        <v/>
      </c>
      <c r="N125" s="24" t="str">
        <f>IFERROR([1]!IntrinioBankFinancials(rssd_id,$R$2,N$6,N$5,$B125,"K"),"")</f>
        <v/>
      </c>
      <c r="O125" s="24" t="str">
        <f>IFERROR([1]!IntrinioBankFinancials(rssd_id,$R$2,O$6,O$5,$B125,"K"),"")</f>
        <v/>
      </c>
    </row>
    <row r="126" spans="1:15" ht="13.5" customHeight="1" x14ac:dyDescent="0.4">
      <c r="A126" s="34" t="s">
        <v>1042</v>
      </c>
      <c r="B126" s="23" t="s">
        <v>1043</v>
      </c>
      <c r="C126" s="24" t="str">
        <f>IFERROR([1]!IntrinioBankFinancials(rssd_id,$R$2,C$6,C$5,$B126,"K"),"")</f>
        <v/>
      </c>
      <c r="D126" s="24" t="str">
        <f>IFERROR([1]!IntrinioBankFinancials(rssd_id,$R$2,D$6,D$5,$B126,"K"),"")</f>
        <v/>
      </c>
      <c r="E126" s="24" t="str">
        <f>IFERROR([1]!IntrinioBankFinancials(rssd_id,$R$2,E$6,E$5,$B126,"K"),"")</f>
        <v/>
      </c>
      <c r="F126" s="24" t="str">
        <f>IFERROR([1]!IntrinioBankFinancials(rssd_id,$R$2,F$6,F$5,$B126,"K"),"")</f>
        <v/>
      </c>
      <c r="G126" s="24" t="str">
        <f>IFERROR([1]!IntrinioBankFinancials(rssd_id,$R$2,G$6,G$5,$B126,"K"),"")</f>
        <v/>
      </c>
      <c r="H126" s="24" t="str">
        <f>IFERROR([1]!IntrinioBankFinancials(rssd_id,$R$2,H$6,H$5,$B126,"K"),"")</f>
        <v/>
      </c>
      <c r="I126" s="24" t="str">
        <f>IFERROR([1]!IntrinioBankFinancials(rssd_id,$R$2,I$6,I$5,$B126,"K"),"")</f>
        <v/>
      </c>
      <c r="J126" s="24" t="str">
        <f>IFERROR([1]!IntrinioBankFinancials(rssd_id,$R$2,J$6,J$5,$B126,"K"),"")</f>
        <v/>
      </c>
      <c r="K126" s="24" t="str">
        <f>IFERROR([1]!IntrinioBankFinancials(rssd_id,$R$2,K$6,K$5,$B126,"K"),"")</f>
        <v/>
      </c>
      <c r="L126" s="24" t="str">
        <f>IFERROR([1]!IntrinioBankFinancials(rssd_id,$R$2,L$6,L$5,$B126,"K"),"")</f>
        <v/>
      </c>
      <c r="M126" s="24" t="str">
        <f>IFERROR([1]!IntrinioBankFinancials(rssd_id,$R$2,M$6,M$5,$B126,"K"),"")</f>
        <v/>
      </c>
      <c r="N126" s="24" t="str">
        <f>IFERROR([1]!IntrinioBankFinancials(rssd_id,$R$2,N$6,N$5,$B126,"K"),"")</f>
        <v/>
      </c>
      <c r="O126" s="24" t="str">
        <f>IFERROR([1]!IntrinioBankFinancials(rssd_id,$R$2,O$6,O$5,$B126,"K"),"")</f>
        <v/>
      </c>
    </row>
    <row r="127" spans="1:15" ht="13.5" customHeight="1" x14ac:dyDescent="0.4">
      <c r="A127" s="34" t="s">
        <v>1044</v>
      </c>
      <c r="B127" s="23" t="s">
        <v>1045</v>
      </c>
      <c r="C127" s="24" t="str">
        <f>IFERROR([1]!IntrinioBankFinancials(rssd_id,$R$2,C$6,C$5,$B127,"K"),"")</f>
        <v/>
      </c>
      <c r="D127" s="24" t="str">
        <f>IFERROR([1]!IntrinioBankFinancials(rssd_id,$R$2,D$6,D$5,$B127,"K"),"")</f>
        <v/>
      </c>
      <c r="E127" s="24" t="str">
        <f>IFERROR([1]!IntrinioBankFinancials(rssd_id,$R$2,E$6,E$5,$B127,"K"),"")</f>
        <v/>
      </c>
      <c r="F127" s="24" t="str">
        <f>IFERROR([1]!IntrinioBankFinancials(rssd_id,$R$2,F$6,F$5,$B127,"K"),"")</f>
        <v/>
      </c>
      <c r="G127" s="24" t="str">
        <f>IFERROR([1]!IntrinioBankFinancials(rssd_id,$R$2,G$6,G$5,$B127,"K"),"")</f>
        <v/>
      </c>
      <c r="H127" s="24" t="str">
        <f>IFERROR([1]!IntrinioBankFinancials(rssd_id,$R$2,H$6,H$5,$B127,"K"),"")</f>
        <v/>
      </c>
      <c r="I127" s="24" t="str">
        <f>IFERROR([1]!IntrinioBankFinancials(rssd_id,$R$2,I$6,I$5,$B127,"K"),"")</f>
        <v/>
      </c>
      <c r="J127" s="24" t="str">
        <f>IFERROR([1]!IntrinioBankFinancials(rssd_id,$R$2,J$6,J$5,$B127,"K"),"")</f>
        <v/>
      </c>
      <c r="K127" s="24" t="str">
        <f>IFERROR([1]!IntrinioBankFinancials(rssd_id,$R$2,K$6,K$5,$B127,"K"),"")</f>
        <v/>
      </c>
      <c r="L127" s="24" t="str">
        <f>IFERROR([1]!IntrinioBankFinancials(rssd_id,$R$2,L$6,L$5,$B127,"K"),"")</f>
        <v/>
      </c>
      <c r="M127" s="24" t="str">
        <f>IFERROR([1]!IntrinioBankFinancials(rssd_id,$R$2,M$6,M$5,$B127,"K"),"")</f>
        <v/>
      </c>
      <c r="N127" s="24" t="str">
        <f>IFERROR([1]!IntrinioBankFinancials(rssd_id,$R$2,N$6,N$5,$B127,"K"),"")</f>
        <v/>
      </c>
      <c r="O127" s="24" t="str">
        <f>IFERROR([1]!IntrinioBankFinancials(rssd_id,$R$2,O$6,O$5,$B127,"K"),"")</f>
        <v/>
      </c>
    </row>
    <row r="128" spans="1:15" ht="13.5" customHeight="1" x14ac:dyDescent="0.4">
      <c r="A128" s="34" t="s">
        <v>1046</v>
      </c>
      <c r="B128" s="23" t="s">
        <v>1047</v>
      </c>
      <c r="C128" s="24" t="str">
        <f>IFERROR([1]!IntrinioBankFinancials(rssd_id,$R$2,C$6,C$5,$B128,"K"),"")</f>
        <v/>
      </c>
      <c r="D128" s="24" t="str">
        <f>IFERROR([1]!IntrinioBankFinancials(rssd_id,$R$2,D$6,D$5,$B128,"K"),"")</f>
        <v/>
      </c>
      <c r="E128" s="24" t="str">
        <f>IFERROR([1]!IntrinioBankFinancials(rssd_id,$R$2,E$6,E$5,$B128,"K"),"")</f>
        <v/>
      </c>
      <c r="F128" s="24" t="str">
        <f>IFERROR([1]!IntrinioBankFinancials(rssd_id,$R$2,F$6,F$5,$B128,"K"),"")</f>
        <v/>
      </c>
      <c r="G128" s="24" t="str">
        <f>IFERROR([1]!IntrinioBankFinancials(rssd_id,$R$2,G$6,G$5,$B128,"K"),"")</f>
        <v/>
      </c>
      <c r="H128" s="24" t="str">
        <f>IFERROR([1]!IntrinioBankFinancials(rssd_id,$R$2,H$6,H$5,$B128,"K"),"")</f>
        <v/>
      </c>
      <c r="I128" s="24" t="str">
        <f>IFERROR([1]!IntrinioBankFinancials(rssd_id,$R$2,I$6,I$5,$B128,"K"),"")</f>
        <v/>
      </c>
      <c r="J128" s="24" t="str">
        <f>IFERROR([1]!IntrinioBankFinancials(rssd_id,$R$2,J$6,J$5,$B128,"K"),"")</f>
        <v/>
      </c>
      <c r="K128" s="24" t="str">
        <f>IFERROR([1]!IntrinioBankFinancials(rssd_id,$R$2,K$6,K$5,$B128,"K"),"")</f>
        <v/>
      </c>
      <c r="L128" s="24" t="str">
        <f>IFERROR([1]!IntrinioBankFinancials(rssd_id,$R$2,L$6,L$5,$B128,"K"),"")</f>
        <v/>
      </c>
      <c r="M128" s="24" t="str">
        <f>IFERROR([1]!IntrinioBankFinancials(rssd_id,$R$2,M$6,M$5,$B128,"K"),"")</f>
        <v/>
      </c>
      <c r="N128" s="24" t="str">
        <f>IFERROR([1]!IntrinioBankFinancials(rssd_id,$R$2,N$6,N$5,$B128,"K"),"")</f>
        <v/>
      </c>
      <c r="O128" s="24" t="str">
        <f>IFERROR([1]!IntrinioBankFinancials(rssd_id,$R$2,O$6,O$5,$B128,"K"),"")</f>
        <v/>
      </c>
    </row>
    <row r="129" spans="1:15" ht="13.5" customHeight="1" x14ac:dyDescent="0.4">
      <c r="A129" s="34" t="s">
        <v>1048</v>
      </c>
      <c r="B129" s="23" t="s">
        <v>1049</v>
      </c>
      <c r="C129" s="24" t="str">
        <f>IFERROR([1]!IntrinioBankFinancials(rssd_id,$R$2,C$6,C$5,$B129,"K"),"")</f>
        <v/>
      </c>
      <c r="D129" s="24" t="str">
        <f>IFERROR([1]!IntrinioBankFinancials(rssd_id,$R$2,D$6,D$5,$B129,"K"),"")</f>
        <v/>
      </c>
      <c r="E129" s="24" t="str">
        <f>IFERROR([1]!IntrinioBankFinancials(rssd_id,$R$2,E$6,E$5,$B129,"K"),"")</f>
        <v/>
      </c>
      <c r="F129" s="24" t="str">
        <f>IFERROR([1]!IntrinioBankFinancials(rssd_id,$R$2,F$6,F$5,$B129,"K"),"")</f>
        <v/>
      </c>
      <c r="G129" s="24" t="str">
        <f>IFERROR([1]!IntrinioBankFinancials(rssd_id,$R$2,G$6,G$5,$B129,"K"),"")</f>
        <v/>
      </c>
      <c r="H129" s="24" t="str">
        <f>IFERROR([1]!IntrinioBankFinancials(rssd_id,$R$2,H$6,H$5,$B129,"K"),"")</f>
        <v/>
      </c>
      <c r="I129" s="24" t="str">
        <f>IFERROR([1]!IntrinioBankFinancials(rssd_id,$R$2,I$6,I$5,$B129,"K"),"")</f>
        <v/>
      </c>
      <c r="J129" s="24" t="str">
        <f>IFERROR([1]!IntrinioBankFinancials(rssd_id,$R$2,J$6,J$5,$B129,"K"),"")</f>
        <v/>
      </c>
      <c r="K129" s="24" t="str">
        <f>IFERROR([1]!IntrinioBankFinancials(rssd_id,$R$2,K$6,K$5,$B129,"K"),"")</f>
        <v/>
      </c>
      <c r="L129" s="24" t="str">
        <f>IFERROR([1]!IntrinioBankFinancials(rssd_id,$R$2,L$6,L$5,$B129,"K"),"")</f>
        <v/>
      </c>
      <c r="M129" s="24" t="str">
        <f>IFERROR([1]!IntrinioBankFinancials(rssd_id,$R$2,M$6,M$5,$B129,"K"),"")</f>
        <v/>
      </c>
      <c r="N129" s="24" t="str">
        <f>IFERROR([1]!IntrinioBankFinancials(rssd_id,$R$2,N$6,N$5,$B129,"K"),"")</f>
        <v/>
      </c>
      <c r="O129" s="24" t="str">
        <f>IFERROR([1]!IntrinioBankFinancials(rssd_id,$R$2,O$6,O$5,$B129,"K"),"")</f>
        <v/>
      </c>
    </row>
    <row r="130" spans="1:15" ht="13.5" customHeight="1" x14ac:dyDescent="0.4">
      <c r="A130" s="34" t="s">
        <v>1050</v>
      </c>
      <c r="B130" s="23" t="s">
        <v>1051</v>
      </c>
      <c r="C130" s="24" t="str">
        <f>IFERROR([1]!IntrinioBankFinancials(rssd_id,$R$2,C$6,C$5,$B130,"K"),"")</f>
        <v/>
      </c>
      <c r="D130" s="24" t="str">
        <f>IFERROR([1]!IntrinioBankFinancials(rssd_id,$R$2,D$6,D$5,$B130,"K"),"")</f>
        <v/>
      </c>
      <c r="E130" s="24" t="str">
        <f>IFERROR([1]!IntrinioBankFinancials(rssd_id,$R$2,E$6,E$5,$B130,"K"),"")</f>
        <v/>
      </c>
      <c r="F130" s="24" t="str">
        <f>IFERROR([1]!IntrinioBankFinancials(rssd_id,$R$2,F$6,F$5,$B130,"K"),"")</f>
        <v/>
      </c>
      <c r="G130" s="24" t="str">
        <f>IFERROR([1]!IntrinioBankFinancials(rssd_id,$R$2,G$6,G$5,$B130,"K"),"")</f>
        <v/>
      </c>
      <c r="H130" s="24" t="str">
        <f>IFERROR([1]!IntrinioBankFinancials(rssd_id,$R$2,H$6,H$5,$B130,"K"),"")</f>
        <v/>
      </c>
      <c r="I130" s="24" t="str">
        <f>IFERROR([1]!IntrinioBankFinancials(rssd_id,$R$2,I$6,I$5,$B130,"K"),"")</f>
        <v/>
      </c>
      <c r="J130" s="24" t="str">
        <f>IFERROR([1]!IntrinioBankFinancials(rssd_id,$R$2,J$6,J$5,$B130,"K"),"")</f>
        <v/>
      </c>
      <c r="K130" s="24" t="str">
        <f>IFERROR([1]!IntrinioBankFinancials(rssd_id,$R$2,K$6,K$5,$B130,"K"),"")</f>
        <v/>
      </c>
      <c r="L130" s="24" t="str">
        <f>IFERROR([1]!IntrinioBankFinancials(rssd_id,$R$2,L$6,L$5,$B130,"K"),"")</f>
        <v/>
      </c>
      <c r="M130" s="24" t="str">
        <f>IFERROR([1]!IntrinioBankFinancials(rssd_id,$R$2,M$6,M$5,$B130,"K"),"")</f>
        <v/>
      </c>
      <c r="N130" s="24" t="str">
        <f>IFERROR([1]!IntrinioBankFinancials(rssd_id,$R$2,N$6,N$5,$B130,"K"),"")</f>
        <v/>
      </c>
      <c r="O130" s="24" t="str">
        <f>IFERROR([1]!IntrinioBankFinancials(rssd_id,$R$2,O$6,O$5,$B130,"K"),"")</f>
        <v/>
      </c>
    </row>
    <row r="131" spans="1:15" ht="13.5" customHeight="1" x14ac:dyDescent="0.4">
      <c r="A131" s="34" t="s">
        <v>1052</v>
      </c>
      <c r="B131" s="23" t="s">
        <v>1053</v>
      </c>
      <c r="C131" s="24" t="str">
        <f>IFERROR([1]!IntrinioBankFinancials(rssd_id,$R$2,C$6,C$5,$B131,"K"),"")</f>
        <v/>
      </c>
      <c r="D131" s="24" t="str">
        <f>IFERROR([1]!IntrinioBankFinancials(rssd_id,$R$2,D$6,D$5,$B131,"K"),"")</f>
        <v/>
      </c>
      <c r="E131" s="24" t="str">
        <f>IFERROR([1]!IntrinioBankFinancials(rssd_id,$R$2,E$6,E$5,$B131,"K"),"")</f>
        <v/>
      </c>
      <c r="F131" s="24" t="str">
        <f>IFERROR([1]!IntrinioBankFinancials(rssd_id,$R$2,F$6,F$5,$B131,"K"),"")</f>
        <v/>
      </c>
      <c r="G131" s="24" t="str">
        <f>IFERROR([1]!IntrinioBankFinancials(rssd_id,$R$2,G$6,G$5,$B131,"K"),"")</f>
        <v/>
      </c>
      <c r="H131" s="24" t="str">
        <f>IFERROR([1]!IntrinioBankFinancials(rssd_id,$R$2,H$6,H$5,$B131,"K"),"")</f>
        <v/>
      </c>
      <c r="I131" s="24" t="str">
        <f>IFERROR([1]!IntrinioBankFinancials(rssd_id,$R$2,I$6,I$5,$B131,"K"),"")</f>
        <v/>
      </c>
      <c r="J131" s="24" t="str">
        <f>IFERROR([1]!IntrinioBankFinancials(rssd_id,$R$2,J$6,J$5,$B131,"K"),"")</f>
        <v/>
      </c>
      <c r="K131" s="24" t="str">
        <f>IFERROR([1]!IntrinioBankFinancials(rssd_id,$R$2,K$6,K$5,$B131,"K"),"")</f>
        <v/>
      </c>
      <c r="L131" s="24" t="str">
        <f>IFERROR([1]!IntrinioBankFinancials(rssd_id,$R$2,L$6,L$5,$B131,"K"),"")</f>
        <v/>
      </c>
      <c r="M131" s="24" t="str">
        <f>IFERROR([1]!IntrinioBankFinancials(rssd_id,$R$2,M$6,M$5,$B131,"K"),"")</f>
        <v/>
      </c>
      <c r="N131" s="24" t="str">
        <f>IFERROR([1]!IntrinioBankFinancials(rssd_id,$R$2,N$6,N$5,$B131,"K"),"")</f>
        <v/>
      </c>
      <c r="O131" s="24" t="str">
        <f>IFERROR([1]!IntrinioBankFinancials(rssd_id,$R$2,O$6,O$5,$B131,"K"),"")</f>
        <v/>
      </c>
    </row>
    <row r="132" spans="1:15" ht="13.5" customHeight="1" x14ac:dyDescent="0.4">
      <c r="A132" s="34" t="s">
        <v>1054</v>
      </c>
      <c r="B132" s="23" t="s">
        <v>1055</v>
      </c>
      <c r="C132" s="24" t="str">
        <f>IFERROR([1]!IntrinioBankFinancials(rssd_id,$R$2,C$6,C$5,$B132,"K"),"")</f>
        <v/>
      </c>
      <c r="D132" s="24" t="str">
        <f>IFERROR([1]!IntrinioBankFinancials(rssd_id,$R$2,D$6,D$5,$B132,"K"),"")</f>
        <v/>
      </c>
      <c r="E132" s="24" t="str">
        <f>IFERROR([1]!IntrinioBankFinancials(rssd_id,$R$2,E$6,E$5,$B132,"K"),"")</f>
        <v/>
      </c>
      <c r="F132" s="24" t="str">
        <f>IFERROR([1]!IntrinioBankFinancials(rssd_id,$R$2,F$6,F$5,$B132,"K"),"")</f>
        <v/>
      </c>
      <c r="G132" s="24" t="str">
        <f>IFERROR([1]!IntrinioBankFinancials(rssd_id,$R$2,G$6,G$5,$B132,"K"),"")</f>
        <v/>
      </c>
      <c r="H132" s="24" t="str">
        <f>IFERROR([1]!IntrinioBankFinancials(rssd_id,$R$2,H$6,H$5,$B132,"K"),"")</f>
        <v/>
      </c>
      <c r="I132" s="24" t="str">
        <f>IFERROR([1]!IntrinioBankFinancials(rssd_id,$R$2,I$6,I$5,$B132,"K"),"")</f>
        <v/>
      </c>
      <c r="J132" s="24" t="str">
        <f>IFERROR([1]!IntrinioBankFinancials(rssd_id,$R$2,J$6,J$5,$B132,"K"),"")</f>
        <v/>
      </c>
      <c r="K132" s="24" t="str">
        <f>IFERROR([1]!IntrinioBankFinancials(rssd_id,$R$2,K$6,K$5,$B132,"K"),"")</f>
        <v/>
      </c>
      <c r="L132" s="24" t="str">
        <f>IFERROR([1]!IntrinioBankFinancials(rssd_id,$R$2,L$6,L$5,$B132,"K"),"")</f>
        <v/>
      </c>
      <c r="M132" s="24" t="str">
        <f>IFERROR([1]!IntrinioBankFinancials(rssd_id,$R$2,M$6,M$5,$B132,"K"),"")</f>
        <v/>
      </c>
      <c r="N132" s="24" t="str">
        <f>IFERROR([1]!IntrinioBankFinancials(rssd_id,$R$2,N$6,N$5,$B132,"K"),"")</f>
        <v/>
      </c>
      <c r="O132" s="24" t="str">
        <f>IFERROR([1]!IntrinioBankFinancials(rssd_id,$R$2,O$6,O$5,$B132,"K"),"")</f>
        <v/>
      </c>
    </row>
    <row r="133" spans="1:15" ht="13.5" customHeight="1" x14ac:dyDescent="0.4">
      <c r="A133" s="34" t="s">
        <v>1056</v>
      </c>
      <c r="B133" s="23" t="s">
        <v>1057</v>
      </c>
      <c r="C133" s="24" t="str">
        <f>IFERROR([1]!IntrinioBankFinancials(rssd_id,$R$2,C$6,C$5,$B133,"K"),"")</f>
        <v/>
      </c>
      <c r="D133" s="24" t="str">
        <f>IFERROR([1]!IntrinioBankFinancials(rssd_id,$R$2,D$6,D$5,$B133,"K"),"")</f>
        <v/>
      </c>
      <c r="E133" s="24" t="str">
        <f>IFERROR([1]!IntrinioBankFinancials(rssd_id,$R$2,E$6,E$5,$B133,"K"),"")</f>
        <v/>
      </c>
      <c r="F133" s="24" t="str">
        <f>IFERROR([1]!IntrinioBankFinancials(rssd_id,$R$2,F$6,F$5,$B133,"K"),"")</f>
        <v/>
      </c>
      <c r="G133" s="24" t="str">
        <f>IFERROR([1]!IntrinioBankFinancials(rssd_id,$R$2,G$6,G$5,$B133,"K"),"")</f>
        <v/>
      </c>
      <c r="H133" s="24" t="str">
        <f>IFERROR([1]!IntrinioBankFinancials(rssd_id,$R$2,H$6,H$5,$B133,"K"),"")</f>
        <v/>
      </c>
      <c r="I133" s="24" t="str">
        <f>IFERROR([1]!IntrinioBankFinancials(rssd_id,$R$2,I$6,I$5,$B133,"K"),"")</f>
        <v/>
      </c>
      <c r="J133" s="24" t="str">
        <f>IFERROR([1]!IntrinioBankFinancials(rssd_id,$R$2,J$6,J$5,$B133,"K"),"")</f>
        <v/>
      </c>
      <c r="K133" s="24" t="str">
        <f>IFERROR([1]!IntrinioBankFinancials(rssd_id,$R$2,K$6,K$5,$B133,"K"),"")</f>
        <v/>
      </c>
      <c r="L133" s="24" t="str">
        <f>IFERROR([1]!IntrinioBankFinancials(rssd_id,$R$2,L$6,L$5,$B133,"K"),"")</f>
        <v/>
      </c>
      <c r="M133" s="24" t="str">
        <f>IFERROR([1]!IntrinioBankFinancials(rssd_id,$R$2,M$6,M$5,$B133,"K"),"")</f>
        <v/>
      </c>
      <c r="N133" s="24" t="str">
        <f>IFERROR([1]!IntrinioBankFinancials(rssd_id,$R$2,N$6,N$5,$B133,"K"),"")</f>
        <v/>
      </c>
      <c r="O133" s="24" t="str">
        <f>IFERROR([1]!IntrinioBankFinancials(rssd_id,$R$2,O$6,O$5,$B133,"K"),"")</f>
        <v/>
      </c>
    </row>
    <row r="134" spans="1:15" ht="13.5" customHeight="1" x14ac:dyDescent="0.4">
      <c r="A134" s="34" t="s">
        <v>1058</v>
      </c>
      <c r="B134" s="23" t="s">
        <v>1059</v>
      </c>
      <c r="C134" s="24" t="str">
        <f>IFERROR([1]!IntrinioBankFinancials(rssd_id,$R$2,C$6,C$5,$B134,"K"),"")</f>
        <v/>
      </c>
      <c r="D134" s="24" t="str">
        <f>IFERROR([1]!IntrinioBankFinancials(rssd_id,$R$2,D$6,D$5,$B134,"K"),"")</f>
        <v/>
      </c>
      <c r="E134" s="24" t="str">
        <f>IFERROR([1]!IntrinioBankFinancials(rssd_id,$R$2,E$6,E$5,$B134,"K"),"")</f>
        <v/>
      </c>
      <c r="F134" s="24" t="str">
        <f>IFERROR([1]!IntrinioBankFinancials(rssd_id,$R$2,F$6,F$5,$B134,"K"),"")</f>
        <v/>
      </c>
      <c r="G134" s="24" t="str">
        <f>IFERROR([1]!IntrinioBankFinancials(rssd_id,$R$2,G$6,G$5,$B134,"K"),"")</f>
        <v/>
      </c>
      <c r="H134" s="24" t="str">
        <f>IFERROR([1]!IntrinioBankFinancials(rssd_id,$R$2,H$6,H$5,$B134,"K"),"")</f>
        <v/>
      </c>
      <c r="I134" s="24" t="str">
        <f>IFERROR([1]!IntrinioBankFinancials(rssd_id,$R$2,I$6,I$5,$B134,"K"),"")</f>
        <v/>
      </c>
      <c r="J134" s="24" t="str">
        <f>IFERROR([1]!IntrinioBankFinancials(rssd_id,$R$2,J$6,J$5,$B134,"K"),"")</f>
        <v/>
      </c>
      <c r="K134" s="24" t="str">
        <f>IFERROR([1]!IntrinioBankFinancials(rssd_id,$R$2,K$6,K$5,$B134,"K"),"")</f>
        <v/>
      </c>
      <c r="L134" s="24" t="str">
        <f>IFERROR([1]!IntrinioBankFinancials(rssd_id,$R$2,L$6,L$5,$B134,"K"),"")</f>
        <v/>
      </c>
      <c r="M134" s="24" t="str">
        <f>IFERROR([1]!IntrinioBankFinancials(rssd_id,$R$2,M$6,M$5,$B134,"K"),"")</f>
        <v/>
      </c>
      <c r="N134" s="24" t="str">
        <f>IFERROR([1]!IntrinioBankFinancials(rssd_id,$R$2,N$6,N$5,$B134,"K"),"")</f>
        <v/>
      </c>
      <c r="O134" s="24" t="str">
        <f>IFERROR([1]!IntrinioBankFinancials(rssd_id,$R$2,O$6,O$5,$B134,"K"),"")</f>
        <v/>
      </c>
    </row>
    <row r="135" spans="1:15" s="22" customFormat="1" ht="13.5" customHeight="1" x14ac:dyDescent="0.4">
      <c r="A135" s="33"/>
      <c r="B135" s="20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 s="22" customFormat="1" ht="13.5" customHeight="1" x14ac:dyDescent="0.4">
      <c r="A136" s="33" t="s">
        <v>1186</v>
      </c>
      <c r="B136" s="20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</row>
    <row r="137" spans="1:15" ht="13.5" customHeight="1" x14ac:dyDescent="0.4">
      <c r="A137" s="34" t="s">
        <v>1060</v>
      </c>
      <c r="B137" s="23" t="s">
        <v>1061</v>
      </c>
      <c r="C137" s="24" t="str">
        <f>IFERROR([1]!IntrinioBankFinancials(rssd_id,$R$2,C$6,C$5,$B137,"K"),"")</f>
        <v/>
      </c>
      <c r="D137" s="24" t="str">
        <f>IFERROR([1]!IntrinioBankFinancials(rssd_id,$R$2,D$6,D$5,$B137,"K"),"")</f>
        <v/>
      </c>
      <c r="E137" s="24" t="str">
        <f>IFERROR([1]!IntrinioBankFinancials(rssd_id,$R$2,E$6,E$5,$B137,"K"),"")</f>
        <v/>
      </c>
      <c r="F137" s="24" t="str">
        <f>IFERROR([1]!IntrinioBankFinancials(rssd_id,$R$2,F$6,F$5,$B137,"K"),"")</f>
        <v/>
      </c>
      <c r="G137" s="24" t="str">
        <f>IFERROR([1]!IntrinioBankFinancials(rssd_id,$R$2,G$6,G$5,$B137,"K"),"")</f>
        <v/>
      </c>
      <c r="H137" s="24" t="str">
        <f>IFERROR([1]!IntrinioBankFinancials(rssd_id,$R$2,H$6,H$5,$B137,"K"),"")</f>
        <v/>
      </c>
      <c r="I137" s="24" t="str">
        <f>IFERROR([1]!IntrinioBankFinancials(rssd_id,$R$2,I$6,I$5,$B137,"K"),"")</f>
        <v/>
      </c>
      <c r="J137" s="24" t="str">
        <f>IFERROR([1]!IntrinioBankFinancials(rssd_id,$R$2,J$6,J$5,$B137,"K"),"")</f>
        <v/>
      </c>
      <c r="K137" s="24" t="str">
        <f>IFERROR([1]!IntrinioBankFinancials(rssd_id,$R$2,K$6,K$5,$B137,"K"),"")</f>
        <v/>
      </c>
      <c r="L137" s="24" t="str">
        <f>IFERROR([1]!IntrinioBankFinancials(rssd_id,$R$2,L$6,L$5,$B137,"K"),"")</f>
        <v/>
      </c>
      <c r="M137" s="24" t="str">
        <f>IFERROR([1]!IntrinioBankFinancials(rssd_id,$R$2,M$6,M$5,$B137,"K"),"")</f>
        <v/>
      </c>
      <c r="N137" s="24" t="str">
        <f>IFERROR([1]!IntrinioBankFinancials(rssd_id,$R$2,N$6,N$5,$B137,"K"),"")</f>
        <v/>
      </c>
      <c r="O137" s="24" t="str">
        <f>IFERROR([1]!IntrinioBankFinancials(rssd_id,$R$2,O$6,O$5,$B137,"K"),"")</f>
        <v/>
      </c>
    </row>
    <row r="138" spans="1:15" ht="13.5" customHeight="1" x14ac:dyDescent="0.4">
      <c r="A138" s="34" t="s">
        <v>1062</v>
      </c>
      <c r="B138" s="23" t="s">
        <v>1063</v>
      </c>
      <c r="C138" s="24" t="str">
        <f>IFERROR([1]!IntrinioBankFinancials(rssd_id,$R$2,C$6,C$5,$B138,"K"),"")</f>
        <v/>
      </c>
      <c r="D138" s="24" t="str">
        <f>IFERROR([1]!IntrinioBankFinancials(rssd_id,$R$2,D$6,D$5,$B138,"K"),"")</f>
        <v/>
      </c>
      <c r="E138" s="24" t="str">
        <f>IFERROR([1]!IntrinioBankFinancials(rssd_id,$R$2,E$6,E$5,$B138,"K"),"")</f>
        <v/>
      </c>
      <c r="F138" s="24" t="str">
        <f>IFERROR([1]!IntrinioBankFinancials(rssd_id,$R$2,F$6,F$5,$B138,"K"),"")</f>
        <v/>
      </c>
      <c r="G138" s="24" t="str">
        <f>IFERROR([1]!IntrinioBankFinancials(rssd_id,$R$2,G$6,G$5,$B138,"K"),"")</f>
        <v/>
      </c>
      <c r="H138" s="24" t="str">
        <f>IFERROR([1]!IntrinioBankFinancials(rssd_id,$R$2,H$6,H$5,$B138,"K"),"")</f>
        <v/>
      </c>
      <c r="I138" s="24" t="str">
        <f>IFERROR([1]!IntrinioBankFinancials(rssd_id,$R$2,I$6,I$5,$B138,"K"),"")</f>
        <v/>
      </c>
      <c r="J138" s="24" t="str">
        <f>IFERROR([1]!IntrinioBankFinancials(rssd_id,$R$2,J$6,J$5,$B138,"K"),"")</f>
        <v/>
      </c>
      <c r="K138" s="24" t="str">
        <f>IFERROR([1]!IntrinioBankFinancials(rssd_id,$R$2,K$6,K$5,$B138,"K"),"")</f>
        <v/>
      </c>
      <c r="L138" s="24" t="str">
        <f>IFERROR([1]!IntrinioBankFinancials(rssd_id,$R$2,L$6,L$5,$B138,"K"),"")</f>
        <v/>
      </c>
      <c r="M138" s="24" t="str">
        <f>IFERROR([1]!IntrinioBankFinancials(rssd_id,$R$2,M$6,M$5,$B138,"K"),"")</f>
        <v/>
      </c>
      <c r="N138" s="24" t="str">
        <f>IFERROR([1]!IntrinioBankFinancials(rssd_id,$R$2,N$6,N$5,$B138,"K"),"")</f>
        <v/>
      </c>
      <c r="O138" s="24" t="str">
        <f>IFERROR([1]!IntrinioBankFinancials(rssd_id,$R$2,O$6,O$5,$B138,"K"),"")</f>
        <v/>
      </c>
    </row>
    <row r="139" spans="1:15" ht="13.5" customHeight="1" x14ac:dyDescent="0.4">
      <c r="A139" s="34" t="s">
        <v>1064</v>
      </c>
      <c r="B139" s="23" t="s">
        <v>1065</v>
      </c>
      <c r="C139" s="24" t="str">
        <f>IFERROR([1]!IntrinioBankFinancials(rssd_id,$R$2,C$6,C$5,$B139,"K"),"")</f>
        <v/>
      </c>
      <c r="D139" s="24" t="str">
        <f>IFERROR([1]!IntrinioBankFinancials(rssd_id,$R$2,D$6,D$5,$B139,"K"),"")</f>
        <v/>
      </c>
      <c r="E139" s="24" t="str">
        <f>IFERROR([1]!IntrinioBankFinancials(rssd_id,$R$2,E$6,E$5,$B139,"K"),"")</f>
        <v/>
      </c>
      <c r="F139" s="24" t="str">
        <f>IFERROR([1]!IntrinioBankFinancials(rssd_id,$R$2,F$6,F$5,$B139,"K"),"")</f>
        <v/>
      </c>
      <c r="G139" s="24" t="str">
        <f>IFERROR([1]!IntrinioBankFinancials(rssd_id,$R$2,G$6,G$5,$B139,"K"),"")</f>
        <v/>
      </c>
      <c r="H139" s="24" t="str">
        <f>IFERROR([1]!IntrinioBankFinancials(rssd_id,$R$2,H$6,H$5,$B139,"K"),"")</f>
        <v/>
      </c>
      <c r="I139" s="24" t="str">
        <f>IFERROR([1]!IntrinioBankFinancials(rssd_id,$R$2,I$6,I$5,$B139,"K"),"")</f>
        <v/>
      </c>
      <c r="J139" s="24" t="str">
        <f>IFERROR([1]!IntrinioBankFinancials(rssd_id,$R$2,J$6,J$5,$B139,"K"),"")</f>
        <v/>
      </c>
      <c r="K139" s="24" t="str">
        <f>IFERROR([1]!IntrinioBankFinancials(rssd_id,$R$2,K$6,K$5,$B139,"K"),"")</f>
        <v/>
      </c>
      <c r="L139" s="24" t="str">
        <f>IFERROR([1]!IntrinioBankFinancials(rssd_id,$R$2,L$6,L$5,$B139,"K"),"")</f>
        <v/>
      </c>
      <c r="M139" s="24" t="str">
        <f>IFERROR([1]!IntrinioBankFinancials(rssd_id,$R$2,M$6,M$5,$B139,"K"),"")</f>
        <v/>
      </c>
      <c r="N139" s="24" t="str">
        <f>IFERROR([1]!IntrinioBankFinancials(rssd_id,$R$2,N$6,N$5,$B139,"K"),"")</f>
        <v/>
      </c>
      <c r="O139" s="24" t="str">
        <f>IFERROR([1]!IntrinioBankFinancials(rssd_id,$R$2,O$6,O$5,$B139,"K"),"")</f>
        <v/>
      </c>
    </row>
    <row r="140" spans="1:15" ht="13.5" customHeight="1" x14ac:dyDescent="0.4">
      <c r="A140" s="34" t="s">
        <v>1066</v>
      </c>
      <c r="B140" s="23" t="s">
        <v>1067</v>
      </c>
      <c r="C140" s="24" t="str">
        <f>IFERROR([1]!IntrinioBankFinancials(rssd_id,$R$2,C$6,C$5,$B140,"K"),"")</f>
        <v/>
      </c>
      <c r="D140" s="24" t="str">
        <f>IFERROR([1]!IntrinioBankFinancials(rssd_id,$R$2,D$6,D$5,$B140,"K"),"")</f>
        <v/>
      </c>
      <c r="E140" s="24" t="str">
        <f>IFERROR([1]!IntrinioBankFinancials(rssd_id,$R$2,E$6,E$5,$B140,"K"),"")</f>
        <v/>
      </c>
      <c r="F140" s="24" t="str">
        <f>IFERROR([1]!IntrinioBankFinancials(rssd_id,$R$2,F$6,F$5,$B140,"K"),"")</f>
        <v/>
      </c>
      <c r="G140" s="24" t="str">
        <f>IFERROR([1]!IntrinioBankFinancials(rssd_id,$R$2,G$6,G$5,$B140,"K"),"")</f>
        <v/>
      </c>
      <c r="H140" s="24" t="str">
        <f>IFERROR([1]!IntrinioBankFinancials(rssd_id,$R$2,H$6,H$5,$B140,"K"),"")</f>
        <v/>
      </c>
      <c r="I140" s="24" t="str">
        <f>IFERROR([1]!IntrinioBankFinancials(rssd_id,$R$2,I$6,I$5,$B140,"K"),"")</f>
        <v/>
      </c>
      <c r="J140" s="24" t="str">
        <f>IFERROR([1]!IntrinioBankFinancials(rssd_id,$R$2,J$6,J$5,$B140,"K"),"")</f>
        <v/>
      </c>
      <c r="K140" s="24" t="str">
        <f>IFERROR([1]!IntrinioBankFinancials(rssd_id,$R$2,K$6,K$5,$B140,"K"),"")</f>
        <v/>
      </c>
      <c r="L140" s="24" t="str">
        <f>IFERROR([1]!IntrinioBankFinancials(rssd_id,$R$2,L$6,L$5,$B140,"K"),"")</f>
        <v/>
      </c>
      <c r="M140" s="24" t="str">
        <f>IFERROR([1]!IntrinioBankFinancials(rssd_id,$R$2,M$6,M$5,$B140,"K"),"")</f>
        <v/>
      </c>
      <c r="N140" s="24" t="str">
        <f>IFERROR([1]!IntrinioBankFinancials(rssd_id,$R$2,N$6,N$5,$B140,"K"),"")</f>
        <v/>
      </c>
      <c r="O140" s="24" t="str">
        <f>IFERROR([1]!IntrinioBankFinancials(rssd_id,$R$2,O$6,O$5,$B140,"K"),"")</f>
        <v/>
      </c>
    </row>
    <row r="141" spans="1:15" ht="13.5" customHeight="1" x14ac:dyDescent="0.4">
      <c r="A141" s="34" t="s">
        <v>1068</v>
      </c>
      <c r="B141" s="23" t="s">
        <v>1069</v>
      </c>
      <c r="C141" s="24" t="str">
        <f>IFERROR([1]!IntrinioBankFinancials(rssd_id,$R$2,C$6,C$5,$B141,"K"),"")</f>
        <v/>
      </c>
      <c r="D141" s="24" t="str">
        <f>IFERROR([1]!IntrinioBankFinancials(rssd_id,$R$2,D$6,D$5,$B141,"K"),"")</f>
        <v/>
      </c>
      <c r="E141" s="24" t="str">
        <f>IFERROR([1]!IntrinioBankFinancials(rssd_id,$R$2,E$6,E$5,$B141,"K"),"")</f>
        <v/>
      </c>
      <c r="F141" s="24" t="str">
        <f>IFERROR([1]!IntrinioBankFinancials(rssd_id,$R$2,F$6,F$5,$B141,"K"),"")</f>
        <v/>
      </c>
      <c r="G141" s="24" t="str">
        <f>IFERROR([1]!IntrinioBankFinancials(rssd_id,$R$2,G$6,G$5,$B141,"K"),"")</f>
        <v/>
      </c>
      <c r="H141" s="24" t="str">
        <f>IFERROR([1]!IntrinioBankFinancials(rssd_id,$R$2,H$6,H$5,$B141,"K"),"")</f>
        <v/>
      </c>
      <c r="I141" s="24" t="str">
        <f>IFERROR([1]!IntrinioBankFinancials(rssd_id,$R$2,I$6,I$5,$B141,"K"),"")</f>
        <v/>
      </c>
      <c r="J141" s="24" t="str">
        <f>IFERROR([1]!IntrinioBankFinancials(rssd_id,$R$2,J$6,J$5,$B141,"K"),"")</f>
        <v/>
      </c>
      <c r="K141" s="24" t="str">
        <f>IFERROR([1]!IntrinioBankFinancials(rssd_id,$R$2,K$6,K$5,$B141,"K"),"")</f>
        <v/>
      </c>
      <c r="L141" s="24" t="str">
        <f>IFERROR([1]!IntrinioBankFinancials(rssd_id,$R$2,L$6,L$5,$B141,"K"),"")</f>
        <v/>
      </c>
      <c r="M141" s="24" t="str">
        <f>IFERROR([1]!IntrinioBankFinancials(rssd_id,$R$2,M$6,M$5,$B141,"K"),"")</f>
        <v/>
      </c>
      <c r="N141" s="24" t="str">
        <f>IFERROR([1]!IntrinioBankFinancials(rssd_id,$R$2,N$6,N$5,$B141,"K"),"")</f>
        <v/>
      </c>
      <c r="O141" s="24" t="str">
        <f>IFERROR([1]!IntrinioBankFinancials(rssd_id,$R$2,O$6,O$5,$B141,"K"),"")</f>
        <v/>
      </c>
    </row>
    <row r="142" spans="1:15" ht="13.5" customHeight="1" x14ac:dyDescent="0.4">
      <c r="A142" s="34" t="s">
        <v>1070</v>
      </c>
      <c r="B142" s="23" t="s">
        <v>1071</v>
      </c>
      <c r="C142" s="24" t="str">
        <f>IFERROR([1]!IntrinioBankFinancials(rssd_id,$R$2,C$6,C$5,$B142,"K"),"")</f>
        <v/>
      </c>
      <c r="D142" s="24" t="str">
        <f>IFERROR([1]!IntrinioBankFinancials(rssd_id,$R$2,D$6,D$5,$B142,"K"),"")</f>
        <v/>
      </c>
      <c r="E142" s="24" t="str">
        <f>IFERROR([1]!IntrinioBankFinancials(rssd_id,$R$2,E$6,E$5,$B142,"K"),"")</f>
        <v/>
      </c>
      <c r="F142" s="24" t="str">
        <f>IFERROR([1]!IntrinioBankFinancials(rssd_id,$R$2,F$6,F$5,$B142,"K"),"")</f>
        <v/>
      </c>
      <c r="G142" s="24" t="str">
        <f>IFERROR([1]!IntrinioBankFinancials(rssd_id,$R$2,G$6,G$5,$B142,"K"),"")</f>
        <v/>
      </c>
      <c r="H142" s="24" t="str">
        <f>IFERROR([1]!IntrinioBankFinancials(rssd_id,$R$2,H$6,H$5,$B142,"K"),"")</f>
        <v/>
      </c>
      <c r="I142" s="24" t="str">
        <f>IFERROR([1]!IntrinioBankFinancials(rssd_id,$R$2,I$6,I$5,$B142,"K"),"")</f>
        <v/>
      </c>
      <c r="J142" s="24" t="str">
        <f>IFERROR([1]!IntrinioBankFinancials(rssd_id,$R$2,J$6,J$5,$B142,"K"),"")</f>
        <v/>
      </c>
      <c r="K142" s="24" t="str">
        <f>IFERROR([1]!IntrinioBankFinancials(rssd_id,$R$2,K$6,K$5,$B142,"K"),"")</f>
        <v/>
      </c>
      <c r="L142" s="24" t="str">
        <f>IFERROR([1]!IntrinioBankFinancials(rssd_id,$R$2,L$6,L$5,$B142,"K"),"")</f>
        <v/>
      </c>
      <c r="M142" s="24" t="str">
        <f>IFERROR([1]!IntrinioBankFinancials(rssd_id,$R$2,M$6,M$5,$B142,"K"),"")</f>
        <v/>
      </c>
      <c r="N142" s="24" t="str">
        <f>IFERROR([1]!IntrinioBankFinancials(rssd_id,$R$2,N$6,N$5,$B142,"K"),"")</f>
        <v/>
      </c>
      <c r="O142" s="24" t="str">
        <f>IFERROR([1]!IntrinioBankFinancials(rssd_id,$R$2,O$6,O$5,$B142,"K"),"")</f>
        <v/>
      </c>
    </row>
    <row r="143" spans="1:15" ht="13.5" customHeight="1" x14ac:dyDescent="0.4">
      <c r="A143" s="34" t="s">
        <v>1072</v>
      </c>
      <c r="B143" s="23" t="s">
        <v>1073</v>
      </c>
      <c r="C143" s="24" t="str">
        <f>IFERROR([1]!IntrinioBankFinancials(rssd_id,$R$2,C$6,C$5,$B143,"K"),"")</f>
        <v/>
      </c>
      <c r="D143" s="24" t="str">
        <f>IFERROR([1]!IntrinioBankFinancials(rssd_id,$R$2,D$6,D$5,$B143,"K"),"")</f>
        <v/>
      </c>
      <c r="E143" s="24" t="str">
        <f>IFERROR([1]!IntrinioBankFinancials(rssd_id,$R$2,E$6,E$5,$B143,"K"),"")</f>
        <v/>
      </c>
      <c r="F143" s="24" t="str">
        <f>IFERROR([1]!IntrinioBankFinancials(rssd_id,$R$2,F$6,F$5,$B143,"K"),"")</f>
        <v/>
      </c>
      <c r="G143" s="24" t="str">
        <f>IFERROR([1]!IntrinioBankFinancials(rssd_id,$R$2,G$6,G$5,$B143,"K"),"")</f>
        <v/>
      </c>
      <c r="H143" s="24" t="str">
        <f>IFERROR([1]!IntrinioBankFinancials(rssd_id,$R$2,H$6,H$5,$B143,"K"),"")</f>
        <v/>
      </c>
      <c r="I143" s="24" t="str">
        <f>IFERROR([1]!IntrinioBankFinancials(rssd_id,$R$2,I$6,I$5,$B143,"K"),"")</f>
        <v/>
      </c>
      <c r="J143" s="24" t="str">
        <f>IFERROR([1]!IntrinioBankFinancials(rssd_id,$R$2,J$6,J$5,$B143,"K"),"")</f>
        <v/>
      </c>
      <c r="K143" s="24" t="str">
        <f>IFERROR([1]!IntrinioBankFinancials(rssd_id,$R$2,K$6,K$5,$B143,"K"),"")</f>
        <v/>
      </c>
      <c r="L143" s="24" t="str">
        <f>IFERROR([1]!IntrinioBankFinancials(rssd_id,$R$2,L$6,L$5,$B143,"K"),"")</f>
        <v/>
      </c>
      <c r="M143" s="24" t="str">
        <f>IFERROR([1]!IntrinioBankFinancials(rssd_id,$R$2,M$6,M$5,$B143,"K"),"")</f>
        <v/>
      </c>
      <c r="N143" s="24" t="str">
        <f>IFERROR([1]!IntrinioBankFinancials(rssd_id,$R$2,N$6,N$5,$B143,"K"),"")</f>
        <v/>
      </c>
      <c r="O143" s="24" t="str">
        <f>IFERROR([1]!IntrinioBankFinancials(rssd_id,$R$2,O$6,O$5,$B143,"K"),"")</f>
        <v/>
      </c>
    </row>
    <row r="144" spans="1:15" s="22" customFormat="1" ht="13.5" customHeight="1" x14ac:dyDescent="0.4">
      <c r="A144" s="33"/>
      <c r="B144" s="20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 s="22" customFormat="1" ht="13.5" customHeight="1" x14ac:dyDescent="0.4">
      <c r="A145" s="33" t="s">
        <v>1185</v>
      </c>
      <c r="B145" s="20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</row>
    <row r="146" spans="1:15" ht="13.5" customHeight="1" x14ac:dyDescent="0.4">
      <c r="A146" s="34" t="s">
        <v>1074</v>
      </c>
      <c r="B146" s="23" t="s">
        <v>1075</v>
      </c>
      <c r="C146" s="24" t="str">
        <f>IFERROR([1]!IntrinioBankFinancials(rssd_id,$R$2,C$6,C$5,$B146,"K"),"")</f>
        <v/>
      </c>
      <c r="D146" s="24" t="str">
        <f>IFERROR([1]!IntrinioBankFinancials(rssd_id,$R$2,D$6,D$5,$B146,"K"),"")</f>
        <v/>
      </c>
      <c r="E146" s="24" t="str">
        <f>IFERROR([1]!IntrinioBankFinancials(rssd_id,$R$2,E$6,E$5,$B146,"K"),"")</f>
        <v/>
      </c>
      <c r="F146" s="24" t="str">
        <f>IFERROR([1]!IntrinioBankFinancials(rssd_id,$R$2,F$6,F$5,$B146,"K"),"")</f>
        <v/>
      </c>
      <c r="G146" s="24" t="str">
        <f>IFERROR([1]!IntrinioBankFinancials(rssd_id,$R$2,G$6,G$5,$B146,"K"),"")</f>
        <v/>
      </c>
      <c r="H146" s="24" t="str">
        <f>IFERROR([1]!IntrinioBankFinancials(rssd_id,$R$2,H$6,H$5,$B146,"K"),"")</f>
        <v/>
      </c>
      <c r="I146" s="24" t="str">
        <f>IFERROR([1]!IntrinioBankFinancials(rssd_id,$R$2,I$6,I$5,$B146,"K"),"")</f>
        <v/>
      </c>
      <c r="J146" s="24" t="str">
        <f>IFERROR([1]!IntrinioBankFinancials(rssd_id,$R$2,J$6,J$5,$B146,"K"),"")</f>
        <v/>
      </c>
      <c r="K146" s="24" t="str">
        <f>IFERROR([1]!IntrinioBankFinancials(rssd_id,$R$2,K$6,K$5,$B146,"K"),"")</f>
        <v/>
      </c>
      <c r="L146" s="24" t="str">
        <f>IFERROR([1]!IntrinioBankFinancials(rssd_id,$R$2,L$6,L$5,$B146,"K"),"")</f>
        <v/>
      </c>
      <c r="M146" s="24" t="str">
        <f>IFERROR([1]!IntrinioBankFinancials(rssd_id,$R$2,M$6,M$5,$B146,"K"),"")</f>
        <v/>
      </c>
      <c r="N146" s="24" t="str">
        <f>IFERROR([1]!IntrinioBankFinancials(rssd_id,$R$2,N$6,N$5,$B146,"K"),"")</f>
        <v/>
      </c>
      <c r="O146" s="24" t="str">
        <f>IFERROR([1]!IntrinioBankFinancials(rssd_id,$R$2,O$6,O$5,$B146,"K"),"")</f>
        <v/>
      </c>
    </row>
    <row r="147" spans="1:15" ht="13.5" customHeight="1" x14ac:dyDescent="0.4">
      <c r="A147" s="34" t="s">
        <v>1076</v>
      </c>
      <c r="B147" s="23" t="s">
        <v>1077</v>
      </c>
      <c r="C147" s="24" t="str">
        <f>IFERROR([1]!IntrinioBankFinancials(rssd_id,$R$2,C$6,C$5,$B147,"K"),"")</f>
        <v/>
      </c>
      <c r="D147" s="24" t="str">
        <f>IFERROR([1]!IntrinioBankFinancials(rssd_id,$R$2,D$6,D$5,$B147,"K"),"")</f>
        <v/>
      </c>
      <c r="E147" s="24" t="str">
        <f>IFERROR([1]!IntrinioBankFinancials(rssd_id,$R$2,E$6,E$5,$B147,"K"),"")</f>
        <v/>
      </c>
      <c r="F147" s="24" t="str">
        <f>IFERROR([1]!IntrinioBankFinancials(rssd_id,$R$2,F$6,F$5,$B147,"K"),"")</f>
        <v/>
      </c>
      <c r="G147" s="24" t="str">
        <f>IFERROR([1]!IntrinioBankFinancials(rssd_id,$R$2,G$6,G$5,$B147,"K"),"")</f>
        <v/>
      </c>
      <c r="H147" s="24" t="str">
        <f>IFERROR([1]!IntrinioBankFinancials(rssd_id,$R$2,H$6,H$5,$B147,"K"),"")</f>
        <v/>
      </c>
      <c r="I147" s="24" t="str">
        <f>IFERROR([1]!IntrinioBankFinancials(rssd_id,$R$2,I$6,I$5,$B147,"K"),"")</f>
        <v/>
      </c>
      <c r="J147" s="24" t="str">
        <f>IFERROR([1]!IntrinioBankFinancials(rssd_id,$R$2,J$6,J$5,$B147,"K"),"")</f>
        <v/>
      </c>
      <c r="K147" s="24" t="str">
        <f>IFERROR([1]!IntrinioBankFinancials(rssd_id,$R$2,K$6,K$5,$B147,"K"),"")</f>
        <v/>
      </c>
      <c r="L147" s="24" t="str">
        <f>IFERROR([1]!IntrinioBankFinancials(rssd_id,$R$2,L$6,L$5,$B147,"K"),"")</f>
        <v/>
      </c>
      <c r="M147" s="24" t="str">
        <f>IFERROR([1]!IntrinioBankFinancials(rssd_id,$R$2,M$6,M$5,$B147,"K"),"")</f>
        <v/>
      </c>
      <c r="N147" s="24" t="str">
        <f>IFERROR([1]!IntrinioBankFinancials(rssd_id,$R$2,N$6,N$5,$B147,"K"),"")</f>
        <v/>
      </c>
      <c r="O147" s="24" t="str">
        <f>IFERROR([1]!IntrinioBankFinancials(rssd_id,$R$2,O$6,O$5,$B147,"K"),"")</f>
        <v/>
      </c>
    </row>
    <row r="148" spans="1:15" ht="13.5" customHeight="1" x14ac:dyDescent="0.4">
      <c r="A148" s="34" t="s">
        <v>1078</v>
      </c>
      <c r="B148" s="23" t="s">
        <v>1079</v>
      </c>
      <c r="C148" s="24" t="str">
        <f>IFERROR([1]!IntrinioBankFinancials(rssd_id,$R$2,C$6,C$5,$B148,"K"),"")</f>
        <v/>
      </c>
      <c r="D148" s="24" t="str">
        <f>IFERROR([1]!IntrinioBankFinancials(rssd_id,$R$2,D$6,D$5,$B148,"K"),"")</f>
        <v/>
      </c>
      <c r="E148" s="24" t="str">
        <f>IFERROR([1]!IntrinioBankFinancials(rssd_id,$R$2,E$6,E$5,$B148,"K"),"")</f>
        <v/>
      </c>
      <c r="F148" s="24" t="str">
        <f>IFERROR([1]!IntrinioBankFinancials(rssd_id,$R$2,F$6,F$5,$B148,"K"),"")</f>
        <v/>
      </c>
      <c r="G148" s="24" t="str">
        <f>IFERROR([1]!IntrinioBankFinancials(rssd_id,$R$2,G$6,G$5,$B148,"K"),"")</f>
        <v/>
      </c>
      <c r="H148" s="24" t="str">
        <f>IFERROR([1]!IntrinioBankFinancials(rssd_id,$R$2,H$6,H$5,$B148,"K"),"")</f>
        <v/>
      </c>
      <c r="I148" s="24" t="str">
        <f>IFERROR([1]!IntrinioBankFinancials(rssd_id,$R$2,I$6,I$5,$B148,"K"),"")</f>
        <v/>
      </c>
      <c r="J148" s="24" t="str">
        <f>IFERROR([1]!IntrinioBankFinancials(rssd_id,$R$2,J$6,J$5,$B148,"K"),"")</f>
        <v/>
      </c>
      <c r="K148" s="24" t="str">
        <f>IFERROR([1]!IntrinioBankFinancials(rssd_id,$R$2,K$6,K$5,$B148,"K"),"")</f>
        <v/>
      </c>
      <c r="L148" s="24" t="str">
        <f>IFERROR([1]!IntrinioBankFinancials(rssd_id,$R$2,L$6,L$5,$B148,"K"),"")</f>
        <v/>
      </c>
      <c r="M148" s="24" t="str">
        <f>IFERROR([1]!IntrinioBankFinancials(rssd_id,$R$2,M$6,M$5,$B148,"K"),"")</f>
        <v/>
      </c>
      <c r="N148" s="24" t="str">
        <f>IFERROR([1]!IntrinioBankFinancials(rssd_id,$R$2,N$6,N$5,$B148,"K"),"")</f>
        <v/>
      </c>
      <c r="O148" s="24" t="str">
        <f>IFERROR([1]!IntrinioBankFinancials(rssd_id,$R$2,O$6,O$5,$B148,"K"),"")</f>
        <v/>
      </c>
    </row>
    <row r="149" spans="1:15" ht="13.5" customHeight="1" x14ac:dyDescent="0.4">
      <c r="A149" s="34" t="s">
        <v>1080</v>
      </c>
      <c r="B149" s="23" t="s">
        <v>1081</v>
      </c>
      <c r="C149" s="24" t="str">
        <f>IFERROR([1]!IntrinioBankFinancials(rssd_id,$R$2,C$6,C$5,$B149,"K"),"")</f>
        <v/>
      </c>
      <c r="D149" s="24" t="str">
        <f>IFERROR([1]!IntrinioBankFinancials(rssd_id,$R$2,D$6,D$5,$B149,"K"),"")</f>
        <v/>
      </c>
      <c r="E149" s="24" t="str">
        <f>IFERROR([1]!IntrinioBankFinancials(rssd_id,$R$2,E$6,E$5,$B149,"K"),"")</f>
        <v/>
      </c>
      <c r="F149" s="24" t="str">
        <f>IFERROR([1]!IntrinioBankFinancials(rssd_id,$R$2,F$6,F$5,$B149,"K"),"")</f>
        <v/>
      </c>
      <c r="G149" s="24" t="str">
        <f>IFERROR([1]!IntrinioBankFinancials(rssd_id,$R$2,G$6,G$5,$B149,"K"),"")</f>
        <v/>
      </c>
      <c r="H149" s="24" t="str">
        <f>IFERROR([1]!IntrinioBankFinancials(rssd_id,$R$2,H$6,H$5,$B149,"K"),"")</f>
        <v/>
      </c>
      <c r="I149" s="24" t="str">
        <f>IFERROR([1]!IntrinioBankFinancials(rssd_id,$R$2,I$6,I$5,$B149,"K"),"")</f>
        <v/>
      </c>
      <c r="J149" s="24" t="str">
        <f>IFERROR([1]!IntrinioBankFinancials(rssd_id,$R$2,J$6,J$5,$B149,"K"),"")</f>
        <v/>
      </c>
      <c r="K149" s="24" t="str">
        <f>IFERROR([1]!IntrinioBankFinancials(rssd_id,$R$2,K$6,K$5,$B149,"K"),"")</f>
        <v/>
      </c>
      <c r="L149" s="24" t="str">
        <f>IFERROR([1]!IntrinioBankFinancials(rssd_id,$R$2,L$6,L$5,$B149,"K"),"")</f>
        <v/>
      </c>
      <c r="M149" s="24" t="str">
        <f>IFERROR([1]!IntrinioBankFinancials(rssd_id,$R$2,M$6,M$5,$B149,"K"),"")</f>
        <v/>
      </c>
      <c r="N149" s="24" t="str">
        <f>IFERROR([1]!IntrinioBankFinancials(rssd_id,$R$2,N$6,N$5,$B149,"K"),"")</f>
        <v/>
      </c>
      <c r="O149" s="24" t="str">
        <f>IFERROR([1]!IntrinioBankFinancials(rssd_id,$R$2,O$6,O$5,$B149,"K"),"")</f>
        <v/>
      </c>
    </row>
    <row r="150" spans="1:15" ht="13.5" customHeight="1" x14ac:dyDescent="0.4">
      <c r="A150" s="34" t="s">
        <v>1082</v>
      </c>
      <c r="B150" s="23" t="s">
        <v>1083</v>
      </c>
      <c r="C150" s="24" t="str">
        <f>IFERROR([1]!IntrinioBankFinancials(rssd_id,$R$2,C$6,C$5,$B150,"K"),"")</f>
        <v/>
      </c>
      <c r="D150" s="24" t="str">
        <f>IFERROR([1]!IntrinioBankFinancials(rssd_id,$R$2,D$6,D$5,$B150,"K"),"")</f>
        <v/>
      </c>
      <c r="E150" s="24" t="str">
        <f>IFERROR([1]!IntrinioBankFinancials(rssd_id,$R$2,E$6,E$5,$B150,"K"),"")</f>
        <v/>
      </c>
      <c r="F150" s="24" t="str">
        <f>IFERROR([1]!IntrinioBankFinancials(rssd_id,$R$2,F$6,F$5,$B150,"K"),"")</f>
        <v/>
      </c>
      <c r="G150" s="24" t="str">
        <f>IFERROR([1]!IntrinioBankFinancials(rssd_id,$R$2,G$6,G$5,$B150,"K"),"")</f>
        <v/>
      </c>
      <c r="H150" s="24" t="str">
        <f>IFERROR([1]!IntrinioBankFinancials(rssd_id,$R$2,H$6,H$5,$B150,"K"),"")</f>
        <v/>
      </c>
      <c r="I150" s="24" t="str">
        <f>IFERROR([1]!IntrinioBankFinancials(rssd_id,$R$2,I$6,I$5,$B150,"K"),"")</f>
        <v/>
      </c>
      <c r="J150" s="24" t="str">
        <f>IFERROR([1]!IntrinioBankFinancials(rssd_id,$R$2,J$6,J$5,$B150,"K"),"")</f>
        <v/>
      </c>
      <c r="K150" s="24" t="str">
        <f>IFERROR([1]!IntrinioBankFinancials(rssd_id,$R$2,K$6,K$5,$B150,"K"),"")</f>
        <v/>
      </c>
      <c r="L150" s="24" t="str">
        <f>IFERROR([1]!IntrinioBankFinancials(rssd_id,$R$2,L$6,L$5,$B150,"K"),"")</f>
        <v/>
      </c>
      <c r="M150" s="24" t="str">
        <f>IFERROR([1]!IntrinioBankFinancials(rssd_id,$R$2,M$6,M$5,$B150,"K"),"")</f>
        <v/>
      </c>
      <c r="N150" s="24" t="str">
        <f>IFERROR([1]!IntrinioBankFinancials(rssd_id,$R$2,N$6,N$5,$B150,"K"),"")</f>
        <v/>
      </c>
      <c r="O150" s="24" t="str">
        <f>IFERROR([1]!IntrinioBankFinancials(rssd_id,$R$2,O$6,O$5,$B150,"K"),"")</f>
        <v/>
      </c>
    </row>
    <row r="151" spans="1:15" ht="13.5" customHeight="1" x14ac:dyDescent="0.4">
      <c r="A151" s="34" t="s">
        <v>1084</v>
      </c>
      <c r="B151" s="23" t="s">
        <v>1085</v>
      </c>
      <c r="C151" s="24" t="str">
        <f>IFERROR([1]!IntrinioBankFinancials(rssd_id,$R$2,C$6,C$5,$B151,"K"),"")</f>
        <v/>
      </c>
      <c r="D151" s="24" t="str">
        <f>IFERROR([1]!IntrinioBankFinancials(rssd_id,$R$2,D$6,D$5,$B151,"K"),"")</f>
        <v/>
      </c>
      <c r="E151" s="24" t="str">
        <f>IFERROR([1]!IntrinioBankFinancials(rssd_id,$R$2,E$6,E$5,$B151,"K"),"")</f>
        <v/>
      </c>
      <c r="F151" s="24" t="str">
        <f>IFERROR([1]!IntrinioBankFinancials(rssd_id,$R$2,F$6,F$5,$B151,"K"),"")</f>
        <v/>
      </c>
      <c r="G151" s="24" t="str">
        <f>IFERROR([1]!IntrinioBankFinancials(rssd_id,$R$2,G$6,G$5,$B151,"K"),"")</f>
        <v/>
      </c>
      <c r="H151" s="24" t="str">
        <f>IFERROR([1]!IntrinioBankFinancials(rssd_id,$R$2,H$6,H$5,$B151,"K"),"")</f>
        <v/>
      </c>
      <c r="I151" s="24" t="str">
        <f>IFERROR([1]!IntrinioBankFinancials(rssd_id,$R$2,I$6,I$5,$B151,"K"),"")</f>
        <v/>
      </c>
      <c r="J151" s="24" t="str">
        <f>IFERROR([1]!IntrinioBankFinancials(rssd_id,$R$2,J$6,J$5,$B151,"K"),"")</f>
        <v/>
      </c>
      <c r="K151" s="24" t="str">
        <f>IFERROR([1]!IntrinioBankFinancials(rssd_id,$R$2,K$6,K$5,$B151,"K"),"")</f>
        <v/>
      </c>
      <c r="L151" s="24" t="str">
        <f>IFERROR([1]!IntrinioBankFinancials(rssd_id,$R$2,L$6,L$5,$B151,"K"),"")</f>
        <v/>
      </c>
      <c r="M151" s="24" t="str">
        <f>IFERROR([1]!IntrinioBankFinancials(rssd_id,$R$2,M$6,M$5,$B151,"K"),"")</f>
        <v/>
      </c>
      <c r="N151" s="24" t="str">
        <f>IFERROR([1]!IntrinioBankFinancials(rssd_id,$R$2,N$6,N$5,$B151,"K"),"")</f>
        <v/>
      </c>
      <c r="O151" s="24" t="str">
        <f>IFERROR([1]!IntrinioBankFinancials(rssd_id,$R$2,O$6,O$5,$B151,"K"),"")</f>
        <v/>
      </c>
    </row>
    <row r="152" spans="1:15" ht="13.5" customHeight="1" x14ac:dyDescent="0.4">
      <c r="A152" s="34" t="s">
        <v>1086</v>
      </c>
      <c r="B152" s="23" t="s">
        <v>1087</v>
      </c>
      <c r="C152" s="24" t="str">
        <f>IFERROR([1]!IntrinioBankFinancials(rssd_id,$R$2,C$6,C$5,$B152,"K"),"")</f>
        <v/>
      </c>
      <c r="D152" s="24" t="str">
        <f>IFERROR([1]!IntrinioBankFinancials(rssd_id,$R$2,D$6,D$5,$B152,"K"),"")</f>
        <v/>
      </c>
      <c r="E152" s="24" t="str">
        <f>IFERROR([1]!IntrinioBankFinancials(rssd_id,$R$2,E$6,E$5,$B152,"K"),"")</f>
        <v/>
      </c>
      <c r="F152" s="24" t="str">
        <f>IFERROR([1]!IntrinioBankFinancials(rssd_id,$R$2,F$6,F$5,$B152,"K"),"")</f>
        <v/>
      </c>
      <c r="G152" s="24" t="str">
        <f>IFERROR([1]!IntrinioBankFinancials(rssd_id,$R$2,G$6,G$5,$B152,"K"),"")</f>
        <v/>
      </c>
      <c r="H152" s="24" t="str">
        <f>IFERROR([1]!IntrinioBankFinancials(rssd_id,$R$2,H$6,H$5,$B152,"K"),"")</f>
        <v/>
      </c>
      <c r="I152" s="24" t="str">
        <f>IFERROR([1]!IntrinioBankFinancials(rssd_id,$R$2,I$6,I$5,$B152,"K"),"")</f>
        <v/>
      </c>
      <c r="J152" s="24" t="str">
        <f>IFERROR([1]!IntrinioBankFinancials(rssd_id,$R$2,J$6,J$5,$B152,"K"),"")</f>
        <v/>
      </c>
      <c r="K152" s="24" t="str">
        <f>IFERROR([1]!IntrinioBankFinancials(rssd_id,$R$2,K$6,K$5,$B152,"K"),"")</f>
        <v/>
      </c>
      <c r="L152" s="24" t="str">
        <f>IFERROR([1]!IntrinioBankFinancials(rssd_id,$R$2,L$6,L$5,$B152,"K"),"")</f>
        <v/>
      </c>
      <c r="M152" s="24" t="str">
        <f>IFERROR([1]!IntrinioBankFinancials(rssd_id,$R$2,M$6,M$5,$B152,"K"),"")</f>
        <v/>
      </c>
      <c r="N152" s="24" t="str">
        <f>IFERROR([1]!IntrinioBankFinancials(rssd_id,$R$2,N$6,N$5,$B152,"K"),"")</f>
        <v/>
      </c>
      <c r="O152" s="24" t="str">
        <f>IFERROR([1]!IntrinioBankFinancials(rssd_id,$R$2,O$6,O$5,$B152,"K"),"")</f>
        <v/>
      </c>
    </row>
    <row r="153" spans="1:15" ht="13.5" customHeight="1" x14ac:dyDescent="0.4">
      <c r="A153" s="34" t="s">
        <v>1088</v>
      </c>
      <c r="B153" s="23" t="s">
        <v>1089</v>
      </c>
      <c r="C153" s="24" t="str">
        <f>IFERROR([1]!IntrinioBankFinancials(rssd_id,$R$2,C$6,C$5,$B153,"K"),"")</f>
        <v/>
      </c>
      <c r="D153" s="24" t="str">
        <f>IFERROR([1]!IntrinioBankFinancials(rssd_id,$R$2,D$6,D$5,$B153,"K"),"")</f>
        <v/>
      </c>
      <c r="E153" s="24" t="str">
        <f>IFERROR([1]!IntrinioBankFinancials(rssd_id,$R$2,E$6,E$5,$B153,"K"),"")</f>
        <v/>
      </c>
      <c r="F153" s="24" t="str">
        <f>IFERROR([1]!IntrinioBankFinancials(rssd_id,$R$2,F$6,F$5,$B153,"K"),"")</f>
        <v/>
      </c>
      <c r="G153" s="24" t="str">
        <f>IFERROR([1]!IntrinioBankFinancials(rssd_id,$R$2,G$6,G$5,$B153,"K"),"")</f>
        <v/>
      </c>
      <c r="H153" s="24" t="str">
        <f>IFERROR([1]!IntrinioBankFinancials(rssd_id,$R$2,H$6,H$5,$B153,"K"),"")</f>
        <v/>
      </c>
      <c r="I153" s="24" t="str">
        <f>IFERROR([1]!IntrinioBankFinancials(rssd_id,$R$2,I$6,I$5,$B153,"K"),"")</f>
        <v/>
      </c>
      <c r="J153" s="24" t="str">
        <f>IFERROR([1]!IntrinioBankFinancials(rssd_id,$R$2,J$6,J$5,$B153,"K"),"")</f>
        <v/>
      </c>
      <c r="K153" s="24" t="str">
        <f>IFERROR([1]!IntrinioBankFinancials(rssd_id,$R$2,K$6,K$5,$B153,"K"),"")</f>
        <v/>
      </c>
      <c r="L153" s="24" t="str">
        <f>IFERROR([1]!IntrinioBankFinancials(rssd_id,$R$2,L$6,L$5,$B153,"K"),"")</f>
        <v/>
      </c>
      <c r="M153" s="24" t="str">
        <f>IFERROR([1]!IntrinioBankFinancials(rssd_id,$R$2,M$6,M$5,$B153,"K"),"")</f>
        <v/>
      </c>
      <c r="N153" s="24" t="str">
        <f>IFERROR([1]!IntrinioBankFinancials(rssd_id,$R$2,N$6,N$5,$B153,"K"),"")</f>
        <v/>
      </c>
      <c r="O153" s="24" t="str">
        <f>IFERROR([1]!IntrinioBankFinancials(rssd_id,$R$2,O$6,O$5,$B153,"K"),"")</f>
        <v/>
      </c>
    </row>
    <row r="154" spans="1:15" ht="13.5" customHeight="1" x14ac:dyDescent="0.4">
      <c r="A154" s="34" t="s">
        <v>1090</v>
      </c>
      <c r="B154" s="23" t="s">
        <v>1091</v>
      </c>
      <c r="C154" s="24" t="str">
        <f>IFERROR([1]!IntrinioBankFinancials(rssd_id,$R$2,C$6,C$5,$B154,"K"),"")</f>
        <v/>
      </c>
      <c r="D154" s="24" t="str">
        <f>IFERROR([1]!IntrinioBankFinancials(rssd_id,$R$2,D$6,D$5,$B154,"K"),"")</f>
        <v/>
      </c>
      <c r="E154" s="24" t="str">
        <f>IFERROR([1]!IntrinioBankFinancials(rssd_id,$R$2,E$6,E$5,$B154,"K"),"")</f>
        <v/>
      </c>
      <c r="F154" s="24" t="str">
        <f>IFERROR([1]!IntrinioBankFinancials(rssd_id,$R$2,F$6,F$5,$B154,"K"),"")</f>
        <v/>
      </c>
      <c r="G154" s="24" t="str">
        <f>IFERROR([1]!IntrinioBankFinancials(rssd_id,$R$2,G$6,G$5,$B154,"K"),"")</f>
        <v/>
      </c>
      <c r="H154" s="24" t="str">
        <f>IFERROR([1]!IntrinioBankFinancials(rssd_id,$R$2,H$6,H$5,$B154,"K"),"")</f>
        <v/>
      </c>
      <c r="I154" s="24" t="str">
        <f>IFERROR([1]!IntrinioBankFinancials(rssd_id,$R$2,I$6,I$5,$B154,"K"),"")</f>
        <v/>
      </c>
      <c r="J154" s="24" t="str">
        <f>IFERROR([1]!IntrinioBankFinancials(rssd_id,$R$2,J$6,J$5,$B154,"K"),"")</f>
        <v/>
      </c>
      <c r="K154" s="24" t="str">
        <f>IFERROR([1]!IntrinioBankFinancials(rssd_id,$R$2,K$6,K$5,$B154,"K"),"")</f>
        <v/>
      </c>
      <c r="L154" s="24" t="str">
        <f>IFERROR([1]!IntrinioBankFinancials(rssd_id,$R$2,L$6,L$5,$B154,"K"),"")</f>
        <v/>
      </c>
      <c r="M154" s="24" t="str">
        <f>IFERROR([1]!IntrinioBankFinancials(rssd_id,$R$2,M$6,M$5,$B154,"K"),"")</f>
        <v/>
      </c>
      <c r="N154" s="24" t="str">
        <f>IFERROR([1]!IntrinioBankFinancials(rssd_id,$R$2,N$6,N$5,$B154,"K"),"")</f>
        <v/>
      </c>
      <c r="O154" s="24" t="str">
        <f>IFERROR([1]!IntrinioBankFinancials(rssd_id,$R$2,O$6,O$5,$B154,"K"),"")</f>
        <v/>
      </c>
    </row>
    <row r="155" spans="1:15" ht="13.5" customHeight="1" x14ac:dyDescent="0.4">
      <c r="A155" s="34" t="s">
        <v>1092</v>
      </c>
      <c r="B155" s="23" t="s">
        <v>1093</v>
      </c>
      <c r="C155" s="32" t="str">
        <f>IFERROR([1]!IntrinioBankFinancials(rssd_id,$R$2,C$6,C$5,$B155),"")</f>
        <v/>
      </c>
      <c r="D155" s="32" t="str">
        <f>IFERROR([1]!IntrinioBankFinancials(rssd_id,$R$2,D$6,D$5,$B155),"")</f>
        <v/>
      </c>
      <c r="E155" s="32" t="str">
        <f>IFERROR([1]!IntrinioBankFinancials(rssd_id,$R$2,E$6,E$5,$B155),"")</f>
        <v/>
      </c>
      <c r="F155" s="32" t="str">
        <f>IFERROR([1]!IntrinioBankFinancials(rssd_id,$R$2,F$6,F$5,$B155),"")</f>
        <v/>
      </c>
      <c r="G155" s="32" t="str">
        <f>IFERROR([1]!IntrinioBankFinancials(rssd_id,$R$2,G$6,G$5,$B155),"")</f>
        <v/>
      </c>
      <c r="H155" s="32" t="str">
        <f>IFERROR([1]!IntrinioBankFinancials(rssd_id,$R$2,H$6,H$5,$B155),"")</f>
        <v/>
      </c>
      <c r="I155" s="32" t="str">
        <f>IFERROR([1]!IntrinioBankFinancials(rssd_id,$R$2,I$6,I$5,$B155),"")</f>
        <v/>
      </c>
      <c r="J155" s="32" t="str">
        <f>IFERROR([1]!IntrinioBankFinancials(rssd_id,$R$2,J$6,J$5,$B155),"")</f>
        <v/>
      </c>
      <c r="K155" s="32" t="str">
        <f>IFERROR([1]!IntrinioBankFinancials(rssd_id,$R$2,K$6,K$5,$B155),"")</f>
        <v/>
      </c>
      <c r="L155" s="32" t="str">
        <f>IFERROR([1]!IntrinioBankFinancials(rssd_id,$R$2,L$6,L$5,$B155),"")</f>
        <v/>
      </c>
      <c r="M155" s="32" t="str">
        <f>IFERROR([1]!IntrinioBankFinancials(rssd_id,$R$2,M$6,M$5,$B155),"")</f>
        <v/>
      </c>
      <c r="N155" s="32" t="str">
        <f>IFERROR([1]!IntrinioBankFinancials(rssd_id,$R$2,N$6,N$5,$B155),"")</f>
        <v/>
      </c>
      <c r="O155" s="32" t="str">
        <f>IFERROR([1]!IntrinioBankFinancials(rssd_id,$R$2,O$6,O$5,$B155),"")</f>
        <v/>
      </c>
    </row>
    <row r="156" spans="1:15" s="22" customFormat="1" ht="13.5" customHeight="1" x14ac:dyDescent="0.4">
      <c r="A156" s="33" t="s">
        <v>1184</v>
      </c>
      <c r="B156" s="20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 s="22" customFormat="1" ht="13.5" customHeight="1" x14ac:dyDescent="0.4">
      <c r="A157" s="33" t="s">
        <v>62</v>
      </c>
      <c r="B157" s="20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</row>
    <row r="158" spans="1:15" ht="13.5" customHeight="1" x14ac:dyDescent="0.4">
      <c r="A158" s="34" t="s">
        <v>1094</v>
      </c>
      <c r="B158" s="23" t="s">
        <v>1095</v>
      </c>
      <c r="C158" s="24" t="str">
        <f>IFERROR([1]!IntrinioBankFinancials(rssd_id,$R$2,C$6,C$5,$B158,"K"),"")</f>
        <v/>
      </c>
      <c r="D158" s="24" t="str">
        <f>IFERROR([1]!IntrinioBankFinancials(rssd_id,$R$2,D$6,D$5,$B158,"K"),"")</f>
        <v/>
      </c>
      <c r="E158" s="24" t="str">
        <f>IFERROR([1]!IntrinioBankFinancials(rssd_id,$R$2,E$6,E$5,$B158,"K"),"")</f>
        <v/>
      </c>
      <c r="F158" s="24" t="str">
        <f>IFERROR([1]!IntrinioBankFinancials(rssd_id,$R$2,F$6,F$5,$B158,"K"),"")</f>
        <v/>
      </c>
      <c r="G158" s="24" t="str">
        <f>IFERROR([1]!IntrinioBankFinancials(rssd_id,$R$2,G$6,G$5,$B158,"K"),"")</f>
        <v/>
      </c>
      <c r="H158" s="24" t="str">
        <f>IFERROR([1]!IntrinioBankFinancials(rssd_id,$R$2,H$6,H$5,$B158,"K"),"")</f>
        <v/>
      </c>
      <c r="I158" s="24" t="str">
        <f>IFERROR([1]!IntrinioBankFinancials(rssd_id,$R$2,I$6,I$5,$B158,"K"),"")</f>
        <v/>
      </c>
      <c r="J158" s="24" t="str">
        <f>IFERROR([1]!IntrinioBankFinancials(rssd_id,$R$2,J$6,J$5,$B158,"K"),"")</f>
        <v/>
      </c>
      <c r="K158" s="24" t="str">
        <f>IFERROR([1]!IntrinioBankFinancials(rssd_id,$R$2,K$6,K$5,$B158,"K"),"")</f>
        <v/>
      </c>
      <c r="L158" s="24" t="str">
        <f>IFERROR([1]!IntrinioBankFinancials(rssd_id,$R$2,L$6,L$5,$B158,"K"),"")</f>
        <v/>
      </c>
      <c r="M158" s="24" t="str">
        <f>IFERROR([1]!IntrinioBankFinancials(rssd_id,$R$2,M$6,M$5,$B158,"K"),"")</f>
        <v/>
      </c>
      <c r="N158" s="24" t="str">
        <f>IFERROR([1]!IntrinioBankFinancials(rssd_id,$R$2,N$6,N$5,$B158,"K"),"")</f>
        <v/>
      </c>
      <c r="O158" s="24" t="str">
        <f>IFERROR([1]!IntrinioBankFinancials(rssd_id,$R$2,O$6,O$5,$B158,"K"),"")</f>
        <v/>
      </c>
    </row>
    <row r="159" spans="1:15" ht="13.5" customHeight="1" x14ac:dyDescent="0.4">
      <c r="A159" s="34" t="s">
        <v>1096</v>
      </c>
      <c r="B159" s="23" t="s">
        <v>1097</v>
      </c>
      <c r="C159" s="24" t="str">
        <f>IFERROR([1]!IntrinioBankFinancials(rssd_id,$R$2,C$6,C$5,$B159,"K"),"")</f>
        <v/>
      </c>
      <c r="D159" s="24" t="str">
        <f>IFERROR([1]!IntrinioBankFinancials(rssd_id,$R$2,D$6,D$5,$B159,"K"),"")</f>
        <v/>
      </c>
      <c r="E159" s="24" t="str">
        <f>IFERROR([1]!IntrinioBankFinancials(rssd_id,$R$2,E$6,E$5,$B159,"K"),"")</f>
        <v/>
      </c>
      <c r="F159" s="24" t="str">
        <f>IFERROR([1]!IntrinioBankFinancials(rssd_id,$R$2,F$6,F$5,$B159,"K"),"")</f>
        <v/>
      </c>
      <c r="G159" s="24" t="str">
        <f>IFERROR([1]!IntrinioBankFinancials(rssd_id,$R$2,G$6,G$5,$B159,"K"),"")</f>
        <v/>
      </c>
      <c r="H159" s="24" t="str">
        <f>IFERROR([1]!IntrinioBankFinancials(rssd_id,$R$2,H$6,H$5,$B159,"K"),"")</f>
        <v/>
      </c>
      <c r="I159" s="24" t="str">
        <f>IFERROR([1]!IntrinioBankFinancials(rssd_id,$R$2,I$6,I$5,$B159,"K"),"")</f>
        <v/>
      </c>
      <c r="J159" s="24" t="str">
        <f>IFERROR([1]!IntrinioBankFinancials(rssd_id,$R$2,J$6,J$5,$B159,"K"),"")</f>
        <v/>
      </c>
      <c r="K159" s="24" t="str">
        <f>IFERROR([1]!IntrinioBankFinancials(rssd_id,$R$2,K$6,K$5,$B159,"K"),"")</f>
        <v/>
      </c>
      <c r="L159" s="24" t="str">
        <f>IFERROR([1]!IntrinioBankFinancials(rssd_id,$R$2,L$6,L$5,$B159,"K"),"")</f>
        <v/>
      </c>
      <c r="M159" s="24" t="str">
        <f>IFERROR([1]!IntrinioBankFinancials(rssd_id,$R$2,M$6,M$5,$B159,"K"),"")</f>
        <v/>
      </c>
      <c r="N159" s="24" t="str">
        <f>IFERROR([1]!IntrinioBankFinancials(rssd_id,$R$2,N$6,N$5,$B159,"K"),"")</f>
        <v/>
      </c>
      <c r="O159" s="24" t="str">
        <f>IFERROR([1]!IntrinioBankFinancials(rssd_id,$R$2,O$6,O$5,$B159,"K"),"")</f>
        <v/>
      </c>
    </row>
    <row r="160" spans="1:15" ht="13.5" customHeight="1" x14ac:dyDescent="0.4">
      <c r="A160" s="34" t="s">
        <v>1098</v>
      </c>
      <c r="B160" s="23" t="s">
        <v>1099</v>
      </c>
      <c r="C160" s="24" t="str">
        <f>IFERROR([1]!IntrinioBankFinancials(rssd_id,$R$2,C$6,C$5,$B160,"K"),"")</f>
        <v/>
      </c>
      <c r="D160" s="24" t="str">
        <f>IFERROR([1]!IntrinioBankFinancials(rssd_id,$R$2,D$6,D$5,$B160,"K"),"")</f>
        <v/>
      </c>
      <c r="E160" s="24" t="str">
        <f>IFERROR([1]!IntrinioBankFinancials(rssd_id,$R$2,E$6,E$5,$B160,"K"),"")</f>
        <v/>
      </c>
      <c r="F160" s="24" t="str">
        <f>IFERROR([1]!IntrinioBankFinancials(rssd_id,$R$2,F$6,F$5,$B160,"K"),"")</f>
        <v/>
      </c>
      <c r="G160" s="24" t="str">
        <f>IFERROR([1]!IntrinioBankFinancials(rssd_id,$R$2,G$6,G$5,$B160,"K"),"")</f>
        <v/>
      </c>
      <c r="H160" s="24" t="str">
        <f>IFERROR([1]!IntrinioBankFinancials(rssd_id,$R$2,H$6,H$5,$B160,"K"),"")</f>
        <v/>
      </c>
      <c r="I160" s="24" t="str">
        <f>IFERROR([1]!IntrinioBankFinancials(rssd_id,$R$2,I$6,I$5,$B160,"K"),"")</f>
        <v/>
      </c>
      <c r="J160" s="24" t="str">
        <f>IFERROR([1]!IntrinioBankFinancials(rssd_id,$R$2,J$6,J$5,$B160,"K"),"")</f>
        <v/>
      </c>
      <c r="K160" s="24" t="str">
        <f>IFERROR([1]!IntrinioBankFinancials(rssd_id,$R$2,K$6,K$5,$B160,"K"),"")</f>
        <v/>
      </c>
      <c r="L160" s="24" t="str">
        <f>IFERROR([1]!IntrinioBankFinancials(rssd_id,$R$2,L$6,L$5,$B160,"K"),"")</f>
        <v/>
      </c>
      <c r="M160" s="24" t="str">
        <f>IFERROR([1]!IntrinioBankFinancials(rssd_id,$R$2,M$6,M$5,$B160,"K"),"")</f>
        <v/>
      </c>
      <c r="N160" s="24" t="str">
        <f>IFERROR([1]!IntrinioBankFinancials(rssd_id,$R$2,N$6,N$5,$B160,"K"),"")</f>
        <v/>
      </c>
      <c r="O160" s="24" t="str">
        <f>IFERROR([1]!IntrinioBankFinancials(rssd_id,$R$2,O$6,O$5,$B160,"K"),"")</f>
        <v/>
      </c>
    </row>
    <row r="161" spans="1:15" ht="13.5" customHeight="1" x14ac:dyDescent="0.4">
      <c r="A161" s="34" t="s">
        <v>1100</v>
      </c>
      <c r="B161" s="23" t="s">
        <v>1101</v>
      </c>
      <c r="C161" s="24" t="str">
        <f>IFERROR([1]!IntrinioBankFinancials(rssd_id,$R$2,C$6,C$5,$B161,"K"),"")</f>
        <v/>
      </c>
      <c r="D161" s="24" t="str">
        <f>IFERROR([1]!IntrinioBankFinancials(rssd_id,$R$2,D$6,D$5,$B161,"K"),"")</f>
        <v/>
      </c>
      <c r="E161" s="24" t="str">
        <f>IFERROR([1]!IntrinioBankFinancials(rssd_id,$R$2,E$6,E$5,$B161,"K"),"")</f>
        <v/>
      </c>
      <c r="F161" s="24" t="str">
        <f>IFERROR([1]!IntrinioBankFinancials(rssd_id,$R$2,F$6,F$5,$B161,"K"),"")</f>
        <v/>
      </c>
      <c r="G161" s="24" t="str">
        <f>IFERROR([1]!IntrinioBankFinancials(rssd_id,$R$2,G$6,G$5,$B161,"K"),"")</f>
        <v/>
      </c>
      <c r="H161" s="24" t="str">
        <f>IFERROR([1]!IntrinioBankFinancials(rssd_id,$R$2,H$6,H$5,$B161,"K"),"")</f>
        <v/>
      </c>
      <c r="I161" s="24" t="str">
        <f>IFERROR([1]!IntrinioBankFinancials(rssd_id,$R$2,I$6,I$5,$B161,"K"),"")</f>
        <v/>
      </c>
      <c r="J161" s="24" t="str">
        <f>IFERROR([1]!IntrinioBankFinancials(rssd_id,$R$2,J$6,J$5,$B161,"K"),"")</f>
        <v/>
      </c>
      <c r="K161" s="24" t="str">
        <f>IFERROR([1]!IntrinioBankFinancials(rssd_id,$R$2,K$6,K$5,$B161,"K"),"")</f>
        <v/>
      </c>
      <c r="L161" s="24" t="str">
        <f>IFERROR([1]!IntrinioBankFinancials(rssd_id,$R$2,L$6,L$5,$B161,"K"),"")</f>
        <v/>
      </c>
      <c r="M161" s="24" t="str">
        <f>IFERROR([1]!IntrinioBankFinancials(rssd_id,$R$2,M$6,M$5,$B161,"K"),"")</f>
        <v/>
      </c>
      <c r="N161" s="24" t="str">
        <f>IFERROR([1]!IntrinioBankFinancials(rssd_id,$R$2,N$6,N$5,$B161,"K"),"")</f>
        <v/>
      </c>
      <c r="O161" s="24" t="str">
        <f>IFERROR([1]!IntrinioBankFinancials(rssd_id,$R$2,O$6,O$5,$B161,"K"),"")</f>
        <v/>
      </c>
    </row>
    <row r="162" spans="1:15" ht="13.5" customHeight="1" x14ac:dyDescent="0.4">
      <c r="A162" s="34" t="s">
        <v>1102</v>
      </c>
      <c r="B162" s="23" t="s">
        <v>1103</v>
      </c>
      <c r="C162" s="24" t="str">
        <f>IFERROR([1]!IntrinioBankFinancials(rssd_id,$R$2,C$6,C$5,$B162,"K"),"")</f>
        <v/>
      </c>
      <c r="D162" s="24" t="str">
        <f>IFERROR([1]!IntrinioBankFinancials(rssd_id,$R$2,D$6,D$5,$B162,"K"),"")</f>
        <v/>
      </c>
      <c r="E162" s="24" t="str">
        <f>IFERROR([1]!IntrinioBankFinancials(rssd_id,$R$2,E$6,E$5,$B162,"K"),"")</f>
        <v/>
      </c>
      <c r="F162" s="24" t="str">
        <f>IFERROR([1]!IntrinioBankFinancials(rssd_id,$R$2,F$6,F$5,$B162,"K"),"")</f>
        <v/>
      </c>
      <c r="G162" s="24" t="str">
        <f>IFERROR([1]!IntrinioBankFinancials(rssd_id,$R$2,G$6,G$5,$B162,"K"),"")</f>
        <v/>
      </c>
      <c r="H162" s="24" t="str">
        <f>IFERROR([1]!IntrinioBankFinancials(rssd_id,$R$2,H$6,H$5,$B162,"K"),"")</f>
        <v/>
      </c>
      <c r="I162" s="24" t="str">
        <f>IFERROR([1]!IntrinioBankFinancials(rssd_id,$R$2,I$6,I$5,$B162,"K"),"")</f>
        <v/>
      </c>
      <c r="J162" s="24" t="str">
        <f>IFERROR([1]!IntrinioBankFinancials(rssd_id,$R$2,J$6,J$5,$B162,"K"),"")</f>
        <v/>
      </c>
      <c r="K162" s="24" t="str">
        <f>IFERROR([1]!IntrinioBankFinancials(rssd_id,$R$2,K$6,K$5,$B162,"K"),"")</f>
        <v/>
      </c>
      <c r="L162" s="24" t="str">
        <f>IFERROR([1]!IntrinioBankFinancials(rssd_id,$R$2,L$6,L$5,$B162,"K"),"")</f>
        <v/>
      </c>
      <c r="M162" s="24" t="str">
        <f>IFERROR([1]!IntrinioBankFinancials(rssd_id,$R$2,M$6,M$5,$B162,"K"),"")</f>
        <v/>
      </c>
      <c r="N162" s="24" t="str">
        <f>IFERROR([1]!IntrinioBankFinancials(rssd_id,$R$2,N$6,N$5,$B162,"K"),"")</f>
        <v/>
      </c>
      <c r="O162" s="24" t="str">
        <f>IFERROR([1]!IntrinioBankFinancials(rssd_id,$R$2,O$6,O$5,$B162,"K"),"")</f>
        <v/>
      </c>
    </row>
    <row r="163" spans="1:15" s="22" customFormat="1" ht="13.5" customHeight="1" x14ac:dyDescent="0.4">
      <c r="A163" s="33"/>
      <c r="B163" s="20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</row>
    <row r="164" spans="1:15" s="22" customFormat="1" ht="13.5" customHeight="1" x14ac:dyDescent="0.4">
      <c r="A164" s="33" t="s">
        <v>1183</v>
      </c>
      <c r="B164" s="20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</row>
    <row r="165" spans="1:15" ht="13.5" customHeight="1" x14ac:dyDescent="0.4">
      <c r="A165" s="34" t="s">
        <v>1172</v>
      </c>
      <c r="B165" s="23" t="s">
        <v>1104</v>
      </c>
      <c r="C165" s="24" t="str">
        <f>IFERROR([1]!IntrinioBankFinancials(rssd_id,$R$2,C$6,C$5,$B165,"K"),"")</f>
        <v/>
      </c>
      <c r="D165" s="24" t="str">
        <f>IFERROR([1]!IntrinioBankFinancials(rssd_id,$R$2,D$6,D$5,$B165,"K"),"")</f>
        <v/>
      </c>
      <c r="E165" s="24" t="str">
        <f>IFERROR([1]!IntrinioBankFinancials(rssd_id,$R$2,E$6,E$5,$B165,"K"),"")</f>
        <v/>
      </c>
      <c r="F165" s="24" t="str">
        <f>IFERROR([1]!IntrinioBankFinancials(rssd_id,$R$2,F$6,F$5,$B165,"K"),"")</f>
        <v/>
      </c>
      <c r="G165" s="24" t="str">
        <f>IFERROR([1]!IntrinioBankFinancials(rssd_id,$R$2,G$6,G$5,$B165,"K"),"")</f>
        <v/>
      </c>
      <c r="H165" s="24" t="str">
        <f>IFERROR([1]!IntrinioBankFinancials(rssd_id,$R$2,H$6,H$5,$B165,"K"),"")</f>
        <v/>
      </c>
      <c r="I165" s="24" t="str">
        <f>IFERROR([1]!IntrinioBankFinancials(rssd_id,$R$2,I$6,I$5,$B165,"K"),"")</f>
        <v/>
      </c>
      <c r="J165" s="24" t="str">
        <f>IFERROR([1]!IntrinioBankFinancials(rssd_id,$R$2,J$6,J$5,$B165,"K"),"")</f>
        <v/>
      </c>
      <c r="K165" s="24" t="str">
        <f>IFERROR([1]!IntrinioBankFinancials(rssd_id,$R$2,K$6,K$5,$B165,"K"),"")</f>
        <v/>
      </c>
      <c r="L165" s="24" t="str">
        <f>IFERROR([1]!IntrinioBankFinancials(rssd_id,$R$2,L$6,L$5,$B165,"K"),"")</f>
        <v/>
      </c>
      <c r="M165" s="24" t="str">
        <f>IFERROR([1]!IntrinioBankFinancials(rssd_id,$R$2,M$6,M$5,$B165,"K"),"")</f>
        <v/>
      </c>
      <c r="N165" s="24" t="str">
        <f>IFERROR([1]!IntrinioBankFinancials(rssd_id,$R$2,N$6,N$5,$B165,"K"),"")</f>
        <v/>
      </c>
      <c r="O165" s="24" t="str">
        <f>IFERROR([1]!IntrinioBankFinancials(rssd_id,$R$2,O$6,O$5,$B165,"K"),"")</f>
        <v/>
      </c>
    </row>
    <row r="166" spans="1:15" ht="13.5" customHeight="1" x14ac:dyDescent="0.4">
      <c r="A166" s="34" t="s">
        <v>1173</v>
      </c>
      <c r="B166" s="23" t="s">
        <v>1105</v>
      </c>
      <c r="C166" s="24" t="str">
        <f>IFERROR([1]!IntrinioBankFinancials(rssd_id,$R$2,C$6,C$5,$B166,"K"),"")</f>
        <v/>
      </c>
      <c r="D166" s="24" t="str">
        <f>IFERROR([1]!IntrinioBankFinancials(rssd_id,$R$2,D$6,D$5,$B166,"K"),"")</f>
        <v/>
      </c>
      <c r="E166" s="24" t="str">
        <f>IFERROR([1]!IntrinioBankFinancials(rssd_id,$R$2,E$6,E$5,$B166,"K"),"")</f>
        <v/>
      </c>
      <c r="F166" s="24" t="str">
        <f>IFERROR([1]!IntrinioBankFinancials(rssd_id,$R$2,F$6,F$5,$B166,"K"),"")</f>
        <v/>
      </c>
      <c r="G166" s="24" t="str">
        <f>IFERROR([1]!IntrinioBankFinancials(rssd_id,$R$2,G$6,G$5,$B166,"K"),"")</f>
        <v/>
      </c>
      <c r="H166" s="24" t="str">
        <f>IFERROR([1]!IntrinioBankFinancials(rssd_id,$R$2,H$6,H$5,$B166,"K"),"")</f>
        <v/>
      </c>
      <c r="I166" s="24" t="str">
        <f>IFERROR([1]!IntrinioBankFinancials(rssd_id,$R$2,I$6,I$5,$B166,"K"),"")</f>
        <v/>
      </c>
      <c r="J166" s="24" t="str">
        <f>IFERROR([1]!IntrinioBankFinancials(rssd_id,$R$2,J$6,J$5,$B166,"K"),"")</f>
        <v/>
      </c>
      <c r="K166" s="24" t="str">
        <f>IFERROR([1]!IntrinioBankFinancials(rssd_id,$R$2,K$6,K$5,$B166,"K"),"")</f>
        <v/>
      </c>
      <c r="L166" s="24" t="str">
        <f>IFERROR([1]!IntrinioBankFinancials(rssd_id,$R$2,L$6,L$5,$B166,"K"),"")</f>
        <v/>
      </c>
      <c r="M166" s="24" t="str">
        <f>IFERROR([1]!IntrinioBankFinancials(rssd_id,$R$2,M$6,M$5,$B166,"K"),"")</f>
        <v/>
      </c>
      <c r="N166" s="24" t="str">
        <f>IFERROR([1]!IntrinioBankFinancials(rssd_id,$R$2,N$6,N$5,$B166,"K"),"")</f>
        <v/>
      </c>
      <c r="O166" s="24" t="str">
        <f>IFERROR([1]!IntrinioBankFinancials(rssd_id,$R$2,O$6,O$5,$B166,"K"),"")</f>
        <v/>
      </c>
    </row>
    <row r="167" spans="1:15" ht="13.5" customHeight="1" x14ac:dyDescent="0.4">
      <c r="A167" s="34" t="s">
        <v>1174</v>
      </c>
      <c r="B167" s="23" t="s">
        <v>1106</v>
      </c>
      <c r="C167" s="24" t="str">
        <f>IFERROR([1]!IntrinioBankFinancials(rssd_id,$R$2,C$6,C$5,$B167,"K"),"")</f>
        <v/>
      </c>
      <c r="D167" s="24" t="str">
        <f>IFERROR([1]!IntrinioBankFinancials(rssd_id,$R$2,D$6,D$5,$B167,"K"),"")</f>
        <v/>
      </c>
      <c r="E167" s="24" t="str">
        <f>IFERROR([1]!IntrinioBankFinancials(rssd_id,$R$2,E$6,E$5,$B167,"K"),"")</f>
        <v/>
      </c>
      <c r="F167" s="24" t="str">
        <f>IFERROR([1]!IntrinioBankFinancials(rssd_id,$R$2,F$6,F$5,$B167,"K"),"")</f>
        <v/>
      </c>
      <c r="G167" s="24" t="str">
        <f>IFERROR([1]!IntrinioBankFinancials(rssd_id,$R$2,G$6,G$5,$B167,"K"),"")</f>
        <v/>
      </c>
      <c r="H167" s="24" t="str">
        <f>IFERROR([1]!IntrinioBankFinancials(rssd_id,$R$2,H$6,H$5,$B167,"K"),"")</f>
        <v/>
      </c>
      <c r="I167" s="24" t="str">
        <f>IFERROR([1]!IntrinioBankFinancials(rssd_id,$R$2,I$6,I$5,$B167,"K"),"")</f>
        <v/>
      </c>
      <c r="J167" s="24" t="str">
        <f>IFERROR([1]!IntrinioBankFinancials(rssd_id,$R$2,J$6,J$5,$B167,"K"),"")</f>
        <v/>
      </c>
      <c r="K167" s="24" t="str">
        <f>IFERROR([1]!IntrinioBankFinancials(rssd_id,$R$2,K$6,K$5,$B167,"K"),"")</f>
        <v/>
      </c>
      <c r="L167" s="24" t="str">
        <f>IFERROR([1]!IntrinioBankFinancials(rssd_id,$R$2,L$6,L$5,$B167,"K"),"")</f>
        <v/>
      </c>
      <c r="M167" s="24" t="str">
        <f>IFERROR([1]!IntrinioBankFinancials(rssd_id,$R$2,M$6,M$5,$B167,"K"),"")</f>
        <v/>
      </c>
      <c r="N167" s="24" t="str">
        <f>IFERROR([1]!IntrinioBankFinancials(rssd_id,$R$2,N$6,N$5,$B167,"K"),"")</f>
        <v/>
      </c>
      <c r="O167" s="24" t="str">
        <f>IFERROR([1]!IntrinioBankFinancials(rssd_id,$R$2,O$6,O$5,$B167,"K"),"")</f>
        <v/>
      </c>
    </row>
    <row r="168" spans="1:15" ht="13.5" customHeight="1" x14ac:dyDescent="0.4">
      <c r="A168" s="34" t="s">
        <v>1175</v>
      </c>
      <c r="B168" s="23" t="s">
        <v>1107</v>
      </c>
      <c r="C168" s="24" t="str">
        <f>IFERROR([1]!IntrinioBankFinancials(rssd_id,$R$2,C$6,C$5,$B168,"K"),"")</f>
        <v/>
      </c>
      <c r="D168" s="24" t="str">
        <f>IFERROR([1]!IntrinioBankFinancials(rssd_id,$R$2,D$6,D$5,$B168,"K"),"")</f>
        <v/>
      </c>
      <c r="E168" s="24" t="str">
        <f>IFERROR([1]!IntrinioBankFinancials(rssd_id,$R$2,E$6,E$5,$B168,"K"),"")</f>
        <v/>
      </c>
      <c r="F168" s="24" t="str">
        <f>IFERROR([1]!IntrinioBankFinancials(rssd_id,$R$2,F$6,F$5,$B168,"K"),"")</f>
        <v/>
      </c>
      <c r="G168" s="24" t="str">
        <f>IFERROR([1]!IntrinioBankFinancials(rssd_id,$R$2,G$6,G$5,$B168,"K"),"")</f>
        <v/>
      </c>
      <c r="H168" s="24" t="str">
        <f>IFERROR([1]!IntrinioBankFinancials(rssd_id,$R$2,H$6,H$5,$B168,"K"),"")</f>
        <v/>
      </c>
      <c r="I168" s="24" t="str">
        <f>IFERROR([1]!IntrinioBankFinancials(rssd_id,$R$2,I$6,I$5,$B168,"K"),"")</f>
        <v/>
      </c>
      <c r="J168" s="24" t="str">
        <f>IFERROR([1]!IntrinioBankFinancials(rssd_id,$R$2,J$6,J$5,$B168,"K"),"")</f>
        <v/>
      </c>
      <c r="K168" s="24" t="str">
        <f>IFERROR([1]!IntrinioBankFinancials(rssd_id,$R$2,K$6,K$5,$B168,"K"),"")</f>
        <v/>
      </c>
      <c r="L168" s="24" t="str">
        <f>IFERROR([1]!IntrinioBankFinancials(rssd_id,$R$2,L$6,L$5,$B168,"K"),"")</f>
        <v/>
      </c>
      <c r="M168" s="24" t="str">
        <f>IFERROR([1]!IntrinioBankFinancials(rssd_id,$R$2,M$6,M$5,$B168,"K"),"")</f>
        <v/>
      </c>
      <c r="N168" s="24" t="str">
        <f>IFERROR([1]!IntrinioBankFinancials(rssd_id,$R$2,N$6,N$5,$B168,"K"),"")</f>
        <v/>
      </c>
      <c r="O168" s="24" t="str">
        <f>IFERROR([1]!IntrinioBankFinancials(rssd_id,$R$2,O$6,O$5,$B168,"K"),"")</f>
        <v/>
      </c>
    </row>
    <row r="169" spans="1:15" ht="13.5" customHeight="1" x14ac:dyDescent="0.4">
      <c r="A169" s="34" t="s">
        <v>1176</v>
      </c>
      <c r="B169" s="23" t="s">
        <v>1108</v>
      </c>
      <c r="C169" s="24" t="str">
        <f>IFERROR([1]!IntrinioBankFinancials(rssd_id,$R$2,C$6,C$5,$B169,"K"),"")</f>
        <v/>
      </c>
      <c r="D169" s="24" t="str">
        <f>IFERROR([1]!IntrinioBankFinancials(rssd_id,$R$2,D$6,D$5,$B169,"K"),"")</f>
        <v/>
      </c>
      <c r="E169" s="24" t="str">
        <f>IFERROR([1]!IntrinioBankFinancials(rssd_id,$R$2,E$6,E$5,$B169,"K"),"")</f>
        <v/>
      </c>
      <c r="F169" s="24" t="str">
        <f>IFERROR([1]!IntrinioBankFinancials(rssd_id,$R$2,F$6,F$5,$B169,"K"),"")</f>
        <v/>
      </c>
      <c r="G169" s="24" t="str">
        <f>IFERROR([1]!IntrinioBankFinancials(rssd_id,$R$2,G$6,G$5,$B169,"K"),"")</f>
        <v/>
      </c>
      <c r="H169" s="24" t="str">
        <f>IFERROR([1]!IntrinioBankFinancials(rssd_id,$R$2,H$6,H$5,$B169,"K"),"")</f>
        <v/>
      </c>
      <c r="I169" s="24" t="str">
        <f>IFERROR([1]!IntrinioBankFinancials(rssd_id,$R$2,I$6,I$5,$B169,"K"),"")</f>
        <v/>
      </c>
      <c r="J169" s="24" t="str">
        <f>IFERROR([1]!IntrinioBankFinancials(rssd_id,$R$2,J$6,J$5,$B169,"K"),"")</f>
        <v/>
      </c>
      <c r="K169" s="24" t="str">
        <f>IFERROR([1]!IntrinioBankFinancials(rssd_id,$R$2,K$6,K$5,$B169,"K"),"")</f>
        <v/>
      </c>
      <c r="L169" s="24" t="str">
        <f>IFERROR([1]!IntrinioBankFinancials(rssd_id,$R$2,L$6,L$5,$B169,"K"),"")</f>
        <v/>
      </c>
      <c r="M169" s="24" t="str">
        <f>IFERROR([1]!IntrinioBankFinancials(rssd_id,$R$2,M$6,M$5,$B169,"K"),"")</f>
        <v/>
      </c>
      <c r="N169" s="24" t="str">
        <f>IFERROR([1]!IntrinioBankFinancials(rssd_id,$R$2,N$6,N$5,$B169,"K"),"")</f>
        <v/>
      </c>
      <c r="O169" s="24" t="str">
        <f>IFERROR([1]!IntrinioBankFinancials(rssd_id,$R$2,O$6,O$5,$B169,"K"),"")</f>
        <v/>
      </c>
    </row>
    <row r="170" spans="1:15" ht="13.5" customHeight="1" x14ac:dyDescent="0.4">
      <c r="A170" s="34" t="s">
        <v>1109</v>
      </c>
      <c r="B170" s="23" t="s">
        <v>1110</v>
      </c>
      <c r="C170" s="24" t="str">
        <f>IFERROR([1]!IntrinioBankFinancials(rssd_id,$R$2,C$6,C$5,$B170,"K"),"")</f>
        <v/>
      </c>
      <c r="D170" s="24" t="str">
        <f>IFERROR([1]!IntrinioBankFinancials(rssd_id,$R$2,D$6,D$5,$B170,"K"),"")</f>
        <v/>
      </c>
      <c r="E170" s="24" t="str">
        <f>IFERROR([1]!IntrinioBankFinancials(rssd_id,$R$2,E$6,E$5,$B170,"K"),"")</f>
        <v/>
      </c>
      <c r="F170" s="24" t="str">
        <f>IFERROR([1]!IntrinioBankFinancials(rssd_id,$R$2,F$6,F$5,$B170,"K"),"")</f>
        <v/>
      </c>
      <c r="G170" s="24" t="str">
        <f>IFERROR([1]!IntrinioBankFinancials(rssd_id,$R$2,G$6,G$5,$B170,"K"),"")</f>
        <v/>
      </c>
      <c r="H170" s="24" t="str">
        <f>IFERROR([1]!IntrinioBankFinancials(rssd_id,$R$2,H$6,H$5,$B170,"K"),"")</f>
        <v/>
      </c>
      <c r="I170" s="24" t="str">
        <f>IFERROR([1]!IntrinioBankFinancials(rssd_id,$R$2,I$6,I$5,$B170,"K"),"")</f>
        <v/>
      </c>
      <c r="J170" s="24" t="str">
        <f>IFERROR([1]!IntrinioBankFinancials(rssd_id,$R$2,J$6,J$5,$B170,"K"),"")</f>
        <v/>
      </c>
      <c r="K170" s="24" t="str">
        <f>IFERROR([1]!IntrinioBankFinancials(rssd_id,$R$2,K$6,K$5,$B170,"K"),"")</f>
        <v/>
      </c>
      <c r="L170" s="24" t="str">
        <f>IFERROR([1]!IntrinioBankFinancials(rssd_id,$R$2,L$6,L$5,$B170,"K"),"")</f>
        <v/>
      </c>
      <c r="M170" s="24" t="str">
        <f>IFERROR([1]!IntrinioBankFinancials(rssd_id,$R$2,M$6,M$5,$B170,"K"),"")</f>
        <v/>
      </c>
      <c r="N170" s="24" t="str">
        <f>IFERROR([1]!IntrinioBankFinancials(rssd_id,$R$2,N$6,N$5,$B170,"K"),"")</f>
        <v/>
      </c>
      <c r="O170" s="24" t="str">
        <f>IFERROR([1]!IntrinioBankFinancials(rssd_id,$R$2,O$6,O$5,$B170,"K"),"")</f>
        <v/>
      </c>
    </row>
    <row r="171" spans="1:15" s="22" customFormat="1" ht="13.5" customHeight="1" x14ac:dyDescent="0.4">
      <c r="A171" s="33"/>
      <c r="B171" s="20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 s="22" customFormat="1" ht="13.5" customHeight="1" x14ac:dyDescent="0.4">
      <c r="A172" s="33" t="s">
        <v>1182</v>
      </c>
      <c r="B172" s="20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</row>
    <row r="173" spans="1:15" ht="13.5" customHeight="1" x14ac:dyDescent="0.4">
      <c r="A173" s="34" t="s">
        <v>1111</v>
      </c>
      <c r="B173" s="23" t="s">
        <v>1112</v>
      </c>
      <c r="C173" s="24" t="str">
        <f>IFERROR([1]!IntrinioBankFinancials(rssd_id,$R$2,C$6,C$5,$B173,"K"),"")</f>
        <v/>
      </c>
      <c r="D173" s="24" t="str">
        <f>IFERROR([1]!IntrinioBankFinancials(rssd_id,$R$2,D$6,D$5,$B173,"K"),"")</f>
        <v/>
      </c>
      <c r="E173" s="24" t="str">
        <f>IFERROR([1]!IntrinioBankFinancials(rssd_id,$R$2,E$6,E$5,$B173,"K"),"")</f>
        <v/>
      </c>
      <c r="F173" s="24" t="str">
        <f>IFERROR([1]!IntrinioBankFinancials(rssd_id,$R$2,F$6,F$5,$B173,"K"),"")</f>
        <v/>
      </c>
      <c r="G173" s="24" t="str">
        <f>IFERROR([1]!IntrinioBankFinancials(rssd_id,$R$2,G$6,G$5,$B173,"K"),"")</f>
        <v/>
      </c>
      <c r="H173" s="24" t="str">
        <f>IFERROR([1]!IntrinioBankFinancials(rssd_id,$R$2,H$6,H$5,$B173,"K"),"")</f>
        <v/>
      </c>
      <c r="I173" s="24" t="str">
        <f>IFERROR([1]!IntrinioBankFinancials(rssd_id,$R$2,I$6,I$5,$B173,"K"),"")</f>
        <v/>
      </c>
      <c r="J173" s="24" t="str">
        <f>IFERROR([1]!IntrinioBankFinancials(rssd_id,$R$2,J$6,J$5,$B173,"K"),"")</f>
        <v/>
      </c>
      <c r="K173" s="24" t="str">
        <f>IFERROR([1]!IntrinioBankFinancials(rssd_id,$R$2,K$6,K$5,$B173,"K"),"")</f>
        <v/>
      </c>
      <c r="L173" s="24" t="str">
        <f>IFERROR([1]!IntrinioBankFinancials(rssd_id,$R$2,L$6,L$5,$B173,"K"),"")</f>
        <v/>
      </c>
      <c r="M173" s="24" t="str">
        <f>IFERROR([1]!IntrinioBankFinancials(rssd_id,$R$2,M$6,M$5,$B173,"K"),"")</f>
        <v/>
      </c>
      <c r="N173" s="24" t="str">
        <f>IFERROR([1]!IntrinioBankFinancials(rssd_id,$R$2,N$6,N$5,$B173,"K"),"")</f>
        <v/>
      </c>
      <c r="O173" s="24" t="str">
        <f>IFERROR([1]!IntrinioBankFinancials(rssd_id,$R$2,O$6,O$5,$B173,"K"),"")</f>
        <v/>
      </c>
    </row>
    <row r="174" spans="1:15" ht="13.5" customHeight="1" x14ac:dyDescent="0.4">
      <c r="A174" s="34" t="s">
        <v>1113</v>
      </c>
      <c r="B174" s="23" t="s">
        <v>1114</v>
      </c>
      <c r="C174" s="24" t="str">
        <f>IFERROR([1]!IntrinioBankFinancials(rssd_id,$R$2,C$6,C$5,$B174,"K"),"")</f>
        <v/>
      </c>
      <c r="D174" s="24" t="str">
        <f>IFERROR([1]!IntrinioBankFinancials(rssd_id,$R$2,D$6,D$5,$B174,"K"),"")</f>
        <v/>
      </c>
      <c r="E174" s="24" t="str">
        <f>IFERROR([1]!IntrinioBankFinancials(rssd_id,$R$2,E$6,E$5,$B174,"K"),"")</f>
        <v/>
      </c>
      <c r="F174" s="24" t="str">
        <f>IFERROR([1]!IntrinioBankFinancials(rssd_id,$R$2,F$6,F$5,$B174,"K"),"")</f>
        <v/>
      </c>
      <c r="G174" s="24" t="str">
        <f>IFERROR([1]!IntrinioBankFinancials(rssd_id,$R$2,G$6,G$5,$B174,"K"),"")</f>
        <v/>
      </c>
      <c r="H174" s="24" t="str">
        <f>IFERROR([1]!IntrinioBankFinancials(rssd_id,$R$2,H$6,H$5,$B174,"K"),"")</f>
        <v/>
      </c>
      <c r="I174" s="24" t="str">
        <f>IFERROR([1]!IntrinioBankFinancials(rssd_id,$R$2,I$6,I$5,$B174,"K"),"")</f>
        <v/>
      </c>
      <c r="J174" s="24" t="str">
        <f>IFERROR([1]!IntrinioBankFinancials(rssd_id,$R$2,J$6,J$5,$B174,"K"),"")</f>
        <v/>
      </c>
      <c r="K174" s="24" t="str">
        <f>IFERROR([1]!IntrinioBankFinancials(rssd_id,$R$2,K$6,K$5,$B174,"K"),"")</f>
        <v/>
      </c>
      <c r="L174" s="24" t="str">
        <f>IFERROR([1]!IntrinioBankFinancials(rssd_id,$R$2,L$6,L$5,$B174,"K"),"")</f>
        <v/>
      </c>
      <c r="M174" s="24" t="str">
        <f>IFERROR([1]!IntrinioBankFinancials(rssd_id,$R$2,M$6,M$5,$B174,"K"),"")</f>
        <v/>
      </c>
      <c r="N174" s="24" t="str">
        <f>IFERROR([1]!IntrinioBankFinancials(rssd_id,$R$2,N$6,N$5,$B174,"K"),"")</f>
        <v/>
      </c>
      <c r="O174" s="24" t="str">
        <f>IFERROR([1]!IntrinioBankFinancials(rssd_id,$R$2,O$6,O$5,$B174,"K"),"")</f>
        <v/>
      </c>
    </row>
    <row r="175" spans="1:15" ht="13.5" customHeight="1" x14ac:dyDescent="0.4">
      <c r="A175" s="34" t="s">
        <v>1115</v>
      </c>
      <c r="B175" s="23" t="s">
        <v>1116</v>
      </c>
      <c r="C175" s="24" t="str">
        <f>IFERROR([1]!IntrinioBankFinancials(rssd_id,$R$2,C$6,C$5,$B175,"K"),"")</f>
        <v/>
      </c>
      <c r="D175" s="24" t="str">
        <f>IFERROR([1]!IntrinioBankFinancials(rssd_id,$R$2,D$6,D$5,$B175,"K"),"")</f>
        <v/>
      </c>
      <c r="E175" s="24" t="str">
        <f>IFERROR([1]!IntrinioBankFinancials(rssd_id,$R$2,E$6,E$5,$B175,"K"),"")</f>
        <v/>
      </c>
      <c r="F175" s="24" t="str">
        <f>IFERROR([1]!IntrinioBankFinancials(rssd_id,$R$2,F$6,F$5,$B175,"K"),"")</f>
        <v/>
      </c>
      <c r="G175" s="24" t="str">
        <f>IFERROR([1]!IntrinioBankFinancials(rssd_id,$R$2,G$6,G$5,$B175,"K"),"")</f>
        <v/>
      </c>
      <c r="H175" s="24" t="str">
        <f>IFERROR([1]!IntrinioBankFinancials(rssd_id,$R$2,H$6,H$5,$B175,"K"),"")</f>
        <v/>
      </c>
      <c r="I175" s="24" t="str">
        <f>IFERROR([1]!IntrinioBankFinancials(rssd_id,$R$2,I$6,I$5,$B175,"K"),"")</f>
        <v/>
      </c>
      <c r="J175" s="24" t="str">
        <f>IFERROR([1]!IntrinioBankFinancials(rssd_id,$R$2,J$6,J$5,$B175,"K"),"")</f>
        <v/>
      </c>
      <c r="K175" s="24" t="str">
        <f>IFERROR([1]!IntrinioBankFinancials(rssd_id,$R$2,K$6,K$5,$B175,"K"),"")</f>
        <v/>
      </c>
      <c r="L175" s="24" t="str">
        <f>IFERROR([1]!IntrinioBankFinancials(rssd_id,$R$2,L$6,L$5,$B175,"K"),"")</f>
        <v/>
      </c>
      <c r="M175" s="24" t="str">
        <f>IFERROR([1]!IntrinioBankFinancials(rssd_id,$R$2,M$6,M$5,$B175,"K"),"")</f>
        <v/>
      </c>
      <c r="N175" s="24" t="str">
        <f>IFERROR([1]!IntrinioBankFinancials(rssd_id,$R$2,N$6,N$5,$B175,"K"),"")</f>
        <v/>
      </c>
      <c r="O175" s="24" t="str">
        <f>IFERROR([1]!IntrinioBankFinancials(rssd_id,$R$2,O$6,O$5,$B175,"K"),"")</f>
        <v/>
      </c>
    </row>
    <row r="176" spans="1:15" ht="13.5" customHeight="1" x14ac:dyDescent="0.4">
      <c r="A176" s="34" t="s">
        <v>1117</v>
      </c>
      <c r="B176" s="23" t="s">
        <v>1118</v>
      </c>
      <c r="C176" s="24" t="str">
        <f>IFERROR([1]!IntrinioBankFinancials(rssd_id,$R$2,C$6,C$5,$B176,"K"),"")</f>
        <v/>
      </c>
      <c r="D176" s="24" t="str">
        <f>IFERROR([1]!IntrinioBankFinancials(rssd_id,$R$2,D$6,D$5,$B176,"K"),"")</f>
        <v/>
      </c>
      <c r="E176" s="24" t="str">
        <f>IFERROR([1]!IntrinioBankFinancials(rssd_id,$R$2,E$6,E$5,$B176,"K"),"")</f>
        <v/>
      </c>
      <c r="F176" s="24" t="str">
        <f>IFERROR([1]!IntrinioBankFinancials(rssd_id,$R$2,F$6,F$5,$B176,"K"),"")</f>
        <v/>
      </c>
      <c r="G176" s="24" t="str">
        <f>IFERROR([1]!IntrinioBankFinancials(rssd_id,$R$2,G$6,G$5,$B176,"K"),"")</f>
        <v/>
      </c>
      <c r="H176" s="24" t="str">
        <f>IFERROR([1]!IntrinioBankFinancials(rssd_id,$R$2,H$6,H$5,$B176,"K"),"")</f>
        <v/>
      </c>
      <c r="I176" s="24" t="str">
        <f>IFERROR([1]!IntrinioBankFinancials(rssd_id,$R$2,I$6,I$5,$B176,"K"),"")</f>
        <v/>
      </c>
      <c r="J176" s="24" t="str">
        <f>IFERROR([1]!IntrinioBankFinancials(rssd_id,$R$2,J$6,J$5,$B176,"K"),"")</f>
        <v/>
      </c>
      <c r="K176" s="24" t="str">
        <f>IFERROR([1]!IntrinioBankFinancials(rssd_id,$R$2,K$6,K$5,$B176,"K"),"")</f>
        <v/>
      </c>
      <c r="L176" s="24" t="str">
        <f>IFERROR([1]!IntrinioBankFinancials(rssd_id,$R$2,L$6,L$5,$B176,"K"),"")</f>
        <v/>
      </c>
      <c r="M176" s="24" t="str">
        <f>IFERROR([1]!IntrinioBankFinancials(rssd_id,$R$2,M$6,M$5,$B176,"K"),"")</f>
        <v/>
      </c>
      <c r="N176" s="24" t="str">
        <f>IFERROR([1]!IntrinioBankFinancials(rssd_id,$R$2,N$6,N$5,$B176,"K"),"")</f>
        <v/>
      </c>
      <c r="O176" s="24" t="str">
        <f>IFERROR([1]!IntrinioBankFinancials(rssd_id,$R$2,O$6,O$5,$B176,"K"),"")</f>
        <v/>
      </c>
    </row>
    <row r="177" spans="1:15" s="22" customFormat="1" ht="13.5" customHeight="1" x14ac:dyDescent="0.4">
      <c r="A177" s="33" t="s">
        <v>1181</v>
      </c>
      <c r="B177" s="20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 s="22" customFormat="1" ht="13.5" customHeight="1" x14ac:dyDescent="0.4">
      <c r="A178" s="33" t="s">
        <v>1180</v>
      </c>
      <c r="B178" s="20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</row>
    <row r="179" spans="1:15" ht="13.5" customHeight="1" x14ac:dyDescent="0.4">
      <c r="A179" s="34" t="s">
        <v>1119</v>
      </c>
      <c r="B179" s="23" t="s">
        <v>1120</v>
      </c>
      <c r="C179" s="24" t="str">
        <f>IFERROR([1]!IntrinioBankFinancials(rssd_id,$R$2,C$6,C$5,$B179,"K"),"")</f>
        <v/>
      </c>
      <c r="D179" s="24" t="str">
        <f>IFERROR([1]!IntrinioBankFinancials(rssd_id,$R$2,D$6,D$5,$B179,"K"),"")</f>
        <v/>
      </c>
      <c r="E179" s="24" t="str">
        <f>IFERROR([1]!IntrinioBankFinancials(rssd_id,$R$2,E$6,E$5,$B179,"K"),"")</f>
        <v/>
      </c>
      <c r="F179" s="24" t="str">
        <f>IFERROR([1]!IntrinioBankFinancials(rssd_id,$R$2,F$6,F$5,$B179,"K"),"")</f>
        <v/>
      </c>
      <c r="G179" s="24" t="str">
        <f>IFERROR([1]!IntrinioBankFinancials(rssd_id,$R$2,G$6,G$5,$B179,"K"),"")</f>
        <v/>
      </c>
      <c r="H179" s="24" t="str">
        <f>IFERROR([1]!IntrinioBankFinancials(rssd_id,$R$2,H$6,H$5,$B179,"K"),"")</f>
        <v/>
      </c>
      <c r="I179" s="24" t="str">
        <f>IFERROR([1]!IntrinioBankFinancials(rssd_id,$R$2,I$6,I$5,$B179,"K"),"")</f>
        <v/>
      </c>
      <c r="J179" s="24" t="str">
        <f>IFERROR([1]!IntrinioBankFinancials(rssd_id,$R$2,J$6,J$5,$B179,"K"),"")</f>
        <v/>
      </c>
      <c r="K179" s="24" t="str">
        <f>IFERROR([1]!IntrinioBankFinancials(rssd_id,$R$2,K$6,K$5,$B179,"K"),"")</f>
        <v/>
      </c>
      <c r="L179" s="24" t="str">
        <f>IFERROR([1]!IntrinioBankFinancials(rssd_id,$R$2,L$6,L$5,$B179,"K"),"")</f>
        <v/>
      </c>
      <c r="M179" s="24" t="str">
        <f>IFERROR([1]!IntrinioBankFinancials(rssd_id,$R$2,M$6,M$5,$B179,"K"),"")</f>
        <v/>
      </c>
      <c r="N179" s="24" t="str">
        <f>IFERROR([1]!IntrinioBankFinancials(rssd_id,$R$2,N$6,N$5,$B179,"K"),"")</f>
        <v/>
      </c>
      <c r="O179" s="24" t="str">
        <f>IFERROR([1]!IntrinioBankFinancials(rssd_id,$R$2,O$6,O$5,$B179,"K"),"")</f>
        <v/>
      </c>
    </row>
    <row r="180" spans="1:15" ht="13.5" customHeight="1" x14ac:dyDescent="0.4">
      <c r="A180" s="34" t="s">
        <v>1121</v>
      </c>
      <c r="B180" s="23" t="s">
        <v>1122</v>
      </c>
      <c r="C180" s="24" t="str">
        <f>IFERROR([1]!IntrinioBankFinancials(rssd_id,$R$2,C$6,C$5,$B180,"K"),"")</f>
        <v/>
      </c>
      <c r="D180" s="24" t="str">
        <f>IFERROR([1]!IntrinioBankFinancials(rssd_id,$R$2,D$6,D$5,$B180,"K"),"")</f>
        <v/>
      </c>
      <c r="E180" s="24" t="str">
        <f>IFERROR([1]!IntrinioBankFinancials(rssd_id,$R$2,E$6,E$5,$B180,"K"),"")</f>
        <v/>
      </c>
      <c r="F180" s="24" t="str">
        <f>IFERROR([1]!IntrinioBankFinancials(rssd_id,$R$2,F$6,F$5,$B180,"K"),"")</f>
        <v/>
      </c>
      <c r="G180" s="24" t="str">
        <f>IFERROR([1]!IntrinioBankFinancials(rssd_id,$R$2,G$6,G$5,$B180,"K"),"")</f>
        <v/>
      </c>
      <c r="H180" s="24" t="str">
        <f>IFERROR([1]!IntrinioBankFinancials(rssd_id,$R$2,H$6,H$5,$B180,"K"),"")</f>
        <v/>
      </c>
      <c r="I180" s="24" t="str">
        <f>IFERROR([1]!IntrinioBankFinancials(rssd_id,$R$2,I$6,I$5,$B180,"K"),"")</f>
        <v/>
      </c>
      <c r="J180" s="24" t="str">
        <f>IFERROR([1]!IntrinioBankFinancials(rssd_id,$R$2,J$6,J$5,$B180,"K"),"")</f>
        <v/>
      </c>
      <c r="K180" s="24" t="str">
        <f>IFERROR([1]!IntrinioBankFinancials(rssd_id,$R$2,K$6,K$5,$B180,"K"),"")</f>
        <v/>
      </c>
      <c r="L180" s="24" t="str">
        <f>IFERROR([1]!IntrinioBankFinancials(rssd_id,$R$2,L$6,L$5,$B180,"K"),"")</f>
        <v/>
      </c>
      <c r="M180" s="24" t="str">
        <f>IFERROR([1]!IntrinioBankFinancials(rssd_id,$R$2,M$6,M$5,$B180,"K"),"")</f>
        <v/>
      </c>
      <c r="N180" s="24" t="str">
        <f>IFERROR([1]!IntrinioBankFinancials(rssd_id,$R$2,N$6,N$5,$B180,"K"),"")</f>
        <v/>
      </c>
      <c r="O180" s="24" t="str">
        <f>IFERROR([1]!IntrinioBankFinancials(rssd_id,$R$2,O$6,O$5,$B180,"K"),"")</f>
        <v/>
      </c>
    </row>
    <row r="181" spans="1:15" ht="13.5" customHeight="1" x14ac:dyDescent="0.4">
      <c r="A181" s="34" t="s">
        <v>1123</v>
      </c>
      <c r="B181" s="23" t="s">
        <v>1124</v>
      </c>
      <c r="C181" s="24" t="str">
        <f>IFERROR([1]!IntrinioBankFinancials(rssd_id,$R$2,C$6,C$5,$B181,"K"),"")</f>
        <v/>
      </c>
      <c r="D181" s="24" t="str">
        <f>IFERROR([1]!IntrinioBankFinancials(rssd_id,$R$2,D$6,D$5,$B181,"K"),"")</f>
        <v/>
      </c>
      <c r="E181" s="24" t="str">
        <f>IFERROR([1]!IntrinioBankFinancials(rssd_id,$R$2,E$6,E$5,$B181,"K"),"")</f>
        <v/>
      </c>
      <c r="F181" s="24" t="str">
        <f>IFERROR([1]!IntrinioBankFinancials(rssd_id,$R$2,F$6,F$5,$B181,"K"),"")</f>
        <v/>
      </c>
      <c r="G181" s="24" t="str">
        <f>IFERROR([1]!IntrinioBankFinancials(rssd_id,$R$2,G$6,G$5,$B181,"K"),"")</f>
        <v/>
      </c>
      <c r="H181" s="24" t="str">
        <f>IFERROR([1]!IntrinioBankFinancials(rssd_id,$R$2,H$6,H$5,$B181,"K"),"")</f>
        <v/>
      </c>
      <c r="I181" s="24" t="str">
        <f>IFERROR([1]!IntrinioBankFinancials(rssd_id,$R$2,I$6,I$5,$B181,"K"),"")</f>
        <v/>
      </c>
      <c r="J181" s="24" t="str">
        <f>IFERROR([1]!IntrinioBankFinancials(rssd_id,$R$2,J$6,J$5,$B181,"K"),"")</f>
        <v/>
      </c>
      <c r="K181" s="24" t="str">
        <f>IFERROR([1]!IntrinioBankFinancials(rssd_id,$R$2,K$6,K$5,$B181,"K"),"")</f>
        <v/>
      </c>
      <c r="L181" s="24" t="str">
        <f>IFERROR([1]!IntrinioBankFinancials(rssd_id,$R$2,L$6,L$5,$B181,"K"),"")</f>
        <v/>
      </c>
      <c r="M181" s="24" t="str">
        <f>IFERROR([1]!IntrinioBankFinancials(rssd_id,$R$2,M$6,M$5,$B181,"K"),"")</f>
        <v/>
      </c>
      <c r="N181" s="24" t="str">
        <f>IFERROR([1]!IntrinioBankFinancials(rssd_id,$R$2,N$6,N$5,$B181,"K"),"")</f>
        <v/>
      </c>
      <c r="O181" s="24" t="str">
        <f>IFERROR([1]!IntrinioBankFinancials(rssd_id,$R$2,O$6,O$5,$B181,"K"),"")</f>
        <v/>
      </c>
    </row>
    <row r="182" spans="1:15" ht="13.5" customHeight="1" x14ac:dyDescent="0.4">
      <c r="A182" s="34" t="s">
        <v>1125</v>
      </c>
      <c r="B182" s="23" t="s">
        <v>1126</v>
      </c>
      <c r="C182" s="24" t="str">
        <f>IFERROR([1]!IntrinioBankFinancials(rssd_id,$R$2,C$6,C$5,$B182,"K"),"")</f>
        <v/>
      </c>
      <c r="D182" s="24" t="str">
        <f>IFERROR([1]!IntrinioBankFinancials(rssd_id,$R$2,D$6,D$5,$B182,"K"),"")</f>
        <v/>
      </c>
      <c r="E182" s="24" t="str">
        <f>IFERROR([1]!IntrinioBankFinancials(rssd_id,$R$2,E$6,E$5,$B182,"K"),"")</f>
        <v/>
      </c>
      <c r="F182" s="24" t="str">
        <f>IFERROR([1]!IntrinioBankFinancials(rssd_id,$R$2,F$6,F$5,$B182,"K"),"")</f>
        <v/>
      </c>
      <c r="G182" s="24" t="str">
        <f>IFERROR([1]!IntrinioBankFinancials(rssd_id,$R$2,G$6,G$5,$B182,"K"),"")</f>
        <v/>
      </c>
      <c r="H182" s="24" t="str">
        <f>IFERROR([1]!IntrinioBankFinancials(rssd_id,$R$2,H$6,H$5,$B182,"K"),"")</f>
        <v/>
      </c>
      <c r="I182" s="24" t="str">
        <f>IFERROR([1]!IntrinioBankFinancials(rssd_id,$R$2,I$6,I$5,$B182,"K"),"")</f>
        <v/>
      </c>
      <c r="J182" s="24" t="str">
        <f>IFERROR([1]!IntrinioBankFinancials(rssd_id,$R$2,J$6,J$5,$B182,"K"),"")</f>
        <v/>
      </c>
      <c r="K182" s="24" t="str">
        <f>IFERROR([1]!IntrinioBankFinancials(rssd_id,$R$2,K$6,K$5,$B182,"K"),"")</f>
        <v/>
      </c>
      <c r="L182" s="24" t="str">
        <f>IFERROR([1]!IntrinioBankFinancials(rssd_id,$R$2,L$6,L$5,$B182,"K"),"")</f>
        <v/>
      </c>
      <c r="M182" s="24" t="str">
        <f>IFERROR([1]!IntrinioBankFinancials(rssd_id,$R$2,M$6,M$5,$B182,"K"),"")</f>
        <v/>
      </c>
      <c r="N182" s="24" t="str">
        <f>IFERROR([1]!IntrinioBankFinancials(rssd_id,$R$2,N$6,N$5,$B182,"K"),"")</f>
        <v/>
      </c>
      <c r="O182" s="24" t="str">
        <f>IFERROR([1]!IntrinioBankFinancials(rssd_id,$R$2,O$6,O$5,$B182,"K"),"")</f>
        <v/>
      </c>
    </row>
    <row r="183" spans="1:15" ht="13.5" customHeight="1" x14ac:dyDescent="0.4">
      <c r="A183" s="34" t="s">
        <v>1127</v>
      </c>
      <c r="B183" s="23" t="s">
        <v>1128</v>
      </c>
      <c r="C183" s="24" t="str">
        <f>IFERROR([1]!IntrinioBankFinancials(rssd_id,$R$2,C$6,C$5,$B183,"K"),"")</f>
        <v/>
      </c>
      <c r="D183" s="24" t="str">
        <f>IFERROR([1]!IntrinioBankFinancials(rssd_id,$R$2,D$6,D$5,$B183,"K"),"")</f>
        <v/>
      </c>
      <c r="E183" s="24" t="str">
        <f>IFERROR([1]!IntrinioBankFinancials(rssd_id,$R$2,E$6,E$5,$B183,"K"),"")</f>
        <v/>
      </c>
      <c r="F183" s="24" t="str">
        <f>IFERROR([1]!IntrinioBankFinancials(rssd_id,$R$2,F$6,F$5,$B183,"K"),"")</f>
        <v/>
      </c>
      <c r="G183" s="24" t="str">
        <f>IFERROR([1]!IntrinioBankFinancials(rssd_id,$R$2,G$6,G$5,$B183,"K"),"")</f>
        <v/>
      </c>
      <c r="H183" s="24" t="str">
        <f>IFERROR([1]!IntrinioBankFinancials(rssd_id,$R$2,H$6,H$5,$B183,"K"),"")</f>
        <v/>
      </c>
      <c r="I183" s="24" t="str">
        <f>IFERROR([1]!IntrinioBankFinancials(rssd_id,$R$2,I$6,I$5,$B183,"K"),"")</f>
        <v/>
      </c>
      <c r="J183" s="24" t="str">
        <f>IFERROR([1]!IntrinioBankFinancials(rssd_id,$R$2,J$6,J$5,$B183,"K"),"")</f>
        <v/>
      </c>
      <c r="K183" s="24" t="str">
        <f>IFERROR([1]!IntrinioBankFinancials(rssd_id,$R$2,K$6,K$5,$B183,"K"),"")</f>
        <v/>
      </c>
      <c r="L183" s="24" t="str">
        <f>IFERROR([1]!IntrinioBankFinancials(rssd_id,$R$2,L$6,L$5,$B183,"K"),"")</f>
        <v/>
      </c>
      <c r="M183" s="24" t="str">
        <f>IFERROR([1]!IntrinioBankFinancials(rssd_id,$R$2,M$6,M$5,$B183,"K"),"")</f>
        <v/>
      </c>
      <c r="N183" s="24" t="str">
        <f>IFERROR([1]!IntrinioBankFinancials(rssd_id,$R$2,N$6,N$5,$B183,"K"),"")</f>
        <v/>
      </c>
      <c r="O183" s="24" t="str">
        <f>IFERROR([1]!IntrinioBankFinancials(rssd_id,$R$2,O$6,O$5,$B183,"K"),"")</f>
        <v/>
      </c>
    </row>
    <row r="184" spans="1:15" s="22" customFormat="1" ht="13.5" customHeight="1" x14ac:dyDescent="0.4">
      <c r="A184" s="33"/>
      <c r="B184" s="20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</row>
    <row r="185" spans="1:15" s="22" customFormat="1" ht="13.5" customHeight="1" x14ac:dyDescent="0.4">
      <c r="A185" s="33" t="s">
        <v>1179</v>
      </c>
      <c r="B185" s="20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</row>
    <row r="186" spans="1:15" ht="13.5" customHeight="1" x14ac:dyDescent="0.4">
      <c r="A186" s="34" t="s">
        <v>1119</v>
      </c>
      <c r="B186" s="23" t="s">
        <v>1129</v>
      </c>
      <c r="C186" s="24" t="str">
        <f>IFERROR([1]!IntrinioBankFinancials(rssd_id,$R$2,C$6,C$5,$B186,"K"),"")</f>
        <v/>
      </c>
      <c r="D186" s="24" t="str">
        <f>IFERROR([1]!IntrinioBankFinancials(rssd_id,$R$2,D$6,D$5,$B186,"K"),"")</f>
        <v/>
      </c>
      <c r="E186" s="24" t="str">
        <f>IFERROR([1]!IntrinioBankFinancials(rssd_id,$R$2,E$6,E$5,$B186,"K"),"")</f>
        <v/>
      </c>
      <c r="F186" s="24" t="str">
        <f>IFERROR([1]!IntrinioBankFinancials(rssd_id,$R$2,F$6,F$5,$B186,"K"),"")</f>
        <v/>
      </c>
      <c r="G186" s="24" t="str">
        <f>IFERROR([1]!IntrinioBankFinancials(rssd_id,$R$2,G$6,G$5,$B186,"K"),"")</f>
        <v/>
      </c>
      <c r="H186" s="24" t="str">
        <f>IFERROR([1]!IntrinioBankFinancials(rssd_id,$R$2,H$6,H$5,$B186,"K"),"")</f>
        <v/>
      </c>
      <c r="I186" s="24" t="str">
        <f>IFERROR([1]!IntrinioBankFinancials(rssd_id,$R$2,I$6,I$5,$B186,"K"),"")</f>
        <v/>
      </c>
      <c r="J186" s="24" t="str">
        <f>IFERROR([1]!IntrinioBankFinancials(rssd_id,$R$2,J$6,J$5,$B186,"K"),"")</f>
        <v/>
      </c>
      <c r="K186" s="24" t="str">
        <f>IFERROR([1]!IntrinioBankFinancials(rssd_id,$R$2,K$6,K$5,$B186,"K"),"")</f>
        <v/>
      </c>
      <c r="L186" s="24" t="str">
        <f>IFERROR([1]!IntrinioBankFinancials(rssd_id,$R$2,L$6,L$5,$B186,"K"),"")</f>
        <v/>
      </c>
      <c r="M186" s="24" t="str">
        <f>IFERROR([1]!IntrinioBankFinancials(rssd_id,$R$2,M$6,M$5,$B186,"K"),"")</f>
        <v/>
      </c>
      <c r="N186" s="24" t="str">
        <f>IFERROR([1]!IntrinioBankFinancials(rssd_id,$R$2,N$6,N$5,$B186,"K"),"")</f>
        <v/>
      </c>
      <c r="O186" s="24" t="str">
        <f>IFERROR([1]!IntrinioBankFinancials(rssd_id,$R$2,O$6,O$5,$B186,"K"),"")</f>
        <v/>
      </c>
    </row>
    <row r="187" spans="1:15" ht="13.5" customHeight="1" x14ac:dyDescent="0.4">
      <c r="A187" s="34" t="s">
        <v>1121</v>
      </c>
      <c r="B187" s="23" t="s">
        <v>1130</v>
      </c>
      <c r="C187" s="24" t="str">
        <f>IFERROR([1]!IntrinioBankFinancials(rssd_id,$R$2,C$6,C$5,$B187,"K"),"")</f>
        <v/>
      </c>
      <c r="D187" s="24" t="str">
        <f>IFERROR([1]!IntrinioBankFinancials(rssd_id,$R$2,D$6,D$5,$B187,"K"),"")</f>
        <v/>
      </c>
      <c r="E187" s="24" t="str">
        <f>IFERROR([1]!IntrinioBankFinancials(rssd_id,$R$2,E$6,E$5,$B187,"K"),"")</f>
        <v/>
      </c>
      <c r="F187" s="24" t="str">
        <f>IFERROR([1]!IntrinioBankFinancials(rssd_id,$R$2,F$6,F$5,$B187,"K"),"")</f>
        <v/>
      </c>
      <c r="G187" s="24" t="str">
        <f>IFERROR([1]!IntrinioBankFinancials(rssd_id,$R$2,G$6,G$5,$B187,"K"),"")</f>
        <v/>
      </c>
      <c r="H187" s="24" t="str">
        <f>IFERROR([1]!IntrinioBankFinancials(rssd_id,$R$2,H$6,H$5,$B187,"K"),"")</f>
        <v/>
      </c>
      <c r="I187" s="24" t="str">
        <f>IFERROR([1]!IntrinioBankFinancials(rssd_id,$R$2,I$6,I$5,$B187,"K"),"")</f>
        <v/>
      </c>
      <c r="J187" s="24" t="str">
        <f>IFERROR([1]!IntrinioBankFinancials(rssd_id,$R$2,J$6,J$5,$B187,"K"),"")</f>
        <v/>
      </c>
      <c r="K187" s="24" t="str">
        <f>IFERROR([1]!IntrinioBankFinancials(rssd_id,$R$2,K$6,K$5,$B187,"K"),"")</f>
        <v/>
      </c>
      <c r="L187" s="24" t="str">
        <f>IFERROR([1]!IntrinioBankFinancials(rssd_id,$R$2,L$6,L$5,$B187,"K"),"")</f>
        <v/>
      </c>
      <c r="M187" s="24" t="str">
        <f>IFERROR([1]!IntrinioBankFinancials(rssd_id,$R$2,M$6,M$5,$B187,"K"),"")</f>
        <v/>
      </c>
      <c r="N187" s="24" t="str">
        <f>IFERROR([1]!IntrinioBankFinancials(rssd_id,$R$2,N$6,N$5,$B187,"K"),"")</f>
        <v/>
      </c>
      <c r="O187" s="24" t="str">
        <f>IFERROR([1]!IntrinioBankFinancials(rssd_id,$R$2,O$6,O$5,$B187,"K"),"")</f>
        <v/>
      </c>
    </row>
    <row r="188" spans="1:15" ht="13.5" customHeight="1" x14ac:dyDescent="0.4">
      <c r="A188" s="34" t="s">
        <v>1123</v>
      </c>
      <c r="B188" s="23" t="s">
        <v>1131</v>
      </c>
      <c r="C188" s="24" t="str">
        <f>IFERROR([1]!IntrinioBankFinancials(rssd_id,$R$2,C$6,C$5,$B188,"K"),"")</f>
        <v/>
      </c>
      <c r="D188" s="24" t="str">
        <f>IFERROR([1]!IntrinioBankFinancials(rssd_id,$R$2,D$6,D$5,$B188,"K"),"")</f>
        <v/>
      </c>
      <c r="E188" s="24" t="str">
        <f>IFERROR([1]!IntrinioBankFinancials(rssd_id,$R$2,E$6,E$5,$B188,"K"),"")</f>
        <v/>
      </c>
      <c r="F188" s="24" t="str">
        <f>IFERROR([1]!IntrinioBankFinancials(rssd_id,$R$2,F$6,F$5,$B188,"K"),"")</f>
        <v/>
      </c>
      <c r="G188" s="24" t="str">
        <f>IFERROR([1]!IntrinioBankFinancials(rssd_id,$R$2,G$6,G$5,$B188,"K"),"")</f>
        <v/>
      </c>
      <c r="H188" s="24" t="str">
        <f>IFERROR([1]!IntrinioBankFinancials(rssd_id,$R$2,H$6,H$5,$B188,"K"),"")</f>
        <v/>
      </c>
      <c r="I188" s="24" t="str">
        <f>IFERROR([1]!IntrinioBankFinancials(rssd_id,$R$2,I$6,I$5,$B188,"K"),"")</f>
        <v/>
      </c>
      <c r="J188" s="24" t="str">
        <f>IFERROR([1]!IntrinioBankFinancials(rssd_id,$R$2,J$6,J$5,$B188,"K"),"")</f>
        <v/>
      </c>
      <c r="K188" s="24" t="str">
        <f>IFERROR([1]!IntrinioBankFinancials(rssd_id,$R$2,K$6,K$5,$B188,"K"),"")</f>
        <v/>
      </c>
      <c r="L188" s="24" t="str">
        <f>IFERROR([1]!IntrinioBankFinancials(rssd_id,$R$2,L$6,L$5,$B188,"K"),"")</f>
        <v/>
      </c>
      <c r="M188" s="24" t="str">
        <f>IFERROR([1]!IntrinioBankFinancials(rssd_id,$R$2,M$6,M$5,$B188,"K"),"")</f>
        <v/>
      </c>
      <c r="N188" s="24" t="str">
        <f>IFERROR([1]!IntrinioBankFinancials(rssd_id,$R$2,N$6,N$5,$B188,"K"),"")</f>
        <v/>
      </c>
      <c r="O188" s="24" t="str">
        <f>IFERROR([1]!IntrinioBankFinancials(rssd_id,$R$2,O$6,O$5,$B188,"K"),"")</f>
        <v/>
      </c>
    </row>
    <row r="189" spans="1:15" ht="13.5" customHeight="1" x14ac:dyDescent="0.4">
      <c r="A189" s="34" t="s">
        <v>1132</v>
      </c>
      <c r="B189" s="23" t="s">
        <v>1133</v>
      </c>
      <c r="C189" s="24" t="str">
        <f>IFERROR([1]!IntrinioBankFinancials(rssd_id,$R$2,C$6,C$5,$B189,"K"),"")</f>
        <v/>
      </c>
      <c r="D189" s="24" t="str">
        <f>IFERROR([1]!IntrinioBankFinancials(rssd_id,$R$2,D$6,D$5,$B189,"K"),"")</f>
        <v/>
      </c>
      <c r="E189" s="24" t="str">
        <f>IFERROR([1]!IntrinioBankFinancials(rssd_id,$R$2,E$6,E$5,$B189,"K"),"")</f>
        <v/>
      </c>
      <c r="F189" s="24" t="str">
        <f>IFERROR([1]!IntrinioBankFinancials(rssd_id,$R$2,F$6,F$5,$B189,"K"),"")</f>
        <v/>
      </c>
      <c r="G189" s="24" t="str">
        <f>IFERROR([1]!IntrinioBankFinancials(rssd_id,$R$2,G$6,G$5,$B189,"K"),"")</f>
        <v/>
      </c>
      <c r="H189" s="24" t="str">
        <f>IFERROR([1]!IntrinioBankFinancials(rssd_id,$R$2,H$6,H$5,$B189,"K"),"")</f>
        <v/>
      </c>
      <c r="I189" s="24" t="str">
        <f>IFERROR([1]!IntrinioBankFinancials(rssd_id,$R$2,I$6,I$5,$B189,"K"),"")</f>
        <v/>
      </c>
      <c r="J189" s="24" t="str">
        <f>IFERROR([1]!IntrinioBankFinancials(rssd_id,$R$2,J$6,J$5,$B189,"K"),"")</f>
        <v/>
      </c>
      <c r="K189" s="24" t="str">
        <f>IFERROR([1]!IntrinioBankFinancials(rssd_id,$R$2,K$6,K$5,$B189,"K"),"")</f>
        <v/>
      </c>
      <c r="L189" s="24" t="str">
        <f>IFERROR([1]!IntrinioBankFinancials(rssd_id,$R$2,L$6,L$5,$B189,"K"),"")</f>
        <v/>
      </c>
      <c r="M189" s="24" t="str">
        <f>IFERROR([1]!IntrinioBankFinancials(rssd_id,$R$2,M$6,M$5,$B189,"K"),"")</f>
        <v/>
      </c>
      <c r="N189" s="24" t="str">
        <f>IFERROR([1]!IntrinioBankFinancials(rssd_id,$R$2,N$6,N$5,$B189,"K"),"")</f>
        <v/>
      </c>
      <c r="O189" s="24" t="str">
        <f>IFERROR([1]!IntrinioBankFinancials(rssd_id,$R$2,O$6,O$5,$B189,"K"),"")</f>
        <v/>
      </c>
    </row>
    <row r="190" spans="1:15" ht="13.5" customHeight="1" x14ac:dyDescent="0.4">
      <c r="A190" s="34" t="s">
        <v>1127</v>
      </c>
      <c r="B190" s="23" t="s">
        <v>1134</v>
      </c>
      <c r="C190" s="24" t="str">
        <f>IFERROR([1]!IntrinioBankFinancials(rssd_id,$R$2,C$6,C$5,$B190,"K"),"")</f>
        <v/>
      </c>
      <c r="D190" s="24" t="str">
        <f>IFERROR([1]!IntrinioBankFinancials(rssd_id,$R$2,D$6,D$5,$B190,"K"),"")</f>
        <v/>
      </c>
      <c r="E190" s="24" t="str">
        <f>IFERROR([1]!IntrinioBankFinancials(rssd_id,$R$2,E$6,E$5,$B190,"K"),"")</f>
        <v/>
      </c>
      <c r="F190" s="24" t="str">
        <f>IFERROR([1]!IntrinioBankFinancials(rssd_id,$R$2,F$6,F$5,$B190,"K"),"")</f>
        <v/>
      </c>
      <c r="G190" s="24" t="str">
        <f>IFERROR([1]!IntrinioBankFinancials(rssd_id,$R$2,G$6,G$5,$B190,"K"),"")</f>
        <v/>
      </c>
      <c r="H190" s="24" t="str">
        <f>IFERROR([1]!IntrinioBankFinancials(rssd_id,$R$2,H$6,H$5,$B190,"K"),"")</f>
        <v/>
      </c>
      <c r="I190" s="24" t="str">
        <f>IFERROR([1]!IntrinioBankFinancials(rssd_id,$R$2,I$6,I$5,$B190,"K"),"")</f>
        <v/>
      </c>
      <c r="J190" s="24" t="str">
        <f>IFERROR([1]!IntrinioBankFinancials(rssd_id,$R$2,J$6,J$5,$B190,"K"),"")</f>
        <v/>
      </c>
      <c r="K190" s="24" t="str">
        <f>IFERROR([1]!IntrinioBankFinancials(rssd_id,$R$2,K$6,K$5,$B190,"K"),"")</f>
        <v/>
      </c>
      <c r="L190" s="24" t="str">
        <f>IFERROR([1]!IntrinioBankFinancials(rssd_id,$R$2,L$6,L$5,$B190,"K"),"")</f>
        <v/>
      </c>
      <c r="M190" s="24" t="str">
        <f>IFERROR([1]!IntrinioBankFinancials(rssd_id,$R$2,M$6,M$5,$B190,"K"),"")</f>
        <v/>
      </c>
      <c r="N190" s="24" t="str">
        <f>IFERROR([1]!IntrinioBankFinancials(rssd_id,$R$2,N$6,N$5,$B190,"K"),"")</f>
        <v/>
      </c>
      <c r="O190" s="24" t="str">
        <f>IFERROR([1]!IntrinioBankFinancials(rssd_id,$R$2,O$6,O$5,$B190,"K"),"")</f>
        <v/>
      </c>
    </row>
    <row r="191" spans="1:15" s="22" customFormat="1" ht="13.5" customHeight="1" x14ac:dyDescent="0.4">
      <c r="A191" s="33"/>
      <c r="B191" s="20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</row>
    <row r="192" spans="1:15" s="22" customFormat="1" ht="13.5" customHeight="1" x14ac:dyDescent="0.4">
      <c r="A192" s="33" t="s">
        <v>1178</v>
      </c>
      <c r="B192" s="20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 ht="13.5" customHeight="1" x14ac:dyDescent="0.4">
      <c r="A193" s="34" t="s">
        <v>1135</v>
      </c>
      <c r="B193" s="23" t="s">
        <v>1136</v>
      </c>
      <c r="C193" s="24" t="str">
        <f>IFERROR([1]!IntrinioBankFinancials(rssd_id,$R$2,C$6,C$5,$B193,"K"),"")</f>
        <v/>
      </c>
      <c r="D193" s="24" t="str">
        <f>IFERROR([1]!IntrinioBankFinancials(rssd_id,$R$2,D$6,D$5,$B193,"K"),"")</f>
        <v/>
      </c>
      <c r="E193" s="24" t="str">
        <f>IFERROR([1]!IntrinioBankFinancials(rssd_id,$R$2,E$6,E$5,$B193,"K"),"")</f>
        <v/>
      </c>
      <c r="F193" s="24" t="str">
        <f>IFERROR([1]!IntrinioBankFinancials(rssd_id,$R$2,F$6,F$5,$B193,"K"),"")</f>
        <v/>
      </c>
      <c r="G193" s="24" t="str">
        <f>IFERROR([1]!IntrinioBankFinancials(rssd_id,$R$2,G$6,G$5,$B193,"K"),"")</f>
        <v/>
      </c>
      <c r="H193" s="24" t="str">
        <f>IFERROR([1]!IntrinioBankFinancials(rssd_id,$R$2,H$6,H$5,$B193,"K"),"")</f>
        <v/>
      </c>
      <c r="I193" s="24" t="str">
        <f>IFERROR([1]!IntrinioBankFinancials(rssd_id,$R$2,I$6,I$5,$B193,"K"),"")</f>
        <v/>
      </c>
      <c r="J193" s="24" t="str">
        <f>IFERROR([1]!IntrinioBankFinancials(rssd_id,$R$2,J$6,J$5,$B193,"K"),"")</f>
        <v/>
      </c>
      <c r="K193" s="24" t="str">
        <f>IFERROR([1]!IntrinioBankFinancials(rssd_id,$R$2,K$6,K$5,$B193,"K"),"")</f>
        <v/>
      </c>
      <c r="L193" s="24" t="str">
        <f>IFERROR([1]!IntrinioBankFinancials(rssd_id,$R$2,L$6,L$5,$B193,"K"),"")</f>
        <v/>
      </c>
      <c r="M193" s="24" t="str">
        <f>IFERROR([1]!IntrinioBankFinancials(rssd_id,$R$2,M$6,M$5,$B193,"K"),"")</f>
        <v/>
      </c>
      <c r="N193" s="24" t="str">
        <f>IFERROR([1]!IntrinioBankFinancials(rssd_id,$R$2,N$6,N$5,$B193,"K"),"")</f>
        <v/>
      </c>
      <c r="O193" s="24" t="str">
        <f>IFERROR([1]!IntrinioBankFinancials(rssd_id,$R$2,O$6,O$5,$B193,"K"),"")</f>
        <v/>
      </c>
    </row>
    <row r="194" spans="1:15" ht="13.5" customHeight="1" x14ac:dyDescent="0.4">
      <c r="A194" s="34" t="s">
        <v>1137</v>
      </c>
      <c r="B194" s="23" t="s">
        <v>1138</v>
      </c>
      <c r="C194" s="24" t="str">
        <f>IFERROR([1]!IntrinioBankFinancials(rssd_id,$R$2,C$6,C$5,$B194,"K"),"")</f>
        <v/>
      </c>
      <c r="D194" s="24" t="str">
        <f>IFERROR([1]!IntrinioBankFinancials(rssd_id,$R$2,D$6,D$5,$B194,"K"),"")</f>
        <v/>
      </c>
      <c r="E194" s="24" t="str">
        <f>IFERROR([1]!IntrinioBankFinancials(rssd_id,$R$2,E$6,E$5,$B194,"K"),"")</f>
        <v/>
      </c>
      <c r="F194" s="24" t="str">
        <f>IFERROR([1]!IntrinioBankFinancials(rssd_id,$R$2,F$6,F$5,$B194,"K"),"")</f>
        <v/>
      </c>
      <c r="G194" s="24" t="str">
        <f>IFERROR([1]!IntrinioBankFinancials(rssd_id,$R$2,G$6,G$5,$B194,"K"),"")</f>
        <v/>
      </c>
      <c r="H194" s="24" t="str">
        <f>IFERROR([1]!IntrinioBankFinancials(rssd_id,$R$2,H$6,H$5,$B194,"K"),"")</f>
        <v/>
      </c>
      <c r="I194" s="24" t="str">
        <f>IFERROR([1]!IntrinioBankFinancials(rssd_id,$R$2,I$6,I$5,$B194,"K"),"")</f>
        <v/>
      </c>
      <c r="J194" s="24" t="str">
        <f>IFERROR([1]!IntrinioBankFinancials(rssd_id,$R$2,J$6,J$5,$B194,"K"),"")</f>
        <v/>
      </c>
      <c r="K194" s="24" t="str">
        <f>IFERROR([1]!IntrinioBankFinancials(rssd_id,$R$2,K$6,K$5,$B194,"K"),"")</f>
        <v/>
      </c>
      <c r="L194" s="24" t="str">
        <f>IFERROR([1]!IntrinioBankFinancials(rssd_id,$R$2,L$6,L$5,$B194,"K"),"")</f>
        <v/>
      </c>
      <c r="M194" s="24" t="str">
        <f>IFERROR([1]!IntrinioBankFinancials(rssd_id,$R$2,M$6,M$5,$B194,"K"),"")</f>
        <v/>
      </c>
      <c r="N194" s="24" t="str">
        <f>IFERROR([1]!IntrinioBankFinancials(rssd_id,$R$2,N$6,N$5,$B194,"K"),"")</f>
        <v/>
      </c>
      <c r="O194" s="24" t="str">
        <f>IFERROR([1]!IntrinioBankFinancials(rssd_id,$R$2,O$6,O$5,$B194,"K"),"")</f>
        <v/>
      </c>
    </row>
    <row r="195" spans="1:15" ht="13.5" customHeight="1" x14ac:dyDescent="0.4">
      <c r="A195" s="34" t="s">
        <v>1139</v>
      </c>
      <c r="B195" s="23" t="s">
        <v>1140</v>
      </c>
      <c r="C195" s="24" t="str">
        <f>IFERROR([1]!IntrinioBankFinancials(rssd_id,$R$2,C$6,C$5,$B195,"K"),"")</f>
        <v/>
      </c>
      <c r="D195" s="24" t="str">
        <f>IFERROR([1]!IntrinioBankFinancials(rssd_id,$R$2,D$6,D$5,$B195,"K"),"")</f>
        <v/>
      </c>
      <c r="E195" s="24" t="str">
        <f>IFERROR([1]!IntrinioBankFinancials(rssd_id,$R$2,E$6,E$5,$B195,"K"),"")</f>
        <v/>
      </c>
      <c r="F195" s="24" t="str">
        <f>IFERROR([1]!IntrinioBankFinancials(rssd_id,$R$2,F$6,F$5,$B195,"K"),"")</f>
        <v/>
      </c>
      <c r="G195" s="24" t="str">
        <f>IFERROR([1]!IntrinioBankFinancials(rssd_id,$R$2,G$6,G$5,$B195,"K"),"")</f>
        <v/>
      </c>
      <c r="H195" s="24" t="str">
        <f>IFERROR([1]!IntrinioBankFinancials(rssd_id,$R$2,H$6,H$5,$B195,"K"),"")</f>
        <v/>
      </c>
      <c r="I195" s="24" t="str">
        <f>IFERROR([1]!IntrinioBankFinancials(rssd_id,$R$2,I$6,I$5,$B195,"K"),"")</f>
        <v/>
      </c>
      <c r="J195" s="24" t="str">
        <f>IFERROR([1]!IntrinioBankFinancials(rssd_id,$R$2,J$6,J$5,$B195,"K"),"")</f>
        <v/>
      </c>
      <c r="K195" s="24" t="str">
        <f>IFERROR([1]!IntrinioBankFinancials(rssd_id,$R$2,K$6,K$5,$B195,"K"),"")</f>
        <v/>
      </c>
      <c r="L195" s="24" t="str">
        <f>IFERROR([1]!IntrinioBankFinancials(rssd_id,$R$2,L$6,L$5,$B195,"K"),"")</f>
        <v/>
      </c>
      <c r="M195" s="24" t="str">
        <f>IFERROR([1]!IntrinioBankFinancials(rssd_id,$R$2,M$6,M$5,$B195,"K"),"")</f>
        <v/>
      </c>
      <c r="N195" s="24" t="str">
        <f>IFERROR([1]!IntrinioBankFinancials(rssd_id,$R$2,N$6,N$5,$B195,"K"),"")</f>
        <v/>
      </c>
      <c r="O195" s="24" t="str">
        <f>IFERROR([1]!IntrinioBankFinancials(rssd_id,$R$2,O$6,O$5,$B195,"K"),"")</f>
        <v/>
      </c>
    </row>
    <row r="196" spans="1:15" ht="13.5" customHeight="1" x14ac:dyDescent="0.4">
      <c r="A196" s="34" t="s">
        <v>1177</v>
      </c>
      <c r="B196" s="23" t="s">
        <v>1141</v>
      </c>
      <c r="C196" s="24" t="str">
        <f>IFERROR([1]!IntrinioBankFinancials(rssd_id,$R$2,C$6,C$5,$B196,"K"),"")</f>
        <v/>
      </c>
      <c r="D196" s="24" t="str">
        <f>IFERROR([1]!IntrinioBankFinancials(rssd_id,$R$2,D$6,D$5,$B196,"K"),"")</f>
        <v/>
      </c>
      <c r="E196" s="24" t="str">
        <f>IFERROR([1]!IntrinioBankFinancials(rssd_id,$R$2,E$6,E$5,$B196,"K"),"")</f>
        <v/>
      </c>
      <c r="F196" s="24" t="str">
        <f>IFERROR([1]!IntrinioBankFinancials(rssd_id,$R$2,F$6,F$5,$B196,"K"),"")</f>
        <v/>
      </c>
      <c r="G196" s="24" t="str">
        <f>IFERROR([1]!IntrinioBankFinancials(rssd_id,$R$2,G$6,G$5,$B196,"K"),"")</f>
        <v/>
      </c>
      <c r="H196" s="24" t="str">
        <f>IFERROR([1]!IntrinioBankFinancials(rssd_id,$R$2,H$6,H$5,$B196,"K"),"")</f>
        <v/>
      </c>
      <c r="I196" s="24" t="str">
        <f>IFERROR([1]!IntrinioBankFinancials(rssd_id,$R$2,I$6,I$5,$B196,"K"),"")</f>
        <v/>
      </c>
      <c r="J196" s="24" t="str">
        <f>IFERROR([1]!IntrinioBankFinancials(rssd_id,$R$2,J$6,J$5,$B196,"K"),"")</f>
        <v/>
      </c>
      <c r="K196" s="24" t="str">
        <f>IFERROR([1]!IntrinioBankFinancials(rssd_id,$R$2,K$6,K$5,$B196,"K"),"")</f>
        <v/>
      </c>
      <c r="L196" s="24" t="str">
        <f>IFERROR([1]!IntrinioBankFinancials(rssd_id,$R$2,L$6,L$5,$B196,"K"),"")</f>
        <v/>
      </c>
      <c r="M196" s="24" t="str">
        <f>IFERROR([1]!IntrinioBankFinancials(rssd_id,$R$2,M$6,M$5,$B196,"K"),"")</f>
        <v/>
      </c>
      <c r="N196" s="24" t="str">
        <f>IFERROR([1]!IntrinioBankFinancials(rssd_id,$R$2,N$6,N$5,$B196,"K"),"")</f>
        <v/>
      </c>
      <c r="O196" s="24" t="str">
        <f>IFERROR([1]!IntrinioBankFinancials(rssd_id,$R$2,O$6,O$5,$B196,"K"),"")</f>
        <v/>
      </c>
    </row>
    <row r="197" spans="1:15" ht="13.5" customHeight="1" x14ac:dyDescent="0.4">
      <c r="A197" s="34" t="s">
        <v>1142</v>
      </c>
      <c r="B197" s="23" t="s">
        <v>1143</v>
      </c>
      <c r="C197" s="24" t="str">
        <f>IFERROR([1]!IntrinioBankFinancials(rssd_id,$R$2,C$6,C$5,$B197,"K"),"")</f>
        <v/>
      </c>
      <c r="D197" s="24" t="str">
        <f>IFERROR([1]!IntrinioBankFinancials(rssd_id,$R$2,D$6,D$5,$B197,"K"),"")</f>
        <v/>
      </c>
      <c r="E197" s="24" t="str">
        <f>IFERROR([1]!IntrinioBankFinancials(rssd_id,$R$2,E$6,E$5,$B197,"K"),"")</f>
        <v/>
      </c>
      <c r="F197" s="24" t="str">
        <f>IFERROR([1]!IntrinioBankFinancials(rssd_id,$R$2,F$6,F$5,$B197,"K"),"")</f>
        <v/>
      </c>
      <c r="G197" s="24" t="str">
        <f>IFERROR([1]!IntrinioBankFinancials(rssd_id,$R$2,G$6,G$5,$B197,"K"),"")</f>
        <v/>
      </c>
      <c r="H197" s="24" t="str">
        <f>IFERROR([1]!IntrinioBankFinancials(rssd_id,$R$2,H$6,H$5,$B197,"K"),"")</f>
        <v/>
      </c>
      <c r="I197" s="24" t="str">
        <f>IFERROR([1]!IntrinioBankFinancials(rssd_id,$R$2,I$6,I$5,$B197,"K"),"")</f>
        <v/>
      </c>
      <c r="J197" s="24" t="str">
        <f>IFERROR([1]!IntrinioBankFinancials(rssd_id,$R$2,J$6,J$5,$B197,"K"),"")</f>
        <v/>
      </c>
      <c r="K197" s="24" t="str">
        <f>IFERROR([1]!IntrinioBankFinancials(rssd_id,$R$2,K$6,K$5,$B197,"K"),"")</f>
        <v/>
      </c>
      <c r="L197" s="24" t="str">
        <f>IFERROR([1]!IntrinioBankFinancials(rssd_id,$R$2,L$6,L$5,$B197,"K"),"")</f>
        <v/>
      </c>
      <c r="M197" s="24" t="str">
        <f>IFERROR([1]!IntrinioBankFinancials(rssd_id,$R$2,M$6,M$5,$B197,"K"),"")</f>
        <v/>
      </c>
      <c r="N197" s="24" t="str">
        <f>IFERROR([1]!IntrinioBankFinancials(rssd_id,$R$2,N$6,N$5,$B197,"K"),"")</f>
        <v/>
      </c>
      <c r="O197" s="24" t="str">
        <f>IFERROR([1]!IntrinioBankFinancials(rssd_id,$R$2,O$6,O$5,$B197,"K"),"")</f>
        <v/>
      </c>
    </row>
  </sheetData>
  <pageMargins left="0.7" right="0.7" top="0.75" bottom="0.75" header="0.3" footer="0.3"/>
  <pageSetup scale="36" fitToHeight="2" orientation="landscape" r:id="rId1"/>
  <headerFooter>
    <oddFooter>&amp;L&amp;G&amp;R&amp;P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ToC</vt:lpstr>
      <vt:lpstr>Support</vt:lpstr>
      <vt:lpstr>Summary Ratios</vt:lpstr>
      <vt:lpstr>Income Statement</vt:lpstr>
      <vt:lpstr>Non Int Inc Exp Yields</vt:lpstr>
      <vt:lpstr>Balance Sheet</vt:lpstr>
      <vt:lpstr>Off Balance Sheet Items</vt:lpstr>
      <vt:lpstr>Derivative Instruments</vt:lpstr>
      <vt:lpstr>Derivative Analysis</vt:lpstr>
      <vt:lpstr>Balance Sheet %</vt:lpstr>
      <vt:lpstr>Concentrations of Credit</vt:lpstr>
      <vt:lpstr>Interest Rate Risk</vt:lpstr>
      <vt:lpstr>Liquidity &amp; Funding</vt:lpstr>
      <vt:lpstr>Liquidity &amp; Inv Portfolio</vt:lpstr>
      <vt:lpstr>fiscal_period</vt:lpstr>
      <vt:lpstr>fiscal_period_sequence</vt:lpstr>
      <vt:lpstr>fiscal_period_type</vt:lpstr>
      <vt:lpstr>fiscal_period_types</vt:lpstr>
      <vt:lpstr>fiscal_year</vt:lpstr>
      <vt:lpstr>name</vt:lpstr>
      <vt:lpstr>'Balance Sheet'!Print_Area</vt:lpstr>
      <vt:lpstr>'Balance Sheet %'!Print_Area</vt:lpstr>
      <vt:lpstr>'Concentrations of Credit'!Print_Area</vt:lpstr>
      <vt:lpstr>'Derivative Analysis'!Print_Area</vt:lpstr>
      <vt:lpstr>'Derivative Instruments'!Print_Area</vt:lpstr>
      <vt:lpstr>'Income Statement'!Print_Area</vt:lpstr>
      <vt:lpstr>'Interest Rate Risk'!Print_Area</vt:lpstr>
      <vt:lpstr>'Liquidity &amp; Funding'!Print_Area</vt:lpstr>
      <vt:lpstr>'Liquidity &amp; Inv Portfolio'!Print_Area</vt:lpstr>
      <vt:lpstr>'Non Int Inc Exp Yields'!Print_Area</vt:lpstr>
      <vt:lpstr>'Off Balance Sheet Items'!Print_Area</vt:lpstr>
      <vt:lpstr>'Summary Ratios'!Print_Area</vt:lpstr>
      <vt:lpstr>ToC!Print_Area</vt:lpstr>
      <vt:lpstr>'Balance Sheet'!Print_Titles</vt:lpstr>
      <vt:lpstr>'Balance Sheet %'!Print_Titles</vt:lpstr>
      <vt:lpstr>'Concentrations of Credit'!Print_Titles</vt:lpstr>
      <vt:lpstr>'Derivative Analysis'!Print_Titles</vt:lpstr>
      <vt:lpstr>'Derivative Instruments'!Print_Titles</vt:lpstr>
      <vt:lpstr>'Income Statement'!Print_Titles</vt:lpstr>
      <vt:lpstr>'Interest Rate Risk'!Print_Titles</vt:lpstr>
      <vt:lpstr>'Liquidity &amp; Funding'!Print_Titles</vt:lpstr>
      <vt:lpstr>'Liquidity &amp; Inv Portfolio'!Print_Titles</vt:lpstr>
      <vt:lpstr>'Non Int Inc Exp Yields'!Print_Titles</vt:lpstr>
      <vt:lpstr>'Off Balance Sheet Items'!Print_Titles</vt:lpstr>
      <vt:lpstr>'Summary Ratios'!Print_Titles</vt:lpstr>
      <vt:lpstr>ToC!Print_Titles</vt:lpstr>
      <vt:lpstr>rssd_id</vt:lpstr>
      <vt:lpstr>sequences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Intrinio</dc:creator>
  <cp:lastModifiedBy>Joey French</cp:lastModifiedBy>
  <cp:lastPrinted>2016-09-12T09:30:26Z</cp:lastPrinted>
  <dcterms:created xsi:type="dcterms:W3CDTF">2016-04-13T20:04:21Z</dcterms:created>
  <dcterms:modified xsi:type="dcterms:W3CDTF">2016-12-11T22:34:18Z</dcterms:modified>
</cp:coreProperties>
</file>