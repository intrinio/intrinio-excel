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ntrinio\Dropbox\Projects\Intrinio Excel Addin\Templates\Banks\"/>
    </mc:Choice>
  </mc:AlternateContent>
  <bookViews>
    <workbookView xWindow="0" yWindow="0" windowWidth="21600" windowHeight="8805"/>
  </bookViews>
  <sheets>
    <sheet name="Control Panel" sheetId="7" r:id="rId1"/>
    <sheet name="Public Co Profile" sheetId="1" r:id="rId2"/>
    <sheet name="Key Items" sheetId="3" r:id="rId3"/>
    <sheet name="Key Estimates" sheetId="8" r:id="rId4"/>
    <sheet name="Income Metrics" sheetId="10" r:id="rId5"/>
    <sheet name="Marg, Liq, Lev Metrics" sheetId="16" r:id="rId6"/>
    <sheet name="Earning Assets" sheetId="20" r:id="rId7"/>
    <sheet name="Inv Portfolio" sheetId="18" r:id="rId8"/>
    <sheet name="Comps Overview" sheetId="12" r:id="rId9"/>
    <sheet name="Income Comps" sheetId="11" r:id="rId10"/>
    <sheet name="Margin, Liq &amp; Lev Comps" sheetId="17" r:id="rId11"/>
    <sheet name="Earning Assets Comps" sheetId="19" r:id="rId12"/>
    <sheet name="Inv Portfolio Comps" sheetId="14" r:id="rId13"/>
  </sheets>
  <externalReferences>
    <externalReference r:id="rId14"/>
  </externalReferences>
  <definedNames>
    <definedName name="comp1">'Control Panel'!$C$12</definedName>
    <definedName name="comp2">'Control Panel'!$C$13</definedName>
    <definedName name="comp3">'Control Panel'!$C$14</definedName>
    <definedName name="comp4">'Control Panel'!$C$15</definedName>
    <definedName name="comp5">'Control Panel'!$C$16</definedName>
    <definedName name="last_price">'Public Co Profile'!$M$22</definedName>
    <definedName name="name">'Control Panel'!$C$8</definedName>
    <definedName name="_xlnm.Print_Area" localSheetId="8">'Comps Overview'!$A$1:$I$19</definedName>
    <definedName name="_xlnm.Print_Area" localSheetId="0">'Control Panel'!$A$1:$G$17</definedName>
    <definedName name="_xlnm.Print_Area" localSheetId="6">'Earning Assets'!$A$1:$L$28</definedName>
    <definedName name="_xlnm.Print_Area" localSheetId="11">'Earning Assets Comps'!$A$1:$K$26</definedName>
    <definedName name="_xlnm.Print_Area" localSheetId="9">'Income Comps'!$A$1:$K$25</definedName>
    <definedName name="_xlnm.Print_Area" localSheetId="4">'Income Metrics'!$A$1:$L$29</definedName>
    <definedName name="_xlnm.Print_Area" localSheetId="7">'Inv Portfolio'!$A$1:$L$29</definedName>
    <definedName name="_xlnm.Print_Area" localSheetId="12">'Inv Portfolio Comps'!$A$1:$K$25</definedName>
    <definedName name="_xlnm.Print_Area" localSheetId="3">'Key Estimates'!$A$1:$M$21</definedName>
    <definedName name="_xlnm.Print_Area" localSheetId="2">'Key Items'!$A$1:$K$27</definedName>
    <definedName name="_xlnm.Print_Area" localSheetId="5">'Marg, Liq, Lev Metrics'!$A$1:$L$30</definedName>
    <definedName name="_xlnm.Print_Area" localSheetId="10">'Margin, Liq &amp; Lev Comps'!$A$1:$K$27</definedName>
    <definedName name="_xlnm.Print_Area" localSheetId="1">'Public Co Profile'!$A$1:$N$38</definedName>
    <definedName name="report_date">'Control Panel'!$C$10</definedName>
    <definedName name="rounding">"M"</definedName>
    <definedName name="ticker">'Control Panel'!$C$5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3" i="18" l="1"/>
  <c r="G32" i="18"/>
  <c r="N8" i="18"/>
  <c r="N9" i="18"/>
  <c r="N10" i="18"/>
  <c r="N11" i="18"/>
  <c r="N12" i="18"/>
  <c r="N13" i="18"/>
  <c r="N14" i="18"/>
  <c r="N15" i="18"/>
  <c r="N16" i="18"/>
  <c r="H30" i="14"/>
  <c r="H15" i="14"/>
  <c r="G30" i="14"/>
  <c r="G15" i="14"/>
  <c r="F30" i="14"/>
  <c r="F15" i="14"/>
  <c r="E30" i="14"/>
  <c r="E15" i="14"/>
  <c r="D30" i="14"/>
  <c r="D15" i="14"/>
  <c r="C30" i="14"/>
  <c r="C15" i="14"/>
  <c r="H14" i="14"/>
  <c r="G14" i="14"/>
  <c r="F14" i="14"/>
  <c r="E14" i="14"/>
  <c r="D14" i="14"/>
  <c r="C14" i="14"/>
  <c r="H13" i="14"/>
  <c r="G13" i="14"/>
  <c r="F13" i="14"/>
  <c r="E13" i="14"/>
  <c r="D13" i="14"/>
  <c r="C13" i="14"/>
  <c r="H12" i="14"/>
  <c r="G12" i="14"/>
  <c r="F12" i="14"/>
  <c r="E12" i="14"/>
  <c r="D12" i="14"/>
  <c r="C12" i="14"/>
  <c r="H11" i="14"/>
  <c r="G11" i="14"/>
  <c r="F11" i="14"/>
  <c r="E11" i="14"/>
  <c r="D11" i="14"/>
  <c r="C11" i="14"/>
  <c r="H10" i="14"/>
  <c r="G10" i="14"/>
  <c r="F10" i="14"/>
  <c r="E10" i="14"/>
  <c r="D10" i="14"/>
  <c r="C10" i="14"/>
  <c r="H9" i="14"/>
  <c r="G9" i="14"/>
  <c r="F9" i="14"/>
  <c r="E9" i="14"/>
  <c r="D9" i="14"/>
  <c r="C9" i="14"/>
  <c r="H8" i="14"/>
  <c r="G8" i="14"/>
  <c r="F8" i="14"/>
  <c r="E8" i="14"/>
  <c r="D8" i="14"/>
  <c r="C8" i="14"/>
  <c r="H7" i="14"/>
  <c r="G7" i="14"/>
  <c r="F7" i="14"/>
  <c r="E7" i="14"/>
  <c r="D7" i="14"/>
  <c r="C7" i="14"/>
  <c r="H6" i="14"/>
  <c r="G6" i="14"/>
  <c r="F6" i="14"/>
  <c r="E6" i="14"/>
  <c r="D6" i="14"/>
  <c r="C6" i="14"/>
  <c r="H4" i="14"/>
  <c r="G4" i="14"/>
  <c r="F4" i="14"/>
  <c r="E4" i="14"/>
  <c r="D4" i="14"/>
  <c r="C29" i="19"/>
  <c r="C4" i="14"/>
  <c r="G32" i="20"/>
  <c r="G31" i="20"/>
  <c r="N8" i="20"/>
  <c r="N9" i="20"/>
  <c r="N10" i="20"/>
  <c r="N11" i="20"/>
  <c r="N12" i="20"/>
  <c r="N13" i="20"/>
  <c r="N14" i="20"/>
  <c r="N15" i="20"/>
  <c r="H29" i="19"/>
  <c r="H14" i="19"/>
  <c r="G29" i="19"/>
  <c r="G14" i="19"/>
  <c r="F29" i="19"/>
  <c r="F14" i="19"/>
  <c r="E29" i="19"/>
  <c r="E14" i="19"/>
  <c r="D29" i="19"/>
  <c r="D14" i="19"/>
  <c r="C14" i="19"/>
  <c r="H13" i="19"/>
  <c r="G13" i="19"/>
  <c r="F13" i="19"/>
  <c r="E13" i="19"/>
  <c r="D13" i="19"/>
  <c r="C13" i="19"/>
  <c r="H12" i="19"/>
  <c r="G12" i="19"/>
  <c r="F12" i="19"/>
  <c r="E12" i="19"/>
  <c r="D12" i="19"/>
  <c r="C12" i="19"/>
  <c r="H11" i="19"/>
  <c r="G11" i="19"/>
  <c r="F11" i="19"/>
  <c r="E11" i="19"/>
  <c r="D11" i="19"/>
  <c r="C11" i="19"/>
  <c r="H10" i="19"/>
  <c r="G10" i="19"/>
  <c r="F10" i="19"/>
  <c r="E10" i="19"/>
  <c r="D10" i="19"/>
  <c r="C10" i="19"/>
  <c r="H9" i="19"/>
  <c r="G9" i="19"/>
  <c r="F9" i="19"/>
  <c r="E9" i="19"/>
  <c r="D9" i="19"/>
  <c r="C9" i="19"/>
  <c r="H8" i="19"/>
  <c r="G8" i="19"/>
  <c r="F8" i="19"/>
  <c r="E8" i="19"/>
  <c r="D8" i="19"/>
  <c r="C8" i="19"/>
  <c r="H7" i="19"/>
  <c r="G7" i="19"/>
  <c r="F7" i="19"/>
  <c r="E7" i="19"/>
  <c r="D7" i="19"/>
  <c r="C7" i="19"/>
  <c r="H6" i="19"/>
  <c r="G6" i="19"/>
  <c r="F6" i="19"/>
  <c r="E6" i="19"/>
  <c r="D6" i="19"/>
  <c r="C6" i="19"/>
  <c r="H4" i="19"/>
  <c r="G4" i="19"/>
  <c r="F4" i="19"/>
  <c r="E4" i="19"/>
  <c r="D4" i="19"/>
  <c r="C4" i="19"/>
  <c r="G34" i="16"/>
  <c r="G33" i="16"/>
  <c r="N14" i="16"/>
  <c r="N16" i="16"/>
  <c r="H30" i="17"/>
  <c r="H15" i="17"/>
  <c r="G30" i="17"/>
  <c r="G15" i="17"/>
  <c r="F30" i="17"/>
  <c r="F15" i="17"/>
  <c r="E30" i="17"/>
  <c r="E15" i="17"/>
  <c r="D30" i="17"/>
  <c r="D15" i="17"/>
  <c r="C30" i="17"/>
  <c r="C15" i="17"/>
  <c r="N15" i="16"/>
  <c r="H14" i="17"/>
  <c r="G14" i="17"/>
  <c r="F14" i="17"/>
  <c r="E14" i="17"/>
  <c r="D14" i="17"/>
  <c r="C14" i="17"/>
  <c r="H13" i="17"/>
  <c r="G13" i="17"/>
  <c r="F13" i="17"/>
  <c r="E13" i="17"/>
  <c r="D13" i="17"/>
  <c r="C13" i="17"/>
  <c r="H10" i="17"/>
  <c r="G10" i="17"/>
  <c r="F10" i="17"/>
  <c r="E10" i="17"/>
  <c r="D10" i="17"/>
  <c r="C10" i="17"/>
  <c r="H9" i="17"/>
  <c r="G9" i="17"/>
  <c r="F9" i="17"/>
  <c r="E9" i="17"/>
  <c r="D9" i="17"/>
  <c r="C9" i="17"/>
  <c r="H8" i="17"/>
  <c r="G8" i="17"/>
  <c r="F8" i="17"/>
  <c r="E8" i="17"/>
  <c r="D8" i="17"/>
  <c r="C8" i="17"/>
  <c r="H7" i="17"/>
  <c r="G7" i="17"/>
  <c r="F7" i="17"/>
  <c r="E7" i="17"/>
  <c r="D7" i="17"/>
  <c r="C7" i="17"/>
  <c r="H6" i="17"/>
  <c r="G6" i="17"/>
  <c r="F6" i="17"/>
  <c r="E6" i="17"/>
  <c r="D6" i="17"/>
  <c r="C6" i="17"/>
  <c r="H4" i="17"/>
  <c r="G4" i="17"/>
  <c r="F4" i="17"/>
  <c r="E4" i="17"/>
  <c r="D4" i="17"/>
  <c r="C4" i="17"/>
  <c r="G34" i="10"/>
  <c r="G32" i="10"/>
  <c r="H29" i="11"/>
  <c r="H25" i="11"/>
  <c r="G29" i="11"/>
  <c r="G25" i="11"/>
  <c r="F29" i="11"/>
  <c r="F25" i="11"/>
  <c r="E29" i="11"/>
  <c r="E25" i="11"/>
  <c r="D29" i="11"/>
  <c r="D25" i="11"/>
  <c r="C29" i="11"/>
  <c r="C25" i="11"/>
  <c r="H24" i="11"/>
  <c r="G24" i="11"/>
  <c r="F24" i="11"/>
  <c r="E24" i="11"/>
  <c r="D24" i="11"/>
  <c r="C24" i="11"/>
  <c r="H23" i="11"/>
  <c r="G23" i="11"/>
  <c r="F23" i="11"/>
  <c r="E23" i="11"/>
  <c r="D23" i="11"/>
  <c r="C23" i="11"/>
  <c r="H22" i="11"/>
  <c r="G22" i="11"/>
  <c r="F22" i="11"/>
  <c r="E22" i="11"/>
  <c r="D22" i="11"/>
  <c r="C22" i="11"/>
  <c r="H21" i="11"/>
  <c r="G21" i="11"/>
  <c r="F21" i="11"/>
  <c r="E21" i="11"/>
  <c r="D21" i="11"/>
  <c r="C21" i="11"/>
  <c r="H20" i="11"/>
  <c r="G20" i="11"/>
  <c r="F20" i="11"/>
  <c r="E20" i="11"/>
  <c r="D20" i="11"/>
  <c r="C20" i="11"/>
  <c r="H19" i="11"/>
  <c r="G19" i="11"/>
  <c r="F19" i="11"/>
  <c r="E19" i="11"/>
  <c r="D19" i="11"/>
  <c r="C19" i="11"/>
  <c r="H18" i="11"/>
  <c r="G18" i="11"/>
  <c r="F18" i="11"/>
  <c r="E18" i="11"/>
  <c r="D18" i="11"/>
  <c r="C18" i="11"/>
  <c r="H16" i="11"/>
  <c r="G33" i="10"/>
  <c r="H17" i="11"/>
  <c r="G16" i="11"/>
  <c r="G17" i="11"/>
  <c r="F16" i="11"/>
  <c r="F17" i="11"/>
  <c r="E16" i="11"/>
  <c r="E17" i="11"/>
  <c r="D16" i="11"/>
  <c r="D17" i="11"/>
  <c r="C16" i="11"/>
  <c r="C17" i="11"/>
  <c r="H14" i="11"/>
  <c r="H15" i="11"/>
  <c r="G14" i="11"/>
  <c r="G15" i="11"/>
  <c r="F14" i="11"/>
  <c r="F15" i="11"/>
  <c r="E14" i="11"/>
  <c r="E15" i="11"/>
  <c r="D14" i="11"/>
  <c r="D15" i="11"/>
  <c r="C14" i="11"/>
  <c r="C15" i="11"/>
  <c r="H13" i="11"/>
  <c r="G13" i="11"/>
  <c r="F13" i="11"/>
  <c r="E13" i="11"/>
  <c r="D13" i="11"/>
  <c r="C13" i="11"/>
  <c r="C17" i="12"/>
  <c r="B18" i="12"/>
  <c r="H17" i="12"/>
  <c r="G17" i="12"/>
  <c r="F17" i="12"/>
  <c r="E17" i="12"/>
  <c r="D17" i="12"/>
  <c r="B17" i="12"/>
  <c r="C15" i="12"/>
  <c r="B16" i="12"/>
  <c r="H15" i="12"/>
  <c r="G15" i="12"/>
  <c r="F15" i="12"/>
  <c r="E15" i="12"/>
  <c r="D15" i="12"/>
  <c r="B15" i="12"/>
  <c r="C13" i="12"/>
  <c r="B14" i="12"/>
  <c r="H13" i="12"/>
  <c r="G13" i="12"/>
  <c r="F13" i="12"/>
  <c r="E13" i="12"/>
  <c r="D13" i="12"/>
  <c r="B13" i="12"/>
  <c r="C11" i="12"/>
  <c r="B12" i="12"/>
  <c r="H11" i="12"/>
  <c r="G11" i="12"/>
  <c r="F11" i="12"/>
  <c r="E11" i="12"/>
  <c r="D11" i="12"/>
  <c r="B11" i="12"/>
  <c r="C9" i="12"/>
  <c r="B10" i="12"/>
  <c r="H9" i="12"/>
  <c r="G9" i="12"/>
  <c r="F9" i="12"/>
  <c r="E9" i="12"/>
  <c r="D9" i="12"/>
  <c r="B9" i="12"/>
  <c r="C7" i="12"/>
  <c r="B8" i="12"/>
  <c r="H7" i="12"/>
  <c r="G7" i="12"/>
  <c r="F7" i="12"/>
  <c r="E7" i="12"/>
  <c r="D7" i="12"/>
  <c r="B7" i="12"/>
  <c r="G34" i="18"/>
  <c r="K33" i="18"/>
  <c r="J31" i="18"/>
  <c r="J30" i="18"/>
  <c r="J33" i="18"/>
  <c r="I31" i="18"/>
  <c r="I30" i="18"/>
  <c r="I33" i="18"/>
  <c r="H31" i="18"/>
  <c r="H30" i="18"/>
  <c r="H33" i="18"/>
  <c r="F31" i="18"/>
  <c r="F33" i="18"/>
  <c r="E31" i="18"/>
  <c r="E30" i="18"/>
  <c r="E33" i="18"/>
  <c r="D31" i="18"/>
  <c r="D30" i="18"/>
  <c r="D33" i="18"/>
  <c r="C31" i="18"/>
  <c r="C30" i="18"/>
  <c r="C33" i="18"/>
  <c r="K32" i="18"/>
  <c r="J32" i="18"/>
  <c r="I32" i="18"/>
  <c r="H32" i="18"/>
  <c r="F32" i="18"/>
  <c r="E32" i="18"/>
  <c r="D32" i="18"/>
  <c r="C32" i="18"/>
  <c r="K34" i="18"/>
  <c r="K16" i="18"/>
  <c r="J34" i="18"/>
  <c r="J16" i="18"/>
  <c r="I34" i="18"/>
  <c r="I16" i="18"/>
  <c r="H34" i="18"/>
  <c r="H16" i="18"/>
  <c r="G16" i="18"/>
  <c r="F16" i="18"/>
  <c r="E16" i="18"/>
  <c r="D16" i="18"/>
  <c r="C16" i="18"/>
  <c r="K15" i="18"/>
  <c r="J15" i="18"/>
  <c r="I15" i="18"/>
  <c r="H15" i="18"/>
  <c r="G15" i="18"/>
  <c r="F15" i="18"/>
  <c r="E15" i="18"/>
  <c r="D15" i="18"/>
  <c r="C15" i="18"/>
  <c r="K14" i="18"/>
  <c r="J14" i="18"/>
  <c r="I14" i="18"/>
  <c r="H14" i="18"/>
  <c r="G14" i="18"/>
  <c r="F14" i="18"/>
  <c r="E14" i="18"/>
  <c r="D14" i="18"/>
  <c r="C14" i="18"/>
  <c r="K13" i="18"/>
  <c r="J13" i="18"/>
  <c r="I13" i="18"/>
  <c r="H13" i="18"/>
  <c r="G13" i="18"/>
  <c r="F13" i="18"/>
  <c r="E13" i="18"/>
  <c r="D13" i="18"/>
  <c r="C13" i="18"/>
  <c r="K12" i="18"/>
  <c r="J12" i="18"/>
  <c r="I12" i="18"/>
  <c r="H12" i="18"/>
  <c r="G12" i="18"/>
  <c r="F12" i="18"/>
  <c r="E12" i="18"/>
  <c r="D12" i="18"/>
  <c r="C12" i="18"/>
  <c r="K11" i="18"/>
  <c r="J11" i="18"/>
  <c r="I11" i="18"/>
  <c r="H11" i="18"/>
  <c r="G11" i="18"/>
  <c r="F11" i="18"/>
  <c r="E11" i="18"/>
  <c r="D11" i="18"/>
  <c r="C11" i="18"/>
  <c r="K10" i="18"/>
  <c r="J10" i="18"/>
  <c r="I10" i="18"/>
  <c r="H10" i="18"/>
  <c r="G10" i="18"/>
  <c r="F10" i="18"/>
  <c r="E10" i="18"/>
  <c r="D10" i="18"/>
  <c r="C10" i="18"/>
  <c r="K9" i="18"/>
  <c r="J9" i="18"/>
  <c r="I9" i="18"/>
  <c r="H9" i="18"/>
  <c r="G9" i="18"/>
  <c r="F9" i="18"/>
  <c r="E9" i="18"/>
  <c r="D9" i="18"/>
  <c r="C9" i="18"/>
  <c r="K8" i="18"/>
  <c r="J8" i="18"/>
  <c r="I8" i="18"/>
  <c r="H8" i="18"/>
  <c r="G8" i="18"/>
  <c r="F8" i="18"/>
  <c r="E8" i="18"/>
  <c r="D8" i="18"/>
  <c r="C8" i="18"/>
  <c r="K7" i="18"/>
  <c r="J7" i="18"/>
  <c r="I7" i="18"/>
  <c r="H7" i="18"/>
  <c r="G7" i="18"/>
  <c r="F7" i="18"/>
  <c r="E7" i="18"/>
  <c r="D7" i="18"/>
  <c r="C7" i="18"/>
  <c r="G33" i="20"/>
  <c r="K32" i="20"/>
  <c r="J30" i="20"/>
  <c r="J29" i="20"/>
  <c r="J32" i="20"/>
  <c r="I30" i="20"/>
  <c r="I29" i="20"/>
  <c r="I32" i="20"/>
  <c r="H30" i="20"/>
  <c r="H29" i="20"/>
  <c r="H32" i="20"/>
  <c r="F30" i="20"/>
  <c r="F32" i="20"/>
  <c r="E30" i="20"/>
  <c r="E29" i="20"/>
  <c r="E32" i="20"/>
  <c r="D30" i="20"/>
  <c r="D29" i="20"/>
  <c r="D32" i="20"/>
  <c r="C30" i="20"/>
  <c r="C29" i="20"/>
  <c r="C32" i="20"/>
  <c r="K31" i="20"/>
  <c r="J31" i="20"/>
  <c r="I31" i="20"/>
  <c r="H31" i="20"/>
  <c r="F31" i="20"/>
  <c r="E31" i="20"/>
  <c r="D31" i="20"/>
  <c r="C31" i="20"/>
  <c r="K33" i="20"/>
  <c r="K15" i="20"/>
  <c r="J33" i="20"/>
  <c r="J15" i="20"/>
  <c r="I33" i="20"/>
  <c r="I15" i="20"/>
  <c r="H33" i="20"/>
  <c r="H15" i="20"/>
  <c r="G15" i="20"/>
  <c r="F15" i="20"/>
  <c r="E15" i="20"/>
  <c r="D15" i="20"/>
  <c r="C15" i="20"/>
  <c r="K14" i="20"/>
  <c r="J14" i="20"/>
  <c r="I14" i="20"/>
  <c r="H14" i="20"/>
  <c r="G14" i="20"/>
  <c r="F14" i="20"/>
  <c r="E14" i="20"/>
  <c r="D14" i="20"/>
  <c r="C14" i="20"/>
  <c r="K13" i="20"/>
  <c r="J13" i="20"/>
  <c r="I13" i="20"/>
  <c r="H13" i="20"/>
  <c r="G13" i="20"/>
  <c r="F13" i="20"/>
  <c r="E13" i="20"/>
  <c r="D13" i="20"/>
  <c r="C13" i="20"/>
  <c r="K12" i="20"/>
  <c r="J12" i="20"/>
  <c r="I12" i="20"/>
  <c r="H12" i="20"/>
  <c r="G12" i="20"/>
  <c r="F12" i="20"/>
  <c r="E12" i="20"/>
  <c r="D12" i="20"/>
  <c r="C12" i="20"/>
  <c r="K11" i="20"/>
  <c r="J11" i="20"/>
  <c r="I11" i="20"/>
  <c r="H11" i="20"/>
  <c r="G11" i="20"/>
  <c r="F11" i="20"/>
  <c r="E11" i="20"/>
  <c r="D11" i="20"/>
  <c r="C11" i="20"/>
  <c r="K10" i="20"/>
  <c r="J10" i="20"/>
  <c r="I10" i="20"/>
  <c r="H10" i="20"/>
  <c r="G10" i="20"/>
  <c r="F10" i="20"/>
  <c r="E10" i="20"/>
  <c r="D10" i="20"/>
  <c r="C10" i="20"/>
  <c r="K9" i="20"/>
  <c r="J9" i="20"/>
  <c r="I9" i="20"/>
  <c r="H9" i="20"/>
  <c r="G9" i="20"/>
  <c r="F9" i="20"/>
  <c r="E9" i="20"/>
  <c r="D9" i="20"/>
  <c r="C9" i="20"/>
  <c r="K8" i="20"/>
  <c r="J8" i="20"/>
  <c r="I8" i="20"/>
  <c r="H8" i="20"/>
  <c r="G8" i="20"/>
  <c r="F8" i="20"/>
  <c r="E8" i="20"/>
  <c r="D8" i="20"/>
  <c r="C8" i="20"/>
  <c r="K7" i="20"/>
  <c r="J7" i="20"/>
  <c r="I7" i="20"/>
  <c r="H7" i="20"/>
  <c r="G7" i="20"/>
  <c r="F7" i="20"/>
  <c r="E7" i="20"/>
  <c r="D7" i="20"/>
  <c r="C7" i="20"/>
  <c r="G35" i="16"/>
  <c r="L34" i="16"/>
  <c r="K34" i="16"/>
  <c r="J32" i="16"/>
  <c r="J31" i="16"/>
  <c r="J34" i="16"/>
  <c r="I32" i="16"/>
  <c r="I31" i="16"/>
  <c r="I34" i="16"/>
  <c r="H32" i="16"/>
  <c r="H31" i="16"/>
  <c r="H34" i="16"/>
  <c r="F32" i="16"/>
  <c r="F34" i="16"/>
  <c r="E32" i="16"/>
  <c r="E31" i="16"/>
  <c r="E34" i="16"/>
  <c r="D32" i="16"/>
  <c r="D31" i="16"/>
  <c r="D34" i="16"/>
  <c r="C32" i="16"/>
  <c r="C31" i="16"/>
  <c r="C34" i="16"/>
  <c r="K33" i="16"/>
  <c r="J33" i="16"/>
  <c r="I33" i="16"/>
  <c r="H33" i="16"/>
  <c r="F33" i="16"/>
  <c r="E33" i="16"/>
  <c r="D33" i="16"/>
  <c r="C33" i="16"/>
  <c r="K16" i="16"/>
  <c r="J16" i="16"/>
  <c r="I16" i="16"/>
  <c r="H16" i="16"/>
  <c r="G16" i="16"/>
  <c r="F16" i="16"/>
  <c r="E16" i="16"/>
  <c r="D16" i="16"/>
  <c r="C16" i="16"/>
  <c r="K15" i="16"/>
  <c r="J15" i="16"/>
  <c r="I15" i="16"/>
  <c r="H15" i="16"/>
  <c r="G15" i="16"/>
  <c r="F15" i="16"/>
  <c r="E15" i="16"/>
  <c r="D15" i="16"/>
  <c r="C15" i="16"/>
  <c r="K14" i="16"/>
  <c r="J14" i="16"/>
  <c r="I14" i="16"/>
  <c r="H14" i="16"/>
  <c r="G14" i="16"/>
  <c r="F14" i="16"/>
  <c r="E14" i="16"/>
  <c r="D14" i="16"/>
  <c r="C14" i="16"/>
  <c r="K11" i="16"/>
  <c r="J11" i="16"/>
  <c r="I11" i="16"/>
  <c r="H11" i="16"/>
  <c r="G11" i="16"/>
  <c r="F11" i="16"/>
  <c r="E11" i="16"/>
  <c r="D11" i="16"/>
  <c r="C11" i="16"/>
  <c r="K10" i="16"/>
  <c r="J10" i="16"/>
  <c r="I10" i="16"/>
  <c r="H10" i="16"/>
  <c r="G10" i="16"/>
  <c r="F10" i="16"/>
  <c r="E10" i="16"/>
  <c r="D10" i="16"/>
  <c r="C10" i="16"/>
  <c r="K9" i="16"/>
  <c r="J9" i="16"/>
  <c r="I9" i="16"/>
  <c r="H9" i="16"/>
  <c r="G9" i="16"/>
  <c r="F9" i="16"/>
  <c r="E9" i="16"/>
  <c r="D9" i="16"/>
  <c r="C9" i="16"/>
  <c r="K8" i="16"/>
  <c r="J8" i="16"/>
  <c r="I8" i="16"/>
  <c r="H8" i="16"/>
  <c r="G8" i="16"/>
  <c r="F8" i="16"/>
  <c r="E8" i="16"/>
  <c r="D8" i="16"/>
  <c r="C8" i="16"/>
  <c r="K7" i="16"/>
  <c r="J7" i="16"/>
  <c r="I7" i="16"/>
  <c r="H7" i="16"/>
  <c r="G7" i="16"/>
  <c r="F7" i="16"/>
  <c r="E7" i="16"/>
  <c r="D7" i="16"/>
  <c r="C7" i="16"/>
  <c r="K33" i="10"/>
  <c r="J31" i="10"/>
  <c r="J30" i="10"/>
  <c r="J33" i="10"/>
  <c r="I31" i="10"/>
  <c r="I30" i="10"/>
  <c r="I33" i="10"/>
  <c r="H31" i="10"/>
  <c r="H30" i="10"/>
  <c r="H33" i="10"/>
  <c r="F31" i="10"/>
  <c r="F33" i="10"/>
  <c r="E31" i="10"/>
  <c r="E30" i="10"/>
  <c r="E33" i="10"/>
  <c r="D31" i="10"/>
  <c r="D30" i="10"/>
  <c r="D33" i="10"/>
  <c r="C31" i="10"/>
  <c r="C30" i="10"/>
  <c r="C33" i="10"/>
  <c r="K32" i="10"/>
  <c r="J32" i="10"/>
  <c r="I32" i="10"/>
  <c r="H32" i="10"/>
  <c r="F32" i="10"/>
  <c r="E32" i="10"/>
  <c r="D32" i="10"/>
  <c r="C32" i="10"/>
  <c r="K34" i="10"/>
  <c r="K19" i="10"/>
  <c r="J34" i="10"/>
  <c r="J19" i="10"/>
  <c r="I34" i="10"/>
  <c r="I19" i="10"/>
  <c r="H34" i="10"/>
  <c r="H19" i="10"/>
  <c r="G19" i="10"/>
  <c r="F19" i="10"/>
  <c r="E19" i="10"/>
  <c r="D19" i="10"/>
  <c r="C19" i="10"/>
  <c r="K18" i="10"/>
  <c r="J18" i="10"/>
  <c r="I18" i="10"/>
  <c r="H18" i="10"/>
  <c r="G18" i="10"/>
  <c r="F18" i="10"/>
  <c r="E18" i="10"/>
  <c r="D18" i="10"/>
  <c r="C18" i="10"/>
  <c r="K17" i="10"/>
  <c r="J17" i="10"/>
  <c r="I17" i="10"/>
  <c r="H17" i="10"/>
  <c r="G17" i="10"/>
  <c r="F17" i="10"/>
  <c r="E17" i="10"/>
  <c r="D17" i="10"/>
  <c r="C17" i="10"/>
  <c r="K16" i="10"/>
  <c r="J16" i="10"/>
  <c r="I16" i="10"/>
  <c r="H16" i="10"/>
  <c r="G16" i="10"/>
  <c r="F16" i="10"/>
  <c r="E16" i="10"/>
  <c r="D16" i="10"/>
  <c r="C16" i="10"/>
  <c r="K15" i="10"/>
  <c r="J15" i="10"/>
  <c r="I15" i="10"/>
  <c r="H15" i="10"/>
  <c r="G15" i="10"/>
  <c r="F15" i="10"/>
  <c r="E15" i="10"/>
  <c r="D15" i="10"/>
  <c r="C15" i="10"/>
  <c r="K14" i="10"/>
  <c r="J14" i="10"/>
  <c r="I14" i="10"/>
  <c r="H14" i="10"/>
  <c r="G14" i="10"/>
  <c r="F14" i="10"/>
  <c r="E14" i="10"/>
  <c r="D14" i="10"/>
  <c r="C14" i="10"/>
  <c r="K13" i="10"/>
  <c r="J13" i="10"/>
  <c r="I13" i="10"/>
  <c r="H13" i="10"/>
  <c r="G13" i="10"/>
  <c r="F13" i="10"/>
  <c r="E13" i="10"/>
  <c r="D13" i="10"/>
  <c r="C13" i="10"/>
  <c r="K12" i="10"/>
  <c r="J12" i="10"/>
  <c r="I12" i="10"/>
  <c r="H12" i="10"/>
  <c r="G12" i="10"/>
  <c r="F12" i="10"/>
  <c r="E12" i="10"/>
  <c r="D12" i="10"/>
  <c r="C12" i="10"/>
  <c r="K10" i="10"/>
  <c r="K11" i="10"/>
  <c r="J10" i="10"/>
  <c r="J11" i="10"/>
  <c r="I10" i="10"/>
  <c r="I11" i="10"/>
  <c r="H10" i="10"/>
  <c r="H11" i="10"/>
  <c r="G10" i="10"/>
  <c r="G11" i="10"/>
  <c r="F10" i="10"/>
  <c r="E10" i="10"/>
  <c r="D10" i="10"/>
  <c r="C10" i="10"/>
  <c r="K8" i="10"/>
  <c r="K9" i="10"/>
  <c r="J8" i="10"/>
  <c r="J9" i="10"/>
  <c r="I8" i="10"/>
  <c r="I9" i="10"/>
  <c r="H8" i="10"/>
  <c r="H9" i="10"/>
  <c r="G8" i="10"/>
  <c r="G9" i="10"/>
  <c r="F8" i="10"/>
  <c r="E8" i="10"/>
  <c r="D8" i="10"/>
  <c r="C8" i="10"/>
  <c r="K6" i="10"/>
  <c r="K7" i="10"/>
  <c r="J6" i="10"/>
  <c r="J7" i="10"/>
  <c r="I6" i="10"/>
  <c r="I7" i="10"/>
  <c r="H6" i="10"/>
  <c r="H7" i="10"/>
  <c r="G6" i="10"/>
  <c r="G7" i="10"/>
  <c r="F6" i="10"/>
  <c r="E6" i="10"/>
  <c r="D6" i="10"/>
  <c r="C6" i="10"/>
  <c r="L19" i="8"/>
  <c r="K19" i="8"/>
  <c r="F19" i="8"/>
  <c r="E19" i="8"/>
  <c r="J18" i="8"/>
  <c r="I18" i="8"/>
  <c r="H18" i="8"/>
  <c r="G18" i="8"/>
  <c r="D18" i="8"/>
  <c r="C18" i="8"/>
  <c r="L17" i="8"/>
  <c r="K17" i="8"/>
  <c r="J17" i="8"/>
  <c r="I17" i="8"/>
  <c r="H17" i="8"/>
  <c r="G17" i="8"/>
  <c r="F17" i="8"/>
  <c r="E17" i="8"/>
  <c r="D17" i="8"/>
  <c r="C17" i="8"/>
  <c r="L15" i="8"/>
  <c r="K15" i="8"/>
  <c r="F15" i="8"/>
  <c r="E15" i="8"/>
  <c r="L14" i="8"/>
  <c r="K14" i="8"/>
  <c r="J14" i="8"/>
  <c r="I14" i="8"/>
  <c r="H14" i="8"/>
  <c r="G14" i="8"/>
  <c r="F14" i="8"/>
  <c r="E14" i="8"/>
  <c r="D14" i="8"/>
  <c r="C14" i="8"/>
  <c r="L10" i="8"/>
  <c r="K10" i="8"/>
  <c r="F10" i="8"/>
  <c r="E10" i="8"/>
  <c r="J9" i="8"/>
  <c r="I9" i="8"/>
  <c r="H9" i="8"/>
  <c r="G9" i="8"/>
  <c r="D9" i="8"/>
  <c r="C9" i="8"/>
  <c r="L8" i="8"/>
  <c r="K8" i="8"/>
  <c r="J8" i="8"/>
  <c r="I8" i="8"/>
  <c r="H8" i="8"/>
  <c r="G8" i="8"/>
  <c r="F8" i="8"/>
  <c r="E8" i="8"/>
  <c r="D8" i="8"/>
  <c r="C8" i="8"/>
  <c r="L6" i="8"/>
  <c r="K6" i="8"/>
  <c r="F6" i="8"/>
  <c r="E6" i="8"/>
  <c r="L5" i="8"/>
  <c r="K5" i="8"/>
  <c r="J5" i="8"/>
  <c r="I5" i="8"/>
  <c r="H5" i="8"/>
  <c r="G5" i="8"/>
  <c r="F5" i="8"/>
  <c r="E5" i="8"/>
  <c r="D5" i="8"/>
  <c r="C5" i="8"/>
  <c r="C27" i="3"/>
  <c r="C26" i="3"/>
  <c r="C22" i="3"/>
  <c r="C21" i="3"/>
  <c r="C20" i="3"/>
  <c r="C19" i="3"/>
  <c r="W10" i="3"/>
  <c r="X10" i="3"/>
  <c r="Z10" i="3"/>
  <c r="N13" i="3"/>
  <c r="N14" i="3"/>
  <c r="N15" i="3"/>
  <c r="N16" i="3"/>
  <c r="N17" i="3"/>
  <c r="Z17" i="3"/>
  <c r="Y10" i="3"/>
  <c r="Y17" i="3"/>
  <c r="X17" i="3"/>
  <c r="W17" i="3"/>
  <c r="V17" i="3"/>
  <c r="P10" i="3"/>
  <c r="Q10" i="3"/>
  <c r="R10" i="3"/>
  <c r="S10" i="3"/>
  <c r="T10" i="3"/>
  <c r="U10" i="3"/>
  <c r="U17" i="3"/>
  <c r="T17" i="3"/>
  <c r="S17" i="3"/>
  <c r="R17" i="3"/>
  <c r="Q17" i="3"/>
  <c r="O9" i="3"/>
  <c r="P9" i="3"/>
  <c r="O8" i="3"/>
  <c r="P8" i="3"/>
  <c r="P17" i="3"/>
  <c r="O17" i="3"/>
  <c r="Z16" i="3"/>
  <c r="Y16" i="3"/>
  <c r="X16" i="3"/>
  <c r="W16" i="3"/>
  <c r="V16" i="3"/>
  <c r="U16" i="3"/>
  <c r="T16" i="3"/>
  <c r="S16" i="3"/>
  <c r="R16" i="3"/>
  <c r="Q16" i="3"/>
  <c r="P16" i="3"/>
  <c r="O16" i="3"/>
  <c r="C16" i="3"/>
  <c r="Z15" i="3"/>
  <c r="Y15" i="3"/>
  <c r="X15" i="3"/>
  <c r="W15" i="3"/>
  <c r="V15" i="3"/>
  <c r="U15" i="3"/>
  <c r="T15" i="3"/>
  <c r="S15" i="3"/>
  <c r="R15" i="3"/>
  <c r="Q15" i="3"/>
  <c r="P15" i="3"/>
  <c r="O15" i="3"/>
  <c r="C15" i="3"/>
  <c r="Z14" i="3"/>
  <c r="Y14" i="3"/>
  <c r="X14" i="3"/>
  <c r="W14" i="3"/>
  <c r="V14" i="3"/>
  <c r="U14" i="3"/>
  <c r="T14" i="3"/>
  <c r="S14" i="3"/>
  <c r="R14" i="3"/>
  <c r="Q14" i="3"/>
  <c r="P14" i="3"/>
  <c r="O14" i="3"/>
  <c r="C14" i="3"/>
  <c r="Z13" i="3"/>
  <c r="Y13" i="3"/>
  <c r="X13" i="3"/>
  <c r="W13" i="3"/>
  <c r="V13" i="3"/>
  <c r="U13" i="3"/>
  <c r="T13" i="3"/>
  <c r="S13" i="3"/>
  <c r="R13" i="3"/>
  <c r="Q13" i="3"/>
  <c r="P13" i="3"/>
  <c r="O13" i="3"/>
  <c r="C13" i="3"/>
  <c r="Z12" i="3"/>
  <c r="Y12" i="3"/>
  <c r="X12" i="3"/>
  <c r="W12" i="3"/>
  <c r="V12" i="3"/>
  <c r="U12" i="3"/>
  <c r="T12" i="3"/>
  <c r="S12" i="3"/>
  <c r="R12" i="3"/>
  <c r="Q12" i="3"/>
  <c r="P12" i="3"/>
  <c r="O12" i="3"/>
  <c r="C12" i="3"/>
  <c r="C11" i="3"/>
  <c r="H8" i="3"/>
  <c r="I8" i="3"/>
  <c r="J8" i="3"/>
  <c r="C8" i="3"/>
  <c r="J7" i="3"/>
  <c r="I7" i="3"/>
  <c r="H7" i="3"/>
  <c r="C7" i="3"/>
  <c r="J6" i="3"/>
  <c r="I6" i="3"/>
  <c r="H6" i="3"/>
  <c r="C10" i="7"/>
  <c r="Y10" i="1"/>
  <c r="Y9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AA72" i="1"/>
  <c r="Y72" i="1"/>
  <c r="AA71" i="1"/>
  <c r="Y71" i="1"/>
  <c r="AA70" i="1"/>
  <c r="Y70" i="1"/>
  <c r="AA69" i="1"/>
  <c r="Y69" i="1"/>
  <c r="AA68" i="1"/>
  <c r="Y68" i="1"/>
  <c r="AA67" i="1"/>
  <c r="Y67" i="1"/>
  <c r="AA66" i="1"/>
  <c r="Y66" i="1"/>
  <c r="AA65" i="1"/>
  <c r="Y65" i="1"/>
  <c r="AA64" i="1"/>
  <c r="Y64" i="1"/>
  <c r="AA63" i="1"/>
  <c r="Y63" i="1"/>
  <c r="AA62" i="1"/>
  <c r="Y62" i="1"/>
  <c r="AA61" i="1"/>
  <c r="Y61" i="1"/>
  <c r="AA60" i="1"/>
  <c r="Y60" i="1"/>
  <c r="AA59" i="1"/>
  <c r="Y59" i="1"/>
  <c r="AA58" i="1"/>
  <c r="Y58" i="1"/>
  <c r="AA57" i="1"/>
  <c r="Y57" i="1"/>
  <c r="AA56" i="1"/>
  <c r="Y56" i="1"/>
  <c r="AA55" i="1"/>
  <c r="Y55" i="1"/>
  <c r="AA54" i="1"/>
  <c r="Y54" i="1"/>
  <c r="AA53" i="1"/>
  <c r="Y53" i="1"/>
  <c r="AA52" i="1"/>
  <c r="Y52" i="1"/>
  <c r="AA51" i="1"/>
  <c r="Y51" i="1"/>
  <c r="AA50" i="1"/>
  <c r="Y50" i="1"/>
  <c r="AA49" i="1"/>
  <c r="Y49" i="1"/>
  <c r="AA48" i="1"/>
  <c r="Y48" i="1"/>
  <c r="AA47" i="1"/>
  <c r="Y47" i="1"/>
  <c r="AA46" i="1"/>
  <c r="Y46" i="1"/>
  <c r="AA45" i="1"/>
  <c r="Y45" i="1"/>
  <c r="AA44" i="1"/>
  <c r="Y44" i="1"/>
  <c r="AA43" i="1"/>
  <c r="Y43" i="1"/>
  <c r="AA42" i="1"/>
  <c r="Y42" i="1"/>
  <c r="AA41" i="1"/>
  <c r="Y41" i="1"/>
  <c r="AA40" i="1"/>
  <c r="Y40" i="1"/>
  <c r="AA39" i="1"/>
  <c r="Y39" i="1"/>
  <c r="AA38" i="1"/>
  <c r="Y38" i="1"/>
  <c r="P38" i="1"/>
  <c r="F38" i="1"/>
  <c r="AA37" i="1"/>
  <c r="Y37" i="1"/>
  <c r="AA36" i="1"/>
  <c r="Y36" i="1"/>
  <c r="AA35" i="1"/>
  <c r="Y35" i="1"/>
  <c r="AA34" i="1"/>
  <c r="Y34" i="1"/>
  <c r="AA33" i="1"/>
  <c r="Y33" i="1"/>
  <c r="AA32" i="1"/>
  <c r="Y32" i="1"/>
  <c r="AA31" i="1"/>
  <c r="Y31" i="1"/>
  <c r="N31" i="1"/>
  <c r="AA30" i="1"/>
  <c r="Y30" i="1"/>
  <c r="N30" i="1"/>
  <c r="AA29" i="1"/>
  <c r="Y29" i="1"/>
  <c r="AA28" i="1"/>
  <c r="Y28" i="1"/>
  <c r="AA27" i="1"/>
  <c r="Y27" i="1"/>
  <c r="AA26" i="1"/>
  <c r="Y26" i="1"/>
  <c r="AA25" i="1"/>
  <c r="Y25" i="1"/>
  <c r="AA13" i="1"/>
  <c r="N25" i="1"/>
  <c r="AA24" i="1"/>
  <c r="Y24" i="1"/>
  <c r="AA23" i="1"/>
  <c r="Y23" i="1"/>
  <c r="AA22" i="1"/>
  <c r="Y22" i="1"/>
  <c r="M22" i="1"/>
  <c r="AA21" i="1"/>
  <c r="Y21" i="1"/>
  <c r="AA20" i="1"/>
  <c r="Y20" i="1"/>
  <c r="AA19" i="1"/>
  <c r="Y19" i="1"/>
  <c r="AA18" i="1"/>
  <c r="Y18" i="1"/>
  <c r="AA17" i="1"/>
  <c r="Y17" i="1"/>
  <c r="AA16" i="1"/>
  <c r="Y16" i="1"/>
  <c r="AA15" i="1"/>
  <c r="Y15" i="1"/>
  <c r="AA14" i="1"/>
  <c r="Y14" i="1"/>
  <c r="Y13" i="1"/>
  <c r="V9" i="1"/>
  <c r="W9" i="1"/>
  <c r="U9" i="1"/>
  <c r="T8" i="1"/>
  <c r="T9" i="1"/>
  <c r="S8" i="1"/>
  <c r="S9" i="1"/>
  <c r="R8" i="1"/>
  <c r="R9" i="1"/>
  <c r="Q8" i="1"/>
  <c r="Q9" i="1"/>
  <c r="P8" i="1"/>
  <c r="P9" i="1"/>
  <c r="Y7" i="1"/>
  <c r="B7" i="1"/>
  <c r="Y6" i="1"/>
  <c r="L5" i="1"/>
  <c r="J5" i="1"/>
  <c r="H5" i="1"/>
  <c r="F5" i="1"/>
  <c r="D5" i="1"/>
  <c r="B5" i="1"/>
  <c r="E16" i="7"/>
  <c r="E15" i="7"/>
  <c r="E14" i="7"/>
  <c r="E13" i="7"/>
  <c r="E12" i="7"/>
  <c r="C8" i="7"/>
  <c r="A1" i="3"/>
  <c r="A1" i="8"/>
  <c r="A1" i="10"/>
  <c r="A1" i="16"/>
  <c r="A1" i="20"/>
  <c r="A1" i="18"/>
  <c r="A1" i="12"/>
  <c r="A1" i="11"/>
  <c r="A1" i="17"/>
  <c r="A1" i="19"/>
  <c r="A1" i="14"/>
  <c r="A1" i="1"/>
  <c r="I11" i="14"/>
  <c r="I10" i="14"/>
  <c r="J15" i="14"/>
  <c r="I15" i="14"/>
  <c r="J14" i="14"/>
  <c r="I14" i="14"/>
  <c r="J13" i="14"/>
  <c r="I13" i="14"/>
  <c r="J12" i="14"/>
  <c r="I12" i="14"/>
  <c r="J11" i="14"/>
  <c r="K5" i="18"/>
  <c r="J5" i="18"/>
  <c r="I5" i="18"/>
  <c r="H5" i="18"/>
  <c r="E5" i="18"/>
  <c r="D5" i="18"/>
  <c r="C5" i="18"/>
  <c r="F5" i="18"/>
  <c r="I6" i="14"/>
  <c r="J14" i="19"/>
  <c r="I14" i="19"/>
  <c r="J13" i="19"/>
  <c r="I13" i="19"/>
  <c r="J12" i="19"/>
  <c r="I12" i="19"/>
  <c r="J11" i="19"/>
  <c r="I11" i="19"/>
  <c r="J10" i="19"/>
  <c r="I10" i="19"/>
  <c r="J9" i="19"/>
  <c r="I9" i="19"/>
  <c r="J8" i="19"/>
  <c r="I8" i="19"/>
  <c r="J7" i="19"/>
  <c r="I7" i="19"/>
  <c r="I6" i="19"/>
  <c r="J6" i="19"/>
  <c r="K5" i="20"/>
  <c r="J5" i="20"/>
  <c r="I5" i="20"/>
  <c r="H5" i="20"/>
  <c r="F5" i="20"/>
  <c r="E5" i="20"/>
  <c r="D5" i="20"/>
  <c r="C5" i="20"/>
  <c r="F5" i="16"/>
  <c r="E5" i="16"/>
  <c r="D5" i="16"/>
  <c r="C5" i="16"/>
  <c r="D31" i="17"/>
  <c r="E31" i="17"/>
  <c r="F31" i="17"/>
  <c r="G31" i="17"/>
  <c r="H31" i="17"/>
  <c r="C31" i="17"/>
  <c r="J10" i="17"/>
  <c r="I10" i="17"/>
  <c r="J9" i="17"/>
  <c r="I9" i="17"/>
  <c r="I6" i="17"/>
  <c r="J6" i="17"/>
  <c r="I7" i="17"/>
  <c r="J7" i="17"/>
  <c r="I8" i="17"/>
  <c r="J8" i="17"/>
  <c r="I13" i="17"/>
  <c r="J13" i="17"/>
  <c r="I14" i="17"/>
  <c r="J14" i="17"/>
  <c r="I15" i="17"/>
  <c r="J15" i="17"/>
  <c r="J24" i="11"/>
  <c r="I24" i="11"/>
  <c r="J19" i="11"/>
  <c r="C28" i="11"/>
  <c r="I19" i="11"/>
  <c r="C27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F5" i="10"/>
  <c r="D5" i="10"/>
  <c r="E5" i="10"/>
  <c r="C5" i="10"/>
  <c r="G5" i="20"/>
  <c r="G5" i="18"/>
  <c r="K5" i="16"/>
  <c r="J5" i="16"/>
  <c r="I5" i="16"/>
  <c r="H5" i="16"/>
  <c r="K5" i="10"/>
  <c r="J5" i="10"/>
  <c r="I5" i="10"/>
  <c r="H5" i="10"/>
  <c r="Z13" i="1"/>
  <c r="G5" i="16"/>
  <c r="K35" i="16"/>
  <c r="J35" i="16"/>
  <c r="I35" i="16"/>
  <c r="H35" i="16"/>
  <c r="F11" i="10"/>
  <c r="E11" i="10"/>
  <c r="D11" i="10"/>
  <c r="F9" i="10"/>
  <c r="E9" i="10"/>
  <c r="D9" i="10"/>
  <c r="F7" i="10"/>
  <c r="E7" i="10"/>
  <c r="D7" i="10"/>
  <c r="J10" i="14"/>
  <c r="J9" i="14"/>
  <c r="I9" i="14"/>
  <c r="J8" i="14"/>
  <c r="I8" i="14"/>
  <c r="J7" i="14"/>
  <c r="I7" i="14"/>
  <c r="J6" i="14"/>
  <c r="J25" i="11"/>
  <c r="I25" i="11"/>
  <c r="J23" i="11"/>
  <c r="I23" i="11"/>
  <c r="J22" i="11"/>
  <c r="I22" i="11"/>
  <c r="J21" i="11"/>
  <c r="I21" i="11"/>
  <c r="J20" i="11"/>
  <c r="I20" i="11"/>
  <c r="J18" i="11"/>
  <c r="I18" i="11"/>
  <c r="J17" i="11"/>
  <c r="I17" i="11"/>
  <c r="J16" i="11"/>
  <c r="I16" i="11"/>
  <c r="J15" i="11"/>
  <c r="I15" i="11"/>
  <c r="J14" i="11"/>
  <c r="I14" i="1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B20" i="3"/>
  <c r="U8" i="1"/>
  <c r="B21" i="3"/>
  <c r="V8" i="1"/>
  <c r="B22" i="3"/>
  <c r="B23" i="3"/>
  <c r="C23" i="3"/>
  <c r="B24" i="3"/>
  <c r="C24" i="3"/>
  <c r="B25" i="3"/>
  <c r="C25" i="3"/>
  <c r="H20" i="3"/>
  <c r="G20" i="3"/>
  <c r="B38" i="1"/>
  <c r="D28" i="11"/>
  <c r="E28" i="11"/>
  <c r="F28" i="11"/>
  <c r="G28" i="11"/>
  <c r="H28" i="11"/>
  <c r="D27" i="11"/>
  <c r="E27" i="11"/>
  <c r="F27" i="11"/>
  <c r="G27" i="11"/>
  <c r="H27" i="11"/>
  <c r="G5" i="10"/>
  <c r="L20" i="8"/>
  <c r="K20" i="8"/>
  <c r="F20" i="8"/>
  <c r="E20" i="8"/>
  <c r="L18" i="8"/>
  <c r="K18" i="8"/>
  <c r="F18" i="8"/>
  <c r="E18" i="8"/>
  <c r="L16" i="8"/>
  <c r="K16" i="8"/>
  <c r="F16" i="8"/>
  <c r="E16" i="8"/>
  <c r="L11" i="8"/>
  <c r="K11" i="8"/>
  <c r="L7" i="8"/>
  <c r="K7" i="8"/>
  <c r="L9" i="8"/>
  <c r="K9" i="8"/>
  <c r="E11" i="8"/>
  <c r="E7" i="8"/>
  <c r="E9" i="8"/>
  <c r="F11" i="8"/>
  <c r="F9" i="8"/>
  <c r="F7" i="8"/>
  <c r="G21" i="3"/>
  <c r="G19" i="3"/>
  <c r="G18" i="3"/>
  <c r="G14" i="3"/>
  <c r="G13" i="3"/>
  <c r="G12" i="3"/>
  <c r="G8" i="3"/>
  <c r="G7" i="3"/>
  <c r="G6" i="3"/>
  <c r="H21" i="3"/>
  <c r="H19" i="3"/>
  <c r="H18" i="3"/>
  <c r="H14" i="3"/>
  <c r="H13" i="3"/>
  <c r="H12" i="3"/>
  <c r="W8" i="1"/>
  <c r="C5" i="3"/>
  <c r="G11" i="3"/>
  <c r="N29" i="1"/>
  <c r="N28" i="1"/>
  <c r="N27" i="1"/>
  <c r="N26" i="1"/>
  <c r="S7" i="1"/>
  <c r="R7" i="1"/>
  <c r="Q7" i="1"/>
  <c r="P7" i="1"/>
  <c r="C6" i="3"/>
</calcChain>
</file>

<file path=xl/sharedStrings.xml><?xml version="1.0" encoding="utf-8"?>
<sst xmlns="http://schemas.openxmlformats.org/spreadsheetml/2006/main" count="308" uniqueCount="200">
  <si>
    <t>Sales (M)</t>
  </si>
  <si>
    <t>Start Date</t>
  </si>
  <si>
    <t>End Date</t>
  </si>
  <si>
    <t>Frequency</t>
  </si>
  <si>
    <t>Close</t>
  </si>
  <si>
    <t>Sequence</t>
  </si>
  <si>
    <t>monthly</t>
  </si>
  <si>
    <t xml:space="preserve"> Formula Date</t>
  </si>
  <si>
    <t>Current</t>
  </si>
  <si>
    <t>Beta</t>
  </si>
  <si>
    <t>PE TTM</t>
  </si>
  <si>
    <t>52WK High</t>
  </si>
  <si>
    <t>52WK Low</t>
  </si>
  <si>
    <t>Trading Information</t>
  </si>
  <si>
    <t>Current Price</t>
  </si>
  <si>
    <t>52 Week Range</t>
  </si>
  <si>
    <t>Key Statistics</t>
  </si>
  <si>
    <t>Ent Value (M)</t>
  </si>
  <si>
    <t>Dividend (Ann)</t>
  </si>
  <si>
    <t>Estimates</t>
  </si>
  <si>
    <t>Target Price</t>
  </si>
  <si>
    <t>Mkt Cap (M)</t>
  </si>
  <si>
    <t>Shares Out (M)</t>
  </si>
  <si>
    <t>Valuation</t>
  </si>
  <si>
    <t>Profitability (%)</t>
  </si>
  <si>
    <t>EBITDA Margin</t>
  </si>
  <si>
    <t>ROE</t>
  </si>
  <si>
    <t>Growth (%)</t>
  </si>
  <si>
    <t xml:space="preserve">EBITDA </t>
  </si>
  <si>
    <t>roe</t>
  </si>
  <si>
    <t>profitmargin</t>
  </si>
  <si>
    <t>pricetoearnings</t>
  </si>
  <si>
    <t>tag</t>
  </si>
  <si>
    <t>ebitmargin</t>
  </si>
  <si>
    <t>Days to Cover</t>
  </si>
  <si>
    <t>ebitdamargin</t>
  </si>
  <si>
    <t>yearly</t>
  </si>
  <si>
    <t>pricetorevenue</t>
  </si>
  <si>
    <t>pricetobook</t>
  </si>
  <si>
    <t>Industry</t>
  </si>
  <si>
    <t>LT Growth</t>
  </si>
  <si>
    <t>TTM</t>
  </si>
  <si>
    <t>YTD Return</t>
  </si>
  <si>
    <t>3M Return</t>
  </si>
  <si>
    <t>1YR Return</t>
  </si>
  <si>
    <t>Sector</t>
  </si>
  <si>
    <t>Company Name:</t>
  </si>
  <si>
    <t>Report Date:</t>
  </si>
  <si>
    <t>dilutedeps</t>
  </si>
  <si>
    <t>CFY</t>
  </si>
  <si>
    <t>NFY</t>
  </si>
  <si>
    <t>5 Yr Ave</t>
  </si>
  <si>
    <t>Avg Daily Vol (3m)</t>
  </si>
  <si>
    <t>52_week_high</t>
  </si>
  <si>
    <t>52_week_low</t>
  </si>
  <si>
    <t>Trend</t>
  </si>
  <si>
    <t>Revenue</t>
  </si>
  <si>
    <t>5 Yr CAGR</t>
  </si>
  <si>
    <t>Price / Earnings</t>
  </si>
  <si>
    <t>Price / Revenue</t>
  </si>
  <si>
    <t>Price / Book</t>
  </si>
  <si>
    <t>EPS</t>
  </si>
  <si>
    <t>revenuegrowth</t>
  </si>
  <si>
    <t>ebitdagrowth</t>
  </si>
  <si>
    <t>ebitgrowth</t>
  </si>
  <si>
    <t>epsgrowth</t>
  </si>
  <si>
    <t>Key Items</t>
  </si>
  <si>
    <t>Profile</t>
  </si>
  <si>
    <t>Dividend Yield (Ann)</t>
  </si>
  <si>
    <t>Key Estimates</t>
  </si>
  <si>
    <t>Earnings</t>
  </si>
  <si>
    <t>Annual</t>
  </si>
  <si>
    <t>Quarterly</t>
  </si>
  <si>
    <t>EPS - High Est.</t>
  </si>
  <si>
    <t>EPS - Low Est.</t>
  </si>
  <si>
    <t xml:space="preserve">   Y/Y Growth (%)</t>
  </si>
  <si>
    <t>Revenue - High Est.</t>
  </si>
  <si>
    <t>Revenue - Low Est.</t>
  </si>
  <si>
    <t>Revenue (M)</t>
  </si>
  <si>
    <t>Comps:</t>
  </si>
  <si>
    <t>CEO</t>
  </si>
  <si>
    <t>Net Income</t>
  </si>
  <si>
    <t>FY</t>
  </si>
  <si>
    <t>QTR</t>
  </si>
  <si>
    <t>Income Metrics</t>
  </si>
  <si>
    <t>Mean</t>
  </si>
  <si>
    <t>Median</t>
  </si>
  <si>
    <t>Income Metrics - Comps</t>
  </si>
  <si>
    <t>Company</t>
  </si>
  <si>
    <t>Ticker</t>
  </si>
  <si>
    <t>Comps Overview</t>
  </si>
  <si>
    <t>(M)</t>
  </si>
  <si>
    <t>Revenue - Act/Ave Est</t>
  </si>
  <si>
    <t>EPS - Act/Ave Est</t>
  </si>
  <si>
    <t>Dividend Ex-Date</t>
  </si>
  <si>
    <t>Company URL</t>
  </si>
  <si>
    <t>HQ Address</t>
  </si>
  <si>
    <t>Profit Margin</t>
  </si>
  <si>
    <t>netincomegrowth</t>
  </si>
  <si>
    <t>Next Earnings Date</t>
  </si>
  <si>
    <t>Chart Date</t>
  </si>
  <si>
    <t>Ticker or RSSD ID:</t>
  </si>
  <si>
    <t>statement</t>
  </si>
  <si>
    <t>RIAD4010</t>
  </si>
  <si>
    <t>RI</t>
  </si>
  <si>
    <t>Interest on Loans</t>
  </si>
  <si>
    <t>Total Interest Income</t>
  </si>
  <si>
    <t>RIAD4107</t>
  </si>
  <si>
    <t>RIAD4073</t>
  </si>
  <si>
    <t>Total Interest Expense</t>
  </si>
  <si>
    <t>Net Interest Income</t>
  </si>
  <si>
    <t>RIAD4074</t>
  </si>
  <si>
    <t xml:space="preserve">   % of Ave Assets</t>
  </si>
  <si>
    <t>RIAD4079</t>
  </si>
  <si>
    <t>Non-Interest Income</t>
  </si>
  <si>
    <t>UBPRE004</t>
  </si>
  <si>
    <t>Provision for Loan Loss</t>
  </si>
  <si>
    <t>UBPRE013</t>
  </si>
  <si>
    <t>Avg Earning Assets to Avg Assets</t>
  </si>
  <si>
    <t>Avg Int-Bearing Funds to Avg Assets</t>
  </si>
  <si>
    <t>Int Inc (TE) to Avg Earn Assets</t>
  </si>
  <si>
    <t>Int Expense to Avg Earn Assets</t>
  </si>
  <si>
    <t>Net Int Inc-TE to Avg Earn Assets</t>
  </si>
  <si>
    <t>Margin Analysis</t>
  </si>
  <si>
    <t>Tier One Leverage Ratio</t>
  </si>
  <si>
    <t>Net Loans &amp; Leases to Assets</t>
  </si>
  <si>
    <t>Total Branches</t>
  </si>
  <si>
    <t>Leverage &amp; Liqudity Analysis</t>
  </si>
  <si>
    <t>Margin, Leverage &amp; Liquidity Analysis</t>
  </si>
  <si>
    <t>% of Total Securities</t>
  </si>
  <si>
    <t>Investment Portfolio</t>
  </si>
  <si>
    <t>% of of Ave Assets</t>
  </si>
  <si>
    <t>Total</t>
  </si>
  <si>
    <t>Assets</t>
  </si>
  <si>
    <t>Branches</t>
  </si>
  <si>
    <t>Identifier</t>
  </si>
  <si>
    <t>Deposits</t>
  </si>
  <si>
    <t>Net</t>
  </si>
  <si>
    <t>Interest Income</t>
  </si>
  <si>
    <t>Net Int. Inc. /</t>
  </si>
  <si>
    <t>Ave Assets</t>
  </si>
  <si>
    <t>(%)</t>
  </si>
  <si>
    <t>SummaryRatios</t>
  </si>
  <si>
    <t>UBPRE003</t>
  </si>
  <si>
    <t>RIAD4230</t>
  </si>
  <si>
    <t>UBPRE006</t>
  </si>
  <si>
    <t>RIAD4340</t>
  </si>
  <si>
    <t>UBPRE014</t>
  </si>
  <si>
    <t>UBPRE015</t>
  </si>
  <si>
    <t>UBPRE016</t>
  </si>
  <si>
    <t>UBPRE017</t>
  </si>
  <si>
    <t>UBPRE018</t>
  </si>
  <si>
    <t>UBPRD486</t>
  </si>
  <si>
    <t>UBPRE025</t>
  </si>
  <si>
    <t>UBPRE024</t>
  </si>
  <si>
    <t>Retained Earnings to Avg Total Equity</t>
  </si>
  <si>
    <t xml:space="preserve">  US Treas &amp; Govt Agencies</t>
  </si>
  <si>
    <t xml:space="preserve">  Municipal Securities</t>
  </si>
  <si>
    <t xml:space="preserve">  Pass-Through Mtg Backed Secs</t>
  </si>
  <si>
    <t xml:space="preserve">  CMO &amp; REMIC Mtg Backed Secs</t>
  </si>
  <si>
    <t xml:space="preserve"> Commercial Mtg Back Secs</t>
  </si>
  <si>
    <t xml:space="preserve">  Asset Backed Securities</t>
  </si>
  <si>
    <t>Structured Financial Products</t>
  </si>
  <si>
    <t xml:space="preserve">  Other Domestic Debt Secs</t>
  </si>
  <si>
    <t xml:space="preserve">  Foreign Debt Securities</t>
  </si>
  <si>
    <t xml:space="preserve">  Inv Mut Fnd &amp; Oth Mktbl</t>
  </si>
  <si>
    <t>LiquidityInvPortfolio</t>
  </si>
  <si>
    <t>UBPRM027</t>
  </si>
  <si>
    <t>UBPRM028</t>
  </si>
  <si>
    <t>UBPRM029</t>
  </si>
  <si>
    <t>UBPRM030</t>
  </si>
  <si>
    <t>UBPRM031</t>
  </si>
  <si>
    <t>UBPRM032</t>
  </si>
  <si>
    <t>UBPRM033</t>
  </si>
  <si>
    <t>UBPRM034</t>
  </si>
  <si>
    <t>UBPRM035</t>
  </si>
  <si>
    <t>UBPRM036</t>
  </si>
  <si>
    <t>Loans Held For Sale</t>
  </si>
  <si>
    <t>Loans Not Held For Sale</t>
  </si>
  <si>
    <t xml:space="preserve">  Less: LN&amp;LS Allowance</t>
  </si>
  <si>
    <t xml:space="preserve">    Net Loans &amp; Leases</t>
  </si>
  <si>
    <t>Interest-Bearing Bank Balances</t>
  </si>
  <si>
    <t>Federal Funds Sold &amp; Resales</t>
  </si>
  <si>
    <t>Trading Account Assets</t>
  </si>
  <si>
    <t>Held-to-Maturity Securities</t>
  </si>
  <si>
    <t>Available-for-Sale Securities</t>
  </si>
  <si>
    <t>BalanceSheetPercent</t>
  </si>
  <si>
    <t>UBPRE345</t>
  </si>
  <si>
    <t>UBPRE346</t>
  </si>
  <si>
    <t>UBPRE347</t>
  </si>
  <si>
    <t>UBPRE348</t>
  </si>
  <si>
    <t>UBPRE349</t>
  </si>
  <si>
    <t>UBPRE350</t>
  </si>
  <si>
    <t>UBPRE351</t>
  </si>
  <si>
    <t>UBPRE352</t>
  </si>
  <si>
    <t>UBPRE353</t>
  </si>
  <si>
    <t>Margin, Liquidity &amp; Leverage - Comps</t>
  </si>
  <si>
    <t>Earning Assets Metrics - Comps</t>
  </si>
  <si>
    <t>Earning Assets</t>
  </si>
  <si>
    <t>Investment Portfolio - Comps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</si>
</sst>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mm\-dd\-yyyy"/>
    <numFmt numFmtId="166" formatCode="yyyy"/>
    <numFmt numFmtId="167" formatCode="&quot;$&quot;#,##0.00"/>
    <numFmt numFmtId="168" formatCode="yyyy\-mm\-dd"/>
    <numFmt numFmtId="169" formatCode="0.0\x"/>
    <numFmt numFmtId="170" formatCode="0.0%"/>
    <numFmt numFmtId="171" formatCode="0.0"/>
    <numFmt numFmtId="172" formatCode="&quot;$&quot;#,##0"/>
    <numFmt numFmtId="173" formatCode="[$-409]m/d/yy\ h:mm\ AM/PM;@"/>
    <numFmt numFmtId="174" formatCode="_(&quot;$&quot;* #,##0.0_);_(&quot;$&quot;* \(#,##0.0\);_(&quot;$&quot;* &quot;-&quot;??_);_(@_)"/>
    <numFmt numFmtId="175" formatCode="[$-F400]h:mm:ss\ AM/PM"/>
    <numFmt numFmtId="176" formatCode="_(* #,##0_);_(* \(#,##0\);_(* &quot;-&quot;??_);_(@_)"/>
    <numFmt numFmtId="177" formatCode="* _(&quot;$&quot;#,##0.0_);* \(&quot;$&quot;#,##0.0\);* _(&quot;-&quot;?_);_(@_)"/>
    <numFmt numFmtId="178" formatCode="&quot;$&quot;#,##0.0"/>
  </numFmts>
  <fonts count="19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b/>
      <sz val="12"/>
      <color theme="1"/>
      <name val="Trebuchet MS"/>
      <family val="2"/>
      <scheme val="minor"/>
    </font>
    <font>
      <sz val="12"/>
      <color theme="1"/>
      <name val="Trebuchet MS"/>
      <family val="2"/>
      <scheme val="minor"/>
    </font>
    <font>
      <b/>
      <sz val="12"/>
      <color theme="0"/>
      <name val="Trebuchet MS"/>
      <family val="2"/>
      <scheme val="minor"/>
    </font>
    <font>
      <b/>
      <sz val="12"/>
      <name val="Trebuchet MS"/>
      <family val="2"/>
      <scheme val="minor"/>
    </font>
    <font>
      <b/>
      <sz val="11"/>
      <color rgb="FF0070C0"/>
      <name val="Trebuchet MS"/>
      <family val="2"/>
      <scheme val="minor"/>
    </font>
    <font>
      <sz val="11"/>
      <color rgb="FF0070C0"/>
      <name val="Trebuchet MS"/>
      <family val="2"/>
      <scheme val="minor"/>
    </font>
    <font>
      <sz val="10"/>
      <name val="Trebuchet MS"/>
      <family val="2"/>
      <scheme val="minor"/>
    </font>
    <font>
      <sz val="12"/>
      <name val="Trebuchet MS"/>
      <family val="2"/>
      <scheme val="minor"/>
    </font>
    <font>
      <sz val="11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0"/>
      <name val="Arial"/>
      <family val="2"/>
    </font>
    <font>
      <b/>
      <sz val="12"/>
      <name val="Trebuchet MS"/>
      <family val="2"/>
      <scheme val="major"/>
    </font>
    <font>
      <sz val="12"/>
      <name val="Trebuchet MS"/>
      <family val="2"/>
      <scheme val="major"/>
    </font>
    <font>
      <u/>
      <sz val="11"/>
      <color theme="5"/>
      <name val="Trebuchet MS"/>
      <family val="2"/>
      <scheme val="minor"/>
    </font>
    <font>
      <sz val="11"/>
      <color rgb="FF000000"/>
      <name val="Trebuchet MS"/>
      <family val="2"/>
    </font>
    <font>
      <b/>
      <sz val="14"/>
      <color theme="1"/>
      <name val="Trebuchet MS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91454817346722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/>
      <diagonal/>
    </border>
    <border>
      <left/>
      <right style="thin">
        <color theme="4" tint="0.39991454817346722"/>
      </right>
      <top/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/>
      <right style="thin">
        <color theme="4" tint="0.39991454817346722"/>
      </right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/>
      <top style="thin">
        <color theme="4" tint="0.39997558519241921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88402966399123"/>
      </top>
      <bottom/>
      <diagonal/>
    </border>
    <border>
      <left/>
      <right/>
      <top style="thin">
        <color theme="4" tint="0.39988402966399123"/>
      </top>
      <bottom/>
      <diagonal/>
    </border>
    <border>
      <left/>
      <right style="thin">
        <color theme="4" tint="0.39988402966399123"/>
      </right>
      <top style="thin">
        <color theme="4" tint="0.39988402966399123"/>
      </top>
      <bottom/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91454817346722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91454817346722"/>
      </bottom>
      <diagonal/>
    </border>
    <border>
      <left style="thin">
        <color theme="4" tint="0.39988402966399123"/>
      </left>
      <right/>
      <top style="thin">
        <color theme="4" tint="0.39991454817346722"/>
      </top>
      <bottom style="thin">
        <color theme="4" tint="0.39988402966399123"/>
      </bottom>
      <diagonal/>
    </border>
    <border>
      <left/>
      <right/>
      <top style="thin">
        <color theme="4" tint="0.39991454817346722"/>
      </top>
      <bottom style="thin">
        <color theme="4" tint="0.39988402966399123"/>
      </bottom>
      <diagonal/>
    </border>
    <border>
      <left/>
      <right style="thin">
        <color theme="4" tint="0.39988402966399123"/>
      </right>
      <top style="thin">
        <color theme="4" tint="0.39991454817346722"/>
      </top>
      <bottom style="thin">
        <color theme="4" tint="0.39988402966399123"/>
      </bottom>
      <diagonal/>
    </border>
    <border>
      <left style="thin">
        <color theme="4" tint="0.39988402966399123"/>
      </left>
      <right/>
      <top/>
      <bottom style="thin">
        <color theme="4" tint="0.39988402966399123"/>
      </bottom>
      <diagonal/>
    </border>
    <border>
      <left/>
      <right/>
      <top/>
      <bottom style="thin">
        <color theme="4" tint="0.39988402966399123"/>
      </bottom>
      <diagonal/>
    </border>
    <border>
      <left/>
      <right style="thin">
        <color theme="4" tint="0.39988402966399123"/>
      </right>
      <top/>
      <bottom style="thin">
        <color theme="4" tint="0.39988402966399123"/>
      </bottom>
      <diagonal/>
    </border>
    <border>
      <left style="thin">
        <color theme="4" tint="0.39985351115451523"/>
      </left>
      <right/>
      <top style="thin">
        <color theme="4" tint="0.39985351115451523"/>
      </top>
      <bottom/>
      <diagonal/>
    </border>
    <border>
      <left/>
      <right/>
      <top style="thin">
        <color theme="4" tint="0.39985351115451523"/>
      </top>
      <bottom/>
      <diagonal/>
    </border>
    <border>
      <left/>
      <right style="thin">
        <color theme="4" tint="0.39985351115451523"/>
      </right>
      <top style="thin">
        <color theme="4" tint="0.39985351115451523"/>
      </top>
      <bottom/>
      <diagonal/>
    </border>
    <border>
      <left style="thin">
        <color theme="4" tint="0.39985351115451523"/>
      </left>
      <right/>
      <top/>
      <bottom style="thin">
        <color theme="4" tint="0.39985351115451523"/>
      </bottom>
      <diagonal/>
    </border>
    <border>
      <left/>
      <right/>
      <top/>
      <bottom style="thin">
        <color theme="4" tint="0.39985351115451523"/>
      </bottom>
      <diagonal/>
    </border>
    <border>
      <left/>
      <right style="thin">
        <color theme="4" tint="0.39985351115451523"/>
      </right>
      <top/>
      <bottom style="thin">
        <color theme="4" tint="0.39985351115451523"/>
      </bottom>
      <diagonal/>
    </border>
    <border>
      <left style="thin">
        <color theme="4" tint="0.39982299264503923"/>
      </left>
      <right/>
      <top style="thin">
        <color theme="4" tint="0.39982299264503923"/>
      </top>
      <bottom style="thin">
        <color theme="4" tint="0.39982299264503923"/>
      </bottom>
      <diagonal/>
    </border>
    <border>
      <left/>
      <right/>
      <top style="thin">
        <color theme="4" tint="0.399822992645039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2299264503923"/>
      </top>
      <bottom style="thin">
        <color theme="4" tint="0.39982299264503923"/>
      </bottom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  <border>
      <left style="thin">
        <color theme="4" tint="0.39991454817346722"/>
      </left>
      <right/>
      <top/>
      <bottom style="thin">
        <color theme="4" tint="0.39991454817346722"/>
      </bottom>
      <diagonal/>
    </border>
    <border>
      <left style="thin">
        <color theme="4" tint="0.39985351115451523"/>
      </left>
      <right/>
      <top style="thin">
        <color theme="4" tint="0.39988402966399123"/>
      </top>
      <bottom/>
      <diagonal/>
    </border>
    <border>
      <left/>
      <right style="thin">
        <color theme="4" tint="0.39985351115451523"/>
      </right>
      <top style="thin">
        <color theme="4" tint="0.39988402966399123"/>
      </top>
      <bottom/>
      <diagonal/>
    </border>
    <border>
      <left style="thin">
        <color theme="4" tint="0.39985351115451523"/>
      </left>
      <right/>
      <top/>
      <bottom style="thin">
        <color theme="4" tint="0.39988402966399123"/>
      </bottom>
      <diagonal/>
    </border>
    <border>
      <left/>
      <right style="thin">
        <color theme="4" tint="0.39985351115451523"/>
      </right>
      <top/>
      <bottom style="thin">
        <color theme="4" tint="0.39988402966399123"/>
      </bottom>
      <diagonal/>
    </border>
    <border>
      <left style="thin">
        <color theme="4" tint="0.39985351115451523"/>
      </left>
      <right/>
      <top/>
      <bottom/>
      <diagonal/>
    </border>
    <border>
      <left/>
      <right style="thin">
        <color theme="4" tint="0.39985351115451523"/>
      </right>
      <top/>
      <bottom/>
      <diagonal/>
    </border>
    <border>
      <left style="thin">
        <color theme="4" tint="0.39985351115451523"/>
      </left>
      <right/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5351115451523"/>
      </right>
      <top style="thin">
        <color theme="4" tint="0.39997558519241921"/>
      </top>
      <bottom style="thin">
        <color theme="4" tint="0.39991454817346722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/>
      <diagonal/>
    </border>
    <border>
      <left/>
      <right style="thin">
        <color theme="4" tint="0.39982299264503923"/>
      </right>
      <top/>
      <bottom style="thin">
        <color theme="4" tint="0.39988402966399123"/>
      </bottom>
      <diagonal/>
    </border>
    <border>
      <left/>
      <right style="thin">
        <color theme="4" tint="0.39982299264503923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indexed="23"/>
      </bottom>
      <diagonal/>
    </border>
    <border>
      <left style="thin">
        <color theme="4" tint="0.39985351115451523"/>
      </left>
      <right/>
      <top style="thin">
        <color theme="4" tint="0.39988402966399123"/>
      </top>
      <bottom style="thin">
        <color theme="4" tint="0.39982299264503923"/>
      </bottom>
      <diagonal/>
    </border>
    <border>
      <left/>
      <right style="thin">
        <color theme="4" tint="0.39982299264503923"/>
      </right>
      <top style="thin">
        <color theme="4" tint="0.39988402966399123"/>
      </top>
      <bottom style="thin">
        <color theme="4" tint="0.39982299264503923"/>
      </bottom>
      <diagonal/>
    </border>
    <border>
      <left/>
      <right style="thin">
        <color theme="4" tint="0.39979247413556324"/>
      </right>
      <top/>
      <bottom style="thin">
        <color theme="4" tint="0.39988402966399123"/>
      </bottom>
      <diagonal/>
    </border>
    <border>
      <left/>
      <right style="thin">
        <color theme="4" tint="0.39979247413556324"/>
      </right>
      <top style="thin">
        <color theme="4" tint="0.39988402966399123"/>
      </top>
      <bottom style="thin">
        <color theme="4" tint="0.39982299264503923"/>
      </bottom>
      <diagonal/>
    </border>
    <border>
      <left/>
      <right style="thin">
        <color theme="4" tint="0.39979247413556324"/>
      </right>
      <top style="thin">
        <color theme="4" tint="0.39982299264503923"/>
      </top>
      <bottom style="thin">
        <color theme="4" tint="0.39982299264503923"/>
      </bottom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" fontId="9" fillId="0" borderId="0"/>
    <xf numFmtId="174" fontId="3" fillId="0" borderId="0" applyFont="0" applyFill="0" applyBorder="0" applyProtection="0">
      <protection locked="0"/>
    </xf>
    <xf numFmtId="175" fontId="13" fillId="0" borderId="0"/>
    <xf numFmtId="0" fontId="16" fillId="0" borderId="0" applyNumberFormat="0" applyFill="0" applyBorder="0" applyAlignment="0" applyProtection="0"/>
  </cellStyleXfs>
  <cellXfs count="218">
    <xf numFmtId="0" fontId="0" fillId="0" borderId="0" xfId="0"/>
    <xf numFmtId="22" fontId="0" fillId="0" borderId="0" xfId="0" applyNumberFormat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166" fontId="0" fillId="0" borderId="0" xfId="0" applyNumberFormat="1"/>
    <xf numFmtId="10" fontId="0" fillId="0" borderId="0" xfId="2" applyNumberFormat="1" applyFont="1"/>
    <xf numFmtId="0" fontId="0" fillId="0" borderId="0" xfId="0" applyAlignment="1">
      <alignment vertical="top" wrapTex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1" applyNumberFormat="1" applyFont="1"/>
    <xf numFmtId="2" fontId="0" fillId="0" borderId="0" xfId="1" applyNumberFormat="1" applyFont="1"/>
    <xf numFmtId="168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/>
    <xf numFmtId="169" fontId="0" fillId="0" borderId="0" xfId="0" applyNumberFormat="1"/>
    <xf numFmtId="170" fontId="0" fillId="0" borderId="0" xfId="0" applyNumberFormat="1"/>
    <xf numFmtId="1" fontId="0" fillId="0" borderId="0" xfId="0" applyNumberFormat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applyFill="1" applyBorder="1"/>
    <xf numFmtId="1" fontId="0" fillId="0" borderId="0" xfId="0" applyNumberFormat="1" applyAlignment="1">
      <alignment horizontal="right"/>
    </xf>
    <xf numFmtId="0" fontId="4" fillId="0" borderId="0" xfId="0" applyFont="1"/>
    <xf numFmtId="0" fontId="4" fillId="0" borderId="0" xfId="0" applyFont="1" applyAlignment="1">
      <alignment vertical="top" wrapText="1"/>
    </xf>
    <xf numFmtId="9" fontId="4" fillId="0" borderId="0" xfId="2" applyFont="1" applyAlignment="1">
      <alignment vertical="top" wrapText="1"/>
    </xf>
    <xf numFmtId="0" fontId="4" fillId="0" borderId="3" xfId="0" applyFont="1" applyBorder="1" applyAlignment="1">
      <alignment wrapText="1"/>
    </xf>
    <xf numFmtId="0" fontId="4" fillId="3" borderId="3" xfId="0" applyFont="1" applyFill="1" applyBorder="1" applyAlignment="1">
      <alignment wrapText="1"/>
    </xf>
    <xf numFmtId="0" fontId="3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171" fontId="4" fillId="0" borderId="3" xfId="0" applyNumberFormat="1" applyFont="1" applyBorder="1" applyAlignment="1">
      <alignment horizontal="center" wrapText="1"/>
    </xf>
    <xf numFmtId="171" fontId="4" fillId="3" borderId="3" xfId="0" applyNumberFormat="1" applyFont="1" applyFill="1" applyBorder="1" applyAlignment="1">
      <alignment horizontal="center" wrapText="1"/>
    </xf>
    <xf numFmtId="0" fontId="4" fillId="0" borderId="5" xfId="0" applyFont="1" applyBorder="1" applyAlignment="1">
      <alignment wrapText="1"/>
    </xf>
    <xf numFmtId="170" fontId="4" fillId="0" borderId="5" xfId="2" applyNumberFormat="1" applyFont="1" applyBorder="1" applyAlignment="1">
      <alignment horizontal="center" wrapText="1"/>
    </xf>
    <xf numFmtId="0" fontId="4" fillId="3" borderId="7" xfId="0" applyFont="1" applyFill="1" applyBorder="1" applyAlignment="1"/>
    <xf numFmtId="0" fontId="4" fillId="0" borderId="7" xfId="0" applyFont="1" applyBorder="1" applyAlignment="1"/>
    <xf numFmtId="167" fontId="4" fillId="0" borderId="8" xfId="1" applyNumberFormat="1" applyFont="1" applyBorder="1" applyAlignment="1">
      <alignment horizontal="right"/>
    </xf>
    <xf numFmtId="172" fontId="4" fillId="0" borderId="8" xfId="1" applyNumberFormat="1" applyFont="1" applyBorder="1" applyAlignment="1">
      <alignment horizontal="right"/>
    </xf>
    <xf numFmtId="3" fontId="4" fillId="3" borderId="8" xfId="1" applyNumberFormat="1" applyFont="1" applyFill="1" applyBorder="1" applyAlignment="1">
      <alignment horizontal="right"/>
    </xf>
    <xf numFmtId="10" fontId="4" fillId="3" borderId="8" xfId="2" applyNumberFormat="1" applyFont="1" applyFill="1" applyBorder="1" applyAlignment="1">
      <alignment horizontal="right"/>
    </xf>
    <xf numFmtId="37" fontId="4" fillId="3" borderId="8" xfId="3" applyNumberFormat="1" applyFont="1" applyFill="1" applyBorder="1" applyAlignment="1">
      <alignment wrapText="1"/>
    </xf>
    <xf numFmtId="2" fontId="4" fillId="0" borderId="8" xfId="0" applyNumberFormat="1" applyFont="1" applyBorder="1" applyAlignment="1">
      <alignment horizontal="right" wrapText="1"/>
    </xf>
    <xf numFmtId="0" fontId="0" fillId="0" borderId="0" xfId="0" applyBorder="1" applyAlignment="1">
      <alignment vertical="top" wrapText="1"/>
    </xf>
    <xf numFmtId="0" fontId="4" fillId="0" borderId="0" xfId="0" applyFont="1" applyBorder="1" applyAlignment="1">
      <alignment vertical="top" wrapText="1"/>
    </xf>
    <xf numFmtId="0" fontId="0" fillId="0" borderId="0" xfId="0" applyBorder="1" applyAlignment="1">
      <alignment horizontal="left" vertical="top" wrapText="1"/>
    </xf>
    <xf numFmtId="0" fontId="4" fillId="0" borderId="11" xfId="0" applyFont="1" applyBorder="1" applyAlignment="1"/>
    <xf numFmtId="171" fontId="4" fillId="0" borderId="12" xfId="0" applyNumberFormat="1" applyFont="1" applyBorder="1" applyAlignment="1">
      <alignment horizontal="center" wrapText="1"/>
    </xf>
    <xf numFmtId="0" fontId="4" fillId="3" borderId="11" xfId="0" applyFont="1" applyFill="1" applyBorder="1" applyAlignment="1">
      <alignment wrapText="1"/>
    </xf>
    <xf numFmtId="171" fontId="4" fillId="3" borderId="12" xfId="0" applyNumberFormat="1" applyFont="1" applyFill="1" applyBorder="1" applyAlignment="1">
      <alignment horizontal="center" wrapText="1"/>
    </xf>
    <xf numFmtId="0" fontId="4" fillId="0" borderId="18" xfId="0" applyFont="1" applyBorder="1" applyAlignment="1"/>
    <xf numFmtId="170" fontId="4" fillId="0" borderId="19" xfId="2" applyNumberFormat="1" applyFont="1" applyBorder="1" applyAlignment="1">
      <alignment horizontal="center" wrapText="1"/>
    </xf>
    <xf numFmtId="0" fontId="4" fillId="3" borderId="20" xfId="0" applyFont="1" applyFill="1" applyBorder="1" applyAlignment="1"/>
    <xf numFmtId="0" fontId="4" fillId="3" borderId="21" xfId="0" applyFont="1" applyFill="1" applyBorder="1" applyAlignment="1"/>
    <xf numFmtId="170" fontId="4" fillId="3" borderId="21" xfId="2" applyNumberFormat="1" applyFont="1" applyFill="1" applyBorder="1" applyAlignment="1">
      <alignment horizontal="center"/>
    </xf>
    <xf numFmtId="170" fontId="4" fillId="3" borderId="22" xfId="2" applyNumberFormat="1" applyFont="1" applyFill="1" applyBorder="1" applyAlignment="1">
      <alignment horizontal="center"/>
    </xf>
    <xf numFmtId="0" fontId="4" fillId="3" borderId="9" xfId="0" applyFont="1" applyFill="1" applyBorder="1" applyAlignment="1"/>
    <xf numFmtId="0" fontId="4" fillId="3" borderId="0" xfId="0" applyFont="1" applyFill="1" applyBorder="1" applyAlignment="1"/>
    <xf numFmtId="171" fontId="4" fillId="3" borderId="0" xfId="0" applyNumberFormat="1" applyFont="1" applyFill="1" applyBorder="1" applyAlignment="1">
      <alignment horizontal="center"/>
    </xf>
    <xf numFmtId="171" fontId="4" fillId="3" borderId="10" xfId="0" applyNumberFormat="1" applyFont="1" applyFill="1" applyBorder="1" applyAlignment="1">
      <alignment horizontal="center"/>
    </xf>
    <xf numFmtId="0" fontId="5" fillId="4" borderId="23" xfId="0" applyFont="1" applyFill="1" applyBorder="1"/>
    <xf numFmtId="0" fontId="3" fillId="4" borderId="24" xfId="0" applyFont="1" applyFill="1" applyBorder="1" applyAlignment="1">
      <alignment horizontal="center"/>
    </xf>
    <xf numFmtId="0" fontId="3" fillId="4" borderId="25" xfId="0" applyFont="1" applyFill="1" applyBorder="1" applyAlignment="1">
      <alignment horizontal="center"/>
    </xf>
    <xf numFmtId="0" fontId="5" fillId="4" borderId="29" xfId="0" applyFont="1" applyFill="1" applyBorder="1"/>
    <xf numFmtId="0" fontId="3" fillId="4" borderId="30" xfId="0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0" fontId="4" fillId="3" borderId="32" xfId="0" applyFont="1" applyFill="1" applyBorder="1" applyAlignment="1"/>
    <xf numFmtId="0" fontId="4" fillId="3" borderId="33" xfId="0" applyFont="1" applyFill="1" applyBorder="1" applyAlignment="1"/>
    <xf numFmtId="170" fontId="4" fillId="3" borderId="33" xfId="2" applyNumberFormat="1" applyFont="1" applyFill="1" applyBorder="1" applyAlignment="1"/>
    <xf numFmtId="170" fontId="4" fillId="3" borderId="34" xfId="2" applyNumberFormat="1" applyFont="1" applyFill="1" applyBorder="1" applyAlignment="1"/>
    <xf numFmtId="0" fontId="4" fillId="0" borderId="32" xfId="0" applyFont="1" applyBorder="1" applyAlignment="1"/>
    <xf numFmtId="0" fontId="4" fillId="0" borderId="33" xfId="0" applyFont="1" applyBorder="1" applyAlignment="1">
      <alignment wrapText="1"/>
    </xf>
    <xf numFmtId="170" fontId="4" fillId="0" borderId="33" xfId="2" applyNumberFormat="1" applyFont="1" applyBorder="1" applyAlignment="1">
      <alignment wrapText="1"/>
    </xf>
    <xf numFmtId="170" fontId="4" fillId="0" borderId="34" xfId="2" applyNumberFormat="1" applyFont="1" applyBorder="1" applyAlignment="1">
      <alignment wrapText="1"/>
    </xf>
    <xf numFmtId="0" fontId="4" fillId="3" borderId="35" xfId="0" applyFont="1" applyFill="1" applyBorder="1" applyAlignment="1"/>
    <xf numFmtId="167" fontId="4" fillId="3" borderId="36" xfId="1" applyNumberFormat="1" applyFont="1" applyFill="1" applyBorder="1" applyAlignment="1">
      <alignment horizontal="right"/>
    </xf>
    <xf numFmtId="172" fontId="4" fillId="3" borderId="36" xfId="1" applyNumberFormat="1" applyFont="1" applyFill="1" applyBorder="1" applyAlignment="1">
      <alignment horizontal="right"/>
    </xf>
    <xf numFmtId="0" fontId="1" fillId="0" borderId="0" xfId="0" applyFont="1" applyAlignment="1">
      <alignment horizontal="right" indent="1"/>
    </xf>
    <xf numFmtId="0" fontId="3" fillId="0" borderId="0" xfId="0" applyFont="1" applyBorder="1"/>
    <xf numFmtId="0" fontId="4" fillId="0" borderId="2" xfId="0" applyFont="1" applyBorder="1"/>
    <xf numFmtId="172" fontId="4" fillId="0" borderId="0" xfId="1" applyNumberFormat="1" applyFont="1" applyAlignment="1">
      <alignment horizontal="left"/>
    </xf>
    <xf numFmtId="14" fontId="4" fillId="0" borderId="0" xfId="0" applyNumberFormat="1" applyFont="1" applyBorder="1"/>
    <xf numFmtId="0" fontId="4" fillId="0" borderId="0" xfId="0" applyFont="1" applyAlignment="1">
      <alignment horizontal="center"/>
    </xf>
    <xf numFmtId="167" fontId="6" fillId="0" borderId="0" xfId="1" applyNumberFormat="1" applyFont="1" applyAlignment="1">
      <alignment horizontal="left"/>
    </xf>
    <xf numFmtId="170" fontId="4" fillId="3" borderId="36" xfId="2" applyNumberFormat="1" applyFont="1" applyFill="1" applyBorder="1" applyAlignment="1">
      <alignment horizontal="right"/>
    </xf>
    <xf numFmtId="0" fontId="3" fillId="4" borderId="4" xfId="0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0" fontId="1" fillId="4" borderId="15" xfId="0" applyFont="1" applyFill="1" applyBorder="1" applyAlignment="1">
      <alignment vertical="center"/>
    </xf>
    <xf numFmtId="0" fontId="1" fillId="4" borderId="37" xfId="0" applyFont="1" applyFill="1" applyBorder="1" applyAlignment="1"/>
    <xf numFmtId="0" fontId="1" fillId="4" borderId="40" xfId="0" applyFont="1" applyFill="1" applyBorder="1" applyAlignment="1">
      <alignment horizontal="center"/>
    </xf>
    <xf numFmtId="0" fontId="1" fillId="4" borderId="24" xfId="0" applyFont="1" applyFill="1" applyBorder="1" applyAlignment="1">
      <alignment horizontal="center"/>
    </xf>
    <xf numFmtId="0" fontId="0" fillId="3" borderId="9" xfId="0" applyFont="1" applyFill="1" applyBorder="1" applyAlignment="1"/>
    <xf numFmtId="167" fontId="0" fillId="3" borderId="42" xfId="0" applyNumberFormat="1" applyFont="1" applyFill="1" applyBorder="1" applyAlignment="1">
      <alignment horizontal="right"/>
    </xf>
    <xf numFmtId="167" fontId="0" fillId="3" borderId="0" xfId="0" applyNumberFormat="1" applyFont="1" applyFill="1" applyBorder="1" applyAlignment="1">
      <alignment horizontal="right"/>
    </xf>
    <xf numFmtId="172" fontId="0" fillId="3" borderId="0" xfId="0" applyNumberFormat="1" applyFont="1" applyFill="1" applyBorder="1" applyAlignment="1">
      <alignment horizontal="right"/>
    </xf>
    <xf numFmtId="0" fontId="0" fillId="0" borderId="13" xfId="0" applyFont="1" applyBorder="1" applyAlignment="1"/>
    <xf numFmtId="170" fontId="0" fillId="0" borderId="44" xfId="2" applyNumberFormat="1" applyFont="1" applyBorder="1" applyAlignment="1">
      <alignment horizontal="right" wrapText="1"/>
    </xf>
    <xf numFmtId="170" fontId="0" fillId="0" borderId="14" xfId="2" applyNumberFormat="1" applyFont="1" applyBorder="1" applyAlignment="1">
      <alignment horizontal="right" wrapText="1"/>
    </xf>
    <xf numFmtId="9" fontId="0" fillId="0" borderId="44" xfId="2" applyFont="1" applyBorder="1" applyAlignment="1">
      <alignment horizontal="center" wrapText="1"/>
    </xf>
    <xf numFmtId="9" fontId="0" fillId="0" borderId="14" xfId="2" applyFont="1" applyBorder="1" applyAlignment="1">
      <alignment horizontal="center" wrapText="1"/>
    </xf>
    <xf numFmtId="172" fontId="0" fillId="3" borderId="42" xfId="0" applyNumberFormat="1" applyFont="1" applyFill="1" applyBorder="1" applyAlignment="1">
      <alignment horizontal="right"/>
    </xf>
    <xf numFmtId="0" fontId="0" fillId="0" borderId="0" xfId="0" applyFont="1" applyAlignment="1">
      <alignment vertical="top" wrapText="1"/>
    </xf>
    <xf numFmtId="0" fontId="7" fillId="4" borderId="24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/>
    </xf>
    <xf numFmtId="172" fontId="8" fillId="3" borderId="0" xfId="0" applyNumberFormat="1" applyFont="1" applyFill="1" applyBorder="1" applyAlignment="1">
      <alignment horizontal="right"/>
    </xf>
    <xf numFmtId="172" fontId="8" fillId="3" borderId="43" xfId="0" applyNumberFormat="1" applyFont="1" applyFill="1" applyBorder="1" applyAlignment="1">
      <alignment horizontal="right"/>
    </xf>
    <xf numFmtId="170" fontId="8" fillId="0" borderId="14" xfId="2" applyNumberFormat="1" applyFont="1" applyBorder="1" applyAlignment="1">
      <alignment horizontal="right" wrapText="1"/>
    </xf>
    <xf numFmtId="170" fontId="8" fillId="0" borderId="45" xfId="2" applyNumberFormat="1" applyFont="1" applyBorder="1" applyAlignment="1">
      <alignment horizontal="right" wrapText="1"/>
    </xf>
    <xf numFmtId="0" fontId="7" fillId="4" borderId="47" xfId="0" applyFont="1" applyFill="1" applyBorder="1" applyAlignment="1">
      <alignment horizontal="center"/>
    </xf>
    <xf numFmtId="167" fontId="8" fillId="3" borderId="0" xfId="0" applyNumberFormat="1" applyFont="1" applyFill="1" applyBorder="1" applyAlignment="1">
      <alignment horizontal="right"/>
    </xf>
    <xf numFmtId="167" fontId="8" fillId="3" borderId="43" xfId="0" applyNumberFormat="1" applyFont="1" applyFill="1" applyBorder="1" applyAlignment="1">
      <alignment horizontal="right"/>
    </xf>
    <xf numFmtId="167" fontId="8" fillId="3" borderId="48" xfId="0" applyNumberFormat="1" applyFont="1" applyFill="1" applyBorder="1" applyAlignment="1">
      <alignment horizontal="right"/>
    </xf>
    <xf numFmtId="0" fontId="1" fillId="5" borderId="1" xfId="0" applyFont="1" applyFill="1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vertical="top" wrapText="1"/>
    </xf>
    <xf numFmtId="0" fontId="4" fillId="0" borderId="0" xfId="0" applyFont="1" applyAlignment="1">
      <alignment horizontal="right" vertical="top" wrapText="1"/>
    </xf>
    <xf numFmtId="0" fontId="0" fillId="3" borderId="9" xfId="0" applyFont="1" applyFill="1" applyBorder="1" applyAlignment="1">
      <alignment vertical="center"/>
    </xf>
    <xf numFmtId="172" fontId="0" fillId="3" borderId="38" xfId="0" applyNumberFormat="1" applyFont="1" applyFill="1" applyBorder="1" applyAlignment="1">
      <alignment horizontal="right" vertical="center"/>
    </xf>
    <xf numFmtId="172" fontId="0" fillId="3" borderId="0" xfId="0" applyNumberFormat="1" applyFont="1" applyFill="1" applyBorder="1" applyAlignment="1">
      <alignment horizontal="right" vertical="center"/>
    </xf>
    <xf numFmtId="0" fontId="12" fillId="0" borderId="13" xfId="0" applyFont="1" applyBorder="1" applyAlignment="1">
      <alignment vertical="center"/>
    </xf>
    <xf numFmtId="170" fontId="12" fillId="0" borderId="44" xfId="2" applyNumberFormat="1" applyFont="1" applyBorder="1" applyAlignment="1">
      <alignment horizontal="right" vertical="center" wrapText="1"/>
    </xf>
    <xf numFmtId="170" fontId="12" fillId="0" borderId="14" xfId="2" applyNumberFormat="1" applyFont="1" applyBorder="1" applyAlignment="1">
      <alignment horizontal="right" vertical="center" wrapText="1"/>
    </xf>
    <xf numFmtId="170" fontId="4" fillId="0" borderId="0" xfId="0" applyNumberFormat="1" applyFont="1" applyAlignment="1">
      <alignment vertical="top" wrapText="1"/>
    </xf>
    <xf numFmtId="0" fontId="10" fillId="0" borderId="0" xfId="6" applyNumberFormat="1" applyFont="1" applyBorder="1" applyAlignment="1">
      <alignment wrapText="1"/>
    </xf>
    <xf numFmtId="0" fontId="10" fillId="0" borderId="0" xfId="6" applyNumberFormat="1" applyFont="1" applyBorder="1" applyAlignment="1">
      <alignment horizontal="center"/>
    </xf>
    <xf numFmtId="0" fontId="0" fillId="0" borderId="0" xfId="0" applyAlignment="1">
      <alignment vertical="center"/>
    </xf>
    <xf numFmtId="0" fontId="14" fillId="6" borderId="0" xfId="6" applyNumberFormat="1" applyFont="1" applyFill="1" applyBorder="1" applyAlignment="1">
      <alignment vertical="center"/>
    </xf>
    <xf numFmtId="0" fontId="15" fillId="6" borderId="0" xfId="6" applyNumberFormat="1" applyFont="1" applyFill="1" applyBorder="1" applyAlignment="1">
      <alignment vertical="center"/>
    </xf>
    <xf numFmtId="175" fontId="14" fillId="6" borderId="0" xfId="6" applyFont="1" applyFill="1" applyBorder="1" applyAlignment="1">
      <alignment horizontal="center" vertical="center"/>
    </xf>
    <xf numFmtId="170" fontId="0" fillId="0" borderId="0" xfId="0" applyNumberFormat="1" applyAlignment="1">
      <alignment vertical="center"/>
    </xf>
    <xf numFmtId="0" fontId="14" fillId="6" borderId="0" xfId="6" applyNumberFormat="1" applyFont="1" applyFill="1" applyBorder="1" applyAlignment="1">
      <alignment horizontal="left" vertical="center"/>
    </xf>
    <xf numFmtId="0" fontId="14" fillId="6" borderId="0" xfId="6" applyNumberFormat="1" applyFont="1" applyFill="1" applyBorder="1" applyAlignment="1">
      <alignment horizontal="center" vertical="center"/>
    </xf>
    <xf numFmtId="0" fontId="10" fillId="2" borderId="0" xfId="6" applyNumberFormat="1" applyFont="1" applyFill="1" applyBorder="1" applyAlignment="1">
      <alignment wrapText="1"/>
    </xf>
    <xf numFmtId="0" fontId="10" fillId="2" borderId="0" xfId="6" applyNumberFormat="1" applyFont="1" applyFill="1" applyBorder="1" applyAlignment="1">
      <alignment horizontal="center"/>
    </xf>
    <xf numFmtId="176" fontId="10" fillId="2" borderId="0" xfId="3" applyNumberFormat="1" applyFont="1" applyFill="1" applyBorder="1" applyAlignment="1">
      <alignment horizontal="center" wrapText="1"/>
    </xf>
    <xf numFmtId="0" fontId="1" fillId="3" borderId="9" xfId="0" applyFont="1" applyFill="1" applyBorder="1" applyAlignment="1">
      <alignment vertical="center"/>
    </xf>
    <xf numFmtId="0" fontId="1" fillId="4" borderId="41" xfId="0" applyFont="1" applyFill="1" applyBorder="1" applyAlignment="1">
      <alignment horizontal="center"/>
    </xf>
    <xf numFmtId="172" fontId="0" fillId="3" borderId="42" xfId="0" applyNumberFormat="1" applyFont="1" applyFill="1" applyBorder="1" applyAlignment="1">
      <alignment horizontal="right" vertical="center"/>
    </xf>
    <xf numFmtId="172" fontId="0" fillId="3" borderId="43" xfId="0" applyNumberFormat="1" applyFont="1" applyFill="1" applyBorder="1" applyAlignment="1">
      <alignment horizontal="right" vertical="center"/>
    </xf>
    <xf numFmtId="170" fontId="12" fillId="0" borderId="45" xfId="2" applyNumberFormat="1" applyFont="1" applyBorder="1" applyAlignment="1">
      <alignment horizontal="right" vertical="center" wrapText="1"/>
    </xf>
    <xf numFmtId="0" fontId="0" fillId="3" borderId="9" xfId="0" applyFont="1" applyFill="1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172" fontId="0" fillId="3" borderId="53" xfId="0" applyNumberFormat="1" applyFont="1" applyFill="1" applyBorder="1" applyAlignment="1">
      <alignment horizontal="right" vertical="center"/>
    </xf>
    <xf numFmtId="172" fontId="0" fillId="3" borderId="54" xfId="0" applyNumberFormat="1" applyFont="1" applyFill="1" applyBorder="1" applyAlignment="1">
      <alignment horizontal="right" vertical="center"/>
    </xf>
    <xf numFmtId="0" fontId="0" fillId="0" borderId="13" xfId="0" quotePrefix="1" applyFont="1" applyBorder="1" applyAlignment="1">
      <alignment horizontal="left" vertical="center" indent="1"/>
    </xf>
    <xf numFmtId="0" fontId="4" fillId="0" borderId="0" xfId="0" applyFont="1" applyBorder="1"/>
    <xf numFmtId="172" fontId="4" fillId="0" borderId="0" xfId="1" applyNumberFormat="1" applyFont="1" applyBorder="1" applyAlignment="1">
      <alignment horizontal="left"/>
    </xf>
    <xf numFmtId="2" fontId="0" fillId="0" borderId="44" xfId="2" applyNumberFormat="1" applyFont="1" applyBorder="1" applyAlignment="1">
      <alignment horizontal="right" vertical="center" wrapText="1"/>
    </xf>
    <xf numFmtId="2" fontId="0" fillId="0" borderId="14" xfId="2" applyNumberFormat="1" applyFont="1" applyBorder="1" applyAlignment="1">
      <alignment horizontal="right" vertical="center" wrapText="1"/>
    </xf>
    <xf numFmtId="2" fontId="0" fillId="0" borderId="45" xfId="2" applyNumberFormat="1" applyFont="1" applyBorder="1" applyAlignment="1">
      <alignment horizontal="right" vertical="center" wrapText="1"/>
    </xf>
    <xf numFmtId="0" fontId="0" fillId="3" borderId="9" xfId="0" quotePrefix="1" applyFont="1" applyFill="1" applyBorder="1" applyAlignment="1">
      <alignment horizontal="left" vertical="center" indent="1"/>
    </xf>
    <xf numFmtId="0" fontId="0" fillId="0" borderId="0" xfId="0" quotePrefix="1" applyFont="1" applyBorder="1" applyAlignment="1">
      <alignment horizontal="left" vertical="center" indent="1"/>
    </xf>
    <xf numFmtId="170" fontId="0" fillId="0" borderId="0" xfId="2" applyNumberFormat="1" applyFont="1" applyBorder="1" applyAlignment="1">
      <alignment horizontal="right" vertical="center" wrapText="1"/>
    </xf>
    <xf numFmtId="0" fontId="0" fillId="0" borderId="21" xfId="0" quotePrefix="1" applyFont="1" applyBorder="1" applyAlignment="1">
      <alignment horizontal="left" vertical="center" indent="1"/>
    </xf>
    <xf numFmtId="170" fontId="0" fillId="0" borderId="21" xfId="2" applyNumberFormat="1" applyFont="1" applyBorder="1" applyAlignment="1">
      <alignment horizontal="right" vertical="center" wrapText="1"/>
    </xf>
    <xf numFmtId="171" fontId="0" fillId="3" borderId="42" xfId="0" applyNumberFormat="1" applyFont="1" applyFill="1" applyBorder="1" applyAlignment="1">
      <alignment horizontal="right" vertical="center"/>
    </xf>
    <xf numFmtId="171" fontId="0" fillId="3" borderId="0" xfId="0" applyNumberFormat="1" applyFont="1" applyFill="1" applyBorder="1" applyAlignment="1">
      <alignment horizontal="right" vertical="center"/>
    </xf>
    <xf numFmtId="171" fontId="0" fillId="3" borderId="43" xfId="0" applyNumberFormat="1" applyFont="1" applyFill="1" applyBorder="1" applyAlignment="1">
      <alignment horizontal="right" vertical="center"/>
    </xf>
    <xf numFmtId="171" fontId="0" fillId="3" borderId="38" xfId="0" applyNumberFormat="1" applyFont="1" applyFill="1" applyBorder="1" applyAlignment="1">
      <alignment horizontal="right" vertical="center"/>
    </xf>
    <xf numFmtId="171" fontId="0" fillId="0" borderId="44" xfId="2" applyNumberFormat="1" applyFont="1" applyBorder="1" applyAlignment="1">
      <alignment horizontal="right" vertical="center" wrapText="1"/>
    </xf>
    <xf numFmtId="171" fontId="0" fillId="0" borderId="14" xfId="2" applyNumberFormat="1" applyFont="1" applyBorder="1" applyAlignment="1">
      <alignment horizontal="right" vertical="center" wrapText="1"/>
    </xf>
    <xf numFmtId="171" fontId="0" fillId="0" borderId="45" xfId="2" applyNumberFormat="1" applyFont="1" applyBorder="1" applyAlignment="1">
      <alignment horizontal="right" vertical="center" wrapText="1"/>
    </xf>
    <xf numFmtId="172" fontId="2" fillId="0" borderId="0" xfId="1" applyNumberFormat="1" applyFont="1" applyAlignment="1">
      <alignment horizontal="left"/>
    </xf>
    <xf numFmtId="0" fontId="16" fillId="0" borderId="0" xfId="7" applyFont="1" applyAlignment="1">
      <alignment horizontal="left"/>
    </xf>
    <xf numFmtId="0" fontId="0" fillId="0" borderId="0" xfId="0" applyAlignment="1">
      <alignment horizontal="left"/>
    </xf>
    <xf numFmtId="176" fontId="0" fillId="0" borderId="0" xfId="3" applyNumberFormat="1" applyFont="1" applyAlignment="1">
      <alignment wrapText="1"/>
    </xf>
    <xf numFmtId="0" fontId="0" fillId="0" borderId="0" xfId="0" applyAlignment="1"/>
    <xf numFmtId="167" fontId="12" fillId="0" borderId="14" xfId="2" applyNumberFormat="1" applyFont="1" applyBorder="1" applyAlignment="1">
      <alignment horizontal="right" vertical="center" wrapText="1"/>
    </xf>
    <xf numFmtId="43" fontId="12" fillId="0" borderId="44" xfId="3" applyFont="1" applyBorder="1" applyAlignment="1">
      <alignment horizontal="right" vertical="center" wrapText="1"/>
    </xf>
    <xf numFmtId="43" fontId="12" fillId="0" borderId="14" xfId="3" applyFont="1" applyBorder="1" applyAlignment="1">
      <alignment horizontal="right" vertical="center" wrapText="1"/>
    </xf>
    <xf numFmtId="43" fontId="12" fillId="0" borderId="45" xfId="3" applyFont="1" applyBorder="1" applyAlignment="1">
      <alignment horizontal="right" vertical="center" wrapText="1"/>
    </xf>
    <xf numFmtId="43" fontId="0" fillId="0" borderId="44" xfId="3" applyFont="1" applyBorder="1" applyAlignment="1">
      <alignment horizontal="right" vertical="center" wrapText="1"/>
    </xf>
    <xf numFmtId="43" fontId="0" fillId="0" borderId="14" xfId="3" applyFont="1" applyBorder="1" applyAlignment="1">
      <alignment horizontal="right" vertical="center" wrapText="1"/>
    </xf>
    <xf numFmtId="43" fontId="0" fillId="0" borderId="45" xfId="3" applyFont="1" applyBorder="1" applyAlignment="1">
      <alignment horizontal="right" vertical="center" wrapText="1"/>
    </xf>
    <xf numFmtId="43" fontId="0" fillId="3" borderId="42" xfId="3" applyFont="1" applyFill="1" applyBorder="1" applyAlignment="1">
      <alignment horizontal="right" vertical="center"/>
    </xf>
    <xf numFmtId="43" fontId="0" fillId="3" borderId="0" xfId="3" applyFont="1" applyFill="1" applyBorder="1" applyAlignment="1">
      <alignment horizontal="right" vertical="center"/>
    </xf>
    <xf numFmtId="43" fontId="0" fillId="3" borderId="43" xfId="3" applyFont="1" applyFill="1" applyBorder="1" applyAlignment="1">
      <alignment horizontal="right" vertical="center"/>
    </xf>
    <xf numFmtId="43" fontId="0" fillId="3" borderId="38" xfId="3" applyFont="1" applyFill="1" applyBorder="1" applyAlignment="1">
      <alignment horizontal="right" vertical="center"/>
    </xf>
    <xf numFmtId="0" fontId="0" fillId="0" borderId="13" xfId="0" applyFont="1" applyBorder="1" applyAlignment="1">
      <alignment horizontal="left" vertical="center" wrapText="1" indent="1"/>
    </xf>
    <xf numFmtId="43" fontId="10" fillId="2" borderId="0" xfId="3" applyFont="1" applyFill="1" applyBorder="1" applyAlignment="1">
      <alignment horizontal="right"/>
    </xf>
    <xf numFmtId="176" fontId="10" fillId="7" borderId="0" xfId="3" applyNumberFormat="1" applyFont="1" applyFill="1" applyBorder="1" applyAlignment="1">
      <alignment horizontal="center" wrapText="1"/>
    </xf>
    <xf numFmtId="43" fontId="10" fillId="7" borderId="0" xfId="3" applyFont="1" applyFill="1" applyBorder="1" applyAlignment="1">
      <alignment horizontal="right"/>
    </xf>
    <xf numFmtId="0" fontId="10" fillId="0" borderId="0" xfId="6" applyNumberFormat="1" applyFont="1" applyBorder="1" applyAlignment="1"/>
    <xf numFmtId="177" fontId="10" fillId="2" borderId="0" xfId="6" applyNumberFormat="1" applyFont="1" applyFill="1" applyBorder="1" applyAlignment="1">
      <alignment horizontal="right"/>
    </xf>
    <xf numFmtId="177" fontId="10" fillId="7" borderId="0" xfId="6" applyNumberFormat="1" applyFont="1" applyFill="1" applyBorder="1" applyAlignment="1">
      <alignment horizontal="right"/>
    </xf>
    <xf numFmtId="178" fontId="0" fillId="3" borderId="42" xfId="0" applyNumberFormat="1" applyFont="1" applyFill="1" applyBorder="1" applyAlignment="1">
      <alignment horizontal="right" vertical="center"/>
    </xf>
    <xf numFmtId="178" fontId="0" fillId="3" borderId="0" xfId="0" applyNumberFormat="1" applyFont="1" applyFill="1" applyBorder="1" applyAlignment="1">
      <alignment horizontal="right" vertical="center"/>
    </xf>
    <xf numFmtId="178" fontId="0" fillId="3" borderId="43" xfId="0" applyNumberFormat="1" applyFont="1" applyFill="1" applyBorder="1" applyAlignment="1">
      <alignment horizontal="right" vertical="center"/>
    </xf>
    <xf numFmtId="178" fontId="0" fillId="3" borderId="38" xfId="0" applyNumberFormat="1" applyFont="1" applyFill="1" applyBorder="1" applyAlignment="1">
      <alignment horizontal="right" vertical="center"/>
    </xf>
    <xf numFmtId="0" fontId="1" fillId="4" borderId="24" xfId="0" applyFont="1" applyFill="1" applyBorder="1" applyAlignment="1">
      <alignment horizontal="center" vertical="center" wrapText="1"/>
    </xf>
    <xf numFmtId="0" fontId="1" fillId="4" borderId="55" xfId="0" applyFont="1" applyFill="1" applyBorder="1" applyAlignment="1">
      <alignment horizontal="center"/>
    </xf>
    <xf numFmtId="172" fontId="0" fillId="3" borderId="56" xfId="0" applyNumberFormat="1" applyFont="1" applyFill="1" applyBorder="1" applyAlignment="1">
      <alignment horizontal="right" vertical="center"/>
    </xf>
    <xf numFmtId="171" fontId="0" fillId="0" borderId="57" xfId="2" applyNumberFormat="1" applyFont="1" applyBorder="1" applyAlignment="1">
      <alignment horizontal="right" vertical="center" wrapText="1"/>
    </xf>
    <xf numFmtId="171" fontId="0" fillId="3" borderId="57" xfId="0" applyNumberFormat="1" applyFont="1" applyFill="1" applyBorder="1" applyAlignment="1">
      <alignment horizontal="right" vertical="center"/>
    </xf>
    <xf numFmtId="0" fontId="18" fillId="0" borderId="0" xfId="0" applyFont="1"/>
    <xf numFmtId="173" fontId="0" fillId="0" borderId="0" xfId="0" applyNumberFormat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37" fontId="4" fillId="0" borderId="0" xfId="3" applyNumberFormat="1" applyFont="1" applyBorder="1" applyAlignment="1">
      <alignment horizontal="left" wrapText="1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0" fontId="1" fillId="4" borderId="16" xfId="0" applyFont="1" applyFill="1" applyBorder="1" applyAlignment="1">
      <alignment horizontal="center" vertical="center"/>
    </xf>
    <xf numFmtId="0" fontId="1" fillId="4" borderId="46" xfId="0" applyFont="1" applyFill="1" applyBorder="1" applyAlignment="1">
      <alignment horizontal="center" vertical="center"/>
    </xf>
    <xf numFmtId="0" fontId="1" fillId="4" borderId="39" xfId="0" applyFont="1" applyFill="1" applyBorder="1" applyAlignment="1">
      <alignment horizontal="center" vertical="center"/>
    </xf>
    <xf numFmtId="0" fontId="11" fillId="0" borderId="52" xfId="6" applyNumberFormat="1" applyFont="1" applyBorder="1" applyAlignment="1">
      <alignment horizontal="left" vertical="top" wrapText="1"/>
    </xf>
    <xf numFmtId="0" fontId="11" fillId="2" borderId="52" xfId="6" applyNumberFormat="1" applyFont="1" applyFill="1" applyBorder="1" applyAlignment="1">
      <alignment horizontal="left" vertical="top" wrapText="1"/>
    </xf>
  </cellXfs>
  <cellStyles count="8">
    <cellStyle name="Comma" xfId="3" builtinId="3"/>
    <cellStyle name="Currency" xfId="1" builtinId="4"/>
    <cellStyle name="Currency 2" xfId="5"/>
    <cellStyle name="Hyperlink" xfId="7" builtinId="8" customBuiltin="1"/>
    <cellStyle name="Normal" xfId="0" builtinId="0"/>
    <cellStyle name="Normal 10" xfId="6"/>
    <cellStyle name="Normal 2" xfId="4"/>
    <cellStyle name="Percent" xfId="2" builtinId="5"/>
  </cellStyles>
  <dxfs count="20"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  <dxf>
      <font>
        <color rgb="FF9C0006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EPS</a:t>
            </a:r>
          </a:p>
        </c:rich>
      </c:tx>
      <c:layout>
        <c:manualLayout>
          <c:xMode val="edge"/>
          <c:yMode val="edge"/>
          <c:x val="1.0397860830338927E-3"/>
          <c:y val="3.4995625546806669E-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180015207596258"/>
          <c:y val="0.13365855383608874"/>
          <c:w val="0.85076119674984774"/>
          <c:h val="0.7612070188278607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'Public Co Profile'!$P$6</c:f>
              <c:strCache>
                <c:ptCount val="1"/>
                <c:pt idx="0">
                  <c:v>dilutedeps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invertIfNegative val="0"/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F1-43CD-BEE0-DFFBA25DE8A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8100" dist="254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F1-43CD-BEE0-DFFBA25DE8A7}"/>
              </c:ext>
            </c:extLst>
          </c:dPt>
          <c:cat>
            <c:strRef>
              <c:f>'Public Co Profile'!$P$8:$V$8</c:f>
              <c:strCache>
                <c:ptCount val="7"/>
                <c:pt idx="0">
                  <c:v>#VALUE!</c:v>
                </c:pt>
                <c:pt idx="1">
                  <c:v>#VALUE!</c:v>
                </c:pt>
                <c:pt idx="2">
                  <c:v>#VALUE!</c:v>
                </c:pt>
                <c:pt idx="3">
                  <c:v>#VALUE!</c:v>
                </c:pt>
                <c:pt idx="5">
                  <c:v>#VALUE!</c:v>
                </c:pt>
                <c:pt idx="6">
                  <c:v>#VALUE!</c:v>
                </c:pt>
              </c:strCache>
            </c:strRef>
          </c:cat>
          <c:val>
            <c:numRef>
              <c:f>'Public Co Profile'!$P$9:$V$9</c:f>
              <c:numCache>
                <c:formatCode>_-"$"* #,##0.00_-;\-"$"* #,##0.00_-;_-"$"* "-"??_-;_-@_-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F1-43CD-BEE0-DFFBA25DE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9"/>
        <c:overlap val="-24"/>
        <c:axId val="362814448"/>
        <c:axId val="362812880"/>
      </c:barChart>
      <c:catAx>
        <c:axId val="36281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2880"/>
        <c:crosses val="autoZero"/>
        <c:auto val="1"/>
        <c:lblAlgn val="ctr"/>
        <c:lblOffset val="100"/>
        <c:noMultiLvlLbl val="1"/>
      </c:catAx>
      <c:valAx>
        <c:axId val="36281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81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048263597010399E-2"/>
          <c:y val="7.9884441528142322E-2"/>
          <c:w val="0.77792540872518912"/>
          <c:h val="0.76969752149845438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'Public Co Profile'!$Z$13:$Z$72</c:f>
              <c:numCache>
                <c:formatCode>m/d/yyyy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cat>
          <c:val>
            <c:numRef>
              <c:f>'Public Co Profile'!$AA$13:$AA$72</c:f>
              <c:numCache>
                <c:formatCode>_-"$"* #,##0.00_-;\-"$"* #,##0.00_-;_-"$"* "-"??_-;_-@_-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7-4C8C-B5EB-AD5538557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9076880"/>
        <c:axId val="949070224"/>
      </c:lineChart>
      <c:dateAx>
        <c:axId val="949076880"/>
        <c:scaling>
          <c:orientation val="minMax"/>
        </c:scaling>
        <c:delete val="0"/>
        <c:axPos val="b"/>
        <c:numFmt formatCode="m/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070224"/>
        <c:crosses val="autoZero"/>
        <c:auto val="1"/>
        <c:lblOffset val="100"/>
        <c:baseTimeUnit val="days"/>
        <c:majorUnit val="6"/>
        <c:majorTimeUnit val="months"/>
      </c:dateAx>
      <c:valAx>
        <c:axId val="949070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076880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Revenue Growth &amp; Profit Margin</a:t>
            </a:r>
          </a:p>
        </c:rich>
      </c:tx>
      <c:layout>
        <c:manualLayout>
          <c:xMode val="edge"/>
          <c:yMode val="edge"/>
          <c:x val="9.26052773722421E-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850596105516054E-2"/>
          <c:y val="0.15132126211906008"/>
          <c:w val="0.88512048372866969"/>
          <c:h val="0.66534700787137657"/>
        </c:manualLayout>
      </c:layout>
      <c:barChart>
        <c:barDir val="col"/>
        <c:grouping val="clustered"/>
        <c:varyColors val="0"/>
        <c:ser>
          <c:idx val="1"/>
          <c:order val="1"/>
          <c:tx>
            <c:v>Net Income to Ave Assets %</c:v>
          </c:tx>
          <c:spPr>
            <a:gradFill rotWithShape="1">
              <a:gsLst>
                <a:gs pos="0">
                  <a:schemeClr val="accent2">
                    <a:tint val="96000"/>
                    <a:lumMod val="100000"/>
                  </a:schemeClr>
                </a:gs>
                <a:gs pos="78000">
                  <a:schemeClr val="accent2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'Income Metrics'!$D$5:$G$5</c:f>
              <c:strCache>
                <c:ptCount val="4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 </c:v>
                </c:pt>
              </c:strCache>
            </c:strRef>
          </c:cat>
          <c:val>
            <c:numRef>
              <c:f>'Income Metrics'!$D$19:$G$19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0"/>
        <c:ser>
          <c:idx val="0"/>
          <c:order val="0"/>
          <c:tx>
            <c:v>Interest Income Y/Y Growth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'Income Metrics'!$D$5:$G$5</c:f>
              <c:strCache>
                <c:ptCount val="4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 </c:v>
                </c:pt>
              </c:strCache>
            </c:strRef>
          </c:cat>
          <c:val>
            <c:numRef>
              <c:f>'Income Metrics'!$D$9:$G$9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C1-4CF1-98B4-F73B69768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596287"/>
        <c:axId val="1345610431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Income to Ave Assets (%)</a:t>
                </a:r>
              </a:p>
            </c:rich>
          </c:tx>
          <c:layout>
            <c:manualLayout>
              <c:xMode val="edge"/>
              <c:yMode val="edge"/>
              <c:x val="2.3416348571982269E-3"/>
              <c:y val="0.172397047624169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1345610431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Interest Income Growth</a:t>
                </a:r>
              </a:p>
            </c:rich>
          </c:tx>
          <c:layout>
            <c:manualLayout>
              <c:xMode val="edge"/>
              <c:yMode val="edge"/>
              <c:x val="0.97689278793850276"/>
              <c:y val="0.192888917989646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5596287"/>
        <c:crosses val="max"/>
        <c:crossBetween val="between"/>
      </c:valAx>
      <c:catAx>
        <c:axId val="134559628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45610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927662692629893"/>
          <c:y val="0.90311127498798138"/>
          <c:w val="0.69566984135869103"/>
          <c:h val="9.0360861024040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Net Interest Income Margin</a:t>
            </a: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0"/>
          <c:order val="0"/>
          <c:tx>
            <c:v>Net Int Inc to Ave Earn Assets %</c:v>
          </c:tx>
          <c:spPr>
            <a:gradFill rotWithShape="1">
              <a:gsLst>
                <a:gs pos="0">
                  <a:schemeClr val="accent1">
                    <a:tint val="96000"/>
                    <a:lumMod val="100000"/>
                  </a:schemeClr>
                </a:gs>
                <a:gs pos="78000">
                  <a:schemeClr val="accent1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'Marg, Liq, Lev Metrics'!$C$5:$G$5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'Marg, Liq, Lev Metrics'!$C$11:$G$11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3-4DBE-A90E-194C032BB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2015401126941747E-2"/>
          <c:y val="0.90845278955515174"/>
          <c:w val="0.87360446072253384"/>
          <c:h val="5.731664015099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Leverage &amp; Liqudity</a:t>
            </a:r>
          </a:p>
        </c:rich>
      </c:tx>
      <c:layout>
        <c:manualLayout>
          <c:xMode val="edge"/>
          <c:yMode val="edge"/>
          <c:x val="1.3135289906943447E-3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341343342104465E-2"/>
          <c:y val="0.13003601764512648"/>
          <c:w val="0.90607175698167752"/>
          <c:h val="0.68131088138479379"/>
        </c:manualLayout>
      </c:layout>
      <c:barChart>
        <c:barDir val="col"/>
        <c:grouping val="clustered"/>
        <c:varyColors val="0"/>
        <c:ser>
          <c:idx val="5"/>
          <c:order val="0"/>
          <c:tx>
            <c:v>Tier One Lev Ratio (lhs)</c:v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'Marg, Liq, Lev Metrics'!$C$5:$G$5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'Marg, Liq, Lev Metrics'!$C$14:$G$14</c:f>
              <c:numCache>
                <c:formatCode>_(* #,##0.00_);_(* \(#,##0.00\);_(*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3365231"/>
        <c:axId val="1343366479"/>
      </c:barChart>
      <c:lineChart>
        <c:grouping val="stacked"/>
        <c:varyColors val="0"/>
        <c:ser>
          <c:idx val="0"/>
          <c:order val="1"/>
          <c:tx>
            <c:v>Net L&amp;L to Assets % (rhs)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'Marg, Liq, Lev Metrics'!$C$5:$G$5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'Marg, Liq, Lev Metrics'!$C$16:$G$16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5-4441-886C-9F957CE6D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761199"/>
        <c:axId val="380762447"/>
      </c:line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valAx>
        <c:axId val="380762447"/>
        <c:scaling>
          <c:orientation val="minMax"/>
        </c:scaling>
        <c:delete val="0"/>
        <c:axPos val="r"/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761199"/>
        <c:crosses val="max"/>
        <c:crossBetween val="between"/>
      </c:valAx>
      <c:catAx>
        <c:axId val="380761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76244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222957925713832"/>
          <c:y val="0.90845278955515174"/>
          <c:w val="0.67905531694901788"/>
          <c:h val="8.6979931350267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Earning Assets (% of Ave Assets)</a:t>
            </a: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72282914399988E-2"/>
          <c:y val="0.13003601764512648"/>
          <c:w val="0.92944561063438147"/>
          <c:h val="0.68131088138479379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'Earning Assets'!$B$10</c:f>
              <c:strCache>
                <c:ptCount val="1"/>
                <c:pt idx="0">
                  <c:v>    Net Loans &amp; Leases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solidFill>
                <a:schemeClr val="accent6"/>
              </a:solidFill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'Earning Assets'!$C$5:$G$5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'Earning Assets'!$C$10:$G$10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5B-47B3-887D-51ABD6F13AA3}"/>
            </c:ext>
          </c:extLst>
        </c:ser>
        <c:ser>
          <c:idx val="3"/>
          <c:order val="1"/>
          <c:tx>
            <c:strRef>
              <c:f>'Earning Assets'!$B$11</c:f>
              <c:strCache>
                <c:ptCount val="1"/>
                <c:pt idx="0">
                  <c:v>Interest-Bearing Bank Balances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'Earning Assets'!$C$5:$G$5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'Earning Assets'!$C$11:$G$11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5B-47B3-887D-51ABD6F13AA3}"/>
            </c:ext>
          </c:extLst>
        </c:ser>
        <c:ser>
          <c:idx val="4"/>
          <c:order val="2"/>
          <c:tx>
            <c:strRef>
              <c:f>'Earning Assets'!$B$12</c:f>
              <c:strCache>
                <c:ptCount val="1"/>
                <c:pt idx="0">
                  <c:v>Federal Funds Sold &amp; Resales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'Earning Assets'!$C$5:$G$5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'Earning Assets'!$C$12:$G$12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5B-47B3-887D-51ABD6F13AA3}"/>
            </c:ext>
          </c:extLst>
        </c:ser>
        <c:ser>
          <c:idx val="6"/>
          <c:order val="3"/>
          <c:tx>
            <c:strRef>
              <c:f>'Earning Assets'!$B$13</c:f>
              <c:strCache>
                <c:ptCount val="1"/>
                <c:pt idx="0">
                  <c:v>Trading Account Assets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tint val="96000"/>
                    <a:lumMod val="100000"/>
                  </a:schemeClr>
                </a:gs>
                <a:gs pos="78000">
                  <a:schemeClr val="accent1">
                    <a:lumMod val="60000"/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'Earning Assets'!$C$5:$G$5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'Earning Assets'!$C$13:$G$13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5B-47B3-887D-51ABD6F13AA3}"/>
            </c:ext>
          </c:extLst>
        </c:ser>
        <c:ser>
          <c:idx val="7"/>
          <c:order val="4"/>
          <c:tx>
            <c:strRef>
              <c:f>'Earning Assets'!$B$14</c:f>
              <c:strCache>
                <c:ptCount val="1"/>
                <c:pt idx="0">
                  <c:v>Held-to-Maturity Securities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tint val="96000"/>
                    <a:lumMod val="100000"/>
                  </a:schemeClr>
                </a:gs>
                <a:gs pos="78000">
                  <a:schemeClr val="accent2">
                    <a:lumMod val="60000"/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'Earning Assets'!$C$5:$G$5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'Earning Assets'!$C$14:$G$14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5B-47B3-887D-51ABD6F13AA3}"/>
            </c:ext>
          </c:extLst>
        </c:ser>
        <c:ser>
          <c:idx val="8"/>
          <c:order val="5"/>
          <c:tx>
            <c:strRef>
              <c:f>'Earning Assets'!$B$15</c:f>
              <c:strCache>
                <c:ptCount val="1"/>
                <c:pt idx="0">
                  <c:v>Available-for-Sale Securities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tint val="96000"/>
                    <a:lumMod val="100000"/>
                  </a:schemeClr>
                </a:gs>
                <a:gs pos="78000">
                  <a:schemeClr val="accent3">
                    <a:lumMod val="60000"/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invertIfNegative val="0"/>
          <c:cat>
            <c:strRef>
              <c:f>'Earning Assets'!$C$5:$G$5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'Earning Assets'!$C$15:$G$15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5B-47B3-887D-51ABD6F13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3365231"/>
        <c:axId val="1343366479"/>
      </c:bar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4233829706862E-2"/>
          <c:y val="0.90845278955515174"/>
          <c:w val="0.55205860039512289"/>
          <c:h val="9.15472221861906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Investment Portfolio (%</a:t>
            </a:r>
            <a:r>
              <a:rPr lang="en-US" sz="1200" baseline="0">
                <a:solidFill>
                  <a:schemeClr val="tx1"/>
                </a:solidFill>
              </a:rPr>
              <a:t> of Total Securities)</a:t>
            </a: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1.3390716744652814E-2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472282914399988E-2"/>
          <c:y val="0.13003601764512648"/>
          <c:w val="0.92944561063438147"/>
          <c:h val="0.68131088138479379"/>
        </c:manualLayout>
      </c:layout>
      <c:areaChart>
        <c:grouping val="percentStacked"/>
        <c:varyColors val="0"/>
        <c:ser>
          <c:idx val="5"/>
          <c:order val="0"/>
          <c:tx>
            <c:strRef>
              <c:f>'Inv Portfolio'!$B$7</c:f>
              <c:strCache>
                <c:ptCount val="1"/>
                <c:pt idx="0">
                  <c:v>  US Treas &amp; Govt Agencies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Portfolio'!$C$7:$G$7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1-4588-9A84-839CDD474CF7}"/>
            </c:ext>
          </c:extLst>
        </c:ser>
        <c:ser>
          <c:idx val="0"/>
          <c:order val="1"/>
          <c:tx>
            <c:strRef>
              <c:f>'Inv Portfolio'!$B$8</c:f>
              <c:strCache>
                <c:ptCount val="1"/>
                <c:pt idx="0">
                  <c:v>  Municipal Securities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Portfolio'!$C$8:$G$8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01-4588-9A84-839CDD474CF7}"/>
            </c:ext>
          </c:extLst>
        </c:ser>
        <c:ser>
          <c:idx val="1"/>
          <c:order val="2"/>
          <c:tx>
            <c:strRef>
              <c:f>'Inv Portfolio'!$B$9</c:f>
              <c:strCache>
                <c:ptCount val="1"/>
                <c:pt idx="0">
                  <c:v>  Pass-Through Mtg Backed Secs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Portfolio'!$C$9:$G$9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01-4588-9A84-839CDD474CF7}"/>
            </c:ext>
          </c:extLst>
        </c:ser>
        <c:ser>
          <c:idx val="2"/>
          <c:order val="3"/>
          <c:tx>
            <c:strRef>
              <c:f>'Inv Portfolio'!$B$10</c:f>
              <c:strCache>
                <c:ptCount val="1"/>
                <c:pt idx="0">
                  <c:v>  CMO &amp; REMIC Mtg Backed Secs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tint val="96000"/>
                    <a:lumMod val="100000"/>
                  </a:schemeClr>
                </a:gs>
                <a:gs pos="78000">
                  <a:schemeClr val="accent3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solidFill>
                <a:schemeClr val="accent6"/>
              </a:solidFill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Portfolio'!$C$10:$G$10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D-459C-9B2F-DBAAF8914634}"/>
            </c:ext>
          </c:extLst>
        </c:ser>
        <c:ser>
          <c:idx val="3"/>
          <c:order val="4"/>
          <c:tx>
            <c:strRef>
              <c:f>'Inv Portfolio'!$B$11</c:f>
              <c:strCache>
                <c:ptCount val="1"/>
                <c:pt idx="0">
                  <c:v> Commercial Mtg Back Secs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Portfolio'!$C$11:$G$11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8D-459C-9B2F-DBAAF8914634}"/>
            </c:ext>
          </c:extLst>
        </c:ser>
        <c:ser>
          <c:idx val="4"/>
          <c:order val="5"/>
          <c:tx>
            <c:strRef>
              <c:f>'Inv Portfolio'!$B$12</c:f>
              <c:strCache>
                <c:ptCount val="1"/>
                <c:pt idx="0">
                  <c:v>  Asset Backed Securities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Portfolio'!$C$12:$G$12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8D-459C-9B2F-DBAAF8914634}"/>
            </c:ext>
          </c:extLst>
        </c:ser>
        <c:ser>
          <c:idx val="6"/>
          <c:order val="6"/>
          <c:tx>
            <c:strRef>
              <c:f>'Inv Portfolio'!$B$13</c:f>
              <c:strCache>
                <c:ptCount val="1"/>
                <c:pt idx="0">
                  <c:v>Structured Financial Products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tint val="96000"/>
                    <a:lumMod val="100000"/>
                  </a:schemeClr>
                </a:gs>
                <a:gs pos="78000">
                  <a:schemeClr val="accent1">
                    <a:lumMod val="60000"/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Portfolio'!$C$13:$G$13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8D-459C-9B2F-DBAAF8914634}"/>
            </c:ext>
          </c:extLst>
        </c:ser>
        <c:ser>
          <c:idx val="7"/>
          <c:order val="7"/>
          <c:tx>
            <c:strRef>
              <c:f>'Inv Portfolio'!$B$14</c:f>
              <c:strCache>
                <c:ptCount val="1"/>
                <c:pt idx="0">
                  <c:v>  Other Domestic Debt Secs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tint val="96000"/>
                    <a:lumMod val="100000"/>
                  </a:schemeClr>
                </a:gs>
                <a:gs pos="78000">
                  <a:schemeClr val="accent2">
                    <a:lumMod val="60000"/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Portfolio'!$C$14:$G$14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8D-459C-9B2F-DBAAF8914634}"/>
            </c:ext>
          </c:extLst>
        </c:ser>
        <c:ser>
          <c:idx val="8"/>
          <c:order val="8"/>
          <c:tx>
            <c:strRef>
              <c:f>'Inv Portfolio'!$B$15</c:f>
              <c:strCache>
                <c:ptCount val="1"/>
                <c:pt idx="0">
                  <c:v>  Foreign Debt Securities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tint val="96000"/>
                    <a:lumMod val="100000"/>
                  </a:schemeClr>
                </a:gs>
                <a:gs pos="78000">
                  <a:schemeClr val="accent3">
                    <a:lumMod val="60000"/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Portfolio'!$C$15:$G$15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8D-459C-9B2F-DBAAF8914634}"/>
            </c:ext>
          </c:extLst>
        </c:ser>
        <c:ser>
          <c:idx val="9"/>
          <c:order val="9"/>
          <c:tx>
            <c:strRef>
              <c:f>'Inv Portfolio'!$B$16</c:f>
              <c:strCache>
                <c:ptCount val="1"/>
                <c:pt idx="0">
                  <c:v>  Inv Mut Fnd &amp; Oth Mktbl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tint val="96000"/>
                    <a:lumMod val="100000"/>
                  </a:schemeClr>
                </a:gs>
                <a:gs pos="78000">
                  <a:schemeClr val="accent4">
                    <a:lumMod val="60000"/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l"/>
            </a:scene3d>
            <a:sp3d prstMaterial="plastic">
              <a:bevelT w="0" h="0"/>
            </a:sp3d>
          </c:spPr>
          <c:cat>
            <c:strRef>
              <c:f>'Inv Portfolio'!$C$5:$G$5</c:f>
              <c:strCache>
                <c:ptCount val="5"/>
                <c:pt idx="0">
                  <c:v>FY </c:v>
                </c:pt>
                <c:pt idx="1">
                  <c:v>FY </c:v>
                </c:pt>
                <c:pt idx="2">
                  <c:v>FY </c:v>
                </c:pt>
                <c:pt idx="3">
                  <c:v>FY </c:v>
                </c:pt>
                <c:pt idx="4">
                  <c:v> </c:v>
                </c:pt>
              </c:strCache>
            </c:strRef>
          </c:cat>
          <c:val>
            <c:numRef>
              <c:f>'Inv Portfolio'!$C$16:$G$16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68D-459C-9B2F-DBAAF8914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365231"/>
        <c:axId val="1343366479"/>
      </c:areaChart>
      <c:catAx>
        <c:axId val="134336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44233829706862E-2"/>
          <c:y val="0.90845278955515174"/>
          <c:w val="0.98455766170293135"/>
          <c:h val="9.15472518734683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Comparable Bank Net Interest Inc</a:t>
            </a:r>
            <a:r>
              <a:rPr lang="en-US" sz="1200" baseline="0">
                <a:solidFill>
                  <a:schemeClr val="tx1"/>
                </a:solidFill>
              </a:rPr>
              <a:t>ome / Ave Assets</a:t>
            </a: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9.2609238373397048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326380603524304"/>
          <c:y val="0.15132126211906008"/>
          <c:w val="0.61160810528636034"/>
          <c:h val="0.81682339463977738"/>
        </c:manualLayout>
      </c:layout>
      <c:barChart>
        <c:barDir val="col"/>
        <c:grouping val="clustered"/>
        <c:varyColors val="1"/>
        <c:ser>
          <c:idx val="1"/>
          <c:order val="0"/>
          <c:tx>
            <c:strRef>
              <c:f>'Income Comps'!$B$19</c:f>
              <c:strCache>
                <c:ptCount val="1"/>
                <c:pt idx="0">
                  <c:v>   % of Ave Assets</c:v>
                </c:pt>
              </c:strCache>
            </c:strRef>
          </c:tx>
          <c:invertIfNegative val="0"/>
          <c:cat>
            <c:multiLvlStrRef>
              <c:f>'Income Comps'!$C$13:$H$13</c:f>
            </c:multiLvlStrRef>
          </c:cat>
          <c:val>
            <c:numRef>
              <c:f>'Income Comps'!$C$19:$H$19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43365231"/>
        <c:axId val="1343366479"/>
      </c:barChart>
      <c:lineChart>
        <c:grouping val="standard"/>
        <c:varyColors val="1"/>
        <c:ser>
          <c:idx val="2"/>
          <c:order val="1"/>
          <c:tx>
            <c:strRef>
              <c:f>'Income Comps'!$B$28</c:f>
              <c:strCache>
                <c:ptCount val="1"/>
                <c:pt idx="0">
                  <c:v>Median</c:v>
                </c:pt>
              </c:strCache>
            </c:strRef>
          </c:tx>
          <c:spPr>
            <a:ln w="34925" cap="rnd">
              <a:solidFill>
                <a:srgbClr val="00B0F0"/>
              </a:solidFill>
              <a:round/>
            </a:ln>
            <a:effectLst>
              <a:outerShdw blurRad="50800" dist="381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38B-4DFC-839A-96B56D155E7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38B-4DFC-839A-96B56D155E7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38B-4DFC-839A-96B56D155E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38B-4DFC-839A-96B56D155E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38B-4DFC-839A-96B56D155E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'Income Comps'!$D$13:$I$13</c:f>
              <c:strCache>
                <c:ptCount val="6"/>
                <c:pt idx="5">
                  <c:v>Mean</c:v>
                </c:pt>
              </c:strCache>
            </c:strRef>
          </c:cat>
          <c:val>
            <c:numRef>
              <c:f>'Income Comps'!$C$28:$H$28</c:f>
              <c:numCache>
                <c:formatCode>0.0%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8B-4DFC-839A-96B56D155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365231"/>
        <c:axId val="1343366479"/>
      </c:lineChart>
      <c:catAx>
        <c:axId val="134336523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low"/>
        <c:crossAx val="1343366479"/>
        <c:crosses val="autoZero"/>
        <c:auto val="1"/>
        <c:lblAlgn val="ctr"/>
        <c:lblOffset val="100"/>
        <c:noMultiLvlLbl val="0"/>
      </c:catAx>
      <c:valAx>
        <c:axId val="1343366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Int. Inc. / Ave Assets (%)</a:t>
                </a:r>
              </a:p>
            </c:rich>
          </c:tx>
          <c:layout>
            <c:manualLayout>
              <c:xMode val="edge"/>
              <c:yMode val="edge"/>
              <c:x val="0.13360181758200829"/>
              <c:y val="0.1954035920746975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36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Tier One Leverage Ratio &amp; Net Int. Inc. to Ave Earn Assets</a:t>
            </a:r>
          </a:p>
        </c:rich>
      </c:tx>
      <c:layout>
        <c:manualLayout>
          <c:xMode val="edge"/>
          <c:yMode val="edge"/>
          <c:x val="8.7668066474620079E-3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94745297513725402"/>
          <c:h val="0.72016405842445363"/>
        </c:manualLayout>
      </c:layout>
      <c:barChart>
        <c:barDir val="col"/>
        <c:grouping val="clustered"/>
        <c:varyColors val="1"/>
        <c:ser>
          <c:idx val="0"/>
          <c:order val="0"/>
          <c:tx>
            <c:v>Net Int Inc to Avg Earn Assets (lhs)</c:v>
          </c:tx>
          <c:invertIfNegative val="0"/>
          <c:val>
            <c:numRef>
              <c:f>'Margin, Liq &amp; Lev Comps'!$C$10:$H$10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'Margin, Liq &amp; Lev Comps'!$C$31:$H$31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5183-4971-B80F-F56F14285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91827904"/>
        <c:axId val="791829984"/>
      </c:barChart>
      <c:lineChart>
        <c:grouping val="standard"/>
        <c:varyColors val="1"/>
        <c:ser>
          <c:idx val="1"/>
          <c:order val="1"/>
          <c:tx>
            <c:v>Tier One Leverage Ratio (rhs)</c:v>
          </c:tx>
          <c:marker>
            <c:symbol val="none"/>
          </c:marker>
          <c:val>
            <c:numRef>
              <c:f>'Margin, Liq &amp; Lev Comps'!$C$13:$H$13</c:f>
              <c:numCache>
                <c:formatCode>_(* #,##0.00_);_(* \(#,##0.00\);_(*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'Margin, Liq &amp; Lev Comps'!$C$31:$H$31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5183-4971-B80F-F56F14285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5191663"/>
        <c:axId val="2025196655"/>
      </c:lineChart>
      <c:valAx>
        <c:axId val="2025196655"/>
        <c:scaling>
          <c:orientation val="minMax"/>
        </c:scaling>
        <c:delete val="0"/>
        <c:axPos val="r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valAx>
        <c:axId val="791829984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out"/>
        <c:minorTickMark val="none"/>
        <c:tickLblPos val="nextTo"/>
        <c:crossAx val="791827904"/>
        <c:crosses val="autoZero"/>
        <c:crossBetween val="between"/>
      </c:valAx>
      <c:catAx>
        <c:axId val="791827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9182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742439049420541E-2"/>
          <c:y val="0.94831663108262954"/>
          <c:w val="0.82602690229792564"/>
          <c:h val="5.16833689173704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Earning Assets as a % of</a:t>
            </a:r>
            <a:r>
              <a:rPr lang="en-US" sz="1200" baseline="0"/>
              <a:t> Total Assets</a:t>
            </a:r>
            <a:endParaRPr lang="en-US" sz="1200"/>
          </a:p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 sz="1200"/>
          </a:p>
        </c:rich>
      </c:tx>
      <c:layout>
        <c:manualLayout>
          <c:xMode val="edge"/>
          <c:yMode val="edge"/>
          <c:x val="8.1160289379131117E-4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79029907666117005"/>
          <c:h val="0.84423154037034476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'Earning Assets Comps'!$B$9</c:f>
              <c:strCache>
                <c:ptCount val="1"/>
                <c:pt idx="0">
                  <c:v>    Net Loans &amp; Leases</c:v>
                </c:pt>
              </c:strCache>
            </c:strRef>
          </c:tx>
          <c:invertIfNegative val="0"/>
          <c:val>
            <c:numRef>
              <c:f>'Earning Assets Comps'!$C$9:$H$9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'Earning Assets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DFB-460F-9320-C796702A65B2}"/>
            </c:ext>
          </c:extLst>
        </c:ser>
        <c:ser>
          <c:idx val="1"/>
          <c:order val="1"/>
          <c:tx>
            <c:strRef>
              <c:f>'Earning Assets Comps'!$B$10</c:f>
              <c:strCache>
                <c:ptCount val="1"/>
                <c:pt idx="0">
                  <c:v>Interest-Bearing Bank Balances</c:v>
                </c:pt>
              </c:strCache>
            </c:strRef>
          </c:tx>
          <c:invertIfNegative val="0"/>
          <c:val>
            <c:numRef>
              <c:f>'Earning Assets Comps'!$C$10:$H$10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'Earning Assets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DFB-460F-9320-C796702A65B2}"/>
            </c:ext>
          </c:extLst>
        </c:ser>
        <c:ser>
          <c:idx val="2"/>
          <c:order val="2"/>
          <c:tx>
            <c:strRef>
              <c:f>'Earning Assets Comps'!$B$11</c:f>
              <c:strCache>
                <c:ptCount val="1"/>
                <c:pt idx="0">
                  <c:v>Federal Funds Sold &amp; Resales</c:v>
                </c:pt>
              </c:strCache>
            </c:strRef>
          </c:tx>
          <c:invertIfNegative val="0"/>
          <c:val>
            <c:numRef>
              <c:f>'Earning Assets Comps'!$C$11:$H$11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'Earning Assets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DFB-460F-9320-C796702A65B2}"/>
            </c:ext>
          </c:extLst>
        </c:ser>
        <c:ser>
          <c:idx val="3"/>
          <c:order val="3"/>
          <c:tx>
            <c:strRef>
              <c:f>'Earning Assets Comps'!$B$12</c:f>
              <c:strCache>
                <c:ptCount val="1"/>
                <c:pt idx="0">
                  <c:v>Trading Account Assets</c:v>
                </c:pt>
              </c:strCache>
            </c:strRef>
          </c:tx>
          <c:invertIfNegative val="0"/>
          <c:val>
            <c:numRef>
              <c:f>'Earning Assets Comps'!$C$12:$H$12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'Earning Assets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C91-4D12-B926-84D8F83164D1}"/>
            </c:ext>
          </c:extLst>
        </c:ser>
        <c:ser>
          <c:idx val="4"/>
          <c:order val="4"/>
          <c:tx>
            <c:strRef>
              <c:f>'Earning Assets Comps'!$B$13</c:f>
              <c:strCache>
                <c:ptCount val="1"/>
                <c:pt idx="0">
                  <c:v>Held-to-Maturity Securities</c:v>
                </c:pt>
              </c:strCache>
            </c:strRef>
          </c:tx>
          <c:invertIfNegative val="0"/>
          <c:val>
            <c:numRef>
              <c:f>'Earning Assets Comps'!$C$13:$H$13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'Earning Assets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C91-4D12-B926-84D8F83164D1}"/>
            </c:ext>
          </c:extLst>
        </c:ser>
        <c:ser>
          <c:idx val="5"/>
          <c:order val="5"/>
          <c:tx>
            <c:strRef>
              <c:f>'Earning Assets Comps'!$B$14</c:f>
              <c:strCache>
                <c:ptCount val="1"/>
                <c:pt idx="0">
                  <c:v>Available-for-Sale Securities</c:v>
                </c:pt>
              </c:strCache>
            </c:strRef>
          </c:tx>
          <c:invertIfNegative val="0"/>
          <c:val>
            <c:numRef>
              <c:f>'Earning Assets Comps'!$C$14:$H$14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'Earning Assets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0C91-4D12-B926-84D8F8316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025191663"/>
        <c:axId val="2025196655"/>
      </c:barChart>
      <c:valAx>
        <c:axId val="2025196655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/>
                </a:pPr>
                <a:r>
                  <a:rPr lang="en-US"/>
                  <a:t>% of Ave Assets</a:t>
                </a:r>
              </a:p>
            </c:rich>
          </c:tx>
          <c:layout>
            <c:manualLayout>
              <c:xMode val="edge"/>
              <c:yMode val="edge"/>
              <c:x val="0.83001090889107765"/>
              <c:y val="0.30396162496494988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max"/>
        <c:crossBetween val="between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080892993483104"/>
          <c:y val="8.1261973407026206E-2"/>
          <c:w val="0.14919107006516882"/>
          <c:h val="0.906232740482877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200"/>
              <a:t>Investment Portfolio (% of Total Securities)</a:t>
            </a:r>
          </a:p>
        </c:rich>
      </c:tx>
      <c:layout>
        <c:manualLayout>
          <c:xMode val="edge"/>
          <c:yMode val="edge"/>
          <c:x val="1.0073595901250362E-2"/>
          <c:y val="0"/>
        </c:manualLayout>
      </c:layout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1620134679552637E-2"/>
          <c:y val="9.6746201217886116E-2"/>
          <c:w val="0.88181148333096204"/>
          <c:h val="0.6546111401827488"/>
        </c:manualLayout>
      </c:layout>
      <c:areaChart>
        <c:grouping val="percentStacked"/>
        <c:varyColors val="1"/>
        <c:ser>
          <c:idx val="0"/>
          <c:order val="0"/>
          <c:tx>
            <c:strRef>
              <c:f>'Inv Portfolio Comps'!$B$6</c:f>
              <c:strCache>
                <c:ptCount val="1"/>
                <c:pt idx="0">
                  <c:v>  US Treas &amp; Govt Agencies</c:v>
                </c:pt>
              </c:strCache>
            </c:strRef>
          </c:tx>
          <c:val>
            <c:numRef>
              <c:f>'Inv Portfolio Comps'!$C$6:$H$6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D74E-4171-9390-1CCBDA2F72C9}"/>
            </c:ext>
          </c:extLst>
        </c:ser>
        <c:ser>
          <c:idx val="1"/>
          <c:order val="1"/>
          <c:tx>
            <c:strRef>
              <c:f>'Inv Portfolio Comps'!$B$7</c:f>
              <c:strCache>
                <c:ptCount val="1"/>
                <c:pt idx="0">
                  <c:v>  Municipal Securities</c:v>
                </c:pt>
              </c:strCache>
            </c:strRef>
          </c:tx>
          <c:val>
            <c:numRef>
              <c:f>'Inv Portfolio Comps'!$C$7:$H$7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D74E-4171-9390-1CCBDA2F72C9}"/>
            </c:ext>
          </c:extLst>
        </c:ser>
        <c:ser>
          <c:idx val="2"/>
          <c:order val="2"/>
          <c:tx>
            <c:strRef>
              <c:f>'Inv Portfolio Comps'!$B$8</c:f>
              <c:strCache>
                <c:ptCount val="1"/>
                <c:pt idx="0">
                  <c:v>  Pass-Through Mtg Backed Secs</c:v>
                </c:pt>
              </c:strCache>
            </c:strRef>
          </c:tx>
          <c:val>
            <c:numRef>
              <c:f>'Inv Portfolio Comps'!$C$8:$H$8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D74E-4171-9390-1CCBDA2F72C9}"/>
            </c:ext>
          </c:extLst>
        </c:ser>
        <c:ser>
          <c:idx val="3"/>
          <c:order val="3"/>
          <c:tx>
            <c:strRef>
              <c:f>'Inv Portfolio Comps'!$B$9</c:f>
              <c:strCache>
                <c:ptCount val="1"/>
                <c:pt idx="0">
                  <c:v>  CMO &amp; REMIC Mtg Backed Secs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96000"/>
                    <a:lumMod val="100000"/>
                  </a:schemeClr>
                </a:gs>
                <a:gs pos="78000">
                  <a:schemeClr val="accent4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val>
            <c:numRef>
              <c:f>'Inv Portfolio Comps'!$C$9:$H$9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D74E-4171-9390-1CCBDA2F72C9}"/>
            </c:ext>
          </c:extLst>
        </c:ser>
        <c:ser>
          <c:idx val="4"/>
          <c:order val="4"/>
          <c:tx>
            <c:strRef>
              <c:f>'Inv Portfolio Comps'!$B$10</c:f>
              <c:strCache>
                <c:ptCount val="1"/>
                <c:pt idx="0">
                  <c:v> Commercial Mtg Back Secs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6000"/>
                    <a:lumMod val="100000"/>
                  </a:schemeClr>
                </a:gs>
                <a:gs pos="78000">
                  <a:schemeClr val="accent5">
                    <a:shade val="94000"/>
                    <a:lumMod val="94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38100" dist="25400" dir="5400000" rotWithShape="0">
                <a:srgbClr val="000000">
                  <a:alpha val="35000"/>
                </a:srgbClr>
              </a:outerShdw>
            </a:effectLst>
          </c:spPr>
          <c:val>
            <c:numRef>
              <c:f>'Inv Portfolio Comps'!$C$10:$H$10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D74E-4171-9390-1CCBDA2F72C9}"/>
            </c:ext>
          </c:extLst>
        </c:ser>
        <c:ser>
          <c:idx val="5"/>
          <c:order val="5"/>
          <c:tx>
            <c:strRef>
              <c:f>'Inv Portfolio Comps'!$B$11</c:f>
              <c:strCache>
                <c:ptCount val="1"/>
                <c:pt idx="0">
                  <c:v>  Asset Backed Securities</c:v>
                </c:pt>
              </c:strCache>
            </c:strRef>
          </c:tx>
          <c:spPr>
            <a:ln w="25400">
              <a:noFill/>
            </a:ln>
          </c:spPr>
          <c:val>
            <c:numRef>
              <c:f>'Inv Portfolio Comps'!$C$11:$H$11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D74E-4171-9390-1CCBDA2F72C9}"/>
            </c:ext>
          </c:extLst>
        </c:ser>
        <c:ser>
          <c:idx val="6"/>
          <c:order val="6"/>
          <c:tx>
            <c:strRef>
              <c:f>'Inv Portfolio Comps'!$B$12</c:f>
              <c:strCache>
                <c:ptCount val="1"/>
                <c:pt idx="0">
                  <c:v>Structured Financial Products</c:v>
                </c:pt>
              </c:strCache>
            </c:strRef>
          </c:tx>
          <c:spPr>
            <a:ln w="25400">
              <a:noFill/>
            </a:ln>
          </c:spPr>
          <c:val>
            <c:numRef>
              <c:f>'Inv Portfolio Comps'!$C$12:$H$12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7-D74E-4171-9390-1CCBDA2F72C9}"/>
            </c:ext>
          </c:extLst>
        </c:ser>
        <c:ser>
          <c:idx val="7"/>
          <c:order val="7"/>
          <c:tx>
            <c:strRef>
              <c:f>'Inv Portfolio Comps'!$B$13</c:f>
              <c:strCache>
                <c:ptCount val="1"/>
                <c:pt idx="0">
                  <c:v>  Other Domestic Debt Secs</c:v>
                </c:pt>
              </c:strCache>
            </c:strRef>
          </c:tx>
          <c:spPr>
            <a:ln w="25400">
              <a:noFill/>
            </a:ln>
          </c:spPr>
          <c:val>
            <c:numRef>
              <c:f>'Inv Portfolio Comps'!$C$13:$H$13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8-D74E-4171-9390-1CCBDA2F72C9}"/>
            </c:ext>
          </c:extLst>
        </c:ser>
        <c:ser>
          <c:idx val="8"/>
          <c:order val="8"/>
          <c:tx>
            <c:strRef>
              <c:f>'Inv Portfolio Comps'!$B$14</c:f>
              <c:strCache>
                <c:ptCount val="1"/>
                <c:pt idx="0">
                  <c:v>  Foreign Debt Securities</c:v>
                </c:pt>
              </c:strCache>
            </c:strRef>
          </c:tx>
          <c:spPr>
            <a:ln w="25400">
              <a:noFill/>
            </a:ln>
          </c:spPr>
          <c:val>
            <c:numRef>
              <c:f>'Inv Portfolio Comps'!$C$14:$H$14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9-D74E-4171-9390-1CCBDA2F72C9}"/>
            </c:ext>
          </c:extLst>
        </c:ser>
        <c:ser>
          <c:idx val="9"/>
          <c:order val="9"/>
          <c:tx>
            <c:strRef>
              <c:f>'Inv Portfolio Comps'!$B$15</c:f>
              <c:strCache>
                <c:ptCount val="1"/>
                <c:pt idx="0">
                  <c:v>  Inv Mut Fnd &amp; Oth Mktbl</c:v>
                </c:pt>
              </c:strCache>
            </c:strRef>
          </c:tx>
          <c:spPr>
            <a:ln w="25400">
              <a:noFill/>
            </a:ln>
          </c:spPr>
          <c:val>
            <c:numRef>
              <c:f>'Inv Portfolio Comps'!$C$15:$H$15</c:f>
              <c:numCache>
                <c:formatCode>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'Inv Portfolio Comps'!$C$4:$H$4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A-D74E-4171-9390-1CCBDA2F7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191663"/>
        <c:axId val="2025196655"/>
      </c:areaChart>
      <c:valAx>
        <c:axId val="2025196655"/>
        <c:scaling>
          <c:orientation val="minMax"/>
          <c:max val="1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1663"/>
        <c:crosses val="autoZero"/>
        <c:crossBetween val="midCat"/>
      </c:valAx>
      <c:catAx>
        <c:axId val="2025191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196655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093336660843563E-3"/>
          <c:y val="0.90566700830141478"/>
          <c:w val="0.99819066633391562"/>
          <c:h val="9.43329916985852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3</xdr:row>
          <xdr:rowOff>28575</xdr:rowOff>
        </xdr:from>
        <xdr:to>
          <xdr:col>5</xdr:col>
          <xdr:colOff>57150</xdr:colOff>
          <xdr:row>5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rebuchet MS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</xdr:colOff>
      <xdr:row>20</xdr:row>
      <xdr:rowOff>104775</xdr:rowOff>
    </xdr:from>
    <xdr:to>
      <xdr:col>5</xdr:col>
      <xdr:colOff>166687</xdr:colOff>
      <xdr:row>35</xdr:row>
      <xdr:rowOff>65483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199430</xdr:colOff>
      <xdr:row>20</xdr:row>
      <xdr:rowOff>42266</xdr:rowOff>
    </xdr:from>
    <xdr:to>
      <xdr:col>12</xdr:col>
      <xdr:colOff>0</xdr:colOff>
      <xdr:row>35</xdr:row>
      <xdr:rowOff>88699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50600</xdr:colOff>
      <xdr:row>19</xdr:row>
      <xdr:rowOff>142874</xdr:rowOff>
    </xdr:from>
    <xdr:to>
      <xdr:col>10</xdr:col>
      <xdr:colOff>803670</xdr:colOff>
      <xdr:row>28</xdr:row>
      <xdr:rowOff>244078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50602</xdr:colOff>
      <xdr:row>17</xdr:row>
      <xdr:rowOff>53577</xdr:rowOff>
    </xdr:from>
    <xdr:to>
      <xdr:col>4</xdr:col>
      <xdr:colOff>251817</xdr:colOff>
      <xdr:row>29</xdr:row>
      <xdr:rowOff>196453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375048</xdr:colOff>
      <xdr:row>17</xdr:row>
      <xdr:rowOff>41670</xdr:rowOff>
    </xdr:from>
    <xdr:to>
      <xdr:col>10</xdr:col>
      <xdr:colOff>760810</xdr:colOff>
      <xdr:row>29</xdr:row>
      <xdr:rowOff>232172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148828</xdr:colOff>
      <xdr:row>16</xdr:row>
      <xdr:rowOff>53577</xdr:rowOff>
    </xdr:from>
    <xdr:to>
      <xdr:col>12</xdr:col>
      <xdr:colOff>0</xdr:colOff>
      <xdr:row>27</xdr:row>
      <xdr:rowOff>125015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148828</xdr:colOff>
      <xdr:row>17</xdr:row>
      <xdr:rowOff>53577</xdr:rowOff>
    </xdr:from>
    <xdr:to>
      <xdr:col>12</xdr:col>
      <xdr:colOff>0</xdr:colOff>
      <xdr:row>28</xdr:row>
      <xdr:rowOff>125015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20834</xdr:colOff>
      <xdr:row>3</xdr:row>
      <xdr:rowOff>5953</xdr:rowOff>
    </xdr:from>
    <xdr:to>
      <xdr:col>9</xdr:col>
      <xdr:colOff>773904</xdr:colOff>
      <xdr:row>12</xdr:row>
      <xdr:rowOff>83344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26787</xdr:colOff>
      <xdr:row>15</xdr:row>
      <xdr:rowOff>101202</xdr:rowOff>
    </xdr:from>
    <xdr:to>
      <xdr:col>9</xdr:col>
      <xdr:colOff>779857</xdr:colOff>
      <xdr:row>26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166687</xdr:colOff>
      <xdr:row>14</xdr:row>
      <xdr:rowOff>101202</xdr:rowOff>
    </xdr:from>
    <xdr:to>
      <xdr:col>10</xdr:col>
      <xdr:colOff>0</xdr:colOff>
      <xdr:row>25</xdr:row>
      <xdr:rowOff>148827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14881</xdr:colOff>
      <xdr:row>15</xdr:row>
      <xdr:rowOff>89296</xdr:rowOff>
    </xdr:from>
    <xdr:to>
      <xdr:col>9</xdr:col>
      <xdr:colOff>767951</xdr:colOff>
      <xdr:row>24</xdr:row>
      <xdr:rowOff>208359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ntrinio\Dropbox\Projects\Intrinio%20Excel%20Addin\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BankFinancials"/>
      <definedName name="IntrinioBankFundamentals"/>
      <definedName name="IntrinioDataPoint"/>
      <definedName name="IntrinioFinancials"/>
      <definedName name="IntrinioFundamentals"/>
      <definedName name="IntrinioHistoricalData"/>
      <definedName name="IntrinioHistoricalPric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Facet">
  <a:themeElements>
    <a:clrScheme name="Facet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0141D2B-FB50-4DFF-B557-375F931D78A7}">
  <we:reference id="wa104380101" version="1.0.0.0" store="en-US" storeType="OMEX"/>
  <we:alternateReferences>
    <we:reference id="wa104380101" version="1.0.0.0" store="wa104380101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  <pageSetUpPr fitToPage="1"/>
  </sheetPr>
  <dimension ref="B4:I16"/>
  <sheetViews>
    <sheetView showGridLines="0" tabSelected="1" topLeftCell="B1" zoomScaleNormal="100" zoomScaleSheetLayoutView="80" workbookViewId="0">
      <selection activeCell="C5" sqref="C5"/>
    </sheetView>
  </sheetViews>
  <sheetFormatPr defaultRowHeight="14.25" x14ac:dyDescent="0.45"/>
  <cols>
    <col min="1" max="1" width="9.1328125" customWidth="1"/>
    <col min="2" max="2" width="19.265625" bestFit="1" customWidth="1"/>
    <col min="3" max="3" width="11.59765625" customWidth="1"/>
    <col min="4" max="4" width="2.73046875" customWidth="1"/>
    <col min="9" max="9" width="13.46484375" bestFit="1" customWidth="1"/>
  </cols>
  <sheetData>
    <row r="4" spans="2:9" ht="14.65" thickBot="1" x14ac:dyDescent="0.5"/>
    <row r="5" spans="2:9" ht="16.5" customHeight="1" thickBot="1" x14ac:dyDescent="0.5">
      <c r="B5" s="80" t="s">
        <v>101</v>
      </c>
      <c r="C5" s="115"/>
    </row>
    <row r="6" spans="2:9" x14ac:dyDescent="0.45">
      <c r="B6" s="22"/>
    </row>
    <row r="7" spans="2:9" x14ac:dyDescent="0.45">
      <c r="B7" s="22"/>
    </row>
    <row r="8" spans="2:9" x14ac:dyDescent="0.45">
      <c r="B8" s="80" t="s">
        <v>46</v>
      </c>
      <c r="C8" s="172" t="str">
        <f>[1]!IntrinioDataPoint(ticker,"bank_name")</f>
        <v/>
      </c>
      <c r="D8" s="172"/>
      <c r="E8" s="172"/>
      <c r="F8" s="172"/>
    </row>
    <row r="9" spans="2:9" x14ac:dyDescent="0.45">
      <c r="B9" s="22"/>
    </row>
    <row r="10" spans="2:9" x14ac:dyDescent="0.45">
      <c r="B10" s="80" t="s">
        <v>47</v>
      </c>
      <c r="C10" s="201">
        <f ca="1">NOW()</f>
        <v>42715.732101967595</v>
      </c>
      <c r="D10" s="201"/>
      <c r="E10" s="201"/>
      <c r="F10" s="201"/>
    </row>
    <row r="11" spans="2:9" ht="14.65" thickBot="1" x14ac:dyDescent="0.5"/>
    <row r="12" spans="2:9" x14ac:dyDescent="0.45">
      <c r="B12" s="80" t="s">
        <v>79</v>
      </c>
      <c r="C12" s="116"/>
      <c r="E12" t="str">
        <f>[1]!IntrinioDataPoint(comp1,"bank_name")</f>
        <v/>
      </c>
      <c r="I12" s="171"/>
    </row>
    <row r="13" spans="2:9" x14ac:dyDescent="0.45">
      <c r="C13" s="117"/>
      <c r="E13" s="18" t="str">
        <f>[1]!IntrinioDataPoint(comp2,"bank_name")</f>
        <v/>
      </c>
    </row>
    <row r="14" spans="2:9" x14ac:dyDescent="0.45">
      <c r="C14" s="117"/>
      <c r="E14" s="18" t="str">
        <f>[1]!IntrinioDataPoint(comp3,"bank_name")</f>
        <v/>
      </c>
    </row>
    <row r="15" spans="2:9" x14ac:dyDescent="0.45">
      <c r="C15" s="117"/>
      <c r="E15" s="18" t="str">
        <f>[1]!IntrinioDataPoint(comp4,"bank_name")</f>
        <v/>
      </c>
    </row>
    <row r="16" spans="2:9" ht="14.65" thickBot="1" x14ac:dyDescent="0.5">
      <c r="C16" s="118"/>
      <c r="E16" s="18" t="str">
        <f>[1]!IntrinioDataPoint(comp5,"bank_name")</f>
        <v/>
      </c>
    </row>
  </sheetData>
  <mergeCells count="1">
    <mergeCell ref="C10:F10"/>
  </mergeCells>
  <printOptions horizontalCentered="1" verticalCentered="1"/>
  <pageMargins left="0.7" right="0.7" top="0.75" bottom="0.75" header="0.3" footer="0.3"/>
  <pageSetup orientation="landscape" r:id="rId1"/>
  <headerFooter>
    <oddHeader>&amp;L ()          &amp;RReport Date: 11/26/2016</oddHead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Update">
                <anchor moveWithCells="1" sizeWithCells="1">
                  <from>
                    <xdr:col>4</xdr:col>
                    <xdr:colOff>104775</xdr:colOff>
                    <xdr:row>3</xdr:row>
                    <xdr:rowOff>28575</xdr:rowOff>
                  </from>
                  <to>
                    <xdr:col>5</xdr:col>
                    <xdr:colOff>57150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  <pageSetUpPr fitToPage="1"/>
  </sheetPr>
  <dimension ref="A1:AA82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15.46484375" customWidth="1"/>
    <col min="3" max="3" width="1.73046875" customWidth="1"/>
    <col min="4" max="4" width="32.1328125" customWidth="1"/>
    <col min="5" max="5" width="1.73046875" customWidth="1"/>
    <col min="6" max="6" width="14.1328125" customWidth="1"/>
    <col min="7" max="7" width="1.73046875" customWidth="1"/>
    <col min="8" max="8" width="14.1328125" customWidth="1"/>
    <col min="9" max="9" width="1.73046875" customWidth="1"/>
    <col min="10" max="10" width="14.1328125" customWidth="1"/>
    <col min="11" max="11" width="1.73046875" customWidth="1"/>
    <col min="12" max="12" width="4" style="18" customWidth="1"/>
    <col min="13" max="13" width="10.46484375" customWidth="1"/>
    <col min="14" max="14" width="11.59765625" style="18" customWidth="1"/>
    <col min="16" max="23" width="9.1328125" customWidth="1"/>
    <col min="24" max="24" width="12" customWidth="1"/>
    <col min="25" max="25" width="13.1328125" bestFit="1" customWidth="1"/>
    <col min="26" max="26" width="13.1328125" style="18" customWidth="1"/>
  </cols>
  <sheetData>
    <row r="1" spans="1:27" s="18" customFormat="1" ht="18" x14ac:dyDescent="0.55000000000000004">
      <c r="A1" s="200" t="str">
        <f>name</f>
        <v/>
      </c>
    </row>
    <row r="2" spans="1:27" s="18" customFormat="1" ht="15.4" x14ac:dyDescent="0.45">
      <c r="A2" s="23" t="s">
        <v>67</v>
      </c>
      <c r="B2" s="23"/>
    </row>
    <row r="3" spans="1:27" s="18" customFormat="1" ht="8.4499999999999993" customHeight="1" x14ac:dyDescent="0.45"/>
    <row r="4" spans="1:27" ht="15.4" x14ac:dyDescent="0.45">
      <c r="B4" s="81" t="s">
        <v>45</v>
      </c>
      <c r="C4" s="82"/>
      <c r="D4" s="81" t="s">
        <v>39</v>
      </c>
      <c r="E4" s="82"/>
      <c r="F4" s="81" t="s">
        <v>21</v>
      </c>
      <c r="G4" s="82"/>
      <c r="H4" s="81" t="s">
        <v>0</v>
      </c>
      <c r="I4" s="82"/>
      <c r="J4" s="81" t="s">
        <v>80</v>
      </c>
      <c r="K4" s="82"/>
      <c r="L4" s="81" t="s">
        <v>126</v>
      </c>
      <c r="M4" s="27"/>
    </row>
    <row r="5" spans="1:27" ht="15.4" x14ac:dyDescent="0.45">
      <c r="B5" s="27" t="str">
        <f>[1]!IntrinioDataPoint(ticker,"sector")</f>
        <v/>
      </c>
      <c r="C5" s="82"/>
      <c r="D5" s="27" t="str">
        <f>[1]!IntrinioDataPoint(ticker,"industry_group")</f>
        <v/>
      </c>
      <c r="E5" s="82"/>
      <c r="F5" s="83" t="str">
        <f>IFERROR([1]!IntrinioDataPoint(ticker,"marketcap")/1000000,"")</f>
        <v/>
      </c>
      <c r="G5" s="82"/>
      <c r="H5" s="83" t="str">
        <f>IFERROR([1]!IntrinioDataPoint(ticker,"totalrevenue")/1000000,"")</f>
        <v/>
      </c>
      <c r="I5" s="82"/>
      <c r="J5" s="84" t="str">
        <f>[1]!IntrinioDataPoint(ticker,"ceo")</f>
        <v/>
      </c>
      <c r="K5" s="82"/>
      <c r="L5" s="203" t="str">
        <f>[1]!IntrinioDataPoint(ticker,"total_branches")</f>
        <v/>
      </c>
      <c r="M5" s="203"/>
    </row>
    <row r="6" spans="1:27" ht="15.4" x14ac:dyDescent="0.45">
      <c r="B6" s="27"/>
      <c r="C6" s="27"/>
      <c r="D6" s="85"/>
      <c r="E6" s="27"/>
      <c r="F6" s="27"/>
      <c r="G6" s="27"/>
      <c r="H6" s="27"/>
      <c r="I6" s="27"/>
      <c r="J6" s="27"/>
      <c r="K6" s="27"/>
      <c r="L6" s="27"/>
      <c r="M6" s="27"/>
      <c r="P6" t="s">
        <v>48</v>
      </c>
      <c r="X6" t="s">
        <v>53</v>
      </c>
      <c r="Y6" s="4" t="str">
        <f>[1]!IntrinioDataPoint(ticker,X6)</f>
        <v/>
      </c>
      <c r="Z6" s="4"/>
    </row>
    <row r="7" spans="1:27" ht="14.25" customHeight="1" x14ac:dyDescent="0.45">
      <c r="B7" s="202" t="str">
        <f>[1]!IntrinioDataPoint(ticker,"long_description")</f>
        <v/>
      </c>
      <c r="C7" s="20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17"/>
      <c r="P7" s="18">
        <f>+Q7+1</f>
        <v>4</v>
      </c>
      <c r="Q7" s="18">
        <f>+R7+1</f>
        <v>3</v>
      </c>
      <c r="R7" s="18">
        <f>+S7+1</f>
        <v>2</v>
      </c>
      <c r="S7">
        <f>+T7+1</f>
        <v>1</v>
      </c>
      <c r="T7">
        <v>0</v>
      </c>
      <c r="X7" t="s">
        <v>54</v>
      </c>
      <c r="Y7" s="4" t="str">
        <f>[1]!IntrinioDataPoint(ticker,X7)</f>
        <v/>
      </c>
      <c r="Z7" s="4"/>
    </row>
    <row r="8" spans="1:27" x14ac:dyDescent="0.45">
      <c r="B8" s="202"/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202"/>
      <c r="N8" s="17"/>
      <c r="P8" s="21" t="e">
        <f>Q8-1</f>
        <v>#VALUE!</v>
      </c>
      <c r="Q8" s="21" t="e">
        <f>R8-1</f>
        <v>#VALUE!</v>
      </c>
      <c r="R8" s="21" t="e">
        <f>S8-1</f>
        <v>#VALUE!</v>
      </c>
      <c r="S8" s="21" t="e">
        <f>T8-1</f>
        <v>#VALUE!</v>
      </c>
      <c r="T8" s="21" t="str">
        <f>[1]!IntrinioFundamentals(ticker,"income_statement","FY",T7,"fiscal_year")</f>
        <v/>
      </c>
      <c r="U8" s="26" t="e">
        <f>T8+1&amp;"E"</f>
        <v>#VALUE!</v>
      </c>
      <c r="V8" s="26" t="e">
        <f>T8+2&amp;"E"</f>
        <v>#VALUE!</v>
      </c>
      <c r="W8" s="26" t="e">
        <f>T8+3&amp;"E"</f>
        <v>#VALUE!</v>
      </c>
    </row>
    <row r="9" spans="1:27" x14ac:dyDescent="0.45">
      <c r="B9" s="202"/>
      <c r="C9" s="202"/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17"/>
      <c r="P9" s="4" t="e">
        <f>[1]!IntrinioFinancials(ticker,"income_statement",P8,"FY",$P$6)</f>
        <v>#VALUE!</v>
      </c>
      <c r="Q9" s="4" t="e">
        <f>[1]!IntrinioFinancials(ticker,"income_statement",Q8,"FY",$P$6)</f>
        <v>#VALUE!</v>
      </c>
      <c r="R9" s="4" t="e">
        <f>[1]!IntrinioFinancials(ticker,"income_statement",R8,"FY",$P$6)</f>
        <v>#VALUE!</v>
      </c>
      <c r="S9" s="4" t="e">
        <f>[1]!IntrinioFinancials(ticker,"income_statement",S8,"FY",$P$6)</f>
        <v>#VALUE!</v>
      </c>
      <c r="T9" s="4" t="e">
        <f>[1]!IntrinioFinancials(ticker,"income_statement",T8,"FY",$P$6)</f>
        <v>#VALUE!</v>
      </c>
      <c r="U9" s="4" t="str">
        <f>[1]!IntrinioDataPoint(ticker,"current_yr_ave_eps_est")</f>
        <v/>
      </c>
      <c r="V9" s="4" t="str">
        <f>[1]!IntrinioDataPoint(ticker,"next_yr_ave_eps_est")</f>
        <v/>
      </c>
      <c r="W9" s="4" t="e">
        <f>V9*(1+([1]!IntrinioDataPoint(ticker,"long_term_growth_rate")*0.2))</f>
        <v>#VALUE!</v>
      </c>
      <c r="X9" t="s">
        <v>1</v>
      </c>
      <c r="Y9" s="3" t="str">
        <f ca="1">TEXT(Y10-365*5,"YYYY-MM-DD")</f>
        <v>2011-12-13</v>
      </c>
      <c r="Z9" s="3"/>
    </row>
    <row r="10" spans="1:27" x14ac:dyDescent="0.45">
      <c r="B10" s="202"/>
      <c r="C10" s="202"/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17"/>
      <c r="X10" t="s">
        <v>2</v>
      </c>
      <c r="Y10" s="3" t="str">
        <f ca="1">TEXT(report_date,"YYYY-MM-DD")</f>
        <v>2016-12-11</v>
      </c>
      <c r="Z10" s="3"/>
    </row>
    <row r="11" spans="1:27" x14ac:dyDescent="0.45">
      <c r="B11" s="202"/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17"/>
      <c r="U11" s="9"/>
      <c r="X11" t="s">
        <v>3</v>
      </c>
      <c r="Y11" t="s">
        <v>6</v>
      </c>
    </row>
    <row r="12" spans="1:27" x14ac:dyDescent="0.45">
      <c r="B12" s="202"/>
      <c r="C12" s="202"/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17"/>
      <c r="X12" t="s">
        <v>5</v>
      </c>
      <c r="Y12" s="24" t="s">
        <v>7</v>
      </c>
      <c r="Z12" s="170" t="s">
        <v>100</v>
      </c>
      <c r="AA12" s="24" t="s">
        <v>4</v>
      </c>
    </row>
    <row r="13" spans="1:27" x14ac:dyDescent="0.45"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17"/>
      <c r="X13">
        <v>0</v>
      </c>
      <c r="Y13" s="2" t="str">
        <f ca="1">IFERROR([1]!IntrinioHistoricalPrices(ticker,"date",$X13,$Y$9,$Y$10,$Y$11),"")</f>
        <v/>
      </c>
      <c r="Z13" s="2" t="e">
        <f ca="1">DATE(YEAR(Y13),MONTH(Y13),DAY(Y13))</f>
        <v>#VALUE!</v>
      </c>
      <c r="AA13" s="4" t="str">
        <f ca="1">IFERROR([1]!IntrinioHistoricalPrices(ticker,"adj_close",$X13,$Y$9,$Y$10,$Y$11),"")</f>
        <v/>
      </c>
    </row>
    <row r="14" spans="1:27" x14ac:dyDescent="0.45">
      <c r="B14" s="202"/>
      <c r="C14" s="202"/>
      <c r="D14" s="202"/>
      <c r="E14" s="202"/>
      <c r="F14" s="202"/>
      <c r="G14" s="202"/>
      <c r="H14" s="202"/>
      <c r="I14" s="202"/>
      <c r="J14" s="202"/>
      <c r="K14" s="202"/>
      <c r="L14" s="202"/>
      <c r="M14" s="202"/>
      <c r="N14" s="17"/>
      <c r="X14">
        <f>X13+1</f>
        <v>1</v>
      </c>
      <c r="Y14" s="2" t="str">
        <f ca="1">IFERROR([1]!IntrinioHistoricalPrices(ticker,"date",$X14,$Y$9,$Y$10,$Y$11),"")</f>
        <v/>
      </c>
      <c r="Z14" s="2" t="e">
        <f t="shared" ref="Z14:Z72" ca="1" si="0">DATE(YEAR(Y14),MONTH(Y14),DAY(Y14))</f>
        <v>#VALUE!</v>
      </c>
      <c r="AA14" s="4" t="str">
        <f ca="1">IFERROR([1]!IntrinioHistoricalPrices(ticker,"adj_close",$X14,$Y$9,$Y$10,$Y$11),"")</f>
        <v/>
      </c>
    </row>
    <row r="15" spans="1:27" x14ac:dyDescent="0.45">
      <c r="B15" s="202"/>
      <c r="C15" s="202"/>
      <c r="D15" s="202"/>
      <c r="E15" s="202"/>
      <c r="F15" s="202"/>
      <c r="G15" s="202"/>
      <c r="H15" s="202"/>
      <c r="I15" s="202"/>
      <c r="J15" s="202"/>
      <c r="K15" s="202"/>
      <c r="L15" s="202"/>
      <c r="M15" s="202"/>
      <c r="N15" s="17"/>
      <c r="Q15" s="2"/>
      <c r="X15" s="18">
        <f t="shared" ref="X15:X72" si="1">X14+1</f>
        <v>2</v>
      </c>
      <c r="Y15" s="2" t="str">
        <f ca="1">IFERROR([1]!IntrinioHistoricalPrices(ticker,"date",$X15,$Y$9,$Y$10,$Y$11),"")</f>
        <v/>
      </c>
      <c r="Z15" s="2" t="e">
        <f t="shared" ca="1" si="0"/>
        <v>#VALUE!</v>
      </c>
      <c r="AA15" s="4" t="str">
        <f ca="1">IFERROR([1]!IntrinioHistoricalPrices(ticker,"adj_close",$X15,$Y$9,$Y$10,$Y$11),"")</f>
        <v/>
      </c>
    </row>
    <row r="16" spans="1:27" x14ac:dyDescent="0.45">
      <c r="B16" s="202"/>
      <c r="C16" s="202"/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17"/>
      <c r="Q16" s="2"/>
      <c r="X16" s="18">
        <f t="shared" si="1"/>
        <v>3</v>
      </c>
      <c r="Y16" s="2" t="str">
        <f ca="1">IFERROR([1]!IntrinioHistoricalPrices(ticker,"date",$X16,$Y$9,$Y$10,$Y$11),"")</f>
        <v/>
      </c>
      <c r="Z16" s="2" t="e">
        <f t="shared" ca="1" si="0"/>
        <v>#VALUE!</v>
      </c>
      <c r="AA16" s="4" t="str">
        <f ca="1">IFERROR([1]!IntrinioHistoricalPrices(ticker,"adj_close",$X16,$Y$9,$Y$10,$Y$11),"")</f>
        <v/>
      </c>
    </row>
    <row r="17" spans="2:27" x14ac:dyDescent="0.45">
      <c r="B17" s="202"/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17"/>
      <c r="X17" s="18">
        <f t="shared" si="1"/>
        <v>4</v>
      </c>
      <c r="Y17" s="2" t="str">
        <f ca="1">IFERROR([1]!IntrinioHistoricalPrices(ticker,"date",$X17,$Y$9,$Y$10,$Y$11),"")</f>
        <v/>
      </c>
      <c r="Z17" s="2" t="e">
        <f t="shared" ca="1" si="0"/>
        <v>#VALUE!</v>
      </c>
      <c r="AA17" s="4" t="str">
        <f ca="1">IFERROR([1]!IntrinioHistoricalPrices(ticker,"adj_close",$X17,$Y$9,$Y$10,$Y$11),"")</f>
        <v/>
      </c>
    </row>
    <row r="18" spans="2:27" x14ac:dyDescent="0.45">
      <c r="B18" s="202"/>
      <c r="C18" s="202"/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17"/>
      <c r="X18" s="18">
        <f t="shared" si="1"/>
        <v>5</v>
      </c>
      <c r="Y18" s="2" t="str">
        <f ca="1">IFERROR([1]!IntrinioHistoricalPrices(ticker,"date",$X18,$Y$9,$Y$10,$Y$11),"")</f>
        <v/>
      </c>
      <c r="Z18" s="2" t="e">
        <f t="shared" ca="1" si="0"/>
        <v>#VALUE!</v>
      </c>
      <c r="AA18" s="4" t="str">
        <f ca="1">IFERROR([1]!IntrinioHistoricalPrices(ticker,"adj_close",$X18,$Y$9,$Y$10,$Y$11),"")</f>
        <v/>
      </c>
    </row>
    <row r="19" spans="2:27" x14ac:dyDescent="0.45"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17"/>
      <c r="X19" s="18">
        <f t="shared" si="1"/>
        <v>6</v>
      </c>
      <c r="Y19" s="2" t="str">
        <f ca="1">IFERROR([1]!IntrinioHistoricalPrices(ticker,"date",$X19,$Y$9,$Y$10,$Y$11),"")</f>
        <v/>
      </c>
      <c r="Z19" s="2" t="e">
        <f t="shared" ca="1" si="0"/>
        <v>#VALUE!</v>
      </c>
      <c r="AA19" s="4" t="str">
        <f ca="1">IFERROR([1]!IntrinioHistoricalPrices(ticker,"adj_close",$X19,$Y$9,$Y$10,$Y$11),"")</f>
        <v/>
      </c>
    </row>
    <row r="20" spans="2:27" x14ac:dyDescent="0.45">
      <c r="B20" s="202"/>
      <c r="C20" s="20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17"/>
      <c r="P20" s="3"/>
      <c r="X20" s="18">
        <f t="shared" si="1"/>
        <v>7</v>
      </c>
      <c r="Y20" s="2" t="str">
        <f ca="1">IFERROR([1]!IntrinioHistoricalPrices(ticker,"date",$X20,$Y$9,$Y$10,$Y$11),"")</f>
        <v/>
      </c>
      <c r="Z20" s="2" t="e">
        <f t="shared" ca="1" si="0"/>
        <v>#VALUE!</v>
      </c>
      <c r="AA20" s="4" t="str">
        <f ca="1">IFERROR([1]!IntrinioHistoricalPrices(ticker,"adj_close",$X20,$Y$9,$Y$10,$Y$11),"")</f>
        <v/>
      </c>
    </row>
    <row r="21" spans="2:27" x14ac:dyDescent="0.45"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6"/>
      <c r="P21" s="3"/>
      <c r="X21" s="18">
        <f t="shared" si="1"/>
        <v>8</v>
      </c>
      <c r="Y21" s="2" t="str">
        <f ca="1">IFERROR([1]!IntrinioHistoricalPrices(ticker,"date",$X21,$Y$9,$Y$10,$Y$11),"")</f>
        <v/>
      </c>
      <c r="Z21" s="2" t="e">
        <f t="shared" ca="1" si="0"/>
        <v>#VALUE!</v>
      </c>
      <c r="AA21" s="4" t="str">
        <f ca="1">IFERROR([1]!IntrinioHistoricalPrices(ticker,"adj_close",$X21,$Y$9,$Y$10,$Y$11),"")</f>
        <v/>
      </c>
    </row>
    <row r="22" spans="2:27" ht="15.4" x14ac:dyDescent="0.45">
      <c r="B22" s="17"/>
      <c r="C22" s="17"/>
      <c r="D22" s="17"/>
      <c r="E22" s="17"/>
      <c r="F22" s="17"/>
      <c r="G22" s="17"/>
      <c r="H22" s="17"/>
      <c r="I22" s="17"/>
      <c r="J22" s="17"/>
      <c r="K22" s="17"/>
      <c r="M22" s="86" t="str">
        <f>[1]!IntrinioDataPoint(ticker,"close_price")</f>
        <v/>
      </c>
      <c r="N22" s="16"/>
      <c r="X22" s="18">
        <f t="shared" si="1"/>
        <v>9</v>
      </c>
      <c r="Y22" s="2" t="str">
        <f ca="1">IFERROR([1]!IntrinioHistoricalPrices(ticker,"date",$X22,$Y$9,$Y$10,$Y$11),"")</f>
        <v/>
      </c>
      <c r="Z22" s="2" t="e">
        <f t="shared" ca="1" si="0"/>
        <v>#VALUE!</v>
      </c>
      <c r="AA22" s="4" t="str">
        <f ca="1">IFERROR([1]!IntrinioHistoricalPrices(ticker,"adj_close",$X22,$Y$9,$Y$10,$Y$11),"")</f>
        <v/>
      </c>
    </row>
    <row r="23" spans="2:27" x14ac:dyDescent="0.45"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6"/>
      <c r="M23" s="17"/>
      <c r="N23" s="17"/>
      <c r="X23" s="18">
        <f t="shared" si="1"/>
        <v>10</v>
      </c>
      <c r="Y23" s="2" t="str">
        <f ca="1">IFERROR([1]!IntrinioHistoricalPrices(ticker,"date",$X23,$Y$9,$Y$10,$Y$11),"")</f>
        <v/>
      </c>
      <c r="Z23" s="2" t="e">
        <f t="shared" ca="1" si="0"/>
        <v>#VALUE!</v>
      </c>
      <c r="AA23" s="4" t="str">
        <f ca="1">IFERROR([1]!IntrinioHistoricalPrices(ticker,"adj_close",$X23,$Y$9,$Y$10,$Y$11),"")</f>
        <v/>
      </c>
    </row>
    <row r="24" spans="2:27" x14ac:dyDescent="0.45">
      <c r="L24" s="24"/>
      <c r="P24" s="3"/>
      <c r="X24" s="18">
        <f t="shared" si="1"/>
        <v>11</v>
      </c>
      <c r="Y24" s="2" t="str">
        <f ca="1">IFERROR([1]!IntrinioHistoricalPrices(ticker,"date",$X24,$Y$9,$Y$10,$Y$11),"")</f>
        <v/>
      </c>
      <c r="Z24" s="2" t="e">
        <f t="shared" ca="1" si="0"/>
        <v>#VALUE!</v>
      </c>
      <c r="AA24" s="4" t="str">
        <f ca="1">IFERROR([1]!IntrinioHistoricalPrices(ticker,"adj_close",$X24,$Y$9,$Y$10,$Y$11),"")</f>
        <v/>
      </c>
    </row>
    <row r="25" spans="2:27" x14ac:dyDescent="0.45">
      <c r="M25" s="22" t="s">
        <v>42</v>
      </c>
      <c r="N25" s="20" t="e">
        <f ca="1">AA13/[1]!IntrinioHistoricalPrices(ticker,"adj_close",1,$Y$9,$Y$10,"yearly")-1</f>
        <v>#VALUE!</v>
      </c>
      <c r="P25" s="3"/>
      <c r="X25" s="18">
        <f t="shared" si="1"/>
        <v>12</v>
      </c>
      <c r="Y25" s="2" t="str">
        <f ca="1">IFERROR([1]!IntrinioHistoricalPrices(ticker,"date",$X25,$Y$9,$Y$10,$Y$11),"")</f>
        <v/>
      </c>
      <c r="Z25" s="2" t="e">
        <f t="shared" ca="1" si="0"/>
        <v>#VALUE!</v>
      </c>
      <c r="AA25" s="4" t="str">
        <f ca="1">IFERROR([1]!IntrinioHistoricalPrices(ticker,"adj_close",$X25,$Y$9,$Y$10,$Y$11),"")</f>
        <v/>
      </c>
    </row>
    <row r="26" spans="2:27" x14ac:dyDescent="0.45">
      <c r="M26" s="22" t="s">
        <v>43</v>
      </c>
      <c r="N26" s="20" t="e">
        <f ca="1">M22/AA16-1</f>
        <v>#VALUE!</v>
      </c>
      <c r="P26" s="3"/>
      <c r="X26" s="18">
        <f t="shared" si="1"/>
        <v>13</v>
      </c>
      <c r="Y26" s="2" t="str">
        <f ca="1">IFERROR([1]!IntrinioHistoricalPrices(ticker,"date",$X26,$Y$9,$Y$10,$Y$11),"")</f>
        <v/>
      </c>
      <c r="Z26" s="2" t="e">
        <f t="shared" ca="1" si="0"/>
        <v>#VALUE!</v>
      </c>
      <c r="AA26" s="4" t="str">
        <f ca="1">IFERROR([1]!IntrinioHistoricalPrices(ticker,"adj_close",$X26,$Y$9,$Y$10,$Y$11),"")</f>
        <v/>
      </c>
    </row>
    <row r="27" spans="2:27" x14ac:dyDescent="0.45">
      <c r="M27" s="22" t="s">
        <v>44</v>
      </c>
      <c r="N27" s="20" t="e">
        <f ca="1">AA13/AA25-1</f>
        <v>#VALUE!</v>
      </c>
      <c r="P27" s="3"/>
      <c r="X27" s="18">
        <f t="shared" si="1"/>
        <v>14</v>
      </c>
      <c r="Y27" s="2" t="str">
        <f ca="1">IFERROR([1]!IntrinioHistoricalPrices(ticker,"date",$X27,$Y$9,$Y$10,$Y$11),"")</f>
        <v/>
      </c>
      <c r="Z27" s="2" t="e">
        <f t="shared" ca="1" si="0"/>
        <v>#VALUE!</v>
      </c>
      <c r="AA27" s="4" t="str">
        <f ca="1">IFERROR([1]!IntrinioHistoricalPrices(ticker,"adj_close",$X27,$Y$9,$Y$10,$Y$11),"")</f>
        <v/>
      </c>
    </row>
    <row r="28" spans="2:27" x14ac:dyDescent="0.45">
      <c r="M28" s="22" t="s">
        <v>11</v>
      </c>
      <c r="N28" s="20" t="e">
        <f ca="1">AA13/Y6-1</f>
        <v>#VALUE!</v>
      </c>
      <c r="P28" s="3"/>
      <c r="X28" s="18">
        <f t="shared" si="1"/>
        <v>15</v>
      </c>
      <c r="Y28" s="2" t="str">
        <f ca="1">IFERROR([1]!IntrinioHistoricalPrices(ticker,"date",$X28,$Y$9,$Y$10,$Y$11),"")</f>
        <v/>
      </c>
      <c r="Z28" s="2" t="e">
        <f t="shared" ca="1" si="0"/>
        <v>#VALUE!</v>
      </c>
      <c r="AA28" s="4" t="str">
        <f ca="1">IFERROR([1]!IntrinioHistoricalPrices(ticker,"adj_close",$X28,$Y$9,$Y$10,$Y$11),"")</f>
        <v/>
      </c>
    </row>
    <row r="29" spans="2:27" x14ac:dyDescent="0.45">
      <c r="M29" s="22" t="s">
        <v>12</v>
      </c>
      <c r="N29" s="20" t="e">
        <f ca="1">AA14/Y7-1</f>
        <v>#VALUE!</v>
      </c>
      <c r="P29" s="3"/>
      <c r="X29" s="18">
        <f t="shared" si="1"/>
        <v>16</v>
      </c>
      <c r="Y29" s="2" t="str">
        <f ca="1">IFERROR([1]!IntrinioHistoricalPrices(ticker,"date",$X29,$Y$9,$Y$10,$Y$11),"")</f>
        <v/>
      </c>
      <c r="Z29" s="2" t="e">
        <f t="shared" ca="1" si="0"/>
        <v>#VALUE!</v>
      </c>
      <c r="AA29" s="4" t="str">
        <f ca="1">IFERROR([1]!IntrinioHistoricalPrices(ticker,"adj_close",$X29,$Y$9,$Y$10,$Y$11),"")</f>
        <v/>
      </c>
    </row>
    <row r="30" spans="2:27" x14ac:dyDescent="0.45">
      <c r="M30" s="22" t="s">
        <v>9</v>
      </c>
      <c r="N30" t="str">
        <f>[1]!IntrinioDataPoint(ticker,"beta")</f>
        <v/>
      </c>
      <c r="P30" s="3"/>
      <c r="X30" s="18">
        <f t="shared" si="1"/>
        <v>17</v>
      </c>
      <c r="Y30" s="2" t="str">
        <f ca="1">IFERROR([1]!IntrinioHistoricalPrices(ticker,"date",$X30,$Y$9,$Y$10,$Y$11),"")</f>
        <v/>
      </c>
      <c r="Z30" s="2" t="e">
        <f t="shared" ca="1" si="0"/>
        <v>#VALUE!</v>
      </c>
      <c r="AA30" s="4" t="str">
        <f ca="1">IFERROR([1]!IntrinioHistoricalPrices(ticker,"adj_close",$X30,$Y$9,$Y$10,$Y$11),"")</f>
        <v/>
      </c>
    </row>
    <row r="31" spans="2:27" x14ac:dyDescent="0.45">
      <c r="M31" s="22" t="s">
        <v>10</v>
      </c>
      <c r="N31" s="19" t="str">
        <f>[1]!IntrinioDataPoint(ticker,"pricetoearnings")</f>
        <v/>
      </c>
      <c r="P31" s="3"/>
      <c r="X31" s="18">
        <f t="shared" si="1"/>
        <v>18</v>
      </c>
      <c r="Y31" s="2" t="str">
        <f ca="1">IFERROR([1]!IntrinioHistoricalPrices(ticker,"date",$X31,$Y$9,$Y$10,$Y$11),"")</f>
        <v/>
      </c>
      <c r="Z31" s="2" t="e">
        <f t="shared" ca="1" si="0"/>
        <v>#VALUE!</v>
      </c>
      <c r="AA31" s="4" t="str">
        <f ca="1">IFERROR([1]!IntrinioHistoricalPrices(ticker,"adj_close",$X31,$Y$9,$Y$10,$Y$11),"")</f>
        <v/>
      </c>
    </row>
    <row r="32" spans="2:27" x14ac:dyDescent="0.45">
      <c r="N32" s="19"/>
      <c r="P32" s="3"/>
      <c r="X32" s="18">
        <f t="shared" si="1"/>
        <v>19</v>
      </c>
      <c r="Y32" s="2" t="str">
        <f ca="1">IFERROR([1]!IntrinioHistoricalPrices(ticker,"date",$X32,$Y$9,$Y$10,$Y$11),"")</f>
        <v/>
      </c>
      <c r="Z32" s="2" t="e">
        <f t="shared" ca="1" si="0"/>
        <v>#VALUE!</v>
      </c>
      <c r="AA32" s="4" t="str">
        <f ca="1">IFERROR([1]!IntrinioHistoricalPrices(ticker,"adj_close",$X32,$Y$9,$Y$10,$Y$11),"")</f>
        <v/>
      </c>
    </row>
    <row r="33" spans="2:27" x14ac:dyDescent="0.45">
      <c r="P33" s="3"/>
      <c r="X33" s="18">
        <f t="shared" si="1"/>
        <v>20</v>
      </c>
      <c r="Y33" s="2" t="str">
        <f ca="1">IFERROR([1]!IntrinioHistoricalPrices(ticker,"date",$X33,$Y$9,$Y$10,$Y$11),"")</f>
        <v/>
      </c>
      <c r="Z33" s="2" t="e">
        <f t="shared" ca="1" si="0"/>
        <v>#VALUE!</v>
      </c>
      <c r="AA33" s="4" t="str">
        <f ca="1">IFERROR([1]!IntrinioHistoricalPrices(ticker,"adj_close",$X33,$Y$9,$Y$10,$Y$11),"")</f>
        <v/>
      </c>
    </row>
    <row r="34" spans="2:27" x14ac:dyDescent="0.45">
      <c r="P34" s="3"/>
      <c r="X34" s="18">
        <f t="shared" si="1"/>
        <v>21</v>
      </c>
      <c r="Y34" s="2" t="str">
        <f ca="1">IFERROR([1]!IntrinioHistoricalPrices(ticker,"date",$X34,$Y$9,$Y$10,$Y$11),"")</f>
        <v/>
      </c>
      <c r="Z34" s="2" t="e">
        <f t="shared" ca="1" si="0"/>
        <v>#VALUE!</v>
      </c>
      <c r="AA34" s="4" t="str">
        <f ca="1">IFERROR([1]!IntrinioHistoricalPrices(ticker,"adj_close",$X34,$Y$9,$Y$10,$Y$11),"")</f>
        <v/>
      </c>
    </row>
    <row r="35" spans="2:27" x14ac:dyDescent="0.45">
      <c r="B35" s="18"/>
      <c r="C35" s="18"/>
      <c r="D35" s="18"/>
      <c r="E35" s="18"/>
      <c r="F35" s="18"/>
      <c r="G35" s="18"/>
      <c r="H35" s="18"/>
      <c r="I35" s="18"/>
      <c r="J35" s="18"/>
      <c r="K35" s="18"/>
      <c r="M35" s="18"/>
      <c r="P35" s="3"/>
      <c r="X35" s="18">
        <f t="shared" si="1"/>
        <v>22</v>
      </c>
      <c r="Y35" s="2" t="str">
        <f ca="1">IFERROR([1]!IntrinioHistoricalPrices(ticker,"date",$X35,$Y$9,$Y$10,$Y$11),"")</f>
        <v/>
      </c>
      <c r="Z35" s="2" t="e">
        <f t="shared" ca="1" si="0"/>
        <v>#VALUE!</v>
      </c>
      <c r="AA35" s="4" t="str">
        <f ca="1">IFERROR([1]!IntrinioHistoricalPrices(ticker,"adj_close",$X35,$Y$9,$Y$10,$Y$11),"")</f>
        <v/>
      </c>
    </row>
    <row r="36" spans="2:27" x14ac:dyDescent="0.45">
      <c r="B36" s="18"/>
      <c r="C36" s="18"/>
      <c r="D36" s="18"/>
      <c r="E36" s="18"/>
      <c r="F36" s="18"/>
      <c r="G36" s="18"/>
      <c r="H36" s="18"/>
      <c r="I36" s="18"/>
      <c r="J36" s="18"/>
      <c r="K36" s="18"/>
      <c r="M36" s="18"/>
      <c r="P36" s="3"/>
      <c r="X36" s="18">
        <f t="shared" si="1"/>
        <v>23</v>
      </c>
      <c r="Y36" s="2" t="str">
        <f ca="1">IFERROR([1]!IntrinioHistoricalPrices(ticker,"date",$X36,$Y$9,$Y$10,$Y$11),"")</f>
        <v/>
      </c>
      <c r="Z36" s="2" t="e">
        <f t="shared" ca="1" si="0"/>
        <v>#VALUE!</v>
      </c>
      <c r="AA36" s="4" t="str">
        <f ca="1">IFERROR([1]!IntrinioHistoricalPrices(ticker,"adj_close",$X36,$Y$9,$Y$10,$Y$11),"")</f>
        <v/>
      </c>
    </row>
    <row r="37" spans="2:27" ht="15.4" x14ac:dyDescent="0.45">
      <c r="B37" s="81" t="s">
        <v>95</v>
      </c>
      <c r="C37" s="151"/>
      <c r="D37" s="81"/>
      <c r="E37" s="82"/>
      <c r="F37" s="81" t="s">
        <v>96</v>
      </c>
      <c r="G37" s="151"/>
      <c r="H37" s="81"/>
      <c r="I37" s="151"/>
      <c r="J37" s="81"/>
      <c r="K37" s="151"/>
      <c r="L37" s="81"/>
      <c r="M37" s="104"/>
      <c r="N37" s="17"/>
      <c r="P37" s="3"/>
      <c r="X37" s="18">
        <f t="shared" si="1"/>
        <v>24</v>
      </c>
      <c r="Y37" s="2" t="str">
        <f ca="1">IFERROR([1]!IntrinioHistoricalPrices(ticker,"date",$X37,$Y$9,$Y$10,$Y$11),"")</f>
        <v/>
      </c>
      <c r="Z37" s="2" t="e">
        <f t="shared" ca="1" si="0"/>
        <v>#VALUE!</v>
      </c>
      <c r="AA37" s="4" t="str">
        <f ca="1">IFERROR([1]!IntrinioHistoricalPrices(ticker,"adj_close",$X37,$Y$9,$Y$10,$Y$11),"")</f>
        <v/>
      </c>
    </row>
    <row r="38" spans="2:27" ht="15.4" x14ac:dyDescent="0.45">
      <c r="B38" s="169" t="str">
        <f>HYPERLINK(P38,P38)</f>
        <v/>
      </c>
      <c r="C38" s="151"/>
      <c r="D38" s="27"/>
      <c r="E38" s="82"/>
      <c r="F38" s="168" t="str">
        <f>[1]!IntrinioDataPoint(ticker,"business_address")</f>
        <v/>
      </c>
      <c r="G38" s="151"/>
      <c r="H38" s="152"/>
      <c r="I38" s="151"/>
      <c r="J38" s="152"/>
      <c r="K38" s="151"/>
      <c r="L38" s="84"/>
      <c r="M38" s="104"/>
      <c r="N38" s="17"/>
      <c r="P38" s="3" t="str">
        <f>[1]!IntrinioDataPoint(ticker,"company_url")</f>
        <v/>
      </c>
      <c r="X38" s="18">
        <f t="shared" si="1"/>
        <v>25</v>
      </c>
      <c r="Y38" s="2" t="str">
        <f ca="1">IFERROR([1]!IntrinioHistoricalPrices(ticker,"date",$X38,$Y$9,$Y$10,$Y$11),"")</f>
        <v/>
      </c>
      <c r="Z38" s="2" t="e">
        <f t="shared" ca="1" si="0"/>
        <v>#VALUE!</v>
      </c>
      <c r="AA38" s="4" t="str">
        <f ca="1">IFERROR([1]!IntrinioHistoricalPrices(ticker,"adj_close",$X38,$Y$9,$Y$10,$Y$11),"")</f>
        <v/>
      </c>
    </row>
    <row r="39" spans="2:27" x14ac:dyDescent="0.45">
      <c r="P39" s="3"/>
      <c r="Q39" s="25"/>
      <c r="X39" s="18">
        <f t="shared" si="1"/>
        <v>26</v>
      </c>
      <c r="Y39" s="2" t="str">
        <f ca="1">IFERROR([1]!IntrinioHistoricalPrices(ticker,"date",$X39,$Y$9,$Y$10,$Y$11),"")</f>
        <v/>
      </c>
      <c r="Z39" s="2" t="e">
        <f t="shared" ca="1" si="0"/>
        <v>#VALUE!</v>
      </c>
      <c r="AA39" s="4" t="str">
        <f ca="1">IFERROR([1]!IntrinioHistoricalPrices(ticker,"adj_close",$X39,$Y$9,$Y$10,$Y$11),"")</f>
        <v/>
      </c>
    </row>
    <row r="40" spans="2:27" x14ac:dyDescent="0.45">
      <c r="P40" s="3"/>
      <c r="X40" s="18">
        <f t="shared" si="1"/>
        <v>27</v>
      </c>
      <c r="Y40" s="2" t="str">
        <f ca="1">IFERROR([1]!IntrinioHistoricalPrices(ticker,"date",$X40,$Y$9,$Y$10,$Y$11),"")</f>
        <v/>
      </c>
      <c r="Z40" s="2" t="e">
        <f t="shared" ca="1" si="0"/>
        <v>#VALUE!</v>
      </c>
      <c r="AA40" s="4" t="str">
        <f ca="1">IFERROR([1]!IntrinioHistoricalPrices(ticker,"adj_close",$X40,$Y$9,$Y$10,$Y$11),"")</f>
        <v/>
      </c>
    </row>
    <row r="41" spans="2:27" x14ac:dyDescent="0.45">
      <c r="P41" s="3"/>
      <c r="X41" s="18">
        <f t="shared" si="1"/>
        <v>28</v>
      </c>
      <c r="Y41" s="2" t="str">
        <f ca="1">IFERROR([1]!IntrinioHistoricalPrices(ticker,"date",$X41,$Y$9,$Y$10,$Y$11),"")</f>
        <v/>
      </c>
      <c r="Z41" s="2" t="e">
        <f t="shared" ca="1" si="0"/>
        <v>#VALUE!</v>
      </c>
      <c r="AA41" s="4" t="str">
        <f ca="1">IFERROR([1]!IntrinioHistoricalPrices(ticker,"adj_close",$X41,$Y$9,$Y$10,$Y$11),"")</f>
        <v/>
      </c>
    </row>
    <row r="42" spans="2:27" x14ac:dyDescent="0.45">
      <c r="P42" s="3"/>
      <c r="X42" s="18">
        <f t="shared" si="1"/>
        <v>29</v>
      </c>
      <c r="Y42" s="2" t="str">
        <f ca="1">IFERROR([1]!IntrinioHistoricalPrices(ticker,"date",$X42,$Y$9,$Y$10,$Y$11),"")</f>
        <v/>
      </c>
      <c r="Z42" s="2" t="e">
        <f t="shared" ca="1" si="0"/>
        <v>#VALUE!</v>
      </c>
      <c r="AA42" s="4" t="str">
        <f ca="1">IFERROR([1]!IntrinioHistoricalPrices(ticker,"adj_close",$X42,$Y$9,$Y$10,$Y$11),"")</f>
        <v/>
      </c>
    </row>
    <row r="43" spans="2:27" x14ac:dyDescent="0.45">
      <c r="P43" s="3"/>
      <c r="X43" s="18">
        <f t="shared" si="1"/>
        <v>30</v>
      </c>
      <c r="Y43" s="2" t="str">
        <f ca="1">IFERROR([1]!IntrinioHistoricalPrices(ticker,"date",$X43,$Y$9,$Y$10,$Y$11),"")</f>
        <v/>
      </c>
      <c r="Z43" s="2" t="e">
        <f t="shared" ca="1" si="0"/>
        <v>#VALUE!</v>
      </c>
      <c r="AA43" s="4" t="str">
        <f ca="1">IFERROR([1]!IntrinioHistoricalPrices(ticker,"adj_close",$X43,$Y$9,$Y$10,$Y$11),"")</f>
        <v/>
      </c>
    </row>
    <row r="44" spans="2:27" x14ac:dyDescent="0.45">
      <c r="P44" s="3"/>
      <c r="X44" s="18">
        <f t="shared" si="1"/>
        <v>31</v>
      </c>
      <c r="Y44" s="2" t="str">
        <f ca="1">IFERROR([1]!IntrinioHistoricalPrices(ticker,"date",$X44,$Y$9,$Y$10,$Y$11),"")</f>
        <v/>
      </c>
      <c r="Z44" s="2" t="e">
        <f t="shared" ca="1" si="0"/>
        <v>#VALUE!</v>
      </c>
      <c r="AA44" s="4" t="str">
        <f ca="1">IFERROR([1]!IntrinioHistoricalPrices(ticker,"adj_close",$X44,$Y$9,$Y$10,$Y$11),"")</f>
        <v/>
      </c>
    </row>
    <row r="45" spans="2:27" x14ac:dyDescent="0.45">
      <c r="P45" s="3"/>
      <c r="X45" s="18">
        <f t="shared" si="1"/>
        <v>32</v>
      </c>
      <c r="Y45" s="2" t="str">
        <f ca="1">IFERROR([1]!IntrinioHistoricalPrices(ticker,"date",$X45,$Y$9,$Y$10,$Y$11),"")</f>
        <v/>
      </c>
      <c r="Z45" s="2" t="e">
        <f t="shared" ca="1" si="0"/>
        <v>#VALUE!</v>
      </c>
      <c r="AA45" s="4" t="str">
        <f ca="1">IFERROR([1]!IntrinioHistoricalPrices(ticker,"adj_close",$X45,$Y$9,$Y$10,$Y$11),"")</f>
        <v/>
      </c>
    </row>
    <row r="46" spans="2:27" x14ac:dyDescent="0.45">
      <c r="P46" s="3"/>
      <c r="X46" s="18">
        <f t="shared" si="1"/>
        <v>33</v>
      </c>
      <c r="Y46" s="2" t="str">
        <f ca="1">IFERROR([1]!IntrinioHistoricalPrices(ticker,"date",$X46,$Y$9,$Y$10,$Y$11),"")</f>
        <v/>
      </c>
      <c r="Z46" s="2" t="e">
        <f t="shared" ca="1" si="0"/>
        <v>#VALUE!</v>
      </c>
      <c r="AA46" s="4" t="str">
        <f ca="1">IFERROR([1]!IntrinioHistoricalPrices(ticker,"adj_close",$X46,$Y$9,$Y$10,$Y$11),"")</f>
        <v/>
      </c>
    </row>
    <row r="47" spans="2:27" x14ac:dyDescent="0.45">
      <c r="P47" s="3"/>
      <c r="X47" s="18">
        <f t="shared" si="1"/>
        <v>34</v>
      </c>
      <c r="Y47" s="2" t="str">
        <f ca="1">IFERROR([1]!IntrinioHistoricalPrices(ticker,"date",$X47,$Y$9,$Y$10,$Y$11),"")</f>
        <v/>
      </c>
      <c r="Z47" s="2" t="e">
        <f t="shared" ca="1" si="0"/>
        <v>#VALUE!</v>
      </c>
      <c r="AA47" s="4" t="str">
        <f ca="1">IFERROR([1]!IntrinioHistoricalPrices(ticker,"adj_close",$X47,$Y$9,$Y$10,$Y$11),"")</f>
        <v/>
      </c>
    </row>
    <row r="48" spans="2:27" x14ac:dyDescent="0.45">
      <c r="P48" s="3"/>
      <c r="X48" s="18">
        <f t="shared" si="1"/>
        <v>35</v>
      </c>
      <c r="Y48" s="2" t="str">
        <f ca="1">IFERROR([1]!IntrinioHistoricalPrices(ticker,"date",$X48,$Y$9,$Y$10,$Y$11),"")</f>
        <v/>
      </c>
      <c r="Z48" s="2" t="e">
        <f t="shared" ca="1" si="0"/>
        <v>#VALUE!</v>
      </c>
      <c r="AA48" s="4" t="str">
        <f ca="1">IFERROR([1]!IntrinioHistoricalPrices(ticker,"adj_close",$X48,$Y$9,$Y$10,$Y$11),"")</f>
        <v/>
      </c>
    </row>
    <row r="49" spans="16:27" x14ac:dyDescent="0.45">
      <c r="P49" s="3"/>
      <c r="X49" s="18">
        <f t="shared" si="1"/>
        <v>36</v>
      </c>
      <c r="Y49" s="2" t="str">
        <f ca="1">IFERROR([1]!IntrinioHistoricalPrices(ticker,"date",$X49,$Y$9,$Y$10,$Y$11),"")</f>
        <v/>
      </c>
      <c r="Z49" s="2" t="e">
        <f t="shared" ca="1" si="0"/>
        <v>#VALUE!</v>
      </c>
      <c r="AA49" s="4" t="str">
        <f ca="1">IFERROR([1]!IntrinioHistoricalPrices(ticker,"adj_close",$X49,$Y$9,$Y$10,$Y$11),"")</f>
        <v/>
      </c>
    </row>
    <row r="50" spans="16:27" x14ac:dyDescent="0.45">
      <c r="P50" s="3"/>
      <c r="X50" s="18">
        <f t="shared" si="1"/>
        <v>37</v>
      </c>
      <c r="Y50" s="2" t="str">
        <f ca="1">IFERROR([1]!IntrinioHistoricalPrices(ticker,"date",$X50,$Y$9,$Y$10,$Y$11),"")</f>
        <v/>
      </c>
      <c r="Z50" s="2" t="e">
        <f t="shared" ca="1" si="0"/>
        <v>#VALUE!</v>
      </c>
      <c r="AA50" s="4" t="str">
        <f ca="1">IFERROR([1]!IntrinioHistoricalPrices(ticker,"adj_close",$X50,$Y$9,$Y$10,$Y$11),"")</f>
        <v/>
      </c>
    </row>
    <row r="51" spans="16:27" x14ac:dyDescent="0.45">
      <c r="P51" s="3"/>
      <c r="X51" s="18">
        <f t="shared" si="1"/>
        <v>38</v>
      </c>
      <c r="Y51" s="2" t="str">
        <f ca="1">IFERROR([1]!IntrinioHistoricalPrices(ticker,"date",$X51,$Y$9,$Y$10,$Y$11),"")</f>
        <v/>
      </c>
      <c r="Z51" s="2" t="e">
        <f t="shared" ca="1" si="0"/>
        <v>#VALUE!</v>
      </c>
      <c r="AA51" s="4" t="str">
        <f ca="1">IFERROR([1]!IntrinioHistoricalPrices(ticker,"adj_close",$X51,$Y$9,$Y$10,$Y$11),"")</f>
        <v/>
      </c>
    </row>
    <row r="52" spans="16:27" x14ac:dyDescent="0.45">
      <c r="P52" s="3"/>
      <c r="X52" s="18">
        <f t="shared" si="1"/>
        <v>39</v>
      </c>
      <c r="Y52" s="2" t="str">
        <f ca="1">IFERROR([1]!IntrinioHistoricalPrices(ticker,"date",$X52,$Y$9,$Y$10,$Y$11),"")</f>
        <v/>
      </c>
      <c r="Z52" s="2" t="e">
        <f t="shared" ca="1" si="0"/>
        <v>#VALUE!</v>
      </c>
      <c r="AA52" s="4" t="str">
        <f ca="1">IFERROR([1]!IntrinioHistoricalPrices(ticker,"adj_close",$X52,$Y$9,$Y$10,$Y$11),"")</f>
        <v/>
      </c>
    </row>
    <row r="53" spans="16:27" x14ac:dyDescent="0.45">
      <c r="P53" s="3"/>
      <c r="X53" s="18">
        <f t="shared" si="1"/>
        <v>40</v>
      </c>
      <c r="Y53" s="2" t="str">
        <f ca="1">IFERROR([1]!IntrinioHistoricalPrices(ticker,"date",$X53,$Y$9,$Y$10,$Y$11),"")</f>
        <v/>
      </c>
      <c r="Z53" s="2" t="e">
        <f t="shared" ca="1" si="0"/>
        <v>#VALUE!</v>
      </c>
      <c r="AA53" s="4" t="str">
        <f ca="1">IFERROR([1]!IntrinioHistoricalPrices(ticker,"adj_close",$X53,$Y$9,$Y$10,$Y$11),"")</f>
        <v/>
      </c>
    </row>
    <row r="54" spans="16:27" x14ac:dyDescent="0.45">
      <c r="P54" s="3"/>
      <c r="X54" s="18">
        <f t="shared" si="1"/>
        <v>41</v>
      </c>
      <c r="Y54" s="2" t="str">
        <f ca="1">IFERROR([1]!IntrinioHistoricalPrices(ticker,"date",$X54,$Y$9,$Y$10,$Y$11),"")</f>
        <v/>
      </c>
      <c r="Z54" s="2" t="e">
        <f t="shared" ca="1" si="0"/>
        <v>#VALUE!</v>
      </c>
      <c r="AA54" s="4" t="str">
        <f ca="1">IFERROR([1]!IntrinioHistoricalPrices(ticker,"adj_close",$X54,$Y$9,$Y$10,$Y$11),"")</f>
        <v/>
      </c>
    </row>
    <row r="55" spans="16:27" x14ac:dyDescent="0.45">
      <c r="P55" s="3"/>
      <c r="X55" s="18">
        <f t="shared" si="1"/>
        <v>42</v>
      </c>
      <c r="Y55" s="2" t="str">
        <f ca="1">IFERROR([1]!IntrinioHistoricalPrices(ticker,"date",$X55,$Y$9,$Y$10,$Y$11),"")</f>
        <v/>
      </c>
      <c r="Z55" s="2" t="e">
        <f t="shared" ca="1" si="0"/>
        <v>#VALUE!</v>
      </c>
      <c r="AA55" s="4" t="str">
        <f ca="1">IFERROR([1]!IntrinioHistoricalPrices(ticker,"adj_close",$X55,$Y$9,$Y$10,$Y$11),"")</f>
        <v/>
      </c>
    </row>
    <row r="56" spans="16:27" x14ac:dyDescent="0.45">
      <c r="P56" s="3"/>
      <c r="X56" s="18">
        <f t="shared" si="1"/>
        <v>43</v>
      </c>
      <c r="Y56" s="2" t="str">
        <f ca="1">IFERROR([1]!IntrinioHistoricalPrices(ticker,"date",$X56,$Y$9,$Y$10,$Y$11),"")</f>
        <v/>
      </c>
      <c r="Z56" s="2" t="e">
        <f t="shared" ca="1" si="0"/>
        <v>#VALUE!</v>
      </c>
      <c r="AA56" s="4" t="str">
        <f ca="1">IFERROR([1]!IntrinioHistoricalPrices(ticker,"adj_close",$X56,$Y$9,$Y$10,$Y$11),"")</f>
        <v/>
      </c>
    </row>
    <row r="57" spans="16:27" x14ac:dyDescent="0.45">
      <c r="P57" s="3"/>
      <c r="X57" s="18">
        <f t="shared" si="1"/>
        <v>44</v>
      </c>
      <c r="Y57" s="2" t="str">
        <f ca="1">IFERROR([1]!IntrinioHistoricalPrices(ticker,"date",$X57,$Y$9,$Y$10,$Y$11),"")</f>
        <v/>
      </c>
      <c r="Z57" s="2" t="e">
        <f t="shared" ca="1" si="0"/>
        <v>#VALUE!</v>
      </c>
      <c r="AA57" s="4" t="str">
        <f ca="1">IFERROR([1]!IntrinioHistoricalPrices(ticker,"adj_close",$X57,$Y$9,$Y$10,$Y$11),"")</f>
        <v/>
      </c>
    </row>
    <row r="58" spans="16:27" x14ac:dyDescent="0.45">
      <c r="P58" s="3"/>
      <c r="X58" s="18">
        <f t="shared" si="1"/>
        <v>45</v>
      </c>
      <c r="Y58" s="2" t="str">
        <f ca="1">IFERROR([1]!IntrinioHistoricalPrices(ticker,"date",$X58,$Y$9,$Y$10,$Y$11),"")</f>
        <v/>
      </c>
      <c r="Z58" s="2" t="e">
        <f t="shared" ca="1" si="0"/>
        <v>#VALUE!</v>
      </c>
      <c r="AA58" s="4" t="str">
        <f ca="1">IFERROR([1]!IntrinioHistoricalPrices(ticker,"adj_close",$X58,$Y$9,$Y$10,$Y$11),"")</f>
        <v/>
      </c>
    </row>
    <row r="59" spans="16:27" x14ac:dyDescent="0.45">
      <c r="P59" s="3"/>
      <c r="X59" s="18">
        <f t="shared" si="1"/>
        <v>46</v>
      </c>
      <c r="Y59" s="2" t="str">
        <f ca="1">IFERROR([1]!IntrinioHistoricalPrices(ticker,"date",$X59,$Y$9,$Y$10,$Y$11),"")</f>
        <v/>
      </c>
      <c r="Z59" s="2" t="e">
        <f t="shared" ca="1" si="0"/>
        <v>#VALUE!</v>
      </c>
      <c r="AA59" s="4" t="str">
        <f ca="1">IFERROR([1]!IntrinioHistoricalPrices(ticker,"adj_close",$X59,$Y$9,$Y$10,$Y$11),"")</f>
        <v/>
      </c>
    </row>
    <row r="60" spans="16:27" x14ac:dyDescent="0.45">
      <c r="P60" s="3"/>
      <c r="X60" s="18">
        <f t="shared" si="1"/>
        <v>47</v>
      </c>
      <c r="Y60" s="2" t="str">
        <f ca="1">IFERROR([1]!IntrinioHistoricalPrices(ticker,"date",$X60,$Y$9,$Y$10,$Y$11),"")</f>
        <v/>
      </c>
      <c r="Z60" s="2" t="e">
        <f t="shared" ca="1" si="0"/>
        <v>#VALUE!</v>
      </c>
      <c r="AA60" s="4" t="str">
        <f ca="1">IFERROR([1]!IntrinioHistoricalPrices(ticker,"adj_close",$X60,$Y$9,$Y$10,$Y$11),"")</f>
        <v/>
      </c>
    </row>
    <row r="61" spans="16:27" x14ac:dyDescent="0.45">
      <c r="P61" s="3"/>
      <c r="X61" s="18">
        <f t="shared" si="1"/>
        <v>48</v>
      </c>
      <c r="Y61" s="2" t="str">
        <f ca="1">IFERROR([1]!IntrinioHistoricalPrices(ticker,"date",$X61,$Y$9,$Y$10,$Y$11),"")</f>
        <v/>
      </c>
      <c r="Z61" s="2" t="e">
        <f t="shared" ca="1" si="0"/>
        <v>#VALUE!</v>
      </c>
      <c r="AA61" s="4" t="str">
        <f ca="1">IFERROR([1]!IntrinioHistoricalPrices(ticker,"adj_close",$X61,$Y$9,$Y$10,$Y$11),"")</f>
        <v/>
      </c>
    </row>
    <row r="62" spans="16:27" x14ac:dyDescent="0.45">
      <c r="P62" s="3"/>
      <c r="X62" s="18">
        <f t="shared" si="1"/>
        <v>49</v>
      </c>
      <c r="Y62" s="2" t="str">
        <f ca="1">IFERROR([1]!IntrinioHistoricalPrices(ticker,"date",$X62,$Y$9,$Y$10,$Y$11),"")</f>
        <v/>
      </c>
      <c r="Z62" s="2" t="e">
        <f t="shared" ca="1" si="0"/>
        <v>#VALUE!</v>
      </c>
      <c r="AA62" s="4" t="str">
        <f ca="1">IFERROR([1]!IntrinioHistoricalPrices(ticker,"adj_close",$X62,$Y$9,$Y$10,$Y$11),"")</f>
        <v/>
      </c>
    </row>
    <row r="63" spans="16:27" x14ac:dyDescent="0.45">
      <c r="P63" s="3"/>
      <c r="X63" s="18">
        <f t="shared" si="1"/>
        <v>50</v>
      </c>
      <c r="Y63" s="2" t="str">
        <f ca="1">IFERROR([1]!IntrinioHistoricalPrices(ticker,"date",$X63,$Y$9,$Y$10,$Y$11),"")</f>
        <v/>
      </c>
      <c r="Z63" s="2" t="e">
        <f t="shared" ca="1" si="0"/>
        <v>#VALUE!</v>
      </c>
      <c r="AA63" s="4" t="str">
        <f ca="1">IFERROR([1]!IntrinioHistoricalPrices(ticker,"adj_close",$X63,$Y$9,$Y$10,$Y$11),"")</f>
        <v/>
      </c>
    </row>
    <row r="64" spans="16:27" x14ac:dyDescent="0.45">
      <c r="P64" s="3"/>
      <c r="X64" s="18">
        <f t="shared" si="1"/>
        <v>51</v>
      </c>
      <c r="Y64" s="2" t="str">
        <f ca="1">IFERROR([1]!IntrinioHistoricalPrices(ticker,"date",$X64,$Y$9,$Y$10,$Y$11),"")</f>
        <v/>
      </c>
      <c r="Z64" s="2" t="e">
        <f t="shared" ca="1" si="0"/>
        <v>#VALUE!</v>
      </c>
      <c r="AA64" s="4" t="str">
        <f ca="1">IFERROR([1]!IntrinioHistoricalPrices(ticker,"adj_close",$X64,$Y$9,$Y$10,$Y$11),"")</f>
        <v/>
      </c>
    </row>
    <row r="65" spans="16:27" x14ac:dyDescent="0.45">
      <c r="P65" s="3"/>
      <c r="X65" s="18">
        <f t="shared" si="1"/>
        <v>52</v>
      </c>
      <c r="Y65" s="2" t="str">
        <f ca="1">IFERROR([1]!IntrinioHistoricalPrices(ticker,"date",$X65,$Y$9,$Y$10,$Y$11),"")</f>
        <v/>
      </c>
      <c r="Z65" s="2" t="e">
        <f t="shared" ca="1" si="0"/>
        <v>#VALUE!</v>
      </c>
      <c r="AA65" s="4" t="str">
        <f ca="1">IFERROR([1]!IntrinioHistoricalPrices(ticker,"adj_close",$X65,$Y$9,$Y$10,$Y$11),"")</f>
        <v/>
      </c>
    </row>
    <row r="66" spans="16:27" x14ac:dyDescent="0.45">
      <c r="P66" s="3"/>
      <c r="X66" s="18">
        <f t="shared" si="1"/>
        <v>53</v>
      </c>
      <c r="Y66" s="2" t="str">
        <f ca="1">IFERROR([1]!IntrinioHistoricalPrices(ticker,"date",$X66,$Y$9,$Y$10,$Y$11),"")</f>
        <v/>
      </c>
      <c r="Z66" s="2" t="e">
        <f t="shared" ca="1" si="0"/>
        <v>#VALUE!</v>
      </c>
      <c r="AA66" s="4" t="str">
        <f ca="1">IFERROR([1]!IntrinioHistoricalPrices(ticker,"adj_close",$X66,$Y$9,$Y$10,$Y$11),"")</f>
        <v/>
      </c>
    </row>
    <row r="67" spans="16:27" x14ac:dyDescent="0.45">
      <c r="P67" s="3"/>
      <c r="X67" s="18">
        <f t="shared" si="1"/>
        <v>54</v>
      </c>
      <c r="Y67" s="2" t="str">
        <f ca="1">IFERROR([1]!IntrinioHistoricalPrices(ticker,"date",$X67,$Y$9,$Y$10,$Y$11),"")</f>
        <v/>
      </c>
      <c r="Z67" s="2" t="e">
        <f t="shared" ca="1" si="0"/>
        <v>#VALUE!</v>
      </c>
      <c r="AA67" s="4" t="str">
        <f ca="1">IFERROR([1]!IntrinioHistoricalPrices(ticker,"adj_close",$X67,$Y$9,$Y$10,$Y$11),"")</f>
        <v/>
      </c>
    </row>
    <row r="68" spans="16:27" x14ac:dyDescent="0.45">
      <c r="P68" s="3"/>
      <c r="X68" s="18">
        <f t="shared" si="1"/>
        <v>55</v>
      </c>
      <c r="Y68" s="2" t="str">
        <f ca="1">IFERROR([1]!IntrinioHistoricalPrices(ticker,"date",$X68,$Y$9,$Y$10,$Y$11),"")</f>
        <v/>
      </c>
      <c r="Z68" s="2" t="e">
        <f t="shared" ca="1" si="0"/>
        <v>#VALUE!</v>
      </c>
      <c r="AA68" s="4" t="str">
        <f ca="1">IFERROR([1]!IntrinioHistoricalPrices(ticker,"adj_close",$X68,$Y$9,$Y$10,$Y$11),"")</f>
        <v/>
      </c>
    </row>
    <row r="69" spans="16:27" x14ac:dyDescent="0.45">
      <c r="P69" s="3"/>
      <c r="X69" s="18">
        <f t="shared" si="1"/>
        <v>56</v>
      </c>
      <c r="Y69" s="2" t="str">
        <f ca="1">IFERROR([1]!IntrinioHistoricalPrices(ticker,"date",$X69,$Y$9,$Y$10,$Y$11),"")</f>
        <v/>
      </c>
      <c r="Z69" s="2" t="e">
        <f t="shared" ca="1" si="0"/>
        <v>#VALUE!</v>
      </c>
      <c r="AA69" s="4" t="str">
        <f ca="1">IFERROR([1]!IntrinioHistoricalPrices(ticker,"adj_close",$X69,$Y$9,$Y$10,$Y$11),"")</f>
        <v/>
      </c>
    </row>
    <row r="70" spans="16:27" x14ac:dyDescent="0.45">
      <c r="P70" s="3"/>
      <c r="X70" s="18">
        <f t="shared" si="1"/>
        <v>57</v>
      </c>
      <c r="Y70" s="2" t="str">
        <f ca="1">IFERROR([1]!IntrinioHistoricalPrices(ticker,"date",$X70,$Y$9,$Y$10,$Y$11),"")</f>
        <v/>
      </c>
      <c r="Z70" s="2" t="e">
        <f t="shared" ca="1" si="0"/>
        <v>#VALUE!</v>
      </c>
      <c r="AA70" s="4" t="str">
        <f ca="1">IFERROR([1]!IntrinioHistoricalPrices(ticker,"adj_close",$X70,$Y$9,$Y$10,$Y$11),"")</f>
        <v/>
      </c>
    </row>
    <row r="71" spans="16:27" x14ac:dyDescent="0.45">
      <c r="P71" s="3"/>
      <c r="X71" s="18">
        <f t="shared" si="1"/>
        <v>58</v>
      </c>
      <c r="Y71" s="2" t="str">
        <f ca="1">IFERROR([1]!IntrinioHistoricalPrices(ticker,"date",$X71,$Y$9,$Y$10,$Y$11),"")</f>
        <v/>
      </c>
      <c r="Z71" s="2" t="e">
        <f t="shared" ca="1" si="0"/>
        <v>#VALUE!</v>
      </c>
      <c r="AA71" s="4" t="str">
        <f ca="1">IFERROR([1]!IntrinioHistoricalPrices(ticker,"adj_close",$X71,$Y$9,$Y$10,$Y$11),"")</f>
        <v/>
      </c>
    </row>
    <row r="72" spans="16:27" x14ac:dyDescent="0.45">
      <c r="P72" s="3"/>
      <c r="X72" s="18">
        <f t="shared" si="1"/>
        <v>59</v>
      </c>
      <c r="Y72" s="2" t="str">
        <f ca="1">[1]!IntrinioHistoricalPrices(ticker,"date",$X72,$Y$9,$Y$10,$Y$11)</f>
        <v/>
      </c>
      <c r="Z72" s="2" t="e">
        <f t="shared" ca="1" si="0"/>
        <v>#VALUE!</v>
      </c>
      <c r="AA72" s="4" t="str">
        <f ca="1">[1]!IntrinioHistoricalPrices(ticker,"adj_close",$X72,$Y$9,$Y$10,$Y$11)</f>
        <v/>
      </c>
    </row>
    <row r="73" spans="16:27" x14ac:dyDescent="0.45">
      <c r="P73" s="3"/>
    </row>
    <row r="74" spans="16:27" x14ac:dyDescent="0.45">
      <c r="P74" s="3"/>
    </row>
    <row r="75" spans="16:27" x14ac:dyDescent="0.45">
      <c r="P75" s="3"/>
    </row>
    <row r="76" spans="16:27" x14ac:dyDescent="0.45">
      <c r="P76" s="3"/>
    </row>
    <row r="77" spans="16:27" x14ac:dyDescent="0.45">
      <c r="P77" s="3"/>
    </row>
    <row r="78" spans="16:27" x14ac:dyDescent="0.45">
      <c r="P78" s="3"/>
    </row>
    <row r="79" spans="16:27" x14ac:dyDescent="0.45">
      <c r="P79" s="3"/>
    </row>
    <row r="80" spans="16:27" x14ac:dyDescent="0.45">
      <c r="P80" s="3"/>
    </row>
    <row r="81" spans="16:24" x14ac:dyDescent="0.45">
      <c r="P81" s="3"/>
    </row>
    <row r="82" spans="16:24" x14ac:dyDescent="0.45">
      <c r="V82" s="3"/>
      <c r="W82" s="3"/>
      <c r="X82" s="4"/>
    </row>
  </sheetData>
  <sortState ref="X12:AA71">
    <sortCondition descending="1" ref="X12"/>
  </sortState>
  <mergeCells count="2">
    <mergeCell ref="B7:M20"/>
    <mergeCell ref="L5:M5"/>
  </mergeCells>
  <conditionalFormatting sqref="N25:N27">
    <cfRule type="cellIs" dxfId="19" priority="5" operator="greaterThan">
      <formula>0</formula>
    </cfRule>
    <cfRule type="cellIs" dxfId="18" priority="6" operator="lessThan">
      <formula>0</formula>
    </cfRule>
  </conditionalFormatting>
  <pageMargins left="0.7" right="0.7" top="0.75" bottom="0.75" header="0.3" footer="0.3"/>
  <pageSetup scale="88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  <pageSetUpPr fitToPage="1"/>
  </sheetPr>
  <dimension ref="A1:AH98"/>
  <sheetViews>
    <sheetView showGridLines="0" view="pageBreakPreview" zoomScale="80" zoomScaleNormal="100" zoomScaleSheetLayoutView="80" workbookViewId="0"/>
  </sheetViews>
  <sheetFormatPr defaultRowHeight="14.25" x14ac:dyDescent="0.45"/>
  <cols>
    <col min="1" max="1" width="2.3984375" style="18" customWidth="1"/>
    <col min="2" max="2" width="23.59765625" customWidth="1"/>
    <col min="3" max="3" width="24.46484375" customWidth="1"/>
    <col min="4" max="4" width="3.86328125" customWidth="1"/>
    <col min="5" max="5" width="16.59765625" bestFit="1" customWidth="1"/>
    <col min="6" max="6" width="18.3984375" customWidth="1"/>
    <col min="7" max="7" width="12.3984375" style="18" customWidth="1"/>
    <col min="8" max="10" width="12.3984375" customWidth="1"/>
    <col min="11" max="11" width="0.86328125" style="18" customWidth="1"/>
    <col min="12" max="12" width="15.3984375" customWidth="1"/>
    <col min="13" max="13" width="14.3984375" customWidth="1"/>
    <col min="14" max="14" width="12.1328125" customWidth="1"/>
    <col min="15" max="20" width="18.1328125" customWidth="1"/>
    <col min="21" max="26" width="18.1328125" style="18" customWidth="1"/>
  </cols>
  <sheetData>
    <row r="1" spans="1:26" s="18" customFormat="1" ht="18" x14ac:dyDescent="0.55000000000000004">
      <c r="A1" s="200" t="str">
        <f>name</f>
        <v/>
      </c>
    </row>
    <row r="2" spans="1:26" s="18" customFormat="1" ht="15.4" x14ac:dyDescent="0.45">
      <c r="A2" s="23" t="s">
        <v>66</v>
      </c>
      <c r="B2" s="23"/>
      <c r="C2" s="23"/>
    </row>
    <row r="3" spans="1:26" s="18" customFormat="1" x14ac:dyDescent="0.45"/>
    <row r="4" spans="1:26" ht="21.75" customHeight="1" x14ac:dyDescent="0.45">
      <c r="B4" s="88" t="s">
        <v>13</v>
      </c>
      <c r="C4" s="89"/>
      <c r="D4" s="27"/>
      <c r="E4" s="204" t="s">
        <v>23</v>
      </c>
      <c r="F4" s="205"/>
      <c r="G4" s="205"/>
      <c r="H4" s="205"/>
      <c r="I4" s="205"/>
      <c r="J4" s="206"/>
    </row>
    <row r="5" spans="1:26" ht="21.95" customHeight="1" x14ac:dyDescent="0.45">
      <c r="B5" s="77" t="s">
        <v>14</v>
      </c>
      <c r="C5" s="78" t="str">
        <f>last_price</f>
        <v/>
      </c>
      <c r="D5" s="27"/>
      <c r="E5" s="63"/>
      <c r="F5" s="64" t="s">
        <v>55</v>
      </c>
      <c r="G5" s="64" t="s">
        <v>51</v>
      </c>
      <c r="H5" s="64" t="s">
        <v>41</v>
      </c>
      <c r="I5" s="64" t="s">
        <v>49</v>
      </c>
      <c r="J5" s="65" t="s">
        <v>50</v>
      </c>
      <c r="L5" s="1"/>
    </row>
    <row r="6" spans="1:26" ht="21.95" customHeight="1" x14ac:dyDescent="0.45">
      <c r="B6" s="39" t="s">
        <v>15</v>
      </c>
      <c r="C6" s="40" t="str">
        <f>CONCATENATE("$", 'Public Co Profile'!Y7," - ","$",'Public Co Profile'!Y6)</f>
        <v>$ - $</v>
      </c>
      <c r="D6" s="27"/>
      <c r="E6" s="59" t="s">
        <v>58</v>
      </c>
      <c r="F6" s="60"/>
      <c r="G6" s="61" t="e">
        <f ca="1">AVERAGE(O12:O16)</f>
        <v>#DIV/0!</v>
      </c>
      <c r="H6" s="61" t="str">
        <f>[1]!IntrinioDataPoint(ticker,"pricetoearnings")</f>
        <v/>
      </c>
      <c r="I6" s="61" t="str">
        <f>[1]!IntrinioDataPoint(ticker,"pricetocurrentyearearnings")</f>
        <v/>
      </c>
      <c r="J6" s="62" t="str">
        <f>[1]!IntrinioDataPoint(ticker,"pricetonextyearearnings")</f>
        <v/>
      </c>
    </row>
    <row r="7" spans="1:26" ht="21.95" customHeight="1" x14ac:dyDescent="0.45">
      <c r="B7" s="38" t="s">
        <v>52</v>
      </c>
      <c r="C7" s="44" t="str">
        <f>[1]!IntrinioDataPoint(ticker,"average_daily_volume")</f>
        <v/>
      </c>
      <c r="D7" s="28"/>
      <c r="E7" s="49" t="s">
        <v>59</v>
      </c>
      <c r="F7" s="30"/>
      <c r="G7" s="34" t="e">
        <f ca="1">AVERAGE(P12:P16)</f>
        <v>#DIV/0!</v>
      </c>
      <c r="H7" s="34" t="str">
        <f>[1]!IntrinioDataPoint(ticker,"pricetorevenue")</f>
        <v/>
      </c>
      <c r="I7" s="34" t="str">
        <f>[1]!IntrinioDataPoint(ticker,"pricetocurrentyearrevenue")</f>
        <v/>
      </c>
      <c r="J7" s="50" t="str">
        <f>[1]!IntrinioDataPoint(ticker,"pricetonextyearrevenue")</f>
        <v/>
      </c>
      <c r="K7" s="17"/>
      <c r="L7" s="7"/>
      <c r="M7" s="7"/>
      <c r="N7" t="s">
        <v>32</v>
      </c>
      <c r="O7" t="s">
        <v>31</v>
      </c>
      <c r="P7" s="12" t="s">
        <v>37</v>
      </c>
      <c r="Q7" s="12" t="s">
        <v>38</v>
      </c>
      <c r="R7" s="11" t="s">
        <v>35</v>
      </c>
      <c r="S7" s="11" t="s">
        <v>33</v>
      </c>
      <c r="T7" s="11" t="s">
        <v>30</v>
      </c>
      <c r="U7" s="18" t="s">
        <v>29</v>
      </c>
      <c r="V7" s="18" t="s">
        <v>62</v>
      </c>
      <c r="W7" s="18" t="s">
        <v>63</v>
      </c>
      <c r="X7" s="18" t="s">
        <v>64</v>
      </c>
      <c r="Y7" s="18" t="s">
        <v>98</v>
      </c>
      <c r="Z7" s="18" t="s">
        <v>65</v>
      </c>
    </row>
    <row r="8" spans="1:26" ht="21.95" customHeight="1" x14ac:dyDescent="0.45">
      <c r="B8" s="39" t="s">
        <v>34</v>
      </c>
      <c r="C8" s="45" t="e">
        <f>ROUND([1]!IntrinioDataPoint(ticker,"days_to_cover"),1)&amp;" Days"</f>
        <v>#VALUE!</v>
      </c>
      <c r="D8" s="28"/>
      <c r="E8" s="51" t="s">
        <v>60</v>
      </c>
      <c r="F8" s="31"/>
      <c r="G8" s="35" t="e">
        <f>AVERAGE(Q12:Q16)</f>
        <v>#DIV/0!</v>
      </c>
      <c r="H8" s="35" t="str">
        <f>[1]!IntrinioDataPoint(ticker,"pricetobook")</f>
        <v/>
      </c>
      <c r="I8" s="35" t="e">
        <f>H8*(1-[1]!IntrinioDataPoint(ticker,"current_yr_ave_eps_growth_est"))</f>
        <v>#VALUE!</v>
      </c>
      <c r="J8" s="52" t="e">
        <f>I8*(1-[1]!IntrinioDataPoint(ticker,"next_yr_ave_eps_growth_est"))</f>
        <v>#VALUE!</v>
      </c>
      <c r="K8" s="17"/>
      <c r="L8" s="7"/>
      <c r="M8" s="7"/>
      <c r="N8" s="9" t="s">
        <v>1</v>
      </c>
      <c r="O8" s="3" t="str">
        <f ca="1">TEXT(O9-365*5,"YYYY-MM-DD")</f>
        <v>2011-12-13</v>
      </c>
      <c r="P8" s="3" t="str">
        <f ca="1">O8</f>
        <v>2011-12-13</v>
      </c>
      <c r="R8" s="3"/>
      <c r="S8" s="3"/>
      <c r="T8" s="3"/>
      <c r="U8" s="3"/>
      <c r="V8" s="3"/>
      <c r="W8" s="3"/>
      <c r="X8" s="3"/>
      <c r="Y8" s="3"/>
      <c r="Z8" s="3"/>
    </row>
    <row r="9" spans="1:26" ht="21.95" customHeight="1" x14ac:dyDescent="0.45">
      <c r="B9" s="28"/>
      <c r="C9" s="28"/>
      <c r="D9" s="28"/>
      <c r="E9" s="28"/>
      <c r="F9" s="28"/>
      <c r="G9" s="28"/>
      <c r="H9" s="28"/>
      <c r="I9" s="28"/>
      <c r="J9" s="28"/>
      <c r="K9" s="17"/>
      <c r="L9" s="7"/>
      <c r="M9" s="7"/>
      <c r="N9" s="9" t="s">
        <v>2</v>
      </c>
      <c r="O9" s="3" t="str">
        <f ca="1">TEXT(NOW(),"YYYY-MM-DD")</f>
        <v>2016-12-11</v>
      </c>
      <c r="P9" s="3" t="str">
        <f ca="1">O9</f>
        <v>2016-12-11</v>
      </c>
      <c r="R9" s="3"/>
      <c r="S9" s="3"/>
      <c r="T9" s="3"/>
      <c r="U9" s="3"/>
      <c r="V9" s="3"/>
      <c r="W9" s="3"/>
      <c r="X9" s="3"/>
      <c r="Y9" s="3"/>
      <c r="Z9" s="3"/>
    </row>
    <row r="10" spans="1:26" ht="21.75" customHeight="1" x14ac:dyDescent="0.45">
      <c r="B10" s="210" t="s">
        <v>16</v>
      </c>
      <c r="C10" s="211"/>
      <c r="D10" s="28"/>
      <c r="E10" s="207" t="s">
        <v>24</v>
      </c>
      <c r="F10" s="208"/>
      <c r="G10" s="208"/>
      <c r="H10" s="209"/>
      <c r="I10" s="32"/>
      <c r="J10" s="32"/>
      <c r="K10" s="17"/>
      <c r="L10" s="7"/>
      <c r="M10" s="7"/>
      <c r="N10" s="9" t="s">
        <v>3</v>
      </c>
      <c r="O10" s="9" t="s">
        <v>36</v>
      </c>
      <c r="P10" t="str">
        <f>O10</f>
        <v>yearly</v>
      </c>
      <c r="Q10" t="str">
        <f t="shared" ref="Q10:U10" si="0">P10</f>
        <v>yearly</v>
      </c>
      <c r="R10" s="11" t="str">
        <f>Q10</f>
        <v>yearly</v>
      </c>
      <c r="S10" s="11" t="str">
        <f>R10</f>
        <v>yearly</v>
      </c>
      <c r="T10" s="11" t="str">
        <f t="shared" si="0"/>
        <v>yearly</v>
      </c>
      <c r="U10" s="18" t="str">
        <f t="shared" si="0"/>
        <v>yearly</v>
      </c>
      <c r="V10" s="18" t="s">
        <v>36</v>
      </c>
      <c r="W10" s="18" t="str">
        <f>V10</f>
        <v>yearly</v>
      </c>
      <c r="X10" s="18" t="str">
        <f>W10</f>
        <v>yearly</v>
      </c>
      <c r="Y10" s="18" t="str">
        <f>W10</f>
        <v>yearly</v>
      </c>
      <c r="Z10" s="18" t="str">
        <f>X10</f>
        <v>yearly</v>
      </c>
    </row>
    <row r="11" spans="1:26" ht="21.95" customHeight="1" x14ac:dyDescent="0.45">
      <c r="B11" s="77" t="s">
        <v>21</v>
      </c>
      <c r="C11" s="79" t="e">
        <f>[1]!IntrinioDataPoint(ticker,"marketcap")/1000000</f>
        <v>#VALUE!</v>
      </c>
      <c r="D11" s="28"/>
      <c r="E11" s="66"/>
      <c r="F11" s="67" t="s">
        <v>55</v>
      </c>
      <c r="G11" s="67" t="str">
        <f>G5</f>
        <v>5 Yr Ave</v>
      </c>
      <c r="H11" s="68" t="s">
        <v>8</v>
      </c>
      <c r="I11" s="33"/>
      <c r="J11" s="33"/>
      <c r="K11" s="17"/>
      <c r="L11" s="7"/>
      <c r="M11" s="7"/>
      <c r="N11" s="9" t="s">
        <v>5</v>
      </c>
      <c r="O11" s="9"/>
      <c r="R11" s="11"/>
      <c r="S11" s="11"/>
      <c r="T11" s="11"/>
      <c r="V11"/>
      <c r="W11"/>
      <c r="X11"/>
    </row>
    <row r="12" spans="1:26" ht="21.95" customHeight="1" x14ac:dyDescent="0.45">
      <c r="B12" s="39" t="s">
        <v>17</v>
      </c>
      <c r="C12" s="41" t="e">
        <f>[1]!IntrinioDataPoint(ticker,"enterprisevalue")/1000000</f>
        <v>#VALUE!</v>
      </c>
      <c r="D12" s="28"/>
      <c r="E12" s="53" t="s">
        <v>25</v>
      </c>
      <c r="F12" s="36"/>
      <c r="G12" s="37" t="e">
        <f>AVERAGE($R$12:$R$16)</f>
        <v>#DIV/0!</v>
      </c>
      <c r="H12" s="54" t="str">
        <f>R12</f>
        <v/>
      </c>
      <c r="I12" s="29"/>
      <c r="J12" s="47"/>
      <c r="K12" s="17"/>
      <c r="L12" s="7"/>
      <c r="M12" s="7"/>
      <c r="N12" s="9">
        <v>0</v>
      </c>
      <c r="O12" s="14" t="str">
        <f ca="1">IFERROR([1]!IntrinioHistoricalData(ticker,O$7,$N12,O$8,O$9,O$10),"")</f>
        <v/>
      </c>
      <c r="P12" s="13" t="str">
        <f ca="1">IFERROR([1]!IntrinioHistoricalData(ticker,P$7,$N12,P$8,P$9,P$10),"")</f>
        <v/>
      </c>
      <c r="Q12" s="13" t="str">
        <f>IFERROR([1]!IntrinioHistoricalData(ticker,Q$7,$N12,Q$8,Q$9,Q$10),"")</f>
        <v/>
      </c>
      <c r="R12" s="6" t="str">
        <f>IFERROR([1]!IntrinioHistoricalData(ticker,R$7,$N12,R$8,R$9,R$10),"")</f>
        <v/>
      </c>
      <c r="S12" s="6" t="str">
        <f>IFERROR([1]!IntrinioHistoricalData(ticker,S$7,$N12,S$8,S$9,S$10),"")</f>
        <v/>
      </c>
      <c r="T12" s="6" t="str">
        <f>IFERROR([1]!IntrinioHistoricalData(ticker,T$7,$N12,T$8,T$9,T$10),"")</f>
        <v/>
      </c>
      <c r="U12" s="6" t="str">
        <f>IFERROR([1]!IntrinioHistoricalData(ticker,U$7,$N12,U$8,U$9,U$10),"")</f>
        <v/>
      </c>
      <c r="V12" s="6" t="str">
        <f>IFERROR([1]!IntrinioHistoricalData(ticker,V$7,$N12,V$8,V$9,V$10),"")</f>
        <v/>
      </c>
      <c r="W12" s="6" t="str">
        <f>IFERROR([1]!IntrinioHistoricalData(ticker,W$7,$N12,W$8,W$9,W$10),"")</f>
        <v/>
      </c>
      <c r="X12" s="6" t="str">
        <f>IFERROR([1]!IntrinioHistoricalData(ticker,X$7,$N12,X$8,X$9,X$10),"")</f>
        <v/>
      </c>
      <c r="Y12" s="6" t="str">
        <f>IFERROR([1]!IntrinioHistoricalData(ticker,Y$7,$N12,Y$8,Y$9,Y$10),"")</f>
        <v/>
      </c>
      <c r="Z12" s="6" t="str">
        <f>IFERROR([1]!IntrinioHistoricalData(ticker,Z$7,$N12,Z$8,Z$9,Z$10),"")</f>
        <v/>
      </c>
    </row>
    <row r="13" spans="1:26" ht="21.95" customHeight="1" x14ac:dyDescent="0.45">
      <c r="B13" s="38" t="s">
        <v>22</v>
      </c>
      <c r="C13" s="42" t="e">
        <f>[1]!IntrinioDataPoint(ticker,"weightedavebasicsharesos")/1000000</f>
        <v>#VALUE!</v>
      </c>
      <c r="D13" s="28"/>
      <c r="E13" s="53" t="s">
        <v>97</v>
      </c>
      <c r="F13" s="36"/>
      <c r="G13" s="37" t="e">
        <f>AVERAGE($T$12:$T$16)</f>
        <v>#DIV/0!</v>
      </c>
      <c r="H13" s="54" t="str">
        <f>T12</f>
        <v/>
      </c>
      <c r="I13" s="29"/>
      <c r="J13" s="47"/>
      <c r="K13" s="17"/>
      <c r="L13" s="7"/>
      <c r="M13" s="7"/>
      <c r="N13" s="9">
        <f>N12+1</f>
        <v>1</v>
      </c>
      <c r="O13" s="14" t="str">
        <f ca="1">IFERROR([1]!IntrinioHistoricalData(ticker,O$7,$N13,O$8,O$9,O$10),"")</f>
        <v/>
      </c>
      <c r="P13" s="13" t="str">
        <f ca="1">IFERROR([1]!IntrinioHistoricalData(ticker,P$7,$N13,P$8,P$9,P$10),"")</f>
        <v/>
      </c>
      <c r="Q13" s="13" t="str">
        <f>IFERROR([1]!IntrinioHistoricalData(ticker,Q$7,$N13,Q$8,Q$9,Q$10),"")</f>
        <v/>
      </c>
      <c r="R13" s="6" t="str">
        <f>IFERROR([1]!IntrinioHistoricalData(ticker,R$7,$N13,R$8,R$9,R$10),"")</f>
        <v/>
      </c>
      <c r="S13" s="6" t="str">
        <f>IFERROR([1]!IntrinioHistoricalData(ticker,S$7,$N13,S$8,S$9,S$10),"")</f>
        <v/>
      </c>
      <c r="T13" s="6" t="str">
        <f>IFERROR([1]!IntrinioHistoricalData(ticker,T$7,$N13,T$8,T$9,T$10),"")</f>
        <v/>
      </c>
      <c r="U13" s="6" t="str">
        <f>IFERROR([1]!IntrinioHistoricalData(ticker,U$7,$N13,U$8,U$9,U$10),"")</f>
        <v/>
      </c>
      <c r="V13" s="6" t="str">
        <f>IFERROR([1]!IntrinioHistoricalData(ticker,V$7,$N13,V$8,V$9,V$10),"")</f>
        <v/>
      </c>
      <c r="W13" s="6" t="str">
        <f>IFERROR([1]!IntrinioHistoricalData(ticker,W$7,$N13,W$8,W$9,W$10),"")</f>
        <v/>
      </c>
      <c r="X13" s="6" t="str">
        <f>IFERROR([1]!IntrinioHistoricalData(ticker,X$7,$N13,X$8,X$9,X$10),"")</f>
        <v/>
      </c>
      <c r="Y13" s="6" t="str">
        <f>IFERROR([1]!IntrinioHistoricalData(ticker,Y$7,$N13,Y$8,Y$9,Y$10),"")</f>
        <v/>
      </c>
      <c r="Z13" s="6" t="str">
        <f>IFERROR([1]!IntrinioHistoricalData(ticker,Z$7,$N13,Z$8,Z$9,Z$10),"")</f>
        <v/>
      </c>
    </row>
    <row r="14" spans="1:26" ht="21.95" customHeight="1" x14ac:dyDescent="0.45">
      <c r="B14" s="39" t="s">
        <v>18</v>
      </c>
      <c r="C14" s="40" t="str">
        <f>[1]!IntrinioDataPoint(ticker,"forward_dividend_rate")</f>
        <v/>
      </c>
      <c r="D14" s="28"/>
      <c r="E14" s="55" t="s">
        <v>26</v>
      </c>
      <c r="F14" s="56"/>
      <c r="G14" s="57" t="e">
        <f>AVERAGE($U$12:$U$16)</f>
        <v>#DIV/0!</v>
      </c>
      <c r="H14" s="58" t="str">
        <f>U12</f>
        <v/>
      </c>
      <c r="I14" s="29"/>
      <c r="J14" s="47"/>
      <c r="K14" s="46"/>
      <c r="L14" s="46"/>
      <c r="M14" s="7"/>
      <c r="N14" s="9">
        <f>N13+1</f>
        <v>2</v>
      </c>
      <c r="O14" s="14" t="str">
        <f ca="1">IFERROR([1]!IntrinioHistoricalData(ticker,O$7,$N14,O$8,O$9,O$10),"")</f>
        <v/>
      </c>
      <c r="P14" s="13" t="str">
        <f ca="1">IFERROR([1]!IntrinioHistoricalData(ticker,P$7,$N14,P$8,P$9,P$10),"")</f>
        <v/>
      </c>
      <c r="Q14" s="13" t="str">
        <f>IFERROR([1]!IntrinioHistoricalData(ticker,Q$7,$N14,Q$8,Q$9,Q$10),"")</f>
        <v/>
      </c>
      <c r="R14" s="6" t="str">
        <f>IFERROR([1]!IntrinioHistoricalData(ticker,R$7,$N14,R$8,R$9,R$10),"")</f>
        <v/>
      </c>
      <c r="S14" s="6" t="str">
        <f>IFERROR([1]!IntrinioHistoricalData(ticker,S$7,$N14,S$8,S$9,S$10),"")</f>
        <v/>
      </c>
      <c r="T14" s="6" t="str">
        <f>IFERROR([1]!IntrinioHistoricalData(ticker,T$7,$N14,T$8,T$9,T$10),"")</f>
        <v/>
      </c>
      <c r="U14" s="6" t="str">
        <f>IFERROR([1]!IntrinioHistoricalData(ticker,U$7,$N14,U$8,U$9,U$10),"")</f>
        <v/>
      </c>
      <c r="V14" s="6" t="str">
        <f>IFERROR([1]!IntrinioHistoricalData(ticker,V$7,$N14,V$8,V$9,V$10),"")</f>
        <v/>
      </c>
      <c r="W14" s="6" t="str">
        <f>IFERROR([1]!IntrinioHistoricalData(ticker,W$7,$N14,W$8,W$9,W$10),"")</f>
        <v/>
      </c>
      <c r="X14" s="6" t="str">
        <f>IFERROR([1]!IntrinioHistoricalData(ticker,X$7,$N14,X$8,X$9,X$10),"")</f>
        <v/>
      </c>
      <c r="Y14" s="6" t="str">
        <f>IFERROR([1]!IntrinioHistoricalData(ticker,Y$7,$N14,Y$8,Y$9,Y$10),"")</f>
        <v/>
      </c>
      <c r="Z14" s="6" t="str">
        <f>IFERROR([1]!IntrinioHistoricalData(ticker,Z$7,$N14,Z$8,Z$9,Z$10),"")</f>
        <v/>
      </c>
    </row>
    <row r="15" spans="1:26" ht="21.95" customHeight="1" x14ac:dyDescent="0.45">
      <c r="B15" s="38" t="s">
        <v>68</v>
      </c>
      <c r="C15" s="43" t="str">
        <f>[1]!IntrinioDataPoint(ticker,"forward_dividend_yield")</f>
        <v/>
      </c>
      <c r="D15" s="28"/>
      <c r="E15" s="28"/>
      <c r="F15" s="28"/>
      <c r="G15" s="28"/>
      <c r="H15" s="28"/>
      <c r="I15" s="29"/>
      <c r="J15" s="47"/>
      <c r="K15" s="46"/>
      <c r="L15" s="46"/>
      <c r="M15" s="7"/>
      <c r="N15" s="9">
        <f>N14+1</f>
        <v>3</v>
      </c>
      <c r="O15" s="14" t="str">
        <f ca="1">IFERROR([1]!IntrinioHistoricalData(ticker,O$7,$N15,O$8,O$9,O$10),"")</f>
        <v/>
      </c>
      <c r="P15" s="13" t="str">
        <f ca="1">IFERROR([1]!IntrinioHistoricalData(ticker,P$7,$N15,P$8,P$9,P$10),"")</f>
        <v/>
      </c>
      <c r="Q15" s="13" t="str">
        <f>IFERROR([1]!IntrinioHistoricalData(ticker,Q$7,$N15,Q$8,Q$9,Q$10),"")</f>
        <v/>
      </c>
      <c r="R15" s="6" t="str">
        <f>IFERROR([1]!IntrinioHistoricalData(ticker,R$7,$N15,R$8,R$9,R$10),"")</f>
        <v/>
      </c>
      <c r="S15" s="6" t="str">
        <f>IFERROR([1]!IntrinioHistoricalData(ticker,S$7,$N15,S$8,S$9,S$10),"")</f>
        <v/>
      </c>
      <c r="T15" s="6" t="str">
        <f>IFERROR([1]!IntrinioHistoricalData(ticker,T$7,$N15,T$8,T$9,T$10),"")</f>
        <v/>
      </c>
      <c r="U15" s="6" t="str">
        <f>IFERROR([1]!IntrinioHistoricalData(ticker,U$7,$N15,U$8,U$9,U$10),"")</f>
        <v/>
      </c>
      <c r="V15" s="6" t="str">
        <f>IFERROR([1]!IntrinioHistoricalData(ticker,V$7,$N15,V$8,V$9,V$10),"")</f>
        <v/>
      </c>
      <c r="W15" s="6" t="str">
        <f>IFERROR([1]!IntrinioHistoricalData(ticker,W$7,$N15,W$8,W$9,W$10),"")</f>
        <v/>
      </c>
      <c r="X15" s="6" t="str">
        <f>IFERROR([1]!IntrinioHistoricalData(ticker,X$7,$N15,X$8,X$9,X$10),"")</f>
        <v/>
      </c>
      <c r="Y15" s="6" t="str">
        <f>IFERROR([1]!IntrinioHistoricalData(ticker,Y$7,$N15,Y$8,Y$9,Y$10),"")</f>
        <v/>
      </c>
      <c r="Z15" s="6" t="str">
        <f>IFERROR([1]!IntrinioHistoricalData(ticker,Z$7,$N15,Z$8,Z$9,Z$10),"")</f>
        <v/>
      </c>
    </row>
    <row r="16" spans="1:26" ht="21.95" customHeight="1" x14ac:dyDescent="0.45">
      <c r="B16" s="39" t="s">
        <v>94</v>
      </c>
      <c r="C16" s="40" t="str">
        <f>IF([1]!IntrinioDataPoint(ticker,"dividend_ex_date")="","",[1]!IntrinioDataPoint(ticker,"dividend_ex_date"))</f>
        <v/>
      </c>
      <c r="D16" s="28"/>
      <c r="E16" s="207" t="s">
        <v>27</v>
      </c>
      <c r="F16" s="208"/>
      <c r="G16" s="208"/>
      <c r="H16" s="209"/>
      <c r="I16" s="29"/>
      <c r="J16" s="47"/>
      <c r="K16" s="46"/>
      <c r="L16" s="46"/>
      <c r="M16" s="7"/>
      <c r="N16" s="9">
        <f>N15+1</f>
        <v>4</v>
      </c>
      <c r="O16" s="14" t="str">
        <f ca="1">IFERROR([1]!IntrinioHistoricalData(ticker,O$7,$N16,O$8,O$9,O$10),"")</f>
        <v/>
      </c>
      <c r="P16" s="13" t="str">
        <f ca="1">IFERROR([1]!IntrinioHistoricalData(ticker,P$7,$N16,P$8,P$9,P$10),"")</f>
        <v/>
      </c>
      <c r="Q16" s="13" t="str">
        <f>IFERROR([1]!IntrinioHistoricalData(ticker,Q$7,$N16,Q$8,Q$9,Q$10),"")</f>
        <v/>
      </c>
      <c r="R16" s="6" t="str">
        <f>IFERROR([1]!IntrinioHistoricalData(ticker,R$7,$N16,R$8,R$9,R$10),"")</f>
        <v/>
      </c>
      <c r="S16" s="6" t="str">
        <f>IFERROR([1]!IntrinioHistoricalData(ticker,S$7,$N16,S$8,S$9,S$10),"")</f>
        <v/>
      </c>
      <c r="T16" s="6" t="str">
        <f>IFERROR([1]!IntrinioHistoricalData(ticker,T$7,$N16,T$8,T$9,T$10),"")</f>
        <v/>
      </c>
      <c r="U16" s="6" t="str">
        <f>IFERROR([1]!IntrinioHistoricalData(ticker,U$7,$N16,U$8,U$9,U$10),"")</f>
        <v/>
      </c>
      <c r="V16" s="6" t="str">
        <f>IFERROR([1]!IntrinioHistoricalData(ticker,V$7,$N16,V$8,V$9,V$10),"")</f>
        <v/>
      </c>
      <c r="W16" s="6" t="str">
        <f>IFERROR([1]!IntrinioHistoricalData(ticker,W$7,$N16,W$8,W$9,W$10),"")</f>
        <v/>
      </c>
      <c r="X16" s="6" t="str">
        <f>IFERROR([1]!IntrinioHistoricalData(ticker,X$7,$N16,X$8,X$9,X$10),"")</f>
        <v/>
      </c>
      <c r="Y16" s="6" t="str">
        <f>IFERROR([1]!IntrinioHistoricalData(ticker,Y$7,$N16,Y$8,Y$9,Y$10),"")</f>
        <v/>
      </c>
      <c r="Z16" s="6" t="str">
        <f>IFERROR([1]!IntrinioHistoricalData(ticker,Z$7,$N16,Z$8,Z$9,Z$10),"")</f>
        <v/>
      </c>
    </row>
    <row r="17" spans="1:34" ht="21.95" customHeight="1" x14ac:dyDescent="0.45">
      <c r="B17" s="28"/>
      <c r="C17" s="28"/>
      <c r="D17" s="28"/>
      <c r="E17" s="66"/>
      <c r="F17" s="67" t="s">
        <v>55</v>
      </c>
      <c r="G17" s="67" t="s">
        <v>57</v>
      </c>
      <c r="H17" s="68" t="s">
        <v>8</v>
      </c>
      <c r="I17" s="28"/>
      <c r="J17" s="47"/>
      <c r="K17" s="46"/>
      <c r="L17" s="46"/>
      <c r="M17" s="7"/>
      <c r="N17" s="9">
        <f>N16+1</f>
        <v>5</v>
      </c>
      <c r="O17" s="14" t="str">
        <f ca="1">IFERROR([1]!IntrinioHistoricalData(ticker,O$7,$N17,O$8,O$9,O$10),"")</f>
        <v/>
      </c>
      <c r="P17" s="13" t="str">
        <f ca="1">IFERROR([1]!IntrinioHistoricalData(ticker,P$7,$N17,P$8,P$9,P$10),"")</f>
        <v/>
      </c>
      <c r="Q17" s="13" t="str">
        <f>IFERROR([1]!IntrinioHistoricalData(ticker,Q$7,$N17,Q$8,Q$9,Q$10),"")</f>
        <v/>
      </c>
      <c r="R17" s="6" t="str">
        <f>IFERROR([1]!IntrinioHistoricalData(ticker,R$7,$N17,R$8,R$9,R$10),"")</f>
        <v/>
      </c>
      <c r="S17" s="6" t="str">
        <f>IFERROR([1]!IntrinioHistoricalData(ticker,S$7,$N17,S$8,S$9,S$10),"")</f>
        <v/>
      </c>
      <c r="T17" s="6" t="str">
        <f>IFERROR([1]!IntrinioHistoricalData(ticker,T$7,$N17,T$8,T$9,T$10),"")</f>
        <v/>
      </c>
      <c r="U17" s="6" t="str">
        <f>IFERROR([1]!IntrinioHistoricalData(ticker,U$7,$N17,U$8,U$9,U$10),"")</f>
        <v/>
      </c>
      <c r="V17" s="6" t="str">
        <f>IFERROR([1]!IntrinioHistoricalData(ticker,V$7,$N17,V$8,V$9,V$10),"")</f>
        <v/>
      </c>
      <c r="W17" s="6" t="str">
        <f>IFERROR([1]!IntrinioHistoricalData(ticker,W$7,$N17,W$8,W$9,W$10),"")</f>
        <v/>
      </c>
      <c r="X17" s="6" t="str">
        <f>IFERROR([1]!IntrinioHistoricalData(ticker,X$7,$N17,X$8,X$9,X$10),"")</f>
        <v/>
      </c>
      <c r="Y17" s="6" t="str">
        <f>IFERROR([1]!IntrinioHistoricalData(ticker,Y$7,$N17,Y$8,Y$9,Y$10),"")</f>
        <v/>
      </c>
      <c r="Z17" s="6" t="str">
        <f>IFERROR([1]!IntrinioHistoricalData(ticker,Z$7,$N17,Z$8,Z$9,Z$10),"")</f>
        <v/>
      </c>
      <c r="AA17" s="8"/>
      <c r="AB17" s="8"/>
      <c r="AC17" s="8"/>
      <c r="AD17" s="8"/>
      <c r="AE17" s="8"/>
      <c r="AF17" s="8"/>
      <c r="AG17" s="8"/>
      <c r="AH17" s="8"/>
    </row>
    <row r="18" spans="1:34" ht="21.95" customHeight="1" x14ac:dyDescent="0.45">
      <c r="B18" s="210" t="s">
        <v>19</v>
      </c>
      <c r="C18" s="211"/>
      <c r="D18" s="28"/>
      <c r="E18" s="69" t="s">
        <v>56</v>
      </c>
      <c r="F18" s="70"/>
      <c r="G18" s="71" t="e">
        <f>((1*(1+V16)*(1+V15)*(1+V14)*(1+V13)*(1+V12))^(1/5))-1</f>
        <v>#VALUE!</v>
      </c>
      <c r="H18" s="72" t="str">
        <f>V12</f>
        <v/>
      </c>
      <c r="I18" s="32"/>
      <c r="J18" s="32"/>
      <c r="K18" s="46"/>
      <c r="L18" s="46"/>
      <c r="M18" s="7"/>
      <c r="N18" s="9"/>
      <c r="O18" s="14"/>
      <c r="R18" s="6"/>
      <c r="S18" s="6"/>
      <c r="T18" s="6"/>
      <c r="U18" s="6"/>
      <c r="V18" s="6"/>
      <c r="W18" s="6"/>
      <c r="X18" s="6"/>
      <c r="Y18" s="6"/>
      <c r="Z18" s="6"/>
    </row>
    <row r="19" spans="1:34" ht="21.95" customHeight="1" x14ac:dyDescent="0.45">
      <c r="B19" s="77" t="s">
        <v>99</v>
      </c>
      <c r="C19" s="79" t="str">
        <f>[1]!IntrinioDataPoint(ticker,"next_earnings_date")</f>
        <v/>
      </c>
      <c r="D19" s="28"/>
      <c r="E19" s="73" t="s">
        <v>28</v>
      </c>
      <c r="F19" s="74"/>
      <c r="G19" s="75" t="e">
        <f>((1*(1+W16)*(1+W15)*(1+W14)*(1+W13)*(1+W12))^(1/5))-1</f>
        <v>#VALUE!</v>
      </c>
      <c r="H19" s="76" t="str">
        <f>W12</f>
        <v/>
      </c>
      <c r="I19" s="33"/>
      <c r="J19" s="33"/>
      <c r="K19" s="46"/>
      <c r="L19" s="46"/>
      <c r="M19" s="7"/>
      <c r="N19" s="9"/>
      <c r="O19" s="14"/>
      <c r="R19" s="6"/>
      <c r="S19" s="6"/>
      <c r="T19" s="6"/>
      <c r="U19" s="6"/>
      <c r="V19" s="6"/>
      <c r="W19" s="6"/>
      <c r="X19" s="6"/>
      <c r="Y19" s="6"/>
      <c r="Z19" s="6"/>
    </row>
    <row r="20" spans="1:34" ht="21.75" customHeight="1" x14ac:dyDescent="0.45">
      <c r="B20" s="77" t="str">
        <f>"Revenue (M) - "&amp;'Public Co Profile'!$T$8&amp;"A"</f>
        <v>Revenue (M) - A</v>
      </c>
      <c r="C20" s="79" t="e">
        <f>[1]!IntrinioFinancials(ticker,"income_statement",0,"FY","totalrevenue","A")/1000000</f>
        <v>#VALUE!</v>
      </c>
      <c r="D20" s="28"/>
      <c r="E20" s="73" t="s">
        <v>81</v>
      </c>
      <c r="F20" s="74"/>
      <c r="G20" s="75" t="e">
        <f>((1*(1+Y16)*(1+Y15)*(1+Y14)*(1+Y13)*(1+Y12))^(1/5))-1</f>
        <v>#VALUE!</v>
      </c>
      <c r="H20" s="76" t="str">
        <f>Y12</f>
        <v/>
      </c>
      <c r="I20" s="29"/>
      <c r="J20" s="47"/>
      <c r="K20" s="46"/>
      <c r="L20" s="46"/>
      <c r="M20" s="7"/>
      <c r="N20" s="9"/>
      <c r="O20" s="14"/>
      <c r="R20" s="6"/>
      <c r="S20" s="6"/>
      <c r="T20" s="6"/>
      <c r="U20" s="6"/>
      <c r="V20" s="6"/>
      <c r="W20" s="6"/>
      <c r="X20" s="6"/>
      <c r="Y20" s="6"/>
      <c r="Z20" s="6"/>
    </row>
    <row r="21" spans="1:34" ht="21.95" customHeight="1" x14ac:dyDescent="0.45">
      <c r="B21" s="39" t="e">
        <f>"Revenue (M) - "&amp;'Public Co Profile'!$U$8</f>
        <v>#VALUE!</v>
      </c>
      <c r="C21" s="41" t="e">
        <f>[1]!IntrinioDataPoint(ticker,"current_yr_ave_revenue_est")/1000000</f>
        <v>#VALUE!</v>
      </c>
      <c r="D21" s="28"/>
      <c r="E21" s="69" t="s">
        <v>61</v>
      </c>
      <c r="F21" s="70"/>
      <c r="G21" s="71" t="e">
        <f>((1*(1+Z16)*(1+Z15)*(1+Z14)*(1+Z13)*(1+Z12))^(1/5))-1</f>
        <v>#VALUE!</v>
      </c>
      <c r="H21" s="72" t="str">
        <f>Z12</f>
        <v/>
      </c>
      <c r="I21" s="29"/>
      <c r="J21" s="47"/>
      <c r="K21" s="46"/>
      <c r="L21" s="46"/>
      <c r="M21" s="7"/>
      <c r="N21" s="9"/>
      <c r="O21" s="14"/>
      <c r="R21" s="6"/>
      <c r="S21" s="6"/>
      <c r="T21" s="6"/>
      <c r="U21" s="6"/>
      <c r="V21" s="6"/>
      <c r="W21" s="6"/>
      <c r="X21" s="6"/>
      <c r="Y21" s="6"/>
      <c r="Z21" s="6"/>
    </row>
    <row r="22" spans="1:34" ht="21.95" customHeight="1" x14ac:dyDescent="0.45">
      <c r="B22" s="77" t="e">
        <f>"Revenue (M) - "&amp;'Public Co Profile'!$V$8</f>
        <v>#VALUE!</v>
      </c>
      <c r="C22" s="79" t="e">
        <f>[1]!IntrinioDataPoint(ticker,"next_yr_ave_revenue_est")/1000000</f>
        <v>#VALUE!</v>
      </c>
      <c r="D22" s="28"/>
      <c r="E22" s="27"/>
      <c r="F22" s="28"/>
      <c r="G22" s="28"/>
      <c r="H22" s="28"/>
      <c r="I22" s="29"/>
      <c r="J22" s="28"/>
      <c r="K22" s="46"/>
      <c r="L22" s="46"/>
      <c r="M22" s="7"/>
      <c r="N22" s="9"/>
      <c r="O22" s="14"/>
      <c r="R22" s="6"/>
      <c r="S22" s="6"/>
      <c r="T22" s="6"/>
      <c r="U22" s="6"/>
      <c r="V22" s="6"/>
      <c r="W22" s="6"/>
      <c r="X22" s="6"/>
      <c r="Y22" s="6"/>
      <c r="Z22" s="6"/>
    </row>
    <row r="23" spans="1:34" ht="21.95" customHeight="1" x14ac:dyDescent="0.45">
      <c r="B23" s="39" t="str">
        <f>"EPS - "&amp;'Public Co Profile'!$T$8&amp;"A"</f>
        <v>EPS - A</v>
      </c>
      <c r="C23" s="40" t="e">
        <f>'Public Co Profile'!$T$9</f>
        <v>#VALUE!</v>
      </c>
      <c r="D23" s="28"/>
      <c r="E23" s="27"/>
      <c r="F23" s="28"/>
      <c r="G23" s="28"/>
      <c r="H23" s="28"/>
      <c r="I23" s="29"/>
      <c r="J23" s="28"/>
      <c r="K23" s="46"/>
      <c r="L23" s="46"/>
      <c r="M23" s="7"/>
      <c r="N23" s="9"/>
      <c r="O23" s="14"/>
      <c r="P23" s="8"/>
      <c r="Q23" s="8"/>
      <c r="R23" s="6"/>
      <c r="S23" s="6"/>
      <c r="T23" s="6"/>
      <c r="U23" s="6"/>
      <c r="V23" s="6"/>
      <c r="W23" s="6"/>
      <c r="X23" s="6"/>
      <c r="Y23" s="6"/>
      <c r="Z23" s="6"/>
      <c r="AA23" s="8"/>
      <c r="AB23" s="8"/>
      <c r="AC23" s="8"/>
      <c r="AD23" s="8"/>
      <c r="AE23" s="8"/>
      <c r="AF23" s="8"/>
      <c r="AG23" s="8"/>
      <c r="AH23" s="8"/>
    </row>
    <row r="24" spans="1:34" ht="21.95" customHeight="1" x14ac:dyDescent="0.45">
      <c r="B24" s="77" t="e">
        <f>"EPS - "&amp;'Public Co Profile'!$U$8</f>
        <v>#VALUE!</v>
      </c>
      <c r="C24" s="78" t="str">
        <f>'Public Co Profile'!$U$9</f>
        <v/>
      </c>
      <c r="D24" s="28"/>
      <c r="G24" s="3"/>
      <c r="H24" s="3"/>
      <c r="I24" s="28"/>
      <c r="J24" s="28"/>
      <c r="K24" s="48"/>
      <c r="L24" s="46"/>
      <c r="M24" s="7"/>
      <c r="N24" s="9"/>
      <c r="O24" s="14"/>
      <c r="R24" s="6"/>
      <c r="S24" s="6"/>
      <c r="T24" s="6"/>
      <c r="U24" s="6"/>
      <c r="V24" s="6"/>
      <c r="W24" s="6"/>
      <c r="X24" s="6"/>
      <c r="Y24" s="6"/>
      <c r="Z24" s="6"/>
    </row>
    <row r="25" spans="1:34" ht="21.95" customHeight="1" x14ac:dyDescent="0.45">
      <c r="B25" s="39" t="e">
        <f>"EPS - "&amp;'Public Co Profile'!$V$8</f>
        <v>#VALUE!</v>
      </c>
      <c r="C25" s="40" t="str">
        <f>'Public Co Profile'!$V$9</f>
        <v/>
      </c>
      <c r="D25" s="27"/>
      <c r="G25" s="3"/>
      <c r="H25" s="3"/>
      <c r="I25" s="28"/>
      <c r="J25" s="28"/>
      <c r="K25" s="16"/>
      <c r="L25" s="7"/>
      <c r="M25" s="7"/>
      <c r="N25" s="9"/>
      <c r="O25" s="14"/>
      <c r="R25" s="6"/>
      <c r="S25" s="6"/>
      <c r="T25" s="6"/>
      <c r="U25" s="6"/>
      <c r="V25" s="6"/>
      <c r="W25" s="6"/>
      <c r="X25" s="6"/>
      <c r="Y25" s="6"/>
      <c r="Z25" s="6"/>
    </row>
    <row r="26" spans="1:34" s="8" customFormat="1" ht="21.95" customHeight="1" x14ac:dyDescent="0.45">
      <c r="A26" s="18"/>
      <c r="B26" s="77" t="s">
        <v>40</v>
      </c>
      <c r="C26" s="87" t="str">
        <f>[1]!IntrinioDataPoint(ticker,"long_term_growth_rate")</f>
        <v/>
      </c>
      <c r="D26" s="27"/>
      <c r="E26"/>
      <c r="F26"/>
      <c r="G26" s="3"/>
      <c r="H26" s="3"/>
      <c r="I26"/>
      <c r="J26"/>
      <c r="K26" s="17"/>
      <c r="L26" s="7"/>
      <c r="M26" s="7"/>
      <c r="N26" s="9"/>
      <c r="O26" s="14"/>
      <c r="P26"/>
      <c r="Q26"/>
      <c r="R26" s="6"/>
      <c r="S26" s="6"/>
      <c r="T26" s="6"/>
      <c r="U26" s="6"/>
      <c r="V26" s="6"/>
      <c r="W26" s="6"/>
      <c r="X26" s="6"/>
      <c r="Y26" s="6"/>
      <c r="Z26" s="6"/>
      <c r="AA26"/>
      <c r="AB26"/>
      <c r="AC26"/>
      <c r="AD26"/>
      <c r="AE26"/>
      <c r="AF26"/>
      <c r="AG26"/>
      <c r="AH26"/>
    </row>
    <row r="27" spans="1:34" ht="21.95" customHeight="1" x14ac:dyDescent="0.45">
      <c r="B27" s="39" t="s">
        <v>20</v>
      </c>
      <c r="C27" s="40" t="str">
        <f>[1]!IntrinioDataPoint(ticker,"analyst_target_price")</f>
        <v/>
      </c>
      <c r="D27" s="27"/>
      <c r="G27" s="3"/>
      <c r="H27" s="3"/>
      <c r="N27" s="9"/>
      <c r="O27" s="14"/>
      <c r="R27" s="6"/>
      <c r="S27" s="6"/>
      <c r="T27" s="6"/>
      <c r="U27" s="6"/>
      <c r="V27" s="6"/>
      <c r="W27" s="6"/>
      <c r="X27" s="6"/>
      <c r="Y27" s="6"/>
      <c r="Z27" s="6"/>
    </row>
    <row r="28" spans="1:34" ht="23.85" customHeight="1" x14ac:dyDescent="0.45">
      <c r="B28" s="28"/>
      <c r="C28" s="28"/>
      <c r="D28" s="27"/>
      <c r="G28" s="3"/>
      <c r="H28" s="3"/>
      <c r="N28" s="9"/>
      <c r="O28" s="14"/>
      <c r="R28" s="6"/>
      <c r="S28" s="6"/>
      <c r="T28" s="6"/>
      <c r="U28" s="6"/>
      <c r="V28" s="6"/>
      <c r="W28" s="6"/>
      <c r="X28" s="6"/>
      <c r="Y28" s="6"/>
      <c r="Z28" s="6"/>
    </row>
    <row r="29" spans="1:34" ht="15.75" customHeight="1" x14ac:dyDescent="0.45">
      <c r="B29" s="27"/>
      <c r="C29" s="27"/>
      <c r="E29" s="8"/>
      <c r="F29" s="8"/>
      <c r="G29" s="3"/>
      <c r="H29" s="3"/>
      <c r="K29" s="20"/>
      <c r="N29" s="9"/>
      <c r="O29" s="14"/>
      <c r="R29" s="6"/>
      <c r="S29" s="6"/>
      <c r="T29" s="6"/>
      <c r="U29" s="6"/>
      <c r="V29" s="6"/>
      <c r="W29" s="6"/>
      <c r="X29" s="6"/>
      <c r="Y29" s="6"/>
      <c r="Z29" s="6"/>
    </row>
    <row r="30" spans="1:34" ht="15.4" x14ac:dyDescent="0.45">
      <c r="B30" s="27"/>
      <c r="C30" s="27"/>
      <c r="G30" s="3"/>
      <c r="H30" s="3"/>
      <c r="K30" s="20"/>
      <c r="N30" s="9"/>
      <c r="O30" s="14"/>
      <c r="R30" s="6"/>
      <c r="S30" s="6"/>
      <c r="T30" s="6"/>
      <c r="U30" s="6"/>
      <c r="V30" s="6"/>
      <c r="W30" s="6"/>
      <c r="X30" s="6"/>
      <c r="Y30" s="6"/>
      <c r="Z30" s="6"/>
    </row>
    <row r="31" spans="1:34" ht="15.4" x14ac:dyDescent="0.45">
      <c r="B31" s="27"/>
      <c r="C31" s="27"/>
      <c r="G31" s="3"/>
      <c r="H31" s="3"/>
      <c r="I31" s="8"/>
      <c r="J31" s="8"/>
      <c r="K31" s="20"/>
      <c r="N31" s="9"/>
      <c r="O31" s="14"/>
      <c r="R31" s="6"/>
      <c r="S31" s="6"/>
      <c r="T31" s="6"/>
      <c r="U31" s="6"/>
      <c r="V31" s="6"/>
      <c r="W31" s="6"/>
      <c r="X31" s="6"/>
      <c r="Y31" s="6"/>
      <c r="Z31" s="6"/>
    </row>
    <row r="32" spans="1:34" s="8" customFormat="1" x14ac:dyDescent="0.45">
      <c r="A32" s="18"/>
      <c r="B32"/>
      <c r="C32"/>
      <c r="E32"/>
      <c r="F32"/>
      <c r="G32" s="3"/>
      <c r="H32" s="3"/>
      <c r="I32"/>
      <c r="J32"/>
      <c r="K32" s="20"/>
      <c r="N32" s="9"/>
      <c r="O32" s="14"/>
      <c r="P32"/>
      <c r="Q32"/>
      <c r="R32" s="6"/>
      <c r="S32" s="6"/>
      <c r="T32" s="6"/>
      <c r="U32" s="6"/>
      <c r="V32" s="6"/>
      <c r="W32" s="6"/>
      <c r="X32" s="6"/>
      <c r="Y32" s="6"/>
      <c r="Z32" s="6"/>
      <c r="AA32"/>
      <c r="AB32"/>
      <c r="AC32"/>
      <c r="AD32"/>
      <c r="AE32"/>
      <c r="AF32"/>
      <c r="AG32"/>
      <c r="AH32"/>
    </row>
    <row r="33" spans="2:26" x14ac:dyDescent="0.45">
      <c r="G33" s="3"/>
      <c r="H33" s="3"/>
      <c r="K33" s="20"/>
      <c r="N33" s="9"/>
      <c r="O33" s="4"/>
      <c r="R33" s="6"/>
      <c r="S33" s="6"/>
      <c r="T33" s="6"/>
      <c r="U33" s="6"/>
      <c r="V33" s="6"/>
      <c r="W33" s="6"/>
      <c r="X33" s="6"/>
      <c r="Y33" s="6"/>
      <c r="Z33" s="6"/>
    </row>
    <row r="34" spans="2:26" x14ac:dyDescent="0.45">
      <c r="G34" s="3"/>
      <c r="H34" s="3"/>
      <c r="N34" s="9"/>
      <c r="O34" s="4"/>
      <c r="R34" s="6"/>
      <c r="S34" s="6"/>
      <c r="T34" s="6"/>
      <c r="U34" s="6"/>
      <c r="V34" s="6"/>
      <c r="W34" s="6"/>
      <c r="X34" s="6"/>
      <c r="Y34" s="6"/>
      <c r="Z34" s="6"/>
    </row>
    <row r="35" spans="2:26" x14ac:dyDescent="0.45">
      <c r="G35" s="3"/>
      <c r="H35" s="3"/>
      <c r="K35" s="19"/>
      <c r="N35" s="9"/>
      <c r="O35" s="4"/>
      <c r="R35" s="6"/>
      <c r="S35" s="6"/>
      <c r="T35" s="6"/>
      <c r="U35" s="6"/>
      <c r="V35" s="6"/>
      <c r="W35" s="6"/>
      <c r="X35" s="6"/>
      <c r="Y35" s="6"/>
      <c r="Z35" s="6"/>
    </row>
    <row r="36" spans="2:26" x14ac:dyDescent="0.45">
      <c r="B36" s="8"/>
      <c r="C36" s="8"/>
      <c r="G36" s="3"/>
      <c r="H36" s="3"/>
      <c r="N36" s="9"/>
      <c r="O36" s="4"/>
      <c r="R36" s="6"/>
      <c r="S36" s="6"/>
      <c r="T36" s="6"/>
      <c r="U36" s="6"/>
      <c r="V36" s="6"/>
      <c r="W36" s="6"/>
      <c r="X36" s="6"/>
      <c r="Y36" s="6"/>
      <c r="Z36" s="6"/>
    </row>
    <row r="37" spans="2:26" x14ac:dyDescent="0.45">
      <c r="G37" s="3"/>
      <c r="H37" s="3"/>
      <c r="N37" s="9"/>
      <c r="O37" s="4"/>
      <c r="R37" s="6"/>
      <c r="S37" s="6"/>
      <c r="T37" s="6"/>
      <c r="U37" s="6"/>
      <c r="V37" s="6"/>
      <c r="W37" s="6"/>
      <c r="X37" s="6"/>
      <c r="Y37" s="6"/>
      <c r="Z37" s="6"/>
    </row>
    <row r="38" spans="2:26" x14ac:dyDescent="0.45">
      <c r="G38" s="3"/>
      <c r="H38" s="3"/>
      <c r="N38" s="9"/>
      <c r="O38" s="4"/>
      <c r="R38" s="6"/>
      <c r="S38" s="6"/>
      <c r="T38" s="6"/>
      <c r="U38" s="6"/>
      <c r="V38" s="6"/>
      <c r="W38" s="6"/>
      <c r="X38" s="6"/>
      <c r="Y38" s="6"/>
      <c r="Z38" s="6"/>
    </row>
    <row r="39" spans="2:26" x14ac:dyDescent="0.45">
      <c r="G39" s="3"/>
      <c r="H39" s="3"/>
      <c r="N39" s="9"/>
      <c r="O39" s="4"/>
      <c r="R39" s="6"/>
      <c r="S39" s="6"/>
      <c r="T39" s="6"/>
      <c r="U39" s="6"/>
      <c r="V39" s="6"/>
      <c r="W39" s="6"/>
      <c r="X39" s="6"/>
      <c r="Y39" s="6"/>
      <c r="Z39" s="6"/>
    </row>
    <row r="40" spans="2:26" x14ac:dyDescent="0.45">
      <c r="G40" s="3"/>
      <c r="H40" s="3"/>
      <c r="N40" s="9"/>
      <c r="O40" s="4"/>
      <c r="R40" s="6"/>
      <c r="S40" s="6"/>
      <c r="T40" s="6"/>
      <c r="U40" s="6"/>
      <c r="V40" s="6"/>
      <c r="W40" s="6"/>
      <c r="X40" s="6"/>
      <c r="Y40" s="6"/>
      <c r="Z40" s="6"/>
    </row>
    <row r="41" spans="2:26" x14ac:dyDescent="0.45">
      <c r="N41" s="9"/>
      <c r="O41" s="4"/>
      <c r="R41" s="6"/>
      <c r="S41" s="6"/>
      <c r="T41" s="6"/>
      <c r="U41" s="6"/>
      <c r="V41" s="6"/>
      <c r="W41" s="6"/>
      <c r="X41" s="6"/>
      <c r="Y41" s="6"/>
      <c r="Z41" s="6"/>
    </row>
    <row r="42" spans="2:26" x14ac:dyDescent="0.45">
      <c r="N42" s="9"/>
      <c r="O42" s="4"/>
      <c r="R42" s="6"/>
      <c r="S42" s="6"/>
      <c r="T42" s="6"/>
      <c r="U42" s="6"/>
      <c r="V42" s="6"/>
      <c r="W42" s="6"/>
      <c r="X42" s="6"/>
      <c r="Y42" s="6"/>
      <c r="Z42" s="6"/>
    </row>
    <row r="43" spans="2:26" x14ac:dyDescent="0.45">
      <c r="N43" s="9"/>
      <c r="O43" s="4"/>
      <c r="R43" s="6"/>
      <c r="S43" s="6"/>
      <c r="T43" s="6"/>
      <c r="U43" s="6"/>
      <c r="V43" s="6"/>
      <c r="W43" s="6"/>
      <c r="X43" s="6"/>
      <c r="Y43" s="6"/>
      <c r="Z43" s="6"/>
    </row>
    <row r="44" spans="2:26" x14ac:dyDescent="0.45">
      <c r="N44" s="9"/>
      <c r="O44" s="4"/>
      <c r="R44" s="6"/>
      <c r="S44" s="6"/>
      <c r="T44" s="6"/>
      <c r="U44" s="6"/>
      <c r="V44" s="6"/>
      <c r="W44" s="6"/>
      <c r="X44" s="6"/>
      <c r="Y44" s="6"/>
      <c r="Z44" s="6"/>
    </row>
    <row r="45" spans="2:26" x14ac:dyDescent="0.45">
      <c r="N45" s="9"/>
      <c r="O45" s="4"/>
      <c r="R45" s="6"/>
      <c r="S45" s="6"/>
      <c r="T45" s="6"/>
      <c r="U45" s="6"/>
      <c r="V45" s="6"/>
      <c r="W45" s="6"/>
      <c r="X45" s="6"/>
      <c r="Y45" s="6"/>
      <c r="Z45" s="6"/>
    </row>
    <row r="46" spans="2:26" x14ac:dyDescent="0.45">
      <c r="N46" s="9"/>
      <c r="O46" s="4"/>
      <c r="R46" s="6"/>
      <c r="S46" s="6"/>
      <c r="T46" s="6"/>
      <c r="U46" s="6"/>
      <c r="V46" s="6"/>
      <c r="W46" s="6"/>
      <c r="X46" s="6"/>
      <c r="Y46" s="6"/>
      <c r="Z46" s="6"/>
    </row>
    <row r="47" spans="2:26" x14ac:dyDescent="0.45">
      <c r="N47" s="9"/>
      <c r="O47" s="4"/>
      <c r="R47" s="6"/>
      <c r="S47" s="6"/>
      <c r="T47" s="6"/>
      <c r="U47" s="6"/>
      <c r="V47" s="6"/>
      <c r="W47" s="6"/>
      <c r="X47" s="6"/>
      <c r="Y47" s="6"/>
      <c r="Z47" s="6"/>
    </row>
    <row r="48" spans="2:26" x14ac:dyDescent="0.45">
      <c r="N48" s="9"/>
      <c r="O48" s="4"/>
      <c r="R48" s="6"/>
      <c r="S48" s="6"/>
      <c r="T48" s="6"/>
      <c r="U48" s="6"/>
      <c r="V48" s="6"/>
      <c r="W48" s="6"/>
      <c r="X48" s="6"/>
      <c r="Y48" s="6"/>
      <c r="Z48" s="6"/>
    </row>
    <row r="49" spans="14:26" x14ac:dyDescent="0.45">
      <c r="N49" s="9"/>
      <c r="O49" s="4"/>
      <c r="R49" s="6"/>
      <c r="S49" s="6"/>
      <c r="T49" s="6"/>
      <c r="U49" s="6"/>
      <c r="V49" s="6"/>
      <c r="W49" s="6"/>
      <c r="X49" s="6"/>
      <c r="Y49" s="6"/>
      <c r="Z49" s="6"/>
    </row>
    <row r="50" spans="14:26" x14ac:dyDescent="0.45">
      <c r="N50" s="9"/>
      <c r="O50" s="4"/>
      <c r="R50" s="6"/>
      <c r="S50" s="6"/>
      <c r="T50" s="6"/>
      <c r="U50" s="6"/>
      <c r="V50" s="6"/>
      <c r="W50" s="6"/>
      <c r="X50" s="6"/>
      <c r="Y50" s="6"/>
      <c r="Z50" s="6"/>
    </row>
    <row r="51" spans="14:26" x14ac:dyDescent="0.45">
      <c r="N51" s="9"/>
      <c r="O51" s="4"/>
      <c r="R51" s="10"/>
      <c r="V51" s="6"/>
      <c r="W51" s="6"/>
      <c r="X51" s="6"/>
      <c r="Y51" s="6"/>
      <c r="Z51" s="6"/>
    </row>
    <row r="52" spans="14:26" x14ac:dyDescent="0.45">
      <c r="N52" s="9"/>
      <c r="O52" s="4"/>
      <c r="R52" s="10"/>
      <c r="V52" s="6"/>
      <c r="W52" s="6"/>
      <c r="X52" s="6"/>
      <c r="Y52" s="6"/>
      <c r="Z52" s="6"/>
    </row>
    <row r="53" spans="14:26" x14ac:dyDescent="0.45">
      <c r="N53" s="9"/>
      <c r="O53" s="4"/>
      <c r="R53" s="10"/>
      <c r="V53" s="6"/>
      <c r="W53" s="6"/>
      <c r="X53" s="6"/>
      <c r="Y53" s="6"/>
      <c r="Z53" s="6"/>
    </row>
    <row r="54" spans="14:26" x14ac:dyDescent="0.45">
      <c r="N54" s="9"/>
      <c r="O54" s="4"/>
      <c r="R54" s="10"/>
      <c r="V54" s="6"/>
      <c r="W54" s="6"/>
      <c r="X54" s="6"/>
      <c r="Y54" s="6"/>
      <c r="Z54" s="6"/>
    </row>
    <row r="55" spans="14:26" x14ac:dyDescent="0.45">
      <c r="N55" s="9"/>
      <c r="O55" s="4"/>
      <c r="R55" s="10"/>
      <c r="V55" s="6"/>
      <c r="W55" s="6"/>
      <c r="X55" s="6"/>
      <c r="Y55" s="6"/>
      <c r="Z55" s="6"/>
    </row>
    <row r="56" spans="14:26" x14ac:dyDescent="0.45">
      <c r="N56" s="9"/>
      <c r="O56" s="4"/>
      <c r="R56" s="10"/>
      <c r="V56" s="6"/>
      <c r="W56" s="6"/>
      <c r="X56" s="6"/>
      <c r="Y56" s="6"/>
      <c r="Z56" s="6"/>
    </row>
    <row r="57" spans="14:26" x14ac:dyDescent="0.45">
      <c r="N57" s="9"/>
      <c r="O57" s="4"/>
      <c r="R57" s="10"/>
      <c r="V57" s="6"/>
      <c r="W57" s="6"/>
      <c r="X57" s="6"/>
      <c r="Y57" s="6"/>
      <c r="Z57" s="6"/>
    </row>
    <row r="58" spans="14:26" x14ac:dyDescent="0.45">
      <c r="N58" s="9"/>
      <c r="O58" s="4"/>
      <c r="R58" s="10"/>
      <c r="V58" s="6"/>
      <c r="W58" s="6"/>
      <c r="X58" s="6"/>
      <c r="Y58" s="6"/>
      <c r="Z58" s="6"/>
    </row>
    <row r="59" spans="14:26" x14ac:dyDescent="0.45">
      <c r="N59" s="9"/>
      <c r="O59" s="4"/>
      <c r="R59" s="10"/>
      <c r="V59" s="6"/>
      <c r="W59" s="6"/>
      <c r="X59" s="6"/>
      <c r="Y59" s="6"/>
      <c r="Z59" s="6"/>
    </row>
    <row r="60" spans="14:26" x14ac:dyDescent="0.45">
      <c r="N60" s="9"/>
      <c r="O60" s="4"/>
      <c r="R60" s="10"/>
      <c r="V60" s="6"/>
      <c r="W60" s="6"/>
      <c r="X60" s="6"/>
      <c r="Y60" s="6"/>
      <c r="Z60" s="6"/>
    </row>
    <row r="61" spans="14:26" x14ac:dyDescent="0.45">
      <c r="N61" s="9"/>
      <c r="O61" s="4"/>
      <c r="R61" s="10"/>
      <c r="V61" s="6"/>
      <c r="W61" s="6"/>
      <c r="X61" s="6"/>
      <c r="Y61" s="6"/>
      <c r="Z61" s="6"/>
    </row>
    <row r="62" spans="14:26" x14ac:dyDescent="0.45">
      <c r="N62" s="9"/>
      <c r="O62" s="4"/>
      <c r="R62" s="10"/>
      <c r="V62" s="6"/>
      <c r="W62" s="6"/>
      <c r="X62" s="6"/>
      <c r="Y62" s="6"/>
      <c r="Z62" s="6"/>
    </row>
    <row r="63" spans="14:26" x14ac:dyDescent="0.45">
      <c r="N63" s="9"/>
      <c r="O63" s="4"/>
      <c r="R63" s="10"/>
      <c r="V63" s="6"/>
      <c r="W63" s="6"/>
      <c r="X63" s="6"/>
      <c r="Y63" s="6"/>
      <c r="Z63" s="6"/>
    </row>
    <row r="64" spans="14:26" x14ac:dyDescent="0.45">
      <c r="N64" s="9"/>
      <c r="O64" s="4"/>
      <c r="R64" s="10"/>
      <c r="V64" s="6"/>
      <c r="W64" s="6"/>
      <c r="X64" s="6"/>
      <c r="Y64" s="6"/>
      <c r="Z64" s="6"/>
    </row>
    <row r="65" spans="14:26" x14ac:dyDescent="0.45">
      <c r="N65" s="9"/>
      <c r="O65" s="4"/>
      <c r="R65" s="10"/>
      <c r="V65" s="6"/>
      <c r="W65" s="6"/>
      <c r="X65" s="6"/>
      <c r="Y65" s="6"/>
      <c r="Z65" s="6"/>
    </row>
    <row r="66" spans="14:26" x14ac:dyDescent="0.45">
      <c r="N66" s="9"/>
      <c r="O66" s="4"/>
      <c r="R66" s="10"/>
      <c r="V66" s="6"/>
      <c r="W66" s="6"/>
      <c r="X66" s="6"/>
      <c r="Y66" s="6"/>
      <c r="Z66" s="6"/>
    </row>
    <row r="67" spans="14:26" x14ac:dyDescent="0.45">
      <c r="N67" s="9"/>
      <c r="O67" s="4"/>
      <c r="R67" s="10"/>
      <c r="V67" s="6"/>
      <c r="W67" s="6"/>
      <c r="X67" s="6"/>
      <c r="Y67" s="6"/>
      <c r="Z67" s="6"/>
    </row>
    <row r="68" spans="14:26" x14ac:dyDescent="0.45">
      <c r="N68" s="9"/>
      <c r="O68" s="4"/>
      <c r="R68" s="10"/>
      <c r="V68" s="6"/>
      <c r="W68" s="6"/>
      <c r="X68" s="6"/>
      <c r="Y68" s="6"/>
      <c r="Z68" s="6"/>
    </row>
    <row r="69" spans="14:26" x14ac:dyDescent="0.45">
      <c r="N69" s="9"/>
      <c r="O69" s="4"/>
      <c r="R69" s="10"/>
      <c r="V69" s="6"/>
      <c r="W69" s="6"/>
      <c r="X69" s="6"/>
      <c r="Y69" s="6"/>
      <c r="Z69" s="6"/>
    </row>
    <row r="70" spans="14:26" x14ac:dyDescent="0.45">
      <c r="N70" s="9"/>
      <c r="O70" s="4"/>
      <c r="R70" s="10"/>
      <c r="V70" s="6"/>
      <c r="W70" s="6"/>
      <c r="X70" s="6"/>
      <c r="Y70" s="6"/>
      <c r="Z70" s="6"/>
    </row>
    <row r="71" spans="14:26" x14ac:dyDescent="0.45">
      <c r="N71" s="9"/>
      <c r="O71" s="4"/>
      <c r="R71" s="10"/>
      <c r="V71" s="6"/>
      <c r="W71" s="6"/>
      <c r="X71" s="6"/>
      <c r="Y71" s="6"/>
      <c r="Z71" s="6"/>
    </row>
    <row r="72" spans="14:26" x14ac:dyDescent="0.45">
      <c r="N72" s="9"/>
      <c r="O72" s="4"/>
      <c r="R72" s="10"/>
      <c r="V72" s="6"/>
      <c r="W72" s="6"/>
      <c r="X72" s="6"/>
      <c r="Y72" s="6"/>
      <c r="Z72" s="6"/>
    </row>
    <row r="73" spans="14:26" x14ac:dyDescent="0.45">
      <c r="N73" s="3"/>
      <c r="O73" s="5"/>
    </row>
    <row r="74" spans="14:26" x14ac:dyDescent="0.45">
      <c r="N74" s="15"/>
      <c r="T74" s="3"/>
      <c r="U74" s="3"/>
      <c r="V74" s="3"/>
      <c r="W74" s="3"/>
      <c r="X74" s="3"/>
      <c r="Y74" s="3"/>
      <c r="Z74" s="3"/>
    </row>
    <row r="75" spans="14:26" x14ac:dyDescent="0.45">
      <c r="N75" s="15"/>
      <c r="T75" s="3"/>
      <c r="U75" s="3"/>
      <c r="V75" s="3"/>
      <c r="W75" s="3"/>
      <c r="X75" s="3"/>
      <c r="Y75" s="3"/>
      <c r="Z75" s="3"/>
    </row>
    <row r="76" spans="14:26" x14ac:dyDescent="0.45">
      <c r="N76" s="3"/>
      <c r="T76" s="3"/>
      <c r="U76" s="3"/>
      <c r="V76" s="3"/>
      <c r="W76" s="3"/>
      <c r="X76" s="3"/>
      <c r="Y76" s="3"/>
      <c r="Z76" s="3"/>
    </row>
    <row r="77" spans="14:26" x14ac:dyDescent="0.45">
      <c r="N77" s="3"/>
      <c r="T77" s="3"/>
      <c r="U77" s="3"/>
      <c r="V77" s="3"/>
      <c r="W77" s="3"/>
      <c r="X77" s="3"/>
      <c r="Y77" s="3"/>
      <c r="Z77" s="3"/>
    </row>
    <row r="78" spans="14:26" x14ac:dyDescent="0.45"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4:26" x14ac:dyDescent="0.45"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</row>
    <row r="80" spans="14:26" x14ac:dyDescent="0.45"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</row>
    <row r="81" spans="14:26" x14ac:dyDescent="0.45">
      <c r="N81" s="3"/>
      <c r="T81" s="3"/>
      <c r="U81" s="3"/>
      <c r="V81" s="3"/>
      <c r="W81" s="3"/>
      <c r="X81" s="3"/>
      <c r="Y81" s="3"/>
      <c r="Z81" s="3"/>
    </row>
    <row r="82" spans="14:26" x14ac:dyDescent="0.45">
      <c r="N82" s="3"/>
      <c r="T82" s="3"/>
      <c r="U82" s="3"/>
      <c r="V82" s="3"/>
      <c r="W82" s="3"/>
      <c r="X82" s="3"/>
      <c r="Y82" s="3"/>
      <c r="Z82" s="3"/>
    </row>
    <row r="83" spans="14:26" x14ac:dyDescent="0.45">
      <c r="N83" s="3"/>
      <c r="T83" s="3"/>
      <c r="U83" s="3"/>
      <c r="V83" s="3"/>
      <c r="W83" s="3"/>
      <c r="X83" s="3"/>
      <c r="Y83" s="3"/>
      <c r="Z83" s="3"/>
    </row>
    <row r="84" spans="14:26" x14ac:dyDescent="0.45">
      <c r="N84" s="3"/>
      <c r="T84" s="3"/>
      <c r="U84" s="3"/>
      <c r="V84" s="3"/>
      <c r="W84" s="3"/>
      <c r="X84" s="3"/>
      <c r="Y84" s="3"/>
      <c r="Z84" s="3"/>
    </row>
    <row r="85" spans="14:26" x14ac:dyDescent="0.45">
      <c r="N85" s="3"/>
      <c r="T85" s="3"/>
      <c r="U85" s="3"/>
      <c r="V85" s="3"/>
      <c r="W85" s="3"/>
      <c r="X85" s="3"/>
      <c r="Y85" s="3"/>
      <c r="Z85" s="3"/>
    </row>
    <row r="86" spans="14:26" x14ac:dyDescent="0.45">
      <c r="N86" s="3"/>
      <c r="T86" s="3"/>
      <c r="U86" s="3"/>
      <c r="V86" s="3"/>
      <c r="W86" s="3"/>
      <c r="X86" s="3"/>
      <c r="Y86" s="3"/>
      <c r="Z86" s="3"/>
    </row>
    <row r="87" spans="14:26" x14ac:dyDescent="0.45">
      <c r="N87" s="3"/>
      <c r="T87" s="3"/>
      <c r="U87" s="3"/>
      <c r="V87" s="3"/>
      <c r="W87" s="3"/>
      <c r="X87" s="3"/>
      <c r="Y87" s="3"/>
      <c r="Z87" s="3"/>
    </row>
    <row r="88" spans="14:26" x14ac:dyDescent="0.45">
      <c r="N88" s="3"/>
      <c r="T88" s="3"/>
      <c r="U88" s="3"/>
      <c r="V88" s="3"/>
      <c r="W88" s="3"/>
      <c r="X88" s="3"/>
      <c r="Y88" s="3"/>
      <c r="Z88" s="3"/>
    </row>
    <row r="89" spans="14:26" x14ac:dyDescent="0.45">
      <c r="N89" s="3"/>
      <c r="T89" s="3"/>
      <c r="U89" s="3"/>
      <c r="V89" s="3"/>
      <c r="W89" s="3"/>
      <c r="X89" s="3"/>
      <c r="Y89" s="3"/>
      <c r="Z89" s="3"/>
    </row>
    <row r="90" spans="14:26" x14ac:dyDescent="0.45">
      <c r="N90" s="3"/>
      <c r="T90" s="3"/>
      <c r="U90" s="3"/>
      <c r="V90" s="3"/>
      <c r="W90" s="3"/>
      <c r="X90" s="3"/>
      <c r="Y90" s="3"/>
      <c r="Z90" s="3"/>
    </row>
    <row r="91" spans="14:26" x14ac:dyDescent="0.45">
      <c r="N91" s="3"/>
      <c r="T91" s="3"/>
      <c r="U91" s="3"/>
      <c r="V91" s="3"/>
      <c r="W91" s="3"/>
      <c r="X91" s="3"/>
      <c r="Y91" s="3"/>
      <c r="Z91" s="3"/>
    </row>
    <row r="92" spans="14:26" x14ac:dyDescent="0.45">
      <c r="N92" s="3"/>
      <c r="T92" s="3"/>
      <c r="U92" s="3"/>
      <c r="V92" s="3"/>
      <c r="W92" s="3"/>
      <c r="X92" s="3"/>
      <c r="Y92" s="3"/>
      <c r="Z92" s="3"/>
    </row>
    <row r="93" spans="14:26" x14ac:dyDescent="0.45">
      <c r="N93" s="3"/>
      <c r="T93" s="3"/>
      <c r="U93" s="3"/>
      <c r="V93" s="3"/>
      <c r="W93" s="3"/>
      <c r="X93" s="3"/>
      <c r="Y93" s="3"/>
      <c r="Z93" s="3"/>
    </row>
    <row r="94" spans="14:26" x14ac:dyDescent="0.45">
      <c r="N94" s="3"/>
      <c r="T94" s="3"/>
      <c r="U94" s="3"/>
      <c r="V94" s="3"/>
      <c r="W94" s="3"/>
      <c r="X94" s="3"/>
      <c r="Y94" s="3"/>
      <c r="Z94" s="3"/>
    </row>
    <row r="95" spans="14:26" x14ac:dyDescent="0.45">
      <c r="N95" s="3"/>
      <c r="T95" s="3"/>
      <c r="U95" s="3"/>
      <c r="V95" s="3"/>
      <c r="W95" s="3"/>
      <c r="X95" s="3"/>
      <c r="Y95" s="3"/>
      <c r="Z95" s="3"/>
    </row>
    <row r="96" spans="14:26" x14ac:dyDescent="0.45">
      <c r="N96" s="3"/>
      <c r="T96" s="3"/>
      <c r="U96" s="3"/>
      <c r="V96" s="3"/>
      <c r="W96" s="3"/>
      <c r="X96" s="3"/>
      <c r="Y96" s="3"/>
      <c r="Z96" s="3"/>
    </row>
    <row r="97" spans="14:26" x14ac:dyDescent="0.45">
      <c r="N97" s="3"/>
      <c r="T97" s="3"/>
      <c r="U97" s="3"/>
      <c r="V97" s="3"/>
      <c r="W97" s="3"/>
      <c r="X97" s="3"/>
      <c r="Y97" s="3"/>
      <c r="Z97" s="3"/>
    </row>
    <row r="98" spans="14:26" x14ac:dyDescent="0.45">
      <c r="N98" s="3"/>
      <c r="T98" s="3"/>
      <c r="U98" s="3"/>
      <c r="V98" s="3"/>
      <c r="W98" s="3"/>
      <c r="X98" s="3"/>
      <c r="Y98" s="3"/>
      <c r="Z98" s="3"/>
    </row>
  </sheetData>
  <mergeCells count="5">
    <mergeCell ref="E4:J4"/>
    <mergeCell ref="E10:H10"/>
    <mergeCell ref="E16:H16"/>
    <mergeCell ref="B18:C18"/>
    <mergeCell ref="B10:C10"/>
  </mergeCells>
  <conditionalFormatting sqref="K29:K31">
    <cfRule type="cellIs" dxfId="17" priority="1" operator="greaterThan">
      <formula>0</formula>
    </cfRule>
    <cfRule type="cellIs" dxfId="16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 ()          &amp;RReport Date: 11/26/2016</oddHeader>
    <oddFooter>&amp;L&amp;G&amp;R&amp;P</oddFooter>
  </headerFooter>
  <legacyDrawingHF r:id="rId2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Items'!U12:U17</xm:f>
              <xm:sqref>F14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Items'!Z12:Z17</xm:f>
              <xm:sqref>F21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Items'!W12:W17</xm:f>
              <xm:sqref>F19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Items'!V12:V17</xm:f>
              <xm:sqref>F18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Items'!O12:O17</xm:f>
              <xm:sqref>F6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Items'!R12:R17</xm:f>
              <xm:sqref>F12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Items'!T12:T17</xm:f>
              <xm:sqref>F13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Items'!P12:P17</xm:f>
              <xm:sqref>F7</xm:sqref>
            </x14:sparkline>
          </x14:sparklines>
        </x14:sparklineGroup>
        <x14:sparklineGroup manualMax="0" manualMin="0" displayEmptyCellsAs="gap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Items'!Q12:Q17</xm:f>
              <xm:sqref>F8</xm:sqref>
            </x14:sparkline>
          </x14:sparklines>
        </x14:sparklineGroup>
        <x14:sparklineGroup manualMax="0" manualMin="0" displayEmptyCellsAs="gap" displayXAxis="1" rightToLeft="1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'Key Items'!Y12:Y17</xm:f>
              <xm:sqref>F20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  <pageSetUpPr fitToPage="1"/>
  </sheetPr>
  <dimension ref="A1:O41"/>
  <sheetViews>
    <sheetView showGridLines="0" view="pageBreakPreview" zoomScale="80" zoomScaleNormal="100" zoomScaleSheetLayoutView="80" workbookViewId="0">
      <selection activeCell="F1" sqref="F1"/>
    </sheetView>
  </sheetViews>
  <sheetFormatPr defaultColWidth="9.1328125" defaultRowHeight="14.25" x14ac:dyDescent="0.45"/>
  <cols>
    <col min="1" max="1" width="2.3984375" style="18" customWidth="1"/>
    <col min="2" max="2" width="24.3984375" style="18" customWidth="1"/>
    <col min="3" max="12" width="11.1328125" style="18" customWidth="1"/>
    <col min="13" max="13" width="0.86328125" style="18" customWidth="1"/>
    <col min="14" max="14" width="15.3984375" style="18" customWidth="1"/>
    <col min="15" max="15" width="14.3984375" style="18" customWidth="1"/>
    <col min="16" max="16384" width="9.1328125" style="18"/>
  </cols>
  <sheetData>
    <row r="1" spans="1:15" ht="18" x14ac:dyDescent="0.55000000000000004">
      <c r="A1" s="200" t="str">
        <f>name</f>
        <v/>
      </c>
    </row>
    <row r="2" spans="1:15" ht="15.4" x14ac:dyDescent="0.45">
      <c r="A2" s="23" t="s">
        <v>69</v>
      </c>
    </row>
    <row r="4" spans="1:15" ht="21.75" customHeight="1" x14ac:dyDescent="0.45">
      <c r="B4" s="90"/>
      <c r="C4" s="212" t="s">
        <v>71</v>
      </c>
      <c r="D4" s="213"/>
      <c r="E4" s="213"/>
      <c r="F4" s="215"/>
      <c r="G4" s="212" t="s">
        <v>72</v>
      </c>
      <c r="H4" s="213"/>
      <c r="I4" s="213"/>
      <c r="J4" s="213"/>
      <c r="K4" s="213"/>
      <c r="L4" s="214"/>
    </row>
    <row r="5" spans="1:15" ht="21.95" customHeight="1" x14ac:dyDescent="0.45">
      <c r="B5" s="91" t="s">
        <v>78</v>
      </c>
      <c r="C5" s="92" t="str">
        <f>"FY "&amp;[1]!IntrinioFundamentals(ticker,"income_statement","FY",1,"fiscal_year")&amp;"A"</f>
        <v>FY A</v>
      </c>
      <c r="D5" s="93" t="str">
        <f>"FY "&amp;[1]!IntrinioFundamentals(ticker,"income_statement","FY",0,"fiscal_year")&amp;"A"</f>
        <v>FY A</v>
      </c>
      <c r="E5" s="105" t="e">
        <f>"FY "&amp;[1]!IntrinioFundamentals(ticker,"income_statement","FY",0,"fiscal_year")+1&amp;"E"</f>
        <v>#VALUE!</v>
      </c>
      <c r="F5" s="106" t="e">
        <f>"FY "&amp;[1]!IntrinioFundamentals(ticker,"income_statement","FY",0,"fiscal_year")+2&amp;"E"</f>
        <v>#VALUE!</v>
      </c>
      <c r="G5" s="92" t="str">
        <f>[1]!IntrinioFundamentals(ticker,"income_statement","QTR",3,"fiscal_period")&amp;" "&amp;[1]!IntrinioFundamentals(ticker,"income_statement","QTR",3,"fiscal_year")&amp;"A"</f>
        <v xml:space="preserve"> A</v>
      </c>
      <c r="H5" s="93" t="str">
        <f>[1]!IntrinioFundamentals(ticker,"income_statement","QTR",2,"fiscal_period")&amp;" "&amp;[1]!IntrinioFundamentals(ticker,"income_statement","QTR",2,"fiscal_year")&amp;"A"</f>
        <v xml:space="preserve"> A</v>
      </c>
      <c r="I5" s="93" t="str">
        <f>[1]!IntrinioFundamentals(ticker,"income_statement","QTR",1,"fiscal_period")&amp;" "&amp;[1]!IntrinioFundamentals(ticker,"income_statement","QTR",1,"fiscal_year")&amp;"A"</f>
        <v xml:space="preserve"> A</v>
      </c>
      <c r="J5" s="93" t="str">
        <f>[1]!IntrinioFundamentals(ticker,"income_statement","QTR",0,"fiscal_period")&amp;" "&amp;[1]!IntrinioFundamentals(ticker,"income_statement","QTR",0,"fiscal_year")&amp;"A"</f>
        <v xml:space="preserve"> A</v>
      </c>
      <c r="K5" s="105" t="e">
        <f>[1]!IntrinioFundamentals(ticker,"income_statement","QTR",3,"fiscal_period")&amp;" "&amp;[1]!IntrinioFundamentals(ticker,"income_statement","QTR",3,"fiscal_year")+1&amp;"E"</f>
        <v>#VALUE!</v>
      </c>
      <c r="L5" s="111" t="e">
        <f>[1]!IntrinioFundamentals(ticker,"income_statement","QTR",2,"fiscal_period")&amp;" "&amp;[1]!IntrinioFundamentals(ticker,"income_statement","QTR",2,"fiscal_year")+1&amp;"E"</f>
        <v>#VALUE!</v>
      </c>
      <c r="N5" s="1"/>
    </row>
    <row r="6" spans="1:15" ht="21.95" customHeight="1" x14ac:dyDescent="0.45">
      <c r="B6" s="94" t="s">
        <v>76</v>
      </c>
      <c r="C6" s="95"/>
      <c r="D6" s="96"/>
      <c r="E6" s="107" t="e">
        <f>[1]!IntrinioDataPoint(ticker,"current_yr_high_revenue_est")/1000000</f>
        <v>#VALUE!</v>
      </c>
      <c r="F6" s="108" t="e">
        <f>[1]!IntrinioDataPoint(ticker,"next_yr_high_revenue_est")/1000000</f>
        <v>#VALUE!</v>
      </c>
      <c r="G6" s="95"/>
      <c r="H6" s="96"/>
      <c r="I6" s="96"/>
      <c r="J6" s="96"/>
      <c r="K6" s="107" t="e">
        <f>[1]!IntrinioDataPoint(ticker,"current_qtr_high_revenue_est")/1000000</f>
        <v>#VALUE!</v>
      </c>
      <c r="L6" s="108" t="e">
        <f>[1]!IntrinioDataPoint(ticker,"next_qtr_high_revenue_est")/1000000</f>
        <v>#VALUE!</v>
      </c>
    </row>
    <row r="7" spans="1:15" ht="21.95" customHeight="1" x14ac:dyDescent="0.45">
      <c r="B7" s="98" t="s">
        <v>75</v>
      </c>
      <c r="C7" s="99"/>
      <c r="D7" s="100"/>
      <c r="E7" s="109" t="e">
        <f>E6/D8-1</f>
        <v>#VALUE!</v>
      </c>
      <c r="F7" s="110" t="e">
        <f>F6/E6-1</f>
        <v>#VALUE!</v>
      </c>
      <c r="G7" s="101"/>
      <c r="H7" s="102"/>
      <c r="I7" s="102"/>
      <c r="J7" s="102"/>
      <c r="K7" s="109" t="e">
        <f>K6/G8-1</f>
        <v>#VALUE!</v>
      </c>
      <c r="L7" s="110" t="e">
        <f>L6/H8-1</f>
        <v>#VALUE!</v>
      </c>
      <c r="M7" s="17"/>
      <c r="N7" s="17"/>
      <c r="O7" s="17"/>
    </row>
    <row r="8" spans="1:15" ht="21.95" customHeight="1" x14ac:dyDescent="0.45">
      <c r="B8" s="94" t="s">
        <v>92</v>
      </c>
      <c r="C8" s="103" t="e">
        <f>[1]!IntrinioFinancials(ticker,"income_statement",1,"FY","totalrevenue","A")/1000000</f>
        <v>#VALUE!</v>
      </c>
      <c r="D8" s="97" t="e">
        <f>[1]!IntrinioFinancials(ticker,"income_statement",0,"FY","totalrevenue","A")/1000000</f>
        <v>#VALUE!</v>
      </c>
      <c r="E8" s="107" t="e">
        <f>[1]!IntrinioDataPoint(ticker,"current_yr_ave_revenue_est")/1000000</f>
        <v>#VALUE!</v>
      </c>
      <c r="F8" s="108" t="e">
        <f>[1]!IntrinioDataPoint(ticker,"next_yr_ave_revenue_est")/1000000</f>
        <v>#VALUE!</v>
      </c>
      <c r="G8" s="103" t="e">
        <f>[1]!IntrinioFinancials(ticker,"income_statement",3,"QTR","totalrevenue","A")/1000000</f>
        <v>#VALUE!</v>
      </c>
      <c r="H8" s="97" t="e">
        <f>[1]!IntrinioFinancials(ticker,"income_statement",2,"QTR","totalrevenue","A")/1000000</f>
        <v>#VALUE!</v>
      </c>
      <c r="I8" s="97" t="e">
        <f>[1]!IntrinioFinancials(ticker,"income_statement",1,"QTR","totalrevenue","A")/1000000</f>
        <v>#VALUE!</v>
      </c>
      <c r="J8" s="97" t="e">
        <f>[1]!IntrinioFinancials(ticker,"income_statement",0,"QTR","totalrevenue","A")/1000000</f>
        <v>#VALUE!</v>
      </c>
      <c r="K8" s="107" t="e">
        <f>[1]!IntrinioDataPoint(ticker,"current_qtr_ave_revenue_est")/1000000</f>
        <v>#VALUE!</v>
      </c>
      <c r="L8" s="108" t="e">
        <f>[1]!IntrinioDataPoint(ticker,"next_qtr_ave_revenue_est")/1000000</f>
        <v>#VALUE!</v>
      </c>
      <c r="M8" s="17"/>
      <c r="N8" s="17"/>
      <c r="O8" s="17"/>
    </row>
    <row r="9" spans="1:15" ht="21.95" customHeight="1" x14ac:dyDescent="0.45">
      <c r="B9" s="98" t="s">
        <v>75</v>
      </c>
      <c r="C9" s="99" t="str">
        <f>[1]!IntrinioFinancials(ticker,"calculations",1,"FY","revenuegrowth")</f>
        <v/>
      </c>
      <c r="D9" s="100" t="str">
        <f>[1]!IntrinioFinancials(ticker,"calculations",0,"FY","revenuegrowth")</f>
        <v/>
      </c>
      <c r="E9" s="109" t="e">
        <f>E8/D8-1</f>
        <v>#VALUE!</v>
      </c>
      <c r="F9" s="110" t="e">
        <f>F8/E8-1</f>
        <v>#VALUE!</v>
      </c>
      <c r="G9" s="99" t="str">
        <f>[1]!IntrinioFinancials(ticker,"calculations",3,"QTR","revenuegrowth")</f>
        <v/>
      </c>
      <c r="H9" s="100" t="str">
        <f>[1]!IntrinioFinancials(ticker,"calculations",2,"QTR","revenuegrowth")</f>
        <v/>
      </c>
      <c r="I9" s="100" t="str">
        <f>[1]!IntrinioFinancials(ticker,"calculations",1,"QTR","revenuegrowth")</f>
        <v/>
      </c>
      <c r="J9" s="100" t="str">
        <f>[1]!IntrinioFinancials(ticker,"calculations",0,"QTR","revenuegrowth")</f>
        <v/>
      </c>
      <c r="K9" s="109" t="e">
        <f>K8/G8-1</f>
        <v>#VALUE!</v>
      </c>
      <c r="L9" s="110" t="e">
        <f>L8/H8-1</f>
        <v>#VALUE!</v>
      </c>
      <c r="M9" s="17"/>
      <c r="N9" s="17"/>
      <c r="O9" s="17"/>
    </row>
    <row r="10" spans="1:15" ht="21.75" customHeight="1" x14ac:dyDescent="0.45">
      <c r="B10" s="94" t="s">
        <v>77</v>
      </c>
      <c r="C10" s="95"/>
      <c r="D10" s="96"/>
      <c r="E10" s="107" t="e">
        <f>[1]!IntrinioDataPoint(ticker,"current_yr_low_revenue_est")/1000000</f>
        <v>#VALUE!</v>
      </c>
      <c r="F10" s="108" t="e">
        <f>[1]!IntrinioDataPoint(ticker,"next_yr_low_revenue_est")/1000000</f>
        <v>#VALUE!</v>
      </c>
      <c r="G10" s="95"/>
      <c r="H10" s="96"/>
      <c r="I10" s="96"/>
      <c r="J10" s="96"/>
      <c r="K10" s="107" t="e">
        <f>[1]!IntrinioDataPoint(ticker,"current_qtr_low_revenue_est")/1000000</f>
        <v>#VALUE!</v>
      </c>
      <c r="L10" s="108" t="e">
        <f>[1]!IntrinioDataPoint(ticker,"next_qtr_low_revenue_est")/1000000</f>
        <v>#VALUE!</v>
      </c>
      <c r="M10" s="17"/>
      <c r="N10" s="17"/>
      <c r="O10" s="17"/>
    </row>
    <row r="11" spans="1:15" ht="21.95" customHeight="1" x14ac:dyDescent="0.45">
      <c r="B11" s="98" t="s">
        <v>75</v>
      </c>
      <c r="C11" s="99"/>
      <c r="D11" s="100"/>
      <c r="E11" s="109" t="e">
        <f>E10/D8-1</f>
        <v>#VALUE!</v>
      </c>
      <c r="F11" s="110" t="e">
        <f>F10/E10-1</f>
        <v>#VALUE!</v>
      </c>
      <c r="G11" s="101"/>
      <c r="H11" s="102"/>
      <c r="I11" s="102"/>
      <c r="J11" s="102"/>
      <c r="K11" s="109" t="e">
        <f>K10/G8-1</f>
        <v>#VALUE!</v>
      </c>
      <c r="L11" s="110" t="e">
        <f>L10/H8-1</f>
        <v>#VALUE!</v>
      </c>
      <c r="M11" s="17"/>
      <c r="N11" s="17"/>
      <c r="O11" s="17"/>
    </row>
    <row r="12" spans="1:15" ht="21.95" customHeight="1" x14ac:dyDescent="0.45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7"/>
      <c r="N12" s="17"/>
      <c r="O12" s="17"/>
    </row>
    <row r="13" spans="1:15" ht="21.95" customHeight="1" x14ac:dyDescent="0.45">
      <c r="B13" s="90"/>
      <c r="C13" s="212" t="s">
        <v>71</v>
      </c>
      <c r="D13" s="213"/>
      <c r="E13" s="213"/>
      <c r="F13" s="215"/>
      <c r="G13" s="212" t="s">
        <v>72</v>
      </c>
      <c r="H13" s="213"/>
      <c r="I13" s="213"/>
      <c r="J13" s="213"/>
      <c r="K13" s="213"/>
      <c r="L13" s="214"/>
      <c r="M13" s="17"/>
      <c r="N13" s="17"/>
      <c r="O13" s="17"/>
    </row>
    <row r="14" spans="1:15" ht="21.95" customHeight="1" x14ac:dyDescent="0.45">
      <c r="B14" s="91" t="s">
        <v>70</v>
      </c>
      <c r="C14" s="92" t="str">
        <f>"FY "&amp;[1]!IntrinioFundamentals(ticker,"income_statement","FY",1,"fiscal_year")&amp;"A"</f>
        <v>FY A</v>
      </c>
      <c r="D14" s="93" t="str">
        <f>"FY "&amp;[1]!IntrinioFundamentals(ticker,"income_statement","FY",0,"fiscal_year")&amp;"A"</f>
        <v>FY A</v>
      </c>
      <c r="E14" s="105" t="e">
        <f>"FY "&amp;[1]!IntrinioFundamentals(ticker,"income_statement","FY",0,"fiscal_year")+1&amp;"E"</f>
        <v>#VALUE!</v>
      </c>
      <c r="F14" s="106" t="e">
        <f>"FY "&amp;[1]!IntrinioFundamentals(ticker,"income_statement","FY",0,"fiscal_year")+2&amp;"E"</f>
        <v>#VALUE!</v>
      </c>
      <c r="G14" s="92" t="str">
        <f>[1]!IntrinioFundamentals(ticker,"income_statement","QTR",3,"fiscal_period")&amp;" "&amp;[1]!IntrinioFundamentals(ticker,"income_statement","QTR",3,"fiscal_year")&amp;"A"</f>
        <v xml:space="preserve"> A</v>
      </c>
      <c r="H14" s="93" t="str">
        <f>[1]!IntrinioFundamentals(ticker,"income_statement","QTR",2,"fiscal_period")&amp;" "&amp;[1]!IntrinioFundamentals(ticker,"income_statement","QTR",2,"fiscal_year")&amp;"A"</f>
        <v xml:space="preserve"> A</v>
      </c>
      <c r="I14" s="93" t="str">
        <f>[1]!IntrinioFundamentals(ticker,"income_statement","QTR",1,"fiscal_period")&amp;" "&amp;[1]!IntrinioFundamentals(ticker,"income_statement","QTR",1,"fiscal_year")&amp;"A"</f>
        <v xml:space="preserve"> A</v>
      </c>
      <c r="J14" s="93" t="str">
        <f>[1]!IntrinioFundamentals(ticker,"income_statement","QTR",0,"fiscal_period")&amp;" "&amp;[1]!IntrinioFundamentals(ticker,"income_statement","QTR",0,"fiscal_year")&amp;"A"</f>
        <v xml:space="preserve"> A</v>
      </c>
      <c r="K14" s="105" t="e">
        <f>[1]!IntrinioFundamentals(ticker,"income_statement","QTR",3,"fiscal_period")&amp;" "&amp;[1]!IntrinioFundamentals(ticker,"income_statement","QTR",3,"fiscal_year")+1&amp;"E"</f>
        <v>#VALUE!</v>
      </c>
      <c r="L14" s="111" t="e">
        <f>[1]!IntrinioFundamentals(ticker,"income_statement","QTR",2,"fiscal_period")&amp;" "&amp;[1]!IntrinioFundamentals(ticker,"income_statement","QTR",2,"fiscal_year")+1&amp;"E"</f>
        <v>#VALUE!</v>
      </c>
      <c r="M14" s="46"/>
      <c r="N14" s="46"/>
      <c r="O14" s="17"/>
    </row>
    <row r="15" spans="1:15" ht="21.95" customHeight="1" x14ac:dyDescent="0.45">
      <c r="B15" s="94" t="s">
        <v>73</v>
      </c>
      <c r="C15" s="95"/>
      <c r="D15" s="96"/>
      <c r="E15" s="112" t="str">
        <f>[1]!IntrinioDataPoint(ticker,"current_yr_high_eps_est")</f>
        <v/>
      </c>
      <c r="F15" s="113" t="str">
        <f>[1]!IntrinioDataPoint(ticker,"next_yr_high_eps_est")</f>
        <v/>
      </c>
      <c r="G15" s="95"/>
      <c r="H15" s="96"/>
      <c r="I15" s="96"/>
      <c r="J15" s="96"/>
      <c r="K15" s="112" t="str">
        <f>[1]!IntrinioDataPoint(ticker,"current_qtr_high_eps_est")</f>
        <v/>
      </c>
      <c r="L15" s="114" t="str">
        <f>[1]!IntrinioDataPoint(ticker,"next_qtr_high_eps_est")</f>
        <v/>
      </c>
      <c r="M15" s="46"/>
      <c r="N15" s="46"/>
      <c r="O15" s="17"/>
    </row>
    <row r="16" spans="1:15" ht="21.95" customHeight="1" x14ac:dyDescent="0.45">
      <c r="B16" s="98" t="s">
        <v>75</v>
      </c>
      <c r="C16" s="99"/>
      <c r="D16" s="100"/>
      <c r="E16" s="109" t="e">
        <f>E15/D17-1</f>
        <v>#VALUE!</v>
      </c>
      <c r="F16" s="110" t="e">
        <f>F15/E15-1</f>
        <v>#VALUE!</v>
      </c>
      <c r="G16" s="101"/>
      <c r="H16" s="102"/>
      <c r="I16" s="102"/>
      <c r="J16" s="102"/>
      <c r="K16" s="109" t="e">
        <f>K15/G17-1</f>
        <v>#VALUE!</v>
      </c>
      <c r="L16" s="110" t="e">
        <f>L15/H17-1</f>
        <v>#VALUE!</v>
      </c>
      <c r="M16" s="46"/>
      <c r="N16" s="46"/>
      <c r="O16" s="17"/>
    </row>
    <row r="17" spans="2:15" ht="21.95" customHeight="1" x14ac:dyDescent="0.45">
      <c r="B17" s="94" t="s">
        <v>93</v>
      </c>
      <c r="C17" s="95" t="str">
        <f>[1]!IntrinioFinancials(ticker,"income_statement",1,"FY","dilutedeps")</f>
        <v/>
      </c>
      <c r="D17" s="96" t="str">
        <f>[1]!IntrinioFinancials(ticker,"income_statement",0,"FY","dilutedeps")</f>
        <v/>
      </c>
      <c r="E17" s="112" t="str">
        <f>[1]!IntrinioDataPoint(ticker,"current_yr_ave_eps_est")</f>
        <v/>
      </c>
      <c r="F17" s="113" t="str">
        <f>[1]!IntrinioDataPoint(ticker,"next_yr_ave_eps_est")</f>
        <v/>
      </c>
      <c r="G17" s="95" t="str">
        <f>[1]!IntrinioFinancials(ticker,"income_statement",3,"QTR","dilutedeps")</f>
        <v/>
      </c>
      <c r="H17" s="96" t="str">
        <f>[1]!IntrinioFinancials(ticker,"income_statement",2,"QTR","dilutedeps")</f>
        <v/>
      </c>
      <c r="I17" s="96" t="str">
        <f>[1]!IntrinioFinancials(ticker,"income_statement",1,"QTR","dilutedeps")</f>
        <v/>
      </c>
      <c r="J17" s="96" t="str">
        <f>[1]!IntrinioFinancials(ticker,"income_statement",0,"QTR","dilutedeps")</f>
        <v/>
      </c>
      <c r="K17" s="112" t="str">
        <f>[1]!IntrinioDataPoint(ticker,"current_qtr_ave_eps_est")</f>
        <v/>
      </c>
      <c r="L17" s="114" t="str">
        <f>[1]!IntrinioDataPoint(ticker,"next_qtr_ave_eps_est")</f>
        <v/>
      </c>
      <c r="M17" s="46"/>
      <c r="N17" s="46"/>
      <c r="O17" s="17"/>
    </row>
    <row r="18" spans="2:15" ht="21.95" customHeight="1" x14ac:dyDescent="0.45">
      <c r="B18" s="98" t="s">
        <v>75</v>
      </c>
      <c r="C18" s="99" t="str">
        <f>[1]!IntrinioFinancials(ticker,"calculations",1,"FY","epsgrowth")</f>
        <v/>
      </c>
      <c r="D18" s="100" t="str">
        <f>[1]!IntrinioFinancials(ticker,"calculations",0,"FY","epsgrowth")</f>
        <v/>
      </c>
      <c r="E18" s="109" t="e">
        <f>E17/D17-1</f>
        <v>#VALUE!</v>
      </c>
      <c r="F18" s="110" t="e">
        <f>F17/E17-1</f>
        <v>#VALUE!</v>
      </c>
      <c r="G18" s="99" t="str">
        <f>[1]!IntrinioFinancials(ticker,"calculations",3,"QTR","epsgrowth")</f>
        <v/>
      </c>
      <c r="H18" s="100" t="str">
        <f>[1]!IntrinioFinancials(ticker,"calculations",2,"QTR","epsgrowth")</f>
        <v/>
      </c>
      <c r="I18" s="100" t="str">
        <f>[1]!IntrinioFinancials(ticker,"calculations",1,"QTR","epsgrowth")</f>
        <v/>
      </c>
      <c r="J18" s="100" t="str">
        <f>[1]!IntrinioFinancials(ticker,"calculations",0,"QTR","epsgrowth")</f>
        <v/>
      </c>
      <c r="K18" s="109" t="e">
        <f>K17/G17-1</f>
        <v>#VALUE!</v>
      </c>
      <c r="L18" s="110" t="e">
        <f>L17/H17-1</f>
        <v>#VALUE!</v>
      </c>
      <c r="M18" s="46"/>
      <c r="N18" s="46"/>
      <c r="O18" s="17"/>
    </row>
    <row r="19" spans="2:15" ht="21.95" customHeight="1" x14ac:dyDescent="0.45">
      <c r="B19" s="94" t="s">
        <v>74</v>
      </c>
      <c r="C19" s="95"/>
      <c r="D19" s="96"/>
      <c r="E19" s="112" t="str">
        <f>[1]!IntrinioDataPoint(ticker,"current_yr_low_eps_est")</f>
        <v/>
      </c>
      <c r="F19" s="113" t="str">
        <f>[1]!IntrinioDataPoint(ticker,"next_yr_low_eps_est")</f>
        <v/>
      </c>
      <c r="G19" s="95"/>
      <c r="H19" s="96"/>
      <c r="I19" s="96"/>
      <c r="J19" s="96"/>
      <c r="K19" s="112" t="str">
        <f>[1]!IntrinioDataPoint(ticker,"current_qtr_low_eps_est")</f>
        <v/>
      </c>
      <c r="L19" s="114" t="str">
        <f>[1]!IntrinioDataPoint(ticker,"next_qtr_low_eps_est")</f>
        <v/>
      </c>
      <c r="M19" s="46"/>
      <c r="N19" s="46"/>
      <c r="O19" s="17"/>
    </row>
    <row r="20" spans="2:15" ht="21.75" customHeight="1" x14ac:dyDescent="0.45">
      <c r="B20" s="98" t="s">
        <v>75</v>
      </c>
      <c r="C20" s="99"/>
      <c r="D20" s="100"/>
      <c r="E20" s="109" t="e">
        <f>E19/D17-1</f>
        <v>#VALUE!</v>
      </c>
      <c r="F20" s="110" t="e">
        <f>F19/E19-1</f>
        <v>#VALUE!</v>
      </c>
      <c r="G20" s="101"/>
      <c r="H20" s="102"/>
      <c r="I20" s="102"/>
      <c r="J20" s="102"/>
      <c r="K20" s="109" t="e">
        <f>K19/G17-1</f>
        <v>#VALUE!</v>
      </c>
      <c r="L20" s="110" t="e">
        <f>L19/H17-1</f>
        <v>#VALUE!</v>
      </c>
      <c r="M20" s="46"/>
      <c r="N20" s="46"/>
      <c r="O20" s="17"/>
    </row>
    <row r="21" spans="2:15" ht="21.95" customHeight="1" x14ac:dyDescent="0.45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46"/>
      <c r="N21" s="46"/>
      <c r="O21" s="17"/>
    </row>
    <row r="22" spans="2:15" ht="21.95" customHeight="1" x14ac:dyDescent="0.45"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46"/>
      <c r="N22" s="46"/>
      <c r="O22" s="17"/>
    </row>
    <row r="23" spans="2:15" ht="21.95" customHeight="1" x14ac:dyDescent="0.45"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46"/>
      <c r="N23" s="46"/>
      <c r="O23" s="17"/>
    </row>
    <row r="24" spans="2:15" ht="21.95" customHeight="1" x14ac:dyDescent="0.45"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48"/>
      <c r="N24" s="46"/>
      <c r="O24" s="17"/>
    </row>
    <row r="25" spans="2:15" ht="21.95" customHeight="1" x14ac:dyDescent="0.45"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16"/>
      <c r="N25" s="17"/>
      <c r="O25" s="17"/>
    </row>
    <row r="26" spans="2:15" ht="21.95" customHeight="1" x14ac:dyDescent="0.45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17"/>
      <c r="N26" s="17"/>
      <c r="O26" s="17"/>
    </row>
    <row r="27" spans="2:15" ht="21.95" customHeight="1" x14ac:dyDescent="0.45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</row>
    <row r="28" spans="2:15" ht="23.85" customHeight="1" x14ac:dyDescent="0.45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</row>
    <row r="29" spans="2:15" ht="15.75" customHeight="1" x14ac:dyDescent="0.45">
      <c r="C29" s="3"/>
      <c r="D29" s="3"/>
      <c r="E29" s="3"/>
      <c r="G29" s="3"/>
      <c r="H29" s="3"/>
      <c r="I29" s="3"/>
      <c r="J29" s="3"/>
      <c r="K29" s="3"/>
      <c r="M29" s="20"/>
    </row>
    <row r="30" spans="2:15" x14ac:dyDescent="0.45">
      <c r="C30" s="3"/>
      <c r="D30" s="3"/>
      <c r="E30" s="3"/>
      <c r="G30" s="3"/>
      <c r="H30" s="3"/>
      <c r="I30" s="3"/>
      <c r="J30" s="3"/>
      <c r="K30" s="3"/>
      <c r="M30" s="20"/>
    </row>
    <row r="31" spans="2:15" x14ac:dyDescent="0.45">
      <c r="C31" s="3"/>
      <c r="D31" s="3"/>
      <c r="E31" s="3"/>
      <c r="G31" s="3"/>
      <c r="H31" s="3"/>
      <c r="I31" s="3"/>
      <c r="J31" s="3"/>
      <c r="K31" s="3"/>
      <c r="M31" s="20"/>
    </row>
    <row r="32" spans="2:15" x14ac:dyDescent="0.45">
      <c r="C32" s="3"/>
      <c r="D32" s="3"/>
      <c r="E32" s="3"/>
      <c r="G32" s="3"/>
      <c r="H32" s="3"/>
      <c r="I32" s="3"/>
      <c r="J32" s="3"/>
      <c r="K32" s="3"/>
      <c r="M32" s="20"/>
    </row>
    <row r="33" spans="3:13" x14ac:dyDescent="0.45">
      <c r="C33" s="3"/>
      <c r="D33" s="3"/>
      <c r="E33" s="3"/>
      <c r="G33" s="3"/>
      <c r="H33" s="3"/>
      <c r="I33" s="3"/>
      <c r="J33" s="3"/>
      <c r="K33" s="3"/>
      <c r="M33" s="20"/>
    </row>
    <row r="34" spans="3:13" x14ac:dyDescent="0.45">
      <c r="C34" s="3"/>
      <c r="D34" s="3"/>
      <c r="E34" s="3"/>
      <c r="G34" s="3"/>
      <c r="H34" s="3"/>
      <c r="I34" s="3"/>
      <c r="J34" s="3"/>
      <c r="K34" s="3"/>
    </row>
    <row r="35" spans="3:13" x14ac:dyDescent="0.45">
      <c r="C35" s="3"/>
      <c r="D35" s="3"/>
      <c r="E35" s="3"/>
      <c r="G35" s="3"/>
      <c r="H35" s="3"/>
      <c r="I35" s="3"/>
      <c r="J35" s="3"/>
      <c r="K35" s="3"/>
      <c r="M35" s="19"/>
    </row>
    <row r="36" spans="3:13" x14ac:dyDescent="0.45">
      <c r="C36" s="3"/>
      <c r="D36" s="3"/>
      <c r="E36" s="3"/>
      <c r="G36" s="3"/>
      <c r="H36" s="3"/>
      <c r="I36" s="3"/>
      <c r="J36" s="3"/>
      <c r="K36" s="3"/>
    </row>
    <row r="37" spans="3:13" x14ac:dyDescent="0.45">
      <c r="C37" s="3"/>
      <c r="D37" s="3"/>
      <c r="E37" s="3"/>
      <c r="G37" s="3"/>
      <c r="H37" s="3"/>
      <c r="I37" s="3"/>
      <c r="J37" s="3"/>
      <c r="K37" s="3"/>
    </row>
    <row r="38" spans="3:13" x14ac:dyDescent="0.45">
      <c r="C38" s="3"/>
      <c r="D38" s="3"/>
      <c r="E38" s="3"/>
      <c r="G38" s="3"/>
      <c r="H38" s="3"/>
      <c r="I38" s="3"/>
      <c r="J38" s="3"/>
      <c r="K38" s="3"/>
    </row>
    <row r="39" spans="3:13" x14ac:dyDescent="0.45">
      <c r="C39" s="3"/>
      <c r="D39" s="3"/>
      <c r="E39" s="3"/>
      <c r="G39" s="3"/>
      <c r="H39" s="3"/>
      <c r="I39" s="3"/>
      <c r="J39" s="3"/>
      <c r="K39" s="3"/>
    </row>
    <row r="40" spans="3:13" x14ac:dyDescent="0.45">
      <c r="C40" s="3"/>
      <c r="D40" s="3"/>
      <c r="E40" s="3"/>
      <c r="G40" s="3"/>
      <c r="H40" s="3"/>
      <c r="I40" s="3"/>
      <c r="J40" s="3"/>
      <c r="K40" s="3"/>
    </row>
    <row r="41" spans="3:13" x14ac:dyDescent="0.45">
      <c r="C41" s="3"/>
      <c r="D41" s="3"/>
      <c r="E41" s="3"/>
      <c r="G41" s="3"/>
      <c r="H41" s="3"/>
      <c r="I41" s="3"/>
      <c r="J41" s="3"/>
      <c r="K41" s="3"/>
    </row>
  </sheetData>
  <mergeCells count="4">
    <mergeCell ref="G13:L13"/>
    <mergeCell ref="C4:F4"/>
    <mergeCell ref="G4:L4"/>
    <mergeCell ref="C13:F13"/>
  </mergeCells>
  <conditionalFormatting sqref="M29:M31">
    <cfRule type="cellIs" dxfId="15" priority="3" operator="greaterThan">
      <formula>0</formula>
    </cfRule>
    <cfRule type="cellIs" dxfId="14" priority="4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 ()          &amp;RReport Date: 11/26/2016</oddHeader>
    <oddFooter>&amp;L&amp;G&amp;R&amp;P</oddFooter>
  </headerFooter>
  <ignoredErrors>
    <ignoredError sqref="F9 F18" formula="1"/>
  </ignoredError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  <pageSetUpPr fitToPage="1"/>
  </sheetPr>
  <dimension ref="A1:O49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20.265625" style="18" bestFit="1" customWidth="1"/>
    <col min="3" max="6" width="11.3984375" style="18" customWidth="1"/>
    <col min="7" max="7" width="12.46484375" style="18" bestFit="1" customWidth="1"/>
    <col min="8" max="11" width="11.3984375" style="18" customWidth="1"/>
    <col min="12" max="12" width="0.86328125" style="18" customWidth="1"/>
    <col min="13" max="13" width="15.3984375" style="18" customWidth="1"/>
    <col min="14" max="14" width="17.3984375" style="18" bestFit="1" customWidth="1"/>
    <col min="15" max="15" width="12.1328125" style="18" bestFit="1" customWidth="1"/>
    <col min="16" max="16384" width="9.1328125" style="18"/>
  </cols>
  <sheetData>
    <row r="1" spans="1:15" ht="18" x14ac:dyDescent="0.55000000000000004">
      <c r="A1" s="200" t="str">
        <f>name</f>
        <v/>
      </c>
    </row>
    <row r="2" spans="1:15" ht="15.4" x14ac:dyDescent="0.45">
      <c r="A2" s="23" t="s">
        <v>84</v>
      </c>
    </row>
    <row r="4" spans="1:15" ht="21.75" customHeight="1" x14ac:dyDescent="0.45">
      <c r="B4" s="90"/>
      <c r="C4" s="212" t="s">
        <v>71</v>
      </c>
      <c r="D4" s="213"/>
      <c r="E4" s="213"/>
      <c r="F4" s="213"/>
      <c r="G4" s="215"/>
      <c r="H4" s="212" t="s">
        <v>72</v>
      </c>
      <c r="I4" s="213"/>
      <c r="J4" s="213"/>
      <c r="K4" s="213"/>
    </row>
    <row r="5" spans="1:15" ht="21.95" customHeight="1" x14ac:dyDescent="0.45">
      <c r="B5" s="91"/>
      <c r="C5" s="92" t="str">
        <f>"FY "&amp;C32</f>
        <v xml:space="preserve">FY </v>
      </c>
      <c r="D5" s="93" t="str">
        <f t="shared" ref="D5:E5" si="0">"FY "&amp;D32</f>
        <v xml:space="preserve">FY </v>
      </c>
      <c r="E5" s="93" t="str">
        <f t="shared" si="0"/>
        <v xml:space="preserve">FY </v>
      </c>
      <c r="F5" s="93" t="str">
        <f>"FY "&amp;F32</f>
        <v xml:space="preserve">FY </v>
      </c>
      <c r="G5" s="142" t="str">
        <f>G33&amp; " " &amp;G32</f>
        <v xml:space="preserve"> </v>
      </c>
      <c r="H5" s="92" t="str">
        <f t="shared" ref="H5:K5" si="1">H33&amp; " " &amp;H32</f>
        <v xml:space="preserve"> </v>
      </c>
      <c r="I5" s="93" t="str">
        <f t="shared" si="1"/>
        <v xml:space="preserve"> </v>
      </c>
      <c r="J5" s="93" t="str">
        <f t="shared" si="1"/>
        <v xml:space="preserve"> </v>
      </c>
      <c r="K5" s="93" t="str">
        <f t="shared" si="1"/>
        <v xml:space="preserve"> </v>
      </c>
      <c r="M5" s="1"/>
      <c r="N5" s="18" t="s">
        <v>102</v>
      </c>
      <c r="O5" s="18" t="s">
        <v>32</v>
      </c>
    </row>
    <row r="6" spans="1:15" ht="21.95" customHeight="1" x14ac:dyDescent="0.45">
      <c r="B6" s="122" t="s">
        <v>105</v>
      </c>
      <c r="C6" s="191" t="e">
        <f>[1]!IntrinioBankFinancials(ticker,$N6,C$31,C$30,$O6,"A")/1000000</f>
        <v>#VALUE!</v>
      </c>
      <c r="D6" s="192" t="e">
        <f>[1]!IntrinioBankFinancials(ticker,$N6,D$31,D$30,$O6,"A")/1000000</f>
        <v>#VALUE!</v>
      </c>
      <c r="E6" s="192" t="e">
        <f>[1]!IntrinioBankFinancials(ticker,$N6,E$31,E$30,$O6,"A")/1000000</f>
        <v>#VALUE!</v>
      </c>
      <c r="F6" s="192" t="e">
        <f>[1]!IntrinioBankFinancials(ticker,$N6,F$31,F$30,$O6,"A")/1000000</f>
        <v>#VALUE!</v>
      </c>
      <c r="G6" s="193" t="e">
        <f>[1]!IntrinioBankFinancials(ticker,$N6,G$32,G$33,$O6,"A")/1000000</f>
        <v>#VALUE!</v>
      </c>
      <c r="H6" s="194" t="e">
        <f>[1]!IntrinioBankFinancials(ticker,$N6,H$31,H$30,$O6,"A")/1000000</f>
        <v>#VALUE!</v>
      </c>
      <c r="I6" s="192" t="e">
        <f>[1]!IntrinioBankFinancials(ticker,$N6,I$31,I$30,$O6,"A")/1000000</f>
        <v>#VALUE!</v>
      </c>
      <c r="J6" s="192" t="e">
        <f>[1]!IntrinioBankFinancials(ticker,$N6,J$31,J$30,$O6,"A")/1000000</f>
        <v>#VALUE!</v>
      </c>
      <c r="K6" s="192" t="e">
        <f>[1]!IntrinioBankFinancials(ticker,$N6,K$31,K$30,$O6,"A")/1000000</f>
        <v>#VALUE!</v>
      </c>
      <c r="N6" s="18" t="s">
        <v>104</v>
      </c>
      <c r="O6" s="18" t="s">
        <v>103</v>
      </c>
    </row>
    <row r="7" spans="1:15" s="119" customFormat="1" ht="13.9" x14ac:dyDescent="0.45">
      <c r="B7" s="125" t="s">
        <v>75</v>
      </c>
      <c r="C7" s="173"/>
      <c r="D7" s="127" t="e">
        <f>D6/C6-1</f>
        <v>#VALUE!</v>
      </c>
      <c r="E7" s="127" t="e">
        <f t="shared" ref="E7:F7" si="2">E6/D6-1</f>
        <v>#VALUE!</v>
      </c>
      <c r="F7" s="127" t="e">
        <f t="shared" si="2"/>
        <v>#VALUE!</v>
      </c>
      <c r="G7" s="145" t="e">
        <f>(G6/([1]!IntrinioBankFinancials(ticker,$N6,G$32-1,G$33,$O6,"A")/1000000))-1</f>
        <v>#VALUE!</v>
      </c>
      <c r="H7" s="126" t="e">
        <f>(H6/([1]!IntrinioBankFinancials(ticker,$N6,H$31+4,H$30,$O6,"A")/1000000))-1</f>
        <v>#VALUE!</v>
      </c>
      <c r="I7" s="127" t="e">
        <f>(I6/([1]!IntrinioBankFinancials(ticker,$N6,I$31+4,I$30,$O6,"A")/1000000))-1</f>
        <v>#VALUE!</v>
      </c>
      <c r="J7" s="127" t="e">
        <f>(J6/([1]!IntrinioBankFinancials(ticker,$N6,J$31+4,J$30,$O6,"A")/1000000))-1</f>
        <v>#VALUE!</v>
      </c>
      <c r="K7" s="127" t="e">
        <f>(K6/([1]!IntrinioBankFinancials(ticker,$N6,K$31+4,K$30,$O6,"A")/1000000))-1</f>
        <v>#VALUE!</v>
      </c>
      <c r="L7" s="120"/>
      <c r="M7" s="120"/>
      <c r="N7" s="120"/>
    </row>
    <row r="8" spans="1:15" ht="21.95" customHeight="1" x14ac:dyDescent="0.45">
      <c r="B8" s="122" t="s">
        <v>106</v>
      </c>
      <c r="C8" s="191" t="e">
        <f>[1]!IntrinioBankFinancials(ticker,$N8,C$31,C$30,$O8,"A")/1000000</f>
        <v>#VALUE!</v>
      </c>
      <c r="D8" s="192" t="e">
        <f>[1]!IntrinioBankFinancials(ticker,$N8,D$31,D$30,$O8,"A")/1000000</f>
        <v>#VALUE!</v>
      </c>
      <c r="E8" s="192" t="e">
        <f>[1]!IntrinioBankFinancials(ticker,$N8,E$31,E$30,$O8,"A")/1000000</f>
        <v>#VALUE!</v>
      </c>
      <c r="F8" s="192" t="e">
        <f>[1]!IntrinioBankFinancials(ticker,$N8,F$31,F$30,$O8,"A")/1000000</f>
        <v>#VALUE!</v>
      </c>
      <c r="G8" s="193" t="e">
        <f>[1]!IntrinioBankFinancials(ticker,$N8,G$32,G$33,$O8,"A")/1000000</f>
        <v>#VALUE!</v>
      </c>
      <c r="H8" s="194" t="e">
        <f>[1]!IntrinioBankFinancials(ticker,$N8,H$31,H$30,$O8,"A")/1000000</f>
        <v>#VALUE!</v>
      </c>
      <c r="I8" s="192" t="e">
        <f>[1]!IntrinioBankFinancials(ticker,$N8,I$31,I$30,$O8,"A")/1000000</f>
        <v>#VALUE!</v>
      </c>
      <c r="J8" s="192" t="e">
        <f>[1]!IntrinioBankFinancials(ticker,$N8,J$31,J$30,$O8,"A")/1000000</f>
        <v>#VALUE!</v>
      </c>
      <c r="K8" s="192" t="e">
        <f>[1]!IntrinioBankFinancials(ticker,$N8,K$31,K$30,$O8,"A")/1000000</f>
        <v>#VALUE!</v>
      </c>
      <c r="L8" s="17"/>
      <c r="M8" s="17"/>
      <c r="N8" s="17" t="s">
        <v>104</v>
      </c>
      <c r="O8" s="18" t="s">
        <v>107</v>
      </c>
    </row>
    <row r="9" spans="1:15" s="119" customFormat="1" ht="13.9" x14ac:dyDescent="0.45">
      <c r="B9" s="125" t="s">
        <v>75</v>
      </c>
      <c r="C9" s="173"/>
      <c r="D9" s="127" t="e">
        <f>D8/C8-1</f>
        <v>#VALUE!</v>
      </c>
      <c r="E9" s="127" t="e">
        <f t="shared" ref="E9" si="3">E8/D8-1</f>
        <v>#VALUE!</v>
      </c>
      <c r="F9" s="127" t="e">
        <f t="shared" ref="F9" si="4">F8/E8-1</f>
        <v>#VALUE!</v>
      </c>
      <c r="G9" s="145" t="e">
        <f>(G8/([1]!IntrinioBankFinancials(ticker,$N8,G$32-1,G$33,$O8,"A")/1000000))-1</f>
        <v>#VALUE!</v>
      </c>
      <c r="H9" s="126" t="e">
        <f>(H8/([1]!IntrinioBankFinancials(ticker,$N8,H$31+4,H$30,$O8,"A")/1000000))-1</f>
        <v>#VALUE!</v>
      </c>
      <c r="I9" s="127" t="e">
        <f>(I8/([1]!IntrinioBankFinancials(ticker,$N8,I$31+4,I$30,$O8,"A")/1000000))-1</f>
        <v>#VALUE!</v>
      </c>
      <c r="J9" s="127" t="e">
        <f>(J8/([1]!IntrinioBankFinancials(ticker,$N8,J$31+4,J$30,$O8,"A")/1000000))-1</f>
        <v>#VALUE!</v>
      </c>
      <c r="K9" s="127" t="e">
        <f>(K8/([1]!IntrinioBankFinancials(ticker,$N8,K$31+4,K$30,$O8,"A")/1000000))-1</f>
        <v>#VALUE!</v>
      </c>
      <c r="L9" s="120"/>
      <c r="M9" s="120"/>
      <c r="N9" s="120"/>
    </row>
    <row r="10" spans="1:15" ht="21.75" customHeight="1" x14ac:dyDescent="0.45">
      <c r="B10" s="122" t="s">
        <v>109</v>
      </c>
      <c r="C10" s="191" t="e">
        <f>[1]!IntrinioBankFinancials(ticker,$N10,C$31,C$30,$O10,"A")/1000000</f>
        <v>#VALUE!</v>
      </c>
      <c r="D10" s="192" t="e">
        <f>[1]!IntrinioBankFinancials(ticker,$N10,D$31,D$30,$O10,"A")/1000000</f>
        <v>#VALUE!</v>
      </c>
      <c r="E10" s="192" t="e">
        <f>[1]!IntrinioBankFinancials(ticker,$N10,E$31,E$30,$O10,"A")/1000000</f>
        <v>#VALUE!</v>
      </c>
      <c r="F10" s="192" t="e">
        <f>[1]!IntrinioBankFinancials(ticker,$N10,F$31,F$30,$O10,"A")/1000000</f>
        <v>#VALUE!</v>
      </c>
      <c r="G10" s="193" t="e">
        <f>[1]!IntrinioBankFinancials(ticker,$N10,G$32,G$33,$O10,"A")/1000000</f>
        <v>#VALUE!</v>
      </c>
      <c r="H10" s="194" t="e">
        <f>[1]!IntrinioBankFinancials(ticker,$N10,H$31,H$30,$O10,"A")/1000000</f>
        <v>#VALUE!</v>
      </c>
      <c r="I10" s="192" t="e">
        <f>[1]!IntrinioBankFinancials(ticker,$N10,I$31,I$30,$O10,"A")/1000000</f>
        <v>#VALUE!</v>
      </c>
      <c r="J10" s="192" t="e">
        <f>[1]!IntrinioBankFinancials(ticker,$N10,J$31,J$30,$O10,"A")/1000000</f>
        <v>#VALUE!</v>
      </c>
      <c r="K10" s="192" t="e">
        <f>[1]!IntrinioBankFinancials(ticker,$N10,K$31,K$30,$O10,"A")/1000000</f>
        <v>#VALUE!</v>
      </c>
      <c r="L10" s="17"/>
      <c r="M10" s="17"/>
      <c r="N10" s="17" t="s">
        <v>104</v>
      </c>
      <c r="O10" s="18" t="s">
        <v>108</v>
      </c>
    </row>
    <row r="11" spans="1:15" s="119" customFormat="1" ht="13.9" x14ac:dyDescent="0.45">
      <c r="B11" s="125" t="s">
        <v>75</v>
      </c>
      <c r="C11" s="173"/>
      <c r="D11" s="127" t="e">
        <f>D10/C10-1</f>
        <v>#VALUE!</v>
      </c>
      <c r="E11" s="127" t="e">
        <f t="shared" ref="E11" si="5">E10/D10-1</f>
        <v>#VALUE!</v>
      </c>
      <c r="F11" s="127" t="e">
        <f t="shared" ref="F11" si="6">F10/E10-1</f>
        <v>#VALUE!</v>
      </c>
      <c r="G11" s="145" t="e">
        <f>(G10/([1]!IntrinioBankFinancials(ticker,$N10,G$32-1,G$33,$O10,"A")/1000000))-1</f>
        <v>#VALUE!</v>
      </c>
      <c r="H11" s="126" t="e">
        <f>(H10/([1]!IntrinioBankFinancials(ticker,$N10,H$31+4,H$30,$O10,"A")/1000000))-1</f>
        <v>#VALUE!</v>
      </c>
      <c r="I11" s="127" t="e">
        <f>(I10/([1]!IntrinioBankFinancials(ticker,$N10,I$31+4,I$30,$O10,"A")/1000000))-1</f>
        <v>#VALUE!</v>
      </c>
      <c r="J11" s="127" t="e">
        <f>(J10/([1]!IntrinioBankFinancials(ticker,$N10,J$31+4,J$30,$O10,"A")/1000000))-1</f>
        <v>#VALUE!</v>
      </c>
      <c r="K11" s="127" t="e">
        <f>(K10/([1]!IntrinioBankFinancials(ticker,$N10,K$31+4,K$30,$O10,"A")/1000000))-1</f>
        <v>#VALUE!</v>
      </c>
      <c r="L11" s="120"/>
      <c r="M11" s="120"/>
      <c r="N11" s="120"/>
      <c r="O11" s="120"/>
    </row>
    <row r="12" spans="1:15" ht="21.75" customHeight="1" x14ac:dyDescent="0.45">
      <c r="B12" s="122" t="s">
        <v>110</v>
      </c>
      <c r="C12" s="191" t="e">
        <f>[1]!IntrinioBankFinancials(ticker,$N12,C$31,C$30,$O12,"A")/1000000</f>
        <v>#VALUE!</v>
      </c>
      <c r="D12" s="192" t="e">
        <f>[1]!IntrinioBankFinancials(ticker,$N12,D$31,D$30,$O12,"A")/1000000</f>
        <v>#VALUE!</v>
      </c>
      <c r="E12" s="192" t="e">
        <f>[1]!IntrinioBankFinancials(ticker,$N12,E$31,E$30,$O12,"A")/1000000</f>
        <v>#VALUE!</v>
      </c>
      <c r="F12" s="192" t="e">
        <f>[1]!IntrinioBankFinancials(ticker,$N12,F$31,F$30,$O12,"A")/1000000</f>
        <v>#VALUE!</v>
      </c>
      <c r="G12" s="193" t="e">
        <f>[1]!IntrinioBankFinancials(ticker,$N12,G$32,G$33,$O12,"A")/1000000</f>
        <v>#VALUE!</v>
      </c>
      <c r="H12" s="194" t="e">
        <f>[1]!IntrinioBankFinancials(ticker,$N12,H$31,H$30,$O12,"A")/1000000</f>
        <v>#VALUE!</v>
      </c>
      <c r="I12" s="192" t="e">
        <f>[1]!IntrinioBankFinancials(ticker,$N12,I$31,I$30,$O12,"A")/1000000</f>
        <v>#VALUE!</v>
      </c>
      <c r="J12" s="192" t="e">
        <f>[1]!IntrinioBankFinancials(ticker,$N12,J$31,J$30,$O12,"A")/1000000</f>
        <v>#VALUE!</v>
      </c>
      <c r="K12" s="192" t="e">
        <f>[1]!IntrinioBankFinancials(ticker,$N12,K$31,K$30,$O12,"A")/1000000</f>
        <v>#VALUE!</v>
      </c>
      <c r="L12" s="17"/>
      <c r="M12" s="17"/>
      <c r="N12" s="17" t="s">
        <v>104</v>
      </c>
      <c r="O12" s="18" t="s">
        <v>111</v>
      </c>
    </row>
    <row r="13" spans="1:15" s="119" customFormat="1" ht="13.9" x14ac:dyDescent="0.45">
      <c r="B13" s="125" t="s">
        <v>112</v>
      </c>
      <c r="C13" s="174" t="e">
        <f>[1]!IntrinioBankFinancials(ticker,$N13,C$32,C$33,$O13,"A")</f>
        <v>#VALUE!</v>
      </c>
      <c r="D13" s="175" t="e">
        <f>[1]!IntrinioBankFinancials(ticker,$N13,D$32,D$33,$O13,"A")</f>
        <v>#VALUE!</v>
      </c>
      <c r="E13" s="175" t="e">
        <f>[1]!IntrinioBankFinancials(ticker,$N13,E$32,E$33,$O13,"A")</f>
        <v>#VALUE!</v>
      </c>
      <c r="F13" s="175" t="e">
        <f>[1]!IntrinioBankFinancials(ticker,$N13,F$32,F$33,$O13,"A")</f>
        <v>#VALUE!</v>
      </c>
      <c r="G13" s="176" t="e">
        <f>[1]!IntrinioBankFinancials(ticker,$N13,G$32,G$34,$O13,"A")</f>
        <v>#VALUE!</v>
      </c>
      <c r="H13" s="174" t="e">
        <f>[1]!IntrinioBankFinancials(ticker,$N13,H$32,H$34,$O13,"A")</f>
        <v>#VALUE!</v>
      </c>
      <c r="I13" s="175" t="e">
        <f>[1]!IntrinioBankFinancials(ticker,$N13,I$32,I$34,$O13,"A")</f>
        <v>#VALUE!</v>
      </c>
      <c r="J13" s="175" t="e">
        <f>[1]!IntrinioBankFinancials(ticker,$N13,J$32,J$34,$O13,"A")</f>
        <v>#VALUE!</v>
      </c>
      <c r="K13" s="175" t="e">
        <f>[1]!IntrinioBankFinancials(ticker,$N13,K$32,K$34,$O13,"A")</f>
        <v>#VALUE!</v>
      </c>
      <c r="L13" s="120"/>
      <c r="M13" s="120"/>
      <c r="N13" s="120" t="s">
        <v>142</v>
      </c>
      <c r="O13" s="120" t="s">
        <v>143</v>
      </c>
    </row>
    <row r="14" spans="1:15" ht="21.75" customHeight="1" x14ac:dyDescent="0.45">
      <c r="B14" s="122" t="s">
        <v>116</v>
      </c>
      <c r="C14" s="191" t="e">
        <f>[1]!IntrinioBankFinancials(ticker,$N14,C$31,C$30,$O14,"A")/1000000</f>
        <v>#VALUE!</v>
      </c>
      <c r="D14" s="192" t="e">
        <f>[1]!IntrinioBankFinancials(ticker,$N14,D$31,D$30,$O14,"A")/1000000</f>
        <v>#VALUE!</v>
      </c>
      <c r="E14" s="192" t="e">
        <f>[1]!IntrinioBankFinancials(ticker,$N14,E$31,E$30,$O14,"A")/1000000</f>
        <v>#VALUE!</v>
      </c>
      <c r="F14" s="192" t="e">
        <f>[1]!IntrinioBankFinancials(ticker,$N14,F$31,F$30,$O14,"A")/1000000</f>
        <v>#VALUE!</v>
      </c>
      <c r="G14" s="193" t="e">
        <f>[1]!IntrinioBankFinancials(ticker,$N14,G$32,G$33,$O14,"A")/1000000</f>
        <v>#VALUE!</v>
      </c>
      <c r="H14" s="194" t="e">
        <f>[1]!IntrinioBankFinancials(ticker,$N14,H$31,H$30,$O14,"A")/1000000</f>
        <v>#VALUE!</v>
      </c>
      <c r="I14" s="192" t="e">
        <f>[1]!IntrinioBankFinancials(ticker,$N14,I$31,I$30,$O14,"A")/1000000</f>
        <v>#VALUE!</v>
      </c>
      <c r="J14" s="192" t="e">
        <f>[1]!IntrinioBankFinancials(ticker,$N14,J$31,J$30,$O14,"A")/1000000</f>
        <v>#VALUE!</v>
      </c>
      <c r="K14" s="192" t="e">
        <f>[1]!IntrinioBankFinancials(ticker,$N14,K$31,K$30,$O14,"A")/1000000</f>
        <v>#VALUE!</v>
      </c>
      <c r="L14" s="17"/>
      <c r="M14" s="17"/>
      <c r="N14" s="17" t="s">
        <v>104</v>
      </c>
      <c r="O14" s="18" t="s">
        <v>144</v>
      </c>
    </row>
    <row r="15" spans="1:15" s="119" customFormat="1" ht="13.9" x14ac:dyDescent="0.45">
      <c r="B15" s="125" t="s">
        <v>112</v>
      </c>
      <c r="C15" s="174" t="e">
        <f>[1]!IntrinioBankFinancials(ticker,$N15,C$32,C$33,$O15,"A")</f>
        <v>#VALUE!</v>
      </c>
      <c r="D15" s="175" t="e">
        <f>[1]!IntrinioBankFinancials(ticker,$N15,D$32,D$33,$O15,"A")</f>
        <v>#VALUE!</v>
      </c>
      <c r="E15" s="175" t="e">
        <f>[1]!IntrinioBankFinancials(ticker,$N15,E$32,E$33,$O15,"A")</f>
        <v>#VALUE!</v>
      </c>
      <c r="F15" s="175" t="e">
        <f>[1]!IntrinioBankFinancials(ticker,$N15,F$32,F$33,$O15,"A")</f>
        <v>#VALUE!</v>
      </c>
      <c r="G15" s="176" t="e">
        <f>[1]!IntrinioBankFinancials(ticker,$N15,G$32,G$34,$O15,"A")</f>
        <v>#VALUE!</v>
      </c>
      <c r="H15" s="174" t="e">
        <f>[1]!IntrinioBankFinancials(ticker,$N15,H$32,H$34,$O15,"A")</f>
        <v>#VALUE!</v>
      </c>
      <c r="I15" s="175" t="e">
        <f>[1]!IntrinioBankFinancials(ticker,$N15,I$32,I$34,$O15,"A")</f>
        <v>#VALUE!</v>
      </c>
      <c r="J15" s="175" t="e">
        <f>[1]!IntrinioBankFinancials(ticker,$N15,J$32,J$34,$O15,"A")</f>
        <v>#VALUE!</v>
      </c>
      <c r="K15" s="175" t="e">
        <f>[1]!IntrinioBankFinancials(ticker,$N15,K$32,K$34,$O15,"A")</f>
        <v>#VALUE!</v>
      </c>
      <c r="L15" s="120"/>
      <c r="M15" s="120"/>
      <c r="N15" s="120" t="s">
        <v>142</v>
      </c>
      <c r="O15" s="120" t="s">
        <v>145</v>
      </c>
    </row>
    <row r="16" spans="1:15" ht="21.75" customHeight="1" x14ac:dyDescent="0.45">
      <c r="B16" s="122" t="s">
        <v>114</v>
      </c>
      <c r="C16" s="191" t="e">
        <f>[1]!IntrinioBankFinancials(ticker,$N16,C$31,C$30,$O16,"A")/1000000</f>
        <v>#VALUE!</v>
      </c>
      <c r="D16" s="192" t="e">
        <f>[1]!IntrinioBankFinancials(ticker,$N16,D$31,D$30,$O16,"A")/1000000</f>
        <v>#VALUE!</v>
      </c>
      <c r="E16" s="192" t="e">
        <f>[1]!IntrinioBankFinancials(ticker,$N16,E$31,E$30,$O16,"A")/1000000</f>
        <v>#VALUE!</v>
      </c>
      <c r="F16" s="192" t="e">
        <f>[1]!IntrinioBankFinancials(ticker,$N16,F$31,F$30,$O16,"A")/1000000</f>
        <v>#VALUE!</v>
      </c>
      <c r="G16" s="193" t="e">
        <f>[1]!IntrinioBankFinancials(ticker,$N16,G$32,G$33,$O16,"A")/1000000</f>
        <v>#VALUE!</v>
      </c>
      <c r="H16" s="194" t="e">
        <f>[1]!IntrinioBankFinancials(ticker,$N16,H$31,H$30,$O16,"A")/1000000</f>
        <v>#VALUE!</v>
      </c>
      <c r="I16" s="192" t="e">
        <f>[1]!IntrinioBankFinancials(ticker,$N16,I$31,I$30,$O16,"A")/1000000</f>
        <v>#VALUE!</v>
      </c>
      <c r="J16" s="192" t="e">
        <f>[1]!IntrinioBankFinancials(ticker,$N16,J$31,J$30,$O16,"A")/1000000</f>
        <v>#VALUE!</v>
      </c>
      <c r="K16" s="192" t="e">
        <f>[1]!IntrinioBankFinancials(ticker,$N16,K$31,K$30,$O16,"A")/1000000</f>
        <v>#VALUE!</v>
      </c>
      <c r="L16" s="17"/>
      <c r="M16" s="17"/>
      <c r="N16" s="17" t="s">
        <v>104</v>
      </c>
      <c r="O16" s="18" t="s">
        <v>113</v>
      </c>
    </row>
    <row r="17" spans="2:15" s="119" customFormat="1" ht="13.9" x14ac:dyDescent="0.45">
      <c r="B17" s="125" t="s">
        <v>112</v>
      </c>
      <c r="C17" s="174" t="e">
        <f>[1]!IntrinioBankFinancials(ticker,$N17,C$32,C$33,$O17,"A")</f>
        <v>#VALUE!</v>
      </c>
      <c r="D17" s="175" t="e">
        <f>[1]!IntrinioBankFinancials(ticker,$N17,D$32,D$33,$O17,"A")</f>
        <v>#VALUE!</v>
      </c>
      <c r="E17" s="175" t="e">
        <f>[1]!IntrinioBankFinancials(ticker,$N17,E$32,E$33,$O17,"A")</f>
        <v>#VALUE!</v>
      </c>
      <c r="F17" s="175" t="e">
        <f>[1]!IntrinioBankFinancials(ticker,$N17,F$32,F$33,$O17,"A")</f>
        <v>#VALUE!</v>
      </c>
      <c r="G17" s="176" t="e">
        <f>[1]!IntrinioBankFinancials(ticker,$N17,G$32,G$34,$O17,"A")</f>
        <v>#VALUE!</v>
      </c>
      <c r="H17" s="174" t="e">
        <f>[1]!IntrinioBankFinancials(ticker,$N17,H$32,H$34,$O17,"A")</f>
        <v>#VALUE!</v>
      </c>
      <c r="I17" s="175" t="e">
        <f>[1]!IntrinioBankFinancials(ticker,$N17,I$32,I$34,$O17,"A")</f>
        <v>#VALUE!</v>
      </c>
      <c r="J17" s="175" t="e">
        <f>[1]!IntrinioBankFinancials(ticker,$N17,J$32,J$34,$O17,"A")</f>
        <v>#VALUE!</v>
      </c>
      <c r="K17" s="175" t="e">
        <f>[1]!IntrinioBankFinancials(ticker,$N17,K$32,K$34,$O17,"A")</f>
        <v>#VALUE!</v>
      </c>
      <c r="L17" s="120"/>
      <c r="M17" s="120"/>
      <c r="N17" s="120" t="s">
        <v>142</v>
      </c>
      <c r="O17" s="120" t="s">
        <v>115</v>
      </c>
    </row>
    <row r="18" spans="2:15" ht="21.75" customHeight="1" x14ac:dyDescent="0.45">
      <c r="B18" s="122" t="s">
        <v>81</v>
      </c>
      <c r="C18" s="191" t="e">
        <f>[1]!IntrinioBankFinancials(ticker,$N18,C$31,C$30,$O18,"A")/1000000</f>
        <v>#VALUE!</v>
      </c>
      <c r="D18" s="192" t="e">
        <f>[1]!IntrinioBankFinancials(ticker,$N18,D$31,D$30,$O18,"A")/1000000</f>
        <v>#VALUE!</v>
      </c>
      <c r="E18" s="192" t="e">
        <f>[1]!IntrinioBankFinancials(ticker,$N18,E$31,E$30,$O18,"A")/1000000</f>
        <v>#VALUE!</v>
      </c>
      <c r="F18" s="192" t="e">
        <f>[1]!IntrinioBankFinancials(ticker,$N18,F$31,F$30,$O18,"A")/1000000</f>
        <v>#VALUE!</v>
      </c>
      <c r="G18" s="193" t="e">
        <f>[1]!IntrinioBankFinancials(ticker,$N18,G$32,G$33,$O18,"A")/1000000</f>
        <v>#VALUE!</v>
      </c>
      <c r="H18" s="194" t="e">
        <f>[1]!IntrinioBankFinancials(ticker,$N18,H$31,H$30,$O18,"A")/1000000</f>
        <v>#VALUE!</v>
      </c>
      <c r="I18" s="192" t="e">
        <f>[1]!IntrinioBankFinancials(ticker,$N18,I$31,I$30,$O18,"A")/1000000</f>
        <v>#VALUE!</v>
      </c>
      <c r="J18" s="192" t="e">
        <f>[1]!IntrinioBankFinancials(ticker,$N18,J$31,J$30,$O18,"A")/1000000</f>
        <v>#VALUE!</v>
      </c>
      <c r="K18" s="192" t="e">
        <f>[1]!IntrinioBankFinancials(ticker,$N18,K$31,K$30,$O18,"A")/1000000</f>
        <v>#VALUE!</v>
      </c>
      <c r="L18" s="17"/>
      <c r="M18" s="17"/>
      <c r="N18" s="17" t="s">
        <v>104</v>
      </c>
      <c r="O18" s="18" t="s">
        <v>146</v>
      </c>
    </row>
    <row r="19" spans="2:15" s="119" customFormat="1" ht="13.9" x14ac:dyDescent="0.45">
      <c r="B19" s="125" t="s">
        <v>112</v>
      </c>
      <c r="C19" s="174" t="e">
        <f>[1]!IntrinioBankFinancials(ticker,$N19,C$32,C$33,$O19,"A")</f>
        <v>#VALUE!</v>
      </c>
      <c r="D19" s="175" t="e">
        <f>[1]!IntrinioBankFinancials(ticker,$N19,D$32,D$33,$O19,"A")</f>
        <v>#VALUE!</v>
      </c>
      <c r="E19" s="175" t="e">
        <f>[1]!IntrinioBankFinancials(ticker,$N19,E$32,E$33,$O19,"A")</f>
        <v>#VALUE!</v>
      </c>
      <c r="F19" s="175" t="e">
        <f>[1]!IntrinioBankFinancials(ticker,$N19,F$32,F$33,$O19,"A")</f>
        <v>#VALUE!</v>
      </c>
      <c r="G19" s="176" t="e">
        <f>[1]!IntrinioBankFinancials(ticker,$N19,G$32,G$34,$O19,"A")</f>
        <v>#VALUE!</v>
      </c>
      <c r="H19" s="174" t="e">
        <f>[1]!IntrinioBankFinancials(ticker,$N19,H$32,H$34,$O19,"A")</f>
        <v>#VALUE!</v>
      </c>
      <c r="I19" s="175" t="e">
        <f>[1]!IntrinioBankFinancials(ticker,$N19,I$32,I$34,$O19,"A")</f>
        <v>#VALUE!</v>
      </c>
      <c r="J19" s="175" t="e">
        <f>[1]!IntrinioBankFinancials(ticker,$N19,J$32,J$34,$O19,"A")</f>
        <v>#VALUE!</v>
      </c>
      <c r="K19" s="175" t="e">
        <f>[1]!IntrinioBankFinancials(ticker,$N19,K$32,K$34,$O19,"A")</f>
        <v>#VALUE!</v>
      </c>
      <c r="L19" s="120"/>
      <c r="M19" s="120"/>
      <c r="N19" s="120" t="s">
        <v>142</v>
      </c>
      <c r="O19" s="119" t="s">
        <v>117</v>
      </c>
    </row>
    <row r="20" spans="2:15" ht="21.95" customHeight="1" x14ac:dyDescent="0.45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7"/>
      <c r="M20" s="17"/>
      <c r="N20" s="17"/>
    </row>
    <row r="21" spans="2:15" ht="21.95" customHeight="1" x14ac:dyDescent="0.45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7"/>
      <c r="M21" s="17"/>
      <c r="N21" s="17"/>
    </row>
    <row r="22" spans="2:15" ht="21.95" customHeight="1" x14ac:dyDescent="0.45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7"/>
      <c r="M22" s="17"/>
      <c r="N22" s="17"/>
    </row>
    <row r="23" spans="2:15" ht="21.95" customHeight="1" x14ac:dyDescent="0.45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7"/>
      <c r="M23" s="17"/>
      <c r="N23" s="17"/>
    </row>
    <row r="24" spans="2:15" ht="21.95" customHeight="1" x14ac:dyDescent="0.45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7"/>
      <c r="M24" s="17"/>
      <c r="N24" s="17"/>
    </row>
    <row r="25" spans="2:15" ht="21.95" customHeight="1" x14ac:dyDescent="0.45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7"/>
      <c r="M25" s="17"/>
      <c r="N25" s="17"/>
    </row>
    <row r="26" spans="2:15" ht="21.95" customHeight="1" x14ac:dyDescent="0.45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7"/>
      <c r="M26" s="17"/>
      <c r="N26" s="17"/>
    </row>
    <row r="27" spans="2:15" ht="21.95" customHeight="1" x14ac:dyDescent="0.45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7"/>
      <c r="M27" s="17"/>
      <c r="N27" s="17"/>
    </row>
    <row r="28" spans="2:15" ht="21.95" customHeight="1" x14ac:dyDescent="0.45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7"/>
      <c r="M28" s="17"/>
      <c r="N28" s="17"/>
    </row>
    <row r="29" spans="2:15" ht="21.95" customHeight="1" x14ac:dyDescent="0.45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46"/>
      <c r="M29" s="46"/>
      <c r="N29" s="17"/>
    </row>
    <row r="30" spans="2:15" ht="21.95" customHeight="1" x14ac:dyDescent="0.45">
      <c r="B30" s="28"/>
      <c r="C30" s="121" t="str">
        <f>D30</f>
        <v>FY</v>
      </c>
      <c r="D30" s="121" t="str">
        <f>E30</f>
        <v>FY</v>
      </c>
      <c r="E30" s="121" t="str">
        <f>F30</f>
        <v>FY</v>
      </c>
      <c r="F30" s="121" t="s">
        <v>82</v>
      </c>
      <c r="G30" s="18" t="s">
        <v>41</v>
      </c>
      <c r="H30" s="121" t="str">
        <f>I30</f>
        <v>QTR</v>
      </c>
      <c r="I30" s="121" t="str">
        <f>J30</f>
        <v>QTR</v>
      </c>
      <c r="J30" s="121" t="str">
        <f>K30</f>
        <v>QTR</v>
      </c>
      <c r="K30" s="121" t="s">
        <v>83</v>
      </c>
      <c r="L30" s="46"/>
      <c r="M30" s="46"/>
      <c r="N30" s="17"/>
    </row>
    <row r="31" spans="2:15" ht="21.95" customHeight="1" x14ac:dyDescent="0.45">
      <c r="B31" s="28"/>
      <c r="C31" s="28">
        <f>D31+1</f>
        <v>3</v>
      </c>
      <c r="D31" s="28">
        <f>E31+1</f>
        <v>2</v>
      </c>
      <c r="E31" s="28">
        <f>F31+1</f>
        <v>1</v>
      </c>
      <c r="F31" s="28">
        <f>IF(G33="FY",1,0)</f>
        <v>0</v>
      </c>
      <c r="G31" s="28">
        <v>0</v>
      </c>
      <c r="H31" s="28">
        <f>I31+1</f>
        <v>3</v>
      </c>
      <c r="I31" s="28">
        <f>J31+1</f>
        <v>2</v>
      </c>
      <c r="J31" s="28">
        <f>K31+1</f>
        <v>1</v>
      </c>
      <c r="K31" s="28">
        <v>0</v>
      </c>
      <c r="M31" s="46"/>
      <c r="N31" s="17"/>
    </row>
    <row r="32" spans="2:15" ht="21.95" customHeight="1" x14ac:dyDescent="0.45">
      <c r="B32" s="28"/>
      <c r="C32" s="18" t="str">
        <f>[1]!IntrinioBankFundamentals(ticker,$N$6,C$30,C$31,"fiscal_year")</f>
        <v/>
      </c>
      <c r="D32" s="18" t="str">
        <f>[1]!IntrinioBankFundamentals(ticker,$N$6,D$30,D$31,"fiscal_year")</f>
        <v/>
      </c>
      <c r="E32" s="18" t="str">
        <f>[1]!IntrinioBankFundamentals(ticker,$N$6,E$30,E$31,"fiscal_year")</f>
        <v/>
      </c>
      <c r="F32" s="18" t="str">
        <f>[1]!IntrinioBankFundamentals(ticker,$N$6,F$30,F$31,"fiscal_year")</f>
        <v/>
      </c>
      <c r="G32" s="28" t="str">
        <f>[1]!IntrinioBankFundamentals(ticker,$N$6,G$30,G$31,"fiscal_year")</f>
        <v/>
      </c>
      <c r="H32" s="18" t="str">
        <f>[1]!IntrinioBankFundamentals(ticker,$N$6,H$30,H$31,"fiscal_year")</f>
        <v/>
      </c>
      <c r="I32" s="18" t="str">
        <f>[1]!IntrinioBankFundamentals(ticker,$N$6,I$30,I$31,"fiscal_year")</f>
        <v/>
      </c>
      <c r="J32" s="18" t="str">
        <f>[1]!IntrinioBankFundamentals(ticker,$N$6,J$30,J$31,"fiscal_year")</f>
        <v/>
      </c>
      <c r="K32" s="18" t="str">
        <f>[1]!IntrinioBankFundamentals(ticker,$N$6,K$30,K$31,"fiscal_year")</f>
        <v/>
      </c>
      <c r="L32" s="46"/>
      <c r="M32" s="46"/>
      <c r="N32" s="17"/>
    </row>
    <row r="33" spans="2:14" ht="21.95" customHeight="1" x14ac:dyDescent="0.45">
      <c r="B33" s="28"/>
      <c r="C33" s="22" t="str">
        <f>[1]!IntrinioBankFundamentals(ticker,$N$6,C$30,C$31,"fiscal_period")</f>
        <v/>
      </c>
      <c r="D33" s="22" t="str">
        <f>[1]!IntrinioBankFundamentals(ticker,$N$6,D$30,D$31,"fiscal_period")</f>
        <v/>
      </c>
      <c r="E33" s="22" t="str">
        <f>[1]!IntrinioBankFundamentals(ticker,$N$6,E$30,E$31,"fiscal_period")</f>
        <v/>
      </c>
      <c r="F33" s="22" t="str">
        <f>[1]!IntrinioBankFundamentals(ticker,$N$6,F$30,F$31,"fiscal_period")</f>
        <v/>
      </c>
      <c r="G33" s="121" t="str">
        <f>[1]!IntrinioBankFundamentals(ticker,$N$6,G$30,G$31,"fiscal_period")</f>
        <v/>
      </c>
      <c r="H33" s="22" t="str">
        <f>[1]!IntrinioBankFundamentals(ticker,$N$6,H$30,H$31,"fiscal_period")</f>
        <v/>
      </c>
      <c r="I33" s="22" t="str">
        <f>[1]!IntrinioBankFundamentals(ticker,$N$6,I$30,I$31,"fiscal_period")</f>
        <v/>
      </c>
      <c r="J33" s="22" t="str">
        <f>[1]!IntrinioBankFundamentals(ticker,$N$6,J$30,J$31,"fiscal_period")</f>
        <v/>
      </c>
      <c r="K33" s="22" t="str">
        <f>[1]!IntrinioBankFundamentals(ticker,$N$6,K$30,K$31,"fiscal_period")</f>
        <v/>
      </c>
      <c r="L33" s="16"/>
      <c r="M33" s="17"/>
      <c r="N33" s="17"/>
    </row>
    <row r="34" spans="2:14" ht="21.95" customHeight="1" x14ac:dyDescent="0.45">
      <c r="B34" s="28"/>
      <c r="C34" s="28"/>
      <c r="D34" s="28"/>
      <c r="E34" s="28"/>
      <c r="F34" s="28"/>
      <c r="G34" s="121" t="str">
        <f>[1]!IntrinioBankFundamentals(ticker,$N$6,"QTR",G$31,"fiscal_period")</f>
        <v/>
      </c>
      <c r="H34" s="121" t="str">
        <f t="shared" ref="H34" si="7">IF(H33="Q4","FY",H33)</f>
        <v/>
      </c>
      <c r="I34" s="121" t="str">
        <f>IF(I33="Q4","FY",I33)</f>
        <v/>
      </c>
      <c r="J34" s="121" t="str">
        <f t="shared" ref="J34:K34" si="8">IF(J33="Q4","FY",J33)</f>
        <v/>
      </c>
      <c r="K34" s="121" t="str">
        <f t="shared" si="8"/>
        <v/>
      </c>
      <c r="L34" s="17"/>
      <c r="M34" s="17"/>
      <c r="N34" s="17"/>
    </row>
    <row r="35" spans="2:14" ht="21.9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4" ht="23.8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4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4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4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4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4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4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4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4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4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4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4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4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H4:K4"/>
    <mergeCell ref="C4:G4"/>
  </mergeCells>
  <conditionalFormatting sqref="L37:L39">
    <cfRule type="cellIs" dxfId="13" priority="1" operator="greaterThan">
      <formula>0</formula>
    </cfRule>
    <cfRule type="cellIs" dxfId="12" priority="2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/>
    <pageSetUpPr fitToPage="1"/>
  </sheetPr>
  <dimension ref="A1:O50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36.265625" style="18" bestFit="1" customWidth="1"/>
    <col min="3" max="11" width="10.265625" style="18" customWidth="1"/>
    <col min="12" max="12" width="0.86328125" style="18" customWidth="1"/>
    <col min="13" max="14" width="15.3984375" style="18" customWidth="1"/>
    <col min="15" max="15" width="23.46484375" style="18" bestFit="1" customWidth="1"/>
    <col min="16" max="16384" width="9.1328125" style="18"/>
  </cols>
  <sheetData>
    <row r="1" spans="1:15" ht="18" x14ac:dyDescent="0.55000000000000004">
      <c r="A1" s="200" t="str">
        <f>name</f>
        <v/>
      </c>
    </row>
    <row r="2" spans="1:15" ht="15.4" x14ac:dyDescent="0.45">
      <c r="A2" s="23" t="s">
        <v>128</v>
      </c>
    </row>
    <row r="4" spans="1:15" ht="21.75" customHeight="1" x14ac:dyDescent="0.45">
      <c r="B4" s="90"/>
      <c r="C4" s="212" t="s">
        <v>71</v>
      </c>
      <c r="D4" s="213"/>
      <c r="E4" s="213"/>
      <c r="F4" s="213"/>
      <c r="G4" s="215"/>
      <c r="H4" s="212" t="s">
        <v>72</v>
      </c>
      <c r="I4" s="213"/>
      <c r="J4" s="213"/>
      <c r="K4" s="213"/>
    </row>
    <row r="5" spans="1:15" ht="21.95" customHeight="1" x14ac:dyDescent="0.45">
      <c r="B5" s="91"/>
      <c r="C5" s="92" t="str">
        <f>"FY "&amp;C33</f>
        <v xml:space="preserve">FY </v>
      </c>
      <c r="D5" s="93" t="str">
        <f t="shared" ref="D5:F5" si="0">"FY "&amp;D33</f>
        <v xml:space="preserve">FY </v>
      </c>
      <c r="E5" s="93" t="str">
        <f t="shared" si="0"/>
        <v xml:space="preserve">FY </v>
      </c>
      <c r="F5" s="93" t="str">
        <f t="shared" si="0"/>
        <v xml:space="preserve">FY </v>
      </c>
      <c r="G5" s="142" t="str">
        <f>G34&amp; " " &amp;G33</f>
        <v xml:space="preserve"> </v>
      </c>
      <c r="H5" s="92" t="str">
        <f t="shared" ref="H5:K5" si="1">H34&amp; " " &amp;H33</f>
        <v xml:space="preserve"> </v>
      </c>
      <c r="I5" s="93" t="str">
        <f t="shared" si="1"/>
        <v xml:space="preserve"> </v>
      </c>
      <c r="J5" s="93" t="str">
        <f t="shared" si="1"/>
        <v xml:space="preserve"> </v>
      </c>
      <c r="K5" s="93" t="str">
        <f t="shared" si="1"/>
        <v xml:space="preserve"> </v>
      </c>
      <c r="M5" s="1"/>
      <c r="N5" s="1"/>
    </row>
    <row r="6" spans="1:15" ht="21.4" customHeight="1" x14ac:dyDescent="0.45">
      <c r="B6" s="141" t="s">
        <v>123</v>
      </c>
      <c r="C6" s="143"/>
      <c r="D6" s="124"/>
      <c r="E6" s="124"/>
      <c r="F6" s="124"/>
      <c r="G6" s="144"/>
      <c r="H6" s="123"/>
      <c r="I6" s="124"/>
      <c r="J6" s="124"/>
      <c r="K6" s="124"/>
      <c r="N6" s="18" t="s">
        <v>102</v>
      </c>
      <c r="O6" s="18" t="s">
        <v>32</v>
      </c>
    </row>
    <row r="7" spans="1:15" s="119" customFormat="1" ht="21.4" customHeight="1" x14ac:dyDescent="0.45">
      <c r="B7" s="147" t="s">
        <v>118</v>
      </c>
      <c r="C7" s="177" t="str">
        <f>[1]!IntrinioBankFinancials(ticker,$N7,C$32,C$31,$O7,"A")</f>
        <v/>
      </c>
      <c r="D7" s="178" t="str">
        <f>[1]!IntrinioBankFinancials(ticker,$N7,D$32,D$31,$O7,"A")</f>
        <v/>
      </c>
      <c r="E7" s="178" t="str">
        <f>[1]!IntrinioBankFinancials(ticker,$N7,E$32,E$31,$O7,"A")</f>
        <v/>
      </c>
      <c r="F7" s="178" t="str">
        <f>[1]!IntrinioBankFinancials(ticker,$N7,F$32,F$31,$O7,"A")</f>
        <v/>
      </c>
      <c r="G7" s="179" t="str">
        <f>[1]!IntrinioBankFinancials(ticker,$N7,G$32,G$31,$O7,"A")</f>
        <v/>
      </c>
      <c r="H7" s="177" t="str">
        <f>[1]!IntrinioBankFinancials(ticker,$N7,H$32,H$31,$O7,"A")</f>
        <v/>
      </c>
      <c r="I7" s="178" t="str">
        <f>[1]!IntrinioBankFinancials(ticker,$N7,I$32,I$31,$O7,"A")</f>
        <v/>
      </c>
      <c r="J7" s="178" t="str">
        <f>[1]!IntrinioBankFinancials(ticker,$N7,J$32,J$31,$O7,"A")</f>
        <v/>
      </c>
      <c r="K7" s="178" t="str">
        <f>[1]!IntrinioBankFinancials(ticker,$N7,K$32,K$31,$O7,"A")</f>
        <v/>
      </c>
      <c r="L7" s="120"/>
      <c r="M7" s="120"/>
      <c r="N7" s="120" t="s">
        <v>142</v>
      </c>
      <c r="O7" s="120" t="s">
        <v>147</v>
      </c>
    </row>
    <row r="8" spans="1:15" ht="21.4" customHeight="1" x14ac:dyDescent="0.45">
      <c r="B8" s="146" t="s">
        <v>119</v>
      </c>
      <c r="C8" s="180" t="str">
        <f>[1]!IntrinioBankFinancials(ticker,$N8,C$32,C$31,$O8,"A")</f>
        <v/>
      </c>
      <c r="D8" s="181" t="str">
        <f>[1]!IntrinioBankFinancials(ticker,$N8,D$32,D$31,$O8,"A")</f>
        <v/>
      </c>
      <c r="E8" s="181" t="str">
        <f>[1]!IntrinioBankFinancials(ticker,$N8,E$32,E$31,$O8,"A")</f>
        <v/>
      </c>
      <c r="F8" s="181" t="str">
        <f>[1]!IntrinioBankFinancials(ticker,$N8,F$32,F$31,$O8,"A")</f>
        <v/>
      </c>
      <c r="G8" s="182" t="str">
        <f>[1]!IntrinioBankFinancials(ticker,$N8,G$32,G$31,$O8,"A")</f>
        <v/>
      </c>
      <c r="H8" s="183" t="str">
        <f>[1]!IntrinioBankFinancials(ticker,$N8,H$32,H$31,$O8,"A")</f>
        <v/>
      </c>
      <c r="I8" s="181" t="str">
        <f>[1]!IntrinioBankFinancials(ticker,$N8,I$32,I$31,$O8,"A")</f>
        <v/>
      </c>
      <c r="J8" s="181" t="str">
        <f>[1]!IntrinioBankFinancials(ticker,$N8,J$32,J$31,$O8,"A")</f>
        <v/>
      </c>
      <c r="K8" s="181" t="str">
        <f>[1]!IntrinioBankFinancials(ticker,$N8,K$32,K$31,$O8,"A")</f>
        <v/>
      </c>
      <c r="L8" s="17"/>
      <c r="M8" s="17"/>
      <c r="N8" s="120" t="s">
        <v>142</v>
      </c>
      <c r="O8" s="120" t="s">
        <v>148</v>
      </c>
    </row>
    <row r="9" spans="1:15" ht="21.4" customHeight="1" x14ac:dyDescent="0.45">
      <c r="B9" s="150" t="s">
        <v>120</v>
      </c>
      <c r="C9" s="177" t="str">
        <f>[1]!IntrinioBankFinancials(ticker,$N9,C$32,C$31,$O9,"A")</f>
        <v/>
      </c>
      <c r="D9" s="178" t="str">
        <f>[1]!IntrinioBankFinancials(ticker,$N9,D$32,D$31,$O9,"A")</f>
        <v/>
      </c>
      <c r="E9" s="178" t="str">
        <f>[1]!IntrinioBankFinancials(ticker,$N9,E$32,E$31,$O9,"A")</f>
        <v/>
      </c>
      <c r="F9" s="178" t="str">
        <f>[1]!IntrinioBankFinancials(ticker,$N9,F$32,F$31,$O9,"A")</f>
        <v/>
      </c>
      <c r="G9" s="179" t="str">
        <f>[1]!IntrinioBankFinancials(ticker,$N9,G$32,G$31,$O9,"A")</f>
        <v/>
      </c>
      <c r="H9" s="177" t="str">
        <f>[1]!IntrinioBankFinancials(ticker,$N9,H$32,H$31,$O9,"A")</f>
        <v/>
      </c>
      <c r="I9" s="178" t="str">
        <f>[1]!IntrinioBankFinancials(ticker,$N9,I$32,I$31,$O9,"A")</f>
        <v/>
      </c>
      <c r="J9" s="178" t="str">
        <f>[1]!IntrinioBankFinancials(ticker,$N9,J$32,J$31,$O9,"A")</f>
        <v/>
      </c>
      <c r="K9" s="178" t="str">
        <f>[1]!IntrinioBankFinancials(ticker,$N9,K$32,K$31,$O9,"A")</f>
        <v/>
      </c>
      <c r="L9" s="17"/>
      <c r="M9" s="17"/>
      <c r="N9" s="120" t="s">
        <v>142</v>
      </c>
      <c r="O9" s="120" t="s">
        <v>149</v>
      </c>
    </row>
    <row r="10" spans="1:15" ht="21.4" customHeight="1" x14ac:dyDescent="0.45">
      <c r="B10" s="146" t="s">
        <v>121</v>
      </c>
      <c r="C10" s="180" t="str">
        <f>[1]!IntrinioBankFinancials(ticker,$N10,C$32,C$31,$O10,"A")</f>
        <v/>
      </c>
      <c r="D10" s="181" t="str">
        <f>[1]!IntrinioBankFinancials(ticker,$N10,D$32,D$31,$O10,"A")</f>
        <v/>
      </c>
      <c r="E10" s="181" t="str">
        <f>[1]!IntrinioBankFinancials(ticker,$N10,E$32,E$31,$O10,"A")</f>
        <v/>
      </c>
      <c r="F10" s="181" t="str">
        <f>[1]!IntrinioBankFinancials(ticker,$N10,F$32,F$31,$O10,"A")</f>
        <v/>
      </c>
      <c r="G10" s="182" t="str">
        <f>[1]!IntrinioBankFinancials(ticker,$N10,G$32,G$31,$O10,"A")</f>
        <v/>
      </c>
      <c r="H10" s="183" t="str">
        <f>[1]!IntrinioBankFinancials(ticker,$N10,H$32,H$31,$O10,"A")</f>
        <v/>
      </c>
      <c r="I10" s="181" t="str">
        <f>[1]!IntrinioBankFinancials(ticker,$N10,I$32,I$31,$O10,"A")</f>
        <v/>
      </c>
      <c r="J10" s="181" t="str">
        <f>[1]!IntrinioBankFinancials(ticker,$N10,J$32,J$31,$O10,"A")</f>
        <v/>
      </c>
      <c r="K10" s="181" t="str">
        <f>[1]!IntrinioBankFinancials(ticker,$N10,K$32,K$31,$O10,"A")</f>
        <v/>
      </c>
      <c r="L10" s="17"/>
      <c r="M10" s="17"/>
      <c r="N10" s="120" t="s">
        <v>142</v>
      </c>
      <c r="O10" s="120" t="s">
        <v>150</v>
      </c>
    </row>
    <row r="11" spans="1:15" ht="21.4" customHeight="1" x14ac:dyDescent="0.45">
      <c r="B11" s="150" t="s">
        <v>122</v>
      </c>
      <c r="C11" s="177" t="str">
        <f>[1]!IntrinioBankFinancials(ticker,$N11,C$32,C$31,$O11,"A")</f>
        <v/>
      </c>
      <c r="D11" s="178" t="str">
        <f>[1]!IntrinioBankFinancials(ticker,$N11,D$32,D$31,$O11,"A")</f>
        <v/>
      </c>
      <c r="E11" s="178" t="str">
        <f>[1]!IntrinioBankFinancials(ticker,$N11,E$32,E$31,$O11,"A")</f>
        <v/>
      </c>
      <c r="F11" s="178" t="str">
        <f>[1]!IntrinioBankFinancials(ticker,$N11,F$32,F$31,$O11,"A")</f>
        <v/>
      </c>
      <c r="G11" s="179" t="str">
        <f>[1]!IntrinioBankFinancials(ticker,$N11,G$32,G$31,$O11,"A")</f>
        <v/>
      </c>
      <c r="H11" s="177" t="str">
        <f>[1]!IntrinioBankFinancials(ticker,$N11,H$32,H$31,$O11,"A")</f>
        <v/>
      </c>
      <c r="I11" s="178" t="str">
        <f>[1]!IntrinioBankFinancials(ticker,$N11,I$32,I$31,$O11,"A")</f>
        <v/>
      </c>
      <c r="J11" s="178" t="str">
        <f>[1]!IntrinioBankFinancials(ticker,$N11,J$32,J$31,$O11,"A")</f>
        <v/>
      </c>
      <c r="K11" s="178" t="str">
        <f>[1]!IntrinioBankFinancials(ticker,$N11,K$32,K$31,$O11,"A")</f>
        <v/>
      </c>
      <c r="L11" s="17"/>
      <c r="M11" s="17"/>
      <c r="N11" s="120" t="s">
        <v>142</v>
      </c>
      <c r="O11" s="120" t="s">
        <v>151</v>
      </c>
    </row>
    <row r="12" spans="1:15" ht="21.4" customHeight="1" x14ac:dyDescent="0.45">
      <c r="B12" s="159"/>
      <c r="C12" s="160"/>
      <c r="D12" s="160"/>
      <c r="E12" s="160"/>
      <c r="F12" s="160"/>
      <c r="G12" s="160"/>
      <c r="H12" s="160"/>
      <c r="I12" s="160"/>
      <c r="J12" s="160"/>
      <c r="K12" s="160"/>
      <c r="L12" s="17"/>
      <c r="M12" s="17"/>
      <c r="N12" s="17"/>
      <c r="O12" s="17"/>
    </row>
    <row r="13" spans="1:15" ht="21.4" customHeight="1" x14ac:dyDescent="0.45">
      <c r="B13" s="141" t="s">
        <v>127</v>
      </c>
      <c r="C13" s="143"/>
      <c r="D13" s="124"/>
      <c r="E13" s="124"/>
      <c r="F13" s="124"/>
      <c r="G13" s="144"/>
      <c r="H13" s="143"/>
      <c r="I13" s="124"/>
      <c r="J13" s="124"/>
      <c r="K13" s="124"/>
    </row>
    <row r="14" spans="1:15" s="119" customFormat="1" ht="21.4" customHeight="1" x14ac:dyDescent="0.45">
      <c r="B14" s="184" t="s">
        <v>124</v>
      </c>
      <c r="C14" s="177" t="str">
        <f>[1]!IntrinioBankFinancials(ticker,$N14,C$32,C$31,$O14,"A")</f>
        <v/>
      </c>
      <c r="D14" s="178" t="str">
        <f>[1]!IntrinioBankFinancials(ticker,$N14,D$32,D$31,$O14,"A")</f>
        <v/>
      </c>
      <c r="E14" s="178" t="str">
        <f>[1]!IntrinioBankFinancials(ticker,$N14,E$32,E$31,$O14,"A")</f>
        <v/>
      </c>
      <c r="F14" s="178" t="str">
        <f>[1]!IntrinioBankFinancials(ticker,$N14,F$32,F$31,$O14,"A")</f>
        <v/>
      </c>
      <c r="G14" s="179" t="str">
        <f>[1]!IntrinioBankFinancials(ticker,$N14,G$32,G$31,$O14,"A")</f>
        <v/>
      </c>
      <c r="H14" s="177" t="str">
        <f>[1]!IntrinioBankFinancials(ticker,$N14,H$32,H$31,$O14,"A")</f>
        <v/>
      </c>
      <c r="I14" s="178" t="str">
        <f>[1]!IntrinioBankFinancials(ticker,$N14,I$32,I$31,$O14,"A")</f>
        <v/>
      </c>
      <c r="J14" s="178" t="str">
        <f>[1]!IntrinioBankFinancials(ticker,$N14,J$32,J$31,$O14,"A")</f>
        <v/>
      </c>
      <c r="K14" s="178" t="str">
        <f>[1]!IntrinioBankFinancials(ticker,$N14,K$32,K$31,$O14,"A")</f>
        <v/>
      </c>
      <c r="L14" s="120"/>
      <c r="M14" s="120"/>
      <c r="N14" s="120" t="str">
        <f>N11</f>
        <v>SummaryRatios</v>
      </c>
      <c r="O14" s="120" t="s">
        <v>152</v>
      </c>
    </row>
    <row r="15" spans="1:15" ht="21.4" customHeight="1" x14ac:dyDescent="0.45">
      <c r="B15" s="146" t="s">
        <v>155</v>
      </c>
      <c r="C15" s="180" t="str">
        <f>[1]!IntrinioBankFinancials(ticker,$N15,C$32,C$31,$O15,"A")</f>
        <v/>
      </c>
      <c r="D15" s="181" t="str">
        <f>[1]!IntrinioBankFinancials(ticker,$N15,D$32,D$31,$O15,"A")</f>
        <v/>
      </c>
      <c r="E15" s="181" t="str">
        <f>[1]!IntrinioBankFinancials(ticker,$N15,E$32,E$31,$O15,"A")</f>
        <v/>
      </c>
      <c r="F15" s="181" t="str">
        <f>[1]!IntrinioBankFinancials(ticker,$N15,F$32,F$31,$O15,"A")</f>
        <v/>
      </c>
      <c r="G15" s="182" t="str">
        <f>[1]!IntrinioBankFinancials(ticker,$N15,G$32,G$31,$O15,"A")</f>
        <v/>
      </c>
      <c r="H15" s="183" t="str">
        <f>[1]!IntrinioBankFinancials(ticker,$N15,H$32,H$31,$O15,"A")</f>
        <v/>
      </c>
      <c r="I15" s="181" t="str">
        <f>[1]!IntrinioBankFinancials(ticker,$N15,I$32,I$31,$O15,"A")</f>
        <v/>
      </c>
      <c r="J15" s="181" t="str">
        <f>[1]!IntrinioBankFinancials(ticker,$N15,J$32,J$31,$O15,"A")</f>
        <v/>
      </c>
      <c r="K15" s="181" t="str">
        <f>[1]!IntrinioBankFinancials(ticker,$N15,K$32,K$31,$O15,"A")</f>
        <v/>
      </c>
      <c r="N15" s="120" t="str">
        <f>N14</f>
        <v>SummaryRatios</v>
      </c>
      <c r="O15" s="120" t="s">
        <v>153</v>
      </c>
    </row>
    <row r="16" spans="1:15" s="119" customFormat="1" ht="21.4" customHeight="1" x14ac:dyDescent="0.45">
      <c r="B16" s="147" t="s">
        <v>125</v>
      </c>
      <c r="C16" s="153" t="str">
        <f>[1]!IntrinioBankFinancials(ticker,$N16,C$32,C$31,$O16,"A")</f>
        <v/>
      </c>
      <c r="D16" s="154" t="str">
        <f>[1]!IntrinioBankFinancials(ticker,$N16,D$32,D$31,$O16,"A")</f>
        <v/>
      </c>
      <c r="E16" s="154" t="str">
        <f>[1]!IntrinioBankFinancials(ticker,$N16,E$32,E$31,$O16,"A")</f>
        <v/>
      </c>
      <c r="F16" s="154" t="str">
        <f>[1]!IntrinioBankFinancials(ticker,$N16,F$32,F$31,$O16,"A")</f>
        <v/>
      </c>
      <c r="G16" s="155" t="str">
        <f>[1]!IntrinioBankFinancials(ticker,$N16,G$32,G$31,$O16,"A")</f>
        <v/>
      </c>
      <c r="H16" s="153" t="str">
        <f>[1]!IntrinioBankFinancials(ticker,$N16,H$32,H$31,$O16,"A")</f>
        <v/>
      </c>
      <c r="I16" s="154" t="str">
        <f>[1]!IntrinioBankFinancials(ticker,$N16,I$32,I$31,$O16,"A")</f>
        <v/>
      </c>
      <c r="J16" s="154" t="str">
        <f>[1]!IntrinioBankFinancials(ticker,$N16,J$32,J$31,$O16,"A")</f>
        <v/>
      </c>
      <c r="K16" s="154" t="str">
        <f>[1]!IntrinioBankFinancials(ticker,$N16,K$32,K$31,$O16,"A")</f>
        <v/>
      </c>
      <c r="L16" s="120"/>
      <c r="M16" s="120"/>
      <c r="N16" s="120" t="str">
        <f>N14</f>
        <v>SummaryRatios</v>
      </c>
      <c r="O16" s="120" t="s">
        <v>154</v>
      </c>
    </row>
    <row r="17" spans="2:15" ht="12.95" customHeight="1" x14ac:dyDescent="0.45">
      <c r="B17" s="157"/>
      <c r="C17" s="158"/>
      <c r="D17" s="158"/>
      <c r="E17" s="158"/>
      <c r="F17" s="158"/>
      <c r="G17" s="158"/>
      <c r="H17" s="158"/>
      <c r="I17" s="158"/>
      <c r="J17" s="158"/>
      <c r="K17" s="158"/>
      <c r="O17" s="120"/>
    </row>
    <row r="18" spans="2:15" ht="21.95" customHeight="1" x14ac:dyDescent="0.45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7"/>
      <c r="M18" s="17"/>
      <c r="N18" s="17"/>
      <c r="O18" s="17"/>
    </row>
    <row r="19" spans="2:15" ht="21.95" customHeight="1" x14ac:dyDescent="0.45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7"/>
      <c r="M19" s="17"/>
      <c r="N19" s="17"/>
      <c r="O19" s="17"/>
    </row>
    <row r="20" spans="2:15" ht="21.95" customHeight="1" x14ac:dyDescent="0.45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7"/>
      <c r="M20" s="17"/>
      <c r="N20" s="17"/>
      <c r="O20" s="17"/>
    </row>
    <row r="21" spans="2:15" ht="21.95" customHeight="1" x14ac:dyDescent="0.45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7"/>
      <c r="M21" s="17"/>
      <c r="N21" s="17"/>
      <c r="O21" s="17"/>
    </row>
    <row r="22" spans="2:15" ht="21.95" customHeight="1" x14ac:dyDescent="0.45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7"/>
      <c r="M22" s="17"/>
      <c r="N22" s="17"/>
      <c r="O22" s="17"/>
    </row>
    <row r="23" spans="2:15" ht="21.95" customHeight="1" x14ac:dyDescent="0.45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7"/>
      <c r="M23" s="17"/>
      <c r="N23" s="17"/>
      <c r="O23" s="17"/>
    </row>
    <row r="24" spans="2:15" ht="21.95" customHeight="1" x14ac:dyDescent="0.45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7"/>
      <c r="M24" s="17"/>
      <c r="N24" s="17"/>
      <c r="O24" s="17"/>
    </row>
    <row r="25" spans="2:15" ht="21.95" customHeight="1" x14ac:dyDescent="0.45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7"/>
      <c r="M25" s="17"/>
      <c r="N25" s="17"/>
      <c r="O25" s="17"/>
    </row>
    <row r="26" spans="2:15" ht="21.95" customHeight="1" x14ac:dyDescent="0.45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7"/>
      <c r="M26" s="17"/>
      <c r="N26" s="17"/>
      <c r="O26" s="17"/>
    </row>
    <row r="27" spans="2:15" ht="21.95" customHeight="1" x14ac:dyDescent="0.45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7"/>
      <c r="M27" s="17"/>
      <c r="N27" s="17"/>
      <c r="O27" s="17"/>
    </row>
    <row r="28" spans="2:15" ht="21.95" customHeight="1" x14ac:dyDescent="0.45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7"/>
      <c r="M28" s="17"/>
      <c r="N28" s="17"/>
      <c r="O28" s="17"/>
    </row>
    <row r="29" spans="2:15" ht="21.95" customHeight="1" x14ac:dyDescent="0.45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7"/>
      <c r="M29" s="17"/>
      <c r="N29" s="17"/>
      <c r="O29" s="17"/>
    </row>
    <row r="30" spans="2:15" ht="21.95" customHeight="1" x14ac:dyDescent="0.45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46"/>
      <c r="M30" s="46"/>
      <c r="N30" s="46"/>
      <c r="O30" s="17"/>
    </row>
    <row r="31" spans="2:15" ht="21.95" customHeight="1" x14ac:dyDescent="0.45">
      <c r="B31" s="28"/>
      <c r="C31" s="121" t="str">
        <f>D31</f>
        <v>FY</v>
      </c>
      <c r="D31" s="121" t="str">
        <f>E31</f>
        <v>FY</v>
      </c>
      <c r="E31" s="121" t="str">
        <f>F31</f>
        <v>FY</v>
      </c>
      <c r="F31" s="121" t="s">
        <v>82</v>
      </c>
      <c r="G31" s="18" t="s">
        <v>41</v>
      </c>
      <c r="H31" s="121" t="str">
        <f>I31</f>
        <v>QTR</v>
      </c>
      <c r="I31" s="121" t="str">
        <f>J31</f>
        <v>QTR</v>
      </c>
      <c r="J31" s="121" t="str">
        <f>K31</f>
        <v>QTR</v>
      </c>
      <c r="K31" s="121" t="s">
        <v>83</v>
      </c>
      <c r="L31" s="46"/>
      <c r="M31" s="46"/>
      <c r="N31" s="46"/>
      <c r="O31" s="17"/>
    </row>
    <row r="32" spans="2:15" ht="21.95" customHeight="1" x14ac:dyDescent="0.45">
      <c r="B32" s="28"/>
      <c r="C32" s="28">
        <f>D32+1</f>
        <v>3</v>
      </c>
      <c r="D32" s="28">
        <f>E32+1</f>
        <v>2</v>
      </c>
      <c r="E32" s="28">
        <f>F32+1</f>
        <v>1</v>
      </c>
      <c r="F32" s="28">
        <f>IF(G34="FY",1,0)</f>
        <v>0</v>
      </c>
      <c r="G32" s="28">
        <v>0</v>
      </c>
      <c r="H32" s="28">
        <f>I32+1</f>
        <v>3</v>
      </c>
      <c r="I32" s="28">
        <f>J32+1</f>
        <v>2</v>
      </c>
      <c r="J32" s="28">
        <f>K32+1</f>
        <v>1</v>
      </c>
      <c r="K32" s="28">
        <v>0</v>
      </c>
      <c r="L32" s="46"/>
      <c r="M32" s="46"/>
      <c r="N32" s="46"/>
      <c r="O32" s="17"/>
    </row>
    <row r="33" spans="2:15" ht="21.95" customHeight="1" x14ac:dyDescent="0.45">
      <c r="B33" s="28"/>
      <c r="C33" s="18" t="str">
        <f>[1]!IntrinioBankFundamentals(ticker,$N$7,C$31,C$32,"fiscal_year")</f>
        <v/>
      </c>
      <c r="D33" s="18" t="str">
        <f>[1]!IntrinioBankFundamentals(ticker,$N$7,D$31,D$32,"fiscal_year")</f>
        <v/>
      </c>
      <c r="E33" s="18" t="str">
        <f>[1]!IntrinioBankFundamentals(ticker,$N$7,E$31,E$32,"fiscal_year")</f>
        <v/>
      </c>
      <c r="F33" s="18" t="str">
        <f>[1]!IntrinioBankFundamentals(ticker,$N$7,F$31,F$32,"fiscal_year")</f>
        <v/>
      </c>
      <c r="G33" s="18" t="str">
        <f>[1]!IntrinioBankFundamentals(ticker,$N$7,G$31,G$32,"fiscal_year")</f>
        <v/>
      </c>
      <c r="H33" s="18" t="str">
        <f>[1]!IntrinioBankFundamentals(ticker,$N$7,H$31,H$32,"fiscal_year")</f>
        <v/>
      </c>
      <c r="I33" s="18" t="str">
        <f>[1]!IntrinioBankFundamentals(ticker,$N$7,I$31,I$32,"fiscal_year")</f>
        <v/>
      </c>
      <c r="J33" s="18" t="str">
        <f>[1]!IntrinioBankFundamentals(ticker,$N$7,J$31,J$32,"fiscal_year")</f>
        <v/>
      </c>
      <c r="K33" s="18" t="str">
        <f>[1]!IntrinioBankFundamentals(ticker,$N$7,K$31,K$32,"fiscal_year")</f>
        <v/>
      </c>
      <c r="L33" s="48"/>
      <c r="M33" s="46"/>
      <c r="N33" s="46"/>
      <c r="O33" s="17"/>
    </row>
    <row r="34" spans="2:15" ht="21.95" customHeight="1" x14ac:dyDescent="0.45">
      <c r="B34" s="28"/>
      <c r="C34" s="18" t="str">
        <f>[1]!IntrinioBankFundamentals(ticker,$N$7,C$31,C$32,"fiscal_period")</f>
        <v/>
      </c>
      <c r="D34" s="18" t="str">
        <f>[1]!IntrinioBankFundamentals(ticker,$N$7,D$31,D$32,"fiscal_period")</f>
        <v/>
      </c>
      <c r="E34" s="18" t="str">
        <f>[1]!IntrinioBankFundamentals(ticker,$N$7,E$31,E$32,"fiscal_period")</f>
        <v/>
      </c>
      <c r="F34" s="18" t="str">
        <f>[1]!IntrinioBankFundamentals(ticker,$N$7,F$31,F$32,"fiscal_period")</f>
        <v/>
      </c>
      <c r="G34" s="18" t="str">
        <f>[1]!IntrinioBankFundamentals(ticker,$N$7,G$31,G$32,"fiscal_period")</f>
        <v/>
      </c>
      <c r="H34" s="18" t="str">
        <f>[1]!IntrinioBankFundamentals(ticker,"RI",H$31,H$32,"fiscal_period")</f>
        <v/>
      </c>
      <c r="I34" s="18" t="str">
        <f>[1]!IntrinioBankFundamentals(ticker,"RI",I$31,I$32,"fiscal_period")</f>
        <v/>
      </c>
      <c r="J34" s="18" t="str">
        <f>[1]!IntrinioBankFundamentals(ticker,"RI",J$31,J$32,"fiscal_period")</f>
        <v/>
      </c>
      <c r="K34" s="18" t="str">
        <f>[1]!IntrinioBankFundamentals(ticker,"RI",K$31,K$32,"fiscal_period")</f>
        <v/>
      </c>
      <c r="L34" s="18" t="str">
        <f>[1]!IntrinioBankFundamentals(ticker,"RI",L$31,L$32,"fiscal_period")</f>
        <v/>
      </c>
      <c r="M34" s="17"/>
      <c r="N34" s="17"/>
      <c r="O34" s="17"/>
    </row>
    <row r="35" spans="2:15" ht="21.95" customHeight="1" x14ac:dyDescent="0.45">
      <c r="B35" s="28"/>
      <c r="C35" s="28"/>
      <c r="D35" s="28"/>
      <c r="E35" s="28"/>
      <c r="F35" s="28"/>
      <c r="G35" s="121" t="str">
        <f>[1]!IntrinioBankFundamentals(ticker,$N$6,"QTR",G$29,"fiscal_period")</f>
        <v/>
      </c>
      <c r="H35" s="121" t="str">
        <f t="shared" ref="H35" si="2">IF(H34="Q4","FY",H34)</f>
        <v/>
      </c>
      <c r="I35" s="121" t="str">
        <f>IF(I34="Q4","FY",I34)</f>
        <v/>
      </c>
      <c r="J35" s="121" t="str">
        <f t="shared" ref="J35:K35" si="3">IF(J34="Q4","FY",J34)</f>
        <v/>
      </c>
      <c r="K35" s="121" t="str">
        <f t="shared" si="3"/>
        <v/>
      </c>
      <c r="L35" s="17"/>
      <c r="M35" s="17"/>
      <c r="N35" s="17"/>
      <c r="O35" s="17"/>
    </row>
    <row r="36" spans="2:15" ht="21.9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5" ht="23.85" customHeight="1" x14ac:dyDescent="0.45">
      <c r="B37" s="28"/>
      <c r="C37" s="28"/>
      <c r="D37" s="28"/>
      <c r="E37" s="28"/>
      <c r="F37" s="28"/>
      <c r="G37" s="28"/>
      <c r="H37" s="28"/>
      <c r="I37" s="28"/>
      <c r="J37" s="28"/>
      <c r="K37" s="28"/>
    </row>
    <row r="38" spans="2:15" ht="15.75" customHeight="1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5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5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5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5" x14ac:dyDescent="0.45">
      <c r="C42" s="3"/>
      <c r="D42" s="3"/>
      <c r="E42" s="3"/>
      <c r="F42" s="3"/>
      <c r="G42" s="3"/>
      <c r="H42" s="3"/>
      <c r="I42" s="3"/>
      <c r="J42" s="3"/>
      <c r="K42" s="3"/>
      <c r="L42" s="20"/>
    </row>
    <row r="43" spans="2:15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5" x14ac:dyDescent="0.45">
      <c r="C44" s="3"/>
      <c r="D44" s="3"/>
      <c r="E44" s="3"/>
      <c r="F44" s="3"/>
      <c r="G44" s="3"/>
      <c r="H44" s="3"/>
      <c r="I44" s="3"/>
      <c r="J44" s="3"/>
      <c r="K44" s="3"/>
      <c r="L44" s="19"/>
    </row>
    <row r="45" spans="2:15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5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5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5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  <row r="50" spans="3:11" x14ac:dyDescent="0.45">
      <c r="C50" s="3"/>
      <c r="D50" s="3"/>
      <c r="E50" s="3"/>
      <c r="F50" s="3"/>
      <c r="G50" s="3"/>
      <c r="H50" s="3"/>
      <c r="I50" s="3"/>
      <c r="J50" s="3"/>
      <c r="K50" s="3"/>
    </row>
  </sheetData>
  <mergeCells count="2">
    <mergeCell ref="C4:G4"/>
    <mergeCell ref="H4:K4"/>
  </mergeCells>
  <conditionalFormatting sqref="L38:L40">
    <cfRule type="cellIs" dxfId="11" priority="1" operator="greaterThan">
      <formula>0</formula>
    </cfRule>
    <cfRule type="cellIs" dxfId="10" priority="2" operator="lessThan">
      <formula>0</formula>
    </cfRule>
  </conditionalFormatting>
  <pageMargins left="0.7" right="0.7" top="0.75" bottom="0.75" header="0.3" footer="0.3"/>
  <pageSetup scale="77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/>
    <pageSetUpPr fitToPage="1"/>
  </sheetPr>
  <dimension ref="A1:O48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33.1328125" style="18" customWidth="1"/>
    <col min="3" max="11" width="9.59765625" style="18" customWidth="1"/>
    <col min="12" max="12" width="0.86328125" style="18" customWidth="1"/>
    <col min="13" max="14" width="15.3984375" style="18" customWidth="1"/>
    <col min="15" max="15" width="23.46484375" style="18" bestFit="1" customWidth="1"/>
    <col min="16" max="16384" width="9.1328125" style="18"/>
  </cols>
  <sheetData>
    <row r="1" spans="1:15" ht="18" x14ac:dyDescent="0.55000000000000004">
      <c r="A1" s="200" t="str">
        <f>name</f>
        <v/>
      </c>
    </row>
    <row r="2" spans="1:15" ht="15.4" x14ac:dyDescent="0.45">
      <c r="A2" s="23" t="s">
        <v>198</v>
      </c>
    </row>
    <row r="4" spans="1:15" ht="21.75" customHeight="1" x14ac:dyDescent="0.45">
      <c r="B4" s="90"/>
      <c r="C4" s="212" t="s">
        <v>71</v>
      </c>
      <c r="D4" s="213"/>
      <c r="E4" s="213"/>
      <c r="F4" s="213"/>
      <c r="G4" s="215"/>
      <c r="H4" s="212" t="s">
        <v>72</v>
      </c>
      <c r="I4" s="213"/>
      <c r="J4" s="213"/>
      <c r="K4" s="213"/>
    </row>
    <row r="5" spans="1:15" ht="21.95" customHeight="1" x14ac:dyDescent="0.45">
      <c r="B5" s="91"/>
      <c r="C5" s="92" t="str">
        <f>"FY "&amp;C31</f>
        <v xml:space="preserve">FY </v>
      </c>
      <c r="D5" s="93" t="str">
        <f t="shared" ref="D5:F5" si="0">"FY "&amp;D31</f>
        <v xml:space="preserve">FY </v>
      </c>
      <c r="E5" s="93" t="str">
        <f t="shared" si="0"/>
        <v xml:space="preserve">FY </v>
      </c>
      <c r="F5" s="93" t="str">
        <f t="shared" si="0"/>
        <v xml:space="preserve">FY </v>
      </c>
      <c r="G5" s="142" t="str">
        <f>G32&amp; " " &amp;G31</f>
        <v xml:space="preserve"> </v>
      </c>
      <c r="H5" s="92" t="str">
        <f>H32&amp;" "&amp;H31</f>
        <v xml:space="preserve"> </v>
      </c>
      <c r="I5" s="93" t="str">
        <f t="shared" ref="I5:K5" si="1">I32&amp;" "&amp;I31</f>
        <v xml:space="preserve"> </v>
      </c>
      <c r="J5" s="93" t="str">
        <f t="shared" si="1"/>
        <v xml:space="preserve"> </v>
      </c>
      <c r="K5" s="93" t="str">
        <f t="shared" si="1"/>
        <v xml:space="preserve"> </v>
      </c>
      <c r="M5" s="1"/>
      <c r="N5" s="1"/>
    </row>
    <row r="6" spans="1:15" ht="21.4" customHeight="1" x14ac:dyDescent="0.45">
      <c r="B6" s="141" t="s">
        <v>131</v>
      </c>
      <c r="C6" s="143"/>
      <c r="D6" s="124"/>
      <c r="E6" s="124"/>
      <c r="F6" s="124"/>
      <c r="G6" s="144"/>
      <c r="H6" s="123"/>
      <c r="I6" s="124"/>
      <c r="J6" s="124"/>
      <c r="K6" s="124"/>
      <c r="N6" s="18" t="s">
        <v>102</v>
      </c>
      <c r="O6" s="18" t="s">
        <v>32</v>
      </c>
    </row>
    <row r="7" spans="1:15" s="119" customFormat="1" ht="21.4" customHeight="1" x14ac:dyDescent="0.45">
      <c r="B7" s="147" t="s">
        <v>177</v>
      </c>
      <c r="C7" s="165" t="e">
        <f>[1]!IntrinioBankFinancials(ticker,$N7,C$31,C$32,$O7,"A")</f>
        <v>#VALUE!</v>
      </c>
      <c r="D7" s="166" t="e">
        <f>[1]!IntrinioBankFinancials(ticker,$N7,D$31,D$32,$O7,"A")</f>
        <v>#VALUE!</v>
      </c>
      <c r="E7" s="166" t="e">
        <f>[1]!IntrinioBankFinancials(ticker,$N7,E$31,E$32,$O7,"A")</f>
        <v>#VALUE!</v>
      </c>
      <c r="F7" s="166" t="e">
        <f>[1]!IntrinioBankFinancials(ticker,$N7,F$31,F$32,$O7,"A")</f>
        <v>#VALUE!</v>
      </c>
      <c r="G7" s="167" t="e">
        <f>[1]!IntrinioBankFinancials(ticker,$N7,G$31,G$32,$O7,"A")</f>
        <v>#VALUE!</v>
      </c>
      <c r="H7" s="165" t="e">
        <f>[1]!IntrinioBankFinancials(ticker,$N7,H$31,H$33,$O7,"A")</f>
        <v>#VALUE!</v>
      </c>
      <c r="I7" s="166" t="e">
        <f>[1]!IntrinioBankFinancials(ticker,$N7,I$31,I$33,$O7,"A")</f>
        <v>#VALUE!</v>
      </c>
      <c r="J7" s="166" t="e">
        <f>[1]!IntrinioBankFinancials(ticker,$N7,J$31,J$33,$O7,"A")</f>
        <v>#VALUE!</v>
      </c>
      <c r="K7" s="166" t="e">
        <f>[1]!IntrinioBankFinancials(ticker,$N7,K$31,K$33,$O7,"A")</f>
        <v>#VALUE!</v>
      </c>
      <c r="L7" s="120"/>
      <c r="M7" s="120"/>
      <c r="N7" s="120" t="s">
        <v>186</v>
      </c>
      <c r="O7" s="120" t="s">
        <v>187</v>
      </c>
    </row>
    <row r="8" spans="1:15" ht="21.4" customHeight="1" x14ac:dyDescent="0.45">
      <c r="B8" s="156" t="s">
        <v>178</v>
      </c>
      <c r="C8" s="161" t="e">
        <f>[1]!IntrinioBankFinancials(ticker,$N8,C$31,C$32,$O8,"A")</f>
        <v>#VALUE!</v>
      </c>
      <c r="D8" s="162" t="e">
        <f>[1]!IntrinioBankFinancials(ticker,$N8,D$31,D$32,$O8,"A")</f>
        <v>#VALUE!</v>
      </c>
      <c r="E8" s="162" t="e">
        <f>[1]!IntrinioBankFinancials(ticker,$N8,E$31,E$32,$O8,"A")</f>
        <v>#VALUE!</v>
      </c>
      <c r="F8" s="162" t="e">
        <f>[1]!IntrinioBankFinancials(ticker,$N8,F$31,F$32,$O8,"A")</f>
        <v>#VALUE!</v>
      </c>
      <c r="G8" s="163" t="e">
        <f>[1]!IntrinioBankFinancials(ticker,$N8,G$31,G$32,$O8,"A")</f>
        <v>#VALUE!</v>
      </c>
      <c r="H8" s="164" t="e">
        <f>[1]!IntrinioBankFinancials(ticker,$N8,H$31,H$33,$O8,"A")</f>
        <v>#VALUE!</v>
      </c>
      <c r="I8" s="162" t="e">
        <f>[1]!IntrinioBankFinancials(ticker,$N8,I$31,I$33,$O8,"A")</f>
        <v>#VALUE!</v>
      </c>
      <c r="J8" s="162" t="e">
        <f>[1]!IntrinioBankFinancials(ticker,$N8,J$31,J$33,$O8,"A")</f>
        <v>#VALUE!</v>
      </c>
      <c r="K8" s="162" t="e">
        <f>[1]!IntrinioBankFinancials(ticker,$N8,K$31,K$33,$O8,"A")</f>
        <v>#VALUE!</v>
      </c>
      <c r="L8" s="17"/>
      <c r="M8" s="17"/>
      <c r="N8" s="17" t="str">
        <f>N7</f>
        <v>BalanceSheetPercent</v>
      </c>
      <c r="O8" s="120" t="s">
        <v>188</v>
      </c>
    </row>
    <row r="9" spans="1:15" ht="21.4" customHeight="1" x14ac:dyDescent="0.45">
      <c r="B9" s="150" t="s">
        <v>179</v>
      </c>
      <c r="C9" s="165" t="e">
        <f>[1]!IntrinioBankFinancials(ticker,$N9,C$31,C$32,$O9,"A")</f>
        <v>#VALUE!</v>
      </c>
      <c r="D9" s="166" t="e">
        <f>[1]!IntrinioBankFinancials(ticker,$N9,D$31,D$32,$O9,"A")</f>
        <v>#VALUE!</v>
      </c>
      <c r="E9" s="166" t="e">
        <f>[1]!IntrinioBankFinancials(ticker,$N9,E$31,E$32,$O9,"A")</f>
        <v>#VALUE!</v>
      </c>
      <c r="F9" s="166" t="e">
        <f>[1]!IntrinioBankFinancials(ticker,$N9,F$31,F$32,$O9,"A")</f>
        <v>#VALUE!</v>
      </c>
      <c r="G9" s="167" t="e">
        <f>[1]!IntrinioBankFinancials(ticker,$N9,G$31,G$32,$O9,"A")</f>
        <v>#VALUE!</v>
      </c>
      <c r="H9" s="165" t="e">
        <f>[1]!IntrinioBankFinancials(ticker,$N9,H$31,H$33,$O9,"A")</f>
        <v>#VALUE!</v>
      </c>
      <c r="I9" s="166" t="e">
        <f>[1]!IntrinioBankFinancials(ticker,$N9,I$31,I$33,$O9,"A")</f>
        <v>#VALUE!</v>
      </c>
      <c r="J9" s="166" t="e">
        <f>[1]!IntrinioBankFinancials(ticker,$N9,J$31,J$33,$O9,"A")</f>
        <v>#VALUE!</v>
      </c>
      <c r="K9" s="166" t="e">
        <f>[1]!IntrinioBankFinancials(ticker,$N9,K$31,K$33,$O9,"A")</f>
        <v>#VALUE!</v>
      </c>
      <c r="L9" s="17"/>
      <c r="M9" s="17"/>
      <c r="N9" s="17" t="str">
        <f t="shared" ref="N9:N15" si="2">N8</f>
        <v>BalanceSheetPercent</v>
      </c>
      <c r="O9" s="120" t="s">
        <v>189</v>
      </c>
    </row>
    <row r="10" spans="1:15" ht="21.4" customHeight="1" x14ac:dyDescent="0.45">
      <c r="B10" s="156" t="s">
        <v>180</v>
      </c>
      <c r="C10" s="161" t="e">
        <f>[1]!IntrinioBankFinancials(ticker,$N10,C$31,C$32,$O10,"A")</f>
        <v>#VALUE!</v>
      </c>
      <c r="D10" s="162" t="e">
        <f>[1]!IntrinioBankFinancials(ticker,$N10,D$31,D$32,$O10,"A")</f>
        <v>#VALUE!</v>
      </c>
      <c r="E10" s="162" t="e">
        <f>[1]!IntrinioBankFinancials(ticker,$N10,E$31,E$32,$O10,"A")</f>
        <v>#VALUE!</v>
      </c>
      <c r="F10" s="162" t="e">
        <f>[1]!IntrinioBankFinancials(ticker,$N10,F$31,F$32,$O10,"A")</f>
        <v>#VALUE!</v>
      </c>
      <c r="G10" s="163" t="e">
        <f>[1]!IntrinioBankFinancials(ticker,$N10,G$31,G$32,$O10,"A")</f>
        <v>#VALUE!</v>
      </c>
      <c r="H10" s="164" t="e">
        <f>[1]!IntrinioBankFinancials(ticker,$N10,H$31,H$33,$O10,"A")</f>
        <v>#VALUE!</v>
      </c>
      <c r="I10" s="162" t="e">
        <f>[1]!IntrinioBankFinancials(ticker,$N10,I$31,I$33,$O10,"A")</f>
        <v>#VALUE!</v>
      </c>
      <c r="J10" s="162" t="e">
        <f>[1]!IntrinioBankFinancials(ticker,$N10,J$31,J$33,$O10,"A")</f>
        <v>#VALUE!</v>
      </c>
      <c r="K10" s="162" t="e">
        <f>[1]!IntrinioBankFinancials(ticker,$N10,K$31,K$33,$O10,"A")</f>
        <v>#VALUE!</v>
      </c>
      <c r="L10" s="17"/>
      <c r="M10" s="17"/>
      <c r="N10" s="17" t="str">
        <f t="shared" si="2"/>
        <v>BalanceSheetPercent</v>
      </c>
      <c r="O10" s="120" t="s">
        <v>190</v>
      </c>
    </row>
    <row r="11" spans="1:15" s="119" customFormat="1" ht="21.4" customHeight="1" x14ac:dyDescent="0.45">
      <c r="B11" s="147" t="s">
        <v>181</v>
      </c>
      <c r="C11" s="165" t="e">
        <f>[1]!IntrinioBankFinancials(ticker,$N11,C$31,C$32,$O11,"A")</f>
        <v>#VALUE!</v>
      </c>
      <c r="D11" s="166" t="e">
        <f>[1]!IntrinioBankFinancials(ticker,$N11,D$31,D$32,$O11,"A")</f>
        <v>#VALUE!</v>
      </c>
      <c r="E11" s="166" t="e">
        <f>[1]!IntrinioBankFinancials(ticker,$N11,E$31,E$32,$O11,"A")</f>
        <v>#VALUE!</v>
      </c>
      <c r="F11" s="166" t="e">
        <f>[1]!IntrinioBankFinancials(ticker,$N11,F$31,F$32,$O11,"A")</f>
        <v>#VALUE!</v>
      </c>
      <c r="G11" s="167" t="e">
        <f>[1]!IntrinioBankFinancials(ticker,$N11,G$31,G$32,$O11,"A")</f>
        <v>#VALUE!</v>
      </c>
      <c r="H11" s="165" t="e">
        <f>[1]!IntrinioBankFinancials(ticker,$N11,H$31,H$33,$O11,"A")</f>
        <v>#VALUE!</v>
      </c>
      <c r="I11" s="166" t="e">
        <f>[1]!IntrinioBankFinancials(ticker,$N11,I$31,I$33,$O11,"A")</f>
        <v>#VALUE!</v>
      </c>
      <c r="J11" s="166" t="e">
        <f>[1]!IntrinioBankFinancials(ticker,$N11,J$31,J$33,$O11,"A")</f>
        <v>#VALUE!</v>
      </c>
      <c r="K11" s="166" t="e">
        <f>[1]!IntrinioBankFinancials(ticker,$N11,K$31,K$33,$O11,"A")</f>
        <v>#VALUE!</v>
      </c>
      <c r="L11" s="120"/>
      <c r="M11" s="120"/>
      <c r="N11" s="17" t="str">
        <f t="shared" si="2"/>
        <v>BalanceSheetPercent</v>
      </c>
      <c r="O11" s="120" t="s">
        <v>191</v>
      </c>
    </row>
    <row r="12" spans="1:15" ht="21.4" customHeight="1" x14ac:dyDescent="0.45">
      <c r="B12" s="156" t="s">
        <v>182</v>
      </c>
      <c r="C12" s="161" t="e">
        <f>[1]!IntrinioBankFinancials(ticker,$N12,C$31,C$32,$O12,"A")</f>
        <v>#VALUE!</v>
      </c>
      <c r="D12" s="162" t="e">
        <f>[1]!IntrinioBankFinancials(ticker,$N12,D$31,D$32,$O12,"A")</f>
        <v>#VALUE!</v>
      </c>
      <c r="E12" s="162" t="e">
        <f>[1]!IntrinioBankFinancials(ticker,$N12,E$31,E$32,$O12,"A")</f>
        <v>#VALUE!</v>
      </c>
      <c r="F12" s="162" t="e">
        <f>[1]!IntrinioBankFinancials(ticker,$N12,F$31,F$32,$O12,"A")</f>
        <v>#VALUE!</v>
      </c>
      <c r="G12" s="163" t="e">
        <f>[1]!IntrinioBankFinancials(ticker,$N12,G$31,G$32,$O12,"A")</f>
        <v>#VALUE!</v>
      </c>
      <c r="H12" s="164" t="e">
        <f>[1]!IntrinioBankFinancials(ticker,$N12,H$31,H$33,$O12,"A")</f>
        <v>#VALUE!</v>
      </c>
      <c r="I12" s="162" t="e">
        <f>[1]!IntrinioBankFinancials(ticker,$N12,I$31,I$33,$O12,"A")</f>
        <v>#VALUE!</v>
      </c>
      <c r="J12" s="162" t="e">
        <f>[1]!IntrinioBankFinancials(ticker,$N12,J$31,J$33,$O12,"A")</f>
        <v>#VALUE!</v>
      </c>
      <c r="K12" s="162" t="e">
        <f>[1]!IntrinioBankFinancials(ticker,$N12,K$31,K$33,$O12,"A")</f>
        <v>#VALUE!</v>
      </c>
      <c r="L12" s="17"/>
      <c r="M12" s="17"/>
      <c r="N12" s="17" t="str">
        <f t="shared" si="2"/>
        <v>BalanceSheetPercent</v>
      </c>
      <c r="O12" s="120" t="s">
        <v>192</v>
      </c>
    </row>
    <row r="13" spans="1:15" ht="21.4" customHeight="1" x14ac:dyDescent="0.45">
      <c r="B13" s="150" t="s">
        <v>183</v>
      </c>
      <c r="C13" s="165" t="e">
        <f>[1]!IntrinioBankFinancials(ticker,$N13,C$31,C$32,$O13,"A")</f>
        <v>#VALUE!</v>
      </c>
      <c r="D13" s="166" t="e">
        <f>[1]!IntrinioBankFinancials(ticker,$N13,D$31,D$32,$O13,"A")</f>
        <v>#VALUE!</v>
      </c>
      <c r="E13" s="166" t="e">
        <f>[1]!IntrinioBankFinancials(ticker,$N13,E$31,E$32,$O13,"A")</f>
        <v>#VALUE!</v>
      </c>
      <c r="F13" s="166" t="e">
        <f>[1]!IntrinioBankFinancials(ticker,$N13,F$31,F$32,$O13,"A")</f>
        <v>#VALUE!</v>
      </c>
      <c r="G13" s="167" t="e">
        <f>[1]!IntrinioBankFinancials(ticker,$N13,G$31,G$32,$O13,"A")</f>
        <v>#VALUE!</v>
      </c>
      <c r="H13" s="165" t="e">
        <f>[1]!IntrinioBankFinancials(ticker,$N13,H$31,H$33,$O13,"A")</f>
        <v>#VALUE!</v>
      </c>
      <c r="I13" s="166" t="e">
        <f>[1]!IntrinioBankFinancials(ticker,$N13,I$31,I$33,$O13,"A")</f>
        <v>#VALUE!</v>
      </c>
      <c r="J13" s="166" t="e">
        <f>[1]!IntrinioBankFinancials(ticker,$N13,J$31,J$33,$O13,"A")</f>
        <v>#VALUE!</v>
      </c>
      <c r="K13" s="166" t="e">
        <f>[1]!IntrinioBankFinancials(ticker,$N13,K$31,K$33,$O13,"A")</f>
        <v>#VALUE!</v>
      </c>
      <c r="L13" s="17"/>
      <c r="M13" s="17"/>
      <c r="N13" s="17" t="str">
        <f t="shared" si="2"/>
        <v>BalanceSheetPercent</v>
      </c>
      <c r="O13" s="120" t="s">
        <v>193</v>
      </c>
    </row>
    <row r="14" spans="1:15" ht="21.4" customHeight="1" x14ac:dyDescent="0.45">
      <c r="B14" s="156" t="s">
        <v>184</v>
      </c>
      <c r="C14" s="161" t="e">
        <f>[1]!IntrinioBankFinancials(ticker,$N14,C$31,C$32,$O14,"A")</f>
        <v>#VALUE!</v>
      </c>
      <c r="D14" s="162" t="e">
        <f>[1]!IntrinioBankFinancials(ticker,$N14,D$31,D$32,$O14,"A")</f>
        <v>#VALUE!</v>
      </c>
      <c r="E14" s="162" t="e">
        <f>[1]!IntrinioBankFinancials(ticker,$N14,E$31,E$32,$O14,"A")</f>
        <v>#VALUE!</v>
      </c>
      <c r="F14" s="162" t="e">
        <f>[1]!IntrinioBankFinancials(ticker,$N14,F$31,F$32,$O14,"A")</f>
        <v>#VALUE!</v>
      </c>
      <c r="G14" s="163" t="e">
        <f>[1]!IntrinioBankFinancials(ticker,$N14,G$31,G$32,$O14,"A")</f>
        <v>#VALUE!</v>
      </c>
      <c r="H14" s="164" t="e">
        <f>[1]!IntrinioBankFinancials(ticker,$N14,H$31,H$33,$O14,"A")</f>
        <v>#VALUE!</v>
      </c>
      <c r="I14" s="162" t="e">
        <f>[1]!IntrinioBankFinancials(ticker,$N14,I$31,I$33,$O14,"A")</f>
        <v>#VALUE!</v>
      </c>
      <c r="J14" s="162" t="e">
        <f>[1]!IntrinioBankFinancials(ticker,$N14,J$31,J$33,$O14,"A")</f>
        <v>#VALUE!</v>
      </c>
      <c r="K14" s="162" t="e">
        <f>[1]!IntrinioBankFinancials(ticker,$N14,K$31,K$33,$O14,"A")</f>
        <v>#VALUE!</v>
      </c>
      <c r="L14" s="17"/>
      <c r="M14" s="17"/>
      <c r="N14" s="17" t="str">
        <f t="shared" si="2"/>
        <v>BalanceSheetPercent</v>
      </c>
      <c r="O14" s="120" t="s">
        <v>194</v>
      </c>
    </row>
    <row r="15" spans="1:15" ht="21.4" customHeight="1" x14ac:dyDescent="0.45">
      <c r="B15" s="150" t="s">
        <v>185</v>
      </c>
      <c r="C15" s="165" t="e">
        <f>[1]!IntrinioBankFinancials(ticker,$N15,C$31,C$32,$O15,"A")</f>
        <v>#VALUE!</v>
      </c>
      <c r="D15" s="166" t="e">
        <f>[1]!IntrinioBankFinancials(ticker,$N15,D$31,D$32,$O15,"A")</f>
        <v>#VALUE!</v>
      </c>
      <c r="E15" s="166" t="e">
        <f>[1]!IntrinioBankFinancials(ticker,$N15,E$31,E$32,$O15,"A")</f>
        <v>#VALUE!</v>
      </c>
      <c r="F15" s="166" t="e">
        <f>[1]!IntrinioBankFinancials(ticker,$N15,F$31,F$32,$O15,"A")</f>
        <v>#VALUE!</v>
      </c>
      <c r="G15" s="167" t="e">
        <f>[1]!IntrinioBankFinancials(ticker,$N15,G$31,G$32,$O15,"A")</f>
        <v>#VALUE!</v>
      </c>
      <c r="H15" s="165" t="e">
        <f>[1]!IntrinioBankFinancials(ticker,$N15,H$31,H$33,$O15,"A")</f>
        <v>#VALUE!</v>
      </c>
      <c r="I15" s="166" t="e">
        <f>[1]!IntrinioBankFinancials(ticker,$N15,I$31,I$33,$O15,"A")</f>
        <v>#VALUE!</v>
      </c>
      <c r="J15" s="166" t="e">
        <f>[1]!IntrinioBankFinancials(ticker,$N15,J$31,J$33,$O15,"A")</f>
        <v>#VALUE!</v>
      </c>
      <c r="K15" s="166" t="e">
        <f>[1]!IntrinioBankFinancials(ticker,$N15,K$31,K$33,$O15,"A")</f>
        <v>#VALUE!</v>
      </c>
      <c r="L15" s="17"/>
      <c r="M15" s="17"/>
      <c r="N15" s="17" t="str">
        <f t="shared" si="2"/>
        <v>BalanceSheetPercent</v>
      </c>
      <c r="O15" s="120" t="s">
        <v>195</v>
      </c>
    </row>
    <row r="16" spans="1:15" ht="12.95" customHeight="1" x14ac:dyDescent="0.45">
      <c r="B16" s="157"/>
      <c r="C16" s="158"/>
      <c r="D16" s="158"/>
      <c r="E16" s="158"/>
      <c r="F16" s="158"/>
      <c r="G16" s="158"/>
      <c r="H16" s="158"/>
      <c r="I16" s="158"/>
      <c r="J16" s="158"/>
      <c r="K16" s="158"/>
      <c r="O16" s="120"/>
    </row>
    <row r="17" spans="2:15" ht="21.95" customHeight="1" x14ac:dyDescent="0.45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7"/>
      <c r="M17" s="17"/>
      <c r="N17" s="17"/>
      <c r="O17" s="17"/>
    </row>
    <row r="18" spans="2:15" ht="21.95" customHeight="1" x14ac:dyDescent="0.45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7"/>
      <c r="M18" s="17"/>
      <c r="N18" s="17"/>
      <c r="O18" s="17"/>
    </row>
    <row r="19" spans="2:15" ht="21.95" customHeight="1" x14ac:dyDescent="0.45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7"/>
      <c r="M19" s="17"/>
      <c r="N19" s="17"/>
      <c r="O19" s="17"/>
    </row>
    <row r="20" spans="2:15" ht="21.95" customHeight="1" x14ac:dyDescent="0.45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7"/>
      <c r="M20" s="17"/>
      <c r="N20" s="17"/>
      <c r="O20" s="17"/>
    </row>
    <row r="21" spans="2:15" ht="21.95" customHeight="1" x14ac:dyDescent="0.45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7"/>
      <c r="M21" s="17"/>
      <c r="N21" s="17"/>
      <c r="O21" s="17"/>
    </row>
    <row r="22" spans="2:15" ht="21.95" customHeight="1" x14ac:dyDescent="0.45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7"/>
      <c r="M22" s="17"/>
      <c r="N22" s="17"/>
      <c r="O22" s="17"/>
    </row>
    <row r="23" spans="2:15" ht="21.95" customHeight="1" x14ac:dyDescent="0.45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7"/>
      <c r="M23" s="17"/>
      <c r="N23" s="17"/>
      <c r="O23" s="17"/>
    </row>
    <row r="24" spans="2:15" ht="21.95" customHeight="1" x14ac:dyDescent="0.45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7"/>
      <c r="M24" s="17"/>
      <c r="N24" s="17"/>
      <c r="O24" s="17"/>
    </row>
    <row r="25" spans="2:15" ht="21.95" customHeight="1" x14ac:dyDescent="0.45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7"/>
      <c r="M25" s="17"/>
      <c r="N25" s="17"/>
      <c r="O25" s="17"/>
    </row>
    <row r="26" spans="2:15" ht="21.95" customHeight="1" x14ac:dyDescent="0.45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46"/>
      <c r="M26" s="46"/>
      <c r="N26" s="46"/>
      <c r="O26" s="17"/>
    </row>
    <row r="27" spans="2:15" ht="21.95" customHeight="1" x14ac:dyDescent="0.45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46"/>
      <c r="M27" s="46"/>
      <c r="N27" s="46"/>
      <c r="O27" s="17"/>
    </row>
    <row r="28" spans="2:15" ht="21.95" customHeight="1" x14ac:dyDescent="0.45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46"/>
      <c r="M28" s="46"/>
      <c r="N28" s="46"/>
      <c r="O28" s="17"/>
    </row>
    <row r="29" spans="2:15" ht="21.95" customHeight="1" x14ac:dyDescent="0.45">
      <c r="B29" s="28"/>
      <c r="C29" s="121" t="str">
        <f>D29</f>
        <v>FY</v>
      </c>
      <c r="D29" s="121" t="str">
        <f>E29</f>
        <v>FY</v>
      </c>
      <c r="E29" s="121" t="str">
        <f>F29</f>
        <v>FY</v>
      </c>
      <c r="F29" s="121" t="s">
        <v>82</v>
      </c>
      <c r="G29" s="18" t="s">
        <v>41</v>
      </c>
      <c r="H29" s="121" t="str">
        <f>I29</f>
        <v>QTR</v>
      </c>
      <c r="I29" s="121" t="str">
        <f>J29</f>
        <v>QTR</v>
      </c>
      <c r="J29" s="121" t="str">
        <f>K29</f>
        <v>QTR</v>
      </c>
      <c r="K29" s="121" t="s">
        <v>83</v>
      </c>
      <c r="L29" s="46"/>
      <c r="M29" s="46"/>
      <c r="N29" s="46"/>
      <c r="O29" s="17"/>
    </row>
    <row r="30" spans="2:15" ht="21.95" customHeight="1" x14ac:dyDescent="0.45">
      <c r="B30" s="28"/>
      <c r="C30" s="28">
        <f>D30+1</f>
        <v>3</v>
      </c>
      <c r="D30" s="28">
        <f>E30+1</f>
        <v>2</v>
      </c>
      <c r="E30" s="28">
        <f>F30+1</f>
        <v>1</v>
      </c>
      <c r="F30" s="28">
        <f>IF(G32="FY",1,0)</f>
        <v>0</v>
      </c>
      <c r="G30" s="28">
        <v>0</v>
      </c>
      <c r="H30" s="28">
        <f>I30+1</f>
        <v>3</v>
      </c>
      <c r="I30" s="28">
        <f>J30+1</f>
        <v>2</v>
      </c>
      <c r="J30" s="28">
        <f>K30+1</f>
        <v>1</v>
      </c>
      <c r="K30" s="28">
        <v>0</v>
      </c>
      <c r="L30" s="46"/>
      <c r="M30" s="46"/>
      <c r="N30" s="46"/>
      <c r="O30" s="17"/>
    </row>
    <row r="31" spans="2:15" ht="21.95" customHeight="1" x14ac:dyDescent="0.45">
      <c r="B31" s="28"/>
      <c r="C31" s="18" t="str">
        <f>[1]!IntrinioBankFundamentals(ticker,$N$7,C$29,C$30,"fiscal_year")</f>
        <v/>
      </c>
      <c r="D31" s="18" t="str">
        <f>[1]!IntrinioBankFundamentals(ticker,$N$7,D$29,D$30,"fiscal_year")</f>
        <v/>
      </c>
      <c r="E31" s="18" t="str">
        <f>[1]!IntrinioBankFundamentals(ticker,$N$7,E$29,E$30,"fiscal_year")</f>
        <v/>
      </c>
      <c r="F31" s="18" t="str">
        <f>[1]!IntrinioBankFundamentals(ticker,$N$7,F$29,F$30,"fiscal_year")</f>
        <v/>
      </c>
      <c r="G31" s="18" t="str">
        <f>[1]!IntrinioBankFundamentals(ticker,$N$7,G$29,G$30,"fiscal_year")</f>
        <v/>
      </c>
      <c r="H31" s="18" t="str">
        <f>[1]!IntrinioBankFundamentals(ticker,$N$7,H$29,H$30,"fiscal_year")</f>
        <v/>
      </c>
      <c r="I31" s="18" t="str">
        <f>[1]!IntrinioBankFundamentals(ticker,$N$7,I$29,I$30,"fiscal_year")</f>
        <v/>
      </c>
      <c r="J31" s="18" t="str">
        <f>[1]!IntrinioBankFundamentals(ticker,$N$7,J$29,J$30,"fiscal_year")</f>
        <v/>
      </c>
      <c r="K31" s="18" t="str">
        <f>[1]!IntrinioBankFundamentals(ticker,$N$7,K$29,K$30,"fiscal_year")</f>
        <v/>
      </c>
      <c r="L31" s="48"/>
      <c r="M31" s="46"/>
      <c r="N31" s="46"/>
      <c r="O31" s="17"/>
    </row>
    <row r="32" spans="2:15" ht="21.95" customHeight="1" x14ac:dyDescent="0.45">
      <c r="B32" s="28"/>
      <c r="C32" s="18" t="str">
        <f>[1]!IntrinioBankFundamentals(ticker,$N$7,C$29,C$30,"fiscal_period")</f>
        <v/>
      </c>
      <c r="D32" s="18" t="str">
        <f>[1]!IntrinioBankFundamentals(ticker,$N$7,D$29,D$30,"fiscal_period")</f>
        <v/>
      </c>
      <c r="E32" s="18" t="str">
        <f>[1]!IntrinioBankFundamentals(ticker,$N$7,E$29,E$30,"fiscal_period")</f>
        <v/>
      </c>
      <c r="F32" s="18" t="str">
        <f>[1]!IntrinioBankFundamentals(ticker,$N$7,F$29,F$30,"fiscal_period")</f>
        <v/>
      </c>
      <c r="G32" s="18" t="str">
        <f>[1]!IntrinioBankFundamentals(ticker,$N$7,G29,G30,"fiscal_period")</f>
        <v/>
      </c>
      <c r="H32" s="18" t="str">
        <f>[1]!IntrinioBankFundamentals(ticker,"RI",H$29,H$30,"fiscal_period")</f>
        <v/>
      </c>
      <c r="I32" s="18" t="str">
        <f>[1]!IntrinioBankFundamentals(ticker,"RI",I$29,I$30,"fiscal_period")</f>
        <v/>
      </c>
      <c r="J32" s="18" t="str">
        <f>[1]!IntrinioBankFundamentals(ticker,"RI",J$29,J$30,"fiscal_period")</f>
        <v/>
      </c>
      <c r="K32" s="18" t="str">
        <f>[1]!IntrinioBankFundamentals(ticker,"RI",K$29,K$30,"fiscal_period")</f>
        <v/>
      </c>
      <c r="L32" s="16"/>
      <c r="M32" s="17"/>
      <c r="N32" s="17"/>
      <c r="O32" s="17"/>
    </row>
    <row r="33" spans="2:15" ht="21.95" customHeight="1" x14ac:dyDescent="0.45">
      <c r="B33" s="28"/>
      <c r="C33" s="28"/>
      <c r="D33" s="28"/>
      <c r="E33" s="28"/>
      <c r="F33" s="28"/>
      <c r="G33" s="121" t="str">
        <f>[1]!IntrinioBankFundamentals(ticker,$N$6,"QTR",G$28,"fiscal_period")</f>
        <v/>
      </c>
      <c r="H33" s="121" t="str">
        <f t="shared" ref="H33" si="3">IF(H32="Q4","FY",H32)</f>
        <v/>
      </c>
      <c r="I33" s="121" t="str">
        <f>IF(I32="Q4","FY",I32)</f>
        <v/>
      </c>
      <c r="J33" s="121" t="str">
        <f t="shared" ref="J33" si="4">IF(J32="Q4","FY",J32)</f>
        <v/>
      </c>
      <c r="K33" s="121" t="str">
        <f>IF(K32="Q4","FY",K32)</f>
        <v/>
      </c>
      <c r="L33" s="17"/>
      <c r="M33" s="17"/>
      <c r="N33" s="17"/>
      <c r="O33" s="17"/>
    </row>
    <row r="34" spans="2:15" ht="21.95" customHeight="1" x14ac:dyDescent="0.45"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2:15" ht="23.8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5" ht="15.75" customHeight="1" x14ac:dyDescent="0.45">
      <c r="C36" s="3"/>
      <c r="D36" s="3"/>
      <c r="E36" s="3"/>
      <c r="F36" s="3"/>
      <c r="G36" s="3"/>
      <c r="H36" s="3"/>
      <c r="I36" s="3"/>
      <c r="J36" s="3"/>
      <c r="K36" s="3"/>
      <c r="L36" s="20"/>
    </row>
    <row r="37" spans="2:15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5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5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5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5" x14ac:dyDescent="0.45">
      <c r="C41" s="3"/>
      <c r="D41" s="3"/>
      <c r="E41" s="3"/>
      <c r="F41" s="3"/>
      <c r="G41" s="3"/>
      <c r="H41" s="3"/>
      <c r="I41" s="3"/>
      <c r="J41" s="3"/>
      <c r="K41" s="3"/>
    </row>
    <row r="42" spans="2:15" x14ac:dyDescent="0.45">
      <c r="C42" s="3"/>
      <c r="D42" s="3"/>
      <c r="E42" s="3"/>
      <c r="F42" s="3"/>
      <c r="G42" s="3"/>
      <c r="H42" s="3"/>
      <c r="I42" s="3"/>
      <c r="J42" s="3"/>
      <c r="K42" s="3"/>
      <c r="L42" s="19"/>
    </row>
    <row r="43" spans="2:15" x14ac:dyDescent="0.45">
      <c r="C43" s="3"/>
      <c r="D43" s="3"/>
      <c r="E43" s="3"/>
      <c r="F43" s="3"/>
      <c r="G43" s="3"/>
      <c r="H43" s="3"/>
      <c r="I43" s="3"/>
      <c r="J43" s="3"/>
      <c r="K43" s="3"/>
    </row>
    <row r="44" spans="2:15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5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5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5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5" x14ac:dyDescent="0.45">
      <c r="C48" s="3"/>
      <c r="D48" s="3"/>
      <c r="E48" s="3"/>
      <c r="F48" s="3"/>
      <c r="G48" s="3"/>
      <c r="H48" s="3"/>
      <c r="I48" s="3"/>
      <c r="J48" s="3"/>
      <c r="K48" s="3"/>
    </row>
  </sheetData>
  <mergeCells count="2">
    <mergeCell ref="C4:G4"/>
    <mergeCell ref="H4:K4"/>
  </mergeCells>
  <conditionalFormatting sqref="L36:L38">
    <cfRule type="cellIs" dxfId="9" priority="1" operator="greaterThan">
      <formula>0</formula>
    </cfRule>
    <cfRule type="cellIs" dxfId="8" priority="2" operator="lessThan">
      <formula>0</formula>
    </cfRule>
  </conditionalFormatting>
  <pageMargins left="0.7" right="0.7" top="0.75" bottom="0.75" header="0.3" footer="0.3"/>
  <pageSetup scale="82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7"/>
    <pageSetUpPr fitToPage="1"/>
  </sheetPr>
  <dimension ref="A1:O49"/>
  <sheetViews>
    <sheetView showGridLines="0" view="pageBreakPreview" zoomScale="80" zoomScaleNormal="100" zoomScaleSheetLayoutView="80" workbookViewId="0">
      <selection activeCell="K7" sqref="K7"/>
    </sheetView>
  </sheetViews>
  <sheetFormatPr defaultColWidth="9.1328125" defaultRowHeight="14.25" x14ac:dyDescent="0.45"/>
  <cols>
    <col min="1" max="1" width="2.3984375" style="18" customWidth="1"/>
    <col min="2" max="2" width="32.1328125" style="18" bestFit="1" customWidth="1"/>
    <col min="3" max="11" width="10.3984375" style="18" customWidth="1"/>
    <col min="12" max="12" width="0.86328125" style="18" customWidth="1"/>
    <col min="13" max="13" width="15.3984375" style="18" customWidth="1"/>
    <col min="14" max="14" width="20.59765625" style="18" customWidth="1"/>
    <col min="15" max="15" width="23.46484375" style="18" bestFit="1" customWidth="1"/>
    <col min="16" max="16384" width="9.1328125" style="18"/>
  </cols>
  <sheetData>
    <row r="1" spans="1:15" ht="18" x14ac:dyDescent="0.55000000000000004">
      <c r="A1" s="200" t="str">
        <f>name</f>
        <v/>
      </c>
    </row>
    <row r="2" spans="1:15" ht="15.4" x14ac:dyDescent="0.45">
      <c r="A2" s="23" t="s">
        <v>130</v>
      </c>
    </row>
    <row r="4" spans="1:15" ht="21.75" customHeight="1" x14ac:dyDescent="0.45">
      <c r="B4" s="90"/>
      <c r="C4" s="212" t="s">
        <v>71</v>
      </c>
      <c r="D4" s="213"/>
      <c r="E4" s="213"/>
      <c r="F4" s="213"/>
      <c r="G4" s="215"/>
      <c r="H4" s="212" t="s">
        <v>72</v>
      </c>
      <c r="I4" s="213"/>
      <c r="J4" s="213"/>
      <c r="K4" s="213"/>
    </row>
    <row r="5" spans="1:15" ht="21.95" customHeight="1" x14ac:dyDescent="0.45">
      <c r="B5" s="91"/>
      <c r="C5" s="92" t="str">
        <f t="shared" ref="C5:E5" si="0">"FY "&amp;C32</f>
        <v xml:space="preserve">FY </v>
      </c>
      <c r="D5" s="93" t="str">
        <f t="shared" si="0"/>
        <v xml:space="preserve">FY </v>
      </c>
      <c r="E5" s="93" t="str">
        <f t="shared" si="0"/>
        <v xml:space="preserve">FY </v>
      </c>
      <c r="F5" s="93" t="str">
        <f>"FY "&amp;F32</f>
        <v xml:space="preserve">FY </v>
      </c>
      <c r="G5" s="142" t="str">
        <f>G33&amp; " " &amp;G32</f>
        <v xml:space="preserve"> </v>
      </c>
      <c r="H5" s="92" t="str">
        <f>H33&amp; " " &amp;H32</f>
        <v xml:space="preserve"> </v>
      </c>
      <c r="I5" s="93" t="str">
        <f t="shared" ref="I5:K5" si="1">I33&amp; " " &amp;I32</f>
        <v xml:space="preserve"> </v>
      </c>
      <c r="J5" s="93" t="str">
        <f t="shared" si="1"/>
        <v xml:space="preserve"> </v>
      </c>
      <c r="K5" s="93" t="str">
        <f t="shared" si="1"/>
        <v xml:space="preserve"> </v>
      </c>
      <c r="M5" s="1"/>
      <c r="N5" s="1"/>
    </row>
    <row r="6" spans="1:15" ht="21.4" customHeight="1" x14ac:dyDescent="0.45">
      <c r="B6" s="141" t="s">
        <v>129</v>
      </c>
      <c r="C6" s="143"/>
      <c r="D6" s="124"/>
      <c r="E6" s="124"/>
      <c r="F6" s="124"/>
      <c r="G6" s="144"/>
      <c r="H6" s="123"/>
      <c r="I6" s="124"/>
      <c r="J6" s="124"/>
      <c r="K6" s="124"/>
      <c r="N6" s="18" t="s">
        <v>102</v>
      </c>
      <c r="O6" s="18" t="s">
        <v>32</v>
      </c>
    </row>
    <row r="7" spans="1:15" s="119" customFormat="1" ht="21.4" customHeight="1" x14ac:dyDescent="0.45">
      <c r="B7" s="147" t="s">
        <v>156</v>
      </c>
      <c r="C7" s="165" t="e">
        <f>[1]!IntrinioBankFinancials(ticker,$N7,C$32,C$33,$O7,"A")</f>
        <v>#VALUE!</v>
      </c>
      <c r="D7" s="166" t="e">
        <f>[1]!IntrinioBankFinancials(ticker,$N7,D$32,D$33,$O7,"A")</f>
        <v>#VALUE!</v>
      </c>
      <c r="E7" s="166" t="e">
        <f>[1]!IntrinioBankFinancials(ticker,$N7,E$32,E$33,$O7,"A")</f>
        <v>#VALUE!</v>
      </c>
      <c r="F7" s="166" t="e">
        <f>[1]!IntrinioBankFinancials(ticker,$N7,F$32,F$33,$O7,"A")</f>
        <v>#VALUE!</v>
      </c>
      <c r="G7" s="167" t="e">
        <f>[1]!IntrinioBankFinancials(ticker,$N7,G$32,G$33,$O7,"A")</f>
        <v>#VALUE!</v>
      </c>
      <c r="H7" s="165" t="e">
        <f>[1]!IntrinioBankFinancials(ticker,$N7,H$32,H$34,$O7,"A")</f>
        <v>#VALUE!</v>
      </c>
      <c r="I7" s="166" t="e">
        <f>[1]!IntrinioBankFinancials(ticker,$N7,I$32,I$34,$O7,"A")</f>
        <v>#VALUE!</v>
      </c>
      <c r="J7" s="166" t="e">
        <f>[1]!IntrinioBankFinancials(ticker,$N7,J$32,J$34,$O7,"A")</f>
        <v>#VALUE!</v>
      </c>
      <c r="K7" s="166" t="e">
        <f>[1]!IntrinioBankFinancials(ticker,$N7,K$32,K$34,$O7,"A")</f>
        <v>#VALUE!</v>
      </c>
      <c r="L7" s="120"/>
      <c r="M7" s="120"/>
      <c r="N7" s="17" t="s">
        <v>166</v>
      </c>
      <c r="O7" s="120" t="s">
        <v>167</v>
      </c>
    </row>
    <row r="8" spans="1:15" ht="21.4" customHeight="1" x14ac:dyDescent="0.45">
      <c r="B8" s="156" t="s">
        <v>157</v>
      </c>
      <c r="C8" s="161" t="e">
        <f>[1]!IntrinioBankFinancials(ticker,$N8,C$32,C$33,$O8,"A")</f>
        <v>#VALUE!</v>
      </c>
      <c r="D8" s="162" t="e">
        <f>[1]!IntrinioBankFinancials(ticker,$N8,D$32,D$33,$O8,"A")</f>
        <v>#VALUE!</v>
      </c>
      <c r="E8" s="162" t="e">
        <f>[1]!IntrinioBankFinancials(ticker,$N8,E$32,E$33,$O8,"A")</f>
        <v>#VALUE!</v>
      </c>
      <c r="F8" s="162" t="e">
        <f>[1]!IntrinioBankFinancials(ticker,$N8,F$32,F$33,$O8,"A")</f>
        <v>#VALUE!</v>
      </c>
      <c r="G8" s="163" t="e">
        <f>[1]!IntrinioBankFinancials(ticker,$N8,G$32,G$33,$O8,"A")</f>
        <v>#VALUE!</v>
      </c>
      <c r="H8" s="164" t="e">
        <f>[1]!IntrinioBankFinancials(ticker,$N8,H$32,H$34,$O8,"A")</f>
        <v>#VALUE!</v>
      </c>
      <c r="I8" s="162" t="e">
        <f>[1]!IntrinioBankFinancials(ticker,$N8,I$32,I$34,$O8,"A")</f>
        <v>#VALUE!</v>
      </c>
      <c r="J8" s="162" t="e">
        <f>[1]!IntrinioBankFinancials(ticker,$N8,J$32,J$34,$O8,"A")</f>
        <v>#VALUE!</v>
      </c>
      <c r="K8" s="162" t="e">
        <f>[1]!IntrinioBankFinancials(ticker,$N8,K$32,K$34,$O8,"A")</f>
        <v>#VALUE!</v>
      </c>
      <c r="L8" s="17"/>
      <c r="M8" s="17"/>
      <c r="N8" s="17" t="str">
        <f>N7</f>
        <v>LiquidityInvPortfolio</v>
      </c>
      <c r="O8" s="120" t="s">
        <v>168</v>
      </c>
    </row>
    <row r="9" spans="1:15" ht="21.4" customHeight="1" x14ac:dyDescent="0.45">
      <c r="B9" s="150" t="s">
        <v>158</v>
      </c>
      <c r="C9" s="165" t="e">
        <f>[1]!IntrinioBankFinancials(ticker,$N9,C$32,C$33,$O9,"A")</f>
        <v>#VALUE!</v>
      </c>
      <c r="D9" s="166" t="e">
        <f>[1]!IntrinioBankFinancials(ticker,$N9,D$32,D$33,$O9,"A")</f>
        <v>#VALUE!</v>
      </c>
      <c r="E9" s="166" t="e">
        <f>[1]!IntrinioBankFinancials(ticker,$N9,E$32,E$33,$O9,"A")</f>
        <v>#VALUE!</v>
      </c>
      <c r="F9" s="166" t="e">
        <f>[1]!IntrinioBankFinancials(ticker,$N9,F$32,F$33,$O9,"A")</f>
        <v>#VALUE!</v>
      </c>
      <c r="G9" s="167" t="e">
        <f>[1]!IntrinioBankFinancials(ticker,$N9,G$32,G$33,$O9,"A")</f>
        <v>#VALUE!</v>
      </c>
      <c r="H9" s="165" t="e">
        <f>[1]!IntrinioBankFinancials(ticker,$N9,H$32,H$34,$O9,"A")</f>
        <v>#VALUE!</v>
      </c>
      <c r="I9" s="166" t="e">
        <f>[1]!IntrinioBankFinancials(ticker,$N9,I$32,I$34,$O9,"A")</f>
        <v>#VALUE!</v>
      </c>
      <c r="J9" s="166" t="e">
        <f>[1]!IntrinioBankFinancials(ticker,$N9,J$32,J$34,$O9,"A")</f>
        <v>#VALUE!</v>
      </c>
      <c r="K9" s="166" t="e">
        <f>[1]!IntrinioBankFinancials(ticker,$N9,K$32,K$34,$O9,"A")</f>
        <v>#VALUE!</v>
      </c>
      <c r="L9" s="17"/>
      <c r="M9" s="17"/>
      <c r="N9" s="17" t="str">
        <f t="shared" ref="N9:N16" si="2">N8</f>
        <v>LiquidityInvPortfolio</v>
      </c>
      <c r="O9" s="120" t="s">
        <v>169</v>
      </c>
    </row>
    <row r="10" spans="1:15" ht="21.4" customHeight="1" x14ac:dyDescent="0.45">
      <c r="B10" s="156" t="s">
        <v>159</v>
      </c>
      <c r="C10" s="161" t="e">
        <f>[1]!IntrinioBankFinancials(ticker,$N10,C$32,C$33,$O10,"A")</f>
        <v>#VALUE!</v>
      </c>
      <c r="D10" s="162" t="e">
        <f>[1]!IntrinioBankFinancials(ticker,$N10,D$32,D$33,$O10,"A")</f>
        <v>#VALUE!</v>
      </c>
      <c r="E10" s="162" t="e">
        <f>[1]!IntrinioBankFinancials(ticker,$N10,E$32,E$33,$O10,"A")</f>
        <v>#VALUE!</v>
      </c>
      <c r="F10" s="162" t="e">
        <f>[1]!IntrinioBankFinancials(ticker,$N10,F$32,F$33,$O10,"A")</f>
        <v>#VALUE!</v>
      </c>
      <c r="G10" s="163" t="e">
        <f>[1]!IntrinioBankFinancials(ticker,$N10,G$32,G$33,$O10,"A")</f>
        <v>#VALUE!</v>
      </c>
      <c r="H10" s="164" t="e">
        <f>[1]!IntrinioBankFinancials(ticker,$N10,H$32,H$34,$O10,"A")</f>
        <v>#VALUE!</v>
      </c>
      <c r="I10" s="162" t="e">
        <f>[1]!IntrinioBankFinancials(ticker,$N10,I$32,I$34,$O10,"A")</f>
        <v>#VALUE!</v>
      </c>
      <c r="J10" s="162" t="e">
        <f>[1]!IntrinioBankFinancials(ticker,$N10,J$32,J$34,$O10,"A")</f>
        <v>#VALUE!</v>
      </c>
      <c r="K10" s="162" t="e">
        <f>[1]!IntrinioBankFinancials(ticker,$N10,K$32,K$34,$O10,"A")</f>
        <v>#VALUE!</v>
      </c>
      <c r="L10" s="17"/>
      <c r="M10" s="17"/>
      <c r="N10" s="17" t="str">
        <f t="shared" si="2"/>
        <v>LiquidityInvPortfolio</v>
      </c>
      <c r="O10" s="120" t="s">
        <v>170</v>
      </c>
    </row>
    <row r="11" spans="1:15" s="119" customFormat="1" ht="21.4" customHeight="1" x14ac:dyDescent="0.45">
      <c r="B11" s="147" t="s">
        <v>160</v>
      </c>
      <c r="C11" s="165" t="e">
        <f>[1]!IntrinioBankFinancials(ticker,$N11,C$32,C$33,$O11,"A")</f>
        <v>#VALUE!</v>
      </c>
      <c r="D11" s="166" t="e">
        <f>[1]!IntrinioBankFinancials(ticker,$N11,D$32,D$33,$O11,"A")</f>
        <v>#VALUE!</v>
      </c>
      <c r="E11" s="166" t="e">
        <f>[1]!IntrinioBankFinancials(ticker,$N11,E$32,E$33,$O11,"A")</f>
        <v>#VALUE!</v>
      </c>
      <c r="F11" s="166" t="e">
        <f>[1]!IntrinioBankFinancials(ticker,$N11,F$32,F$33,$O11,"A")</f>
        <v>#VALUE!</v>
      </c>
      <c r="G11" s="167" t="e">
        <f>[1]!IntrinioBankFinancials(ticker,$N11,G$32,G$33,$O11,"A")</f>
        <v>#VALUE!</v>
      </c>
      <c r="H11" s="165" t="e">
        <f>[1]!IntrinioBankFinancials(ticker,$N11,H$32,H$34,$O11,"A")</f>
        <v>#VALUE!</v>
      </c>
      <c r="I11" s="166" t="e">
        <f>[1]!IntrinioBankFinancials(ticker,$N11,I$32,I$34,$O11,"A")</f>
        <v>#VALUE!</v>
      </c>
      <c r="J11" s="166" t="e">
        <f>[1]!IntrinioBankFinancials(ticker,$N11,J$32,J$34,$O11,"A")</f>
        <v>#VALUE!</v>
      </c>
      <c r="K11" s="166" t="e">
        <f>[1]!IntrinioBankFinancials(ticker,$N11,K$32,K$34,$O11,"A")</f>
        <v>#VALUE!</v>
      </c>
      <c r="L11" s="120"/>
      <c r="M11" s="120"/>
      <c r="N11" s="17" t="str">
        <f t="shared" si="2"/>
        <v>LiquidityInvPortfolio</v>
      </c>
      <c r="O11" s="120" t="s">
        <v>171</v>
      </c>
    </row>
    <row r="12" spans="1:15" ht="21.4" customHeight="1" x14ac:dyDescent="0.45">
      <c r="B12" s="156" t="s">
        <v>161</v>
      </c>
      <c r="C12" s="161" t="e">
        <f>[1]!IntrinioBankFinancials(ticker,$N12,C$32,C$33,$O12,"A")</f>
        <v>#VALUE!</v>
      </c>
      <c r="D12" s="162" t="e">
        <f>[1]!IntrinioBankFinancials(ticker,$N12,D$32,D$33,$O12,"A")</f>
        <v>#VALUE!</v>
      </c>
      <c r="E12" s="162" t="e">
        <f>[1]!IntrinioBankFinancials(ticker,$N12,E$32,E$33,$O12,"A")</f>
        <v>#VALUE!</v>
      </c>
      <c r="F12" s="162" t="e">
        <f>[1]!IntrinioBankFinancials(ticker,$N12,F$32,F$33,$O12,"A")</f>
        <v>#VALUE!</v>
      </c>
      <c r="G12" s="163" t="e">
        <f>[1]!IntrinioBankFinancials(ticker,$N12,G$32,G$33,$O12,"A")</f>
        <v>#VALUE!</v>
      </c>
      <c r="H12" s="164" t="e">
        <f>[1]!IntrinioBankFinancials(ticker,$N12,H$32,H$34,$O12,"A")</f>
        <v>#VALUE!</v>
      </c>
      <c r="I12" s="162" t="e">
        <f>[1]!IntrinioBankFinancials(ticker,$N12,I$32,I$34,$O12,"A")</f>
        <v>#VALUE!</v>
      </c>
      <c r="J12" s="162" t="e">
        <f>[1]!IntrinioBankFinancials(ticker,$N12,J$32,J$34,$O12,"A")</f>
        <v>#VALUE!</v>
      </c>
      <c r="K12" s="162" t="e">
        <f>[1]!IntrinioBankFinancials(ticker,$N12,K$32,K$34,$O12,"A")</f>
        <v>#VALUE!</v>
      </c>
      <c r="L12" s="17"/>
      <c r="M12" s="17"/>
      <c r="N12" s="17" t="str">
        <f t="shared" si="2"/>
        <v>LiquidityInvPortfolio</v>
      </c>
      <c r="O12" s="120" t="s">
        <v>172</v>
      </c>
    </row>
    <row r="13" spans="1:15" ht="21.4" customHeight="1" x14ac:dyDescent="0.45">
      <c r="B13" s="150" t="s">
        <v>162</v>
      </c>
      <c r="C13" s="165" t="e">
        <f>[1]!IntrinioBankFinancials(ticker,$N13,C$32,C$33,$O13,"A")</f>
        <v>#VALUE!</v>
      </c>
      <c r="D13" s="166" t="e">
        <f>[1]!IntrinioBankFinancials(ticker,$N13,D$32,D$33,$O13,"A")</f>
        <v>#VALUE!</v>
      </c>
      <c r="E13" s="166" t="e">
        <f>[1]!IntrinioBankFinancials(ticker,$N13,E$32,E$33,$O13,"A")</f>
        <v>#VALUE!</v>
      </c>
      <c r="F13" s="166" t="e">
        <f>[1]!IntrinioBankFinancials(ticker,$N13,F$32,F$33,$O13,"A")</f>
        <v>#VALUE!</v>
      </c>
      <c r="G13" s="167" t="e">
        <f>[1]!IntrinioBankFinancials(ticker,$N13,G$32,G$33,$O13,"A")</f>
        <v>#VALUE!</v>
      </c>
      <c r="H13" s="165" t="e">
        <f>[1]!IntrinioBankFinancials(ticker,$N13,H$32,H$34,$O13,"A")</f>
        <v>#VALUE!</v>
      </c>
      <c r="I13" s="166" t="e">
        <f>[1]!IntrinioBankFinancials(ticker,$N13,I$32,I$34,$O13,"A")</f>
        <v>#VALUE!</v>
      </c>
      <c r="J13" s="166" t="e">
        <f>[1]!IntrinioBankFinancials(ticker,$N13,J$32,J$34,$O13,"A")</f>
        <v>#VALUE!</v>
      </c>
      <c r="K13" s="166" t="e">
        <f>[1]!IntrinioBankFinancials(ticker,$N13,K$32,K$34,$O13,"A")</f>
        <v>#VALUE!</v>
      </c>
      <c r="L13" s="17"/>
      <c r="M13" s="17"/>
      <c r="N13" s="17" t="str">
        <f t="shared" si="2"/>
        <v>LiquidityInvPortfolio</v>
      </c>
      <c r="O13" s="120" t="s">
        <v>173</v>
      </c>
    </row>
    <row r="14" spans="1:15" ht="21.4" customHeight="1" x14ac:dyDescent="0.45">
      <c r="B14" s="156" t="s">
        <v>163</v>
      </c>
      <c r="C14" s="161" t="e">
        <f>[1]!IntrinioBankFinancials(ticker,$N14,C$32,C$33,$O14,"A")</f>
        <v>#VALUE!</v>
      </c>
      <c r="D14" s="162" t="e">
        <f>[1]!IntrinioBankFinancials(ticker,$N14,D$32,D$33,$O14,"A")</f>
        <v>#VALUE!</v>
      </c>
      <c r="E14" s="162" t="e">
        <f>[1]!IntrinioBankFinancials(ticker,$N14,E$32,E$33,$O14,"A")</f>
        <v>#VALUE!</v>
      </c>
      <c r="F14" s="162" t="e">
        <f>[1]!IntrinioBankFinancials(ticker,$N14,F$32,F$33,$O14,"A")</f>
        <v>#VALUE!</v>
      </c>
      <c r="G14" s="163" t="e">
        <f>[1]!IntrinioBankFinancials(ticker,$N14,G$32,G$33,$O14,"A")</f>
        <v>#VALUE!</v>
      </c>
      <c r="H14" s="164" t="e">
        <f>[1]!IntrinioBankFinancials(ticker,$N14,H$32,H$34,$O14,"A")</f>
        <v>#VALUE!</v>
      </c>
      <c r="I14" s="162" t="e">
        <f>[1]!IntrinioBankFinancials(ticker,$N14,I$32,I$34,$O14,"A")</f>
        <v>#VALUE!</v>
      </c>
      <c r="J14" s="162" t="e">
        <f>[1]!IntrinioBankFinancials(ticker,$N14,J$32,J$34,$O14,"A")</f>
        <v>#VALUE!</v>
      </c>
      <c r="K14" s="162" t="e">
        <f>[1]!IntrinioBankFinancials(ticker,$N14,K$32,K$34,$O14,"A")</f>
        <v>#VALUE!</v>
      </c>
      <c r="L14" s="17"/>
      <c r="M14" s="17"/>
      <c r="N14" s="17" t="str">
        <f t="shared" si="2"/>
        <v>LiquidityInvPortfolio</v>
      </c>
      <c r="O14" s="120" t="s">
        <v>174</v>
      </c>
    </row>
    <row r="15" spans="1:15" ht="21.4" customHeight="1" x14ac:dyDescent="0.45">
      <c r="B15" s="150" t="s">
        <v>164</v>
      </c>
      <c r="C15" s="165" t="e">
        <f>[1]!IntrinioBankFinancials(ticker,$N15,C$32,C$33,$O15,"A")</f>
        <v>#VALUE!</v>
      </c>
      <c r="D15" s="166" t="e">
        <f>[1]!IntrinioBankFinancials(ticker,$N15,D$32,D$33,$O15,"A")</f>
        <v>#VALUE!</v>
      </c>
      <c r="E15" s="166" t="e">
        <f>[1]!IntrinioBankFinancials(ticker,$N15,E$32,E$33,$O15,"A")</f>
        <v>#VALUE!</v>
      </c>
      <c r="F15" s="166" t="e">
        <f>[1]!IntrinioBankFinancials(ticker,$N15,F$32,F$33,$O15,"A")</f>
        <v>#VALUE!</v>
      </c>
      <c r="G15" s="167" t="e">
        <f>[1]!IntrinioBankFinancials(ticker,$N15,G$32,G$33,$O15,"A")</f>
        <v>#VALUE!</v>
      </c>
      <c r="H15" s="165" t="e">
        <f>[1]!IntrinioBankFinancials(ticker,$N15,H$32,H$34,$O15,"A")</f>
        <v>#VALUE!</v>
      </c>
      <c r="I15" s="166" t="e">
        <f>[1]!IntrinioBankFinancials(ticker,$N15,I$32,I$34,$O15,"A")</f>
        <v>#VALUE!</v>
      </c>
      <c r="J15" s="166" t="e">
        <f>[1]!IntrinioBankFinancials(ticker,$N15,J$32,J$34,$O15,"A")</f>
        <v>#VALUE!</v>
      </c>
      <c r="K15" s="166" t="e">
        <f>[1]!IntrinioBankFinancials(ticker,$N15,K$32,K$34,$O15,"A")</f>
        <v>#VALUE!</v>
      </c>
      <c r="L15" s="17"/>
      <c r="M15" s="17"/>
      <c r="N15" s="17" t="str">
        <f t="shared" si="2"/>
        <v>LiquidityInvPortfolio</v>
      </c>
      <c r="O15" s="120" t="s">
        <v>175</v>
      </c>
    </row>
    <row r="16" spans="1:15" ht="21.4" customHeight="1" x14ac:dyDescent="0.45">
      <c r="B16" s="156" t="s">
        <v>165</v>
      </c>
      <c r="C16" s="161" t="e">
        <f>[1]!IntrinioBankFinancials(ticker,$N16,C$32,C$33,$O16,"A")</f>
        <v>#VALUE!</v>
      </c>
      <c r="D16" s="162" t="e">
        <f>[1]!IntrinioBankFinancials(ticker,$N16,D$32,D$33,$O16,"A")</f>
        <v>#VALUE!</v>
      </c>
      <c r="E16" s="162" t="e">
        <f>[1]!IntrinioBankFinancials(ticker,$N16,E$32,E$33,$O16,"A")</f>
        <v>#VALUE!</v>
      </c>
      <c r="F16" s="162" t="e">
        <f>[1]!IntrinioBankFinancials(ticker,$N16,F$32,F$33,$O16,"A")</f>
        <v>#VALUE!</v>
      </c>
      <c r="G16" s="163" t="e">
        <f>[1]!IntrinioBankFinancials(ticker,$N16,G$32,G$33,$O16,"A")</f>
        <v>#VALUE!</v>
      </c>
      <c r="H16" s="164" t="e">
        <f>[1]!IntrinioBankFinancials(ticker,$N16,H$32,H$34,$O16,"A")</f>
        <v>#VALUE!</v>
      </c>
      <c r="I16" s="162" t="e">
        <f>[1]!IntrinioBankFinancials(ticker,$N16,I$32,I$34,$O16,"A")</f>
        <v>#VALUE!</v>
      </c>
      <c r="J16" s="162" t="e">
        <f>[1]!IntrinioBankFinancials(ticker,$N16,J$32,J$34,$O16,"A")</f>
        <v>#VALUE!</v>
      </c>
      <c r="K16" s="162" t="e">
        <f>[1]!IntrinioBankFinancials(ticker,$N16,K$32,K$34,$O16,"A")</f>
        <v>#VALUE!</v>
      </c>
      <c r="L16" s="17"/>
      <c r="M16" s="17"/>
      <c r="N16" s="17" t="str">
        <f t="shared" si="2"/>
        <v>LiquidityInvPortfolio</v>
      </c>
      <c r="O16" s="120" t="s">
        <v>176</v>
      </c>
    </row>
    <row r="17" spans="2:15" ht="12.95" customHeight="1" x14ac:dyDescent="0.45">
      <c r="B17" s="157"/>
      <c r="C17" s="158"/>
      <c r="D17" s="158"/>
      <c r="E17" s="158"/>
      <c r="F17" s="158"/>
      <c r="G17" s="158"/>
      <c r="H17" s="158"/>
      <c r="I17" s="158"/>
      <c r="J17" s="158"/>
      <c r="K17" s="158"/>
      <c r="O17" s="120"/>
    </row>
    <row r="18" spans="2:15" ht="21.95" customHeight="1" x14ac:dyDescent="0.45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7"/>
      <c r="M18" s="17"/>
      <c r="N18" s="17"/>
      <c r="O18" s="17"/>
    </row>
    <row r="19" spans="2:15" ht="21.95" customHeight="1" x14ac:dyDescent="0.45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7"/>
      <c r="M19" s="17"/>
      <c r="N19" s="17"/>
      <c r="O19" s="17"/>
    </row>
    <row r="20" spans="2:15" ht="21.95" customHeight="1" x14ac:dyDescent="0.45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7"/>
      <c r="M20" s="17"/>
      <c r="N20" s="17"/>
      <c r="O20" s="17"/>
    </row>
    <row r="21" spans="2:15" ht="21.95" customHeight="1" x14ac:dyDescent="0.45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7"/>
      <c r="M21" s="17"/>
      <c r="N21" s="17"/>
      <c r="O21" s="17"/>
    </row>
    <row r="22" spans="2:15" ht="21.95" customHeight="1" x14ac:dyDescent="0.45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7"/>
      <c r="M22" s="17"/>
      <c r="N22" s="17"/>
      <c r="O22" s="17"/>
    </row>
    <row r="23" spans="2:15" ht="21.95" customHeight="1" x14ac:dyDescent="0.45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7"/>
      <c r="M23" s="17"/>
      <c r="N23" s="17"/>
      <c r="O23" s="17"/>
    </row>
    <row r="24" spans="2:15" ht="21.95" customHeight="1" x14ac:dyDescent="0.45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7"/>
      <c r="M24" s="17"/>
      <c r="N24" s="17"/>
      <c r="O24" s="17"/>
    </row>
    <row r="25" spans="2:15" ht="21.95" customHeight="1" x14ac:dyDescent="0.45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7"/>
      <c r="M25" s="17"/>
      <c r="N25" s="17"/>
      <c r="O25" s="17"/>
    </row>
    <row r="26" spans="2:15" ht="21.95" customHeight="1" x14ac:dyDescent="0.45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7"/>
      <c r="M26" s="17"/>
      <c r="N26" s="17"/>
      <c r="O26" s="17"/>
    </row>
    <row r="27" spans="2:15" ht="21.95" customHeight="1" x14ac:dyDescent="0.45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46"/>
      <c r="M27" s="46"/>
      <c r="N27" s="46"/>
      <c r="O27" s="17"/>
    </row>
    <row r="28" spans="2:15" ht="21.95" customHeight="1" x14ac:dyDescent="0.45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46"/>
      <c r="M28" s="46"/>
      <c r="N28" s="46"/>
      <c r="O28" s="17"/>
    </row>
    <row r="29" spans="2:15" ht="21.95" customHeight="1" x14ac:dyDescent="0.45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46"/>
      <c r="M29" s="46"/>
      <c r="N29" s="46"/>
      <c r="O29" s="17"/>
    </row>
    <row r="30" spans="2:15" ht="21.95" customHeight="1" x14ac:dyDescent="0.45">
      <c r="B30" s="28"/>
      <c r="C30" s="121" t="str">
        <f>D30</f>
        <v>FY</v>
      </c>
      <c r="D30" s="121" t="str">
        <f>E30</f>
        <v>FY</v>
      </c>
      <c r="E30" s="121" t="str">
        <f>F30</f>
        <v>FY</v>
      </c>
      <c r="F30" s="121" t="s">
        <v>82</v>
      </c>
      <c r="G30" s="18" t="s">
        <v>41</v>
      </c>
      <c r="H30" s="121" t="str">
        <f>I30</f>
        <v>QTR</v>
      </c>
      <c r="I30" s="121" t="str">
        <f>J30</f>
        <v>QTR</v>
      </c>
      <c r="J30" s="121" t="str">
        <f>K30</f>
        <v>QTR</v>
      </c>
      <c r="K30" s="121" t="s">
        <v>83</v>
      </c>
      <c r="L30" s="46"/>
      <c r="M30" s="46"/>
      <c r="N30" s="46"/>
      <c r="O30" s="17"/>
    </row>
    <row r="31" spans="2:15" ht="21.95" customHeight="1" x14ac:dyDescent="0.45">
      <c r="B31" s="28"/>
      <c r="C31" s="28">
        <f>D31+1</f>
        <v>3</v>
      </c>
      <c r="D31" s="28">
        <f>E31+1</f>
        <v>2</v>
      </c>
      <c r="E31" s="28">
        <f>F31+1</f>
        <v>1</v>
      </c>
      <c r="F31" s="28">
        <f>IF(G33="FY",1,0)</f>
        <v>0</v>
      </c>
      <c r="G31" s="28">
        <v>0</v>
      </c>
      <c r="H31" s="28">
        <f>I31+1</f>
        <v>3</v>
      </c>
      <c r="I31" s="28">
        <f>J31+1</f>
        <v>2</v>
      </c>
      <c r="J31" s="28">
        <f>K31+1</f>
        <v>1</v>
      </c>
      <c r="K31" s="28">
        <v>0</v>
      </c>
      <c r="L31" s="46"/>
      <c r="M31" s="46"/>
      <c r="N31" s="46"/>
      <c r="O31" s="17"/>
    </row>
    <row r="32" spans="2:15" ht="21.95" customHeight="1" x14ac:dyDescent="0.45">
      <c r="B32" s="28"/>
      <c r="C32" s="18" t="str">
        <f>[1]!IntrinioBankFundamentals(ticker,$N$7,C$30,C$31,"fiscal_year")</f>
        <v/>
      </c>
      <c r="D32" s="18" t="str">
        <f>[1]!IntrinioBankFundamentals(ticker,$N$7,D$30,D$31,"fiscal_year")</f>
        <v/>
      </c>
      <c r="E32" s="18" t="str">
        <f>[1]!IntrinioBankFundamentals(ticker,$N$7,E$30,E$31,"fiscal_year")</f>
        <v/>
      </c>
      <c r="F32" s="18" t="str">
        <f>[1]!IntrinioBankFundamentals(ticker,$N$7,F$30,F$31,"fiscal_year")</f>
        <v/>
      </c>
      <c r="G32" s="18" t="str">
        <f>[1]!IntrinioBankFundamentals(ticker,$N$7,G$30,G$31,"fiscal_year")</f>
        <v/>
      </c>
      <c r="H32" s="18" t="str">
        <f>[1]!IntrinioBankFundamentals(ticker,$N$7,H$30,H$31,"fiscal_year")</f>
        <v/>
      </c>
      <c r="I32" s="18" t="str">
        <f>[1]!IntrinioBankFundamentals(ticker,$N$7,I$30,I$31,"fiscal_year")</f>
        <v/>
      </c>
      <c r="J32" s="18" t="str">
        <f>[1]!IntrinioBankFundamentals(ticker,$N$7,J$30,J$31,"fiscal_year")</f>
        <v/>
      </c>
      <c r="K32" s="18" t="str">
        <f>[1]!IntrinioBankFundamentals(ticker,$N$7,K$30,K$31,"fiscal_year")</f>
        <v/>
      </c>
      <c r="L32" s="48"/>
      <c r="M32" s="46"/>
      <c r="N32" s="46"/>
      <c r="O32" s="17"/>
    </row>
    <row r="33" spans="2:15" ht="21.95" customHeight="1" x14ac:dyDescent="0.45">
      <c r="B33" s="28"/>
      <c r="C33" s="18" t="str">
        <f>[1]!IntrinioBankFundamentals(ticker,$N$7,C$30,C$31,"fiscal_period")</f>
        <v/>
      </c>
      <c r="D33" s="18" t="str">
        <f>[1]!IntrinioBankFundamentals(ticker,$N$7,D$30,D$31,"fiscal_period")</f>
        <v/>
      </c>
      <c r="E33" s="18" t="str">
        <f>[1]!IntrinioBankFundamentals(ticker,$N$7,E$30,E$31,"fiscal_period")</f>
        <v/>
      </c>
      <c r="F33" s="18" t="str">
        <f>[1]!IntrinioBankFundamentals(ticker,$N$7,F$30,F$31,"fiscal_period")</f>
        <v/>
      </c>
      <c r="G33" s="18" t="str">
        <f>[1]!IntrinioBankFundamentals(ticker,$N$7,G30,G31,"fiscal_period")</f>
        <v/>
      </c>
      <c r="H33" s="18" t="str">
        <f>[1]!IntrinioBankFundamentals(ticker,"RI",H$30,H$31,"fiscal_period")</f>
        <v/>
      </c>
      <c r="I33" s="18" t="str">
        <f>[1]!IntrinioBankFundamentals(ticker,"RI",I$30,I$31,"fiscal_period")</f>
        <v/>
      </c>
      <c r="J33" s="18" t="str">
        <f>[1]!IntrinioBankFundamentals(ticker,"RI",J$30,J$31,"fiscal_period")</f>
        <v/>
      </c>
      <c r="K33" s="18" t="str">
        <f>[1]!IntrinioBankFundamentals(ticker,"RI",K$30,K$31,"fiscal_period")</f>
        <v/>
      </c>
      <c r="L33" s="16"/>
      <c r="M33" s="17"/>
      <c r="N33" s="17"/>
      <c r="O33" s="17"/>
    </row>
    <row r="34" spans="2:15" ht="21.95" customHeight="1" x14ac:dyDescent="0.45">
      <c r="B34" s="28"/>
      <c r="C34" s="28"/>
      <c r="D34" s="28"/>
      <c r="E34" s="28"/>
      <c r="F34" s="28"/>
      <c r="G34" s="121" t="str">
        <f>[1]!IntrinioBankFundamentals(ticker,$N$6,"QTR",G$29,"fiscal_period")</f>
        <v/>
      </c>
      <c r="H34" s="121" t="str">
        <f t="shared" ref="H34" si="3">IF(H33="Q4","FY",H33)</f>
        <v/>
      </c>
      <c r="I34" s="121" t="str">
        <f>IF(I33="Q4","FY",I33)</f>
        <v/>
      </c>
      <c r="J34" s="121" t="str">
        <f t="shared" ref="J34" si="4">IF(J33="Q4","FY",J33)</f>
        <v/>
      </c>
      <c r="K34" s="121" t="str">
        <f>IF(K33="Q4","FY",K33)</f>
        <v/>
      </c>
      <c r="L34" s="17"/>
      <c r="M34" s="17"/>
      <c r="N34" s="17"/>
      <c r="O34" s="17"/>
    </row>
    <row r="35" spans="2:15" ht="21.95" customHeight="1" x14ac:dyDescent="0.45"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2:15" ht="23.85" customHeight="1" x14ac:dyDescent="0.45"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2:15" ht="15.75" customHeight="1" x14ac:dyDescent="0.45">
      <c r="C37" s="3"/>
      <c r="D37" s="3"/>
      <c r="E37" s="3"/>
      <c r="F37" s="3"/>
      <c r="G37" s="3"/>
      <c r="H37" s="3"/>
      <c r="I37" s="3"/>
      <c r="J37" s="3"/>
      <c r="K37" s="3"/>
      <c r="L37" s="20"/>
    </row>
    <row r="38" spans="2:15" x14ac:dyDescent="0.45">
      <c r="C38" s="3"/>
      <c r="D38" s="3"/>
      <c r="E38" s="3"/>
      <c r="F38" s="3"/>
      <c r="G38" s="3"/>
      <c r="H38" s="3"/>
      <c r="I38" s="3"/>
      <c r="J38" s="3"/>
      <c r="K38" s="3"/>
      <c r="L38" s="20"/>
    </row>
    <row r="39" spans="2:15" x14ac:dyDescent="0.45">
      <c r="C39" s="3"/>
      <c r="D39" s="3"/>
      <c r="E39" s="3"/>
      <c r="F39" s="3"/>
      <c r="G39" s="3"/>
      <c r="H39" s="3"/>
      <c r="I39" s="3"/>
      <c r="J39" s="3"/>
      <c r="K39" s="3"/>
      <c r="L39" s="20"/>
    </row>
    <row r="40" spans="2:15" x14ac:dyDescent="0.45">
      <c r="C40" s="3"/>
      <c r="D40" s="3"/>
      <c r="E40" s="3"/>
      <c r="F40" s="3"/>
      <c r="G40" s="3"/>
      <c r="H40" s="3"/>
      <c r="I40" s="3"/>
      <c r="J40" s="3"/>
      <c r="K40" s="3"/>
      <c r="L40" s="20"/>
    </row>
    <row r="41" spans="2:15" x14ac:dyDescent="0.45">
      <c r="C41" s="3"/>
      <c r="D41" s="3"/>
      <c r="E41" s="3"/>
      <c r="F41" s="3"/>
      <c r="G41" s="3"/>
      <c r="H41" s="3"/>
      <c r="I41" s="3"/>
      <c r="J41" s="3"/>
      <c r="K41" s="3"/>
      <c r="L41" s="20"/>
    </row>
    <row r="42" spans="2:15" x14ac:dyDescent="0.45">
      <c r="C42" s="3"/>
      <c r="D42" s="3"/>
      <c r="E42" s="3"/>
      <c r="F42" s="3"/>
      <c r="G42" s="3"/>
      <c r="H42" s="3"/>
      <c r="I42" s="3"/>
      <c r="J42" s="3"/>
      <c r="K42" s="3"/>
    </row>
    <row r="43" spans="2:15" x14ac:dyDescent="0.45">
      <c r="C43" s="3"/>
      <c r="D43" s="3"/>
      <c r="E43" s="3"/>
      <c r="F43" s="3"/>
      <c r="G43" s="3"/>
      <c r="H43" s="3"/>
      <c r="I43" s="3"/>
      <c r="J43" s="3"/>
      <c r="K43" s="3"/>
      <c r="L43" s="19"/>
    </row>
    <row r="44" spans="2:15" x14ac:dyDescent="0.45">
      <c r="C44" s="3"/>
      <c r="D44" s="3"/>
      <c r="E44" s="3"/>
      <c r="F44" s="3"/>
      <c r="G44" s="3"/>
      <c r="H44" s="3"/>
      <c r="I44" s="3"/>
      <c r="J44" s="3"/>
      <c r="K44" s="3"/>
    </row>
    <row r="45" spans="2:15" x14ac:dyDescent="0.45">
      <c r="C45" s="3"/>
      <c r="D45" s="3"/>
      <c r="E45" s="3"/>
      <c r="F45" s="3"/>
      <c r="G45" s="3"/>
      <c r="H45" s="3"/>
      <c r="I45" s="3"/>
      <c r="J45" s="3"/>
      <c r="K45" s="3"/>
    </row>
    <row r="46" spans="2:15" x14ac:dyDescent="0.45">
      <c r="C46" s="3"/>
      <c r="D46" s="3"/>
      <c r="E46" s="3"/>
      <c r="F46" s="3"/>
      <c r="G46" s="3"/>
      <c r="H46" s="3"/>
      <c r="I46" s="3"/>
      <c r="J46" s="3"/>
      <c r="K46" s="3"/>
    </row>
    <row r="47" spans="2:15" x14ac:dyDescent="0.45">
      <c r="C47" s="3"/>
      <c r="D47" s="3"/>
      <c r="E47" s="3"/>
      <c r="F47" s="3"/>
      <c r="G47" s="3"/>
      <c r="H47" s="3"/>
      <c r="I47" s="3"/>
      <c r="J47" s="3"/>
      <c r="K47" s="3"/>
    </row>
    <row r="48" spans="2:15" x14ac:dyDescent="0.45">
      <c r="C48" s="3"/>
      <c r="D48" s="3"/>
      <c r="E48" s="3"/>
      <c r="F48" s="3"/>
      <c r="G48" s="3"/>
      <c r="H48" s="3"/>
      <c r="I48" s="3"/>
      <c r="J48" s="3"/>
      <c r="K48" s="3"/>
    </row>
    <row r="49" spans="3:11" x14ac:dyDescent="0.45">
      <c r="C49" s="3"/>
      <c r="D49" s="3"/>
      <c r="E49" s="3"/>
      <c r="F49" s="3"/>
      <c r="G49" s="3"/>
      <c r="H49" s="3"/>
      <c r="I49" s="3"/>
      <c r="J49" s="3"/>
      <c r="K49" s="3"/>
    </row>
  </sheetData>
  <mergeCells count="2">
    <mergeCell ref="C4:G4"/>
    <mergeCell ref="H4:K4"/>
  </mergeCells>
  <conditionalFormatting sqref="L37:L39">
    <cfRule type="cellIs" dxfId="7" priority="1" operator="greaterThan">
      <formula>0</formula>
    </cfRule>
    <cfRule type="cellIs" dxfId="6" priority="2" operator="lessThan">
      <formula>0</formula>
    </cfRule>
  </conditionalFormatting>
  <pageMargins left="0.7" right="0.7" top="0.75" bottom="0.75" header="0.3" footer="0.3"/>
  <pageSetup scale="79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  <pageSetUpPr fitToPage="1"/>
  </sheetPr>
  <dimension ref="A1:I23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4.3984375" style="18" customWidth="1"/>
    <col min="3" max="3" width="11.3984375" style="18" customWidth="1"/>
    <col min="4" max="4" width="12.46484375" style="18" customWidth="1"/>
    <col min="5" max="6" width="16.73046875" style="18" customWidth="1"/>
    <col min="7" max="7" width="16" style="18" customWidth="1"/>
    <col min="8" max="8" width="15.59765625" style="18" customWidth="1"/>
    <col min="9" max="9" width="0.86328125" style="18" customWidth="1"/>
    <col min="10" max="10" width="15.3984375" style="18" customWidth="1"/>
    <col min="11" max="11" width="14.3984375" style="18" customWidth="1"/>
    <col min="12" max="16384" width="9.1328125" style="18"/>
  </cols>
  <sheetData>
    <row r="1" spans="1:9" ht="18" x14ac:dyDescent="0.55000000000000004">
      <c r="A1" s="200" t="str">
        <f>name</f>
        <v/>
      </c>
    </row>
    <row r="2" spans="1:9" ht="15.4" x14ac:dyDescent="0.45">
      <c r="A2" s="23" t="s">
        <v>90</v>
      </c>
    </row>
    <row r="4" spans="1:9" s="131" customFormat="1" ht="17.45" customHeight="1" x14ac:dyDescent="0.45">
      <c r="B4" s="132"/>
      <c r="C4" s="133"/>
      <c r="D4" s="134"/>
      <c r="E4" s="134" t="s">
        <v>132</v>
      </c>
      <c r="F4" s="134" t="s">
        <v>132</v>
      </c>
      <c r="G4" s="134" t="s">
        <v>137</v>
      </c>
      <c r="H4" s="134" t="s">
        <v>139</v>
      </c>
      <c r="I4" s="135"/>
    </row>
    <row r="5" spans="1:9" s="131" customFormat="1" ht="17.45" customHeight="1" x14ac:dyDescent="0.45">
      <c r="B5" s="132"/>
      <c r="C5" s="133"/>
      <c r="D5" s="134" t="s">
        <v>132</v>
      </c>
      <c r="E5" s="134" t="s">
        <v>133</v>
      </c>
      <c r="F5" s="134" t="s">
        <v>136</v>
      </c>
      <c r="G5" s="134" t="s">
        <v>138</v>
      </c>
      <c r="H5" s="134" t="s">
        <v>140</v>
      </c>
      <c r="I5" s="135"/>
    </row>
    <row r="6" spans="1:9" s="131" customFormat="1" ht="17.45" customHeight="1" x14ac:dyDescent="0.45">
      <c r="B6" s="136" t="s">
        <v>88</v>
      </c>
      <c r="C6" s="137" t="s">
        <v>135</v>
      </c>
      <c r="D6" s="134" t="s">
        <v>134</v>
      </c>
      <c r="E6" s="134" t="s">
        <v>91</v>
      </c>
      <c r="F6" s="134" t="s">
        <v>91</v>
      </c>
      <c r="G6" s="134" t="s">
        <v>91</v>
      </c>
      <c r="H6" s="134" t="s">
        <v>141</v>
      </c>
      <c r="I6" s="135"/>
    </row>
    <row r="7" spans="1:9" ht="22.5" customHeight="1" x14ac:dyDescent="0.45">
      <c r="B7" s="138" t="str">
        <f>[1]!IntrinioDataPoint(C7,"bank_name")</f>
        <v/>
      </c>
      <c r="C7" s="139" t="str">
        <f>IF(ticker="","",ticker)</f>
        <v/>
      </c>
      <c r="D7" s="140" t="str">
        <f>[1]!IntrinioDataPoint(C7,"total_branches")</f>
        <v/>
      </c>
      <c r="E7" s="189" t="str">
        <f>IFERROR([1]!IntrinioDataPoint(C7,"UBPR2170")/1000000,"")</f>
        <v/>
      </c>
      <c r="F7" s="189" t="str">
        <f>IFERROR([1]!IntrinioDataPoint(C7,"UBPR2200")/1000000,"")</f>
        <v/>
      </c>
      <c r="G7" s="189" t="str">
        <f>IFERROR([1]!IntrinioBankFinancials(C7,"RI",0,"TTM","RIAD4074")/1000000,"")</f>
        <v/>
      </c>
      <c r="H7" s="185" t="str">
        <f>[1]!IntrinioBankFinancials(C7,'Income Metrics'!$N$13,0,"QTR","UBPRE003")</f>
        <v/>
      </c>
      <c r="I7" s="20"/>
    </row>
    <row r="8" spans="1:9" ht="54" customHeight="1" x14ac:dyDescent="0.45">
      <c r="B8" s="217" t="str">
        <f>IF([1]!IntrinioDataPoint(C7,"short_description")="nm",[1]!IntrinioDataPoint(C7,"asset_concentration"),[1]!IntrinioDataPoint(C7,"short_description"))</f>
        <v/>
      </c>
      <c r="C8" s="217"/>
      <c r="D8" s="217"/>
      <c r="E8" s="217"/>
      <c r="F8" s="217"/>
      <c r="G8" s="217"/>
      <c r="H8" s="217"/>
      <c r="I8" s="20"/>
    </row>
    <row r="9" spans="1:9" ht="22.5" customHeight="1" x14ac:dyDescent="0.45">
      <c r="B9" s="129" t="str">
        <f>[1]!IntrinioDataPoint(C9,"bank_name")</f>
        <v/>
      </c>
      <c r="C9" s="130" t="str">
        <f>IF(comp1="","",comp1)</f>
        <v/>
      </c>
      <c r="D9" s="186" t="str">
        <f>[1]!IntrinioDataPoint(C9,"total_branches")</f>
        <v/>
      </c>
      <c r="E9" s="190" t="str">
        <f>IFERROR([1]!IntrinioDataPoint(C9,"UBPR2170")/1000000,"")</f>
        <v/>
      </c>
      <c r="F9" s="190" t="str">
        <f>IFERROR([1]!IntrinioDataPoint(C9,"UBPR2200")/1000000,"")</f>
        <v/>
      </c>
      <c r="G9" s="190" t="str">
        <f>IFERROR([1]!IntrinioBankFinancials(C9,"RI",0,"TTM","RIAD4074")/1000000,"")</f>
        <v/>
      </c>
      <c r="H9" s="187" t="str">
        <f>[1]!IntrinioBankFinancials(C9,'Income Metrics'!$N$13,0,"QTR","UBPRE003")</f>
        <v/>
      </c>
      <c r="I9" s="20"/>
    </row>
    <row r="10" spans="1:9" ht="54" customHeight="1" x14ac:dyDescent="0.45">
      <c r="B10" s="216" t="str">
        <f>IF([1]!IntrinioDataPoint(C9,"short_description")="nm",[1]!IntrinioDataPoint(C9,"asset_concentration"),[1]!IntrinioDataPoint(C9,"short_description"))</f>
        <v/>
      </c>
      <c r="C10" s="216"/>
      <c r="D10" s="216"/>
      <c r="E10" s="216"/>
      <c r="F10" s="216"/>
      <c r="G10" s="216"/>
      <c r="H10" s="216"/>
      <c r="I10" s="20"/>
    </row>
    <row r="11" spans="1:9" ht="22.5" customHeight="1" x14ac:dyDescent="0.45">
      <c r="B11" s="188" t="str">
        <f>[1]!IntrinioDataPoint(C11,"bank_name")</f>
        <v/>
      </c>
      <c r="C11" s="130" t="str">
        <f>IF(comp1="","",comp2)</f>
        <v/>
      </c>
      <c r="D11" s="186" t="str">
        <f>[1]!IntrinioDataPoint(C11,"total_branches")</f>
        <v/>
      </c>
      <c r="E11" s="190" t="str">
        <f>IFERROR([1]!IntrinioDataPoint(C11,"UBPR2170")/1000000,"")</f>
        <v/>
      </c>
      <c r="F11" s="190" t="str">
        <f>IFERROR([1]!IntrinioDataPoint(C11,"UBPR2200")/1000000,"")</f>
        <v/>
      </c>
      <c r="G11" s="190" t="str">
        <f>IFERROR([1]!IntrinioBankFinancials(C11,"RI",0,"TTM","RIAD4074")/1000000,"")</f>
        <v/>
      </c>
      <c r="H11" s="187" t="str">
        <f>[1]!IntrinioBankFinancials(C11,'Income Metrics'!$N$13,0,"QTR","UBPRE003")</f>
        <v/>
      </c>
      <c r="I11" s="20"/>
    </row>
    <row r="12" spans="1:9" ht="54" customHeight="1" x14ac:dyDescent="0.45">
      <c r="B12" s="216" t="str">
        <f>IF([1]!IntrinioDataPoint(C11,"short_description")="nm",[1]!IntrinioDataPoint(C11,"asset_concentration"),[1]!IntrinioDataPoint(C11,"short_description"))</f>
        <v/>
      </c>
      <c r="C12" s="216"/>
      <c r="D12" s="216"/>
      <c r="E12" s="216"/>
      <c r="F12" s="216"/>
      <c r="G12" s="216"/>
      <c r="H12" s="216"/>
      <c r="I12" s="20"/>
    </row>
    <row r="13" spans="1:9" ht="22.5" customHeight="1" x14ac:dyDescent="0.45">
      <c r="B13" s="129" t="str">
        <f>[1]!IntrinioDataPoint(C13,"bank_name")</f>
        <v/>
      </c>
      <c r="C13" s="130" t="str">
        <f>IF(comp1="","",comp3)</f>
        <v/>
      </c>
      <c r="D13" s="186" t="str">
        <f>[1]!IntrinioDataPoint(C13,"total_branches")</f>
        <v/>
      </c>
      <c r="E13" s="190" t="str">
        <f>IFERROR([1]!IntrinioDataPoint(C13,"UBPR2170")/1000000,"")</f>
        <v/>
      </c>
      <c r="F13" s="190" t="str">
        <f>IFERROR([1]!IntrinioDataPoint(C13,"UBPR2200")/1000000,"")</f>
        <v/>
      </c>
      <c r="G13" s="190" t="str">
        <f>IFERROR([1]!IntrinioBankFinancials(C13,"RI",0,"TTM","RIAD4074")/1000000,"")</f>
        <v/>
      </c>
      <c r="H13" s="187" t="str">
        <f>[1]!IntrinioBankFinancials(C13,'Income Metrics'!$N$13,0,"QTR","UBPRE003")</f>
        <v/>
      </c>
    </row>
    <row r="14" spans="1:9" ht="54" customHeight="1" x14ac:dyDescent="0.45">
      <c r="B14" s="216" t="str">
        <f>IF([1]!IntrinioDataPoint(C13,"short_description")="nm",[1]!IntrinioDataPoint(C13,"asset_concentration"),[1]!IntrinioDataPoint(C13,"short_description"))</f>
        <v/>
      </c>
      <c r="C14" s="216"/>
      <c r="D14" s="216"/>
      <c r="E14" s="216"/>
      <c r="F14" s="216"/>
      <c r="G14" s="216"/>
      <c r="H14" s="216"/>
      <c r="I14" s="20"/>
    </row>
    <row r="15" spans="1:9" ht="22.5" customHeight="1" x14ac:dyDescent="0.45">
      <c r="B15" s="129" t="str">
        <f>[1]!IntrinioDataPoint(C15,"bank_name")</f>
        <v/>
      </c>
      <c r="C15" s="130" t="str">
        <f>IF(comp1="","",comp4)</f>
        <v/>
      </c>
      <c r="D15" s="186" t="str">
        <f>[1]!IntrinioDataPoint(C15,"total_branches")</f>
        <v/>
      </c>
      <c r="E15" s="190" t="str">
        <f>IFERROR([1]!IntrinioDataPoint(C15,"UBPR2170")/1000000,"")</f>
        <v/>
      </c>
      <c r="F15" s="190" t="str">
        <f>IFERROR([1]!IntrinioDataPoint(C15,"UBPR2200")/1000000,"")</f>
        <v/>
      </c>
      <c r="G15" s="190" t="str">
        <f>IFERROR([1]!IntrinioBankFinancials(C15,"RI",0,"TTM","RIAD4074")/1000000,"")</f>
        <v/>
      </c>
      <c r="H15" s="187" t="str">
        <f>[1]!IntrinioBankFinancials(C15,'Income Metrics'!$N$13,0,"QTR","UBPRE003")</f>
        <v/>
      </c>
      <c r="I15" s="19"/>
    </row>
    <row r="16" spans="1:9" ht="54" customHeight="1" x14ac:dyDescent="0.45">
      <c r="B16" s="216" t="str">
        <f>IF([1]!IntrinioDataPoint(C15,"short_description")="nm",[1]!IntrinioDataPoint(C15,"asset_concentration"),[1]!IntrinioDataPoint(C15,"short_description"))</f>
        <v/>
      </c>
      <c r="C16" s="216"/>
      <c r="D16" s="216"/>
      <c r="E16" s="216"/>
      <c r="F16" s="216"/>
      <c r="G16" s="216"/>
      <c r="H16" s="216"/>
      <c r="I16" s="20"/>
    </row>
    <row r="17" spans="2:9" ht="22.5" customHeight="1" x14ac:dyDescent="0.45">
      <c r="B17" s="129" t="str">
        <f>[1]!IntrinioDataPoint(C17,"bank_name")</f>
        <v/>
      </c>
      <c r="C17" s="130" t="str">
        <f>IF(comp1="","",comp5)</f>
        <v/>
      </c>
      <c r="D17" s="186" t="str">
        <f>[1]!IntrinioDataPoint(C17,"total_branches")</f>
        <v/>
      </c>
      <c r="E17" s="190" t="str">
        <f>IFERROR([1]!IntrinioDataPoint(C17,"UBPR2170")/1000000,"")</f>
        <v/>
      </c>
      <c r="F17" s="190" t="str">
        <f>IFERROR([1]!IntrinioDataPoint(C17,"UBPR2200")/1000000,"")</f>
        <v/>
      </c>
      <c r="G17" s="190" t="str">
        <f>IFERROR([1]!IntrinioBankFinancials(C17,"RI",0,"TTM","RIAD4074")/1000000,"")</f>
        <v/>
      </c>
      <c r="H17" s="187" t="str">
        <f>[1]!IntrinioBankFinancials(C17,'Income Metrics'!$N$13,0,"QTR","UBPRE003")</f>
        <v/>
      </c>
    </row>
    <row r="18" spans="2:9" ht="54" customHeight="1" x14ac:dyDescent="0.45">
      <c r="B18" s="216" t="str">
        <f>IF([1]!IntrinioDataPoint(C17,"short_description")="nm",[1]!IntrinioDataPoint(C17,"asset_concentration"),[1]!IntrinioDataPoint(C17,"short_description"))</f>
        <v/>
      </c>
      <c r="C18" s="216"/>
      <c r="D18" s="216"/>
      <c r="E18" s="216"/>
      <c r="F18" s="216"/>
      <c r="G18" s="216"/>
      <c r="H18" s="216"/>
      <c r="I18" s="20"/>
    </row>
    <row r="19" spans="2:9" x14ac:dyDescent="0.45">
      <c r="C19" s="3"/>
      <c r="D19" s="3"/>
      <c r="E19" s="3"/>
      <c r="F19" s="3"/>
      <c r="G19" s="3"/>
      <c r="H19" s="3"/>
    </row>
    <row r="20" spans="2:9" x14ac:dyDescent="0.45">
      <c r="C20" s="3"/>
      <c r="D20" s="3"/>
      <c r="E20" s="3"/>
      <c r="F20" s="3"/>
      <c r="G20" s="3"/>
      <c r="H20" s="3"/>
    </row>
    <row r="21" spans="2:9" x14ac:dyDescent="0.45">
      <c r="C21" s="3"/>
      <c r="D21" s="3"/>
      <c r="E21" s="3"/>
      <c r="F21" s="3"/>
      <c r="G21" s="3"/>
      <c r="H21" s="3"/>
    </row>
    <row r="22" spans="2:9" x14ac:dyDescent="0.45">
      <c r="C22" s="3"/>
      <c r="D22" s="3"/>
      <c r="E22" s="3"/>
      <c r="F22" s="3"/>
      <c r="G22" s="3"/>
      <c r="H22" s="3"/>
    </row>
    <row r="23" spans="2:9" x14ac:dyDescent="0.45">
      <c r="C23" s="3"/>
      <c r="D23" s="3"/>
      <c r="E23" s="3"/>
      <c r="F23" s="3"/>
      <c r="G23" s="3"/>
      <c r="H23" s="3"/>
    </row>
  </sheetData>
  <mergeCells count="6">
    <mergeCell ref="B18:H18"/>
    <mergeCell ref="B8:H8"/>
    <mergeCell ref="B10:H10"/>
    <mergeCell ref="B12:H12"/>
    <mergeCell ref="B14:H14"/>
    <mergeCell ref="B16:H16"/>
  </mergeCells>
  <conditionalFormatting sqref="I4:I6">
    <cfRule type="cellIs" dxfId="5" priority="1" operator="greaterThan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scale="84" orientation="landscape" r:id="rId1"/>
  <headerFooter>
    <oddHeader>&amp;L ()          &amp;RReport Date: 11/26/2016</oddHeader>
    <oddFooter>&amp;L&amp;G&amp;R&amp;P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/>
    <pageSetUpPr fitToPage="1"/>
  </sheetPr>
  <dimension ref="A1:M43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20.464843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8" x14ac:dyDescent="0.55000000000000004">
      <c r="A1" s="200" t="str">
        <f>name</f>
        <v/>
      </c>
    </row>
    <row r="2" spans="1:13" ht="15.4" x14ac:dyDescent="0.45">
      <c r="A2" s="23" t="s">
        <v>87</v>
      </c>
    </row>
    <row r="4" spans="1:13" ht="21.95" customHeight="1" x14ac:dyDescent="0.45">
      <c r="B4" s="104"/>
      <c r="C4" s="104"/>
      <c r="D4" s="104"/>
      <c r="E4" s="104"/>
      <c r="F4" s="104"/>
      <c r="G4" s="104"/>
      <c r="H4" s="104"/>
      <c r="I4" s="104"/>
      <c r="J4" s="104"/>
      <c r="K4" s="17"/>
      <c r="L4" s="17"/>
      <c r="M4" s="17"/>
    </row>
    <row r="5" spans="1:13" ht="21.95" customHeight="1" x14ac:dyDescent="0.45">
      <c r="B5" s="104"/>
      <c r="C5" s="104"/>
      <c r="D5" s="104"/>
      <c r="E5" s="104"/>
      <c r="F5" s="104"/>
      <c r="G5" s="104"/>
      <c r="H5" s="104"/>
      <c r="I5" s="104"/>
      <c r="J5" s="104"/>
      <c r="K5" s="17"/>
      <c r="L5" s="17"/>
      <c r="M5" s="17"/>
    </row>
    <row r="6" spans="1:13" ht="21.95" customHeight="1" x14ac:dyDescent="0.45">
      <c r="B6" s="104"/>
      <c r="C6" s="104"/>
      <c r="D6" s="104"/>
      <c r="E6" s="104"/>
      <c r="F6" s="104"/>
      <c r="G6" s="104"/>
      <c r="H6" s="104"/>
      <c r="I6" s="104"/>
      <c r="J6" s="104"/>
      <c r="K6" s="17"/>
      <c r="L6" s="17"/>
      <c r="M6" s="17"/>
    </row>
    <row r="7" spans="1:13" ht="21.95" customHeight="1" x14ac:dyDescent="0.45">
      <c r="B7" s="104"/>
      <c r="C7" s="104"/>
      <c r="D7" s="104"/>
      <c r="E7" s="104"/>
      <c r="F7" s="104"/>
      <c r="G7" s="104"/>
      <c r="H7" s="104"/>
      <c r="I7" s="104"/>
      <c r="J7" s="104"/>
      <c r="K7" s="17"/>
      <c r="L7" s="17"/>
      <c r="M7" s="17"/>
    </row>
    <row r="8" spans="1:13" ht="21.95" customHeight="1" x14ac:dyDescent="0.45">
      <c r="B8" s="104"/>
      <c r="C8" s="104"/>
      <c r="D8" s="104"/>
      <c r="E8" s="104"/>
      <c r="F8" s="104"/>
      <c r="G8" s="104"/>
      <c r="H8" s="104"/>
      <c r="I8" s="104"/>
      <c r="J8" s="104"/>
      <c r="K8" s="17"/>
      <c r="L8" s="17"/>
      <c r="M8" s="17"/>
    </row>
    <row r="9" spans="1:13" ht="21.95" customHeight="1" x14ac:dyDescent="0.45">
      <c r="B9" s="104"/>
      <c r="C9" s="104"/>
      <c r="D9" s="104"/>
      <c r="E9" s="104"/>
      <c r="F9" s="104"/>
      <c r="G9" s="104"/>
      <c r="H9" s="104"/>
      <c r="I9" s="104"/>
      <c r="J9" s="104"/>
      <c r="K9" s="17"/>
      <c r="L9" s="17"/>
      <c r="M9" s="17"/>
    </row>
    <row r="10" spans="1:13" ht="21.95" customHeight="1" x14ac:dyDescent="0.45">
      <c r="B10" s="104"/>
      <c r="C10" s="104"/>
      <c r="D10" s="104"/>
      <c r="E10" s="104"/>
      <c r="F10" s="104"/>
      <c r="G10" s="104"/>
      <c r="H10" s="104"/>
      <c r="I10" s="104"/>
      <c r="J10" s="104"/>
      <c r="K10" s="17"/>
      <c r="L10" s="17"/>
      <c r="M10" s="17"/>
    </row>
    <row r="11" spans="1:13" ht="21.95" customHeight="1" x14ac:dyDescent="0.45">
      <c r="B11" s="104"/>
      <c r="C11" s="104"/>
      <c r="D11" s="104"/>
      <c r="E11" s="104"/>
      <c r="F11" s="104"/>
      <c r="G11" s="104"/>
      <c r="H11" s="104"/>
      <c r="I11" s="104"/>
      <c r="J11" s="104"/>
      <c r="K11" s="17"/>
      <c r="L11" s="17"/>
      <c r="M11" s="17"/>
    </row>
    <row r="12" spans="1:13" ht="21.95" customHeight="1" x14ac:dyDescent="0.45">
      <c r="B12" s="104"/>
      <c r="C12" s="104"/>
      <c r="D12" s="104"/>
      <c r="E12" s="104"/>
      <c r="F12" s="104"/>
      <c r="G12" s="104"/>
      <c r="H12" s="104"/>
      <c r="I12" s="104"/>
      <c r="J12" s="104"/>
      <c r="K12" s="17"/>
      <c r="L12" s="17"/>
      <c r="M12" s="17"/>
    </row>
    <row r="13" spans="1:13" x14ac:dyDescent="0.45">
      <c r="B13" s="91"/>
      <c r="C13" s="195" t="str">
        <f>IF(C29=0,"",[1]!IntrinioDataPoint(C29,"bank_name"))</f>
        <v/>
      </c>
      <c r="D13" s="195" t="str">
        <f>IF(D29=0,"",[1]!IntrinioDataPoint(D29,"bank_name"))</f>
        <v/>
      </c>
      <c r="E13" s="195" t="str">
        <f>IF(E29=0,"",[1]!IntrinioDataPoint(E29,"bank_name"))</f>
        <v/>
      </c>
      <c r="F13" s="195" t="str">
        <f>IF(F29=0,"",[1]!IntrinioDataPoint(F29,"bank_name"))</f>
        <v/>
      </c>
      <c r="G13" s="195" t="str">
        <f>IF(G29=0,"",[1]!IntrinioDataPoint(G29,"bank_name"))</f>
        <v/>
      </c>
      <c r="H13" s="195" t="str">
        <f>IF(H29=0,"",[1]!IntrinioDataPoint(H29,"bank_name"))</f>
        <v/>
      </c>
      <c r="I13" s="92" t="s">
        <v>85</v>
      </c>
      <c r="J13" s="93" t="s">
        <v>86</v>
      </c>
      <c r="L13" s="1"/>
    </row>
    <row r="14" spans="1:13" ht="21.95" customHeight="1" x14ac:dyDescent="0.45">
      <c r="B14" s="122" t="str">
        <f>'Income Metrics'!B8</f>
        <v>Total Interest Income</v>
      </c>
      <c r="C14" s="194" t="str">
        <f>IFERROR([1]!IntrinioBankFinancials(C$29,'Income Metrics'!$N$8,0,"TTM",'Income Metrics'!$O$8)/1000000,"")</f>
        <v/>
      </c>
      <c r="D14" s="192" t="str">
        <f>IFERROR([1]!IntrinioBankFinancials(D$29,'Income Metrics'!$N$8,0,"TTM",'Income Metrics'!$O$8)/1000000,"")</f>
        <v/>
      </c>
      <c r="E14" s="192" t="str">
        <f>IFERROR([1]!IntrinioBankFinancials(E$29,'Income Metrics'!$N$8,0,"TTM",'Income Metrics'!$O$8)/1000000,"")</f>
        <v/>
      </c>
      <c r="F14" s="192" t="str">
        <f>IFERROR([1]!IntrinioBankFinancials(F$29,'Income Metrics'!$N$8,0,"TTM",'Income Metrics'!$O$8)/1000000,"")</f>
        <v/>
      </c>
      <c r="G14" s="192" t="str">
        <f>IFERROR([1]!IntrinioBankFinancials(G$29,'Income Metrics'!$N$8,0,"TTM",'Income Metrics'!$O$8)/1000000,"")</f>
        <v/>
      </c>
      <c r="H14" s="192" t="str">
        <f>IFERROR([1]!IntrinioBankFinancials(H$29,'Income Metrics'!$N$8,0,"TTM",'Income Metrics'!$O$8)/1000000,"")</f>
        <v/>
      </c>
      <c r="I14" s="194" t="str">
        <f t="shared" ref="I14:I23" si="0">IFERROR(AVERAGE(C14:H14),"nm")</f>
        <v>nm</v>
      </c>
      <c r="J14" s="192" t="str">
        <f t="shared" ref="J14:J23" si="1">IFERROR(MEDIAN(C14:H14),"nm")</f>
        <v>nm</v>
      </c>
      <c r="K14" s="17"/>
      <c r="L14" s="17"/>
      <c r="M14" s="17"/>
    </row>
    <row r="15" spans="1:13" s="119" customFormat="1" ht="13.9" x14ac:dyDescent="0.45">
      <c r="B15" s="125" t="str">
        <f>'Income Metrics'!B9</f>
        <v xml:space="preserve">   Y/Y Growth (%)</v>
      </c>
      <c r="C15" s="126" t="str">
        <f>IFERROR((C14/([1]!IntrinioBankFinancials(C$29,'Income Metrics'!$N$8,'Income Metrics'!$G$32-1,'Income Metrics'!$G$33,'Income Metrics'!$O$8,"A")/1000000))-1,"")</f>
        <v/>
      </c>
      <c r="D15" s="127" t="str">
        <f>IFERROR((D14/([1]!IntrinioBankFinancials(D$29,'Income Metrics'!$N$8,'Income Metrics'!$G$32-1,'Income Metrics'!$G$33,'Income Metrics'!$O$8,"A")/1000000))-1,"")</f>
        <v/>
      </c>
      <c r="E15" s="127" t="str">
        <f>IFERROR((E14/([1]!IntrinioBankFinancials(E$29,'Income Metrics'!$N$8,'Income Metrics'!$G$32-1,'Income Metrics'!$G$33,'Income Metrics'!$O$8,"A")/1000000))-1,"")</f>
        <v/>
      </c>
      <c r="F15" s="127" t="str">
        <f>IFERROR((F14/([1]!IntrinioBankFinancials(F$29,'Income Metrics'!$N$8,'Income Metrics'!$G$32-1,'Income Metrics'!$G$33,'Income Metrics'!$O$8,"A")/1000000))-1,"")</f>
        <v/>
      </c>
      <c r="G15" s="127" t="str">
        <f>IFERROR((G14/([1]!IntrinioBankFinancials(G$29,'Income Metrics'!$N$8,'Income Metrics'!$G$32-1,'Income Metrics'!$G$33,'Income Metrics'!$O$8,"A")/1000000))-1,"")</f>
        <v/>
      </c>
      <c r="H15" s="127" t="str">
        <f>IFERROR((H14/([1]!IntrinioBankFinancials(H$29,'Income Metrics'!$N$8,'Income Metrics'!$G$32-1,'Income Metrics'!$G$33,'Income Metrics'!$O$8,"A")/1000000))-1,"")</f>
        <v/>
      </c>
      <c r="I15" s="126" t="str">
        <f t="shared" si="0"/>
        <v>nm</v>
      </c>
      <c r="J15" s="127" t="str">
        <f t="shared" si="1"/>
        <v>nm</v>
      </c>
      <c r="K15" s="120"/>
      <c r="L15" s="120"/>
      <c r="M15" s="120"/>
    </row>
    <row r="16" spans="1:13" ht="21.75" customHeight="1" x14ac:dyDescent="0.45">
      <c r="B16" s="122" t="str">
        <f>'Income Metrics'!B10</f>
        <v>Total Interest Expense</v>
      </c>
      <c r="C16" s="194" t="str">
        <f>IFERROR([1]!IntrinioBankFinancials(C$29,'Income Metrics'!$N$10,0,"TTM",'Income Metrics'!$O$10)/1000000,"")</f>
        <v/>
      </c>
      <c r="D16" s="192" t="str">
        <f>IFERROR([1]!IntrinioBankFinancials(D$29,'Income Metrics'!$N$10,0,"TTM",'Income Metrics'!$O$10)/1000000,"")</f>
        <v/>
      </c>
      <c r="E16" s="192" t="str">
        <f>IFERROR([1]!IntrinioBankFinancials(E$29,'Income Metrics'!$N$10,0,"TTM",'Income Metrics'!$O$10)/1000000,"")</f>
        <v/>
      </c>
      <c r="F16" s="192" t="str">
        <f>IFERROR([1]!IntrinioBankFinancials(F$29,'Income Metrics'!$N$10,0,"TTM",'Income Metrics'!$O$10)/1000000,"")</f>
        <v/>
      </c>
      <c r="G16" s="192" t="str">
        <f>IFERROR([1]!IntrinioBankFinancials(G$29,'Income Metrics'!$N$10,0,"TTM",'Income Metrics'!$O$10)/1000000,"")</f>
        <v/>
      </c>
      <c r="H16" s="192" t="str">
        <f>IFERROR([1]!IntrinioBankFinancials(H$29,'Income Metrics'!$N$10,0,"TTM",'Income Metrics'!$O$10)/1000000,"")</f>
        <v/>
      </c>
      <c r="I16" s="194" t="str">
        <f t="shared" si="0"/>
        <v>nm</v>
      </c>
      <c r="J16" s="192" t="str">
        <f t="shared" si="1"/>
        <v>nm</v>
      </c>
      <c r="K16" s="17"/>
      <c r="L16" s="17"/>
      <c r="M16" s="17"/>
    </row>
    <row r="17" spans="2:13" s="119" customFormat="1" ht="13.9" x14ac:dyDescent="0.45">
      <c r="B17" s="125" t="str">
        <f>'Income Metrics'!B11</f>
        <v xml:space="preserve">   Y/Y Growth (%)</v>
      </c>
      <c r="C17" s="126" t="str">
        <f>IFERROR((C16/([1]!IntrinioBankFinancials(C$29,'Income Metrics'!$N$10,'Income Metrics'!$G$32-1,'Income Metrics'!$G$33,'Income Metrics'!$O$10,"A")/1000000))-1,"")</f>
        <v/>
      </c>
      <c r="D17" s="127" t="str">
        <f>IFERROR((D16/([1]!IntrinioBankFinancials(D$29,'Income Metrics'!$N$10,'Income Metrics'!$G$32-1,'Income Metrics'!$G$33,'Income Metrics'!$O$10,"A")/1000000))-1,"")</f>
        <v/>
      </c>
      <c r="E17" s="127" t="str">
        <f>IFERROR((E16/([1]!IntrinioBankFinancials(E$29,'Income Metrics'!$N$10,'Income Metrics'!$G$32-1,'Income Metrics'!$G$33,'Income Metrics'!$O$10,"A")/1000000))-1,"")</f>
        <v/>
      </c>
      <c r="F17" s="127" t="str">
        <f>IFERROR((F16/([1]!IntrinioBankFinancials(F$29,'Income Metrics'!$N$10,'Income Metrics'!$G$32-1,'Income Metrics'!$G$33,'Income Metrics'!$O$10,"A")/1000000))-1,"")</f>
        <v/>
      </c>
      <c r="G17" s="127" t="str">
        <f>IFERROR((G16/([1]!IntrinioBankFinancials(G$29,'Income Metrics'!$N$10,'Income Metrics'!$G$32-1,'Income Metrics'!$G$33,'Income Metrics'!$O$10,"A")/1000000))-1,"")</f>
        <v/>
      </c>
      <c r="H17" s="127" t="str">
        <f>IFERROR((H16/([1]!IntrinioBankFinancials(H$29,'Income Metrics'!$N$10,'Income Metrics'!$G$32-1,'Income Metrics'!$G$33,'Income Metrics'!$O$10,"A")/1000000))-1,"")</f>
        <v/>
      </c>
      <c r="I17" s="126" t="str">
        <f t="shared" si="0"/>
        <v>nm</v>
      </c>
      <c r="J17" s="127" t="str">
        <f t="shared" si="1"/>
        <v>nm</v>
      </c>
      <c r="K17" s="120"/>
      <c r="L17" s="120"/>
      <c r="M17" s="120"/>
    </row>
    <row r="18" spans="2:13" ht="21.75" customHeight="1" x14ac:dyDescent="0.45">
      <c r="B18" s="122" t="str">
        <f>'Income Metrics'!B12</f>
        <v>Net Interest Income</v>
      </c>
      <c r="C18" s="194" t="str">
        <f>IFERROR([1]!IntrinioBankFinancials(C$29,'Income Metrics'!$N$12,0,"TTM",'Income Metrics'!$O$12)/1000000,"")</f>
        <v/>
      </c>
      <c r="D18" s="192" t="str">
        <f>IFERROR([1]!IntrinioBankFinancials(D$29,'Income Metrics'!$N$12,0,"TTM",'Income Metrics'!$O$12)/1000000,"")</f>
        <v/>
      </c>
      <c r="E18" s="192" t="str">
        <f>IFERROR([1]!IntrinioBankFinancials(E$29,'Income Metrics'!$N$12,0,"TTM",'Income Metrics'!$O$12)/1000000,"")</f>
        <v/>
      </c>
      <c r="F18" s="192" t="str">
        <f>IFERROR([1]!IntrinioBankFinancials(F$29,'Income Metrics'!$N$12,0,"TTM",'Income Metrics'!$O$12)/1000000,"")</f>
        <v/>
      </c>
      <c r="G18" s="192" t="str">
        <f>IFERROR([1]!IntrinioBankFinancials(G$29,'Income Metrics'!$N$12,0,"TTM",'Income Metrics'!$O$12)/1000000,"")</f>
        <v/>
      </c>
      <c r="H18" s="192" t="str">
        <f>IFERROR([1]!IntrinioBankFinancials(H$29,'Income Metrics'!$N$12,0,"TTM",'Income Metrics'!$O$12)/1000000,"")</f>
        <v/>
      </c>
      <c r="I18" s="194" t="str">
        <f t="shared" si="0"/>
        <v>nm</v>
      </c>
      <c r="J18" s="192" t="str">
        <f t="shared" si="1"/>
        <v>nm</v>
      </c>
      <c r="K18" s="17"/>
      <c r="L18" s="17"/>
      <c r="M18" s="17"/>
    </row>
    <row r="19" spans="2:13" s="119" customFormat="1" ht="13.9" x14ac:dyDescent="0.45">
      <c r="B19" s="125" t="str">
        <f>'Income Metrics'!B13</f>
        <v xml:space="preserve">   % of Ave Assets</v>
      </c>
      <c r="C19" s="174" t="str">
        <f>IFERROR([1]!IntrinioBankFinancials(C$29,'Income Metrics'!$N13,'Income Metrics'!$G$32,'Income Metrics'!$G$34,'Income Metrics'!$O13),"")</f>
        <v/>
      </c>
      <c r="D19" s="175" t="str">
        <f>IFERROR([1]!IntrinioBankFinancials(D$29,'Income Metrics'!$N13,'Income Metrics'!$G$32,'Income Metrics'!$G$34,'Income Metrics'!$O13),"")</f>
        <v/>
      </c>
      <c r="E19" s="175" t="str">
        <f>IFERROR([1]!IntrinioBankFinancials(E$29,'Income Metrics'!$N13,'Income Metrics'!$G$32,'Income Metrics'!$G$34,'Income Metrics'!$O13),"")</f>
        <v/>
      </c>
      <c r="F19" s="175" t="str">
        <f>IFERROR([1]!IntrinioBankFinancials(F$29,'Income Metrics'!$N13,'Income Metrics'!$G$32,'Income Metrics'!$G$34,'Income Metrics'!$O13),"")</f>
        <v/>
      </c>
      <c r="G19" s="175" t="str">
        <f>IFERROR([1]!IntrinioBankFinancials(G$29,'Income Metrics'!$N13,'Income Metrics'!$G$32,'Income Metrics'!$G$34,'Income Metrics'!$O13),"")</f>
        <v/>
      </c>
      <c r="H19" s="175" t="str">
        <f>IFERROR([1]!IntrinioBankFinancials(H$29,'Income Metrics'!$N13,'Income Metrics'!$G$32,'Income Metrics'!$G$34,'Income Metrics'!$O13),"")</f>
        <v/>
      </c>
      <c r="I19" s="174" t="str">
        <f t="shared" si="0"/>
        <v>nm</v>
      </c>
      <c r="J19" s="175" t="str">
        <f t="shared" si="1"/>
        <v>nm</v>
      </c>
      <c r="K19" s="120"/>
      <c r="L19" s="120"/>
      <c r="M19" s="120"/>
    </row>
    <row r="20" spans="2:13" ht="21.75" customHeight="1" x14ac:dyDescent="0.45">
      <c r="B20" s="122" t="str">
        <f>'Income Metrics'!B14</f>
        <v>Provision for Loan Loss</v>
      </c>
      <c r="C20" s="194" t="str">
        <f>IFERROR([1]!IntrinioBankFinancials(C$29,'Income Metrics'!$N$14,0,"TTM",'Income Metrics'!$O$14)/1000000,"")</f>
        <v/>
      </c>
      <c r="D20" s="192" t="str">
        <f>IFERROR([1]!IntrinioBankFinancials(D$29,'Income Metrics'!$N$14,0,"TTM",'Income Metrics'!$O$14)/1000000,"")</f>
        <v/>
      </c>
      <c r="E20" s="192" t="str">
        <f>IFERROR([1]!IntrinioBankFinancials(E$29,'Income Metrics'!$N$14,0,"TTM",'Income Metrics'!$O$14)/1000000,"")</f>
        <v/>
      </c>
      <c r="F20" s="192" t="str">
        <f>IFERROR([1]!IntrinioBankFinancials(F$29,'Income Metrics'!$N$14,0,"TTM",'Income Metrics'!$O$14)/1000000,"")</f>
        <v/>
      </c>
      <c r="G20" s="192" t="str">
        <f>IFERROR([1]!IntrinioBankFinancials(G$29,'Income Metrics'!$N$14,0,"TTM",'Income Metrics'!$O$14)/1000000,"")</f>
        <v/>
      </c>
      <c r="H20" s="192" t="str">
        <f>IFERROR([1]!IntrinioBankFinancials(H$29,'Income Metrics'!$N$14,0,"TTM",'Income Metrics'!$O$14)/1000000,"")</f>
        <v/>
      </c>
      <c r="I20" s="194" t="str">
        <f t="shared" si="0"/>
        <v>nm</v>
      </c>
      <c r="J20" s="192" t="str">
        <f t="shared" si="1"/>
        <v>nm</v>
      </c>
      <c r="K20" s="17"/>
      <c r="L20" s="17"/>
      <c r="M20" s="17"/>
    </row>
    <row r="21" spans="2:13" s="119" customFormat="1" ht="13.9" x14ac:dyDescent="0.45">
      <c r="B21" s="125" t="str">
        <f>'Income Metrics'!B15</f>
        <v xml:space="preserve">   % of Ave Assets</v>
      </c>
      <c r="C21" s="174" t="str">
        <f>IFERROR([1]!IntrinioBankFinancials(C$29,'Income Metrics'!$N15,'Income Metrics'!$G$32,'Income Metrics'!$G$34,'Income Metrics'!$O15),"")</f>
        <v/>
      </c>
      <c r="D21" s="175" t="str">
        <f>IFERROR([1]!IntrinioBankFinancials(D$29,'Income Metrics'!$N15,'Income Metrics'!$G$32,'Income Metrics'!$G$34,'Income Metrics'!$O15),"")</f>
        <v/>
      </c>
      <c r="E21" s="175" t="str">
        <f>IFERROR([1]!IntrinioBankFinancials(E$29,'Income Metrics'!$N15,'Income Metrics'!$G$32,'Income Metrics'!$G$34,'Income Metrics'!$O15),"")</f>
        <v/>
      </c>
      <c r="F21" s="175" t="str">
        <f>IFERROR([1]!IntrinioBankFinancials(F$29,'Income Metrics'!$N15,'Income Metrics'!$G$32,'Income Metrics'!$G$34,'Income Metrics'!$O15),"")</f>
        <v/>
      </c>
      <c r="G21" s="175" t="str">
        <f>IFERROR([1]!IntrinioBankFinancials(G$29,'Income Metrics'!$N15,'Income Metrics'!$G$32,'Income Metrics'!$G$34,'Income Metrics'!$O15),"")</f>
        <v/>
      </c>
      <c r="H21" s="175" t="str">
        <f>IFERROR([1]!IntrinioBankFinancials(H$29,'Income Metrics'!$N15,'Income Metrics'!$G$32,'Income Metrics'!$G$34,'Income Metrics'!$O15),"")</f>
        <v/>
      </c>
      <c r="I21" s="174" t="str">
        <f t="shared" si="0"/>
        <v>nm</v>
      </c>
      <c r="J21" s="175" t="str">
        <f t="shared" si="1"/>
        <v>nm</v>
      </c>
      <c r="K21" s="120"/>
      <c r="L21" s="120"/>
      <c r="M21" s="120"/>
    </row>
    <row r="22" spans="2:13" ht="21.75" customHeight="1" x14ac:dyDescent="0.45">
      <c r="B22" s="122" t="str">
        <f>'Income Metrics'!B16</f>
        <v>Non-Interest Income</v>
      </c>
      <c r="C22" s="194" t="str">
        <f>IFERROR([1]!IntrinioBankFinancials(C$29,'Income Metrics'!$N$16,0,"TTM",'Income Metrics'!$O$16)/1000000,"")</f>
        <v/>
      </c>
      <c r="D22" s="192" t="str">
        <f>IFERROR([1]!IntrinioBankFinancials(D$29,'Income Metrics'!$N$16,0,"TTM",'Income Metrics'!$O$16)/1000000,"")</f>
        <v/>
      </c>
      <c r="E22" s="192" t="str">
        <f>IFERROR([1]!IntrinioBankFinancials(E$29,'Income Metrics'!$N$16,0,"TTM",'Income Metrics'!$O$16)/1000000,"")</f>
        <v/>
      </c>
      <c r="F22" s="192" t="str">
        <f>IFERROR([1]!IntrinioBankFinancials(F$29,'Income Metrics'!$N$16,0,"TTM",'Income Metrics'!$O$16)/1000000,"")</f>
        <v/>
      </c>
      <c r="G22" s="192" t="str">
        <f>IFERROR([1]!IntrinioBankFinancials(G$29,'Income Metrics'!$N$16,0,"TTM",'Income Metrics'!$O$16)/1000000,"")</f>
        <v/>
      </c>
      <c r="H22" s="192" t="str">
        <f>IFERROR([1]!IntrinioBankFinancials(H$29,'Income Metrics'!$N$16,0,"TTM",'Income Metrics'!$O$16)/1000000,"")</f>
        <v/>
      </c>
      <c r="I22" s="194" t="str">
        <f t="shared" si="0"/>
        <v>nm</v>
      </c>
      <c r="J22" s="192" t="str">
        <f t="shared" si="1"/>
        <v>nm</v>
      </c>
      <c r="K22" s="17"/>
      <c r="L22" s="17"/>
      <c r="M22" s="17"/>
    </row>
    <row r="23" spans="2:13" s="119" customFormat="1" ht="13.9" x14ac:dyDescent="0.45">
      <c r="B23" s="125" t="str">
        <f>'Income Metrics'!B17</f>
        <v xml:space="preserve">   % of Ave Assets</v>
      </c>
      <c r="C23" s="174" t="str">
        <f>IFERROR([1]!IntrinioBankFinancials(C$29,'Income Metrics'!$N17,'Income Metrics'!$G$32,'Income Metrics'!$G$34,'Income Metrics'!$O17),"")</f>
        <v/>
      </c>
      <c r="D23" s="175" t="str">
        <f>IFERROR([1]!IntrinioBankFinancials(D$29,'Income Metrics'!$N17,'Income Metrics'!$G$32,'Income Metrics'!$G$34,'Income Metrics'!$O17),"")</f>
        <v/>
      </c>
      <c r="E23" s="175" t="str">
        <f>IFERROR([1]!IntrinioBankFinancials(E$29,'Income Metrics'!$N17,'Income Metrics'!$G$32,'Income Metrics'!$G$34,'Income Metrics'!$O17),"")</f>
        <v/>
      </c>
      <c r="F23" s="175" t="str">
        <f>IFERROR([1]!IntrinioBankFinancials(F$29,'Income Metrics'!$N17,'Income Metrics'!$G$32,'Income Metrics'!$G$34,'Income Metrics'!$O17),"")</f>
        <v/>
      </c>
      <c r="G23" s="175" t="str">
        <f>IFERROR([1]!IntrinioBankFinancials(G$29,'Income Metrics'!$N17,'Income Metrics'!$G$32,'Income Metrics'!$G$34,'Income Metrics'!$O17),"")</f>
        <v/>
      </c>
      <c r="H23" s="175" t="str">
        <f>IFERROR([1]!IntrinioBankFinancials(H$29,'Income Metrics'!$N17,'Income Metrics'!$G$32,'Income Metrics'!$G$34,'Income Metrics'!$O17),"")</f>
        <v/>
      </c>
      <c r="I23" s="174" t="str">
        <f t="shared" si="0"/>
        <v>nm</v>
      </c>
      <c r="J23" s="175" t="str">
        <f t="shared" si="1"/>
        <v>nm</v>
      </c>
      <c r="K23" s="120"/>
      <c r="L23" s="120"/>
      <c r="M23" s="120"/>
    </row>
    <row r="24" spans="2:13" ht="21.75" customHeight="1" x14ac:dyDescent="0.45">
      <c r="B24" s="122" t="str">
        <f>'Income Metrics'!B18</f>
        <v>Net Income</v>
      </c>
      <c r="C24" s="194" t="str">
        <f>IFERROR([1]!IntrinioBankFinancials(C$29,'Income Metrics'!$N$18,0,"TTM",'Income Metrics'!$O$18)/1000000,"")</f>
        <v/>
      </c>
      <c r="D24" s="192" t="str">
        <f>IFERROR([1]!IntrinioBankFinancials(D$29,'Income Metrics'!$N$18,0,"TTM",'Income Metrics'!$O$18)/1000000,"")</f>
        <v/>
      </c>
      <c r="E24" s="192" t="str">
        <f>IFERROR([1]!IntrinioBankFinancials(E$29,'Income Metrics'!$N$18,0,"TTM",'Income Metrics'!$O$18)/1000000,"")</f>
        <v/>
      </c>
      <c r="F24" s="192" t="str">
        <f>IFERROR([1]!IntrinioBankFinancials(F$29,'Income Metrics'!$N$18,0,"TTM",'Income Metrics'!$O$18)/1000000,"")</f>
        <v/>
      </c>
      <c r="G24" s="192" t="str">
        <f>IFERROR([1]!IntrinioBankFinancials(G$29,'Income Metrics'!$N$18,0,"TTM",'Income Metrics'!$O$18)/1000000,"")</f>
        <v/>
      </c>
      <c r="H24" s="192" t="str">
        <f>IFERROR([1]!IntrinioBankFinancials(H$29,'Income Metrics'!$N$18,0,"TTM",'Income Metrics'!$O$18)/1000000,"")</f>
        <v/>
      </c>
      <c r="I24" s="194" t="str">
        <f t="shared" ref="I24" si="2">IFERROR(AVERAGE(C24:H24),"nm")</f>
        <v>nm</v>
      </c>
      <c r="J24" s="192" t="str">
        <f t="shared" ref="J24" si="3">IFERROR(MEDIAN(C24:H24),"nm")</f>
        <v>nm</v>
      </c>
      <c r="K24" s="17"/>
      <c r="L24" s="17"/>
      <c r="M24" s="17"/>
    </row>
    <row r="25" spans="2:13" s="119" customFormat="1" ht="13.9" x14ac:dyDescent="0.45">
      <c r="B25" s="125" t="str">
        <f>'Income Metrics'!B19</f>
        <v xml:space="preserve">   % of Ave Assets</v>
      </c>
      <c r="C25" s="174" t="str">
        <f>IFERROR([1]!IntrinioBankFinancials(C$29,'Income Metrics'!$N19,'Income Metrics'!$G$32,'Income Metrics'!$G$34,'Income Metrics'!$O19),"")</f>
        <v/>
      </c>
      <c r="D25" s="175" t="str">
        <f>IFERROR([1]!IntrinioBankFinancials(D$29,'Income Metrics'!$N19,'Income Metrics'!$G$32,'Income Metrics'!$G$34,'Income Metrics'!$O19),"")</f>
        <v/>
      </c>
      <c r="E25" s="175" t="str">
        <f>IFERROR([1]!IntrinioBankFinancials(E$29,'Income Metrics'!$N19,'Income Metrics'!$G$32,'Income Metrics'!$G$34,'Income Metrics'!$O19),"")</f>
        <v/>
      </c>
      <c r="F25" s="175" t="str">
        <f>IFERROR([1]!IntrinioBankFinancials(F$29,'Income Metrics'!$N19,'Income Metrics'!$G$32,'Income Metrics'!$G$34,'Income Metrics'!$O19),"")</f>
        <v/>
      </c>
      <c r="G25" s="175" t="str">
        <f>IFERROR([1]!IntrinioBankFinancials(G$29,'Income Metrics'!$N19,'Income Metrics'!$G$32,'Income Metrics'!$G$34,'Income Metrics'!$O19),"")</f>
        <v/>
      </c>
      <c r="H25" s="175" t="str">
        <f>IFERROR([1]!IntrinioBankFinancials(H$29,'Income Metrics'!$N19,'Income Metrics'!$G$32,'Income Metrics'!$G$34,'Income Metrics'!$O19),"")</f>
        <v/>
      </c>
      <c r="I25" s="174" t="str">
        <f t="shared" ref="I25" si="4">IFERROR(AVERAGE(C25:H25),"nm")</f>
        <v>nm</v>
      </c>
      <c r="J25" s="175" t="str">
        <f t="shared" ref="J25" si="5">IFERROR(MEDIAN(C25:H25),"nm")</f>
        <v>nm</v>
      </c>
      <c r="K25" s="120"/>
      <c r="L25" s="120"/>
      <c r="M25" s="120"/>
    </row>
    <row r="26" spans="2:13" ht="21.95" customHeight="1" x14ac:dyDescent="0.45">
      <c r="B26" s="104"/>
      <c r="C26" s="104"/>
      <c r="D26" s="104"/>
      <c r="E26" s="104"/>
      <c r="F26" s="104"/>
      <c r="G26" s="104"/>
      <c r="H26" s="104"/>
      <c r="I26" s="104"/>
      <c r="J26" s="104"/>
      <c r="K26" s="46"/>
      <c r="L26" s="46"/>
      <c r="M26" s="17"/>
    </row>
    <row r="27" spans="2:13" ht="21.95" customHeight="1" x14ac:dyDescent="0.45">
      <c r="B27" s="28" t="s">
        <v>85</v>
      </c>
      <c r="C27" s="128" t="str">
        <f>I19</f>
        <v>nm</v>
      </c>
      <c r="D27" s="128" t="str">
        <f t="shared" ref="D27:H28" si="6">C27</f>
        <v>nm</v>
      </c>
      <c r="E27" s="128" t="str">
        <f t="shared" si="6"/>
        <v>nm</v>
      </c>
      <c r="F27" s="128" t="str">
        <f t="shared" si="6"/>
        <v>nm</v>
      </c>
      <c r="G27" s="128" t="str">
        <f t="shared" si="6"/>
        <v>nm</v>
      </c>
      <c r="H27" s="128" t="str">
        <f t="shared" si="6"/>
        <v>nm</v>
      </c>
      <c r="I27" s="28"/>
      <c r="J27" s="28"/>
      <c r="K27" s="16"/>
      <c r="L27" s="17"/>
      <c r="M27" s="17"/>
    </row>
    <row r="28" spans="2:13" ht="21.95" customHeight="1" x14ac:dyDescent="0.45">
      <c r="B28" s="28" t="s">
        <v>86</v>
      </c>
      <c r="C28" s="128" t="str">
        <f>J19</f>
        <v>nm</v>
      </c>
      <c r="D28" s="128" t="str">
        <f t="shared" si="6"/>
        <v>nm</v>
      </c>
      <c r="E28" s="128" t="str">
        <f t="shared" si="6"/>
        <v>nm</v>
      </c>
      <c r="F28" s="128" t="str">
        <f t="shared" si="6"/>
        <v>nm</v>
      </c>
      <c r="G28" s="128" t="str">
        <f t="shared" si="6"/>
        <v>nm</v>
      </c>
      <c r="H28" s="128" t="str">
        <f t="shared" si="6"/>
        <v>nm</v>
      </c>
      <c r="I28" s="28"/>
      <c r="J28" s="28"/>
      <c r="K28" s="17"/>
      <c r="L28" s="17"/>
      <c r="M28" s="17"/>
    </row>
    <row r="29" spans="2:13" ht="21.95" customHeight="1" x14ac:dyDescent="0.45">
      <c r="B29" s="28" t="s">
        <v>89</v>
      </c>
      <c r="C29" s="28" t="str">
        <f>IF(ticker="","",ticker)</f>
        <v/>
      </c>
      <c r="D29" s="28" t="str">
        <f>IF(comp1="","",comp1)</f>
        <v/>
      </c>
      <c r="E29" s="28" t="str">
        <f>IF(comp2="","",comp2)</f>
        <v/>
      </c>
      <c r="F29" s="28" t="str">
        <f>IF(comp3="","",comp3)</f>
        <v/>
      </c>
      <c r="G29" s="28" t="str">
        <f>IF(comp4="","",comp4)</f>
        <v/>
      </c>
      <c r="H29" s="28" t="str">
        <f>IF(comp5="","",comp5)</f>
        <v/>
      </c>
      <c r="I29" s="28"/>
      <c r="J29" s="28"/>
    </row>
    <row r="30" spans="2:13" ht="23.85" customHeight="1" x14ac:dyDescent="0.45">
      <c r="B30" s="28"/>
      <c r="C30" s="28"/>
      <c r="D30" s="28"/>
      <c r="E30" s="28"/>
      <c r="F30" s="28"/>
      <c r="G30" s="28"/>
      <c r="H30" s="28"/>
      <c r="I30" s="28"/>
      <c r="J30" s="28"/>
    </row>
    <row r="31" spans="2:13" ht="15.75" customHeight="1" x14ac:dyDescent="0.45">
      <c r="C31" s="3"/>
      <c r="D31" s="3"/>
      <c r="E31" s="3"/>
      <c r="F31" s="3"/>
      <c r="G31" s="3"/>
      <c r="H31" s="3"/>
      <c r="I31" s="3"/>
      <c r="J31" s="3"/>
      <c r="K31" s="20"/>
    </row>
    <row r="32" spans="2:13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</row>
    <row r="37" spans="3:11" x14ac:dyDescent="0.45">
      <c r="C37" s="3"/>
      <c r="D37" s="3"/>
      <c r="E37" s="3"/>
      <c r="F37" s="3"/>
      <c r="G37" s="3"/>
      <c r="H37" s="3"/>
      <c r="I37" s="3"/>
      <c r="J37" s="3"/>
      <c r="K37" s="19"/>
    </row>
    <row r="38" spans="3:11" x14ac:dyDescent="0.45">
      <c r="C38" s="3"/>
      <c r="D38" s="3"/>
      <c r="E38" s="3"/>
      <c r="F38" s="3"/>
      <c r="G38" s="3"/>
      <c r="H38" s="3"/>
      <c r="I38" s="3"/>
      <c r="J38" s="3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</sheetData>
  <conditionalFormatting sqref="K31:K33">
    <cfRule type="cellIs" dxfId="3" priority="1" operator="greaterThan">
      <formula>0</formula>
    </cfRule>
    <cfRule type="cellIs" dxfId="2" priority="2" operator="lessThan">
      <formula>0</formula>
    </cfRule>
  </conditionalFormatting>
  <pageMargins left="0.7" right="0.7" top="0.75" bottom="0.75" header="0.3" footer="0.3"/>
  <pageSetup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  <pageSetUpPr fitToPage="1"/>
  </sheetPr>
  <dimension ref="A1:L44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73046875" style="18" customWidth="1"/>
    <col min="3" max="10" width="11.73046875" style="18" customWidth="1"/>
    <col min="11" max="11" width="1.265625" style="18" customWidth="1"/>
    <col min="12" max="12" width="14.3984375" style="18" customWidth="1"/>
    <col min="13" max="16384" width="9.1328125" style="18"/>
  </cols>
  <sheetData>
    <row r="1" spans="1:12" ht="18" x14ac:dyDescent="0.55000000000000004">
      <c r="A1" s="200" t="str">
        <f>name</f>
        <v/>
      </c>
    </row>
    <row r="2" spans="1:12" ht="15.4" x14ac:dyDescent="0.45">
      <c r="A2" s="23" t="s">
        <v>196</v>
      </c>
    </row>
    <row r="4" spans="1:12" x14ac:dyDescent="0.45">
      <c r="B4" s="91"/>
      <c r="C4" s="195" t="str">
        <f>IF(C30=0,"",[1]!IntrinioDataPoint(C30,"bank_name"))</f>
        <v/>
      </c>
      <c r="D4" s="195" t="str">
        <f>IF(D30=0,"",[1]!IntrinioDataPoint(D30,"bank_name"))</f>
        <v/>
      </c>
      <c r="E4" s="195" t="str">
        <f>IF(E30=0,"",[1]!IntrinioDataPoint(E30,"bank_name"))</f>
        <v/>
      </c>
      <c r="F4" s="195" t="str">
        <f>IF(F30=0,"",[1]!IntrinioDataPoint(F30,"bank_name"))</f>
        <v/>
      </c>
      <c r="G4" s="195" t="str">
        <f>IF(G30=0,"",[1]!IntrinioDataPoint(G30,"bank_name"))</f>
        <v/>
      </c>
      <c r="H4" s="195" t="str">
        <f>IF(H30=0,"",[1]!IntrinioDataPoint(H30,"bank_name"))</f>
        <v/>
      </c>
      <c r="I4" s="92" t="s">
        <v>85</v>
      </c>
      <c r="J4" s="93" t="s">
        <v>86</v>
      </c>
      <c r="K4" s="1"/>
    </row>
    <row r="5" spans="1:12" ht="20.85" customHeight="1" x14ac:dyDescent="0.45">
      <c r="B5" s="141" t="s">
        <v>123</v>
      </c>
      <c r="C5" s="143"/>
      <c r="D5" s="124"/>
      <c r="E5" s="124"/>
      <c r="F5" s="124"/>
      <c r="G5" s="124"/>
      <c r="H5" s="144"/>
      <c r="I5" s="143"/>
      <c r="J5" s="144"/>
      <c r="K5" s="17"/>
      <c r="L5" s="17"/>
    </row>
    <row r="6" spans="1:12" s="119" customFormat="1" ht="20.85" customHeight="1" x14ac:dyDescent="0.45">
      <c r="B6" s="147" t="s">
        <v>118</v>
      </c>
      <c r="C6" s="177" t="str">
        <f>IFERROR([1]!IntrinioBankFinancials(C$30,'Marg, Liq, Lev Metrics'!$N7,'Marg, Liq, Lev Metrics'!$G$33,'Marg, Liq, Lev Metrics'!$G$34,'Marg, Liq, Lev Metrics'!$O7),"")</f>
        <v/>
      </c>
      <c r="D6" s="178" t="str">
        <f>IFERROR([1]!IntrinioBankFinancials(D$30,'Marg, Liq, Lev Metrics'!$N7,'Marg, Liq, Lev Metrics'!$G$33,'Marg, Liq, Lev Metrics'!$G$34,'Marg, Liq, Lev Metrics'!$O7),"")</f>
        <v/>
      </c>
      <c r="E6" s="178" t="str">
        <f>IFERROR([1]!IntrinioBankFinancials(E$30,'Marg, Liq, Lev Metrics'!$N7,'Marg, Liq, Lev Metrics'!$G$33,'Marg, Liq, Lev Metrics'!$G$34,'Marg, Liq, Lev Metrics'!$O7),"")</f>
        <v/>
      </c>
      <c r="F6" s="178" t="str">
        <f>IFERROR([1]!IntrinioBankFinancials(F$30,'Marg, Liq, Lev Metrics'!$N7,'Marg, Liq, Lev Metrics'!$G$33,'Marg, Liq, Lev Metrics'!$G$34,'Marg, Liq, Lev Metrics'!$O7),"")</f>
        <v/>
      </c>
      <c r="G6" s="178" t="str">
        <f>IFERROR([1]!IntrinioBankFinancials(G$30,'Marg, Liq, Lev Metrics'!$N7,'Marg, Liq, Lev Metrics'!$G$33,'Marg, Liq, Lev Metrics'!$G$34,'Marg, Liq, Lev Metrics'!$O7),"")</f>
        <v/>
      </c>
      <c r="H6" s="179" t="str">
        <f>IFERROR([1]!IntrinioBankFinancials(H$30,'Marg, Liq, Lev Metrics'!$N7,'Marg, Liq, Lev Metrics'!$G$33,'Marg, Liq, Lev Metrics'!$G$34,'Marg, Liq, Lev Metrics'!$O7),"")</f>
        <v/>
      </c>
      <c r="I6" s="177" t="str">
        <f>IFERROR(AVERAGE(C6:H6),"nm")</f>
        <v>nm</v>
      </c>
      <c r="J6" s="179" t="str">
        <f t="shared" ref="J6:J8" si="0">IFERROR(MEDIAN(C6:H6),"nm")</f>
        <v>nm</v>
      </c>
      <c r="K6" s="120"/>
      <c r="L6" s="120"/>
    </row>
    <row r="7" spans="1:12" ht="20.85" customHeight="1" x14ac:dyDescent="0.45">
      <c r="B7" s="146" t="s">
        <v>119</v>
      </c>
      <c r="C7" s="180" t="str">
        <f>IFERROR([1]!IntrinioBankFinancials(C$30,'Marg, Liq, Lev Metrics'!$N8,'Marg, Liq, Lev Metrics'!$G$33,'Marg, Liq, Lev Metrics'!$G$34,'Marg, Liq, Lev Metrics'!$O8),"")</f>
        <v/>
      </c>
      <c r="D7" s="181" t="str">
        <f>IFERROR([1]!IntrinioBankFinancials(D$30,'Marg, Liq, Lev Metrics'!$N8,'Marg, Liq, Lev Metrics'!$G$33,'Marg, Liq, Lev Metrics'!$G$34,'Marg, Liq, Lev Metrics'!$O8),"")</f>
        <v/>
      </c>
      <c r="E7" s="181" t="str">
        <f>IFERROR([1]!IntrinioBankFinancials(E$30,'Marg, Liq, Lev Metrics'!$N8,'Marg, Liq, Lev Metrics'!$G$33,'Marg, Liq, Lev Metrics'!$G$34,'Marg, Liq, Lev Metrics'!$O8),"")</f>
        <v/>
      </c>
      <c r="F7" s="181" t="str">
        <f>IFERROR([1]!IntrinioBankFinancials(F$30,'Marg, Liq, Lev Metrics'!$N8,'Marg, Liq, Lev Metrics'!$G$33,'Marg, Liq, Lev Metrics'!$G$34,'Marg, Liq, Lev Metrics'!$O8),"")</f>
        <v/>
      </c>
      <c r="G7" s="181" t="str">
        <f>IFERROR([1]!IntrinioBankFinancials(G$30,'Marg, Liq, Lev Metrics'!$N8,'Marg, Liq, Lev Metrics'!$G$33,'Marg, Liq, Lev Metrics'!$G$34,'Marg, Liq, Lev Metrics'!$O8),"")</f>
        <v/>
      </c>
      <c r="H7" s="182" t="str">
        <f>IFERROR([1]!IntrinioBankFinancials(H$30,'Marg, Liq, Lev Metrics'!$N8,'Marg, Liq, Lev Metrics'!$G$33,'Marg, Liq, Lev Metrics'!$G$34,'Marg, Liq, Lev Metrics'!$O8),"")</f>
        <v/>
      </c>
      <c r="I7" s="180" t="str">
        <f t="shared" ref="I7:I8" si="1">IFERROR(AVERAGE(C7:H7),"nm")</f>
        <v>nm</v>
      </c>
      <c r="J7" s="182" t="str">
        <f t="shared" si="0"/>
        <v>nm</v>
      </c>
      <c r="K7" s="17"/>
      <c r="L7" s="17"/>
    </row>
    <row r="8" spans="1:12" s="119" customFormat="1" ht="20.85" customHeight="1" x14ac:dyDescent="0.45">
      <c r="B8" s="150" t="s">
        <v>120</v>
      </c>
      <c r="C8" s="177" t="str">
        <f>IFERROR([1]!IntrinioBankFinancials(C$30,'Marg, Liq, Lev Metrics'!$N9,'Marg, Liq, Lev Metrics'!$G$33,'Marg, Liq, Lev Metrics'!$G$34,'Marg, Liq, Lev Metrics'!$O9),"")</f>
        <v/>
      </c>
      <c r="D8" s="178" t="str">
        <f>IFERROR([1]!IntrinioBankFinancials(D$30,'Marg, Liq, Lev Metrics'!$N9,'Marg, Liq, Lev Metrics'!$G$33,'Marg, Liq, Lev Metrics'!$G$34,'Marg, Liq, Lev Metrics'!$O9),"")</f>
        <v/>
      </c>
      <c r="E8" s="178" t="str">
        <f>IFERROR([1]!IntrinioBankFinancials(E$30,'Marg, Liq, Lev Metrics'!$N9,'Marg, Liq, Lev Metrics'!$G$33,'Marg, Liq, Lev Metrics'!$G$34,'Marg, Liq, Lev Metrics'!$O9),"")</f>
        <v/>
      </c>
      <c r="F8" s="178" t="str">
        <f>IFERROR([1]!IntrinioBankFinancials(F$30,'Marg, Liq, Lev Metrics'!$N9,'Marg, Liq, Lev Metrics'!$G$33,'Marg, Liq, Lev Metrics'!$G$34,'Marg, Liq, Lev Metrics'!$O9),"")</f>
        <v/>
      </c>
      <c r="G8" s="178" t="str">
        <f>IFERROR([1]!IntrinioBankFinancials(G$30,'Marg, Liq, Lev Metrics'!$N9,'Marg, Liq, Lev Metrics'!$G$33,'Marg, Liq, Lev Metrics'!$G$34,'Marg, Liq, Lev Metrics'!$O9),"")</f>
        <v/>
      </c>
      <c r="H8" s="179" t="str">
        <f>IFERROR([1]!IntrinioBankFinancials(H$30,'Marg, Liq, Lev Metrics'!$N9,'Marg, Liq, Lev Metrics'!$G$33,'Marg, Liq, Lev Metrics'!$G$34,'Marg, Liq, Lev Metrics'!$O9),"")</f>
        <v/>
      </c>
      <c r="I8" s="177" t="str">
        <f t="shared" si="1"/>
        <v>nm</v>
      </c>
      <c r="J8" s="179" t="str">
        <f t="shared" si="0"/>
        <v>nm</v>
      </c>
      <c r="K8" s="120"/>
      <c r="L8" s="120"/>
    </row>
    <row r="9" spans="1:12" s="119" customFormat="1" ht="20.85" customHeight="1" x14ac:dyDescent="0.45">
      <c r="B9" s="146" t="s">
        <v>121</v>
      </c>
      <c r="C9" s="180" t="str">
        <f>IFERROR([1]!IntrinioBankFinancials(C$30,'Marg, Liq, Lev Metrics'!$N10,'Marg, Liq, Lev Metrics'!$G$33,'Marg, Liq, Lev Metrics'!$G$34,'Marg, Liq, Lev Metrics'!$O10),"")</f>
        <v/>
      </c>
      <c r="D9" s="181" t="str">
        <f>IFERROR([1]!IntrinioBankFinancials(D$30,'Marg, Liq, Lev Metrics'!$N10,'Marg, Liq, Lev Metrics'!$G$33,'Marg, Liq, Lev Metrics'!$G$34,'Marg, Liq, Lev Metrics'!$O10),"")</f>
        <v/>
      </c>
      <c r="E9" s="181" t="str">
        <f>IFERROR([1]!IntrinioBankFinancials(E$30,'Marg, Liq, Lev Metrics'!$N10,'Marg, Liq, Lev Metrics'!$G$33,'Marg, Liq, Lev Metrics'!$G$34,'Marg, Liq, Lev Metrics'!$O10),"")</f>
        <v/>
      </c>
      <c r="F9" s="181" t="str">
        <f>IFERROR([1]!IntrinioBankFinancials(F$30,'Marg, Liq, Lev Metrics'!$N10,'Marg, Liq, Lev Metrics'!$G$33,'Marg, Liq, Lev Metrics'!$G$34,'Marg, Liq, Lev Metrics'!$O10),"")</f>
        <v/>
      </c>
      <c r="G9" s="181" t="str">
        <f>IFERROR([1]!IntrinioBankFinancials(G$30,'Marg, Liq, Lev Metrics'!$N10,'Marg, Liq, Lev Metrics'!$G$33,'Marg, Liq, Lev Metrics'!$G$34,'Marg, Liq, Lev Metrics'!$O10),"")</f>
        <v/>
      </c>
      <c r="H9" s="182" t="str">
        <f>IFERROR([1]!IntrinioBankFinancials(H$30,'Marg, Liq, Lev Metrics'!$N10,'Marg, Liq, Lev Metrics'!$G$33,'Marg, Liq, Lev Metrics'!$G$34,'Marg, Liq, Lev Metrics'!$O10),"")</f>
        <v/>
      </c>
      <c r="I9" s="180" t="str">
        <f t="shared" ref="I9:I10" si="2">IFERROR(AVERAGE(C9:H9),"nm")</f>
        <v>nm</v>
      </c>
      <c r="J9" s="182" t="str">
        <f t="shared" ref="J9:J10" si="3">IFERROR(MEDIAN(C9:H9),"nm")</f>
        <v>nm</v>
      </c>
      <c r="K9" s="120"/>
      <c r="L9" s="120"/>
    </row>
    <row r="10" spans="1:12" ht="20.85" customHeight="1" x14ac:dyDescent="0.45">
      <c r="B10" s="150" t="s">
        <v>122</v>
      </c>
      <c r="C10" s="177" t="str">
        <f>IFERROR([1]!IntrinioBankFinancials(C$30,'Marg, Liq, Lev Metrics'!$N11,'Marg, Liq, Lev Metrics'!$G$33,'Marg, Liq, Lev Metrics'!$G$34,'Marg, Liq, Lev Metrics'!$O11),"")</f>
        <v/>
      </c>
      <c r="D10" s="178" t="str">
        <f>IFERROR([1]!IntrinioBankFinancials(D$30,'Marg, Liq, Lev Metrics'!$N11,'Marg, Liq, Lev Metrics'!$G$33,'Marg, Liq, Lev Metrics'!$G$34,'Marg, Liq, Lev Metrics'!$O11),"")</f>
        <v/>
      </c>
      <c r="E10" s="178" t="str">
        <f>IFERROR([1]!IntrinioBankFinancials(E$30,'Marg, Liq, Lev Metrics'!$N11,'Marg, Liq, Lev Metrics'!$G$33,'Marg, Liq, Lev Metrics'!$G$34,'Marg, Liq, Lev Metrics'!$O11),"")</f>
        <v/>
      </c>
      <c r="F10" s="178" t="str">
        <f>IFERROR([1]!IntrinioBankFinancials(F$30,'Marg, Liq, Lev Metrics'!$N11,'Marg, Liq, Lev Metrics'!$G$33,'Marg, Liq, Lev Metrics'!$G$34,'Marg, Liq, Lev Metrics'!$O11),"")</f>
        <v/>
      </c>
      <c r="G10" s="178" t="str">
        <f>IFERROR([1]!IntrinioBankFinancials(G$30,'Marg, Liq, Lev Metrics'!$N11,'Marg, Liq, Lev Metrics'!$G$33,'Marg, Liq, Lev Metrics'!$G$34,'Marg, Liq, Lev Metrics'!$O11),"")</f>
        <v/>
      </c>
      <c r="H10" s="179" t="str">
        <f>IFERROR([1]!IntrinioBankFinancials(H$30,'Marg, Liq, Lev Metrics'!$N11,'Marg, Liq, Lev Metrics'!$G$33,'Marg, Liq, Lev Metrics'!$G$34,'Marg, Liq, Lev Metrics'!$O11),"")</f>
        <v/>
      </c>
      <c r="I10" s="177" t="str">
        <f t="shared" si="2"/>
        <v>nm</v>
      </c>
      <c r="J10" s="179" t="str">
        <f t="shared" si="3"/>
        <v>nm</v>
      </c>
      <c r="K10" s="17"/>
      <c r="L10" s="17"/>
    </row>
    <row r="11" spans="1:12" s="119" customFormat="1" ht="20.85" customHeight="1" x14ac:dyDescent="0.45">
      <c r="B11" s="159"/>
      <c r="C11" s="160"/>
      <c r="D11" s="160"/>
      <c r="E11" s="160"/>
      <c r="F11" s="160"/>
      <c r="G11" s="160"/>
      <c r="H11" s="160"/>
      <c r="I11" s="160"/>
      <c r="J11" s="160"/>
      <c r="K11" s="120"/>
      <c r="L11" s="120"/>
    </row>
    <row r="12" spans="1:12" ht="20.85" customHeight="1" x14ac:dyDescent="0.45">
      <c r="B12" s="141" t="s">
        <v>127</v>
      </c>
      <c r="C12" s="143"/>
      <c r="D12" s="124"/>
      <c r="E12" s="124"/>
      <c r="F12" s="124"/>
      <c r="G12" s="124"/>
      <c r="H12" s="144"/>
      <c r="I12" s="143"/>
      <c r="J12" s="144"/>
      <c r="K12" s="17"/>
      <c r="L12" s="17"/>
    </row>
    <row r="13" spans="1:12" s="119" customFormat="1" ht="20.85" customHeight="1" x14ac:dyDescent="0.45">
      <c r="B13" s="184" t="s">
        <v>124</v>
      </c>
      <c r="C13" s="177" t="str">
        <f>IFERROR([1]!IntrinioBankFinancials(C$30,'Marg, Liq, Lev Metrics'!$N14,'Marg, Liq, Lev Metrics'!$G$33,'Marg, Liq, Lev Metrics'!$G$34,'Marg, Liq, Lev Metrics'!$O14),"")</f>
        <v/>
      </c>
      <c r="D13" s="178" t="str">
        <f>IFERROR([1]!IntrinioBankFinancials(D$30,'Marg, Liq, Lev Metrics'!$N14,'Marg, Liq, Lev Metrics'!$G$33,'Marg, Liq, Lev Metrics'!$G$34,'Marg, Liq, Lev Metrics'!$O14),"")</f>
        <v/>
      </c>
      <c r="E13" s="178" t="str">
        <f>IFERROR([1]!IntrinioBankFinancials(E$30,'Marg, Liq, Lev Metrics'!$N14,'Marg, Liq, Lev Metrics'!$G$33,'Marg, Liq, Lev Metrics'!$G$34,'Marg, Liq, Lev Metrics'!$O14),"")</f>
        <v/>
      </c>
      <c r="F13" s="178" t="str">
        <f>IFERROR([1]!IntrinioBankFinancials(F$30,'Marg, Liq, Lev Metrics'!$N14,'Marg, Liq, Lev Metrics'!$G$33,'Marg, Liq, Lev Metrics'!$G$34,'Marg, Liq, Lev Metrics'!$O14),"")</f>
        <v/>
      </c>
      <c r="G13" s="178" t="str">
        <f>IFERROR([1]!IntrinioBankFinancials(G$30,'Marg, Liq, Lev Metrics'!$N14,'Marg, Liq, Lev Metrics'!$G$33,'Marg, Liq, Lev Metrics'!$G$34,'Marg, Liq, Lev Metrics'!$O14),"")</f>
        <v/>
      </c>
      <c r="H13" s="179" t="str">
        <f>IFERROR([1]!IntrinioBankFinancials(H$30,'Marg, Liq, Lev Metrics'!$N14,'Marg, Liq, Lev Metrics'!$G$33,'Marg, Liq, Lev Metrics'!$G$34,'Marg, Liq, Lev Metrics'!$O14),"")</f>
        <v/>
      </c>
      <c r="I13" s="177" t="str">
        <f t="shared" ref="I13:I15" si="4">IFERROR(AVERAGE(C13:H13),"nm")</f>
        <v>nm</v>
      </c>
      <c r="J13" s="179" t="str">
        <f t="shared" ref="J13:J15" si="5">IFERROR(MEDIAN(C13:H13),"nm")</f>
        <v>nm</v>
      </c>
      <c r="K13" s="120"/>
      <c r="L13" s="120"/>
    </row>
    <row r="14" spans="1:12" ht="20.85" customHeight="1" x14ac:dyDescent="0.45">
      <c r="B14" s="146" t="s">
        <v>155</v>
      </c>
      <c r="C14" s="180" t="str">
        <f>IFERROR([1]!IntrinioBankFinancials(C$30,'Marg, Liq, Lev Metrics'!$N15,'Marg, Liq, Lev Metrics'!$G$33,'Marg, Liq, Lev Metrics'!$G$34,'Marg, Liq, Lev Metrics'!$O15),"")</f>
        <v/>
      </c>
      <c r="D14" s="181" t="str">
        <f>IFERROR([1]!IntrinioBankFinancials(D$30,'Marg, Liq, Lev Metrics'!$N15,'Marg, Liq, Lev Metrics'!$G$33,'Marg, Liq, Lev Metrics'!$G$34,'Marg, Liq, Lev Metrics'!$O15),"")</f>
        <v/>
      </c>
      <c r="E14" s="181" t="str">
        <f>IFERROR([1]!IntrinioBankFinancials(E$30,'Marg, Liq, Lev Metrics'!$N15,'Marg, Liq, Lev Metrics'!$G$33,'Marg, Liq, Lev Metrics'!$G$34,'Marg, Liq, Lev Metrics'!$O15),"")</f>
        <v/>
      </c>
      <c r="F14" s="181" t="str">
        <f>IFERROR([1]!IntrinioBankFinancials(F$30,'Marg, Liq, Lev Metrics'!$N15,'Marg, Liq, Lev Metrics'!$G$33,'Marg, Liq, Lev Metrics'!$G$34,'Marg, Liq, Lev Metrics'!$O15),"")</f>
        <v/>
      </c>
      <c r="G14" s="181" t="str">
        <f>IFERROR([1]!IntrinioBankFinancials(G$30,'Marg, Liq, Lev Metrics'!$N15,'Marg, Liq, Lev Metrics'!$G$33,'Marg, Liq, Lev Metrics'!$G$34,'Marg, Liq, Lev Metrics'!$O15),"")</f>
        <v/>
      </c>
      <c r="H14" s="182" t="str">
        <f>IFERROR([1]!IntrinioBankFinancials(H$30,'Marg, Liq, Lev Metrics'!$N15,'Marg, Liq, Lev Metrics'!$G$33,'Marg, Liq, Lev Metrics'!$G$34,'Marg, Liq, Lev Metrics'!$O15),"")</f>
        <v/>
      </c>
      <c r="I14" s="180" t="str">
        <f t="shared" si="4"/>
        <v>nm</v>
      </c>
      <c r="J14" s="182" t="str">
        <f t="shared" si="5"/>
        <v>nm</v>
      </c>
      <c r="K14" s="17"/>
      <c r="L14" s="17"/>
    </row>
    <row r="15" spans="1:12" s="119" customFormat="1" ht="20.85" customHeight="1" x14ac:dyDescent="0.45">
      <c r="B15" s="147" t="s">
        <v>125</v>
      </c>
      <c r="C15" s="153" t="str">
        <f>IFERROR([1]!IntrinioBankFinancials(C$30,'Marg, Liq, Lev Metrics'!$N16,'Marg, Liq, Lev Metrics'!$G$33,'Marg, Liq, Lev Metrics'!$G$34,'Marg, Liq, Lev Metrics'!$O16),"")</f>
        <v/>
      </c>
      <c r="D15" s="154" t="str">
        <f>IFERROR([1]!IntrinioBankFinancials(D$30,'Marg, Liq, Lev Metrics'!$N16,'Marg, Liq, Lev Metrics'!$G$33,'Marg, Liq, Lev Metrics'!$G$34,'Marg, Liq, Lev Metrics'!$O16),"")</f>
        <v/>
      </c>
      <c r="E15" s="154" t="str">
        <f>IFERROR([1]!IntrinioBankFinancials(E$30,'Marg, Liq, Lev Metrics'!$N16,'Marg, Liq, Lev Metrics'!$G$33,'Marg, Liq, Lev Metrics'!$G$34,'Marg, Liq, Lev Metrics'!$O16),"")</f>
        <v/>
      </c>
      <c r="F15" s="154" t="str">
        <f>IFERROR([1]!IntrinioBankFinancials(F$30,'Marg, Liq, Lev Metrics'!$N16,'Marg, Liq, Lev Metrics'!$G$33,'Marg, Liq, Lev Metrics'!$G$34,'Marg, Liq, Lev Metrics'!$O16),"")</f>
        <v/>
      </c>
      <c r="G15" s="154" t="str">
        <f>IFERROR([1]!IntrinioBankFinancials(G$30,'Marg, Liq, Lev Metrics'!$N16,'Marg, Liq, Lev Metrics'!$G$33,'Marg, Liq, Lev Metrics'!$G$34,'Marg, Liq, Lev Metrics'!$O16),"")</f>
        <v/>
      </c>
      <c r="H15" s="155" t="str">
        <f>IFERROR([1]!IntrinioBankFinancials(H$30,'Marg, Liq, Lev Metrics'!$N16,'Marg, Liq, Lev Metrics'!$G$33,'Marg, Liq, Lev Metrics'!$G$34,'Marg, Liq, Lev Metrics'!$O16),"")</f>
        <v/>
      </c>
      <c r="I15" s="153" t="str">
        <f t="shared" si="4"/>
        <v>nm</v>
      </c>
      <c r="J15" s="155" t="str">
        <f t="shared" si="5"/>
        <v>nm</v>
      </c>
      <c r="K15" s="120"/>
      <c r="L15" s="120"/>
    </row>
    <row r="16" spans="1:12" ht="21.95" customHeight="1" x14ac:dyDescent="0.45">
      <c r="B16" s="104"/>
      <c r="C16" s="104"/>
      <c r="D16" s="104"/>
      <c r="E16" s="104"/>
      <c r="F16" s="104"/>
      <c r="G16" s="104"/>
      <c r="H16" s="104"/>
      <c r="I16" s="104"/>
      <c r="J16" s="104"/>
      <c r="K16" s="46"/>
      <c r="L16" s="17"/>
    </row>
    <row r="17" spans="2:12" ht="21.95" customHeight="1" x14ac:dyDescent="0.45">
      <c r="B17" s="104"/>
      <c r="C17" s="104"/>
      <c r="D17" s="104"/>
      <c r="E17" s="104"/>
      <c r="F17" s="104"/>
      <c r="G17" s="104"/>
      <c r="H17" s="104"/>
      <c r="I17" s="104"/>
      <c r="J17" s="104"/>
      <c r="K17" s="17"/>
      <c r="L17" s="17"/>
    </row>
    <row r="18" spans="2:12" ht="21.95" customHeight="1" x14ac:dyDescent="0.45">
      <c r="B18" s="104"/>
      <c r="C18" s="104"/>
      <c r="D18" s="104"/>
      <c r="E18" s="104"/>
      <c r="F18" s="104"/>
      <c r="G18" s="104"/>
      <c r="H18" s="104"/>
      <c r="I18" s="104"/>
      <c r="J18" s="104"/>
      <c r="K18" s="17"/>
      <c r="L18" s="17"/>
    </row>
    <row r="19" spans="2:12" ht="21.95" customHeight="1" x14ac:dyDescent="0.45">
      <c r="B19" s="104"/>
      <c r="C19" s="104"/>
      <c r="D19" s="104"/>
      <c r="E19" s="104"/>
      <c r="F19" s="104"/>
      <c r="G19" s="104"/>
      <c r="H19" s="104"/>
      <c r="I19" s="104"/>
      <c r="J19" s="104"/>
      <c r="K19" s="17"/>
      <c r="L19" s="17"/>
    </row>
    <row r="20" spans="2:12" ht="21.95" customHeight="1" x14ac:dyDescent="0.45">
      <c r="B20" s="104"/>
      <c r="C20" s="104"/>
      <c r="D20" s="104"/>
      <c r="E20" s="104"/>
      <c r="F20" s="104"/>
      <c r="G20" s="104"/>
      <c r="H20" s="104"/>
      <c r="I20" s="104"/>
      <c r="J20" s="104"/>
      <c r="K20" s="17"/>
      <c r="L20" s="17"/>
    </row>
    <row r="21" spans="2:12" ht="21.95" customHeight="1" x14ac:dyDescent="0.45">
      <c r="B21" s="104"/>
      <c r="C21" s="104"/>
      <c r="D21" s="104"/>
      <c r="E21" s="104"/>
      <c r="F21" s="104"/>
      <c r="G21" s="104"/>
      <c r="H21" s="104"/>
      <c r="I21" s="104"/>
      <c r="J21" s="104"/>
      <c r="K21" s="17"/>
      <c r="L21" s="17"/>
    </row>
    <row r="22" spans="2:12" ht="21.95" customHeight="1" x14ac:dyDescent="0.45">
      <c r="B22" s="104"/>
      <c r="C22" s="104"/>
      <c r="D22" s="104"/>
      <c r="E22" s="104"/>
      <c r="F22" s="104"/>
      <c r="G22" s="104"/>
      <c r="H22" s="104"/>
      <c r="I22" s="104"/>
      <c r="J22" s="104"/>
      <c r="K22" s="17"/>
      <c r="L22" s="17"/>
    </row>
    <row r="23" spans="2:12" ht="21.95" customHeight="1" x14ac:dyDescent="0.45">
      <c r="B23" s="104"/>
      <c r="C23" s="104"/>
      <c r="D23" s="104"/>
      <c r="E23" s="104"/>
      <c r="F23" s="104"/>
      <c r="G23" s="104"/>
      <c r="H23" s="104"/>
      <c r="I23" s="104"/>
      <c r="J23" s="104"/>
      <c r="K23" s="17"/>
      <c r="L23" s="17"/>
    </row>
    <row r="24" spans="2:12" ht="21.95" customHeight="1" x14ac:dyDescent="0.45">
      <c r="B24" s="104"/>
      <c r="C24" s="104"/>
      <c r="D24" s="104"/>
      <c r="E24" s="104"/>
      <c r="F24" s="104"/>
      <c r="G24" s="104"/>
      <c r="H24" s="104"/>
      <c r="I24" s="104"/>
      <c r="J24" s="104"/>
      <c r="K24" s="17"/>
      <c r="L24" s="17"/>
    </row>
    <row r="25" spans="2:12" ht="21.95" customHeight="1" x14ac:dyDescent="0.45">
      <c r="B25" s="104"/>
      <c r="C25" s="104"/>
      <c r="D25" s="104"/>
      <c r="E25" s="104"/>
      <c r="F25" s="104"/>
      <c r="G25" s="104"/>
      <c r="H25" s="104"/>
      <c r="I25" s="104"/>
      <c r="J25" s="104"/>
      <c r="K25" s="17"/>
      <c r="L25" s="17"/>
    </row>
    <row r="26" spans="2:12" ht="21.95" customHeight="1" x14ac:dyDescent="0.45">
      <c r="B26" s="104"/>
      <c r="C26" s="104"/>
      <c r="D26" s="104"/>
      <c r="E26" s="104"/>
      <c r="F26" s="104"/>
      <c r="G26" s="104"/>
      <c r="H26" s="104"/>
      <c r="I26" s="104"/>
      <c r="J26" s="104"/>
      <c r="K26" s="17"/>
      <c r="L26" s="17"/>
    </row>
    <row r="27" spans="2:12" ht="21.95" customHeight="1" x14ac:dyDescent="0.45">
      <c r="B27" s="104"/>
      <c r="C27" s="104"/>
      <c r="D27" s="104"/>
      <c r="E27" s="104"/>
      <c r="F27" s="104"/>
      <c r="G27" s="104"/>
      <c r="H27" s="104"/>
      <c r="I27" s="104"/>
      <c r="J27" s="104"/>
      <c r="K27" s="17"/>
      <c r="L27" s="17"/>
    </row>
    <row r="28" spans="2:12" ht="21.95" customHeight="1" x14ac:dyDescent="0.45">
      <c r="B28" s="28"/>
      <c r="C28" s="128"/>
      <c r="D28" s="128"/>
      <c r="E28" s="128"/>
      <c r="F28" s="128"/>
      <c r="G28" s="128"/>
      <c r="H28" s="128"/>
      <c r="I28" s="28"/>
      <c r="J28" s="28"/>
      <c r="K28" s="17"/>
      <c r="L28" s="17"/>
    </row>
    <row r="29" spans="2:12" ht="21.95" customHeight="1" x14ac:dyDescent="0.45">
      <c r="B29" s="28"/>
      <c r="C29" s="128"/>
      <c r="D29" s="128"/>
      <c r="E29" s="128"/>
      <c r="F29" s="128"/>
      <c r="G29" s="128"/>
      <c r="H29" s="128"/>
      <c r="I29" s="28"/>
      <c r="J29" s="28"/>
      <c r="K29" s="17"/>
      <c r="L29" s="17"/>
    </row>
    <row r="30" spans="2:12" ht="21.95" customHeight="1" x14ac:dyDescent="0.45">
      <c r="B30" s="28" t="s">
        <v>89</v>
      </c>
      <c r="C30" s="28" t="str">
        <f>IF(ticker="","",ticker)</f>
        <v/>
      </c>
      <c r="D30" s="28" t="str">
        <f>IF(comp1="","",comp1)</f>
        <v/>
      </c>
      <c r="E30" s="28" t="str">
        <f>IF(comp2="","",comp2)</f>
        <v/>
      </c>
      <c r="F30" s="28" t="str">
        <f>IF(comp3="","",comp3)</f>
        <v/>
      </c>
      <c r="G30" s="28" t="str">
        <f>IF(comp4="","",comp4)</f>
        <v/>
      </c>
      <c r="H30" s="28" t="str">
        <f>IF(comp5="","",comp5)</f>
        <v/>
      </c>
      <c r="I30" s="28"/>
      <c r="J30" s="28"/>
    </row>
    <row r="31" spans="2:12" ht="23.85" customHeight="1" x14ac:dyDescent="0.45">
      <c r="B31" s="28"/>
      <c r="C31" s="28" t="str">
        <f>C4</f>
        <v/>
      </c>
      <c r="D31" s="28" t="str">
        <f t="shared" ref="D31:H31" si="6">D4</f>
        <v/>
      </c>
      <c r="E31" s="28" t="str">
        <f t="shared" si="6"/>
        <v/>
      </c>
      <c r="F31" s="28" t="str">
        <f t="shared" si="6"/>
        <v/>
      </c>
      <c r="G31" s="28" t="str">
        <f t="shared" si="6"/>
        <v/>
      </c>
      <c r="H31" s="28" t="str">
        <f t="shared" si="6"/>
        <v/>
      </c>
      <c r="I31" s="28"/>
      <c r="J31" s="28"/>
    </row>
    <row r="32" spans="2:12" ht="15.75" customHeight="1" x14ac:dyDescent="0.45">
      <c r="C32" s="3"/>
      <c r="D32" s="3"/>
      <c r="E32" s="3"/>
      <c r="F32" s="3"/>
      <c r="G32" s="3"/>
      <c r="H32" s="3"/>
      <c r="I32" s="3"/>
      <c r="J32" s="3"/>
    </row>
    <row r="33" spans="3:10" x14ac:dyDescent="0.45">
      <c r="C33" s="3"/>
      <c r="D33" s="3"/>
      <c r="E33" s="3"/>
      <c r="F33" s="3"/>
      <c r="G33" s="3"/>
      <c r="H33" s="3"/>
      <c r="I33" s="3"/>
      <c r="J33" s="3"/>
    </row>
    <row r="34" spans="3:10" x14ac:dyDescent="0.45">
      <c r="C34" s="3"/>
      <c r="D34" s="3"/>
      <c r="E34" s="3"/>
      <c r="F34" s="3"/>
      <c r="G34" s="3"/>
      <c r="H34" s="3"/>
      <c r="I34" s="3"/>
      <c r="J34" s="3"/>
    </row>
    <row r="35" spans="3:10" x14ac:dyDescent="0.45">
      <c r="C35" s="3"/>
      <c r="D35" s="3"/>
      <c r="E35" s="3"/>
      <c r="F35" s="3"/>
      <c r="G35" s="3"/>
      <c r="H35" s="3"/>
      <c r="I35" s="3"/>
      <c r="J35" s="3"/>
    </row>
    <row r="36" spans="3:10" x14ac:dyDescent="0.45">
      <c r="C36" s="3"/>
      <c r="D36" s="3"/>
      <c r="E36" s="3"/>
      <c r="F36" s="3"/>
      <c r="G36" s="3"/>
      <c r="H36" s="3"/>
      <c r="I36" s="3"/>
      <c r="J36" s="3"/>
    </row>
    <row r="37" spans="3:10" x14ac:dyDescent="0.45">
      <c r="C37" s="3"/>
      <c r="D37" s="3"/>
      <c r="E37" s="3"/>
      <c r="F37" s="3"/>
      <c r="G37" s="3"/>
      <c r="H37" s="3"/>
      <c r="I37" s="3"/>
      <c r="J37" s="3"/>
    </row>
    <row r="38" spans="3:10" x14ac:dyDescent="0.45">
      <c r="C38" s="3"/>
      <c r="D38" s="3"/>
      <c r="E38" s="3"/>
      <c r="F38" s="3"/>
      <c r="G38" s="3"/>
      <c r="H38" s="3"/>
      <c r="I38" s="3"/>
      <c r="J38" s="3"/>
    </row>
    <row r="39" spans="3:10" x14ac:dyDescent="0.45">
      <c r="C39" s="3"/>
      <c r="D39" s="3"/>
      <c r="E39" s="3"/>
      <c r="F39" s="3"/>
      <c r="G39" s="3"/>
      <c r="H39" s="3"/>
      <c r="I39" s="3"/>
      <c r="J39" s="3"/>
    </row>
    <row r="40" spans="3:10" x14ac:dyDescent="0.45">
      <c r="C40" s="3"/>
      <c r="D40" s="3"/>
      <c r="E40" s="3"/>
      <c r="F40" s="3"/>
      <c r="G40" s="3"/>
      <c r="H40" s="3"/>
      <c r="I40" s="3"/>
      <c r="J40" s="3"/>
    </row>
    <row r="41" spans="3:10" x14ac:dyDescent="0.45">
      <c r="C41" s="3"/>
      <c r="D41" s="3"/>
      <c r="E41" s="3"/>
      <c r="F41" s="3"/>
      <c r="G41" s="3"/>
      <c r="H41" s="3"/>
      <c r="I41" s="3"/>
      <c r="J41" s="3"/>
    </row>
    <row r="42" spans="3:10" x14ac:dyDescent="0.45">
      <c r="C42" s="3"/>
      <c r="D42" s="3"/>
      <c r="E42" s="3"/>
      <c r="F42" s="3"/>
      <c r="G42" s="3"/>
      <c r="H42" s="3"/>
      <c r="I42" s="3"/>
      <c r="J42" s="3"/>
    </row>
    <row r="43" spans="3:10" x14ac:dyDescent="0.45">
      <c r="C43" s="3"/>
      <c r="D43" s="3"/>
      <c r="E43" s="3"/>
      <c r="F43" s="3"/>
      <c r="G43" s="3"/>
      <c r="H43" s="3"/>
      <c r="I43" s="3"/>
      <c r="J43" s="3"/>
    </row>
    <row r="44" spans="3:10" x14ac:dyDescent="0.45">
      <c r="C44" s="3"/>
      <c r="D44" s="3"/>
      <c r="E44" s="3"/>
      <c r="F44" s="3"/>
      <c r="G44" s="3"/>
      <c r="H44" s="3"/>
      <c r="I44" s="3"/>
      <c r="J44" s="3"/>
    </row>
  </sheetData>
  <pageMargins left="0.7" right="0.7" top="0.75" bottom="0.75" header="0.3" footer="0.3"/>
  <pageSetup scale="86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  <pageSetUpPr fitToPage="1"/>
  </sheetPr>
  <dimension ref="A1:L43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73046875" style="18" customWidth="1"/>
    <col min="3" max="10" width="11.73046875" style="18" customWidth="1"/>
    <col min="11" max="11" width="1.1328125" style="18" customWidth="1"/>
    <col min="12" max="12" width="14.3984375" style="18" customWidth="1"/>
    <col min="13" max="16384" width="9.1328125" style="18"/>
  </cols>
  <sheetData>
    <row r="1" spans="1:12" ht="18" x14ac:dyDescent="0.55000000000000004">
      <c r="A1" s="200" t="str">
        <f>name</f>
        <v/>
      </c>
    </row>
    <row r="2" spans="1:12" ht="15.4" x14ac:dyDescent="0.45">
      <c r="A2" s="23" t="s">
        <v>197</v>
      </c>
    </row>
    <row r="4" spans="1:12" x14ac:dyDescent="0.45">
      <c r="B4" s="91"/>
      <c r="C4" s="195" t="str">
        <f>IF(C29=0,"",[1]!IntrinioDataPoint(C29,"bank_name"))</f>
        <v/>
      </c>
      <c r="D4" s="195" t="str">
        <f>IF(D29=0,"",[1]!IntrinioDataPoint(D29,"bank_name"))</f>
        <v/>
      </c>
      <c r="E4" s="195" t="str">
        <f>IF(E29=0,"",[1]!IntrinioDataPoint(E29,"bank_name"))</f>
        <v/>
      </c>
      <c r="F4" s="195" t="str">
        <f>IF(F29=0,"",[1]!IntrinioDataPoint(F29,"bank_name"))</f>
        <v/>
      </c>
      <c r="G4" s="195" t="str">
        <f>IF(G29=0,"",[1]!IntrinioDataPoint(G29,"bank_name"))</f>
        <v/>
      </c>
      <c r="H4" s="195" t="str">
        <f>IF(H29=0,"",[1]!IntrinioDataPoint(H29,"bank_name"))</f>
        <v/>
      </c>
      <c r="I4" s="92" t="s">
        <v>85</v>
      </c>
      <c r="J4" s="196" t="s">
        <v>86</v>
      </c>
      <c r="K4" s="1"/>
    </row>
    <row r="5" spans="1:12" ht="20.85" customHeight="1" x14ac:dyDescent="0.45">
      <c r="B5" s="141" t="s">
        <v>131</v>
      </c>
      <c r="C5" s="123"/>
      <c r="D5" s="124"/>
      <c r="E5" s="124"/>
      <c r="F5" s="124"/>
      <c r="G5" s="124"/>
      <c r="H5" s="124"/>
      <c r="I5" s="148"/>
      <c r="J5" s="197"/>
      <c r="K5" s="17"/>
      <c r="L5" s="17"/>
    </row>
    <row r="6" spans="1:12" s="119" customFormat="1" ht="20.85" customHeight="1" x14ac:dyDescent="0.45">
      <c r="B6" s="147" t="s">
        <v>177</v>
      </c>
      <c r="C6" s="165" t="str">
        <f>IFERROR([1]!IntrinioBankFinancials(C$29,'Earning Assets'!$N7,'Earning Assets'!$G$31,'Earning Assets'!$G$32,'Earning Assets'!$O7),"")</f>
        <v/>
      </c>
      <c r="D6" s="166" t="str">
        <f>IFERROR([1]!IntrinioBankFinancials(D$29,'Earning Assets'!$N7,'Earning Assets'!$G$31,'Earning Assets'!$G$32,'Earning Assets'!$O7),"")</f>
        <v/>
      </c>
      <c r="E6" s="166" t="str">
        <f>IFERROR([1]!IntrinioBankFinancials(E$29,'Earning Assets'!$N7,'Earning Assets'!$G$31,'Earning Assets'!$G$32,'Earning Assets'!$O7),"")</f>
        <v/>
      </c>
      <c r="F6" s="166" t="str">
        <f>IFERROR([1]!IntrinioBankFinancials(F$29,'Earning Assets'!$N7,'Earning Assets'!$G$31,'Earning Assets'!$G$32,'Earning Assets'!$O7),"")</f>
        <v/>
      </c>
      <c r="G6" s="166" t="str">
        <f>IFERROR([1]!IntrinioBankFinancials(G$29,'Earning Assets'!$N7,'Earning Assets'!$G$31,'Earning Assets'!$G$32,'Earning Assets'!$O7),"")</f>
        <v/>
      </c>
      <c r="H6" s="167" t="str">
        <f>IFERROR([1]!IntrinioBankFinancials(H$29,'Earning Assets'!$N7,'Earning Assets'!$G$31,'Earning Assets'!$G$32,'Earning Assets'!$O7),"")</f>
        <v/>
      </c>
      <c r="I6" s="165" t="str">
        <f t="shared" ref="I6" si="0">IFERROR(AVERAGE(C6:H6),"nm")</f>
        <v>nm</v>
      </c>
      <c r="J6" s="198" t="str">
        <f t="shared" ref="J6" si="1">IFERROR(MEDIAN(C6:H6),"nm")</f>
        <v>nm</v>
      </c>
      <c r="K6" s="120"/>
      <c r="L6" s="120"/>
    </row>
    <row r="7" spans="1:12" ht="20.85" customHeight="1" x14ac:dyDescent="0.45">
      <c r="B7" s="156" t="s">
        <v>178</v>
      </c>
      <c r="C7" s="161" t="str">
        <f>IFERROR([1]!IntrinioBankFinancials(C$29,'Earning Assets'!$N8,'Earning Assets'!$G$31,'Earning Assets'!$G$32,'Earning Assets'!$O8),"")</f>
        <v/>
      </c>
      <c r="D7" s="162" t="str">
        <f>IFERROR([1]!IntrinioBankFinancials(D$29,'Earning Assets'!$N8,'Earning Assets'!$G$31,'Earning Assets'!$G$32,'Earning Assets'!$O8),"")</f>
        <v/>
      </c>
      <c r="E7" s="162" t="str">
        <f>IFERROR([1]!IntrinioBankFinancials(E$29,'Earning Assets'!$N8,'Earning Assets'!$G$31,'Earning Assets'!$G$32,'Earning Assets'!$O8),"")</f>
        <v/>
      </c>
      <c r="F7" s="162" t="str">
        <f>IFERROR([1]!IntrinioBankFinancials(F$29,'Earning Assets'!$N8,'Earning Assets'!$G$31,'Earning Assets'!$G$32,'Earning Assets'!$O8),"")</f>
        <v/>
      </c>
      <c r="G7" s="162" t="str">
        <f>IFERROR([1]!IntrinioBankFinancials(G$29,'Earning Assets'!$N8,'Earning Assets'!$G$31,'Earning Assets'!$G$32,'Earning Assets'!$O8),"")</f>
        <v/>
      </c>
      <c r="H7" s="163" t="str">
        <f>IFERROR([1]!IntrinioBankFinancials(H$29,'Earning Assets'!$N8,'Earning Assets'!$G$31,'Earning Assets'!$G$32,'Earning Assets'!$O8),"")</f>
        <v/>
      </c>
      <c r="I7" s="164" t="str">
        <f t="shared" ref="I7:I8" si="2">IFERROR(AVERAGE(C7:H7),"nm")</f>
        <v>nm</v>
      </c>
      <c r="J7" s="199" t="str">
        <f t="shared" ref="J7:J8" si="3">IFERROR(MEDIAN(C7:H7),"nm")</f>
        <v>nm</v>
      </c>
      <c r="K7" s="17"/>
      <c r="L7" s="17"/>
    </row>
    <row r="8" spans="1:12" s="119" customFormat="1" ht="20.85" customHeight="1" x14ac:dyDescent="0.45">
      <c r="B8" s="150" t="s">
        <v>179</v>
      </c>
      <c r="C8" s="165" t="str">
        <f>IFERROR([1]!IntrinioBankFinancials(C$29,'Earning Assets'!$N9,'Earning Assets'!$G$31,'Earning Assets'!$G$32,'Earning Assets'!$O9),"")</f>
        <v/>
      </c>
      <c r="D8" s="166" t="str">
        <f>IFERROR([1]!IntrinioBankFinancials(D$29,'Earning Assets'!$N9,'Earning Assets'!$G$31,'Earning Assets'!$G$32,'Earning Assets'!$O9),"")</f>
        <v/>
      </c>
      <c r="E8" s="166" t="str">
        <f>IFERROR([1]!IntrinioBankFinancials(E$29,'Earning Assets'!$N9,'Earning Assets'!$G$31,'Earning Assets'!$G$32,'Earning Assets'!$O9),"")</f>
        <v/>
      </c>
      <c r="F8" s="166" t="str">
        <f>IFERROR([1]!IntrinioBankFinancials(F$29,'Earning Assets'!$N9,'Earning Assets'!$G$31,'Earning Assets'!$G$32,'Earning Assets'!$O9),"")</f>
        <v/>
      </c>
      <c r="G8" s="166" t="str">
        <f>IFERROR([1]!IntrinioBankFinancials(G$29,'Earning Assets'!$N9,'Earning Assets'!$G$31,'Earning Assets'!$G$32,'Earning Assets'!$O9),"")</f>
        <v/>
      </c>
      <c r="H8" s="167" t="str">
        <f>IFERROR([1]!IntrinioBankFinancials(H$29,'Earning Assets'!$N9,'Earning Assets'!$G$31,'Earning Assets'!$G$32,'Earning Assets'!$O9),"")</f>
        <v/>
      </c>
      <c r="I8" s="165" t="str">
        <f t="shared" si="2"/>
        <v>nm</v>
      </c>
      <c r="J8" s="198" t="str">
        <f t="shared" si="3"/>
        <v>nm</v>
      </c>
      <c r="K8" s="120"/>
      <c r="L8" s="120"/>
    </row>
    <row r="9" spans="1:12" ht="20.85" customHeight="1" x14ac:dyDescent="0.45">
      <c r="B9" s="156" t="s">
        <v>180</v>
      </c>
      <c r="C9" s="161" t="str">
        <f>IFERROR([1]!IntrinioBankFinancials(C$29,'Earning Assets'!$N10,'Earning Assets'!$G$31,'Earning Assets'!$G$32,'Earning Assets'!$O10),"")</f>
        <v/>
      </c>
      <c r="D9" s="162" t="str">
        <f>IFERROR([1]!IntrinioBankFinancials(D$29,'Earning Assets'!$N10,'Earning Assets'!$G$31,'Earning Assets'!$G$32,'Earning Assets'!$O10),"")</f>
        <v/>
      </c>
      <c r="E9" s="162" t="str">
        <f>IFERROR([1]!IntrinioBankFinancials(E$29,'Earning Assets'!$N10,'Earning Assets'!$G$31,'Earning Assets'!$G$32,'Earning Assets'!$O10),"")</f>
        <v/>
      </c>
      <c r="F9" s="162" t="str">
        <f>IFERROR([1]!IntrinioBankFinancials(F$29,'Earning Assets'!$N10,'Earning Assets'!$G$31,'Earning Assets'!$G$32,'Earning Assets'!$O10),"")</f>
        <v/>
      </c>
      <c r="G9" s="162" t="str">
        <f>IFERROR([1]!IntrinioBankFinancials(G$29,'Earning Assets'!$N10,'Earning Assets'!$G$31,'Earning Assets'!$G$32,'Earning Assets'!$O10),"")</f>
        <v/>
      </c>
      <c r="H9" s="163" t="str">
        <f>IFERROR([1]!IntrinioBankFinancials(H$29,'Earning Assets'!$N10,'Earning Assets'!$G$31,'Earning Assets'!$G$32,'Earning Assets'!$O10),"")</f>
        <v/>
      </c>
      <c r="I9" s="164" t="str">
        <f t="shared" ref="I9:I13" si="4">IFERROR(AVERAGE(C9:H9),"nm")</f>
        <v>nm</v>
      </c>
      <c r="J9" s="199" t="str">
        <f t="shared" ref="J9:J13" si="5">IFERROR(MEDIAN(C9:H9),"nm")</f>
        <v>nm</v>
      </c>
      <c r="K9" s="17"/>
      <c r="L9" s="17"/>
    </row>
    <row r="10" spans="1:12" s="119" customFormat="1" ht="20.85" customHeight="1" x14ac:dyDescent="0.45">
      <c r="B10" s="147" t="s">
        <v>181</v>
      </c>
      <c r="C10" s="165" t="str">
        <f>IFERROR([1]!IntrinioBankFinancials(C$29,'Earning Assets'!$N11,'Earning Assets'!$G$31,'Earning Assets'!$G$32,'Earning Assets'!$O11),"")</f>
        <v/>
      </c>
      <c r="D10" s="166" t="str">
        <f>IFERROR([1]!IntrinioBankFinancials(D$29,'Earning Assets'!$N11,'Earning Assets'!$G$31,'Earning Assets'!$G$32,'Earning Assets'!$O11),"")</f>
        <v/>
      </c>
      <c r="E10" s="166" t="str">
        <f>IFERROR([1]!IntrinioBankFinancials(E$29,'Earning Assets'!$N11,'Earning Assets'!$G$31,'Earning Assets'!$G$32,'Earning Assets'!$O11),"")</f>
        <v/>
      </c>
      <c r="F10" s="166" t="str">
        <f>IFERROR([1]!IntrinioBankFinancials(F$29,'Earning Assets'!$N11,'Earning Assets'!$G$31,'Earning Assets'!$G$32,'Earning Assets'!$O11),"")</f>
        <v/>
      </c>
      <c r="G10" s="166" t="str">
        <f>IFERROR([1]!IntrinioBankFinancials(G$29,'Earning Assets'!$N11,'Earning Assets'!$G$31,'Earning Assets'!$G$32,'Earning Assets'!$O11),"")</f>
        <v/>
      </c>
      <c r="H10" s="167" t="str">
        <f>IFERROR([1]!IntrinioBankFinancials(H$29,'Earning Assets'!$N11,'Earning Assets'!$G$31,'Earning Assets'!$G$32,'Earning Assets'!$O11),"")</f>
        <v/>
      </c>
      <c r="I10" s="165" t="str">
        <f t="shared" si="4"/>
        <v>nm</v>
      </c>
      <c r="J10" s="198" t="str">
        <f t="shared" si="5"/>
        <v>nm</v>
      </c>
      <c r="K10" s="120"/>
      <c r="L10" s="120"/>
    </row>
    <row r="11" spans="1:12" ht="20.85" customHeight="1" x14ac:dyDescent="0.45">
      <c r="B11" s="156" t="s">
        <v>182</v>
      </c>
      <c r="C11" s="161" t="str">
        <f>IFERROR([1]!IntrinioBankFinancials(C$29,'Earning Assets'!$N12,'Earning Assets'!$G$31,'Earning Assets'!$G$32,'Earning Assets'!$O12),"")</f>
        <v/>
      </c>
      <c r="D11" s="162" t="str">
        <f>IFERROR([1]!IntrinioBankFinancials(D$29,'Earning Assets'!$N12,'Earning Assets'!$G$31,'Earning Assets'!$G$32,'Earning Assets'!$O12),"")</f>
        <v/>
      </c>
      <c r="E11" s="162" t="str">
        <f>IFERROR([1]!IntrinioBankFinancials(E$29,'Earning Assets'!$N12,'Earning Assets'!$G$31,'Earning Assets'!$G$32,'Earning Assets'!$O12),"")</f>
        <v/>
      </c>
      <c r="F11" s="162" t="str">
        <f>IFERROR([1]!IntrinioBankFinancials(F$29,'Earning Assets'!$N12,'Earning Assets'!$G$31,'Earning Assets'!$G$32,'Earning Assets'!$O12),"")</f>
        <v/>
      </c>
      <c r="G11" s="162" t="str">
        <f>IFERROR([1]!IntrinioBankFinancials(G$29,'Earning Assets'!$N12,'Earning Assets'!$G$31,'Earning Assets'!$G$32,'Earning Assets'!$O12),"")</f>
        <v/>
      </c>
      <c r="H11" s="163" t="str">
        <f>IFERROR([1]!IntrinioBankFinancials(H$29,'Earning Assets'!$N12,'Earning Assets'!$G$31,'Earning Assets'!$G$32,'Earning Assets'!$O12),"")</f>
        <v/>
      </c>
      <c r="I11" s="164" t="str">
        <f t="shared" si="4"/>
        <v>nm</v>
      </c>
      <c r="J11" s="199" t="str">
        <f t="shared" si="5"/>
        <v>nm</v>
      </c>
      <c r="K11" s="17"/>
      <c r="L11" s="17"/>
    </row>
    <row r="12" spans="1:12" s="119" customFormat="1" ht="20.85" customHeight="1" x14ac:dyDescent="0.45">
      <c r="B12" s="150" t="s">
        <v>183</v>
      </c>
      <c r="C12" s="165" t="str">
        <f>IFERROR([1]!IntrinioBankFinancials(C$29,'Earning Assets'!$N13,'Earning Assets'!$G$31,'Earning Assets'!$G$32,'Earning Assets'!$O13),"")</f>
        <v/>
      </c>
      <c r="D12" s="166" t="str">
        <f>IFERROR([1]!IntrinioBankFinancials(D$29,'Earning Assets'!$N13,'Earning Assets'!$G$31,'Earning Assets'!$G$32,'Earning Assets'!$O13),"")</f>
        <v/>
      </c>
      <c r="E12" s="166" t="str">
        <f>IFERROR([1]!IntrinioBankFinancials(E$29,'Earning Assets'!$N13,'Earning Assets'!$G$31,'Earning Assets'!$G$32,'Earning Assets'!$O13),"")</f>
        <v/>
      </c>
      <c r="F12" s="166" t="str">
        <f>IFERROR([1]!IntrinioBankFinancials(F$29,'Earning Assets'!$N13,'Earning Assets'!$G$31,'Earning Assets'!$G$32,'Earning Assets'!$O13),"")</f>
        <v/>
      </c>
      <c r="G12" s="166" t="str">
        <f>IFERROR([1]!IntrinioBankFinancials(G$29,'Earning Assets'!$N13,'Earning Assets'!$G$31,'Earning Assets'!$G$32,'Earning Assets'!$O13),"")</f>
        <v/>
      </c>
      <c r="H12" s="167" t="str">
        <f>IFERROR([1]!IntrinioBankFinancials(H$29,'Earning Assets'!$N13,'Earning Assets'!$G$31,'Earning Assets'!$G$32,'Earning Assets'!$O13),"")</f>
        <v/>
      </c>
      <c r="I12" s="165" t="str">
        <f t="shared" si="4"/>
        <v>nm</v>
      </c>
      <c r="J12" s="198" t="str">
        <f t="shared" si="5"/>
        <v>nm</v>
      </c>
      <c r="K12" s="120"/>
      <c r="L12" s="120"/>
    </row>
    <row r="13" spans="1:12" ht="20.85" customHeight="1" x14ac:dyDescent="0.45">
      <c r="B13" s="156" t="s">
        <v>184</v>
      </c>
      <c r="C13" s="161" t="str">
        <f>IFERROR([1]!IntrinioBankFinancials(C$29,'Earning Assets'!$N14,'Earning Assets'!$G$31,'Earning Assets'!$G$32,'Earning Assets'!$O14),"")</f>
        <v/>
      </c>
      <c r="D13" s="162" t="str">
        <f>IFERROR([1]!IntrinioBankFinancials(D$29,'Earning Assets'!$N14,'Earning Assets'!$G$31,'Earning Assets'!$G$32,'Earning Assets'!$O14),"")</f>
        <v/>
      </c>
      <c r="E13" s="162" t="str">
        <f>IFERROR([1]!IntrinioBankFinancials(E$29,'Earning Assets'!$N14,'Earning Assets'!$G$31,'Earning Assets'!$G$32,'Earning Assets'!$O14),"")</f>
        <v/>
      </c>
      <c r="F13" s="162" t="str">
        <f>IFERROR([1]!IntrinioBankFinancials(F$29,'Earning Assets'!$N14,'Earning Assets'!$G$31,'Earning Assets'!$G$32,'Earning Assets'!$O14),"")</f>
        <v/>
      </c>
      <c r="G13" s="162" t="str">
        <f>IFERROR([1]!IntrinioBankFinancials(G$29,'Earning Assets'!$N14,'Earning Assets'!$G$31,'Earning Assets'!$G$32,'Earning Assets'!$O14),"")</f>
        <v/>
      </c>
      <c r="H13" s="163" t="str">
        <f>IFERROR([1]!IntrinioBankFinancials(H$29,'Earning Assets'!$N14,'Earning Assets'!$G$31,'Earning Assets'!$G$32,'Earning Assets'!$O14),"")</f>
        <v/>
      </c>
      <c r="I13" s="164" t="str">
        <f t="shared" si="4"/>
        <v>nm</v>
      </c>
      <c r="J13" s="199" t="str">
        <f t="shared" si="5"/>
        <v>nm</v>
      </c>
      <c r="K13" s="17"/>
      <c r="L13" s="17"/>
    </row>
    <row r="14" spans="1:12" s="119" customFormat="1" ht="20.85" customHeight="1" x14ac:dyDescent="0.45">
      <c r="B14" s="150" t="s">
        <v>185</v>
      </c>
      <c r="C14" s="165" t="str">
        <f>IFERROR([1]!IntrinioBankFinancials(C$29,'Earning Assets'!$N15,'Earning Assets'!$G$31,'Earning Assets'!$G$32,'Earning Assets'!$O15),"")</f>
        <v/>
      </c>
      <c r="D14" s="166" t="str">
        <f>IFERROR([1]!IntrinioBankFinancials(D$29,'Earning Assets'!$N15,'Earning Assets'!$G$31,'Earning Assets'!$G$32,'Earning Assets'!$O15),"")</f>
        <v/>
      </c>
      <c r="E14" s="166" t="str">
        <f>IFERROR([1]!IntrinioBankFinancials(E$29,'Earning Assets'!$N15,'Earning Assets'!$G$31,'Earning Assets'!$G$32,'Earning Assets'!$O15),"")</f>
        <v/>
      </c>
      <c r="F14" s="166" t="str">
        <f>IFERROR([1]!IntrinioBankFinancials(F$29,'Earning Assets'!$N15,'Earning Assets'!$G$31,'Earning Assets'!$G$32,'Earning Assets'!$O15),"")</f>
        <v/>
      </c>
      <c r="G14" s="166" t="str">
        <f>IFERROR([1]!IntrinioBankFinancials(G$29,'Earning Assets'!$N15,'Earning Assets'!$G$31,'Earning Assets'!$G$32,'Earning Assets'!$O15),"")</f>
        <v/>
      </c>
      <c r="H14" s="167" t="str">
        <f>IFERROR([1]!IntrinioBankFinancials(H$29,'Earning Assets'!$N15,'Earning Assets'!$G$31,'Earning Assets'!$G$32,'Earning Assets'!$O15),"")</f>
        <v/>
      </c>
      <c r="I14" s="165" t="str">
        <f t="shared" ref="I14" si="6">IFERROR(AVERAGE(C14:H14),"nm")</f>
        <v>nm</v>
      </c>
      <c r="J14" s="198" t="str">
        <f t="shared" ref="J14" si="7">IFERROR(MEDIAN(C14:H14),"nm")</f>
        <v>nm</v>
      </c>
      <c r="K14" s="120"/>
      <c r="L14" s="120"/>
    </row>
    <row r="15" spans="1:12" ht="21.95" customHeight="1" x14ac:dyDescent="0.45">
      <c r="B15" s="104"/>
      <c r="C15" s="104"/>
      <c r="D15" s="104"/>
      <c r="E15" s="104"/>
      <c r="F15" s="104"/>
      <c r="G15" s="104"/>
      <c r="H15" s="104"/>
      <c r="I15" s="104"/>
      <c r="J15" s="104"/>
      <c r="K15" s="46"/>
      <c r="L15" s="17"/>
    </row>
    <row r="16" spans="1:12" ht="21.95" customHeight="1" x14ac:dyDescent="0.45">
      <c r="B16" s="104"/>
      <c r="C16" s="104"/>
      <c r="D16" s="104"/>
      <c r="E16" s="104"/>
      <c r="F16" s="104"/>
      <c r="G16" s="104"/>
      <c r="H16" s="104"/>
      <c r="I16" s="104"/>
      <c r="J16" s="104"/>
      <c r="K16" s="17"/>
      <c r="L16" s="17"/>
    </row>
    <row r="17" spans="2:12" ht="21.95" customHeight="1" x14ac:dyDescent="0.45">
      <c r="B17" s="104"/>
      <c r="C17" s="104"/>
      <c r="D17" s="104"/>
      <c r="E17" s="104"/>
      <c r="F17" s="104"/>
      <c r="G17" s="104"/>
      <c r="H17" s="104"/>
      <c r="I17" s="104"/>
      <c r="J17" s="104"/>
      <c r="K17" s="17"/>
      <c r="L17" s="17"/>
    </row>
    <row r="18" spans="2:12" ht="21.95" customHeight="1" x14ac:dyDescent="0.45">
      <c r="B18" s="104"/>
      <c r="C18" s="104"/>
      <c r="D18" s="104"/>
      <c r="E18" s="104"/>
      <c r="F18" s="104"/>
      <c r="G18" s="104"/>
      <c r="H18" s="104"/>
      <c r="I18" s="104"/>
      <c r="J18" s="104"/>
      <c r="K18" s="17"/>
      <c r="L18" s="17"/>
    </row>
    <row r="19" spans="2:12" ht="21.95" customHeight="1" x14ac:dyDescent="0.45">
      <c r="B19" s="104"/>
      <c r="C19" s="104"/>
      <c r="D19" s="104"/>
      <c r="E19" s="104"/>
      <c r="F19" s="104"/>
      <c r="G19" s="104"/>
      <c r="H19" s="104"/>
      <c r="I19" s="104"/>
      <c r="J19" s="104"/>
      <c r="K19" s="17"/>
      <c r="L19" s="17"/>
    </row>
    <row r="20" spans="2:12" ht="21.95" customHeight="1" x14ac:dyDescent="0.45">
      <c r="B20" s="104"/>
      <c r="C20" s="104"/>
      <c r="D20" s="104"/>
      <c r="E20" s="104"/>
      <c r="F20" s="104"/>
      <c r="G20" s="104"/>
      <c r="H20" s="104"/>
      <c r="I20" s="104"/>
      <c r="J20" s="104"/>
      <c r="K20" s="17"/>
      <c r="L20" s="17"/>
    </row>
    <row r="21" spans="2:12" ht="21.95" customHeight="1" x14ac:dyDescent="0.45">
      <c r="B21" s="104"/>
      <c r="C21" s="104"/>
      <c r="D21" s="104"/>
      <c r="E21" s="104"/>
      <c r="F21" s="104"/>
      <c r="G21" s="104"/>
      <c r="H21" s="104"/>
      <c r="I21" s="104"/>
      <c r="J21" s="104"/>
      <c r="K21" s="17"/>
      <c r="L21" s="17"/>
    </row>
    <row r="22" spans="2:12" ht="21.95" customHeight="1" x14ac:dyDescent="0.45">
      <c r="B22" s="104"/>
      <c r="C22" s="104"/>
      <c r="D22" s="104"/>
      <c r="E22" s="104"/>
      <c r="F22" s="104"/>
      <c r="G22" s="104"/>
      <c r="H22" s="104"/>
      <c r="I22" s="104"/>
      <c r="J22" s="104"/>
      <c r="K22" s="17"/>
      <c r="L22" s="17"/>
    </row>
    <row r="23" spans="2:12" ht="21.95" customHeight="1" x14ac:dyDescent="0.45">
      <c r="B23" s="104"/>
      <c r="C23" s="104"/>
      <c r="D23" s="104"/>
      <c r="E23" s="104"/>
      <c r="F23" s="104"/>
      <c r="G23" s="104"/>
      <c r="H23" s="104"/>
      <c r="I23" s="104"/>
      <c r="J23" s="104"/>
      <c r="K23" s="17"/>
      <c r="L23" s="17"/>
    </row>
    <row r="24" spans="2:12" ht="21.95" customHeight="1" x14ac:dyDescent="0.45">
      <c r="B24" s="104"/>
      <c r="C24" s="104"/>
      <c r="D24" s="104"/>
      <c r="E24" s="104"/>
      <c r="F24" s="104"/>
      <c r="G24" s="104"/>
      <c r="H24" s="104"/>
      <c r="I24" s="104"/>
      <c r="J24" s="104"/>
      <c r="K24" s="17"/>
      <c r="L24" s="17"/>
    </row>
    <row r="25" spans="2:12" ht="21.95" customHeight="1" x14ac:dyDescent="0.45">
      <c r="B25" s="104"/>
      <c r="C25" s="104"/>
      <c r="D25" s="104"/>
      <c r="E25" s="104"/>
      <c r="F25" s="104"/>
      <c r="G25" s="104"/>
      <c r="H25" s="104"/>
      <c r="I25" s="104"/>
      <c r="J25" s="104"/>
      <c r="K25" s="17"/>
      <c r="L25" s="17"/>
    </row>
    <row r="26" spans="2:12" ht="21.95" customHeight="1" x14ac:dyDescent="0.45">
      <c r="B26" s="104"/>
      <c r="C26" s="104"/>
      <c r="D26" s="104"/>
      <c r="E26" s="104"/>
      <c r="F26" s="104"/>
      <c r="G26" s="104"/>
      <c r="H26" s="104"/>
      <c r="I26" s="104"/>
      <c r="J26" s="104"/>
      <c r="K26" s="17"/>
      <c r="L26" s="17"/>
    </row>
    <row r="27" spans="2:12" ht="21.95" customHeight="1" x14ac:dyDescent="0.45">
      <c r="B27" s="28"/>
      <c r="C27" s="128"/>
      <c r="D27" s="128"/>
      <c r="E27" s="128"/>
      <c r="F27" s="128"/>
      <c r="G27" s="128"/>
      <c r="H27" s="128"/>
      <c r="I27" s="28"/>
      <c r="J27" s="28"/>
      <c r="K27" s="17"/>
      <c r="L27" s="17"/>
    </row>
    <row r="28" spans="2:12" ht="21.95" customHeight="1" x14ac:dyDescent="0.45">
      <c r="B28" s="28"/>
      <c r="C28" s="128"/>
      <c r="D28" s="128"/>
      <c r="E28" s="128"/>
      <c r="F28" s="128"/>
      <c r="G28" s="128"/>
      <c r="H28" s="128"/>
      <c r="I28" s="28"/>
      <c r="J28" s="28"/>
      <c r="K28" s="17"/>
      <c r="L28" s="17"/>
    </row>
    <row r="29" spans="2:12" ht="21.95" customHeight="1" x14ac:dyDescent="0.45">
      <c r="B29" s="28" t="s">
        <v>89</v>
      </c>
      <c r="C29" s="28" t="str">
        <f>IF(ticker="","",ticker)</f>
        <v/>
      </c>
      <c r="D29" s="28" t="str">
        <f>IF(comp1="","",comp1)</f>
        <v/>
      </c>
      <c r="E29" s="28" t="str">
        <f>IF(comp2="","",comp2)</f>
        <v/>
      </c>
      <c r="F29" s="28" t="str">
        <f>IF(comp3="","",comp3)</f>
        <v/>
      </c>
      <c r="G29" s="28" t="str">
        <f>IF(comp4="","",comp4)</f>
        <v/>
      </c>
      <c r="H29" s="28" t="str">
        <f>IF(comp5="","",comp5)</f>
        <v/>
      </c>
      <c r="I29" s="28"/>
      <c r="J29" s="28"/>
    </row>
    <row r="30" spans="2:12" ht="23.85" customHeight="1" x14ac:dyDescent="0.45">
      <c r="B30" s="28"/>
      <c r="C30" s="28"/>
      <c r="D30" s="28"/>
      <c r="E30" s="28"/>
      <c r="F30" s="28"/>
      <c r="G30" s="28"/>
      <c r="H30" s="28"/>
      <c r="I30" s="28"/>
      <c r="J30" s="28"/>
    </row>
    <row r="31" spans="2:12" ht="15.75" customHeight="1" x14ac:dyDescent="0.45">
      <c r="C31" s="3"/>
      <c r="D31" s="3"/>
      <c r="E31" s="3"/>
      <c r="F31" s="3"/>
      <c r="G31" s="3"/>
      <c r="H31" s="3"/>
      <c r="I31" s="3"/>
      <c r="J31" s="3"/>
    </row>
    <row r="32" spans="2:12" x14ac:dyDescent="0.45">
      <c r="C32" s="3"/>
      <c r="D32" s="3"/>
      <c r="E32" s="3"/>
      <c r="F32" s="3"/>
      <c r="G32" s="3"/>
      <c r="H32" s="3"/>
      <c r="I32" s="3"/>
      <c r="J32" s="3"/>
    </row>
    <row r="33" spans="3:10" x14ac:dyDescent="0.45">
      <c r="C33" s="3"/>
      <c r="D33" s="3"/>
      <c r="E33" s="3"/>
      <c r="F33" s="3"/>
      <c r="G33" s="3"/>
      <c r="H33" s="3"/>
      <c r="I33" s="3"/>
      <c r="J33" s="3"/>
    </row>
    <row r="34" spans="3:10" x14ac:dyDescent="0.45">
      <c r="C34" s="3"/>
      <c r="D34" s="3"/>
      <c r="E34" s="3"/>
      <c r="F34" s="3"/>
      <c r="G34" s="3"/>
      <c r="H34" s="3"/>
      <c r="I34" s="3"/>
      <c r="J34" s="3"/>
    </row>
    <row r="35" spans="3:10" x14ac:dyDescent="0.45">
      <c r="C35" s="3"/>
      <c r="D35" s="3"/>
      <c r="E35" s="3"/>
      <c r="F35" s="3"/>
      <c r="G35" s="3"/>
      <c r="H35" s="3"/>
      <c r="I35" s="3"/>
      <c r="J35" s="3"/>
    </row>
    <row r="36" spans="3:10" x14ac:dyDescent="0.45">
      <c r="C36" s="3"/>
      <c r="D36" s="3"/>
      <c r="E36" s="3"/>
      <c r="F36" s="3"/>
      <c r="G36" s="3"/>
      <c r="H36" s="3"/>
      <c r="I36" s="3"/>
      <c r="J36" s="3"/>
    </row>
    <row r="37" spans="3:10" x14ac:dyDescent="0.45">
      <c r="C37" s="3"/>
      <c r="D37" s="3"/>
      <c r="E37" s="3"/>
      <c r="F37" s="3"/>
      <c r="G37" s="3"/>
      <c r="H37" s="3"/>
      <c r="I37" s="3"/>
      <c r="J37" s="3"/>
    </row>
    <row r="38" spans="3:10" x14ac:dyDescent="0.45">
      <c r="C38" s="3"/>
      <c r="D38" s="3"/>
      <c r="E38" s="3"/>
      <c r="F38" s="3"/>
      <c r="G38" s="3"/>
      <c r="H38" s="3"/>
      <c r="I38" s="3"/>
      <c r="J38" s="3"/>
    </row>
    <row r="39" spans="3:10" x14ac:dyDescent="0.45">
      <c r="C39" s="3"/>
      <c r="D39" s="3"/>
      <c r="E39" s="3"/>
      <c r="F39" s="3"/>
      <c r="G39" s="3"/>
      <c r="H39" s="3"/>
      <c r="I39" s="3"/>
      <c r="J39" s="3"/>
    </row>
    <row r="40" spans="3:10" x14ac:dyDescent="0.45">
      <c r="C40" s="3"/>
      <c r="D40" s="3"/>
      <c r="E40" s="3"/>
      <c r="F40" s="3"/>
      <c r="G40" s="3"/>
      <c r="H40" s="3"/>
      <c r="I40" s="3"/>
      <c r="J40" s="3"/>
    </row>
    <row r="41" spans="3:10" x14ac:dyDescent="0.45">
      <c r="C41" s="3"/>
      <c r="D41" s="3"/>
      <c r="E41" s="3"/>
      <c r="F41" s="3"/>
      <c r="G41" s="3"/>
      <c r="H41" s="3"/>
      <c r="I41" s="3"/>
      <c r="J41" s="3"/>
    </row>
    <row r="42" spans="3:10" x14ac:dyDescent="0.45">
      <c r="C42" s="3"/>
      <c r="D42" s="3"/>
      <c r="E42" s="3"/>
      <c r="F42" s="3"/>
      <c r="G42" s="3"/>
      <c r="H42" s="3"/>
      <c r="I42" s="3"/>
      <c r="J42" s="3"/>
    </row>
    <row r="43" spans="3:10" x14ac:dyDescent="0.45">
      <c r="C43" s="3"/>
      <c r="D43" s="3"/>
      <c r="E43" s="3"/>
      <c r="F43" s="3"/>
      <c r="G43" s="3"/>
      <c r="H43" s="3"/>
      <c r="I43" s="3"/>
      <c r="J43" s="3"/>
    </row>
  </sheetData>
  <pageMargins left="0.7" right="0.7" top="0.75" bottom="0.75" header="0.3" footer="0.3"/>
  <pageSetup scale="86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/>
    <pageSetUpPr fitToPage="1"/>
  </sheetPr>
  <dimension ref="A1:M44"/>
  <sheetViews>
    <sheetView showGridLines="0" view="pageBreakPreview" zoomScale="80" zoomScaleNormal="100" zoomScaleSheetLayoutView="80" workbookViewId="0"/>
  </sheetViews>
  <sheetFormatPr defaultColWidth="9.1328125" defaultRowHeight="14.25" x14ac:dyDescent="0.45"/>
  <cols>
    <col min="1" max="1" width="2.3984375" style="18" customWidth="1"/>
    <col min="2" max="2" width="40.73046875" style="18" customWidth="1"/>
    <col min="3" max="10" width="11.73046875" style="18" customWidth="1"/>
    <col min="11" max="11" width="0.86328125" style="18" customWidth="1"/>
    <col min="12" max="12" width="15.3984375" style="18" customWidth="1"/>
    <col min="13" max="13" width="14.3984375" style="18" customWidth="1"/>
    <col min="14" max="16384" width="9.1328125" style="18"/>
  </cols>
  <sheetData>
    <row r="1" spans="1:13" ht="18" x14ac:dyDescent="0.55000000000000004">
      <c r="A1" s="200" t="str">
        <f>name</f>
        <v/>
      </c>
    </row>
    <row r="2" spans="1:13" ht="15.4" x14ac:dyDescent="0.45">
      <c r="A2" s="23" t="s">
        <v>199</v>
      </c>
    </row>
    <row r="4" spans="1:13" x14ac:dyDescent="0.45">
      <c r="B4" s="91"/>
      <c r="C4" s="195" t="str">
        <f>IF(C30=0,"",[1]!IntrinioDataPoint(C30,"bank_name"))</f>
        <v/>
      </c>
      <c r="D4" s="195" t="str">
        <f>IF(D30=0,"",[1]!IntrinioDataPoint(D30,"bank_name"))</f>
        <v/>
      </c>
      <c r="E4" s="195" t="str">
        <f>IF(E30=0,"",[1]!IntrinioDataPoint(E30,"bank_name"))</f>
        <v/>
      </c>
      <c r="F4" s="195" t="str">
        <f>IF(F30=0,"",[1]!IntrinioDataPoint(F30,"bank_name"))</f>
        <v/>
      </c>
      <c r="G4" s="195" t="str">
        <f>IF(G30=0,"",[1]!IntrinioDataPoint(G30,"bank_name"))</f>
        <v/>
      </c>
      <c r="H4" s="195" t="str">
        <f>IF(H30=0,"",[1]!IntrinioDataPoint(H30,"bank_name"))</f>
        <v/>
      </c>
      <c r="I4" s="92" t="s">
        <v>85</v>
      </c>
      <c r="J4" s="93" t="s">
        <v>86</v>
      </c>
      <c r="L4" s="1"/>
    </row>
    <row r="5" spans="1:13" ht="20.85" customHeight="1" x14ac:dyDescent="0.45">
      <c r="B5" s="141" t="s">
        <v>129</v>
      </c>
      <c r="C5" s="143"/>
      <c r="D5" s="124"/>
      <c r="E5" s="124"/>
      <c r="F5" s="124"/>
      <c r="G5" s="124"/>
      <c r="H5" s="124"/>
      <c r="I5" s="148"/>
      <c r="J5" s="149"/>
      <c r="K5" s="17"/>
      <c r="L5" s="17"/>
      <c r="M5" s="17"/>
    </row>
    <row r="6" spans="1:13" s="119" customFormat="1" ht="20.85" customHeight="1" x14ac:dyDescent="0.45">
      <c r="B6" s="147" t="s">
        <v>156</v>
      </c>
      <c r="C6" s="165" t="str">
        <f>IFERROR([1]!IntrinioBankFinancials(C$30,'Inv Portfolio'!$N7,'Inv Portfolio'!$G$32,'Inv Portfolio'!$G$33,'Inv Portfolio'!$O7),"")</f>
        <v/>
      </c>
      <c r="D6" s="166" t="str">
        <f>IFERROR([1]!IntrinioBankFinancials(D$30,'Inv Portfolio'!$N7,'Inv Portfolio'!$G$32,'Inv Portfolio'!$G$33,'Inv Portfolio'!$O7),"")</f>
        <v/>
      </c>
      <c r="E6" s="166" t="str">
        <f>IFERROR([1]!IntrinioBankFinancials(E$30,'Inv Portfolio'!$N7,'Inv Portfolio'!$G$32,'Inv Portfolio'!$G$33,'Inv Portfolio'!$O7),"")</f>
        <v/>
      </c>
      <c r="F6" s="166" t="str">
        <f>IFERROR([1]!IntrinioBankFinancials(F$30,'Inv Portfolio'!$N7,'Inv Portfolio'!$G$32,'Inv Portfolio'!$G$33,'Inv Portfolio'!$O7),"")</f>
        <v/>
      </c>
      <c r="G6" s="166" t="str">
        <f>IFERROR([1]!IntrinioBankFinancials(G$30,'Inv Portfolio'!$N7,'Inv Portfolio'!$G$32,'Inv Portfolio'!$G$33,'Inv Portfolio'!$O7),"")</f>
        <v/>
      </c>
      <c r="H6" s="166" t="str">
        <f>IFERROR([1]!IntrinioBankFinancials(H$30,'Inv Portfolio'!$N7,'Inv Portfolio'!$G$32,'Inv Portfolio'!$G$33,'Inv Portfolio'!$O7),"")</f>
        <v/>
      </c>
      <c r="I6" s="165" t="str">
        <f>IFERROR(AVERAGE(C6:H6),"nm")</f>
        <v>nm</v>
      </c>
      <c r="J6" s="166" t="str">
        <f t="shared" ref="J6:J10" si="0">IFERROR(MEDIAN(C6:H6),"nm")</f>
        <v>nm</v>
      </c>
      <c r="K6" s="120"/>
      <c r="L6" s="120"/>
      <c r="M6" s="120"/>
    </row>
    <row r="7" spans="1:13" ht="20.85" customHeight="1" x14ac:dyDescent="0.45">
      <c r="B7" s="156" t="s">
        <v>157</v>
      </c>
      <c r="C7" s="161" t="str">
        <f>IFERROR([1]!IntrinioBankFinancials(C$30,'Inv Portfolio'!$N8,'Inv Portfolio'!$G$32,'Inv Portfolio'!$G$33,'Inv Portfolio'!$O8),"")</f>
        <v/>
      </c>
      <c r="D7" s="162" t="str">
        <f>IFERROR([1]!IntrinioBankFinancials(D$30,'Inv Portfolio'!$N8,'Inv Portfolio'!$G$32,'Inv Portfolio'!$G$33,'Inv Portfolio'!$O8),"")</f>
        <v/>
      </c>
      <c r="E7" s="162" t="str">
        <f>IFERROR([1]!IntrinioBankFinancials(E$30,'Inv Portfolio'!$N8,'Inv Portfolio'!$G$32,'Inv Portfolio'!$G$33,'Inv Portfolio'!$O8),"")</f>
        <v/>
      </c>
      <c r="F7" s="162" t="str">
        <f>IFERROR([1]!IntrinioBankFinancials(F$30,'Inv Portfolio'!$N8,'Inv Portfolio'!$G$32,'Inv Portfolio'!$G$33,'Inv Portfolio'!$O8),"")</f>
        <v/>
      </c>
      <c r="G7" s="162" t="str">
        <f>IFERROR([1]!IntrinioBankFinancials(G$30,'Inv Portfolio'!$N8,'Inv Portfolio'!$G$32,'Inv Portfolio'!$G$33,'Inv Portfolio'!$O8),"")</f>
        <v/>
      </c>
      <c r="H7" s="162" t="str">
        <f>IFERROR([1]!IntrinioBankFinancials(H$30,'Inv Portfolio'!$N8,'Inv Portfolio'!$G$32,'Inv Portfolio'!$G$33,'Inv Portfolio'!$O8),"")</f>
        <v/>
      </c>
      <c r="I7" s="164" t="str">
        <f t="shared" ref="I7:I9" si="1">IFERROR(AVERAGE(C7:H7),"nm")</f>
        <v>nm</v>
      </c>
      <c r="J7" s="162" t="str">
        <f t="shared" si="0"/>
        <v>nm</v>
      </c>
      <c r="K7" s="17"/>
      <c r="L7" s="17"/>
      <c r="M7" s="17"/>
    </row>
    <row r="8" spans="1:13" s="119" customFormat="1" ht="20.85" customHeight="1" x14ac:dyDescent="0.45">
      <c r="B8" s="150" t="s">
        <v>158</v>
      </c>
      <c r="C8" s="165" t="str">
        <f>IFERROR([1]!IntrinioBankFinancials(C$30,'Inv Portfolio'!$N9,'Inv Portfolio'!$G$32,'Inv Portfolio'!$G$33,'Inv Portfolio'!$O9),"")</f>
        <v/>
      </c>
      <c r="D8" s="166" t="str">
        <f>IFERROR([1]!IntrinioBankFinancials(D$30,'Inv Portfolio'!$N9,'Inv Portfolio'!$G$32,'Inv Portfolio'!$G$33,'Inv Portfolio'!$O9),"")</f>
        <v/>
      </c>
      <c r="E8" s="166" t="str">
        <f>IFERROR([1]!IntrinioBankFinancials(E$30,'Inv Portfolio'!$N9,'Inv Portfolio'!$G$32,'Inv Portfolio'!$G$33,'Inv Portfolio'!$O9),"")</f>
        <v/>
      </c>
      <c r="F8" s="166" t="str">
        <f>IFERROR([1]!IntrinioBankFinancials(F$30,'Inv Portfolio'!$N9,'Inv Portfolio'!$G$32,'Inv Portfolio'!$G$33,'Inv Portfolio'!$O9),"")</f>
        <v/>
      </c>
      <c r="G8" s="166" t="str">
        <f>IFERROR([1]!IntrinioBankFinancials(G$30,'Inv Portfolio'!$N9,'Inv Portfolio'!$G$32,'Inv Portfolio'!$G$33,'Inv Portfolio'!$O9),"")</f>
        <v/>
      </c>
      <c r="H8" s="166" t="str">
        <f>IFERROR([1]!IntrinioBankFinancials(H$30,'Inv Portfolio'!$N9,'Inv Portfolio'!$G$32,'Inv Portfolio'!$G$33,'Inv Portfolio'!$O9),"")</f>
        <v/>
      </c>
      <c r="I8" s="165" t="str">
        <f t="shared" si="1"/>
        <v>nm</v>
      </c>
      <c r="J8" s="166" t="str">
        <f t="shared" si="0"/>
        <v>nm</v>
      </c>
      <c r="K8" s="120"/>
      <c r="L8" s="120"/>
      <c r="M8" s="120"/>
    </row>
    <row r="9" spans="1:13" ht="20.85" customHeight="1" x14ac:dyDescent="0.45">
      <c r="B9" s="156" t="s">
        <v>159</v>
      </c>
      <c r="C9" s="161" t="str">
        <f>IFERROR([1]!IntrinioBankFinancials(C$30,'Inv Portfolio'!$N10,'Inv Portfolio'!$G$32,'Inv Portfolio'!$G$33,'Inv Portfolio'!$O10),"")</f>
        <v/>
      </c>
      <c r="D9" s="162" t="str">
        <f>IFERROR([1]!IntrinioBankFinancials(D$30,'Inv Portfolio'!$N10,'Inv Portfolio'!$G$32,'Inv Portfolio'!$G$33,'Inv Portfolio'!$O10),"")</f>
        <v/>
      </c>
      <c r="E9" s="162" t="str">
        <f>IFERROR([1]!IntrinioBankFinancials(E$30,'Inv Portfolio'!$N10,'Inv Portfolio'!$G$32,'Inv Portfolio'!$G$33,'Inv Portfolio'!$O10),"")</f>
        <v/>
      </c>
      <c r="F9" s="162" t="str">
        <f>IFERROR([1]!IntrinioBankFinancials(F$30,'Inv Portfolio'!$N10,'Inv Portfolio'!$G$32,'Inv Portfolio'!$G$33,'Inv Portfolio'!$O10),"")</f>
        <v/>
      </c>
      <c r="G9" s="162" t="str">
        <f>IFERROR([1]!IntrinioBankFinancials(G$30,'Inv Portfolio'!$N10,'Inv Portfolio'!$G$32,'Inv Portfolio'!$G$33,'Inv Portfolio'!$O10),"")</f>
        <v/>
      </c>
      <c r="H9" s="162" t="str">
        <f>IFERROR([1]!IntrinioBankFinancials(H$30,'Inv Portfolio'!$N10,'Inv Portfolio'!$G$32,'Inv Portfolio'!$G$33,'Inv Portfolio'!$O10),"")</f>
        <v/>
      </c>
      <c r="I9" s="164" t="str">
        <f t="shared" si="1"/>
        <v>nm</v>
      </c>
      <c r="J9" s="162" t="str">
        <f t="shared" si="0"/>
        <v>nm</v>
      </c>
      <c r="K9" s="17"/>
      <c r="L9" s="17"/>
      <c r="M9" s="17"/>
    </row>
    <row r="10" spans="1:13" s="119" customFormat="1" ht="20.85" customHeight="1" x14ac:dyDescent="0.45">
      <c r="B10" s="147" t="s">
        <v>160</v>
      </c>
      <c r="C10" s="165" t="str">
        <f>IFERROR([1]!IntrinioBankFinancials(C$30,'Inv Portfolio'!$N11,'Inv Portfolio'!$G$32,'Inv Portfolio'!$G$33,'Inv Portfolio'!$O11),"")</f>
        <v/>
      </c>
      <c r="D10" s="166" t="str">
        <f>IFERROR([1]!IntrinioBankFinancials(D$30,'Inv Portfolio'!$N11,'Inv Portfolio'!$G$32,'Inv Portfolio'!$G$33,'Inv Portfolio'!$O11),"")</f>
        <v/>
      </c>
      <c r="E10" s="166" t="str">
        <f>IFERROR([1]!IntrinioBankFinancials(E$30,'Inv Portfolio'!$N11,'Inv Portfolio'!$G$32,'Inv Portfolio'!$G$33,'Inv Portfolio'!$O11),"")</f>
        <v/>
      </c>
      <c r="F10" s="166" t="str">
        <f>IFERROR([1]!IntrinioBankFinancials(F$30,'Inv Portfolio'!$N11,'Inv Portfolio'!$G$32,'Inv Portfolio'!$G$33,'Inv Portfolio'!$O11),"")</f>
        <v/>
      </c>
      <c r="G10" s="166" t="str">
        <f>IFERROR([1]!IntrinioBankFinancials(G$30,'Inv Portfolio'!$N11,'Inv Portfolio'!$G$32,'Inv Portfolio'!$G$33,'Inv Portfolio'!$O11),"")</f>
        <v/>
      </c>
      <c r="H10" s="166" t="str">
        <f>IFERROR([1]!IntrinioBankFinancials(H$30,'Inv Portfolio'!$N11,'Inv Portfolio'!$G$32,'Inv Portfolio'!$G$33,'Inv Portfolio'!$O11),"")</f>
        <v/>
      </c>
      <c r="I10" s="165" t="str">
        <f>IFERROR(AVERAGE(C10:H10),"nm")</f>
        <v>nm</v>
      </c>
      <c r="J10" s="166" t="str">
        <f t="shared" si="0"/>
        <v>nm</v>
      </c>
      <c r="K10" s="120"/>
      <c r="L10" s="120"/>
      <c r="M10" s="120"/>
    </row>
    <row r="11" spans="1:13" ht="20.85" customHeight="1" x14ac:dyDescent="0.45">
      <c r="B11" s="156" t="s">
        <v>161</v>
      </c>
      <c r="C11" s="161" t="str">
        <f>IFERROR([1]!IntrinioBankFinancials(C$30,'Inv Portfolio'!$N12,'Inv Portfolio'!$G$32,'Inv Portfolio'!$G$33,'Inv Portfolio'!$O12),"")</f>
        <v/>
      </c>
      <c r="D11" s="162" t="str">
        <f>IFERROR([1]!IntrinioBankFinancials(D$30,'Inv Portfolio'!$N12,'Inv Portfolio'!$G$32,'Inv Portfolio'!$G$33,'Inv Portfolio'!$O12),"")</f>
        <v/>
      </c>
      <c r="E11" s="162" t="str">
        <f>IFERROR([1]!IntrinioBankFinancials(E$30,'Inv Portfolio'!$N12,'Inv Portfolio'!$G$32,'Inv Portfolio'!$G$33,'Inv Portfolio'!$O12),"")</f>
        <v/>
      </c>
      <c r="F11" s="162" t="str">
        <f>IFERROR([1]!IntrinioBankFinancials(F$30,'Inv Portfolio'!$N12,'Inv Portfolio'!$G$32,'Inv Portfolio'!$G$33,'Inv Portfolio'!$O12),"")</f>
        <v/>
      </c>
      <c r="G11" s="162" t="str">
        <f>IFERROR([1]!IntrinioBankFinancials(G$30,'Inv Portfolio'!$N12,'Inv Portfolio'!$G$32,'Inv Portfolio'!$G$33,'Inv Portfolio'!$O12),"")</f>
        <v/>
      </c>
      <c r="H11" s="162" t="str">
        <f>IFERROR([1]!IntrinioBankFinancials(H$30,'Inv Portfolio'!$N12,'Inv Portfolio'!$G$32,'Inv Portfolio'!$G$33,'Inv Portfolio'!$O12),"")</f>
        <v/>
      </c>
      <c r="I11" s="164" t="str">
        <f>IFERROR(AVERAGE(C11:H11),"nm")</f>
        <v>nm</v>
      </c>
      <c r="J11" s="162" t="str">
        <f t="shared" ref="J11:J15" si="2">IFERROR(MEDIAN(C11:H11),"nm")</f>
        <v>nm</v>
      </c>
      <c r="K11" s="17"/>
      <c r="L11" s="17"/>
      <c r="M11" s="17"/>
    </row>
    <row r="12" spans="1:13" s="119" customFormat="1" ht="20.85" customHeight="1" x14ac:dyDescent="0.45">
      <c r="B12" s="150" t="s">
        <v>162</v>
      </c>
      <c r="C12" s="165" t="str">
        <f>IFERROR([1]!IntrinioBankFinancials(C$30,'Inv Portfolio'!$N13,'Inv Portfolio'!$G$32,'Inv Portfolio'!$G$33,'Inv Portfolio'!$O13),"")</f>
        <v/>
      </c>
      <c r="D12" s="166" t="str">
        <f>IFERROR([1]!IntrinioBankFinancials(D$30,'Inv Portfolio'!$N13,'Inv Portfolio'!$G$32,'Inv Portfolio'!$G$33,'Inv Portfolio'!$O13),"")</f>
        <v/>
      </c>
      <c r="E12" s="166" t="str">
        <f>IFERROR([1]!IntrinioBankFinancials(E$30,'Inv Portfolio'!$N13,'Inv Portfolio'!$G$32,'Inv Portfolio'!$G$33,'Inv Portfolio'!$O13),"")</f>
        <v/>
      </c>
      <c r="F12" s="166" t="str">
        <f>IFERROR([1]!IntrinioBankFinancials(F$30,'Inv Portfolio'!$N13,'Inv Portfolio'!$G$32,'Inv Portfolio'!$G$33,'Inv Portfolio'!$O13),"")</f>
        <v/>
      </c>
      <c r="G12" s="166" t="str">
        <f>IFERROR([1]!IntrinioBankFinancials(G$30,'Inv Portfolio'!$N13,'Inv Portfolio'!$G$32,'Inv Portfolio'!$G$33,'Inv Portfolio'!$O13),"")</f>
        <v/>
      </c>
      <c r="H12" s="166" t="str">
        <f>IFERROR([1]!IntrinioBankFinancials(H$30,'Inv Portfolio'!$N13,'Inv Portfolio'!$G$32,'Inv Portfolio'!$G$33,'Inv Portfolio'!$O13),"")</f>
        <v/>
      </c>
      <c r="I12" s="165" t="str">
        <f t="shared" ref="I12:I15" si="3">IFERROR(AVERAGE(C12:H12),"nm")</f>
        <v>nm</v>
      </c>
      <c r="J12" s="166" t="str">
        <f t="shared" si="2"/>
        <v>nm</v>
      </c>
      <c r="K12" s="120"/>
      <c r="L12" s="120"/>
      <c r="M12" s="120"/>
    </row>
    <row r="13" spans="1:13" ht="20.85" customHeight="1" x14ac:dyDescent="0.45">
      <c r="B13" s="156" t="s">
        <v>163</v>
      </c>
      <c r="C13" s="161" t="str">
        <f>IFERROR([1]!IntrinioBankFinancials(C$30,'Inv Portfolio'!$N14,'Inv Portfolio'!$G$32,'Inv Portfolio'!$G$33,'Inv Portfolio'!$O14),"")</f>
        <v/>
      </c>
      <c r="D13" s="162" t="str">
        <f>IFERROR([1]!IntrinioBankFinancials(D$30,'Inv Portfolio'!$N14,'Inv Portfolio'!$G$32,'Inv Portfolio'!$G$33,'Inv Portfolio'!$O14),"")</f>
        <v/>
      </c>
      <c r="E13" s="162" t="str">
        <f>IFERROR([1]!IntrinioBankFinancials(E$30,'Inv Portfolio'!$N14,'Inv Portfolio'!$G$32,'Inv Portfolio'!$G$33,'Inv Portfolio'!$O14),"")</f>
        <v/>
      </c>
      <c r="F13" s="162" t="str">
        <f>IFERROR([1]!IntrinioBankFinancials(F$30,'Inv Portfolio'!$N14,'Inv Portfolio'!$G$32,'Inv Portfolio'!$G$33,'Inv Portfolio'!$O14),"")</f>
        <v/>
      </c>
      <c r="G13" s="162" t="str">
        <f>IFERROR([1]!IntrinioBankFinancials(G$30,'Inv Portfolio'!$N14,'Inv Portfolio'!$G$32,'Inv Portfolio'!$G$33,'Inv Portfolio'!$O14),"")</f>
        <v/>
      </c>
      <c r="H13" s="162" t="str">
        <f>IFERROR([1]!IntrinioBankFinancials(H$30,'Inv Portfolio'!$N14,'Inv Portfolio'!$G$32,'Inv Portfolio'!$G$33,'Inv Portfolio'!$O14),"")</f>
        <v/>
      </c>
      <c r="I13" s="164" t="str">
        <f t="shared" si="3"/>
        <v>nm</v>
      </c>
      <c r="J13" s="162" t="str">
        <f t="shared" si="2"/>
        <v>nm</v>
      </c>
      <c r="K13" s="17"/>
      <c r="L13" s="17"/>
      <c r="M13" s="17"/>
    </row>
    <row r="14" spans="1:13" s="119" customFormat="1" ht="20.85" customHeight="1" x14ac:dyDescent="0.45">
      <c r="B14" s="150" t="s">
        <v>164</v>
      </c>
      <c r="C14" s="165" t="str">
        <f>IFERROR([1]!IntrinioBankFinancials(C$30,'Inv Portfolio'!$N15,'Inv Portfolio'!$G$32,'Inv Portfolio'!$G$33,'Inv Portfolio'!$O15),"")</f>
        <v/>
      </c>
      <c r="D14" s="166" t="str">
        <f>IFERROR([1]!IntrinioBankFinancials(D$30,'Inv Portfolio'!$N15,'Inv Portfolio'!$G$32,'Inv Portfolio'!$G$33,'Inv Portfolio'!$O15),"")</f>
        <v/>
      </c>
      <c r="E14" s="166" t="str">
        <f>IFERROR([1]!IntrinioBankFinancials(E$30,'Inv Portfolio'!$N15,'Inv Portfolio'!$G$32,'Inv Portfolio'!$G$33,'Inv Portfolio'!$O15),"")</f>
        <v/>
      </c>
      <c r="F14" s="166" t="str">
        <f>IFERROR([1]!IntrinioBankFinancials(F$30,'Inv Portfolio'!$N15,'Inv Portfolio'!$G$32,'Inv Portfolio'!$G$33,'Inv Portfolio'!$O15),"")</f>
        <v/>
      </c>
      <c r="G14" s="166" t="str">
        <f>IFERROR([1]!IntrinioBankFinancials(G$30,'Inv Portfolio'!$N15,'Inv Portfolio'!$G$32,'Inv Portfolio'!$G$33,'Inv Portfolio'!$O15),"")</f>
        <v/>
      </c>
      <c r="H14" s="166" t="str">
        <f>IFERROR([1]!IntrinioBankFinancials(H$30,'Inv Portfolio'!$N15,'Inv Portfolio'!$G$32,'Inv Portfolio'!$G$33,'Inv Portfolio'!$O15),"")</f>
        <v/>
      </c>
      <c r="I14" s="165" t="str">
        <f t="shared" si="3"/>
        <v>nm</v>
      </c>
      <c r="J14" s="166" t="str">
        <f t="shared" si="2"/>
        <v>nm</v>
      </c>
      <c r="K14" s="120"/>
      <c r="L14" s="120"/>
      <c r="M14" s="120"/>
    </row>
    <row r="15" spans="1:13" ht="20.85" customHeight="1" x14ac:dyDescent="0.45">
      <c r="B15" s="156" t="s">
        <v>165</v>
      </c>
      <c r="C15" s="161" t="str">
        <f>IFERROR([1]!IntrinioBankFinancials(C$30,'Inv Portfolio'!$N16,'Inv Portfolio'!$G$32,'Inv Portfolio'!$G$33,'Inv Portfolio'!$O16),"")</f>
        <v/>
      </c>
      <c r="D15" s="162" t="str">
        <f>IFERROR([1]!IntrinioBankFinancials(D$30,'Inv Portfolio'!$N16,'Inv Portfolio'!$G$32,'Inv Portfolio'!$G$33,'Inv Portfolio'!$O16),"")</f>
        <v/>
      </c>
      <c r="E15" s="162" t="str">
        <f>IFERROR([1]!IntrinioBankFinancials(E$30,'Inv Portfolio'!$N16,'Inv Portfolio'!$G$32,'Inv Portfolio'!$G$33,'Inv Portfolio'!$O16),"")</f>
        <v/>
      </c>
      <c r="F15" s="162" t="str">
        <f>IFERROR([1]!IntrinioBankFinancials(F$30,'Inv Portfolio'!$N16,'Inv Portfolio'!$G$32,'Inv Portfolio'!$G$33,'Inv Portfolio'!$O16),"")</f>
        <v/>
      </c>
      <c r="G15" s="162" t="str">
        <f>IFERROR([1]!IntrinioBankFinancials(G$30,'Inv Portfolio'!$N16,'Inv Portfolio'!$G$32,'Inv Portfolio'!$G$33,'Inv Portfolio'!$O16),"")</f>
        <v/>
      </c>
      <c r="H15" s="162" t="str">
        <f>IFERROR([1]!IntrinioBankFinancials(H$30,'Inv Portfolio'!$N16,'Inv Portfolio'!$G$32,'Inv Portfolio'!$G$33,'Inv Portfolio'!$O16),"")</f>
        <v/>
      </c>
      <c r="I15" s="164" t="str">
        <f t="shared" si="3"/>
        <v>nm</v>
      </c>
      <c r="J15" s="162" t="str">
        <f t="shared" si="2"/>
        <v>nm</v>
      </c>
      <c r="K15" s="17"/>
      <c r="L15" s="17"/>
      <c r="M15" s="17"/>
    </row>
    <row r="16" spans="1:13" ht="21.95" customHeight="1" x14ac:dyDescent="0.45">
      <c r="B16" s="104"/>
      <c r="C16" s="104"/>
      <c r="D16" s="104"/>
      <c r="E16" s="104"/>
      <c r="F16" s="104"/>
      <c r="G16" s="104"/>
      <c r="H16" s="104"/>
      <c r="I16" s="104"/>
      <c r="J16" s="104"/>
      <c r="K16" s="46"/>
      <c r="L16" s="46"/>
      <c r="M16" s="17"/>
    </row>
    <row r="17" spans="2:13" ht="21.95" customHeight="1" x14ac:dyDescent="0.45">
      <c r="B17" s="104"/>
      <c r="C17" s="104"/>
      <c r="D17" s="104"/>
      <c r="E17" s="104"/>
      <c r="F17" s="104"/>
      <c r="G17" s="104"/>
      <c r="H17" s="104"/>
      <c r="I17" s="104"/>
      <c r="J17" s="104"/>
      <c r="K17" s="17"/>
      <c r="L17" s="17"/>
      <c r="M17" s="17"/>
    </row>
    <row r="18" spans="2:13" ht="21.95" customHeight="1" x14ac:dyDescent="0.45">
      <c r="B18" s="104"/>
      <c r="C18" s="104"/>
      <c r="D18" s="104"/>
      <c r="E18" s="104"/>
      <c r="F18" s="104"/>
      <c r="G18" s="104"/>
      <c r="H18" s="104"/>
      <c r="I18" s="104"/>
      <c r="J18" s="104"/>
      <c r="K18" s="17"/>
      <c r="L18" s="17"/>
      <c r="M18" s="17"/>
    </row>
    <row r="19" spans="2:13" ht="21.95" customHeight="1" x14ac:dyDescent="0.45">
      <c r="B19" s="104"/>
      <c r="C19" s="104"/>
      <c r="D19" s="104"/>
      <c r="E19" s="104"/>
      <c r="F19" s="104"/>
      <c r="G19" s="104"/>
      <c r="H19" s="104"/>
      <c r="I19" s="104"/>
      <c r="J19" s="104"/>
      <c r="K19" s="17"/>
      <c r="L19" s="17"/>
      <c r="M19" s="17"/>
    </row>
    <row r="20" spans="2:13" ht="21.95" customHeight="1" x14ac:dyDescent="0.45">
      <c r="B20" s="104"/>
      <c r="C20" s="104"/>
      <c r="D20" s="104"/>
      <c r="E20" s="104"/>
      <c r="F20" s="104"/>
      <c r="G20" s="104"/>
      <c r="H20" s="104"/>
      <c r="I20" s="104"/>
      <c r="J20" s="104"/>
      <c r="K20" s="17"/>
      <c r="L20" s="17"/>
      <c r="M20" s="17"/>
    </row>
    <row r="21" spans="2:13" ht="21.95" customHeight="1" x14ac:dyDescent="0.45">
      <c r="B21" s="104"/>
      <c r="C21" s="104"/>
      <c r="D21" s="104"/>
      <c r="E21" s="104"/>
      <c r="F21" s="104"/>
      <c r="G21" s="104"/>
      <c r="H21" s="104"/>
      <c r="I21" s="104"/>
      <c r="J21" s="104"/>
      <c r="K21" s="17"/>
      <c r="L21" s="17"/>
      <c r="M21" s="17"/>
    </row>
    <row r="22" spans="2:13" ht="21.95" customHeight="1" x14ac:dyDescent="0.45">
      <c r="B22" s="104"/>
      <c r="C22" s="104"/>
      <c r="D22" s="104"/>
      <c r="E22" s="104"/>
      <c r="F22" s="104"/>
      <c r="G22" s="104"/>
      <c r="H22" s="104"/>
      <c r="I22" s="104"/>
      <c r="J22" s="104"/>
      <c r="K22" s="17"/>
      <c r="L22" s="17"/>
      <c r="M22" s="17"/>
    </row>
    <row r="23" spans="2:13" ht="21.95" customHeight="1" x14ac:dyDescent="0.45">
      <c r="B23" s="104"/>
      <c r="C23" s="104"/>
      <c r="D23" s="104"/>
      <c r="E23" s="104"/>
      <c r="F23" s="104"/>
      <c r="G23" s="104"/>
      <c r="H23" s="104"/>
      <c r="I23" s="104"/>
      <c r="J23" s="104"/>
      <c r="K23" s="17"/>
      <c r="L23" s="17"/>
      <c r="M23" s="17"/>
    </row>
    <row r="24" spans="2:13" ht="21.95" customHeight="1" x14ac:dyDescent="0.45">
      <c r="B24" s="104"/>
      <c r="C24" s="104"/>
      <c r="D24" s="104"/>
      <c r="E24" s="104"/>
      <c r="F24" s="104"/>
      <c r="G24" s="104"/>
      <c r="H24" s="104"/>
      <c r="I24" s="104"/>
      <c r="J24" s="104"/>
      <c r="K24" s="17"/>
      <c r="L24" s="17"/>
      <c r="M24" s="17"/>
    </row>
    <row r="25" spans="2:13" ht="21.95" customHeight="1" x14ac:dyDescent="0.45">
      <c r="B25" s="104"/>
      <c r="C25" s="104"/>
      <c r="D25" s="104"/>
      <c r="E25" s="104"/>
      <c r="F25" s="104"/>
      <c r="G25" s="104"/>
      <c r="H25" s="104"/>
      <c r="I25" s="104"/>
      <c r="J25" s="104"/>
      <c r="K25" s="17"/>
      <c r="L25" s="17"/>
      <c r="M25" s="17"/>
    </row>
    <row r="26" spans="2:13" ht="21.95" customHeight="1" x14ac:dyDescent="0.45">
      <c r="B26" s="104"/>
      <c r="C26" s="104"/>
      <c r="D26" s="104"/>
      <c r="E26" s="104"/>
      <c r="F26" s="104"/>
      <c r="G26" s="104"/>
      <c r="H26" s="104"/>
      <c r="I26" s="104"/>
      <c r="J26" s="104"/>
      <c r="K26" s="17"/>
      <c r="L26" s="17"/>
      <c r="M26" s="17"/>
    </row>
    <row r="27" spans="2:13" ht="21.95" customHeight="1" x14ac:dyDescent="0.45">
      <c r="B27" s="104"/>
      <c r="C27" s="104"/>
      <c r="D27" s="104"/>
      <c r="E27" s="104"/>
      <c r="F27" s="104"/>
      <c r="G27" s="104"/>
      <c r="H27" s="104"/>
      <c r="I27" s="104"/>
      <c r="J27" s="104"/>
      <c r="K27" s="17"/>
      <c r="L27" s="17"/>
      <c r="M27" s="17"/>
    </row>
    <row r="28" spans="2:13" ht="21.95" customHeight="1" x14ac:dyDescent="0.45">
      <c r="B28" s="28"/>
      <c r="C28" s="128"/>
      <c r="D28" s="128"/>
      <c r="E28" s="128"/>
      <c r="F28" s="128"/>
      <c r="G28" s="128"/>
      <c r="H28" s="128"/>
      <c r="I28" s="28"/>
      <c r="J28" s="28"/>
      <c r="K28" s="16"/>
      <c r="L28" s="17"/>
      <c r="M28" s="17"/>
    </row>
    <row r="29" spans="2:13" ht="21.95" customHeight="1" x14ac:dyDescent="0.45">
      <c r="B29" s="28"/>
      <c r="C29" s="128"/>
      <c r="D29" s="128"/>
      <c r="E29" s="128"/>
      <c r="F29" s="128"/>
      <c r="G29" s="128"/>
      <c r="H29" s="128"/>
      <c r="I29" s="28"/>
      <c r="J29" s="28"/>
      <c r="K29" s="17"/>
      <c r="L29" s="17"/>
      <c r="M29" s="17"/>
    </row>
    <row r="30" spans="2:13" ht="21.95" customHeight="1" x14ac:dyDescent="0.45">
      <c r="B30" s="28" t="s">
        <v>89</v>
      </c>
      <c r="C30" s="28" t="str">
        <f>IF(ticker="","",ticker)</f>
        <v/>
      </c>
      <c r="D30" s="28" t="str">
        <f>IF(comp1="","",comp1)</f>
        <v/>
      </c>
      <c r="E30" s="28" t="str">
        <f>IF(comp2="","",comp2)</f>
        <v/>
      </c>
      <c r="F30" s="28" t="str">
        <f>IF(comp3="","",comp3)</f>
        <v/>
      </c>
      <c r="G30" s="28" t="str">
        <f>IF(comp4="","",comp4)</f>
        <v/>
      </c>
      <c r="H30" s="28" t="str">
        <f>IF(comp5="","",comp5)</f>
        <v/>
      </c>
      <c r="I30" s="28"/>
      <c r="J30" s="28"/>
    </row>
    <row r="31" spans="2:13" ht="23.85" customHeight="1" x14ac:dyDescent="0.45">
      <c r="B31" s="28"/>
      <c r="C31" s="28"/>
      <c r="D31" s="28"/>
      <c r="E31" s="28"/>
      <c r="F31" s="28"/>
      <c r="G31" s="28"/>
      <c r="H31" s="28"/>
      <c r="I31" s="28"/>
      <c r="J31" s="28"/>
    </row>
    <row r="32" spans="2:13" ht="15.75" customHeight="1" x14ac:dyDescent="0.45">
      <c r="C32" s="3"/>
      <c r="D32" s="3"/>
      <c r="E32" s="3"/>
      <c r="F32" s="3"/>
      <c r="G32" s="3"/>
      <c r="H32" s="3"/>
      <c r="I32" s="3"/>
      <c r="J32" s="3"/>
      <c r="K32" s="20"/>
    </row>
    <row r="33" spans="3:11" x14ac:dyDescent="0.45">
      <c r="C33" s="3"/>
      <c r="D33" s="3"/>
      <c r="E33" s="3"/>
      <c r="F33" s="3"/>
      <c r="G33" s="3"/>
      <c r="H33" s="3"/>
      <c r="I33" s="3"/>
      <c r="J33" s="3"/>
      <c r="K33" s="20"/>
    </row>
    <row r="34" spans="3:11" x14ac:dyDescent="0.45">
      <c r="C34" s="3"/>
      <c r="D34" s="3"/>
      <c r="E34" s="3"/>
      <c r="F34" s="3"/>
      <c r="G34" s="3"/>
      <c r="H34" s="3"/>
      <c r="I34" s="3"/>
      <c r="J34" s="3"/>
      <c r="K34" s="20"/>
    </row>
    <row r="35" spans="3:11" x14ac:dyDescent="0.45">
      <c r="C35" s="3"/>
      <c r="D35" s="3"/>
      <c r="E35" s="3"/>
      <c r="F35" s="3"/>
      <c r="G35" s="3"/>
      <c r="H35" s="3"/>
      <c r="I35" s="3"/>
      <c r="J35" s="3"/>
      <c r="K35" s="20"/>
    </row>
    <row r="36" spans="3:11" x14ac:dyDescent="0.45">
      <c r="C36" s="3"/>
      <c r="D36" s="3"/>
      <c r="E36" s="3"/>
      <c r="F36" s="3"/>
      <c r="G36" s="3"/>
      <c r="H36" s="3"/>
      <c r="I36" s="3"/>
      <c r="J36" s="3"/>
      <c r="K36" s="20"/>
    </row>
    <row r="37" spans="3:11" x14ac:dyDescent="0.45">
      <c r="C37" s="3"/>
      <c r="D37" s="3"/>
      <c r="E37" s="3"/>
      <c r="F37" s="3"/>
      <c r="G37" s="3"/>
      <c r="H37" s="3"/>
      <c r="I37" s="3"/>
      <c r="J37" s="3"/>
    </row>
    <row r="38" spans="3:11" x14ac:dyDescent="0.45">
      <c r="C38" s="3"/>
      <c r="D38" s="3"/>
      <c r="E38" s="3"/>
      <c r="F38" s="3"/>
      <c r="G38" s="3"/>
      <c r="H38" s="3"/>
      <c r="I38" s="3"/>
      <c r="J38" s="3"/>
      <c r="K38" s="19"/>
    </row>
    <row r="39" spans="3:11" x14ac:dyDescent="0.45">
      <c r="C39" s="3"/>
      <c r="D39" s="3"/>
      <c r="E39" s="3"/>
      <c r="F39" s="3"/>
      <c r="G39" s="3"/>
      <c r="H39" s="3"/>
      <c r="I39" s="3"/>
      <c r="J39" s="3"/>
    </row>
    <row r="40" spans="3:11" x14ac:dyDescent="0.45">
      <c r="C40" s="3"/>
      <c r="D40" s="3"/>
      <c r="E40" s="3"/>
      <c r="F40" s="3"/>
      <c r="G40" s="3"/>
      <c r="H40" s="3"/>
      <c r="I40" s="3"/>
      <c r="J40" s="3"/>
    </row>
    <row r="41" spans="3:11" x14ac:dyDescent="0.45">
      <c r="C41" s="3"/>
      <c r="D41" s="3"/>
      <c r="E41" s="3"/>
      <c r="F41" s="3"/>
      <c r="G41" s="3"/>
      <c r="H41" s="3"/>
      <c r="I41" s="3"/>
      <c r="J41" s="3"/>
    </row>
    <row r="42" spans="3:11" x14ac:dyDescent="0.45">
      <c r="C42" s="3"/>
      <c r="D42" s="3"/>
      <c r="E42" s="3"/>
      <c r="F42" s="3"/>
      <c r="G42" s="3"/>
      <c r="H42" s="3"/>
      <c r="I42" s="3"/>
      <c r="J42" s="3"/>
    </row>
    <row r="43" spans="3:11" x14ac:dyDescent="0.45">
      <c r="C43" s="3"/>
      <c r="D43" s="3"/>
      <c r="E43" s="3"/>
      <c r="F43" s="3"/>
      <c r="G43" s="3"/>
      <c r="H43" s="3"/>
      <c r="I43" s="3"/>
      <c r="J43" s="3"/>
    </row>
    <row r="44" spans="3:11" x14ac:dyDescent="0.45">
      <c r="C44" s="3"/>
      <c r="D44" s="3"/>
      <c r="E44" s="3"/>
      <c r="F44" s="3"/>
      <c r="G44" s="3"/>
      <c r="H44" s="3"/>
      <c r="I44" s="3"/>
      <c r="J44" s="3"/>
    </row>
  </sheetData>
  <conditionalFormatting sqref="K32:K34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scale="86" orientation="landscape" r:id="rId1"/>
  <headerFooter>
    <oddHeader>&amp;L ()          &amp;RReport Date: 11/26/2016</oddHeader>
    <oddFooter>&amp;L&amp;G&amp;R&amp;P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Control Panel</vt:lpstr>
      <vt:lpstr>Public Co Profile</vt:lpstr>
      <vt:lpstr>Key Items</vt:lpstr>
      <vt:lpstr>Key Estimates</vt:lpstr>
      <vt:lpstr>Income Metrics</vt:lpstr>
      <vt:lpstr>Marg, Liq, Lev Metrics</vt:lpstr>
      <vt:lpstr>Earning Assets</vt:lpstr>
      <vt:lpstr>Inv Portfolio</vt:lpstr>
      <vt:lpstr>Comps Overview</vt:lpstr>
      <vt:lpstr>Income Comps</vt:lpstr>
      <vt:lpstr>Margin, Liq &amp; Lev Comps</vt:lpstr>
      <vt:lpstr>Earning Assets Comps</vt:lpstr>
      <vt:lpstr>Inv Portfolio Comps</vt:lpstr>
      <vt:lpstr>comp1</vt:lpstr>
      <vt:lpstr>comp2</vt:lpstr>
      <vt:lpstr>comp3</vt:lpstr>
      <vt:lpstr>comp4</vt:lpstr>
      <vt:lpstr>comp5</vt:lpstr>
      <vt:lpstr>last_price</vt:lpstr>
      <vt:lpstr>name</vt:lpstr>
      <vt:lpstr>'Comps Overview'!Print_Area</vt:lpstr>
      <vt:lpstr>'Control Panel'!Print_Area</vt:lpstr>
      <vt:lpstr>'Earning Assets'!Print_Area</vt:lpstr>
      <vt:lpstr>'Earning Assets Comps'!Print_Area</vt:lpstr>
      <vt:lpstr>'Income Comps'!Print_Area</vt:lpstr>
      <vt:lpstr>'Income Metrics'!Print_Area</vt:lpstr>
      <vt:lpstr>'Inv Portfolio'!Print_Area</vt:lpstr>
      <vt:lpstr>'Inv Portfolio Comps'!Print_Area</vt:lpstr>
      <vt:lpstr>'Key Estimates'!Print_Area</vt:lpstr>
      <vt:lpstr>'Key Items'!Print_Area</vt:lpstr>
      <vt:lpstr>'Marg, Liq, Lev Metrics'!Print_Area</vt:lpstr>
      <vt:lpstr>'Margin, Liq &amp; Lev Comps'!Print_Area</vt:lpstr>
      <vt:lpstr>'Public Co Profile'!Print_Area</vt:lpstr>
      <vt:lpstr>report_date</vt:lpstr>
      <vt:lpstr>ticker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cp:lastPrinted>2016-09-19T07:47:54Z</cp:lastPrinted>
  <dcterms:created xsi:type="dcterms:W3CDTF">2016-02-24T21:39:54Z</dcterms:created>
  <dcterms:modified xsi:type="dcterms:W3CDTF">2016-12-11T22:34:29Z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4</vt:i4>
  </property>
</Properties>
</file>