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Intrinio\Templates\Industrials\"/>
    </mc:Choice>
  </mc:AlternateContent>
  <bookViews>
    <workbookView xWindow="0" yWindow="0" windowWidth="24000" windowHeight="9630"/>
  </bookViews>
  <sheets>
    <sheet name="List" sheetId="4" r:id="rId1"/>
    <sheet name="Info" sheetId="6" r:id="rId2"/>
    <sheet name="Comparable Valuation" sheetId="10" r:id="rId3"/>
    <sheet name="Benchmarking 1" sheetId="7" r:id="rId4"/>
    <sheet name="Benchmarking 2" sheetId="8" r:id="rId5"/>
    <sheet name="Benchmarking 3" sheetId="9" r:id="rId6"/>
  </sheets>
  <externalReferences>
    <externalReference r:id="rId7"/>
  </externalReferences>
  <definedNames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</definedNames>
  <calcPr calcId="171027" calcMode="manual" concurrentCalc="0"/>
</workbook>
</file>

<file path=xl/calcChain.xml><?xml version="1.0" encoding="utf-8"?>
<calcChain xmlns="http://schemas.openxmlformats.org/spreadsheetml/2006/main">
  <c r="C39" i="9" l="1"/>
  <c r="Y39" i="9"/>
  <c r="X39" i="9"/>
  <c r="V39" i="9"/>
  <c r="U39" i="9"/>
  <c r="T39" i="9"/>
  <c r="S39" i="9"/>
  <c r="Q39" i="9"/>
  <c r="P39" i="9"/>
  <c r="O39" i="9"/>
  <c r="M39" i="9"/>
  <c r="L39" i="9"/>
  <c r="K39" i="9"/>
  <c r="I39" i="9"/>
  <c r="H39" i="9"/>
  <c r="G39" i="9"/>
  <c r="E39" i="9"/>
  <c r="C38" i="9"/>
  <c r="Y38" i="9"/>
  <c r="X38" i="9"/>
  <c r="V38" i="9"/>
  <c r="U38" i="9"/>
  <c r="T38" i="9"/>
  <c r="S38" i="9"/>
  <c r="Q38" i="9"/>
  <c r="P38" i="9"/>
  <c r="O38" i="9"/>
  <c r="M38" i="9"/>
  <c r="L38" i="9"/>
  <c r="K38" i="9"/>
  <c r="I38" i="9"/>
  <c r="H38" i="9"/>
  <c r="G38" i="9"/>
  <c r="E38" i="9"/>
  <c r="C37" i="9"/>
  <c r="Y37" i="9"/>
  <c r="X37" i="9"/>
  <c r="V37" i="9"/>
  <c r="U37" i="9"/>
  <c r="T37" i="9"/>
  <c r="S37" i="9"/>
  <c r="Q37" i="9"/>
  <c r="P37" i="9"/>
  <c r="O37" i="9"/>
  <c r="M37" i="9"/>
  <c r="L37" i="9"/>
  <c r="K37" i="9"/>
  <c r="I37" i="9"/>
  <c r="H37" i="9"/>
  <c r="G37" i="9"/>
  <c r="E37" i="9"/>
  <c r="C36" i="9"/>
  <c r="Y36" i="9"/>
  <c r="X36" i="9"/>
  <c r="V36" i="9"/>
  <c r="U36" i="9"/>
  <c r="T36" i="9"/>
  <c r="S36" i="9"/>
  <c r="Q36" i="9"/>
  <c r="P36" i="9"/>
  <c r="O36" i="9"/>
  <c r="M36" i="9"/>
  <c r="L36" i="9"/>
  <c r="K36" i="9"/>
  <c r="I36" i="9"/>
  <c r="H36" i="9"/>
  <c r="G36" i="9"/>
  <c r="E36" i="9"/>
  <c r="C35" i="9"/>
  <c r="Y35" i="9"/>
  <c r="X35" i="9"/>
  <c r="V35" i="9"/>
  <c r="U35" i="9"/>
  <c r="T35" i="9"/>
  <c r="S35" i="9"/>
  <c r="Q35" i="9"/>
  <c r="P35" i="9"/>
  <c r="O35" i="9"/>
  <c r="M35" i="9"/>
  <c r="L35" i="9"/>
  <c r="K35" i="9"/>
  <c r="I35" i="9"/>
  <c r="H35" i="9"/>
  <c r="G35" i="9"/>
  <c r="E35" i="9"/>
  <c r="C34" i="9"/>
  <c r="Y34" i="9"/>
  <c r="X34" i="9"/>
  <c r="V34" i="9"/>
  <c r="U34" i="9"/>
  <c r="T34" i="9"/>
  <c r="S34" i="9"/>
  <c r="Q34" i="9"/>
  <c r="P34" i="9"/>
  <c r="O34" i="9"/>
  <c r="M34" i="9"/>
  <c r="L34" i="9"/>
  <c r="K34" i="9"/>
  <c r="I34" i="9"/>
  <c r="H34" i="9"/>
  <c r="G34" i="9"/>
  <c r="E34" i="9"/>
  <c r="C33" i="9"/>
  <c r="Y33" i="9"/>
  <c r="X33" i="9"/>
  <c r="V33" i="9"/>
  <c r="U33" i="9"/>
  <c r="T33" i="9"/>
  <c r="S33" i="9"/>
  <c r="Q33" i="9"/>
  <c r="P33" i="9"/>
  <c r="O33" i="9"/>
  <c r="M33" i="9"/>
  <c r="L33" i="9"/>
  <c r="K33" i="9"/>
  <c r="I33" i="9"/>
  <c r="H33" i="9"/>
  <c r="G33" i="9"/>
  <c r="E33" i="9"/>
  <c r="C32" i="9"/>
  <c r="Y32" i="9"/>
  <c r="X32" i="9"/>
  <c r="V32" i="9"/>
  <c r="U32" i="9"/>
  <c r="T32" i="9"/>
  <c r="S32" i="9"/>
  <c r="Q32" i="9"/>
  <c r="P32" i="9"/>
  <c r="O32" i="9"/>
  <c r="M32" i="9"/>
  <c r="L32" i="9"/>
  <c r="K32" i="9"/>
  <c r="I32" i="9"/>
  <c r="H32" i="9"/>
  <c r="G32" i="9"/>
  <c r="E32" i="9"/>
  <c r="C31" i="9"/>
  <c r="Y31" i="9"/>
  <c r="X31" i="9"/>
  <c r="V31" i="9"/>
  <c r="U31" i="9"/>
  <c r="T31" i="9"/>
  <c r="S31" i="9"/>
  <c r="Q31" i="9"/>
  <c r="P31" i="9"/>
  <c r="O31" i="9"/>
  <c r="M31" i="9"/>
  <c r="L31" i="9"/>
  <c r="K31" i="9"/>
  <c r="I31" i="9"/>
  <c r="H31" i="9"/>
  <c r="G31" i="9"/>
  <c r="E31" i="9"/>
  <c r="C30" i="9"/>
  <c r="Y30" i="9"/>
  <c r="X30" i="9"/>
  <c r="V30" i="9"/>
  <c r="U30" i="9"/>
  <c r="T30" i="9"/>
  <c r="S30" i="9"/>
  <c r="Q30" i="9"/>
  <c r="P30" i="9"/>
  <c r="O30" i="9"/>
  <c r="M30" i="9"/>
  <c r="L30" i="9"/>
  <c r="K30" i="9"/>
  <c r="I30" i="9"/>
  <c r="H30" i="9"/>
  <c r="G30" i="9"/>
  <c r="E30" i="9"/>
  <c r="C29" i="9"/>
  <c r="Y29" i="9"/>
  <c r="X29" i="9"/>
  <c r="V29" i="9"/>
  <c r="U29" i="9"/>
  <c r="T29" i="9"/>
  <c r="S29" i="9"/>
  <c r="Q29" i="9"/>
  <c r="P29" i="9"/>
  <c r="O29" i="9"/>
  <c r="M29" i="9"/>
  <c r="L29" i="9"/>
  <c r="K29" i="9"/>
  <c r="I29" i="9"/>
  <c r="H29" i="9"/>
  <c r="G29" i="9"/>
  <c r="E29" i="9"/>
  <c r="C28" i="9"/>
  <c r="Y28" i="9"/>
  <c r="X28" i="9"/>
  <c r="V28" i="9"/>
  <c r="U28" i="9"/>
  <c r="T28" i="9"/>
  <c r="S28" i="9"/>
  <c r="Q28" i="9"/>
  <c r="P28" i="9"/>
  <c r="O28" i="9"/>
  <c r="M28" i="9"/>
  <c r="L28" i="9"/>
  <c r="K28" i="9"/>
  <c r="I28" i="9"/>
  <c r="H28" i="9"/>
  <c r="G28" i="9"/>
  <c r="E28" i="9"/>
  <c r="C27" i="9"/>
  <c r="Y27" i="9"/>
  <c r="X27" i="9"/>
  <c r="V27" i="9"/>
  <c r="U27" i="9"/>
  <c r="T27" i="9"/>
  <c r="S27" i="9"/>
  <c r="Q27" i="9"/>
  <c r="P27" i="9"/>
  <c r="O27" i="9"/>
  <c r="M27" i="9"/>
  <c r="L27" i="9"/>
  <c r="K27" i="9"/>
  <c r="I27" i="9"/>
  <c r="H27" i="9"/>
  <c r="G27" i="9"/>
  <c r="E27" i="9"/>
  <c r="C26" i="9"/>
  <c r="Y26" i="9"/>
  <c r="X26" i="9"/>
  <c r="V26" i="9"/>
  <c r="U26" i="9"/>
  <c r="T26" i="9"/>
  <c r="S26" i="9"/>
  <c r="Q26" i="9"/>
  <c r="P26" i="9"/>
  <c r="O26" i="9"/>
  <c r="M26" i="9"/>
  <c r="L26" i="9"/>
  <c r="K26" i="9"/>
  <c r="I26" i="9"/>
  <c r="H26" i="9"/>
  <c r="G26" i="9"/>
  <c r="E26" i="9"/>
  <c r="C25" i="9"/>
  <c r="Y25" i="9"/>
  <c r="X25" i="9"/>
  <c r="V25" i="9"/>
  <c r="U25" i="9"/>
  <c r="T25" i="9"/>
  <c r="S25" i="9"/>
  <c r="Q25" i="9"/>
  <c r="P25" i="9"/>
  <c r="O25" i="9"/>
  <c r="M25" i="9"/>
  <c r="L25" i="9"/>
  <c r="K25" i="9"/>
  <c r="I25" i="9"/>
  <c r="H25" i="9"/>
  <c r="G25" i="9"/>
  <c r="E25" i="9"/>
  <c r="C24" i="9"/>
  <c r="Y24" i="9"/>
  <c r="X24" i="9"/>
  <c r="V24" i="9"/>
  <c r="U24" i="9"/>
  <c r="T24" i="9"/>
  <c r="S24" i="9"/>
  <c r="Q24" i="9"/>
  <c r="P24" i="9"/>
  <c r="O24" i="9"/>
  <c r="M24" i="9"/>
  <c r="L24" i="9"/>
  <c r="K24" i="9"/>
  <c r="I24" i="9"/>
  <c r="H24" i="9"/>
  <c r="G24" i="9"/>
  <c r="E24" i="9"/>
  <c r="C23" i="9"/>
  <c r="Y23" i="9"/>
  <c r="X23" i="9"/>
  <c r="V23" i="9"/>
  <c r="U23" i="9"/>
  <c r="T23" i="9"/>
  <c r="S23" i="9"/>
  <c r="Q23" i="9"/>
  <c r="P23" i="9"/>
  <c r="O23" i="9"/>
  <c r="M23" i="9"/>
  <c r="L23" i="9"/>
  <c r="K23" i="9"/>
  <c r="I23" i="9"/>
  <c r="H23" i="9"/>
  <c r="G23" i="9"/>
  <c r="E23" i="9"/>
  <c r="C22" i="9"/>
  <c r="Y22" i="9"/>
  <c r="X22" i="9"/>
  <c r="V22" i="9"/>
  <c r="U22" i="9"/>
  <c r="T22" i="9"/>
  <c r="S22" i="9"/>
  <c r="Q22" i="9"/>
  <c r="P22" i="9"/>
  <c r="O22" i="9"/>
  <c r="M22" i="9"/>
  <c r="L22" i="9"/>
  <c r="K22" i="9"/>
  <c r="I22" i="9"/>
  <c r="H22" i="9"/>
  <c r="G22" i="9"/>
  <c r="E22" i="9"/>
  <c r="C21" i="9"/>
  <c r="Y21" i="9"/>
  <c r="X21" i="9"/>
  <c r="V21" i="9"/>
  <c r="U21" i="9"/>
  <c r="T21" i="9"/>
  <c r="S21" i="9"/>
  <c r="Q21" i="9"/>
  <c r="P21" i="9"/>
  <c r="O21" i="9"/>
  <c r="M21" i="9"/>
  <c r="L21" i="9"/>
  <c r="K21" i="9"/>
  <c r="I21" i="9"/>
  <c r="H21" i="9"/>
  <c r="G21" i="9"/>
  <c r="E21" i="9"/>
  <c r="C20" i="9"/>
  <c r="Y20" i="9"/>
  <c r="X20" i="9"/>
  <c r="V20" i="9"/>
  <c r="U20" i="9"/>
  <c r="T20" i="9"/>
  <c r="S20" i="9"/>
  <c r="Q20" i="9"/>
  <c r="P20" i="9"/>
  <c r="O20" i="9"/>
  <c r="M20" i="9"/>
  <c r="L20" i="9"/>
  <c r="K20" i="9"/>
  <c r="I20" i="9"/>
  <c r="H20" i="9"/>
  <c r="G20" i="9"/>
  <c r="E20" i="9"/>
  <c r="C19" i="9"/>
  <c r="Y19" i="9"/>
  <c r="X19" i="9"/>
  <c r="V19" i="9"/>
  <c r="U19" i="9"/>
  <c r="T19" i="9"/>
  <c r="S19" i="9"/>
  <c r="Q19" i="9"/>
  <c r="P19" i="9"/>
  <c r="O19" i="9"/>
  <c r="M19" i="9"/>
  <c r="L19" i="9"/>
  <c r="K19" i="9"/>
  <c r="I19" i="9"/>
  <c r="H19" i="9"/>
  <c r="G19" i="9"/>
  <c r="E19" i="9"/>
  <c r="C18" i="9"/>
  <c r="Y18" i="9"/>
  <c r="X18" i="9"/>
  <c r="V18" i="9"/>
  <c r="U18" i="9"/>
  <c r="T18" i="9"/>
  <c r="S18" i="9"/>
  <c r="Q18" i="9"/>
  <c r="P18" i="9"/>
  <c r="O18" i="9"/>
  <c r="M18" i="9"/>
  <c r="L18" i="9"/>
  <c r="K18" i="9"/>
  <c r="I18" i="9"/>
  <c r="H18" i="9"/>
  <c r="G18" i="9"/>
  <c r="E18" i="9"/>
  <c r="C17" i="9"/>
  <c r="Y17" i="9"/>
  <c r="X17" i="9"/>
  <c r="V17" i="9"/>
  <c r="U17" i="9"/>
  <c r="T17" i="9"/>
  <c r="S17" i="9"/>
  <c r="Q17" i="9"/>
  <c r="P17" i="9"/>
  <c r="O17" i="9"/>
  <c r="M17" i="9"/>
  <c r="L17" i="9"/>
  <c r="K17" i="9"/>
  <c r="I17" i="9"/>
  <c r="H17" i="9"/>
  <c r="G17" i="9"/>
  <c r="E17" i="9"/>
  <c r="C16" i="9"/>
  <c r="Y16" i="9"/>
  <c r="X16" i="9"/>
  <c r="V16" i="9"/>
  <c r="U16" i="9"/>
  <c r="T16" i="9"/>
  <c r="S16" i="9"/>
  <c r="Q16" i="9"/>
  <c r="P16" i="9"/>
  <c r="O16" i="9"/>
  <c r="M16" i="9"/>
  <c r="L16" i="9"/>
  <c r="K16" i="9"/>
  <c r="I16" i="9"/>
  <c r="H16" i="9"/>
  <c r="G16" i="9"/>
  <c r="E16" i="9"/>
  <c r="C15" i="9"/>
  <c r="Y15" i="9"/>
  <c r="X15" i="9"/>
  <c r="V15" i="9"/>
  <c r="U15" i="9"/>
  <c r="T15" i="9"/>
  <c r="S15" i="9"/>
  <c r="Q15" i="9"/>
  <c r="P15" i="9"/>
  <c r="O15" i="9"/>
  <c r="M15" i="9"/>
  <c r="L15" i="9"/>
  <c r="K15" i="9"/>
  <c r="I15" i="9"/>
  <c r="H15" i="9"/>
  <c r="G15" i="9"/>
  <c r="E15" i="9"/>
  <c r="C14" i="9"/>
  <c r="Y14" i="9"/>
  <c r="X14" i="9"/>
  <c r="V14" i="9"/>
  <c r="U14" i="9"/>
  <c r="T14" i="9"/>
  <c r="S14" i="9"/>
  <c r="Q14" i="9"/>
  <c r="P14" i="9"/>
  <c r="O14" i="9"/>
  <c r="M14" i="9"/>
  <c r="L14" i="9"/>
  <c r="K14" i="9"/>
  <c r="I14" i="9"/>
  <c r="H14" i="9"/>
  <c r="G14" i="9"/>
  <c r="E14" i="9"/>
  <c r="C13" i="9"/>
  <c r="Y13" i="9"/>
  <c r="X13" i="9"/>
  <c r="V13" i="9"/>
  <c r="U13" i="9"/>
  <c r="T13" i="9"/>
  <c r="S13" i="9"/>
  <c r="Q13" i="9"/>
  <c r="P13" i="9"/>
  <c r="O13" i="9"/>
  <c r="M13" i="9"/>
  <c r="L13" i="9"/>
  <c r="K13" i="9"/>
  <c r="I13" i="9"/>
  <c r="H13" i="9"/>
  <c r="G13" i="9"/>
  <c r="E13" i="9"/>
  <c r="C12" i="9"/>
  <c r="Y12" i="9"/>
  <c r="X12" i="9"/>
  <c r="V12" i="9"/>
  <c r="U12" i="9"/>
  <c r="T12" i="9"/>
  <c r="S12" i="9"/>
  <c r="Q12" i="9"/>
  <c r="P12" i="9"/>
  <c r="O12" i="9"/>
  <c r="M12" i="9"/>
  <c r="L12" i="9"/>
  <c r="K12" i="9"/>
  <c r="I12" i="9"/>
  <c r="H12" i="9"/>
  <c r="G12" i="9"/>
  <c r="E12" i="9"/>
  <c r="C11" i="9"/>
  <c r="Y11" i="9"/>
  <c r="X11" i="9"/>
  <c r="V11" i="9"/>
  <c r="U11" i="9"/>
  <c r="T11" i="9"/>
  <c r="S11" i="9"/>
  <c r="Q11" i="9"/>
  <c r="P11" i="9"/>
  <c r="O11" i="9"/>
  <c r="M11" i="9"/>
  <c r="L11" i="9"/>
  <c r="K11" i="9"/>
  <c r="I11" i="9"/>
  <c r="H11" i="9"/>
  <c r="G11" i="9"/>
  <c r="E11" i="9"/>
  <c r="C10" i="9"/>
  <c r="Y10" i="9"/>
  <c r="X10" i="9"/>
  <c r="V10" i="9"/>
  <c r="U10" i="9"/>
  <c r="T10" i="9"/>
  <c r="S10" i="9"/>
  <c r="Q10" i="9"/>
  <c r="P10" i="9"/>
  <c r="O10" i="9"/>
  <c r="M10" i="9"/>
  <c r="L10" i="9"/>
  <c r="K10" i="9"/>
  <c r="I10" i="9"/>
  <c r="H10" i="9"/>
  <c r="G10" i="9"/>
  <c r="E10" i="9"/>
  <c r="C39" i="8"/>
  <c r="AA39" i="8"/>
  <c r="Z39" i="8"/>
  <c r="Y39" i="8"/>
  <c r="W39" i="8"/>
  <c r="V39" i="8"/>
  <c r="U39" i="8"/>
  <c r="S39" i="8"/>
  <c r="R39" i="8"/>
  <c r="Q39" i="8"/>
  <c r="P39" i="8"/>
  <c r="O39" i="8"/>
  <c r="M39" i="8"/>
  <c r="L39" i="8"/>
  <c r="K39" i="8"/>
  <c r="I39" i="8"/>
  <c r="H39" i="8"/>
  <c r="G39" i="8"/>
  <c r="E39" i="8"/>
  <c r="D39" i="8"/>
  <c r="C38" i="8"/>
  <c r="AA38" i="8"/>
  <c r="Z38" i="8"/>
  <c r="Y38" i="8"/>
  <c r="W38" i="8"/>
  <c r="V38" i="8"/>
  <c r="U38" i="8"/>
  <c r="S38" i="8"/>
  <c r="R38" i="8"/>
  <c r="Q38" i="8"/>
  <c r="P38" i="8"/>
  <c r="O38" i="8"/>
  <c r="M38" i="8"/>
  <c r="L38" i="8"/>
  <c r="K38" i="8"/>
  <c r="I38" i="8"/>
  <c r="H38" i="8"/>
  <c r="G38" i="8"/>
  <c r="E38" i="8"/>
  <c r="D38" i="8"/>
  <c r="C37" i="8"/>
  <c r="AA37" i="8"/>
  <c r="Z37" i="8"/>
  <c r="Y37" i="8"/>
  <c r="W37" i="8"/>
  <c r="V37" i="8"/>
  <c r="U37" i="8"/>
  <c r="S37" i="8"/>
  <c r="R37" i="8"/>
  <c r="Q37" i="8"/>
  <c r="P37" i="8"/>
  <c r="O37" i="8"/>
  <c r="M37" i="8"/>
  <c r="L37" i="8"/>
  <c r="K37" i="8"/>
  <c r="I37" i="8"/>
  <c r="H37" i="8"/>
  <c r="G37" i="8"/>
  <c r="E37" i="8"/>
  <c r="D37" i="8"/>
  <c r="C36" i="8"/>
  <c r="AA36" i="8"/>
  <c r="Z36" i="8"/>
  <c r="Y36" i="8"/>
  <c r="W36" i="8"/>
  <c r="V36" i="8"/>
  <c r="U36" i="8"/>
  <c r="S36" i="8"/>
  <c r="R36" i="8"/>
  <c r="Q36" i="8"/>
  <c r="P36" i="8"/>
  <c r="O36" i="8"/>
  <c r="M36" i="8"/>
  <c r="L36" i="8"/>
  <c r="K36" i="8"/>
  <c r="I36" i="8"/>
  <c r="H36" i="8"/>
  <c r="G36" i="8"/>
  <c r="E36" i="8"/>
  <c r="D36" i="8"/>
  <c r="C35" i="8"/>
  <c r="AA35" i="8"/>
  <c r="Z35" i="8"/>
  <c r="Y35" i="8"/>
  <c r="W35" i="8"/>
  <c r="V35" i="8"/>
  <c r="U35" i="8"/>
  <c r="S35" i="8"/>
  <c r="R35" i="8"/>
  <c r="Q35" i="8"/>
  <c r="P35" i="8"/>
  <c r="O35" i="8"/>
  <c r="M35" i="8"/>
  <c r="L35" i="8"/>
  <c r="K35" i="8"/>
  <c r="I35" i="8"/>
  <c r="H35" i="8"/>
  <c r="G35" i="8"/>
  <c r="E35" i="8"/>
  <c r="D35" i="8"/>
  <c r="C34" i="8"/>
  <c r="AA34" i="8"/>
  <c r="Z34" i="8"/>
  <c r="Y34" i="8"/>
  <c r="W34" i="8"/>
  <c r="V34" i="8"/>
  <c r="U34" i="8"/>
  <c r="S34" i="8"/>
  <c r="R34" i="8"/>
  <c r="Q34" i="8"/>
  <c r="P34" i="8"/>
  <c r="O34" i="8"/>
  <c r="M34" i="8"/>
  <c r="L34" i="8"/>
  <c r="K34" i="8"/>
  <c r="I34" i="8"/>
  <c r="H34" i="8"/>
  <c r="G34" i="8"/>
  <c r="E34" i="8"/>
  <c r="D34" i="8"/>
  <c r="C33" i="8"/>
  <c r="AA33" i="8"/>
  <c r="Z33" i="8"/>
  <c r="Y33" i="8"/>
  <c r="W33" i="8"/>
  <c r="V33" i="8"/>
  <c r="U33" i="8"/>
  <c r="S33" i="8"/>
  <c r="R33" i="8"/>
  <c r="Q33" i="8"/>
  <c r="P33" i="8"/>
  <c r="O33" i="8"/>
  <c r="M33" i="8"/>
  <c r="L33" i="8"/>
  <c r="K33" i="8"/>
  <c r="I33" i="8"/>
  <c r="H33" i="8"/>
  <c r="G33" i="8"/>
  <c r="E33" i="8"/>
  <c r="D33" i="8"/>
  <c r="C32" i="8"/>
  <c r="AA32" i="8"/>
  <c r="Z32" i="8"/>
  <c r="Y32" i="8"/>
  <c r="W32" i="8"/>
  <c r="V32" i="8"/>
  <c r="U32" i="8"/>
  <c r="S32" i="8"/>
  <c r="R32" i="8"/>
  <c r="Q32" i="8"/>
  <c r="P32" i="8"/>
  <c r="O32" i="8"/>
  <c r="M32" i="8"/>
  <c r="L32" i="8"/>
  <c r="K32" i="8"/>
  <c r="I32" i="8"/>
  <c r="H32" i="8"/>
  <c r="G32" i="8"/>
  <c r="E32" i="8"/>
  <c r="D32" i="8"/>
  <c r="C31" i="8"/>
  <c r="AA31" i="8"/>
  <c r="Z31" i="8"/>
  <c r="Y31" i="8"/>
  <c r="W31" i="8"/>
  <c r="V31" i="8"/>
  <c r="U31" i="8"/>
  <c r="S31" i="8"/>
  <c r="R31" i="8"/>
  <c r="Q31" i="8"/>
  <c r="P31" i="8"/>
  <c r="O31" i="8"/>
  <c r="M31" i="8"/>
  <c r="L31" i="8"/>
  <c r="K31" i="8"/>
  <c r="I31" i="8"/>
  <c r="H31" i="8"/>
  <c r="G31" i="8"/>
  <c r="E31" i="8"/>
  <c r="D31" i="8"/>
  <c r="C30" i="8"/>
  <c r="AA30" i="8"/>
  <c r="Z30" i="8"/>
  <c r="Y30" i="8"/>
  <c r="W30" i="8"/>
  <c r="V30" i="8"/>
  <c r="U30" i="8"/>
  <c r="S30" i="8"/>
  <c r="R30" i="8"/>
  <c r="Q30" i="8"/>
  <c r="P30" i="8"/>
  <c r="O30" i="8"/>
  <c r="M30" i="8"/>
  <c r="L30" i="8"/>
  <c r="K30" i="8"/>
  <c r="I30" i="8"/>
  <c r="H30" i="8"/>
  <c r="G30" i="8"/>
  <c r="E30" i="8"/>
  <c r="D30" i="8"/>
  <c r="C29" i="8"/>
  <c r="AA29" i="8"/>
  <c r="Z29" i="8"/>
  <c r="Y29" i="8"/>
  <c r="W29" i="8"/>
  <c r="V29" i="8"/>
  <c r="U29" i="8"/>
  <c r="S29" i="8"/>
  <c r="R29" i="8"/>
  <c r="Q29" i="8"/>
  <c r="P29" i="8"/>
  <c r="O29" i="8"/>
  <c r="M29" i="8"/>
  <c r="L29" i="8"/>
  <c r="K29" i="8"/>
  <c r="I29" i="8"/>
  <c r="H29" i="8"/>
  <c r="G29" i="8"/>
  <c r="E29" i="8"/>
  <c r="D29" i="8"/>
  <c r="C28" i="8"/>
  <c r="AA28" i="8"/>
  <c r="Z28" i="8"/>
  <c r="Y28" i="8"/>
  <c r="W28" i="8"/>
  <c r="V28" i="8"/>
  <c r="U28" i="8"/>
  <c r="S28" i="8"/>
  <c r="R28" i="8"/>
  <c r="Q28" i="8"/>
  <c r="P28" i="8"/>
  <c r="O28" i="8"/>
  <c r="M28" i="8"/>
  <c r="L28" i="8"/>
  <c r="K28" i="8"/>
  <c r="I28" i="8"/>
  <c r="H28" i="8"/>
  <c r="G28" i="8"/>
  <c r="E28" i="8"/>
  <c r="D28" i="8"/>
  <c r="C27" i="8"/>
  <c r="AA27" i="8"/>
  <c r="Z27" i="8"/>
  <c r="Y27" i="8"/>
  <c r="W27" i="8"/>
  <c r="V27" i="8"/>
  <c r="U27" i="8"/>
  <c r="S27" i="8"/>
  <c r="R27" i="8"/>
  <c r="Q27" i="8"/>
  <c r="P27" i="8"/>
  <c r="O27" i="8"/>
  <c r="M27" i="8"/>
  <c r="L27" i="8"/>
  <c r="K27" i="8"/>
  <c r="I27" i="8"/>
  <c r="H27" i="8"/>
  <c r="G27" i="8"/>
  <c r="E27" i="8"/>
  <c r="D27" i="8"/>
  <c r="C26" i="8"/>
  <c r="AA26" i="8"/>
  <c r="Z26" i="8"/>
  <c r="Y26" i="8"/>
  <c r="W26" i="8"/>
  <c r="V26" i="8"/>
  <c r="U26" i="8"/>
  <c r="S26" i="8"/>
  <c r="R26" i="8"/>
  <c r="Q26" i="8"/>
  <c r="P26" i="8"/>
  <c r="O26" i="8"/>
  <c r="M26" i="8"/>
  <c r="L26" i="8"/>
  <c r="K26" i="8"/>
  <c r="I26" i="8"/>
  <c r="H26" i="8"/>
  <c r="G26" i="8"/>
  <c r="E26" i="8"/>
  <c r="D26" i="8"/>
  <c r="C25" i="8"/>
  <c r="AA25" i="8"/>
  <c r="Z25" i="8"/>
  <c r="Y25" i="8"/>
  <c r="W25" i="8"/>
  <c r="V25" i="8"/>
  <c r="U25" i="8"/>
  <c r="S25" i="8"/>
  <c r="R25" i="8"/>
  <c r="Q25" i="8"/>
  <c r="P25" i="8"/>
  <c r="O25" i="8"/>
  <c r="M25" i="8"/>
  <c r="L25" i="8"/>
  <c r="K25" i="8"/>
  <c r="I25" i="8"/>
  <c r="H25" i="8"/>
  <c r="G25" i="8"/>
  <c r="E25" i="8"/>
  <c r="D25" i="8"/>
  <c r="C24" i="8"/>
  <c r="AA24" i="8"/>
  <c r="Z24" i="8"/>
  <c r="Y24" i="8"/>
  <c r="W24" i="8"/>
  <c r="V24" i="8"/>
  <c r="U24" i="8"/>
  <c r="S24" i="8"/>
  <c r="R24" i="8"/>
  <c r="Q24" i="8"/>
  <c r="P24" i="8"/>
  <c r="O24" i="8"/>
  <c r="M24" i="8"/>
  <c r="L24" i="8"/>
  <c r="K24" i="8"/>
  <c r="I24" i="8"/>
  <c r="H24" i="8"/>
  <c r="G24" i="8"/>
  <c r="E24" i="8"/>
  <c r="D24" i="8"/>
  <c r="C23" i="8"/>
  <c r="AA23" i="8"/>
  <c r="Z23" i="8"/>
  <c r="Y23" i="8"/>
  <c r="W23" i="8"/>
  <c r="V23" i="8"/>
  <c r="U23" i="8"/>
  <c r="S23" i="8"/>
  <c r="R23" i="8"/>
  <c r="Q23" i="8"/>
  <c r="P23" i="8"/>
  <c r="O23" i="8"/>
  <c r="M23" i="8"/>
  <c r="L23" i="8"/>
  <c r="K23" i="8"/>
  <c r="I23" i="8"/>
  <c r="H23" i="8"/>
  <c r="G23" i="8"/>
  <c r="E23" i="8"/>
  <c r="D23" i="8"/>
  <c r="C22" i="8"/>
  <c r="AA22" i="8"/>
  <c r="Z22" i="8"/>
  <c r="Y22" i="8"/>
  <c r="W22" i="8"/>
  <c r="V22" i="8"/>
  <c r="U22" i="8"/>
  <c r="S22" i="8"/>
  <c r="R22" i="8"/>
  <c r="Q22" i="8"/>
  <c r="P22" i="8"/>
  <c r="O22" i="8"/>
  <c r="M22" i="8"/>
  <c r="L22" i="8"/>
  <c r="K22" i="8"/>
  <c r="I22" i="8"/>
  <c r="H22" i="8"/>
  <c r="G22" i="8"/>
  <c r="E22" i="8"/>
  <c r="D22" i="8"/>
  <c r="C21" i="8"/>
  <c r="AA21" i="8"/>
  <c r="Z21" i="8"/>
  <c r="Y21" i="8"/>
  <c r="W21" i="8"/>
  <c r="V21" i="8"/>
  <c r="U21" i="8"/>
  <c r="S21" i="8"/>
  <c r="R21" i="8"/>
  <c r="Q21" i="8"/>
  <c r="P21" i="8"/>
  <c r="O21" i="8"/>
  <c r="M21" i="8"/>
  <c r="L21" i="8"/>
  <c r="K21" i="8"/>
  <c r="I21" i="8"/>
  <c r="H21" i="8"/>
  <c r="G21" i="8"/>
  <c r="E21" i="8"/>
  <c r="D21" i="8"/>
  <c r="C20" i="8"/>
  <c r="AA20" i="8"/>
  <c r="Z20" i="8"/>
  <c r="Y20" i="8"/>
  <c r="W20" i="8"/>
  <c r="V20" i="8"/>
  <c r="U20" i="8"/>
  <c r="S20" i="8"/>
  <c r="R20" i="8"/>
  <c r="Q20" i="8"/>
  <c r="P20" i="8"/>
  <c r="O20" i="8"/>
  <c r="M20" i="8"/>
  <c r="L20" i="8"/>
  <c r="K20" i="8"/>
  <c r="I20" i="8"/>
  <c r="H20" i="8"/>
  <c r="G20" i="8"/>
  <c r="E20" i="8"/>
  <c r="D20" i="8"/>
  <c r="C19" i="8"/>
  <c r="AA19" i="8"/>
  <c r="Z19" i="8"/>
  <c r="Y19" i="8"/>
  <c r="W19" i="8"/>
  <c r="V19" i="8"/>
  <c r="U19" i="8"/>
  <c r="S19" i="8"/>
  <c r="R19" i="8"/>
  <c r="Q19" i="8"/>
  <c r="P19" i="8"/>
  <c r="O19" i="8"/>
  <c r="M19" i="8"/>
  <c r="L19" i="8"/>
  <c r="K19" i="8"/>
  <c r="I19" i="8"/>
  <c r="H19" i="8"/>
  <c r="G19" i="8"/>
  <c r="E19" i="8"/>
  <c r="D19" i="8"/>
  <c r="C18" i="8"/>
  <c r="AA18" i="8"/>
  <c r="Z18" i="8"/>
  <c r="Y18" i="8"/>
  <c r="W18" i="8"/>
  <c r="V18" i="8"/>
  <c r="U18" i="8"/>
  <c r="S18" i="8"/>
  <c r="R18" i="8"/>
  <c r="Q18" i="8"/>
  <c r="P18" i="8"/>
  <c r="O18" i="8"/>
  <c r="M18" i="8"/>
  <c r="L18" i="8"/>
  <c r="K18" i="8"/>
  <c r="I18" i="8"/>
  <c r="H18" i="8"/>
  <c r="G18" i="8"/>
  <c r="E18" i="8"/>
  <c r="D18" i="8"/>
  <c r="C17" i="8"/>
  <c r="AA17" i="8"/>
  <c r="Z17" i="8"/>
  <c r="Y17" i="8"/>
  <c r="W17" i="8"/>
  <c r="V17" i="8"/>
  <c r="U17" i="8"/>
  <c r="S17" i="8"/>
  <c r="R17" i="8"/>
  <c r="Q17" i="8"/>
  <c r="P17" i="8"/>
  <c r="O17" i="8"/>
  <c r="M17" i="8"/>
  <c r="L17" i="8"/>
  <c r="K17" i="8"/>
  <c r="I17" i="8"/>
  <c r="H17" i="8"/>
  <c r="G17" i="8"/>
  <c r="E17" i="8"/>
  <c r="D17" i="8"/>
  <c r="C16" i="8"/>
  <c r="AA16" i="8"/>
  <c r="Z16" i="8"/>
  <c r="Y16" i="8"/>
  <c r="W16" i="8"/>
  <c r="V16" i="8"/>
  <c r="U16" i="8"/>
  <c r="S16" i="8"/>
  <c r="R16" i="8"/>
  <c r="Q16" i="8"/>
  <c r="P16" i="8"/>
  <c r="O16" i="8"/>
  <c r="M16" i="8"/>
  <c r="L16" i="8"/>
  <c r="K16" i="8"/>
  <c r="I16" i="8"/>
  <c r="H16" i="8"/>
  <c r="G16" i="8"/>
  <c r="E16" i="8"/>
  <c r="D16" i="8"/>
  <c r="C15" i="8"/>
  <c r="AA15" i="8"/>
  <c r="Z15" i="8"/>
  <c r="Y15" i="8"/>
  <c r="W15" i="8"/>
  <c r="V15" i="8"/>
  <c r="U15" i="8"/>
  <c r="S15" i="8"/>
  <c r="R15" i="8"/>
  <c r="Q15" i="8"/>
  <c r="P15" i="8"/>
  <c r="O15" i="8"/>
  <c r="M15" i="8"/>
  <c r="L15" i="8"/>
  <c r="K15" i="8"/>
  <c r="I15" i="8"/>
  <c r="H15" i="8"/>
  <c r="G15" i="8"/>
  <c r="E15" i="8"/>
  <c r="D15" i="8"/>
  <c r="C14" i="8"/>
  <c r="AA14" i="8"/>
  <c r="Z14" i="8"/>
  <c r="Y14" i="8"/>
  <c r="W14" i="8"/>
  <c r="V14" i="8"/>
  <c r="U14" i="8"/>
  <c r="S14" i="8"/>
  <c r="R14" i="8"/>
  <c r="Q14" i="8"/>
  <c r="P14" i="8"/>
  <c r="O14" i="8"/>
  <c r="M14" i="8"/>
  <c r="L14" i="8"/>
  <c r="K14" i="8"/>
  <c r="I14" i="8"/>
  <c r="H14" i="8"/>
  <c r="G14" i="8"/>
  <c r="E14" i="8"/>
  <c r="D14" i="8"/>
  <c r="C13" i="8"/>
  <c r="AA13" i="8"/>
  <c r="Z13" i="8"/>
  <c r="Y13" i="8"/>
  <c r="W13" i="8"/>
  <c r="V13" i="8"/>
  <c r="U13" i="8"/>
  <c r="S13" i="8"/>
  <c r="R13" i="8"/>
  <c r="Q13" i="8"/>
  <c r="P13" i="8"/>
  <c r="O13" i="8"/>
  <c r="M13" i="8"/>
  <c r="L13" i="8"/>
  <c r="K13" i="8"/>
  <c r="I13" i="8"/>
  <c r="H13" i="8"/>
  <c r="G13" i="8"/>
  <c r="E13" i="8"/>
  <c r="D13" i="8"/>
  <c r="C12" i="8"/>
  <c r="AA12" i="8"/>
  <c r="Z12" i="8"/>
  <c r="Y12" i="8"/>
  <c r="W12" i="8"/>
  <c r="V12" i="8"/>
  <c r="U12" i="8"/>
  <c r="S12" i="8"/>
  <c r="R12" i="8"/>
  <c r="Q12" i="8"/>
  <c r="P12" i="8"/>
  <c r="O12" i="8"/>
  <c r="M12" i="8"/>
  <c r="L12" i="8"/>
  <c r="K12" i="8"/>
  <c r="I12" i="8"/>
  <c r="H12" i="8"/>
  <c r="G12" i="8"/>
  <c r="E12" i="8"/>
  <c r="D12" i="8"/>
  <c r="C11" i="8"/>
  <c r="AA11" i="8"/>
  <c r="Z11" i="8"/>
  <c r="Y11" i="8"/>
  <c r="W11" i="8"/>
  <c r="V11" i="8"/>
  <c r="U11" i="8"/>
  <c r="S11" i="8"/>
  <c r="R11" i="8"/>
  <c r="Q11" i="8"/>
  <c r="P11" i="8"/>
  <c r="O11" i="8"/>
  <c r="M11" i="8"/>
  <c r="L11" i="8"/>
  <c r="K11" i="8"/>
  <c r="I11" i="8"/>
  <c r="H11" i="8"/>
  <c r="G11" i="8"/>
  <c r="E11" i="8"/>
  <c r="D11" i="8"/>
  <c r="C10" i="8"/>
  <c r="AA10" i="8"/>
  <c r="Z10" i="8"/>
  <c r="Y10" i="8"/>
  <c r="W10" i="8"/>
  <c r="V10" i="8"/>
  <c r="U10" i="8"/>
  <c r="S10" i="8"/>
  <c r="R10" i="8"/>
  <c r="Q10" i="8"/>
  <c r="P10" i="8"/>
  <c r="O10" i="8"/>
  <c r="M10" i="8"/>
  <c r="L10" i="8"/>
  <c r="K10" i="8"/>
  <c r="I10" i="8"/>
  <c r="H10" i="8"/>
  <c r="G10" i="8"/>
  <c r="E10" i="8"/>
  <c r="D10" i="8"/>
  <c r="C39" i="7"/>
  <c r="AC39" i="7"/>
  <c r="AB39" i="7"/>
  <c r="AA39" i="7"/>
  <c r="Z39" i="7"/>
  <c r="Y39" i="7"/>
  <c r="X39" i="7"/>
  <c r="W39" i="7"/>
  <c r="V39" i="7"/>
  <c r="U39" i="7"/>
  <c r="S39" i="7"/>
  <c r="R39" i="7"/>
  <c r="Q39" i="7"/>
  <c r="P39" i="7"/>
  <c r="N39" i="7"/>
  <c r="M39" i="7"/>
  <c r="L39" i="7"/>
  <c r="K39" i="7"/>
  <c r="J39" i="7"/>
  <c r="H39" i="7"/>
  <c r="G39" i="7"/>
  <c r="F39" i="7"/>
  <c r="E39" i="7"/>
  <c r="D39" i="7"/>
  <c r="C38" i="7"/>
  <c r="AC38" i="7"/>
  <c r="AB38" i="7"/>
  <c r="AA38" i="7"/>
  <c r="Z38" i="7"/>
  <c r="Y38" i="7"/>
  <c r="X38" i="7"/>
  <c r="W38" i="7"/>
  <c r="V38" i="7"/>
  <c r="U38" i="7"/>
  <c r="S38" i="7"/>
  <c r="R38" i="7"/>
  <c r="Q38" i="7"/>
  <c r="P38" i="7"/>
  <c r="N38" i="7"/>
  <c r="M38" i="7"/>
  <c r="L38" i="7"/>
  <c r="K38" i="7"/>
  <c r="J38" i="7"/>
  <c r="H38" i="7"/>
  <c r="G38" i="7"/>
  <c r="F38" i="7"/>
  <c r="E38" i="7"/>
  <c r="D38" i="7"/>
  <c r="C37" i="7"/>
  <c r="AC37" i="7"/>
  <c r="AB37" i="7"/>
  <c r="AA37" i="7"/>
  <c r="Z37" i="7"/>
  <c r="Y37" i="7"/>
  <c r="X37" i="7"/>
  <c r="W37" i="7"/>
  <c r="V37" i="7"/>
  <c r="U37" i="7"/>
  <c r="S37" i="7"/>
  <c r="R37" i="7"/>
  <c r="Q37" i="7"/>
  <c r="P37" i="7"/>
  <c r="N37" i="7"/>
  <c r="M37" i="7"/>
  <c r="L37" i="7"/>
  <c r="K37" i="7"/>
  <c r="J37" i="7"/>
  <c r="H37" i="7"/>
  <c r="G37" i="7"/>
  <c r="F37" i="7"/>
  <c r="E37" i="7"/>
  <c r="D37" i="7"/>
  <c r="C36" i="7"/>
  <c r="AC36" i="7"/>
  <c r="AB36" i="7"/>
  <c r="AA36" i="7"/>
  <c r="Z36" i="7"/>
  <c r="Y36" i="7"/>
  <c r="X36" i="7"/>
  <c r="W36" i="7"/>
  <c r="V36" i="7"/>
  <c r="U36" i="7"/>
  <c r="S36" i="7"/>
  <c r="R36" i="7"/>
  <c r="Q36" i="7"/>
  <c r="P36" i="7"/>
  <c r="N36" i="7"/>
  <c r="M36" i="7"/>
  <c r="L36" i="7"/>
  <c r="K36" i="7"/>
  <c r="J36" i="7"/>
  <c r="H36" i="7"/>
  <c r="G36" i="7"/>
  <c r="F36" i="7"/>
  <c r="E36" i="7"/>
  <c r="D36" i="7"/>
  <c r="C35" i="7"/>
  <c r="AC35" i="7"/>
  <c r="AB35" i="7"/>
  <c r="AA35" i="7"/>
  <c r="Z35" i="7"/>
  <c r="Y35" i="7"/>
  <c r="X35" i="7"/>
  <c r="W35" i="7"/>
  <c r="V35" i="7"/>
  <c r="U35" i="7"/>
  <c r="S35" i="7"/>
  <c r="R35" i="7"/>
  <c r="Q35" i="7"/>
  <c r="P35" i="7"/>
  <c r="N35" i="7"/>
  <c r="M35" i="7"/>
  <c r="L35" i="7"/>
  <c r="K35" i="7"/>
  <c r="J35" i="7"/>
  <c r="H35" i="7"/>
  <c r="G35" i="7"/>
  <c r="F35" i="7"/>
  <c r="E35" i="7"/>
  <c r="D35" i="7"/>
  <c r="C34" i="7"/>
  <c r="AC34" i="7"/>
  <c r="AB34" i="7"/>
  <c r="AA34" i="7"/>
  <c r="Z34" i="7"/>
  <c r="Y34" i="7"/>
  <c r="X34" i="7"/>
  <c r="W34" i="7"/>
  <c r="V34" i="7"/>
  <c r="U34" i="7"/>
  <c r="S34" i="7"/>
  <c r="R34" i="7"/>
  <c r="Q34" i="7"/>
  <c r="P34" i="7"/>
  <c r="N34" i="7"/>
  <c r="M34" i="7"/>
  <c r="L34" i="7"/>
  <c r="K34" i="7"/>
  <c r="J34" i="7"/>
  <c r="H34" i="7"/>
  <c r="G34" i="7"/>
  <c r="F34" i="7"/>
  <c r="E34" i="7"/>
  <c r="D34" i="7"/>
  <c r="C33" i="7"/>
  <c r="AC33" i="7"/>
  <c r="AB33" i="7"/>
  <c r="AA33" i="7"/>
  <c r="Z33" i="7"/>
  <c r="Y33" i="7"/>
  <c r="X33" i="7"/>
  <c r="W33" i="7"/>
  <c r="V33" i="7"/>
  <c r="U33" i="7"/>
  <c r="S33" i="7"/>
  <c r="R33" i="7"/>
  <c r="Q33" i="7"/>
  <c r="P33" i="7"/>
  <c r="N33" i="7"/>
  <c r="M33" i="7"/>
  <c r="L33" i="7"/>
  <c r="K33" i="7"/>
  <c r="J33" i="7"/>
  <c r="H33" i="7"/>
  <c r="G33" i="7"/>
  <c r="F33" i="7"/>
  <c r="E33" i="7"/>
  <c r="D33" i="7"/>
  <c r="C32" i="7"/>
  <c r="AC32" i="7"/>
  <c r="AB32" i="7"/>
  <c r="AA32" i="7"/>
  <c r="Z32" i="7"/>
  <c r="Y32" i="7"/>
  <c r="X32" i="7"/>
  <c r="W32" i="7"/>
  <c r="V32" i="7"/>
  <c r="U32" i="7"/>
  <c r="S32" i="7"/>
  <c r="R32" i="7"/>
  <c r="Q32" i="7"/>
  <c r="P32" i="7"/>
  <c r="N32" i="7"/>
  <c r="M32" i="7"/>
  <c r="L32" i="7"/>
  <c r="K32" i="7"/>
  <c r="J32" i="7"/>
  <c r="H32" i="7"/>
  <c r="G32" i="7"/>
  <c r="F32" i="7"/>
  <c r="E32" i="7"/>
  <c r="D32" i="7"/>
  <c r="C31" i="7"/>
  <c r="AC31" i="7"/>
  <c r="AB31" i="7"/>
  <c r="AA31" i="7"/>
  <c r="Z31" i="7"/>
  <c r="Y31" i="7"/>
  <c r="X31" i="7"/>
  <c r="W31" i="7"/>
  <c r="V31" i="7"/>
  <c r="U31" i="7"/>
  <c r="S31" i="7"/>
  <c r="R31" i="7"/>
  <c r="Q31" i="7"/>
  <c r="P31" i="7"/>
  <c r="N31" i="7"/>
  <c r="M31" i="7"/>
  <c r="L31" i="7"/>
  <c r="K31" i="7"/>
  <c r="J31" i="7"/>
  <c r="H31" i="7"/>
  <c r="G31" i="7"/>
  <c r="F31" i="7"/>
  <c r="E31" i="7"/>
  <c r="D31" i="7"/>
  <c r="C30" i="7"/>
  <c r="AC30" i="7"/>
  <c r="AB30" i="7"/>
  <c r="AA30" i="7"/>
  <c r="Z30" i="7"/>
  <c r="Y30" i="7"/>
  <c r="X30" i="7"/>
  <c r="W30" i="7"/>
  <c r="V30" i="7"/>
  <c r="U30" i="7"/>
  <c r="S30" i="7"/>
  <c r="R30" i="7"/>
  <c r="Q30" i="7"/>
  <c r="P30" i="7"/>
  <c r="N30" i="7"/>
  <c r="M30" i="7"/>
  <c r="L30" i="7"/>
  <c r="K30" i="7"/>
  <c r="J30" i="7"/>
  <c r="H30" i="7"/>
  <c r="G30" i="7"/>
  <c r="F30" i="7"/>
  <c r="E30" i="7"/>
  <c r="D30" i="7"/>
  <c r="C29" i="7"/>
  <c r="AC29" i="7"/>
  <c r="AB29" i="7"/>
  <c r="AA29" i="7"/>
  <c r="Z29" i="7"/>
  <c r="Y29" i="7"/>
  <c r="X29" i="7"/>
  <c r="W29" i="7"/>
  <c r="V29" i="7"/>
  <c r="U29" i="7"/>
  <c r="S29" i="7"/>
  <c r="R29" i="7"/>
  <c r="Q29" i="7"/>
  <c r="P29" i="7"/>
  <c r="N29" i="7"/>
  <c r="M29" i="7"/>
  <c r="L29" i="7"/>
  <c r="K29" i="7"/>
  <c r="J29" i="7"/>
  <c r="H29" i="7"/>
  <c r="G29" i="7"/>
  <c r="F29" i="7"/>
  <c r="E29" i="7"/>
  <c r="D29" i="7"/>
  <c r="C28" i="7"/>
  <c r="AC28" i="7"/>
  <c r="AB28" i="7"/>
  <c r="AA28" i="7"/>
  <c r="Z28" i="7"/>
  <c r="Y28" i="7"/>
  <c r="X28" i="7"/>
  <c r="W28" i="7"/>
  <c r="V28" i="7"/>
  <c r="U28" i="7"/>
  <c r="S28" i="7"/>
  <c r="R28" i="7"/>
  <c r="Q28" i="7"/>
  <c r="P28" i="7"/>
  <c r="N28" i="7"/>
  <c r="M28" i="7"/>
  <c r="L28" i="7"/>
  <c r="K28" i="7"/>
  <c r="J28" i="7"/>
  <c r="H28" i="7"/>
  <c r="G28" i="7"/>
  <c r="F28" i="7"/>
  <c r="E28" i="7"/>
  <c r="D28" i="7"/>
  <c r="C27" i="7"/>
  <c r="AC27" i="7"/>
  <c r="AB27" i="7"/>
  <c r="AA27" i="7"/>
  <c r="Z27" i="7"/>
  <c r="Y27" i="7"/>
  <c r="X27" i="7"/>
  <c r="W27" i="7"/>
  <c r="V27" i="7"/>
  <c r="U27" i="7"/>
  <c r="S27" i="7"/>
  <c r="R27" i="7"/>
  <c r="Q27" i="7"/>
  <c r="P27" i="7"/>
  <c r="N27" i="7"/>
  <c r="M27" i="7"/>
  <c r="L27" i="7"/>
  <c r="K27" i="7"/>
  <c r="J27" i="7"/>
  <c r="H27" i="7"/>
  <c r="G27" i="7"/>
  <c r="F27" i="7"/>
  <c r="E27" i="7"/>
  <c r="D27" i="7"/>
  <c r="C26" i="7"/>
  <c r="AC26" i="7"/>
  <c r="AB26" i="7"/>
  <c r="AA26" i="7"/>
  <c r="Z26" i="7"/>
  <c r="Y26" i="7"/>
  <c r="X26" i="7"/>
  <c r="W26" i="7"/>
  <c r="V26" i="7"/>
  <c r="U26" i="7"/>
  <c r="S26" i="7"/>
  <c r="R26" i="7"/>
  <c r="Q26" i="7"/>
  <c r="P26" i="7"/>
  <c r="N26" i="7"/>
  <c r="M26" i="7"/>
  <c r="L26" i="7"/>
  <c r="K26" i="7"/>
  <c r="J26" i="7"/>
  <c r="H26" i="7"/>
  <c r="G26" i="7"/>
  <c r="F26" i="7"/>
  <c r="E26" i="7"/>
  <c r="D26" i="7"/>
  <c r="C25" i="7"/>
  <c r="AC25" i="7"/>
  <c r="AB25" i="7"/>
  <c r="AA25" i="7"/>
  <c r="Z25" i="7"/>
  <c r="Y25" i="7"/>
  <c r="X25" i="7"/>
  <c r="W25" i="7"/>
  <c r="V25" i="7"/>
  <c r="U25" i="7"/>
  <c r="S25" i="7"/>
  <c r="R25" i="7"/>
  <c r="Q25" i="7"/>
  <c r="P25" i="7"/>
  <c r="N25" i="7"/>
  <c r="M25" i="7"/>
  <c r="L25" i="7"/>
  <c r="K25" i="7"/>
  <c r="J25" i="7"/>
  <c r="H25" i="7"/>
  <c r="G25" i="7"/>
  <c r="F25" i="7"/>
  <c r="E25" i="7"/>
  <c r="D25" i="7"/>
  <c r="C24" i="7"/>
  <c r="AC24" i="7"/>
  <c r="AB24" i="7"/>
  <c r="AA24" i="7"/>
  <c r="Z24" i="7"/>
  <c r="Y24" i="7"/>
  <c r="X24" i="7"/>
  <c r="W24" i="7"/>
  <c r="V24" i="7"/>
  <c r="U24" i="7"/>
  <c r="S24" i="7"/>
  <c r="R24" i="7"/>
  <c r="Q24" i="7"/>
  <c r="P24" i="7"/>
  <c r="N24" i="7"/>
  <c r="M24" i="7"/>
  <c r="L24" i="7"/>
  <c r="K24" i="7"/>
  <c r="J24" i="7"/>
  <c r="H24" i="7"/>
  <c r="G24" i="7"/>
  <c r="F24" i="7"/>
  <c r="E24" i="7"/>
  <c r="D24" i="7"/>
  <c r="C23" i="7"/>
  <c r="AC23" i="7"/>
  <c r="AB23" i="7"/>
  <c r="AA23" i="7"/>
  <c r="Z23" i="7"/>
  <c r="Y23" i="7"/>
  <c r="X23" i="7"/>
  <c r="W23" i="7"/>
  <c r="V23" i="7"/>
  <c r="U23" i="7"/>
  <c r="S23" i="7"/>
  <c r="R23" i="7"/>
  <c r="Q23" i="7"/>
  <c r="P23" i="7"/>
  <c r="N23" i="7"/>
  <c r="M23" i="7"/>
  <c r="L23" i="7"/>
  <c r="K23" i="7"/>
  <c r="J23" i="7"/>
  <c r="H23" i="7"/>
  <c r="G23" i="7"/>
  <c r="F23" i="7"/>
  <c r="E23" i="7"/>
  <c r="D23" i="7"/>
  <c r="C22" i="7"/>
  <c r="AC22" i="7"/>
  <c r="AB22" i="7"/>
  <c r="AA22" i="7"/>
  <c r="Z22" i="7"/>
  <c r="Y22" i="7"/>
  <c r="X22" i="7"/>
  <c r="W22" i="7"/>
  <c r="V22" i="7"/>
  <c r="U22" i="7"/>
  <c r="S22" i="7"/>
  <c r="R22" i="7"/>
  <c r="Q22" i="7"/>
  <c r="P22" i="7"/>
  <c r="N22" i="7"/>
  <c r="M22" i="7"/>
  <c r="L22" i="7"/>
  <c r="K22" i="7"/>
  <c r="J22" i="7"/>
  <c r="H22" i="7"/>
  <c r="G22" i="7"/>
  <c r="F22" i="7"/>
  <c r="E22" i="7"/>
  <c r="D22" i="7"/>
  <c r="C21" i="7"/>
  <c r="AC21" i="7"/>
  <c r="AB21" i="7"/>
  <c r="AA21" i="7"/>
  <c r="Z21" i="7"/>
  <c r="Y21" i="7"/>
  <c r="X21" i="7"/>
  <c r="W21" i="7"/>
  <c r="V21" i="7"/>
  <c r="U21" i="7"/>
  <c r="S21" i="7"/>
  <c r="R21" i="7"/>
  <c r="Q21" i="7"/>
  <c r="P21" i="7"/>
  <c r="N21" i="7"/>
  <c r="M21" i="7"/>
  <c r="L21" i="7"/>
  <c r="K21" i="7"/>
  <c r="J21" i="7"/>
  <c r="H21" i="7"/>
  <c r="G21" i="7"/>
  <c r="F21" i="7"/>
  <c r="E21" i="7"/>
  <c r="D21" i="7"/>
  <c r="C20" i="7"/>
  <c r="AC20" i="7"/>
  <c r="AB20" i="7"/>
  <c r="AA20" i="7"/>
  <c r="Z20" i="7"/>
  <c r="Y20" i="7"/>
  <c r="X20" i="7"/>
  <c r="W20" i="7"/>
  <c r="V20" i="7"/>
  <c r="U20" i="7"/>
  <c r="S20" i="7"/>
  <c r="R20" i="7"/>
  <c r="Q20" i="7"/>
  <c r="P20" i="7"/>
  <c r="N20" i="7"/>
  <c r="M20" i="7"/>
  <c r="L20" i="7"/>
  <c r="K20" i="7"/>
  <c r="J20" i="7"/>
  <c r="H20" i="7"/>
  <c r="G20" i="7"/>
  <c r="F20" i="7"/>
  <c r="E20" i="7"/>
  <c r="D20" i="7"/>
  <c r="C19" i="7"/>
  <c r="AC19" i="7"/>
  <c r="AB19" i="7"/>
  <c r="AA19" i="7"/>
  <c r="Z19" i="7"/>
  <c r="Y19" i="7"/>
  <c r="X19" i="7"/>
  <c r="W19" i="7"/>
  <c r="V19" i="7"/>
  <c r="U19" i="7"/>
  <c r="S19" i="7"/>
  <c r="R19" i="7"/>
  <c r="Q19" i="7"/>
  <c r="P19" i="7"/>
  <c r="N19" i="7"/>
  <c r="M19" i="7"/>
  <c r="L19" i="7"/>
  <c r="K19" i="7"/>
  <c r="J19" i="7"/>
  <c r="H19" i="7"/>
  <c r="G19" i="7"/>
  <c r="F19" i="7"/>
  <c r="E19" i="7"/>
  <c r="D19" i="7"/>
  <c r="C18" i="7"/>
  <c r="AC18" i="7"/>
  <c r="AB18" i="7"/>
  <c r="AA18" i="7"/>
  <c r="Z18" i="7"/>
  <c r="Y18" i="7"/>
  <c r="X18" i="7"/>
  <c r="W18" i="7"/>
  <c r="V18" i="7"/>
  <c r="U18" i="7"/>
  <c r="S18" i="7"/>
  <c r="R18" i="7"/>
  <c r="Q18" i="7"/>
  <c r="P18" i="7"/>
  <c r="N18" i="7"/>
  <c r="M18" i="7"/>
  <c r="L18" i="7"/>
  <c r="K18" i="7"/>
  <c r="J18" i="7"/>
  <c r="H18" i="7"/>
  <c r="G18" i="7"/>
  <c r="F18" i="7"/>
  <c r="E18" i="7"/>
  <c r="D18" i="7"/>
  <c r="C17" i="7"/>
  <c r="AC17" i="7"/>
  <c r="AB17" i="7"/>
  <c r="AA17" i="7"/>
  <c r="Z17" i="7"/>
  <c r="Y17" i="7"/>
  <c r="X17" i="7"/>
  <c r="W17" i="7"/>
  <c r="V17" i="7"/>
  <c r="U17" i="7"/>
  <c r="S17" i="7"/>
  <c r="R17" i="7"/>
  <c r="Q17" i="7"/>
  <c r="P17" i="7"/>
  <c r="N17" i="7"/>
  <c r="M17" i="7"/>
  <c r="L17" i="7"/>
  <c r="K17" i="7"/>
  <c r="J17" i="7"/>
  <c r="H17" i="7"/>
  <c r="G17" i="7"/>
  <c r="F17" i="7"/>
  <c r="E17" i="7"/>
  <c r="D17" i="7"/>
  <c r="C16" i="7"/>
  <c r="AC16" i="7"/>
  <c r="AB16" i="7"/>
  <c r="AA16" i="7"/>
  <c r="Z16" i="7"/>
  <c r="Y16" i="7"/>
  <c r="X16" i="7"/>
  <c r="W16" i="7"/>
  <c r="V16" i="7"/>
  <c r="U16" i="7"/>
  <c r="S16" i="7"/>
  <c r="R16" i="7"/>
  <c r="Q16" i="7"/>
  <c r="P16" i="7"/>
  <c r="N16" i="7"/>
  <c r="M16" i="7"/>
  <c r="L16" i="7"/>
  <c r="K16" i="7"/>
  <c r="J16" i="7"/>
  <c r="H16" i="7"/>
  <c r="G16" i="7"/>
  <c r="F16" i="7"/>
  <c r="E16" i="7"/>
  <c r="D16" i="7"/>
  <c r="C15" i="7"/>
  <c r="AC15" i="7"/>
  <c r="AB15" i="7"/>
  <c r="AA15" i="7"/>
  <c r="Z15" i="7"/>
  <c r="Y15" i="7"/>
  <c r="X15" i="7"/>
  <c r="W15" i="7"/>
  <c r="V15" i="7"/>
  <c r="U15" i="7"/>
  <c r="S15" i="7"/>
  <c r="R15" i="7"/>
  <c r="Q15" i="7"/>
  <c r="P15" i="7"/>
  <c r="N15" i="7"/>
  <c r="M15" i="7"/>
  <c r="L15" i="7"/>
  <c r="K15" i="7"/>
  <c r="J15" i="7"/>
  <c r="H15" i="7"/>
  <c r="G15" i="7"/>
  <c r="F15" i="7"/>
  <c r="E15" i="7"/>
  <c r="D15" i="7"/>
  <c r="C14" i="7"/>
  <c r="AC14" i="7"/>
  <c r="AB14" i="7"/>
  <c r="AA14" i="7"/>
  <c r="Z14" i="7"/>
  <c r="Y14" i="7"/>
  <c r="X14" i="7"/>
  <c r="W14" i="7"/>
  <c r="V14" i="7"/>
  <c r="U14" i="7"/>
  <c r="S14" i="7"/>
  <c r="R14" i="7"/>
  <c r="Q14" i="7"/>
  <c r="P14" i="7"/>
  <c r="N14" i="7"/>
  <c r="M14" i="7"/>
  <c r="L14" i="7"/>
  <c r="K14" i="7"/>
  <c r="J14" i="7"/>
  <c r="H14" i="7"/>
  <c r="G14" i="7"/>
  <c r="F14" i="7"/>
  <c r="E14" i="7"/>
  <c r="D14" i="7"/>
  <c r="C13" i="7"/>
  <c r="AC13" i="7"/>
  <c r="AB13" i="7"/>
  <c r="AA13" i="7"/>
  <c r="Z13" i="7"/>
  <c r="Y13" i="7"/>
  <c r="X13" i="7"/>
  <c r="W13" i="7"/>
  <c r="V13" i="7"/>
  <c r="U13" i="7"/>
  <c r="S13" i="7"/>
  <c r="R13" i="7"/>
  <c r="Q13" i="7"/>
  <c r="P13" i="7"/>
  <c r="N13" i="7"/>
  <c r="M13" i="7"/>
  <c r="L13" i="7"/>
  <c r="K13" i="7"/>
  <c r="J13" i="7"/>
  <c r="H13" i="7"/>
  <c r="G13" i="7"/>
  <c r="F13" i="7"/>
  <c r="E13" i="7"/>
  <c r="D13" i="7"/>
  <c r="C12" i="7"/>
  <c r="AC12" i="7"/>
  <c r="AB12" i="7"/>
  <c r="AA12" i="7"/>
  <c r="Z12" i="7"/>
  <c r="Y12" i="7"/>
  <c r="X12" i="7"/>
  <c r="W12" i="7"/>
  <c r="V12" i="7"/>
  <c r="U12" i="7"/>
  <c r="S12" i="7"/>
  <c r="R12" i="7"/>
  <c r="Q12" i="7"/>
  <c r="P12" i="7"/>
  <c r="N12" i="7"/>
  <c r="M12" i="7"/>
  <c r="L12" i="7"/>
  <c r="K12" i="7"/>
  <c r="J12" i="7"/>
  <c r="H12" i="7"/>
  <c r="G12" i="7"/>
  <c r="F12" i="7"/>
  <c r="E12" i="7"/>
  <c r="D12" i="7"/>
  <c r="C11" i="7"/>
  <c r="AC11" i="7"/>
  <c r="AB11" i="7"/>
  <c r="AA11" i="7"/>
  <c r="Z11" i="7"/>
  <c r="Y11" i="7"/>
  <c r="X11" i="7"/>
  <c r="W11" i="7"/>
  <c r="V11" i="7"/>
  <c r="U11" i="7"/>
  <c r="S11" i="7"/>
  <c r="R11" i="7"/>
  <c r="Q11" i="7"/>
  <c r="P11" i="7"/>
  <c r="N11" i="7"/>
  <c r="M11" i="7"/>
  <c r="L11" i="7"/>
  <c r="K11" i="7"/>
  <c r="J11" i="7"/>
  <c r="H11" i="7"/>
  <c r="G11" i="7"/>
  <c r="F11" i="7"/>
  <c r="E11" i="7"/>
  <c r="D11" i="7"/>
  <c r="C10" i="7"/>
  <c r="AC10" i="7"/>
  <c r="AB10" i="7"/>
  <c r="AA10" i="7"/>
  <c r="Z10" i="7"/>
  <c r="Y10" i="7"/>
  <c r="X10" i="7"/>
  <c r="W10" i="7"/>
  <c r="V10" i="7"/>
  <c r="U10" i="7"/>
  <c r="S10" i="7"/>
  <c r="R10" i="7"/>
  <c r="Q10" i="7"/>
  <c r="P10" i="7"/>
  <c r="N10" i="7"/>
  <c r="M10" i="7"/>
  <c r="L10" i="7"/>
  <c r="K10" i="7"/>
  <c r="J10" i="7"/>
  <c r="H10" i="7"/>
  <c r="G10" i="7"/>
  <c r="F10" i="7"/>
  <c r="E10" i="7"/>
  <c r="D10" i="7"/>
  <c r="C39" i="10"/>
  <c r="AC39" i="10"/>
  <c r="AB39" i="10"/>
  <c r="Z39" i="10"/>
  <c r="Y39" i="10"/>
  <c r="X39" i="10"/>
  <c r="W39" i="10"/>
  <c r="V39" i="10"/>
  <c r="T39" i="10"/>
  <c r="R39" i="10"/>
  <c r="Q39" i="10"/>
  <c r="P39" i="10"/>
  <c r="O39" i="10"/>
  <c r="M39" i="10"/>
  <c r="L39" i="10"/>
  <c r="K39" i="10"/>
  <c r="I39" i="10"/>
  <c r="E39" i="10"/>
  <c r="D39" i="10"/>
  <c r="C38" i="10"/>
  <c r="AC38" i="10"/>
  <c r="AB38" i="10"/>
  <c r="Z38" i="10"/>
  <c r="Y38" i="10"/>
  <c r="X38" i="10"/>
  <c r="W38" i="10"/>
  <c r="V38" i="10"/>
  <c r="T38" i="10"/>
  <c r="R38" i="10"/>
  <c r="Q38" i="10"/>
  <c r="P38" i="10"/>
  <c r="O38" i="10"/>
  <c r="M38" i="10"/>
  <c r="L38" i="10"/>
  <c r="K38" i="10"/>
  <c r="I38" i="10"/>
  <c r="E38" i="10"/>
  <c r="D38" i="10"/>
  <c r="C37" i="10"/>
  <c r="AC37" i="10"/>
  <c r="AB37" i="10"/>
  <c r="Z37" i="10"/>
  <c r="Y37" i="10"/>
  <c r="X37" i="10"/>
  <c r="W37" i="10"/>
  <c r="V37" i="10"/>
  <c r="T37" i="10"/>
  <c r="R37" i="10"/>
  <c r="Q37" i="10"/>
  <c r="P37" i="10"/>
  <c r="O37" i="10"/>
  <c r="M37" i="10"/>
  <c r="L37" i="10"/>
  <c r="K37" i="10"/>
  <c r="I37" i="10"/>
  <c r="E37" i="10"/>
  <c r="D37" i="10"/>
  <c r="C36" i="10"/>
  <c r="AC36" i="10"/>
  <c r="AB36" i="10"/>
  <c r="Z36" i="10"/>
  <c r="Y36" i="10"/>
  <c r="X36" i="10"/>
  <c r="W36" i="10"/>
  <c r="V36" i="10"/>
  <c r="T36" i="10"/>
  <c r="R36" i="10"/>
  <c r="Q36" i="10"/>
  <c r="P36" i="10"/>
  <c r="O36" i="10"/>
  <c r="M36" i="10"/>
  <c r="L36" i="10"/>
  <c r="K36" i="10"/>
  <c r="I36" i="10"/>
  <c r="E36" i="10"/>
  <c r="D36" i="10"/>
  <c r="C35" i="10"/>
  <c r="AC35" i="10"/>
  <c r="AB35" i="10"/>
  <c r="Z35" i="10"/>
  <c r="Y35" i="10"/>
  <c r="X35" i="10"/>
  <c r="W35" i="10"/>
  <c r="V35" i="10"/>
  <c r="T35" i="10"/>
  <c r="R35" i="10"/>
  <c r="Q35" i="10"/>
  <c r="P35" i="10"/>
  <c r="O35" i="10"/>
  <c r="M35" i="10"/>
  <c r="L35" i="10"/>
  <c r="K35" i="10"/>
  <c r="I35" i="10"/>
  <c r="E35" i="10"/>
  <c r="D35" i="10"/>
  <c r="C34" i="10"/>
  <c r="AC34" i="10"/>
  <c r="AB34" i="10"/>
  <c r="Z34" i="10"/>
  <c r="Y34" i="10"/>
  <c r="X34" i="10"/>
  <c r="W34" i="10"/>
  <c r="V34" i="10"/>
  <c r="T34" i="10"/>
  <c r="R34" i="10"/>
  <c r="Q34" i="10"/>
  <c r="P34" i="10"/>
  <c r="O34" i="10"/>
  <c r="M34" i="10"/>
  <c r="L34" i="10"/>
  <c r="K34" i="10"/>
  <c r="I34" i="10"/>
  <c r="E34" i="10"/>
  <c r="D34" i="10"/>
  <c r="C33" i="10"/>
  <c r="AC33" i="10"/>
  <c r="AB33" i="10"/>
  <c r="Z33" i="10"/>
  <c r="Y33" i="10"/>
  <c r="X33" i="10"/>
  <c r="W33" i="10"/>
  <c r="V33" i="10"/>
  <c r="T33" i="10"/>
  <c r="R33" i="10"/>
  <c r="Q33" i="10"/>
  <c r="P33" i="10"/>
  <c r="O33" i="10"/>
  <c r="M33" i="10"/>
  <c r="L33" i="10"/>
  <c r="K33" i="10"/>
  <c r="I33" i="10"/>
  <c r="E33" i="10"/>
  <c r="D33" i="10"/>
  <c r="C32" i="10"/>
  <c r="AC32" i="10"/>
  <c r="AB32" i="10"/>
  <c r="Z32" i="10"/>
  <c r="Y32" i="10"/>
  <c r="X32" i="10"/>
  <c r="W32" i="10"/>
  <c r="V32" i="10"/>
  <c r="T32" i="10"/>
  <c r="R32" i="10"/>
  <c r="Q32" i="10"/>
  <c r="P32" i="10"/>
  <c r="O32" i="10"/>
  <c r="M32" i="10"/>
  <c r="L32" i="10"/>
  <c r="K32" i="10"/>
  <c r="I32" i="10"/>
  <c r="E32" i="10"/>
  <c r="D32" i="10"/>
  <c r="C31" i="10"/>
  <c r="AC31" i="10"/>
  <c r="AB31" i="10"/>
  <c r="Z31" i="10"/>
  <c r="Y31" i="10"/>
  <c r="X31" i="10"/>
  <c r="W31" i="10"/>
  <c r="V31" i="10"/>
  <c r="T31" i="10"/>
  <c r="R31" i="10"/>
  <c r="Q31" i="10"/>
  <c r="P31" i="10"/>
  <c r="O31" i="10"/>
  <c r="M31" i="10"/>
  <c r="L31" i="10"/>
  <c r="K31" i="10"/>
  <c r="I31" i="10"/>
  <c r="E31" i="10"/>
  <c r="D31" i="10"/>
  <c r="C30" i="10"/>
  <c r="AC30" i="10"/>
  <c r="AB30" i="10"/>
  <c r="Z30" i="10"/>
  <c r="Y30" i="10"/>
  <c r="X30" i="10"/>
  <c r="W30" i="10"/>
  <c r="V30" i="10"/>
  <c r="T30" i="10"/>
  <c r="R30" i="10"/>
  <c r="Q30" i="10"/>
  <c r="P30" i="10"/>
  <c r="O30" i="10"/>
  <c r="M30" i="10"/>
  <c r="L30" i="10"/>
  <c r="K30" i="10"/>
  <c r="I30" i="10"/>
  <c r="E30" i="10"/>
  <c r="D30" i="10"/>
  <c r="C29" i="10"/>
  <c r="AC29" i="10"/>
  <c r="AB29" i="10"/>
  <c r="Z29" i="10"/>
  <c r="Y29" i="10"/>
  <c r="X29" i="10"/>
  <c r="W29" i="10"/>
  <c r="V29" i="10"/>
  <c r="T29" i="10"/>
  <c r="R29" i="10"/>
  <c r="Q29" i="10"/>
  <c r="P29" i="10"/>
  <c r="O29" i="10"/>
  <c r="M29" i="10"/>
  <c r="L29" i="10"/>
  <c r="K29" i="10"/>
  <c r="I29" i="10"/>
  <c r="E29" i="10"/>
  <c r="D29" i="10"/>
  <c r="C28" i="10"/>
  <c r="AC28" i="10"/>
  <c r="AB28" i="10"/>
  <c r="Z28" i="10"/>
  <c r="Y28" i="10"/>
  <c r="X28" i="10"/>
  <c r="W28" i="10"/>
  <c r="V28" i="10"/>
  <c r="T28" i="10"/>
  <c r="R28" i="10"/>
  <c r="Q28" i="10"/>
  <c r="P28" i="10"/>
  <c r="O28" i="10"/>
  <c r="M28" i="10"/>
  <c r="L28" i="10"/>
  <c r="K28" i="10"/>
  <c r="I28" i="10"/>
  <c r="E28" i="10"/>
  <c r="D28" i="10"/>
  <c r="C27" i="10"/>
  <c r="AC27" i="10"/>
  <c r="AB27" i="10"/>
  <c r="Z27" i="10"/>
  <c r="Y27" i="10"/>
  <c r="X27" i="10"/>
  <c r="W27" i="10"/>
  <c r="V27" i="10"/>
  <c r="T27" i="10"/>
  <c r="R27" i="10"/>
  <c r="Q27" i="10"/>
  <c r="P27" i="10"/>
  <c r="O27" i="10"/>
  <c r="M27" i="10"/>
  <c r="L27" i="10"/>
  <c r="K27" i="10"/>
  <c r="I27" i="10"/>
  <c r="E27" i="10"/>
  <c r="D27" i="10"/>
  <c r="C26" i="10"/>
  <c r="AC26" i="10"/>
  <c r="AB26" i="10"/>
  <c r="Z26" i="10"/>
  <c r="Y26" i="10"/>
  <c r="X26" i="10"/>
  <c r="W26" i="10"/>
  <c r="V26" i="10"/>
  <c r="T26" i="10"/>
  <c r="R26" i="10"/>
  <c r="Q26" i="10"/>
  <c r="P26" i="10"/>
  <c r="O26" i="10"/>
  <c r="M26" i="10"/>
  <c r="L26" i="10"/>
  <c r="K26" i="10"/>
  <c r="I26" i="10"/>
  <c r="E26" i="10"/>
  <c r="D26" i="10"/>
  <c r="C25" i="10"/>
  <c r="AC25" i="10"/>
  <c r="AB25" i="10"/>
  <c r="Z25" i="10"/>
  <c r="Y25" i="10"/>
  <c r="X25" i="10"/>
  <c r="W25" i="10"/>
  <c r="V25" i="10"/>
  <c r="T25" i="10"/>
  <c r="R25" i="10"/>
  <c r="Q25" i="10"/>
  <c r="P25" i="10"/>
  <c r="O25" i="10"/>
  <c r="M25" i="10"/>
  <c r="L25" i="10"/>
  <c r="K25" i="10"/>
  <c r="I25" i="10"/>
  <c r="E25" i="10"/>
  <c r="D25" i="10"/>
  <c r="C24" i="10"/>
  <c r="AC24" i="10"/>
  <c r="AB24" i="10"/>
  <c r="Z24" i="10"/>
  <c r="Y24" i="10"/>
  <c r="X24" i="10"/>
  <c r="W24" i="10"/>
  <c r="V24" i="10"/>
  <c r="T24" i="10"/>
  <c r="R24" i="10"/>
  <c r="Q24" i="10"/>
  <c r="P24" i="10"/>
  <c r="O24" i="10"/>
  <c r="M24" i="10"/>
  <c r="L24" i="10"/>
  <c r="K24" i="10"/>
  <c r="I24" i="10"/>
  <c r="E24" i="10"/>
  <c r="D24" i="10"/>
  <c r="C23" i="10"/>
  <c r="AC23" i="10"/>
  <c r="AB23" i="10"/>
  <c r="Z23" i="10"/>
  <c r="Y23" i="10"/>
  <c r="X23" i="10"/>
  <c r="W23" i="10"/>
  <c r="V23" i="10"/>
  <c r="T23" i="10"/>
  <c r="R23" i="10"/>
  <c r="Q23" i="10"/>
  <c r="P23" i="10"/>
  <c r="O23" i="10"/>
  <c r="M23" i="10"/>
  <c r="L23" i="10"/>
  <c r="K23" i="10"/>
  <c r="I23" i="10"/>
  <c r="E23" i="10"/>
  <c r="D23" i="10"/>
  <c r="C22" i="10"/>
  <c r="AC22" i="10"/>
  <c r="AB22" i="10"/>
  <c r="Z22" i="10"/>
  <c r="Y22" i="10"/>
  <c r="X22" i="10"/>
  <c r="W22" i="10"/>
  <c r="V22" i="10"/>
  <c r="T22" i="10"/>
  <c r="R22" i="10"/>
  <c r="Q22" i="10"/>
  <c r="P22" i="10"/>
  <c r="O22" i="10"/>
  <c r="M22" i="10"/>
  <c r="L22" i="10"/>
  <c r="K22" i="10"/>
  <c r="I22" i="10"/>
  <c r="E22" i="10"/>
  <c r="D22" i="10"/>
  <c r="C21" i="10"/>
  <c r="AC21" i="10"/>
  <c r="AB21" i="10"/>
  <c r="Z21" i="10"/>
  <c r="Y21" i="10"/>
  <c r="X21" i="10"/>
  <c r="W21" i="10"/>
  <c r="V21" i="10"/>
  <c r="T21" i="10"/>
  <c r="R21" i="10"/>
  <c r="Q21" i="10"/>
  <c r="P21" i="10"/>
  <c r="O21" i="10"/>
  <c r="M21" i="10"/>
  <c r="L21" i="10"/>
  <c r="K21" i="10"/>
  <c r="I21" i="10"/>
  <c r="E21" i="10"/>
  <c r="D21" i="10"/>
  <c r="C20" i="10"/>
  <c r="AC20" i="10"/>
  <c r="AB20" i="10"/>
  <c r="Z20" i="10"/>
  <c r="Y20" i="10"/>
  <c r="X20" i="10"/>
  <c r="W20" i="10"/>
  <c r="V20" i="10"/>
  <c r="T20" i="10"/>
  <c r="R20" i="10"/>
  <c r="Q20" i="10"/>
  <c r="P20" i="10"/>
  <c r="O20" i="10"/>
  <c r="M20" i="10"/>
  <c r="L20" i="10"/>
  <c r="K20" i="10"/>
  <c r="I20" i="10"/>
  <c r="E20" i="10"/>
  <c r="D20" i="10"/>
  <c r="C19" i="10"/>
  <c r="AC19" i="10"/>
  <c r="AB19" i="10"/>
  <c r="Z19" i="10"/>
  <c r="Y19" i="10"/>
  <c r="X19" i="10"/>
  <c r="W19" i="10"/>
  <c r="V19" i="10"/>
  <c r="T19" i="10"/>
  <c r="R19" i="10"/>
  <c r="Q19" i="10"/>
  <c r="P19" i="10"/>
  <c r="O19" i="10"/>
  <c r="M19" i="10"/>
  <c r="L19" i="10"/>
  <c r="K19" i="10"/>
  <c r="I19" i="10"/>
  <c r="E19" i="10"/>
  <c r="D19" i="10"/>
  <c r="C18" i="10"/>
  <c r="AC18" i="10"/>
  <c r="AB18" i="10"/>
  <c r="Z18" i="10"/>
  <c r="Y18" i="10"/>
  <c r="X18" i="10"/>
  <c r="W18" i="10"/>
  <c r="V18" i="10"/>
  <c r="T18" i="10"/>
  <c r="R18" i="10"/>
  <c r="Q18" i="10"/>
  <c r="P18" i="10"/>
  <c r="O18" i="10"/>
  <c r="M18" i="10"/>
  <c r="L18" i="10"/>
  <c r="K18" i="10"/>
  <c r="I18" i="10"/>
  <c r="E18" i="10"/>
  <c r="D18" i="10"/>
  <c r="C17" i="10"/>
  <c r="AC17" i="10"/>
  <c r="AB17" i="10"/>
  <c r="Z17" i="10"/>
  <c r="Y17" i="10"/>
  <c r="X17" i="10"/>
  <c r="W17" i="10"/>
  <c r="V17" i="10"/>
  <c r="T17" i="10"/>
  <c r="R17" i="10"/>
  <c r="Q17" i="10"/>
  <c r="P17" i="10"/>
  <c r="O17" i="10"/>
  <c r="M17" i="10"/>
  <c r="L17" i="10"/>
  <c r="K17" i="10"/>
  <c r="I17" i="10"/>
  <c r="E17" i="10"/>
  <c r="D17" i="10"/>
  <c r="C16" i="10"/>
  <c r="AC16" i="10"/>
  <c r="AB16" i="10"/>
  <c r="Z16" i="10"/>
  <c r="Y16" i="10"/>
  <c r="X16" i="10"/>
  <c r="W16" i="10"/>
  <c r="V16" i="10"/>
  <c r="T16" i="10"/>
  <c r="R16" i="10"/>
  <c r="Q16" i="10"/>
  <c r="P16" i="10"/>
  <c r="O16" i="10"/>
  <c r="M16" i="10"/>
  <c r="L16" i="10"/>
  <c r="K16" i="10"/>
  <c r="I16" i="10"/>
  <c r="E16" i="10"/>
  <c r="D16" i="10"/>
  <c r="C15" i="10"/>
  <c r="AC15" i="10"/>
  <c r="AB15" i="10"/>
  <c r="Z15" i="10"/>
  <c r="Y15" i="10"/>
  <c r="X15" i="10"/>
  <c r="W15" i="10"/>
  <c r="V15" i="10"/>
  <c r="T15" i="10"/>
  <c r="R15" i="10"/>
  <c r="Q15" i="10"/>
  <c r="P15" i="10"/>
  <c r="O15" i="10"/>
  <c r="M15" i="10"/>
  <c r="L15" i="10"/>
  <c r="K15" i="10"/>
  <c r="I15" i="10"/>
  <c r="E15" i="10"/>
  <c r="D15" i="10"/>
  <c r="C14" i="10"/>
  <c r="AC14" i="10"/>
  <c r="AB14" i="10"/>
  <c r="Z14" i="10"/>
  <c r="Y14" i="10"/>
  <c r="X14" i="10"/>
  <c r="W14" i="10"/>
  <c r="V14" i="10"/>
  <c r="T14" i="10"/>
  <c r="R14" i="10"/>
  <c r="Q14" i="10"/>
  <c r="P14" i="10"/>
  <c r="O14" i="10"/>
  <c r="M14" i="10"/>
  <c r="L14" i="10"/>
  <c r="K14" i="10"/>
  <c r="I14" i="10"/>
  <c r="E14" i="10"/>
  <c r="D14" i="10"/>
  <c r="C13" i="10"/>
  <c r="AC13" i="10"/>
  <c r="AB13" i="10"/>
  <c r="Z13" i="10"/>
  <c r="Y13" i="10"/>
  <c r="X13" i="10"/>
  <c r="W13" i="10"/>
  <c r="V13" i="10"/>
  <c r="T13" i="10"/>
  <c r="R13" i="10"/>
  <c r="Q13" i="10"/>
  <c r="P13" i="10"/>
  <c r="O13" i="10"/>
  <c r="M13" i="10"/>
  <c r="L13" i="10"/>
  <c r="K13" i="10"/>
  <c r="I13" i="10"/>
  <c r="E13" i="10"/>
  <c r="D13" i="10"/>
  <c r="C12" i="10"/>
  <c r="AC12" i="10"/>
  <c r="AB12" i="10"/>
  <c r="Z12" i="10"/>
  <c r="Y12" i="10"/>
  <c r="X12" i="10"/>
  <c r="W12" i="10"/>
  <c r="V12" i="10"/>
  <c r="T12" i="10"/>
  <c r="R12" i="10"/>
  <c r="Q12" i="10"/>
  <c r="P12" i="10"/>
  <c r="O12" i="10"/>
  <c r="M12" i="10"/>
  <c r="L12" i="10"/>
  <c r="K12" i="10"/>
  <c r="I12" i="10"/>
  <c r="E12" i="10"/>
  <c r="D12" i="10"/>
  <c r="C11" i="10"/>
  <c r="AC11" i="10"/>
  <c r="AB11" i="10"/>
  <c r="Z11" i="10"/>
  <c r="Y11" i="10"/>
  <c r="X11" i="10"/>
  <c r="W11" i="10"/>
  <c r="V11" i="10"/>
  <c r="T11" i="10"/>
  <c r="R11" i="10"/>
  <c r="Q11" i="10"/>
  <c r="P11" i="10"/>
  <c r="O11" i="10"/>
  <c r="M11" i="10"/>
  <c r="L11" i="10"/>
  <c r="K11" i="10"/>
  <c r="I11" i="10"/>
  <c r="E11" i="10"/>
  <c r="D11" i="10"/>
  <c r="C10" i="10"/>
  <c r="AC10" i="10"/>
  <c r="AB10" i="10"/>
  <c r="Z10" i="10"/>
  <c r="Y10" i="10"/>
  <c r="X10" i="10"/>
  <c r="W10" i="10"/>
  <c r="V10" i="10"/>
  <c r="T10" i="10"/>
  <c r="R10" i="10"/>
  <c r="Q10" i="10"/>
  <c r="P10" i="10"/>
  <c r="O10" i="10"/>
  <c r="M10" i="10"/>
  <c r="L10" i="10"/>
  <c r="K10" i="10"/>
  <c r="I10" i="10"/>
  <c r="E10" i="10"/>
  <c r="D10" i="10"/>
  <c r="B35" i="6"/>
  <c r="I35" i="6"/>
  <c r="H35" i="6"/>
  <c r="G35" i="6"/>
  <c r="F35" i="6"/>
  <c r="E35" i="6"/>
  <c r="D35" i="6"/>
  <c r="C35" i="6"/>
  <c r="A35" i="6"/>
  <c r="B34" i="6"/>
  <c r="I34" i="6"/>
  <c r="H34" i="6"/>
  <c r="G34" i="6"/>
  <c r="F34" i="6"/>
  <c r="E34" i="6"/>
  <c r="D34" i="6"/>
  <c r="C34" i="6"/>
  <c r="A34" i="6"/>
  <c r="B33" i="6"/>
  <c r="I33" i="6"/>
  <c r="H33" i="6"/>
  <c r="G33" i="6"/>
  <c r="F33" i="6"/>
  <c r="E33" i="6"/>
  <c r="D33" i="6"/>
  <c r="C33" i="6"/>
  <c r="A33" i="6"/>
  <c r="B32" i="6"/>
  <c r="I32" i="6"/>
  <c r="H32" i="6"/>
  <c r="G32" i="6"/>
  <c r="F32" i="6"/>
  <c r="E32" i="6"/>
  <c r="D32" i="6"/>
  <c r="C32" i="6"/>
  <c r="A32" i="6"/>
  <c r="B31" i="6"/>
  <c r="I31" i="6"/>
  <c r="H31" i="6"/>
  <c r="G31" i="6"/>
  <c r="F31" i="6"/>
  <c r="E31" i="6"/>
  <c r="D31" i="6"/>
  <c r="C31" i="6"/>
  <c r="A31" i="6"/>
  <c r="B30" i="6"/>
  <c r="I30" i="6"/>
  <c r="H30" i="6"/>
  <c r="G30" i="6"/>
  <c r="F30" i="6"/>
  <c r="E30" i="6"/>
  <c r="D30" i="6"/>
  <c r="C30" i="6"/>
  <c r="A30" i="6"/>
  <c r="B29" i="6"/>
  <c r="I29" i="6"/>
  <c r="H29" i="6"/>
  <c r="G29" i="6"/>
  <c r="F29" i="6"/>
  <c r="E29" i="6"/>
  <c r="D29" i="6"/>
  <c r="C29" i="6"/>
  <c r="A29" i="6"/>
  <c r="B28" i="6"/>
  <c r="I28" i="6"/>
  <c r="H28" i="6"/>
  <c r="G28" i="6"/>
  <c r="F28" i="6"/>
  <c r="E28" i="6"/>
  <c r="D28" i="6"/>
  <c r="C28" i="6"/>
  <c r="A28" i="6"/>
  <c r="B27" i="6"/>
  <c r="I27" i="6"/>
  <c r="H27" i="6"/>
  <c r="G27" i="6"/>
  <c r="F27" i="6"/>
  <c r="E27" i="6"/>
  <c r="D27" i="6"/>
  <c r="C27" i="6"/>
  <c r="A27" i="6"/>
  <c r="B26" i="6"/>
  <c r="I26" i="6"/>
  <c r="H26" i="6"/>
  <c r="G26" i="6"/>
  <c r="F26" i="6"/>
  <c r="E26" i="6"/>
  <c r="D26" i="6"/>
  <c r="C26" i="6"/>
  <c r="A26" i="6"/>
  <c r="B25" i="6"/>
  <c r="I25" i="6"/>
  <c r="H25" i="6"/>
  <c r="G25" i="6"/>
  <c r="F25" i="6"/>
  <c r="E25" i="6"/>
  <c r="D25" i="6"/>
  <c r="C25" i="6"/>
  <c r="A25" i="6"/>
  <c r="B24" i="6"/>
  <c r="I24" i="6"/>
  <c r="H24" i="6"/>
  <c r="G24" i="6"/>
  <c r="F24" i="6"/>
  <c r="E24" i="6"/>
  <c r="D24" i="6"/>
  <c r="C24" i="6"/>
  <c r="A24" i="6"/>
  <c r="B23" i="6"/>
  <c r="I23" i="6"/>
  <c r="H23" i="6"/>
  <c r="G23" i="6"/>
  <c r="F23" i="6"/>
  <c r="E23" i="6"/>
  <c r="D23" i="6"/>
  <c r="C23" i="6"/>
  <c r="A23" i="6"/>
  <c r="B22" i="6"/>
  <c r="I22" i="6"/>
  <c r="H22" i="6"/>
  <c r="G22" i="6"/>
  <c r="F22" i="6"/>
  <c r="E22" i="6"/>
  <c r="D22" i="6"/>
  <c r="C22" i="6"/>
  <c r="A22" i="6"/>
  <c r="B21" i="6"/>
  <c r="I21" i="6"/>
  <c r="H21" i="6"/>
  <c r="G21" i="6"/>
  <c r="F21" i="6"/>
  <c r="E21" i="6"/>
  <c r="D21" i="6"/>
  <c r="C21" i="6"/>
  <c r="A21" i="6"/>
  <c r="B20" i="6"/>
  <c r="I20" i="6"/>
  <c r="H20" i="6"/>
  <c r="G20" i="6"/>
  <c r="F20" i="6"/>
  <c r="E20" i="6"/>
  <c r="D20" i="6"/>
  <c r="C20" i="6"/>
  <c r="A20" i="6"/>
  <c r="B19" i="6"/>
  <c r="I19" i="6"/>
  <c r="H19" i="6"/>
  <c r="G19" i="6"/>
  <c r="F19" i="6"/>
  <c r="E19" i="6"/>
  <c r="D19" i="6"/>
  <c r="C19" i="6"/>
  <c r="A19" i="6"/>
  <c r="B18" i="6"/>
  <c r="I18" i="6"/>
  <c r="H18" i="6"/>
  <c r="G18" i="6"/>
  <c r="F18" i="6"/>
  <c r="E18" i="6"/>
  <c r="D18" i="6"/>
  <c r="C18" i="6"/>
  <c r="A18" i="6"/>
  <c r="B17" i="6"/>
  <c r="I17" i="6"/>
  <c r="H17" i="6"/>
  <c r="G17" i="6"/>
  <c r="F17" i="6"/>
  <c r="E17" i="6"/>
  <c r="D17" i="6"/>
  <c r="C17" i="6"/>
  <c r="A17" i="6"/>
  <c r="B16" i="6"/>
  <c r="I16" i="6"/>
  <c r="H16" i="6"/>
  <c r="G16" i="6"/>
  <c r="F16" i="6"/>
  <c r="E16" i="6"/>
  <c r="D16" i="6"/>
  <c r="C16" i="6"/>
  <c r="A16" i="6"/>
  <c r="B15" i="6"/>
  <c r="I15" i="6"/>
  <c r="H15" i="6"/>
  <c r="G15" i="6"/>
  <c r="F15" i="6"/>
  <c r="E15" i="6"/>
  <c r="D15" i="6"/>
  <c r="C15" i="6"/>
  <c r="A15" i="6"/>
  <c r="B14" i="6"/>
  <c r="I14" i="6"/>
  <c r="H14" i="6"/>
  <c r="G14" i="6"/>
  <c r="F14" i="6"/>
  <c r="E14" i="6"/>
  <c r="D14" i="6"/>
  <c r="C14" i="6"/>
  <c r="A14" i="6"/>
  <c r="B13" i="6"/>
  <c r="I13" i="6"/>
  <c r="H13" i="6"/>
  <c r="G13" i="6"/>
  <c r="F13" i="6"/>
  <c r="E13" i="6"/>
  <c r="D13" i="6"/>
  <c r="C13" i="6"/>
  <c r="A13" i="6"/>
  <c r="B12" i="6"/>
  <c r="I12" i="6"/>
  <c r="H12" i="6"/>
  <c r="G12" i="6"/>
  <c r="F12" i="6"/>
  <c r="E12" i="6"/>
  <c r="D12" i="6"/>
  <c r="C12" i="6"/>
  <c r="A12" i="6"/>
  <c r="B11" i="6"/>
  <c r="I11" i="6"/>
  <c r="H11" i="6"/>
  <c r="G11" i="6"/>
  <c r="F11" i="6"/>
  <c r="E11" i="6"/>
  <c r="D11" i="6"/>
  <c r="C11" i="6"/>
  <c r="A11" i="6"/>
  <c r="B10" i="6"/>
  <c r="I10" i="6"/>
  <c r="H10" i="6"/>
  <c r="G10" i="6"/>
  <c r="F10" i="6"/>
  <c r="E10" i="6"/>
  <c r="D10" i="6"/>
  <c r="C10" i="6"/>
  <c r="A10" i="6"/>
  <c r="B9" i="6"/>
  <c r="I9" i="6"/>
  <c r="H9" i="6"/>
  <c r="G9" i="6"/>
  <c r="F9" i="6"/>
  <c r="E9" i="6"/>
  <c r="D9" i="6"/>
  <c r="C9" i="6"/>
  <c r="A9" i="6"/>
  <c r="B8" i="6"/>
  <c r="I8" i="6"/>
  <c r="H8" i="6"/>
  <c r="G8" i="6"/>
  <c r="F8" i="6"/>
  <c r="E8" i="6"/>
  <c r="D8" i="6"/>
  <c r="C8" i="6"/>
  <c r="A8" i="6"/>
  <c r="B7" i="6"/>
  <c r="I7" i="6"/>
  <c r="H7" i="6"/>
  <c r="G7" i="6"/>
  <c r="F7" i="6"/>
  <c r="E7" i="6"/>
  <c r="D7" i="6"/>
  <c r="C7" i="6"/>
  <c r="A7" i="6"/>
  <c r="B6" i="6"/>
  <c r="I6" i="6"/>
  <c r="H6" i="6"/>
  <c r="G6" i="6"/>
  <c r="F6" i="6"/>
  <c r="E6" i="6"/>
  <c r="D6" i="6"/>
  <c r="C6" i="6"/>
  <c r="A6" i="6"/>
  <c r="I47" i="10"/>
  <c r="K46" i="7"/>
  <c r="L46" i="7"/>
  <c r="M46" i="7"/>
  <c r="N46" i="7"/>
  <c r="J46" i="7"/>
  <c r="T44" i="9"/>
  <c r="T45" i="9"/>
  <c r="T47" i="9"/>
  <c r="T48" i="9"/>
  <c r="S44" i="9"/>
  <c r="S48" i="9"/>
  <c r="S47" i="9"/>
  <c r="S45" i="9"/>
  <c r="U44" i="9"/>
  <c r="U48" i="9"/>
  <c r="U47" i="9"/>
  <c r="U45" i="9"/>
  <c r="R45" i="8"/>
  <c r="R48" i="8"/>
  <c r="R47" i="8"/>
  <c r="R44" i="8"/>
  <c r="Q44" i="9"/>
  <c r="Q45" i="9"/>
  <c r="Q48" i="9"/>
  <c r="Q47" i="9"/>
  <c r="L44" i="8"/>
  <c r="L48" i="8"/>
  <c r="L45" i="8"/>
  <c r="L47" i="8"/>
  <c r="U44" i="8"/>
  <c r="U47" i="8"/>
  <c r="U48" i="8"/>
  <c r="U45" i="8"/>
  <c r="L47" i="9"/>
  <c r="L44" i="9"/>
  <c r="L45" i="9"/>
  <c r="L48" i="9"/>
  <c r="K44" i="9"/>
  <c r="K45" i="9"/>
  <c r="K48" i="9"/>
  <c r="K47" i="9"/>
  <c r="G48" i="9"/>
  <c r="G45" i="9"/>
  <c r="G44" i="9"/>
  <c r="G47" i="9"/>
  <c r="T47" i="10"/>
  <c r="T44" i="10"/>
  <c r="T48" i="10"/>
  <c r="T45" i="10"/>
  <c r="X45" i="9"/>
  <c r="X47" i="9"/>
  <c r="X44" i="9"/>
  <c r="X48" i="9"/>
  <c r="H47" i="9"/>
  <c r="H44" i="9"/>
  <c r="H45" i="9"/>
  <c r="H48" i="9"/>
  <c r="AA44" i="8"/>
  <c r="AA48" i="8"/>
  <c r="AA45" i="8"/>
  <c r="AA47" i="8"/>
  <c r="V47" i="9"/>
  <c r="V44" i="9"/>
  <c r="V45" i="9"/>
  <c r="V48" i="9"/>
  <c r="M48" i="9"/>
  <c r="M47" i="9"/>
  <c r="M44" i="9"/>
  <c r="M45" i="9"/>
  <c r="V44" i="8"/>
  <c r="V47" i="8"/>
  <c r="V48" i="8"/>
  <c r="V45" i="8"/>
  <c r="P47" i="8"/>
  <c r="P48" i="8"/>
  <c r="P45" i="8"/>
  <c r="P44" i="8"/>
  <c r="Z45" i="8"/>
  <c r="Z44" i="8"/>
  <c r="Z48" i="8"/>
  <c r="Z47" i="8"/>
  <c r="K44" i="8"/>
  <c r="K45" i="8"/>
  <c r="K48" i="8"/>
  <c r="K47" i="8"/>
  <c r="W45" i="8"/>
  <c r="W47" i="8"/>
  <c r="W44" i="8"/>
  <c r="W48" i="8"/>
  <c r="O48" i="9"/>
  <c r="O45" i="9"/>
  <c r="O47" i="9"/>
  <c r="O44" i="9"/>
  <c r="G44" i="8"/>
  <c r="G47" i="8"/>
  <c r="G45" i="8"/>
  <c r="G48" i="8"/>
  <c r="M45" i="8"/>
  <c r="M47" i="8"/>
  <c r="M44" i="8"/>
  <c r="M48" i="8"/>
  <c r="P44" i="9"/>
  <c r="P45" i="9"/>
  <c r="P48" i="9"/>
  <c r="P47" i="9"/>
  <c r="Y48" i="9"/>
  <c r="Y47" i="9"/>
  <c r="Y44" i="9"/>
  <c r="Y45" i="9"/>
  <c r="Q47" i="8"/>
  <c r="Q45" i="8"/>
  <c r="Q48" i="8"/>
  <c r="Q44" i="8"/>
  <c r="I47" i="9"/>
  <c r="I44" i="9"/>
  <c r="I45" i="9"/>
  <c r="I48" i="9"/>
  <c r="Y45" i="8"/>
  <c r="Y44" i="8"/>
  <c r="Y47" i="8"/>
  <c r="Y48" i="8"/>
  <c r="O45" i="8"/>
  <c r="O48" i="8"/>
  <c r="O44" i="8"/>
  <c r="O47" i="8"/>
  <c r="H44" i="8"/>
  <c r="H45" i="8"/>
  <c r="H47" i="8"/>
  <c r="H48" i="8"/>
  <c r="S45" i="8"/>
  <c r="S48" i="8"/>
  <c r="S44" i="8"/>
  <c r="S47" i="8"/>
  <c r="I47" i="8"/>
  <c r="I44" i="8"/>
  <c r="I45" i="8"/>
  <c r="I48" i="8"/>
  <c r="V44" i="7"/>
  <c r="V48" i="7"/>
  <c r="V49" i="7"/>
  <c r="V45" i="7"/>
  <c r="U44" i="7"/>
  <c r="U45" i="7"/>
  <c r="U48" i="7"/>
  <c r="U49" i="7"/>
  <c r="Y44" i="7"/>
  <c r="Y48" i="7"/>
  <c r="Y45" i="7"/>
  <c r="Y49" i="7"/>
  <c r="Q48" i="7"/>
  <c r="Q49" i="7"/>
  <c r="Q44" i="7"/>
  <c r="Q45" i="7"/>
  <c r="R45" i="7"/>
  <c r="R49" i="7"/>
  <c r="R44" i="7"/>
  <c r="R48" i="7"/>
  <c r="P49" i="7"/>
  <c r="P45" i="7"/>
  <c r="P44" i="7"/>
  <c r="P48" i="7"/>
  <c r="Z44" i="7"/>
  <c r="Z45" i="7"/>
  <c r="Z48" i="7"/>
  <c r="Z49" i="7"/>
  <c r="S44" i="7"/>
  <c r="S45" i="7"/>
  <c r="S48" i="7"/>
  <c r="S49" i="7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Q46" i="7"/>
  <c r="P46" i="7"/>
  <c r="R46" i="7"/>
  <c r="S46" i="7"/>
  <c r="W45" i="7"/>
  <c r="W44" i="7"/>
  <c r="W49" i="7"/>
  <c r="W48" i="7"/>
  <c r="K48" i="10"/>
  <c r="K47" i="10"/>
  <c r="Q47" i="10"/>
  <c r="Q48" i="10"/>
  <c r="Y48" i="10"/>
  <c r="Y47" i="10"/>
  <c r="AC47" i="10"/>
  <c r="AC48" i="10"/>
  <c r="I48" i="10"/>
  <c r="AA49" i="7"/>
  <c r="AA48" i="7"/>
  <c r="X47" i="10"/>
  <c r="X48" i="10"/>
  <c r="O47" i="10"/>
  <c r="O48" i="10"/>
  <c r="W47" i="10"/>
  <c r="W48" i="10"/>
  <c r="E47" i="9"/>
  <c r="E48" i="9"/>
  <c r="AB48" i="10"/>
  <c r="AB47" i="10"/>
  <c r="P48" i="10"/>
  <c r="P47" i="10"/>
  <c r="AC49" i="7"/>
  <c r="AC48" i="7"/>
  <c r="R47" i="10"/>
  <c r="R48" i="10"/>
  <c r="V48" i="10"/>
  <c r="V47" i="10"/>
  <c r="Z47" i="10"/>
  <c r="Z48" i="10"/>
  <c r="L47" i="10"/>
  <c r="L48" i="10"/>
  <c r="AB49" i="7"/>
  <c r="AB48" i="7"/>
  <c r="X49" i="7"/>
  <c r="X44" i="7"/>
  <c r="X48" i="7"/>
  <c r="X45" i="7"/>
  <c r="M48" i="10"/>
  <c r="M47" i="10"/>
  <c r="G21" i="10"/>
  <c r="F12" i="10"/>
  <c r="G36" i="10"/>
  <c r="B13" i="8"/>
  <c r="B13" i="10"/>
  <c r="B13" i="7"/>
  <c r="B13" i="9"/>
  <c r="F13" i="10"/>
  <c r="B34" i="10"/>
  <c r="B34" i="9"/>
  <c r="B34" i="7"/>
  <c r="B34" i="8"/>
  <c r="F16" i="10"/>
  <c r="G10" i="10"/>
  <c r="F17" i="10"/>
  <c r="B26" i="10"/>
  <c r="B26" i="8"/>
  <c r="B26" i="7"/>
  <c r="B26" i="9"/>
  <c r="B38" i="8"/>
  <c r="B38" i="7"/>
  <c r="B38" i="10"/>
  <c r="B38" i="9"/>
  <c r="F39" i="10"/>
  <c r="F25" i="10"/>
  <c r="G33" i="10"/>
  <c r="W45" i="10"/>
  <c r="W44" i="10"/>
  <c r="Y45" i="10"/>
  <c r="Y44" i="10"/>
  <c r="B12" i="7"/>
  <c r="B12" i="10"/>
  <c r="B12" i="8"/>
  <c r="B12" i="9"/>
  <c r="G27" i="10"/>
  <c r="G13" i="10"/>
  <c r="F36" i="10"/>
  <c r="F27" i="10"/>
  <c r="B33" i="7"/>
  <c r="B33" i="9"/>
  <c r="B33" i="10"/>
  <c r="B33" i="8"/>
  <c r="F20" i="10"/>
  <c r="B24" i="8"/>
  <c r="B24" i="7"/>
  <c r="B24" i="9"/>
  <c r="B24" i="10"/>
  <c r="G32" i="10"/>
  <c r="G38" i="10"/>
  <c r="F24" i="10"/>
  <c r="R44" i="10"/>
  <c r="R45" i="10"/>
  <c r="AA45" i="7"/>
  <c r="AA44" i="7"/>
  <c r="B17" i="7"/>
  <c r="B17" i="10"/>
  <c r="B17" i="8"/>
  <c r="B17" i="9"/>
  <c r="G24" i="10"/>
  <c r="I45" i="10"/>
  <c r="I44" i="10"/>
  <c r="F29" i="10"/>
  <c r="G11" i="10"/>
  <c r="B27" i="8"/>
  <c r="B27" i="9"/>
  <c r="B27" i="7"/>
  <c r="B27" i="10"/>
  <c r="F11" i="10"/>
  <c r="B28" i="8"/>
  <c r="B28" i="9"/>
  <c r="B28" i="7"/>
  <c r="B28" i="10"/>
  <c r="F18" i="10"/>
  <c r="G30" i="10"/>
  <c r="B16" i="7"/>
  <c r="B16" i="9"/>
  <c r="B16" i="8"/>
  <c r="B16" i="10"/>
  <c r="F26" i="10"/>
  <c r="B31" i="8"/>
  <c r="B31" i="7"/>
  <c r="B31" i="10"/>
  <c r="B31" i="9"/>
  <c r="F21" i="10"/>
  <c r="B20" i="9"/>
  <c r="B20" i="8"/>
  <c r="B20" i="7"/>
  <c r="B20" i="10"/>
  <c r="B29" i="10"/>
  <c r="B29" i="8"/>
  <c r="B29" i="9"/>
  <c r="B29" i="7"/>
  <c r="B18" i="8"/>
  <c r="B18" i="10"/>
  <c r="B18" i="7"/>
  <c r="B18" i="9"/>
  <c r="F22" i="10"/>
  <c r="G34" i="10"/>
  <c r="F35" i="10"/>
  <c r="B32" i="10"/>
  <c r="B32" i="9"/>
  <c r="B32" i="7"/>
  <c r="B32" i="8"/>
  <c r="F14" i="10"/>
  <c r="G15" i="10"/>
  <c r="G20" i="10"/>
  <c r="B25" i="10"/>
  <c r="B25" i="9"/>
  <c r="B25" i="8"/>
  <c r="B25" i="7"/>
  <c r="B39" i="9"/>
  <c r="B39" i="8"/>
  <c r="B39" i="7"/>
  <c r="B39" i="10"/>
  <c r="F30" i="10"/>
  <c r="G29" i="10"/>
  <c r="G28" i="10"/>
  <c r="G31" i="10"/>
  <c r="B37" i="9"/>
  <c r="B37" i="10"/>
  <c r="B37" i="7"/>
  <c r="B37" i="8"/>
  <c r="F15" i="10"/>
  <c r="G12" i="10"/>
  <c r="F38" i="10"/>
  <c r="F10" i="10"/>
  <c r="F37" i="10"/>
  <c r="F32" i="10"/>
  <c r="P45" i="10"/>
  <c r="P44" i="10"/>
  <c r="B10" i="8"/>
  <c r="B10" i="9"/>
  <c r="B10" i="7"/>
  <c r="B10" i="10"/>
  <c r="B11" i="9"/>
  <c r="B11" i="10"/>
  <c r="B11" i="7"/>
  <c r="B11" i="8"/>
  <c r="AC44" i="10"/>
  <c r="AC45" i="10"/>
  <c r="B35" i="8"/>
  <c r="B35" i="10"/>
  <c r="B35" i="9"/>
  <c r="B35" i="7"/>
  <c r="M44" i="10"/>
  <c r="M45" i="10"/>
  <c r="K45" i="10"/>
  <c r="K44" i="10"/>
  <c r="G26" i="10"/>
  <c r="G14" i="10"/>
  <c r="L44" i="10"/>
  <c r="L45" i="10"/>
  <c r="G35" i="10"/>
  <c r="G37" i="10"/>
  <c r="F34" i="10"/>
  <c r="B23" i="10"/>
  <c r="B23" i="8"/>
  <c r="B23" i="9"/>
  <c r="B23" i="7"/>
  <c r="F28" i="10"/>
  <c r="G39" i="10"/>
  <c r="AC45" i="7"/>
  <c r="AC44" i="7"/>
  <c r="G16" i="10"/>
  <c r="B36" i="8"/>
  <c r="B36" i="9"/>
  <c r="B36" i="7"/>
  <c r="B36" i="10"/>
  <c r="F33" i="10"/>
  <c r="B14" i="9"/>
  <c r="B14" i="10"/>
  <c r="B14" i="8"/>
  <c r="B14" i="7"/>
  <c r="B21" i="9"/>
  <c r="B21" i="7"/>
  <c r="B21" i="8"/>
  <c r="B21" i="10"/>
  <c r="X45" i="10"/>
  <c r="X44" i="10"/>
  <c r="O45" i="10"/>
  <c r="O44" i="10"/>
  <c r="G17" i="10"/>
  <c r="G18" i="10"/>
  <c r="AB45" i="10"/>
  <c r="AB44" i="10"/>
  <c r="B15" i="10"/>
  <c r="B15" i="7"/>
  <c r="B15" i="9"/>
  <c r="B15" i="8"/>
  <c r="F31" i="10"/>
  <c r="G25" i="10"/>
  <c r="G22" i="10"/>
  <c r="B30" i="7"/>
  <c r="B30" i="8"/>
  <c r="B30" i="9"/>
  <c r="B30" i="10"/>
  <c r="Z44" i="10"/>
  <c r="Z45" i="10"/>
  <c r="G19" i="10"/>
  <c r="B19" i="9"/>
  <c r="B19" i="10"/>
  <c r="B19" i="7"/>
  <c r="B19" i="8"/>
  <c r="B22" i="8"/>
  <c r="B22" i="10"/>
  <c r="B22" i="9"/>
  <c r="B22" i="7"/>
  <c r="F19" i="10"/>
  <c r="F23" i="10"/>
  <c r="G23" i="10"/>
  <c r="E45" i="9"/>
  <c r="E44" i="9"/>
  <c r="Q44" i="10"/>
  <c r="Q45" i="10"/>
  <c r="AB45" i="7"/>
  <c r="AB44" i="7"/>
  <c r="V45" i="10"/>
  <c r="V44" i="10"/>
  <c r="L43" i="9"/>
  <c r="Q43" i="9"/>
  <c r="Y43" i="7"/>
  <c r="U43" i="9"/>
  <c r="P43" i="9"/>
  <c r="L43" i="10"/>
  <c r="P43" i="7"/>
  <c r="Q43" i="7"/>
  <c r="G43" i="9"/>
  <c r="I43" i="8"/>
  <c r="E43" i="9"/>
  <c r="O43" i="10"/>
  <c r="H43" i="9"/>
  <c r="I43" i="10"/>
  <c r="V43" i="8"/>
  <c r="S43" i="7"/>
  <c r="G43" i="8"/>
  <c r="U43" i="7"/>
  <c r="Q43" i="8"/>
  <c r="R43" i="10"/>
  <c r="Y43" i="8"/>
  <c r="Y43" i="10"/>
  <c r="M43" i="9"/>
  <c r="AB43" i="7"/>
  <c r="K43" i="9"/>
  <c r="T43" i="9"/>
  <c r="W43" i="8"/>
  <c r="V43" i="9"/>
  <c r="AA43" i="7"/>
  <c r="V43" i="7"/>
  <c r="X43" i="9"/>
  <c r="AC43" i="10"/>
  <c r="K43" i="10"/>
  <c r="Q43" i="10"/>
  <c r="H43" i="8"/>
  <c r="L43" i="8"/>
  <c r="S43" i="9"/>
  <c r="Z43" i="10"/>
  <c r="O43" i="9"/>
  <c r="T43" i="10"/>
  <c r="W43" i="10"/>
  <c r="M43" i="8"/>
  <c r="O43" i="8"/>
  <c r="P43" i="8"/>
  <c r="Y43" i="9"/>
  <c r="AA43" i="8"/>
  <c r="P43" i="10"/>
  <c r="Z43" i="8"/>
  <c r="V43" i="10"/>
  <c r="I43" i="9"/>
  <c r="AC43" i="7"/>
  <c r="K43" i="8"/>
  <c r="X43" i="7"/>
  <c r="R43" i="7"/>
  <c r="AB43" i="10"/>
  <c r="S43" i="8"/>
  <c r="M43" i="10"/>
  <c r="U43" i="8"/>
  <c r="W43" i="7"/>
  <c r="Z43" i="7"/>
  <c r="X43" i="10"/>
  <c r="R43" i="8"/>
</calcChain>
</file>

<file path=xl/sharedStrings.xml><?xml version="1.0" encoding="utf-8"?>
<sst xmlns="http://schemas.openxmlformats.org/spreadsheetml/2006/main" count="264" uniqueCount="128">
  <si>
    <t>#</t>
  </si>
  <si>
    <t>List Options</t>
  </si>
  <si>
    <t>Ticker</t>
  </si>
  <si>
    <t>Equity</t>
  </si>
  <si>
    <t>Enterprise</t>
  </si>
  <si>
    <t>Company</t>
  </si>
  <si>
    <t>Business Description</t>
  </si>
  <si>
    <t>Value</t>
  </si>
  <si>
    <t>Net Income</t>
  </si>
  <si>
    <t>Growth Rates</t>
  </si>
  <si>
    <t>Gross</t>
  </si>
  <si>
    <t>Net</t>
  </si>
  <si>
    <t>NOPAT</t>
  </si>
  <si>
    <t>Profit</t>
  </si>
  <si>
    <t>EBITDA</t>
  </si>
  <si>
    <t>Income</t>
  </si>
  <si>
    <t xml:space="preserve">Company </t>
  </si>
  <si>
    <t>(%)</t>
  </si>
  <si>
    <t>Median</t>
  </si>
  <si>
    <t>High</t>
  </si>
  <si>
    <t>Low</t>
  </si>
  <si>
    <t>Net Operating Asset Turnover</t>
  </si>
  <si>
    <t>Nonoperating Components</t>
  </si>
  <si>
    <t>DuPont</t>
  </si>
  <si>
    <t>ROIC</t>
  </si>
  <si>
    <t>RNNOA</t>
  </si>
  <si>
    <t>ROE</t>
  </si>
  <si>
    <t>NOPM</t>
  </si>
  <si>
    <t>Op Ex /</t>
  </si>
  <si>
    <t>NOAT</t>
  </si>
  <si>
    <t>Fixed</t>
  </si>
  <si>
    <t>Financial</t>
  </si>
  <si>
    <t>NNO</t>
  </si>
  <si>
    <t>Asset</t>
  </si>
  <si>
    <t>Leverage</t>
  </si>
  <si>
    <t>Margin</t>
  </si>
  <si>
    <t>AR</t>
  </si>
  <si>
    <t>Inventory</t>
  </si>
  <si>
    <t>Assets</t>
  </si>
  <si>
    <t>AP</t>
  </si>
  <si>
    <t>Expense</t>
  </si>
  <si>
    <t>Spread</t>
  </si>
  <si>
    <t>Turnover</t>
  </si>
  <si>
    <t>Ratio</t>
  </si>
  <si>
    <t>Beta</t>
  </si>
  <si>
    <t>(x)</t>
  </si>
  <si>
    <t>Solvency Ratios</t>
  </si>
  <si>
    <t>Debt /</t>
  </si>
  <si>
    <t xml:space="preserve">Debt / </t>
  </si>
  <si>
    <t xml:space="preserve">Net Debt / </t>
  </si>
  <si>
    <t>NOPAT /</t>
  </si>
  <si>
    <t>Tot. Cap.</t>
  </si>
  <si>
    <t>Int. Exp.</t>
  </si>
  <si>
    <t>- Cpx/ Int.</t>
  </si>
  <si>
    <t>Altman</t>
  </si>
  <si>
    <t>Current</t>
  </si>
  <si>
    <t xml:space="preserve">Quick </t>
  </si>
  <si>
    <t>CCC</t>
  </si>
  <si>
    <t>Z-Score</t>
  </si>
  <si>
    <t>(Days)</t>
  </si>
  <si>
    <t>Share</t>
  </si>
  <si>
    <t>Book</t>
  </si>
  <si>
    <t>Tang.</t>
  </si>
  <si>
    <t>Price</t>
  </si>
  <si>
    <t>BV</t>
  </si>
  <si>
    <t>NFY</t>
  </si>
  <si>
    <t>Earnings</t>
  </si>
  <si>
    <t>Yield</t>
  </si>
  <si>
    <t>Dividend</t>
  </si>
  <si>
    <t>Ticker
List</t>
  </si>
  <si>
    <t>Revenue</t>
  </si>
  <si>
    <t>Market Value of Equity /</t>
  </si>
  <si>
    <t>Enterprise Value (EV) /</t>
  </si>
  <si>
    <t>EV Weighted</t>
  </si>
  <si>
    <t>Liquidity Ratios</t>
  </si>
  <si>
    <t>Comps</t>
  </si>
  <si>
    <t>TTM</t>
  </si>
  <si>
    <t>TTM Profitability Margins</t>
  </si>
  <si>
    <t>EBIT</t>
  </si>
  <si>
    <t>Mean</t>
  </si>
  <si>
    <t>Last</t>
  </si>
  <si>
    <t>Ended</t>
  </si>
  <si>
    <t>Net Working Capital</t>
  </si>
  <si>
    <t>DFCF</t>
  </si>
  <si>
    <t>NWC/Rev.</t>
  </si>
  <si>
    <t>Statistics</t>
  </si>
  <si>
    <t>CFY</t>
  </si>
  <si>
    <t>OCF</t>
  </si>
  <si>
    <t>FCFF</t>
  </si>
  <si>
    <t>EBIT /</t>
  </si>
  <si>
    <t>DF</t>
  </si>
  <si>
    <t>Invested</t>
  </si>
  <si>
    <t>Capital</t>
  </si>
  <si>
    <t>Employees</t>
  </si>
  <si>
    <t>Analyst</t>
  </si>
  <si>
    <t>Target</t>
  </si>
  <si>
    <t>Next Earnings</t>
  </si>
  <si>
    <t>Date</t>
  </si>
  <si>
    <t xml:space="preserve">Leverage Ratios </t>
  </si>
  <si>
    <t>Leverage, Liquidity, Solvency &amp; Working Capital</t>
  </si>
  <si>
    <t>Cash Conversion Cycle</t>
  </si>
  <si>
    <t>O/S</t>
  </si>
  <si>
    <t>Sales</t>
  </si>
  <si>
    <t>Payables</t>
  </si>
  <si>
    <t>($mm)</t>
  </si>
  <si>
    <t>Hist. Y/Y</t>
  </si>
  <si>
    <t>Hist. Q/Q</t>
  </si>
  <si>
    <t>Est. CFY</t>
  </si>
  <si>
    <t>Est. NFY</t>
  </si>
  <si>
    <t>Note: Estimated annual financial data based on a fiscal year.</t>
  </si>
  <si>
    <t>Source: Company filings</t>
  </si>
  <si>
    <t>Source: Company filings, Zack's Consensus Estimates, Stock price data</t>
  </si>
  <si>
    <t>Source: Company filings, Stock price data</t>
  </si>
  <si>
    <t>TTM Financial Metrics</t>
  </si>
  <si>
    <t>Comparable Info</t>
  </si>
  <si>
    <t>Aggregated Value</t>
  </si>
  <si>
    <t>Est. 5 Yr</t>
  </si>
  <si>
    <t>TTM Return on Investment</t>
  </si>
  <si>
    <t>TTM Net Operating Profit Margin</t>
  </si>
  <si>
    <t>Pricing Data</t>
  </si>
  <si>
    <t>52 Week</t>
  </si>
  <si>
    <t>Fiscal</t>
  </si>
  <si>
    <t>Period</t>
  </si>
  <si>
    <t>Returns, Capital Allocation, Profitability &amp; Efficiency</t>
  </si>
  <si>
    <t>Pricing, Financial Metrics, Margins, &amp; Growth Rates</t>
  </si>
  <si>
    <t>Comparable Valuation</t>
  </si>
  <si>
    <t>Time</t>
  </si>
  <si>
    <t>Trade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</si>
</sst>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&quot;$&quot;#,##0.00"/>
    <numFmt numFmtId="166" formatCode="#,##0;[Red]\ \ \(#,##0\);\ &quot; - &quot;;"/>
    <numFmt numFmtId="167" formatCode="#,##0.00;[Red]\ \ \(#,##0.00\);\ &quot; - &quot;;"/>
    <numFmt numFmtId="168" formatCode="#,##0.0#;[Red]\ \ \(#,##0.0#\);\ &quot; - &quot;;"/>
    <numFmt numFmtId="169" formatCode="&quot;$&quot;#,##0"/>
    <numFmt numFmtId="170" formatCode="0.0%"/>
    <numFmt numFmtId="171" formatCode="* _(&quot;$&quot;#,##0_);* \(&quot;$&quot;#,##0\);* _(&quot;-&quot;?_);_(@_)"/>
    <numFmt numFmtId="172" formatCode="* _(&quot;$&quot;##,##0_);[Red]* \(&quot;$&quot;##,##0\);* _(&quot;-&quot;?_);_(@_)"/>
    <numFmt numFmtId="173" formatCode="#,##0.0_);[Red]\(#,##0.0\)"/>
    <numFmt numFmtId="174" formatCode="_(&quot;$&quot;* #,##0.0_);_(&quot;$&quot;* \(#,##0.0\);_(&quot;$&quot;* &quot;-&quot;??_);_(@_)"/>
    <numFmt numFmtId="175" formatCode="0.0\x"/>
    <numFmt numFmtId="176" formatCode="_(* #,##0.0_);_(* \(#,##0.0\);_(* &quot;-&quot;?_);_(@_)"/>
    <numFmt numFmtId="177" formatCode="0.0.\x"/>
    <numFmt numFmtId="178" formatCode="0.0"/>
    <numFmt numFmtId="179" formatCode="m/d/yy;@"/>
    <numFmt numFmtId="180" formatCode="0.00\x"/>
    <numFmt numFmtId="181" formatCode="_(* #,##0_);_(* \(#,##0\);_(* &quot;-&quot;??_);_(@_)"/>
    <numFmt numFmtId="182" formatCode="#,##0.0"/>
  </numFmts>
  <fonts count="38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20"/>
      <color theme="0"/>
      <name val="Segoe UI"/>
      <family val="2"/>
      <scheme val="minor"/>
    </font>
    <font>
      <b/>
      <sz val="16"/>
      <color theme="0"/>
      <name val="Segoe UI"/>
      <family val="2"/>
      <scheme val="minor"/>
    </font>
    <font>
      <sz val="10"/>
      <name val="Segoe UI"/>
      <family val="2"/>
      <scheme val="minor"/>
    </font>
    <font>
      <b/>
      <sz val="10"/>
      <name val="Segoe UI"/>
      <family val="2"/>
      <scheme val="minor"/>
    </font>
    <font>
      <sz val="10"/>
      <color rgb="FF333333"/>
      <name val="Segoe UI"/>
      <family val="2"/>
      <scheme val="minor"/>
    </font>
    <font>
      <u/>
      <sz val="10"/>
      <color theme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Times New Roman"/>
      <family val="1"/>
    </font>
    <font>
      <sz val="10"/>
      <name val="Garamond"/>
      <family val="1"/>
    </font>
    <font>
      <b/>
      <sz val="18"/>
      <color indexed="62"/>
      <name val="Cambria"/>
      <family val="2"/>
    </font>
    <font>
      <sz val="10"/>
      <color theme="0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sz val="11"/>
      <color theme="0"/>
      <name val="Arial"/>
      <family val="2"/>
    </font>
    <font>
      <b/>
      <u val="singleAccounting"/>
      <sz val="10"/>
      <name val="Arial"/>
      <family val="2"/>
    </font>
    <font>
      <sz val="10"/>
      <color rgb="FFFF0000"/>
      <name val="Arial"/>
      <family val="2"/>
    </font>
    <font>
      <b/>
      <u val="singleAccounting"/>
      <sz val="10"/>
      <color indexed="9"/>
      <name val="Arial"/>
      <family val="2"/>
    </font>
    <font>
      <b/>
      <sz val="9"/>
      <name val="Arial"/>
      <family val="2"/>
    </font>
    <font>
      <b/>
      <sz val="10"/>
      <color indexed="61"/>
      <name val="Arial"/>
      <family val="2"/>
    </font>
    <font>
      <b/>
      <sz val="10"/>
      <color indexed="9"/>
      <name val="Arial"/>
      <family val="2"/>
    </font>
    <font>
      <b/>
      <sz val="10"/>
      <color indexed="60"/>
      <name val="Arial"/>
      <family val="2"/>
    </font>
    <font>
      <sz val="11"/>
      <name val="SwissReSans"/>
    </font>
    <font>
      <sz val="10"/>
      <name val="SwissReSans"/>
      <family val="2"/>
    </font>
    <font>
      <u/>
      <sz val="6"/>
      <color indexed="12"/>
      <name val="Times New Roman"/>
      <family val="1"/>
    </font>
    <font>
      <b/>
      <sz val="18"/>
      <color indexed="9"/>
      <name val="Arial"/>
      <family val="2"/>
    </font>
    <font>
      <b/>
      <sz val="20"/>
      <color indexed="9"/>
      <name val="Arial"/>
      <family val="2"/>
    </font>
    <font>
      <b/>
      <sz val="12"/>
      <color theme="1"/>
      <name val="Segoe UI"/>
      <family val="2"/>
      <scheme val="minor"/>
    </font>
    <font>
      <u/>
      <sz val="10"/>
      <color theme="4" tint="-0.24994659260841701"/>
      <name val="Arial"/>
      <family val="2"/>
    </font>
    <font>
      <b/>
      <sz val="20"/>
      <color theme="0"/>
      <name val="Arial"/>
      <family val="2"/>
    </font>
    <font>
      <b/>
      <sz val="11"/>
      <color rgb="FF000000"/>
      <name val="Segoe UI"/>
      <family val="2"/>
    </font>
    <font>
      <b/>
      <u/>
      <sz val="10"/>
      <color indexed="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47"/>
        <bgColor indexed="47"/>
      </patternFill>
    </fill>
    <fill>
      <patternFill patternType="solid">
        <fgColor indexed="44"/>
        <bgColor indexed="44"/>
      </patternFill>
    </fill>
    <fill>
      <patternFill patternType="solid">
        <fgColor indexed="27"/>
        <bgColor indexed="27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5"/>
        <bgColor indexed="45"/>
      </patternFill>
    </fill>
    <fill>
      <patternFill patternType="solid">
        <fgColor indexed="26"/>
        <bgColor indexed="26"/>
      </patternFill>
    </fill>
    <fill>
      <patternFill patternType="solid">
        <fgColor indexed="43"/>
        <bgColor indexed="43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53"/>
      </patternFill>
    </fill>
    <fill>
      <patternFill patternType="lightUp">
        <fgColor indexed="9"/>
        <bgColor indexed="22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23"/>
      </bottom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</borders>
  <cellStyleXfs count="112">
    <xf numFmtId="0" fontId="0" fillId="0" borderId="0"/>
    <xf numFmtId="164" fontId="3" fillId="0" borderId="0"/>
    <xf numFmtId="9" fontId="3" fillId="0" borderId="0" applyFont="0" applyFill="0" applyBorder="0" applyAlignment="0" applyProtection="0"/>
    <xf numFmtId="164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10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3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1" fillId="6" borderId="0" applyNumberFormat="0" applyBorder="0" applyAlignment="0" applyProtection="0"/>
    <xf numFmtId="0" fontId="10" fillId="3" borderId="0" applyNumberFormat="0" applyBorder="0" applyAlignment="0" applyProtection="0"/>
    <xf numFmtId="0" fontId="10" fillId="6" borderId="0" applyNumberFormat="0" applyBorder="0" applyAlignment="0" applyProtection="0"/>
    <xf numFmtId="0" fontId="11" fillId="8" borderId="0" applyNumberFormat="0" applyBorder="0" applyAlignment="0" applyProtection="0"/>
    <xf numFmtId="0" fontId="10" fillId="3" borderId="0" applyNumberFormat="0" applyBorder="0" applyAlignment="0" applyProtection="0"/>
    <xf numFmtId="0" fontId="10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3" borderId="0" applyNumberFormat="0" applyBorder="0" applyAlignment="0" applyProtection="0"/>
    <xf numFmtId="0" fontId="10" fillId="9" borderId="0" applyNumberFormat="0" applyBorder="0" applyAlignment="0" applyProtection="0"/>
    <xf numFmtId="0" fontId="11" fillId="10" borderId="0" applyNumberFormat="0" applyBorder="0" applyAlignment="0" applyProtection="0"/>
    <xf numFmtId="164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164" fontId="9" fillId="0" borderId="0" applyNumberFormat="0" applyFill="0" applyBorder="0" applyAlignment="0" applyProtection="0">
      <alignment vertical="top"/>
      <protection locked="0"/>
    </xf>
    <xf numFmtId="164" fontId="3" fillId="0" borderId="0"/>
    <xf numFmtId="0" fontId="1" fillId="0" borderId="0"/>
    <xf numFmtId="0" fontId="1" fillId="0" borderId="0"/>
    <xf numFmtId="0" fontId="3" fillId="0" borderId="0"/>
    <xf numFmtId="1" fontId="3" fillId="0" borderId="0"/>
    <xf numFmtId="164" fontId="3" fillId="0" borderId="0"/>
    <xf numFmtId="0" fontId="3" fillId="0" borderId="0"/>
    <xf numFmtId="1" fontId="3" fillId="0" borderId="0"/>
    <xf numFmtId="164" fontId="3" fillId="0" borderId="0"/>
    <xf numFmtId="0" fontId="3" fillId="0" borderId="0"/>
    <xf numFmtId="164" fontId="1" fillId="0" borderId="0"/>
    <xf numFmtId="0" fontId="1" fillId="0" borderId="0"/>
    <xf numFmtId="164" fontId="1" fillId="0" borderId="0"/>
    <xf numFmtId="0" fontId="13" fillId="0" borderId="0"/>
    <xf numFmtId="0" fontId="1" fillId="0" borderId="0"/>
    <xf numFmtId="0" fontId="1" fillId="0" borderId="0"/>
    <xf numFmtId="164" fontId="3" fillId="0" borderId="0"/>
    <xf numFmtId="164" fontId="14" fillId="0" borderId="0"/>
    <xf numFmtId="164" fontId="14" fillId="0" borderId="0"/>
    <xf numFmtId="164" fontId="14" fillId="0" borderId="0"/>
    <xf numFmtId="0" fontId="1" fillId="2" borderId="1" applyNumberFormat="0" applyFont="0" applyAlignment="0" applyProtection="0"/>
    <xf numFmtId="38" fontId="15" fillId="0" borderId="0"/>
    <xf numFmtId="1" fontId="3" fillId="0" borderId="0" applyFont="0" applyFill="0" applyBorder="0" applyAlignment="0" applyProtection="0">
      <protection locked="0"/>
    </xf>
    <xf numFmtId="166" fontId="3" fillId="0" borderId="0"/>
    <xf numFmtId="167" fontId="3" fillId="0" borderId="0"/>
    <xf numFmtId="168" fontId="3" fillId="0" borderId="0"/>
    <xf numFmtId="10" fontId="15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0" fontId="3" fillId="0" borderId="0" applyFont="0" applyFill="0" applyBorder="0" applyProtection="0">
      <alignment horizontal="right" indent="1"/>
    </xf>
    <xf numFmtId="2" fontId="15" fillId="0" borderId="0"/>
    <xf numFmtId="0" fontId="16" fillId="0" borderId="0" applyNumberFormat="0" applyFill="0" applyBorder="0" applyAlignment="0" applyProtection="0"/>
    <xf numFmtId="164" fontId="15" fillId="0" borderId="0"/>
    <xf numFmtId="0" fontId="15" fillId="0" borderId="0"/>
    <xf numFmtId="164" fontId="15" fillId="0" borderId="0"/>
    <xf numFmtId="6" fontId="15" fillId="0" borderId="0"/>
    <xf numFmtId="0" fontId="29" fillId="0" borderId="0"/>
    <xf numFmtId="9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" fontId="3" fillId="0" borderId="0"/>
    <xf numFmtId="6" fontId="15" fillId="0" borderId="0"/>
    <xf numFmtId="0" fontId="30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1" fontId="6" fillId="0" borderId="0"/>
    <xf numFmtId="6" fontId="15" fillId="0" borderId="0"/>
    <xf numFmtId="0" fontId="34" fillId="0" borderId="0" applyNumberFormat="0" applyFill="0" applyBorder="0" applyAlignment="0" applyProtection="0">
      <alignment vertical="top"/>
      <protection locked="0"/>
    </xf>
    <xf numFmtId="10" fontId="6" fillId="0" borderId="0" applyFont="0" applyFill="0" applyBorder="0" applyProtection="0"/>
    <xf numFmtId="41" fontId="3" fillId="0" borderId="0" applyFont="0" applyFill="0" applyBorder="0" applyAlignment="0" applyProtection="0"/>
    <xf numFmtId="174" fontId="33" fillId="0" borderId="0" applyFont="0" applyFill="0" applyBorder="0" applyProtection="0">
      <protection locked="0"/>
    </xf>
    <xf numFmtId="43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6" fontId="15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174" fontId="33" fillId="0" borderId="0" applyFont="0" applyFill="0" applyBorder="0" applyProtection="0">
      <protection locked="0"/>
    </xf>
    <xf numFmtId="6" fontId="15" fillId="0" borderId="0"/>
    <xf numFmtId="41" fontId="3" fillId="0" borderId="0" applyFont="0" applyFill="0" applyBorder="0" applyAlignment="0" applyProtection="0"/>
    <xf numFmtId="174" fontId="33" fillId="0" borderId="0" applyFont="0" applyFill="0" applyBorder="0" applyProtection="0">
      <protection locked="0"/>
    </xf>
    <xf numFmtId="43" fontId="1" fillId="0" borderId="0" applyFont="0" applyFill="0" applyBorder="0" applyAlignment="0" applyProtection="0"/>
  </cellStyleXfs>
  <cellXfs count="289">
    <xf numFmtId="0" fontId="0" fillId="0" borderId="0" xfId="0"/>
    <xf numFmtId="164" fontId="3" fillId="0" borderId="0" xfId="1"/>
    <xf numFmtId="1" fontId="6" fillId="0" borderId="0" xfId="1" applyNumberFormat="1" applyFont="1"/>
    <xf numFmtId="0" fontId="3" fillId="0" borderId="5" xfId="1" applyNumberFormat="1" applyBorder="1"/>
    <xf numFmtId="0" fontId="3" fillId="0" borderId="0" xfId="1" applyNumberFormat="1" applyBorder="1"/>
    <xf numFmtId="0" fontId="3" fillId="0" borderId="6" xfId="1" applyNumberFormat="1" applyBorder="1"/>
    <xf numFmtId="1" fontId="6" fillId="0" borderId="0" xfId="1" applyNumberFormat="1" applyFont="1" applyBorder="1"/>
    <xf numFmtId="0" fontId="6" fillId="0" borderId="0" xfId="1" applyNumberFormat="1" applyFont="1" applyBorder="1" applyAlignment="1">
      <alignment horizontal="center"/>
    </xf>
    <xf numFmtId="0" fontId="6" fillId="0" borderId="0" xfId="1" applyNumberFormat="1" applyFont="1" applyBorder="1"/>
    <xf numFmtId="1" fontId="8" fillId="0" borderId="0" xfId="1" applyNumberFormat="1" applyFont="1" applyBorder="1" applyAlignment="1">
      <alignment wrapText="1"/>
    </xf>
    <xf numFmtId="0" fontId="3" fillId="0" borderId="9" xfId="1" applyNumberFormat="1" applyBorder="1"/>
    <xf numFmtId="0" fontId="3" fillId="0" borderId="10" xfId="1" applyNumberFormat="1" applyBorder="1"/>
    <xf numFmtId="0" fontId="3" fillId="0" borderId="10" xfId="1" applyNumberFormat="1" applyBorder="1" applyAlignment="1">
      <alignment horizontal="center"/>
    </xf>
    <xf numFmtId="0" fontId="3" fillId="0" borderId="11" xfId="1" applyNumberFormat="1" applyBorder="1"/>
    <xf numFmtId="0" fontId="3" fillId="0" borderId="0" xfId="1" applyNumberFormat="1"/>
    <xf numFmtId="0" fontId="3" fillId="0" borderId="0" xfId="1" applyNumberFormat="1" applyAlignment="1">
      <alignment horizontal="center"/>
    </xf>
    <xf numFmtId="164" fontId="18" fillId="0" borderId="12" xfId="67" applyFont="1" applyBorder="1"/>
    <xf numFmtId="164" fontId="18" fillId="0" borderId="0" xfId="67" applyFont="1" applyBorder="1"/>
    <xf numFmtId="164" fontId="18" fillId="0" borderId="0" xfId="67" applyFont="1" applyFill="1"/>
    <xf numFmtId="164" fontId="3" fillId="0" borderId="0" xfId="49" applyFont="1" applyBorder="1" applyAlignment="1"/>
    <xf numFmtId="171" fontId="3" fillId="0" borderId="13" xfId="49" applyNumberFormat="1" applyFont="1" applyBorder="1" applyAlignment="1">
      <alignment horizontal="right" vertical="top"/>
    </xf>
    <xf numFmtId="164" fontId="19" fillId="0" borderId="0" xfId="66" applyFont="1" applyBorder="1"/>
    <xf numFmtId="164" fontId="3" fillId="0" borderId="0" xfId="66" applyFont="1" applyFill="1" applyBorder="1"/>
    <xf numFmtId="164" fontId="18" fillId="0" borderId="0" xfId="66" applyFont="1" applyFill="1" applyBorder="1"/>
    <xf numFmtId="164" fontId="11" fillId="0" borderId="0" xfId="66" applyFont="1" applyFill="1" applyBorder="1"/>
    <xf numFmtId="164" fontId="11" fillId="0" borderId="0" xfId="66" applyFont="1" applyFill="1" applyBorder="1" applyAlignment="1">
      <alignment horizontal="center"/>
    </xf>
    <xf numFmtId="9" fontId="22" fillId="0" borderId="0" xfId="2" applyFont="1" applyFill="1" applyBorder="1"/>
    <xf numFmtId="44" fontId="3" fillId="0" borderId="0" xfId="66" applyNumberFormat="1" applyFont="1" applyBorder="1" applyAlignment="1"/>
    <xf numFmtId="44" fontId="3" fillId="0" borderId="0" xfId="66" applyNumberFormat="1" applyFont="1" applyFill="1" applyBorder="1" applyAlignment="1"/>
    <xf numFmtId="164" fontId="3" fillId="0" borderId="0" xfId="66" applyFont="1"/>
    <xf numFmtId="164" fontId="2" fillId="0" borderId="0" xfId="66" applyFont="1" applyBorder="1" applyAlignment="1">
      <alignment horizontal="center"/>
    </xf>
    <xf numFmtId="164" fontId="3" fillId="0" borderId="0" xfId="66" applyFont="1" applyBorder="1" applyAlignment="1"/>
    <xf numFmtId="164" fontId="3" fillId="0" borderId="0" xfId="66" applyFont="1" applyBorder="1"/>
    <xf numFmtId="164" fontId="3" fillId="0" borderId="0" xfId="66" applyFont="1" applyFill="1"/>
    <xf numFmtId="164" fontId="2" fillId="0" borderId="0" xfId="66" applyFont="1"/>
    <xf numFmtId="164" fontId="2" fillId="0" borderId="0" xfId="66" applyFont="1" applyFill="1"/>
    <xf numFmtId="164" fontId="2" fillId="0" borderId="0" xfId="66" applyFont="1" applyBorder="1" applyAlignment="1"/>
    <xf numFmtId="164" fontId="2" fillId="0" borderId="0" xfId="66" applyFont="1" applyBorder="1"/>
    <xf numFmtId="164" fontId="2" fillId="0" borderId="0" xfId="66" applyFont="1" applyAlignment="1">
      <alignment horizontal="center"/>
    </xf>
    <xf numFmtId="164" fontId="21" fillId="0" borderId="0" xfId="67" applyFont="1" applyBorder="1" applyAlignment="1">
      <alignment horizontal="center"/>
    </xf>
    <xf numFmtId="164" fontId="21" fillId="0" borderId="0" xfId="66" applyFont="1" applyBorder="1" applyAlignment="1">
      <alignment horizontal="center"/>
    </xf>
    <xf numFmtId="164" fontId="3" fillId="0" borderId="0" xfId="66" applyFont="1" applyBorder="1" applyAlignment="1">
      <alignment horizontal="center"/>
    </xf>
    <xf numFmtId="164" fontId="2" fillId="0" borderId="0" xfId="67" applyFont="1" applyFill="1"/>
    <xf numFmtId="164" fontId="3" fillId="0" borderId="0" xfId="67" applyFont="1" applyFill="1"/>
    <xf numFmtId="38" fontId="3" fillId="0" borderId="0" xfId="66" applyNumberFormat="1" applyFont="1" applyFill="1" applyBorder="1"/>
    <xf numFmtId="170" fontId="3" fillId="0" borderId="0" xfId="2" applyNumberFormat="1" applyFont="1" applyFill="1" applyBorder="1" applyAlignment="1">
      <alignment horizontal="center"/>
    </xf>
    <xf numFmtId="164" fontId="3" fillId="0" borderId="0" xfId="65" applyFont="1" applyFill="1"/>
    <xf numFmtId="164" fontId="3" fillId="0" borderId="0" xfId="66" applyFont="1" applyFill="1" applyBorder="1" applyAlignment="1">
      <alignment horizontal="center"/>
    </xf>
    <xf numFmtId="172" fontId="3" fillId="0" borderId="0" xfId="3" applyNumberFormat="1" applyFont="1" applyFill="1" applyBorder="1" applyAlignment="1" applyProtection="1">
      <alignment horizontal="right"/>
    </xf>
    <xf numFmtId="172" fontId="3" fillId="0" borderId="14" xfId="3" applyNumberFormat="1" applyFont="1" applyFill="1" applyBorder="1" applyAlignment="1" applyProtection="1">
      <alignment horizontal="right"/>
    </xf>
    <xf numFmtId="173" fontId="3" fillId="0" borderId="0" xfId="66" applyNumberFormat="1" applyFont="1" applyFill="1"/>
    <xf numFmtId="170" fontId="3" fillId="0" borderId="14" xfId="2" applyNumberFormat="1" applyFont="1" applyFill="1" applyBorder="1" applyAlignment="1">
      <alignment horizontal="center"/>
    </xf>
    <xf numFmtId="9" fontId="3" fillId="0" borderId="0" xfId="65" applyNumberFormat="1" applyFont="1" applyFill="1"/>
    <xf numFmtId="0" fontId="3" fillId="0" borderId="0" xfId="65" applyNumberFormat="1" applyFont="1" applyFill="1"/>
    <xf numFmtId="43" fontId="3" fillId="0" borderId="0" xfId="65" applyNumberFormat="1" applyFont="1" applyFill="1"/>
    <xf numFmtId="174" fontId="3" fillId="0" borderId="0" xfId="67" applyNumberFormat="1" applyFont="1" applyFill="1" applyBorder="1" applyAlignment="1">
      <alignment horizontal="center"/>
    </xf>
    <xf numFmtId="164" fontId="2" fillId="0" borderId="0" xfId="67" applyFont="1" applyFill="1" applyBorder="1"/>
    <xf numFmtId="175" fontId="2" fillId="0" borderId="0" xfId="67" applyNumberFormat="1" applyFont="1" applyFill="1" applyBorder="1" applyAlignment="1">
      <alignment horizontal="center"/>
    </xf>
    <xf numFmtId="174" fontId="3" fillId="0" borderId="14" xfId="67" applyNumberFormat="1" applyFont="1" applyFill="1" applyBorder="1" applyAlignment="1">
      <alignment horizontal="center"/>
    </xf>
    <xf numFmtId="170" fontId="2" fillId="0" borderId="14" xfId="67" applyNumberFormat="1" applyFont="1" applyFill="1" applyBorder="1" applyAlignment="1">
      <alignment horizontal="center"/>
    </xf>
    <xf numFmtId="170" fontId="2" fillId="0" borderId="0" xfId="67" applyNumberFormat="1" applyFont="1" applyFill="1" applyBorder="1" applyAlignment="1">
      <alignment horizontal="center"/>
    </xf>
    <xf numFmtId="9" fontId="2" fillId="0" borderId="14" xfId="67" applyNumberFormat="1" applyFont="1" applyFill="1" applyBorder="1" applyAlignment="1">
      <alignment horizontal="center"/>
    </xf>
    <xf numFmtId="164" fontId="3" fillId="0" borderId="0" xfId="67" applyFont="1" applyFill="1" applyBorder="1"/>
    <xf numFmtId="164" fontId="3" fillId="0" borderId="0" xfId="67" applyFont="1"/>
    <xf numFmtId="170" fontId="24" fillId="0" borderId="0" xfId="2" applyNumberFormat="1" applyFont="1" applyBorder="1" applyAlignment="1">
      <alignment horizontal="left"/>
    </xf>
    <xf numFmtId="174" fontId="18" fillId="0" borderId="0" xfId="67" applyNumberFormat="1" applyFont="1" applyBorder="1" applyAlignment="1">
      <alignment horizontal="center"/>
    </xf>
    <xf numFmtId="164" fontId="24" fillId="0" borderId="0" xfId="67" applyFont="1" applyBorder="1"/>
    <xf numFmtId="175" fontId="24" fillId="0" borderId="0" xfId="67" applyNumberFormat="1" applyFont="1" applyBorder="1" applyAlignment="1">
      <alignment horizontal="center"/>
    </xf>
    <xf numFmtId="176" fontId="25" fillId="0" borderId="0" xfId="66" applyNumberFormat="1" applyFont="1" applyFill="1" applyBorder="1"/>
    <xf numFmtId="170" fontId="25" fillId="0" borderId="0" xfId="2" applyNumberFormat="1" applyFont="1" applyFill="1" applyBorder="1" applyAlignment="1">
      <alignment horizontal="center"/>
    </xf>
    <xf numFmtId="170" fontId="18" fillId="0" borderId="0" xfId="67" applyNumberFormat="1" applyFont="1" applyFill="1"/>
    <xf numFmtId="38" fontId="18" fillId="0" borderId="0" xfId="67" applyNumberFormat="1" applyFont="1" applyFill="1"/>
    <xf numFmtId="175" fontId="18" fillId="0" borderId="0" xfId="67" applyNumberFormat="1" applyFont="1" applyFill="1" applyBorder="1" applyAlignment="1">
      <alignment horizontal="center"/>
    </xf>
    <xf numFmtId="164" fontId="3" fillId="0" borderId="0" xfId="66" applyFont="1" applyAlignment="1">
      <alignment horizontal="center"/>
    </xf>
    <xf numFmtId="170" fontId="3" fillId="0" borderId="0" xfId="66" applyNumberFormat="1" applyFont="1" applyFill="1" applyBorder="1"/>
    <xf numFmtId="170" fontId="2" fillId="0" borderId="0" xfId="66" applyNumberFormat="1" applyFont="1" applyBorder="1" applyAlignment="1"/>
    <xf numFmtId="164" fontId="26" fillId="0" borderId="0" xfId="66" applyFont="1" applyFill="1" applyBorder="1" applyAlignment="1"/>
    <xf numFmtId="164" fontId="2" fillId="0" borderId="0" xfId="66" applyFont="1" applyFill="1" applyAlignment="1">
      <alignment horizontal="center"/>
    </xf>
    <xf numFmtId="170" fontId="2" fillId="0" borderId="0" xfId="66" applyNumberFormat="1" applyFont="1" applyAlignment="1">
      <alignment horizontal="center"/>
    </xf>
    <xf numFmtId="170" fontId="2" fillId="0" borderId="0" xfId="66" applyNumberFormat="1" applyFont="1" applyBorder="1" applyAlignment="1">
      <alignment horizontal="center"/>
    </xf>
    <xf numFmtId="170" fontId="21" fillId="0" borderId="0" xfId="66" applyNumberFormat="1" applyFont="1" applyFill="1" applyBorder="1" applyAlignment="1">
      <alignment horizontal="center"/>
    </xf>
    <xf numFmtId="164" fontId="2" fillId="0" borderId="0" xfId="66" applyFont="1" applyFill="1" applyBorder="1"/>
    <xf numFmtId="164" fontId="21" fillId="0" borderId="0" xfId="66" applyFont="1" applyFill="1" applyBorder="1" applyAlignment="1">
      <alignment horizontal="center"/>
    </xf>
    <xf numFmtId="164" fontId="2" fillId="0" borderId="0" xfId="67" applyFont="1" applyBorder="1" applyAlignment="1">
      <alignment horizontal="center"/>
    </xf>
    <xf numFmtId="170" fontId="3" fillId="0" borderId="0" xfId="66" applyNumberFormat="1" applyFont="1"/>
    <xf numFmtId="10" fontId="3" fillId="0" borderId="0" xfId="65" applyNumberFormat="1" applyFont="1" applyFill="1"/>
    <xf numFmtId="170" fontId="2" fillId="0" borderId="0" xfId="2" applyNumberFormat="1" applyFont="1" applyFill="1"/>
    <xf numFmtId="9" fontId="3" fillId="0" borderId="14" xfId="66" applyNumberFormat="1" applyFont="1" applyFill="1" applyBorder="1" applyAlignment="1">
      <alignment horizontal="center"/>
    </xf>
    <xf numFmtId="175" fontId="3" fillId="0" borderId="0" xfId="2" applyNumberFormat="1" applyFont="1" applyFill="1" applyBorder="1" applyAlignment="1">
      <alignment horizontal="center"/>
    </xf>
    <xf numFmtId="175" fontId="3" fillId="0" borderId="14" xfId="2" applyNumberFormat="1" applyFont="1" applyFill="1" applyBorder="1" applyAlignment="1">
      <alignment horizontal="center"/>
    </xf>
    <xf numFmtId="175" fontId="2" fillId="0" borderId="14" xfId="67" applyNumberFormat="1" applyFont="1" applyFill="1" applyBorder="1" applyAlignment="1">
      <alignment horizontal="center"/>
    </xf>
    <xf numFmtId="175" fontId="3" fillId="0" borderId="14" xfId="67" applyNumberFormat="1" applyFont="1" applyFill="1" applyBorder="1" applyAlignment="1">
      <alignment horizontal="center"/>
    </xf>
    <xf numFmtId="175" fontId="3" fillId="0" borderId="0" xfId="67" applyNumberFormat="1" applyFont="1" applyFill="1" applyBorder="1" applyAlignment="1">
      <alignment horizontal="center"/>
    </xf>
    <xf numFmtId="177" fontId="3" fillId="0" borderId="14" xfId="67" applyNumberFormat="1" applyFont="1" applyFill="1" applyBorder="1" applyAlignment="1">
      <alignment horizontal="center"/>
    </xf>
    <xf numFmtId="177" fontId="3" fillId="0" borderId="0" xfId="67" applyNumberFormat="1" applyFont="1" applyFill="1" applyBorder="1" applyAlignment="1">
      <alignment horizontal="center"/>
    </xf>
    <xf numFmtId="4" fontId="3" fillId="0" borderId="0" xfId="67" applyNumberFormat="1" applyFont="1" applyFill="1" applyBorder="1" applyAlignment="1">
      <alignment horizontal="center"/>
    </xf>
    <xf numFmtId="170" fontId="2" fillId="0" borderId="0" xfId="67" applyNumberFormat="1" applyFont="1" applyFill="1" applyBorder="1"/>
    <xf numFmtId="175" fontId="25" fillId="0" borderId="0" xfId="2" applyNumberFormat="1" applyFont="1" applyFill="1" applyBorder="1" applyAlignment="1">
      <alignment horizontal="center"/>
    </xf>
    <xf numFmtId="164" fontId="2" fillId="0" borderId="0" xfId="66" quotePrefix="1" applyFont="1" applyFill="1" applyAlignment="1">
      <alignment horizontal="center"/>
    </xf>
    <xf numFmtId="4" fontId="3" fillId="0" borderId="0" xfId="67" applyNumberFormat="1" applyFont="1" applyFill="1" applyAlignment="1">
      <alignment horizontal="center"/>
    </xf>
    <xf numFmtId="170" fontId="3" fillId="0" borderId="15" xfId="2" applyNumberFormat="1" applyFont="1" applyFill="1" applyBorder="1" applyAlignment="1">
      <alignment horizontal="center"/>
    </xf>
    <xf numFmtId="178" fontId="3" fillId="0" borderId="0" xfId="2" applyNumberFormat="1" applyFont="1" applyFill="1" applyBorder="1" applyAlignment="1">
      <alignment horizontal="center"/>
    </xf>
    <xf numFmtId="170" fontId="3" fillId="0" borderId="0" xfId="2" applyNumberFormat="1" applyFont="1" applyFill="1" applyAlignment="1">
      <alignment horizontal="center"/>
    </xf>
    <xf numFmtId="4" fontId="2" fillId="0" borderId="0" xfId="67" applyNumberFormat="1" applyFont="1" applyFill="1" applyBorder="1" applyAlignment="1">
      <alignment horizontal="center"/>
    </xf>
    <xf numFmtId="175" fontId="2" fillId="0" borderId="15" xfId="67" applyNumberFormat="1" applyFont="1" applyFill="1" applyBorder="1" applyAlignment="1">
      <alignment horizontal="center"/>
    </xf>
    <xf numFmtId="40" fontId="3" fillId="0" borderId="0" xfId="67" applyNumberFormat="1" applyFont="1" applyFill="1" applyBorder="1"/>
    <xf numFmtId="4" fontId="3" fillId="0" borderId="0" xfId="66" applyNumberFormat="1" applyFont="1" applyFill="1" applyBorder="1"/>
    <xf numFmtId="175" fontId="3" fillId="0" borderId="15" xfId="67" applyNumberFormat="1" applyFont="1" applyFill="1" applyBorder="1" applyAlignment="1">
      <alignment horizontal="center"/>
    </xf>
    <xf numFmtId="164" fontId="3" fillId="0" borderId="0" xfId="67" applyFont="1" applyBorder="1"/>
    <xf numFmtId="178" fontId="3" fillId="0" borderId="0" xfId="67" applyNumberFormat="1" applyFont="1" applyFill="1" applyBorder="1" applyAlignment="1">
      <alignment horizontal="center"/>
    </xf>
    <xf numFmtId="164" fontId="2" fillId="0" borderId="0" xfId="67" applyFont="1" applyAlignment="1">
      <alignment horizontal="center"/>
    </xf>
    <xf numFmtId="164" fontId="2" fillId="0" borderId="0" xfId="67" applyFont="1"/>
    <xf numFmtId="164" fontId="2" fillId="0" borderId="0" xfId="67" applyFont="1" applyAlignment="1">
      <alignment horizontal="right"/>
    </xf>
    <xf numFmtId="164" fontId="27" fillId="0" borderId="0" xfId="67" applyFont="1"/>
    <xf numFmtId="164" fontId="27" fillId="0" borderId="0" xfId="67" applyFont="1" applyFill="1" applyBorder="1" applyAlignment="1">
      <alignment horizontal="centerContinuous"/>
    </xf>
    <xf numFmtId="178" fontId="2" fillId="0" borderId="0" xfId="67" applyNumberFormat="1" applyFont="1" applyFill="1" applyAlignment="1">
      <alignment horizontal="center"/>
    </xf>
    <xf numFmtId="164" fontId="2" fillId="0" borderId="0" xfId="67" applyFont="1" applyFill="1" applyBorder="1" applyAlignment="1">
      <alignment horizontal="right"/>
    </xf>
    <xf numFmtId="164" fontId="2" fillId="0" borderId="0" xfId="67" applyFont="1" applyFill="1" applyBorder="1" applyAlignment="1">
      <alignment horizontal="centerContinuous"/>
    </xf>
    <xf numFmtId="178" fontId="2" fillId="0" borderId="0" xfId="67" applyNumberFormat="1" applyFont="1" applyFill="1" applyBorder="1" applyAlignment="1">
      <alignment horizontal="center"/>
    </xf>
    <xf numFmtId="178" fontId="2" fillId="0" borderId="0" xfId="67" applyNumberFormat="1" applyFont="1" applyAlignment="1">
      <alignment horizontal="center"/>
    </xf>
    <xf numFmtId="179" fontId="21" fillId="0" borderId="0" xfId="67" applyNumberFormat="1" applyFont="1" applyBorder="1" applyAlignment="1">
      <alignment horizontal="center"/>
    </xf>
    <xf numFmtId="164" fontId="21" fillId="0" borderId="0" xfId="67" applyFont="1" applyBorder="1" applyAlignment="1">
      <alignment horizontal="right"/>
    </xf>
    <xf numFmtId="178" fontId="21" fillId="0" borderId="0" xfId="67" applyNumberFormat="1" applyFont="1" applyBorder="1" applyAlignment="1">
      <alignment horizontal="center"/>
    </xf>
    <xf numFmtId="165" fontId="3" fillId="0" borderId="0" xfId="3" applyNumberFormat="1" applyFont="1" applyFill="1" applyAlignment="1" applyProtection="1">
      <alignment horizontal="right"/>
    </xf>
    <xf numFmtId="169" fontId="3" fillId="0" borderId="0" xfId="3" applyNumberFormat="1" applyFont="1" applyFill="1" applyBorder="1" applyAlignment="1" applyProtection="1">
      <alignment horizontal="right"/>
    </xf>
    <xf numFmtId="175" fontId="3" fillId="0" borderId="16" xfId="67" applyNumberFormat="1" applyFont="1" applyFill="1" applyBorder="1" applyAlignment="1">
      <alignment horizontal="center"/>
    </xf>
    <xf numFmtId="175" fontId="3" fillId="0" borderId="17" xfId="67" applyNumberFormat="1" applyFont="1" applyFill="1" applyBorder="1" applyAlignment="1">
      <alignment horizontal="center"/>
    </xf>
    <xf numFmtId="9" fontId="3" fillId="0" borderId="0" xfId="67" applyNumberFormat="1" applyFont="1" applyFill="1" applyAlignment="1">
      <alignment horizontal="center"/>
    </xf>
    <xf numFmtId="175" fontId="2" fillId="0" borderId="16" xfId="67" applyNumberFormat="1" applyFont="1" applyFill="1" applyBorder="1" applyAlignment="1">
      <alignment horizontal="center"/>
    </xf>
    <xf numFmtId="175" fontId="2" fillId="0" borderId="17" xfId="67" applyNumberFormat="1" applyFont="1" applyFill="1" applyBorder="1" applyAlignment="1">
      <alignment horizontal="center"/>
    </xf>
    <xf numFmtId="38" fontId="3" fillId="0" borderId="0" xfId="67" applyNumberFormat="1" applyFont="1" applyBorder="1"/>
    <xf numFmtId="164" fontId="3" fillId="0" borderId="16" xfId="67" applyFont="1" applyFill="1" applyBorder="1" applyAlignment="1">
      <alignment horizontal="center"/>
    </xf>
    <xf numFmtId="164" fontId="3" fillId="0" borderId="0" xfId="67" applyFont="1" applyFill="1" applyBorder="1" applyAlignment="1">
      <alignment horizontal="center"/>
    </xf>
    <xf numFmtId="164" fontId="3" fillId="0" borderId="17" xfId="67" applyFont="1" applyFill="1" applyBorder="1" applyAlignment="1">
      <alignment horizontal="center"/>
    </xf>
    <xf numFmtId="164" fontId="3" fillId="0" borderId="0" xfId="67" applyFont="1" applyBorder="1" applyAlignment="1">
      <alignment horizontal="center"/>
    </xf>
    <xf numFmtId="164" fontId="3" fillId="0" borderId="16" xfId="67" applyFont="1" applyBorder="1" applyAlignment="1">
      <alignment horizontal="center"/>
    </xf>
    <xf numFmtId="164" fontId="3" fillId="0" borderId="17" xfId="67" applyFont="1" applyBorder="1" applyAlignment="1">
      <alignment horizontal="center"/>
    </xf>
    <xf numFmtId="175" fontId="24" fillId="0" borderId="0" xfId="67" applyNumberFormat="1" applyFont="1" applyFill="1" applyBorder="1" applyAlignment="1">
      <alignment horizontal="center"/>
    </xf>
    <xf numFmtId="175" fontId="18" fillId="0" borderId="0" xfId="67" applyNumberFormat="1" applyFont="1" applyFill="1" applyAlignment="1">
      <alignment horizontal="center"/>
    </xf>
    <xf numFmtId="175" fontId="3" fillId="0" borderId="0" xfId="67" applyNumberFormat="1" applyFont="1" applyFill="1" applyAlignment="1">
      <alignment horizontal="center"/>
    </xf>
    <xf numFmtId="178" fontId="3" fillId="0" borderId="0" xfId="67" applyNumberFormat="1" applyFont="1" applyFill="1" applyAlignment="1">
      <alignment horizontal="center"/>
    </xf>
    <xf numFmtId="180" fontId="18" fillId="0" borderId="0" xfId="67" applyNumberFormat="1" applyFont="1" applyFill="1" applyAlignment="1">
      <alignment horizontal="center"/>
    </xf>
    <xf numFmtId="0" fontId="3" fillId="0" borderId="0" xfId="66" applyNumberFormat="1" applyFont="1" applyFill="1" applyBorder="1"/>
    <xf numFmtId="0" fontId="3" fillId="0" borderId="0" xfId="66" applyNumberFormat="1" applyFont="1"/>
    <xf numFmtId="0" fontId="2" fillId="0" borderId="0" xfId="66" applyNumberFormat="1" applyFont="1"/>
    <xf numFmtId="0" fontId="21" fillId="0" borderId="0" xfId="67" applyNumberFormat="1" applyFont="1" applyBorder="1" applyAlignment="1">
      <alignment horizontal="center"/>
    </xf>
    <xf numFmtId="0" fontId="3" fillId="0" borderId="0" xfId="67" applyNumberFormat="1" applyFont="1" applyFill="1"/>
    <xf numFmtId="0" fontId="2" fillId="0" borderId="0" xfId="2" applyNumberFormat="1" applyFont="1" applyFill="1" applyBorder="1" applyAlignment="1">
      <alignment horizontal="left"/>
    </xf>
    <xf numFmtId="0" fontId="3" fillId="0" borderId="0" xfId="67" applyNumberFormat="1" applyFont="1" applyFill="1" applyAlignment="1">
      <alignment horizontal="center"/>
    </xf>
    <xf numFmtId="0" fontId="19" fillId="0" borderId="0" xfId="66" applyNumberFormat="1" applyFont="1" applyBorder="1"/>
    <xf numFmtId="0" fontId="2" fillId="0" borderId="0" xfId="66" applyNumberFormat="1" applyFont="1" applyFill="1" applyAlignment="1">
      <alignment horizontal="center"/>
    </xf>
    <xf numFmtId="0" fontId="21" fillId="0" borderId="0" xfId="66" applyNumberFormat="1" applyFont="1" applyBorder="1" applyAlignment="1">
      <alignment horizontal="center"/>
    </xf>
    <xf numFmtId="0" fontId="3" fillId="0" borderId="0" xfId="49" applyNumberFormat="1" applyFont="1" applyFill="1" applyAlignment="1">
      <alignment horizontal="center"/>
    </xf>
    <xf numFmtId="0" fontId="3" fillId="0" borderId="0" xfId="67" applyNumberFormat="1" applyFont="1" applyFill="1" applyBorder="1"/>
    <xf numFmtId="0" fontId="18" fillId="0" borderId="0" xfId="66" applyNumberFormat="1" applyFont="1" applyFill="1" applyBorder="1"/>
    <xf numFmtId="0" fontId="21" fillId="0" borderId="0" xfId="66" applyNumberFormat="1" applyFont="1" applyBorder="1"/>
    <xf numFmtId="0" fontId="3" fillId="0" borderId="0" xfId="66" applyNumberFormat="1" applyFont="1" applyBorder="1"/>
    <xf numFmtId="0" fontId="18" fillId="0" borderId="12" xfId="67" applyNumberFormat="1" applyFont="1" applyBorder="1"/>
    <xf numFmtId="0" fontId="18" fillId="0" borderId="0" xfId="66" applyNumberFormat="1" applyFont="1" applyBorder="1"/>
    <xf numFmtId="0" fontId="11" fillId="0" borderId="0" xfId="66" applyNumberFormat="1" applyFont="1" applyFill="1" applyBorder="1"/>
    <xf numFmtId="0" fontId="3" fillId="0" borderId="0" xfId="66" applyNumberFormat="1" applyFont="1" applyBorder="1" applyAlignment="1"/>
    <xf numFmtId="0" fontId="3" fillId="0" borderId="0" xfId="67" applyNumberFormat="1" applyFont="1" applyFill="1" applyBorder="1" applyAlignment="1">
      <alignment horizontal="center"/>
    </xf>
    <xf numFmtId="0" fontId="3" fillId="0" borderId="13" xfId="49" applyNumberFormat="1" applyFont="1" applyBorder="1" applyAlignment="1">
      <alignment vertical="top" wrapText="1"/>
    </xf>
    <xf numFmtId="0" fontId="18" fillId="0" borderId="0" xfId="67" applyNumberFormat="1" applyFont="1" applyFill="1"/>
    <xf numFmtId="0" fontId="3" fillId="0" borderId="0" xfId="49" applyNumberFormat="1" applyFont="1" applyBorder="1" applyAlignment="1"/>
    <xf numFmtId="0" fontId="3" fillId="0" borderId="0" xfId="67" applyNumberFormat="1" applyFont="1" applyBorder="1"/>
    <xf numFmtId="0" fontId="2" fillId="0" borderId="0" xfId="67" applyNumberFormat="1" applyFont="1" applyAlignment="1">
      <alignment horizontal="center"/>
    </xf>
    <xf numFmtId="0" fontId="2" fillId="0" borderId="0" xfId="67" applyNumberFormat="1" applyFont="1"/>
    <xf numFmtId="0" fontId="2" fillId="0" borderId="0" xfId="67" applyNumberFormat="1" applyFont="1" applyFill="1" applyBorder="1" applyAlignment="1">
      <alignment horizontal="center"/>
    </xf>
    <xf numFmtId="0" fontId="2" fillId="0" borderId="0" xfId="67" applyNumberFormat="1" applyFont="1" applyFill="1" applyBorder="1"/>
    <xf numFmtId="0" fontId="21" fillId="0" borderId="0" xfId="67" applyNumberFormat="1" applyFont="1" applyBorder="1" applyAlignment="1">
      <alignment horizontal="left"/>
    </xf>
    <xf numFmtId="0" fontId="3" fillId="0" borderId="0" xfId="67" applyNumberFormat="1" applyFont="1"/>
    <xf numFmtId="0" fontId="18" fillId="0" borderId="0" xfId="67" applyNumberFormat="1" applyFont="1"/>
    <xf numFmtId="0" fontId="18" fillId="0" borderId="12" xfId="67" applyNumberFormat="1" applyFont="1" applyBorder="1" applyAlignment="1">
      <alignment horizontal="center"/>
    </xf>
    <xf numFmtId="170" fontId="3" fillId="0" borderId="0" xfId="93" applyNumberFormat="1" applyFont="1" applyFill="1" applyBorder="1" applyAlignment="1">
      <alignment horizontal="center"/>
    </xf>
    <xf numFmtId="164" fontId="23" fillId="0" borderId="0" xfId="68" applyFont="1" applyFill="1" applyBorder="1" applyAlignment="1"/>
    <xf numFmtId="164" fontId="21" fillId="0" borderId="0" xfId="67" applyFont="1" applyBorder="1" applyAlignment="1">
      <alignment horizontal="center"/>
    </xf>
    <xf numFmtId="0" fontId="5" fillId="0" borderId="0" xfId="0" applyFont="1" applyFill="1" applyBorder="1" applyAlignment="1">
      <alignment horizontal="left" vertical="center"/>
    </xf>
    <xf numFmtId="0" fontId="3" fillId="0" borderId="2" xfId="1" applyNumberFormat="1" applyBorder="1"/>
    <xf numFmtId="0" fontId="6" fillId="15" borderId="7" xfId="1" applyNumberFormat="1" applyFont="1" applyFill="1" applyBorder="1" applyAlignment="1" applyProtection="1">
      <alignment horizontal="center"/>
      <protection locked="0"/>
    </xf>
    <xf numFmtId="0" fontId="6" fillId="15" borderId="8" xfId="1" applyNumberFormat="1" applyFont="1" applyFill="1" applyBorder="1" applyAlignment="1" applyProtection="1">
      <alignment horizontal="center"/>
      <protection locked="0"/>
    </xf>
    <xf numFmtId="0" fontId="3" fillId="0" borderId="13" xfId="49" applyNumberFormat="1" applyFont="1" applyBorder="1" applyAlignment="1">
      <alignment horizontal="center" vertical="top"/>
    </xf>
    <xf numFmtId="0" fontId="20" fillId="14" borderId="0" xfId="49" applyNumberFormat="1" applyFont="1" applyFill="1" applyBorder="1" applyAlignment="1"/>
    <xf numFmtId="0" fontId="17" fillId="14" borderId="0" xfId="49" applyNumberFormat="1" applyFont="1" applyFill="1" applyBorder="1" applyAlignment="1"/>
    <xf numFmtId="164" fontId="17" fillId="14" borderId="0" xfId="49" applyFont="1" applyFill="1" applyBorder="1" applyAlignment="1"/>
    <xf numFmtId="0" fontId="2" fillId="15" borderId="0" xfId="49" applyNumberFormat="1" applyFont="1" applyFill="1" applyBorder="1" applyAlignment="1"/>
    <xf numFmtId="0" fontId="3" fillId="15" borderId="0" xfId="49" applyNumberFormat="1" applyFont="1" applyFill="1" applyBorder="1" applyAlignment="1"/>
    <xf numFmtId="164" fontId="2" fillId="15" borderId="0" xfId="49" applyFont="1" applyFill="1" applyBorder="1" applyAlignment="1">
      <alignment horizontal="center"/>
    </xf>
    <xf numFmtId="0" fontId="21" fillId="15" borderId="0" xfId="49" applyNumberFormat="1" applyFont="1" applyFill="1" applyBorder="1" applyAlignment="1">
      <alignment horizontal="center"/>
    </xf>
    <xf numFmtId="164" fontId="21" fillId="15" borderId="0" xfId="49" applyFont="1" applyFill="1" applyBorder="1" applyAlignment="1">
      <alignment horizontal="center"/>
    </xf>
    <xf numFmtId="164" fontId="11" fillId="14" borderId="0" xfId="66" applyFont="1" applyFill="1" applyBorder="1"/>
    <xf numFmtId="164" fontId="3" fillId="14" borderId="0" xfId="66" applyFont="1" applyFill="1" applyBorder="1"/>
    <xf numFmtId="0" fontId="2" fillId="15" borderId="0" xfId="2" applyNumberFormat="1" applyFont="1" applyFill="1" applyBorder="1" applyAlignment="1">
      <alignment horizontal="left"/>
    </xf>
    <xf numFmtId="0" fontId="3" fillId="15" borderId="0" xfId="67" applyNumberFormat="1" applyFont="1" applyFill="1" applyBorder="1" applyAlignment="1">
      <alignment horizontal="center"/>
    </xf>
    <xf numFmtId="164" fontId="2" fillId="15" borderId="0" xfId="67" applyFont="1" applyFill="1" applyBorder="1"/>
    <xf numFmtId="175" fontId="2" fillId="15" borderId="0" xfId="67" applyNumberFormat="1" applyFont="1" applyFill="1" applyBorder="1" applyAlignment="1">
      <alignment horizontal="center"/>
    </xf>
    <xf numFmtId="174" fontId="3" fillId="15" borderId="0" xfId="67" applyNumberFormat="1" applyFont="1" applyFill="1" applyBorder="1" applyAlignment="1">
      <alignment horizontal="center"/>
    </xf>
    <xf numFmtId="174" fontId="3" fillId="15" borderId="14" xfId="67" applyNumberFormat="1" applyFont="1" applyFill="1" applyBorder="1" applyAlignment="1">
      <alignment horizontal="center"/>
    </xf>
    <xf numFmtId="170" fontId="2" fillId="15" borderId="14" xfId="67" applyNumberFormat="1" applyFont="1" applyFill="1" applyBorder="1" applyAlignment="1">
      <alignment horizontal="center"/>
    </xf>
    <xf numFmtId="170" fontId="2" fillId="15" borderId="0" xfId="67" applyNumberFormat="1" applyFont="1" applyFill="1" applyBorder="1" applyAlignment="1">
      <alignment horizontal="center"/>
    </xf>
    <xf numFmtId="170" fontId="2" fillId="15" borderId="15" xfId="67" applyNumberFormat="1" applyFont="1" applyFill="1" applyBorder="1" applyAlignment="1">
      <alignment horizontal="center"/>
    </xf>
    <xf numFmtId="164" fontId="3" fillId="15" borderId="0" xfId="67" applyFont="1" applyFill="1"/>
    <xf numFmtId="0" fontId="3" fillId="15" borderId="0" xfId="67" applyNumberFormat="1" applyFont="1" applyFill="1"/>
    <xf numFmtId="172" fontId="3" fillId="15" borderId="0" xfId="3" applyNumberFormat="1" applyFont="1" applyFill="1" applyBorder="1" applyAlignment="1" applyProtection="1">
      <alignment horizontal="right"/>
    </xf>
    <xf numFmtId="172" fontId="3" fillId="15" borderId="14" xfId="3" applyNumberFormat="1" applyFont="1" applyFill="1" applyBorder="1" applyAlignment="1" applyProtection="1">
      <alignment horizontal="right"/>
    </xf>
    <xf numFmtId="173" fontId="3" fillId="15" borderId="0" xfId="66" applyNumberFormat="1" applyFont="1" applyFill="1"/>
    <xf numFmtId="170" fontId="3" fillId="15" borderId="14" xfId="2" applyNumberFormat="1" applyFont="1" applyFill="1" applyBorder="1" applyAlignment="1">
      <alignment horizontal="center"/>
    </xf>
    <xf numFmtId="170" fontId="3" fillId="15" borderId="0" xfId="2" applyNumberFormat="1" applyFont="1" applyFill="1" applyBorder="1" applyAlignment="1">
      <alignment horizontal="center"/>
    </xf>
    <xf numFmtId="170" fontId="3" fillId="15" borderId="15" xfId="2" applyNumberFormat="1" applyFont="1" applyFill="1" applyBorder="1" applyAlignment="1">
      <alignment horizontal="center"/>
    </xf>
    <xf numFmtId="169" fontId="2" fillId="15" borderId="0" xfId="67" applyNumberFormat="1" applyFont="1" applyFill="1" applyBorder="1" applyAlignment="1">
      <alignment horizontal="right"/>
    </xf>
    <xf numFmtId="169" fontId="2" fillId="15" borderId="14" xfId="67" applyNumberFormat="1" applyFont="1" applyFill="1" applyBorder="1" applyAlignment="1">
      <alignment horizontal="right"/>
    </xf>
    <xf numFmtId="164" fontId="31" fillId="14" borderId="0" xfId="66" applyFont="1" applyFill="1" applyBorder="1" applyAlignment="1">
      <alignment vertical="top"/>
    </xf>
    <xf numFmtId="170" fontId="11" fillId="14" borderId="0" xfId="66" applyNumberFormat="1" applyFont="1" applyFill="1" applyBorder="1"/>
    <xf numFmtId="0" fontId="3" fillId="15" borderId="0" xfId="49" applyNumberFormat="1" applyFont="1" applyFill="1" applyAlignment="1">
      <alignment horizontal="center"/>
    </xf>
    <xf numFmtId="9" fontId="3" fillId="15" borderId="14" xfId="66" applyNumberFormat="1" applyFont="1" applyFill="1" applyBorder="1" applyAlignment="1">
      <alignment horizontal="center"/>
    </xf>
    <xf numFmtId="175" fontId="3" fillId="15" borderId="0" xfId="2" applyNumberFormat="1" applyFont="1" applyFill="1" applyBorder="1" applyAlignment="1">
      <alignment horizontal="center"/>
    </xf>
    <xf numFmtId="175" fontId="3" fillId="15" borderId="14" xfId="2" applyNumberFormat="1" applyFont="1" applyFill="1" applyBorder="1" applyAlignment="1">
      <alignment horizontal="center"/>
    </xf>
    <xf numFmtId="9" fontId="2" fillId="15" borderId="14" xfId="67" applyNumberFormat="1" applyFont="1" applyFill="1" applyBorder="1" applyAlignment="1">
      <alignment horizontal="center"/>
    </xf>
    <xf numFmtId="175" fontId="2" fillId="15" borderId="14" xfId="67" applyNumberFormat="1" applyFont="1" applyFill="1" applyBorder="1" applyAlignment="1">
      <alignment horizontal="center"/>
    </xf>
    <xf numFmtId="170" fontId="2" fillId="15" borderId="0" xfId="2" applyNumberFormat="1" applyFont="1" applyFill="1" applyBorder="1" applyAlignment="1">
      <alignment horizontal="center"/>
    </xf>
    <xf numFmtId="4" fontId="2" fillId="15" borderId="0" xfId="67" applyNumberFormat="1" applyFont="1" applyFill="1" applyBorder="1" applyAlignment="1">
      <alignment horizontal="center"/>
    </xf>
    <xf numFmtId="175" fontId="2" fillId="15" borderId="15" xfId="67" applyNumberFormat="1" applyFont="1" applyFill="1" applyBorder="1" applyAlignment="1">
      <alignment horizontal="center"/>
    </xf>
    <xf numFmtId="175" fontId="2" fillId="15" borderId="16" xfId="67" applyNumberFormat="1" applyFont="1" applyFill="1" applyBorder="1" applyAlignment="1">
      <alignment horizontal="center"/>
    </xf>
    <xf numFmtId="175" fontId="2" fillId="15" borderId="17" xfId="67" applyNumberFormat="1" applyFont="1" applyFill="1" applyBorder="1" applyAlignment="1">
      <alignment horizontal="center"/>
    </xf>
    <xf numFmtId="164" fontId="3" fillId="15" borderId="0" xfId="67" applyFont="1" applyFill="1" applyBorder="1"/>
    <xf numFmtId="170" fontId="2" fillId="15" borderId="0" xfId="93" applyNumberFormat="1" applyFont="1" applyFill="1" applyBorder="1" applyAlignment="1">
      <alignment horizontal="center"/>
    </xf>
    <xf numFmtId="0" fontId="21" fillId="15" borderId="0" xfId="49" applyNumberFormat="1" applyFont="1" applyFill="1" applyBorder="1" applyAlignment="1">
      <alignment horizontal="left"/>
    </xf>
    <xf numFmtId="0" fontId="3" fillId="15" borderId="0" xfId="67" applyNumberFormat="1" applyFont="1" applyFill="1" applyAlignment="1">
      <alignment horizontal="center"/>
    </xf>
    <xf numFmtId="170" fontId="2" fillId="15" borderId="14" xfId="93" applyNumberFormat="1" applyFont="1" applyFill="1" applyBorder="1" applyAlignment="1">
      <alignment horizontal="center"/>
    </xf>
    <xf numFmtId="4" fontId="3" fillId="15" borderId="0" xfId="67" applyNumberFormat="1" applyFont="1" applyFill="1" applyAlignment="1">
      <alignment horizontal="center"/>
    </xf>
    <xf numFmtId="178" fontId="3" fillId="15" borderId="0" xfId="2" applyNumberFormat="1" applyFont="1" applyFill="1" applyBorder="1" applyAlignment="1">
      <alignment horizontal="center"/>
    </xf>
    <xf numFmtId="170" fontId="3" fillId="15" borderId="0" xfId="2" applyNumberFormat="1" applyFont="1" applyFill="1" applyAlignment="1">
      <alignment horizontal="center"/>
    </xf>
    <xf numFmtId="181" fontId="3" fillId="0" borderId="13" xfId="111" applyNumberFormat="1" applyFont="1" applyBorder="1" applyAlignment="1">
      <alignment horizontal="right" vertical="top"/>
    </xf>
    <xf numFmtId="0" fontId="3" fillId="15" borderId="0" xfId="67" applyNumberFormat="1" applyFont="1" applyFill="1" applyBorder="1"/>
    <xf numFmtId="165" fontId="3" fillId="15" borderId="0" xfId="3" applyNumberFormat="1" applyFont="1" applyFill="1" applyAlignment="1" applyProtection="1">
      <alignment horizontal="right"/>
    </xf>
    <xf numFmtId="169" fontId="3" fillId="15" borderId="0" xfId="3" applyNumberFormat="1" applyFont="1" applyFill="1" applyBorder="1" applyAlignment="1" applyProtection="1">
      <alignment horizontal="right"/>
    </xf>
    <xf numFmtId="175" fontId="3" fillId="15" borderId="16" xfId="67" applyNumberFormat="1" applyFont="1" applyFill="1" applyBorder="1" applyAlignment="1">
      <alignment horizontal="center"/>
    </xf>
    <xf numFmtId="175" fontId="3" fillId="15" borderId="0" xfId="67" applyNumberFormat="1" applyFont="1" applyFill="1" applyBorder="1" applyAlignment="1">
      <alignment horizontal="center"/>
    </xf>
    <xf numFmtId="175" fontId="3" fillId="15" borderId="17" xfId="67" applyNumberFormat="1" applyFont="1" applyFill="1" applyBorder="1" applyAlignment="1">
      <alignment horizontal="center"/>
    </xf>
    <xf numFmtId="170" fontId="3" fillId="15" borderId="0" xfId="93" applyNumberFormat="1" applyFont="1" applyFill="1" applyBorder="1" applyAlignment="1">
      <alignment horizontal="center"/>
    </xf>
    <xf numFmtId="182" fontId="3" fillId="0" borderId="0" xfId="67" applyNumberFormat="1" applyFont="1" applyFill="1" applyAlignment="1">
      <alignment horizontal="center"/>
    </xf>
    <xf numFmtId="182" fontId="3" fillId="15" borderId="0" xfId="67" applyNumberFormat="1" applyFont="1" applyFill="1" applyAlignment="1">
      <alignment horizontal="center"/>
    </xf>
    <xf numFmtId="178" fontId="2" fillId="15" borderId="14" xfId="67" applyNumberFormat="1" applyFont="1" applyFill="1" applyBorder="1" applyAlignment="1">
      <alignment horizontal="center"/>
    </xf>
    <xf numFmtId="178" fontId="2" fillId="15" borderId="0" xfId="67" applyNumberFormat="1" applyFont="1" applyFill="1" applyBorder="1" applyAlignment="1">
      <alignment horizontal="center"/>
    </xf>
    <xf numFmtId="178" fontId="2" fillId="0" borderId="14" xfId="67" applyNumberFormat="1" applyFont="1" applyFill="1" applyBorder="1" applyAlignment="1">
      <alignment horizontal="center"/>
    </xf>
    <xf numFmtId="0" fontId="3" fillId="0" borderId="3" xfId="1" applyNumberFormat="1" applyBorder="1" applyAlignment="1">
      <alignment horizontal="center"/>
    </xf>
    <xf numFmtId="182" fontId="3" fillId="0" borderId="0" xfId="67" applyNumberFormat="1" applyFont="1" applyFill="1" applyBorder="1" applyAlignment="1">
      <alignment horizontal="center"/>
    </xf>
    <xf numFmtId="182" fontId="3" fillId="15" borderId="0" xfId="67" applyNumberFormat="1" applyFont="1" applyFill="1" applyBorder="1" applyAlignment="1">
      <alignment horizontal="center"/>
    </xf>
    <xf numFmtId="164" fontId="2" fillId="0" borderId="0" xfId="66" applyFont="1" applyAlignment="1">
      <alignment vertical="top"/>
    </xf>
    <xf numFmtId="0" fontId="2" fillId="0" borderId="0" xfId="66" applyNumberFormat="1" applyFont="1" applyAlignment="1">
      <alignment vertical="top"/>
    </xf>
    <xf numFmtId="164" fontId="2" fillId="0" borderId="0" xfId="66" applyFont="1" applyAlignment="1">
      <alignment horizontal="center" vertical="top"/>
    </xf>
    <xf numFmtId="164" fontId="2" fillId="0" borderId="0" xfId="66" applyFont="1" applyFill="1" applyAlignment="1">
      <alignment vertical="top"/>
    </xf>
    <xf numFmtId="164" fontId="2" fillId="0" borderId="0" xfId="66" applyFont="1" applyBorder="1" applyAlignment="1">
      <alignment horizontal="center" vertical="top"/>
    </xf>
    <xf numFmtId="164" fontId="2" fillId="0" borderId="0" xfId="66" applyFont="1" applyBorder="1" applyAlignment="1">
      <alignment vertical="top"/>
    </xf>
    <xf numFmtId="1" fontId="2" fillId="0" borderId="0" xfId="94" applyFont="1" applyFill="1" applyBorder="1" applyAlignment="1">
      <alignment horizontal="center" vertical="top"/>
    </xf>
    <xf numFmtId="0" fontId="21" fillId="0" borderId="0" xfId="66" applyNumberFormat="1" applyFont="1" applyBorder="1" applyAlignment="1">
      <alignment vertical="top"/>
    </xf>
    <xf numFmtId="0" fontId="21" fillId="0" borderId="0" xfId="67" applyNumberFormat="1" applyFont="1" applyBorder="1" applyAlignment="1">
      <alignment horizontal="center" vertical="top"/>
    </xf>
    <xf numFmtId="164" fontId="21" fillId="0" borderId="0" xfId="66" applyFont="1" applyBorder="1" applyAlignment="1">
      <alignment horizontal="center" vertical="top"/>
    </xf>
    <xf numFmtId="1" fontId="21" fillId="0" borderId="0" xfId="94" applyFont="1" applyBorder="1" applyAlignment="1">
      <alignment horizontal="center" vertical="top"/>
    </xf>
    <xf numFmtId="165" fontId="3" fillId="0" borderId="0" xfId="3" applyNumberFormat="1" applyFont="1" applyFill="1" applyAlignment="1" applyProtection="1">
      <alignment horizontal="center"/>
    </xf>
    <xf numFmtId="165" fontId="3" fillId="15" borderId="0" xfId="3" applyNumberFormat="1" applyFont="1" applyFill="1" applyAlignment="1" applyProtection="1">
      <alignment horizontal="center"/>
    </xf>
    <xf numFmtId="164" fontId="21" fillId="0" borderId="0" xfId="67" applyFont="1" applyBorder="1" applyAlignment="1">
      <alignment horizontal="center"/>
    </xf>
    <xf numFmtId="164" fontId="32" fillId="14" borderId="0" xfId="66" applyFont="1" applyFill="1" applyBorder="1" applyAlignment="1">
      <alignment vertical="top"/>
    </xf>
    <xf numFmtId="164" fontId="23" fillId="14" borderId="0" xfId="67" applyFont="1" applyFill="1" applyAlignment="1"/>
    <xf numFmtId="0" fontId="2" fillId="0" borderId="0" xfId="66" applyNumberFormat="1" applyFont="1" applyAlignment="1">
      <alignment horizontal="center" vertical="top"/>
    </xf>
    <xf numFmtId="164" fontId="26" fillId="14" borderId="0" xfId="67" applyFont="1" applyFill="1" applyAlignment="1"/>
    <xf numFmtId="1" fontId="35" fillId="14" borderId="0" xfId="49" applyNumberFormat="1" applyFont="1" applyFill="1" applyBorder="1" applyAlignment="1"/>
    <xf numFmtId="181" fontId="3" fillId="0" borderId="13" xfId="111" applyNumberFormat="1" applyFont="1" applyBorder="1" applyAlignment="1">
      <alignment horizontal="center" vertical="top" wrapText="1"/>
    </xf>
    <xf numFmtId="164" fontId="37" fillId="14" borderId="0" xfId="67" applyFont="1" applyFill="1" applyAlignment="1"/>
    <xf numFmtId="0" fontId="5" fillId="14" borderId="2" xfId="0" applyFont="1" applyFill="1" applyBorder="1" applyAlignment="1">
      <alignment horizontal="left" vertical="center" indent="1"/>
    </xf>
    <xf numFmtId="0" fontId="5" fillId="14" borderId="3" xfId="0" applyFont="1" applyFill="1" applyBorder="1" applyAlignment="1">
      <alignment horizontal="left" vertical="center" indent="1"/>
    </xf>
    <xf numFmtId="0" fontId="5" fillId="14" borderId="4" xfId="0" applyFont="1" applyFill="1" applyBorder="1" applyAlignment="1">
      <alignment horizontal="left" vertical="center" indent="1"/>
    </xf>
    <xf numFmtId="0" fontId="5" fillId="14" borderId="9" xfId="0" applyFont="1" applyFill="1" applyBorder="1" applyAlignment="1">
      <alignment horizontal="left" vertical="center" indent="1"/>
    </xf>
    <xf numFmtId="0" fontId="5" fillId="14" borderId="10" xfId="0" applyFont="1" applyFill="1" applyBorder="1" applyAlignment="1">
      <alignment horizontal="left" vertical="center" indent="1"/>
    </xf>
    <xf numFmtId="0" fontId="5" fillId="14" borderId="11" xfId="0" applyFont="1" applyFill="1" applyBorder="1" applyAlignment="1">
      <alignment horizontal="left" vertical="center" indent="1"/>
    </xf>
    <xf numFmtId="0" fontId="7" fillId="0" borderId="3" xfId="1" applyNumberFormat="1" applyFont="1" applyBorder="1" applyAlignment="1">
      <alignment horizontal="center" vertical="center"/>
    </xf>
    <xf numFmtId="0" fontId="7" fillId="0" borderId="4" xfId="1" applyNumberFormat="1" applyFont="1" applyBorder="1" applyAlignment="1">
      <alignment horizontal="center" vertical="center"/>
    </xf>
    <xf numFmtId="0" fontId="7" fillId="0" borderId="0" xfId="1" applyNumberFormat="1" applyFont="1" applyBorder="1" applyAlignment="1">
      <alignment horizontal="center" vertical="center"/>
    </xf>
    <xf numFmtId="0" fontId="7" fillId="0" borderId="6" xfId="1" applyNumberFormat="1" applyFont="1" applyBorder="1" applyAlignment="1">
      <alignment horizontal="center" vertical="center"/>
    </xf>
    <xf numFmtId="0" fontId="7" fillId="0" borderId="3" xfId="1" applyNumberFormat="1" applyFont="1" applyBorder="1" applyAlignment="1">
      <alignment horizontal="center" vertical="center" wrapText="1"/>
    </xf>
    <xf numFmtId="0" fontId="7" fillId="0" borderId="10" xfId="1" applyNumberFormat="1" applyFont="1" applyBorder="1" applyAlignment="1">
      <alignment horizontal="center" vertical="center" wrapText="1"/>
    </xf>
    <xf numFmtId="1" fontId="4" fillId="14" borderId="0" xfId="49" applyNumberFormat="1" applyFont="1" applyFill="1" applyBorder="1" applyAlignment="1">
      <alignment horizontal="left"/>
    </xf>
    <xf numFmtId="164" fontId="21" fillId="0" borderId="0" xfId="67" applyFont="1" applyBorder="1" applyAlignment="1">
      <alignment horizontal="center"/>
    </xf>
    <xf numFmtId="164" fontId="23" fillId="14" borderId="0" xfId="68" applyFont="1" applyFill="1" applyBorder="1" applyAlignment="1">
      <alignment horizontal="center"/>
    </xf>
    <xf numFmtId="0" fontId="2" fillId="0" borderId="12" xfId="66" applyNumberFormat="1" applyFont="1" applyBorder="1" applyAlignment="1">
      <alignment horizontal="center" vertical="top"/>
    </xf>
    <xf numFmtId="1" fontId="21" fillId="0" borderId="0" xfId="94" applyFont="1" applyFill="1" applyAlignment="1">
      <alignment horizontal="center" vertical="top"/>
    </xf>
    <xf numFmtId="1" fontId="21" fillId="0" borderId="0" xfId="94" applyFont="1" applyFill="1" applyBorder="1" applyAlignment="1">
      <alignment horizontal="center" vertical="top"/>
    </xf>
    <xf numFmtId="0" fontId="2" fillId="0" borderId="0" xfId="66" applyNumberFormat="1" applyFont="1" applyAlignment="1">
      <alignment horizontal="center" vertical="top"/>
    </xf>
    <xf numFmtId="170" fontId="23" fillId="14" borderId="0" xfId="68" applyNumberFormat="1" applyFont="1" applyFill="1" applyBorder="1" applyAlignment="1">
      <alignment horizontal="center"/>
    </xf>
  </cellXfs>
  <cellStyles count="112">
    <cellStyle name="_x000a_386grabber=M" xfId="3"/>
    <cellStyle name="_x000a_386grabber=M 2" xfId="4"/>
    <cellStyle name="_x000a_386grabber=M 2 2" xfId="5"/>
    <cellStyle name="_x000a_386grabber=M 2 3" xfId="6"/>
    <cellStyle name="_x000a_386grabber=M 3" xfId="7"/>
    <cellStyle name="_x000a_386grabber=M 4" xfId="8"/>
    <cellStyle name="Accent1 - 20%" xfId="9"/>
    <cellStyle name="Accent1 - 40%" xfId="10"/>
    <cellStyle name="Accent1 - 60%" xfId="11"/>
    <cellStyle name="Accent2 - 20%" xfId="12"/>
    <cellStyle name="Accent2 - 40%" xfId="13"/>
    <cellStyle name="Accent2 - 60%" xfId="14"/>
    <cellStyle name="Accent3 - 20%" xfId="15"/>
    <cellStyle name="Accent3 - 40%" xfId="16"/>
    <cellStyle name="Accent3 - 60%" xfId="17"/>
    <cellStyle name="Accent4 - 20%" xfId="18"/>
    <cellStyle name="Accent4 - 40%" xfId="19"/>
    <cellStyle name="Accent4 - 60%" xfId="20"/>
    <cellStyle name="Accent5 - 20%" xfId="21"/>
    <cellStyle name="Accent5 - 40%" xfId="22"/>
    <cellStyle name="Accent5 - 60%" xfId="23"/>
    <cellStyle name="Accent6 - 20%" xfId="24"/>
    <cellStyle name="Accent6 - 40%" xfId="25"/>
    <cellStyle name="Accent6 - 60%" xfId="26"/>
    <cellStyle name="AFE" xfId="27"/>
    <cellStyle name="AFE 2" xfId="28"/>
    <cellStyle name="AFE 2 2" xfId="29"/>
    <cellStyle name="AFE 2 3" xfId="30"/>
    <cellStyle name="AFE 3" xfId="31"/>
    <cellStyle name="AFE 4" xfId="32"/>
    <cellStyle name="Comma" xfId="111" builtinId="3"/>
    <cellStyle name="Comma [0] 2" xfId="98" hidden="1"/>
    <cellStyle name="Comma [0] 2" xfId="106" hidden="1"/>
    <cellStyle name="Comma [0] 2" xfId="109"/>
    <cellStyle name="Comma 2" xfId="33" hidden="1"/>
    <cellStyle name="Comma 2" xfId="100" hidden="1"/>
    <cellStyle name="Comma 2" xfId="104" hidden="1"/>
    <cellStyle name="Comma 2 2" xfId="89"/>
    <cellStyle name="Comma 3" xfId="34"/>
    <cellStyle name="Comma 4" xfId="35"/>
    <cellStyle name="Comma 5" xfId="36"/>
    <cellStyle name="Comma 6" xfId="37"/>
    <cellStyle name="Currency [0] 2" xfId="38" hidden="1"/>
    <cellStyle name="Currency [0] 2" xfId="101" hidden="1"/>
    <cellStyle name="Currency [0] 2" xfId="105" hidden="1"/>
    <cellStyle name="Currency 10" xfId="102" hidden="1"/>
    <cellStyle name="Currency 10" xfId="108"/>
    <cellStyle name="Currency 11" xfId="107"/>
    <cellStyle name="Currency 12" xfId="110"/>
    <cellStyle name="Currency 2" xfId="39"/>
    <cellStyle name="Currency 2 2" xfId="91" hidden="1"/>
    <cellStyle name="Currency 3" xfId="40"/>
    <cellStyle name="Currency 4" xfId="41"/>
    <cellStyle name="Currency 5" xfId="42"/>
    <cellStyle name="Currency 6" xfId="43"/>
    <cellStyle name="Currency 7" xfId="86"/>
    <cellStyle name="Currency 8" xfId="95"/>
    <cellStyle name="Currency 9" xfId="99"/>
    <cellStyle name="Emphasis 1" xfId="44"/>
    <cellStyle name="Emphasis 2" xfId="45"/>
    <cellStyle name="Emphasis 3" xfId="46"/>
    <cellStyle name="Hyperlink 2" xfId="47"/>
    <cellStyle name="Hyperlink 2 2" xfId="92"/>
    <cellStyle name="Hyperlink 3" xfId="48"/>
    <cellStyle name="Hyperlink 4" xfId="96"/>
    <cellStyle name="Normal" xfId="0" builtinId="0"/>
    <cellStyle name="Normal 10" xfId="49"/>
    <cellStyle name="Normal 11" xfId="50"/>
    <cellStyle name="Normal 12" xfId="51"/>
    <cellStyle name="Normal 13" xfId="94"/>
    <cellStyle name="Normal 2" xfId="1"/>
    <cellStyle name="Normal 2 2" xfId="52"/>
    <cellStyle name="Normal 2 2 2" xfId="53"/>
    <cellStyle name="Normal 2 3" xfId="54"/>
    <cellStyle name="Normal 3" xfId="55"/>
    <cellStyle name="Normal 3 2" xfId="56"/>
    <cellStyle name="Normal 3 3" xfId="87"/>
    <cellStyle name="Normal 4" xfId="57"/>
    <cellStyle name="Normal 4 2" xfId="90"/>
    <cellStyle name="Normal 5" xfId="58"/>
    <cellStyle name="Normal 6" xfId="59"/>
    <cellStyle name="Normal 6 2" xfId="60"/>
    <cellStyle name="Normal 6 3" xfId="61"/>
    <cellStyle name="Normal 7" xfId="62"/>
    <cellStyle name="Normal 8" xfId="63"/>
    <cellStyle name="Normal 9" xfId="64"/>
    <cellStyle name="Normal_2 PICS v4.4 (Comps, PT)" xfId="65"/>
    <cellStyle name="Normal_Ch02 Pics v1.0" xfId="66"/>
    <cellStyle name="Normal_Ch03 Pics v1.0" xfId="67"/>
    <cellStyle name="Normal_PT" xfId="68"/>
    <cellStyle name="Note 2" xfId="69"/>
    <cellStyle name="num,nodecpts" xfId="70"/>
    <cellStyle name="number" xfId="71"/>
    <cellStyle name="number(0)" xfId="72"/>
    <cellStyle name="number(2)" xfId="73"/>
    <cellStyle name="number_3 Stage_FCFF_Valuation_bb_v15" xfId="74"/>
    <cellStyle name="Pec (2dec,fs)" xfId="75"/>
    <cellStyle name="Percent" xfId="93" builtinId="5"/>
    <cellStyle name="Percent 2" xfId="2" hidden="1"/>
    <cellStyle name="Percent 2" xfId="97"/>
    <cellStyle name="Percent 2 2" xfId="76" hidden="1"/>
    <cellStyle name="Percent 2 3" xfId="88"/>
    <cellStyle name="Percent 3" xfId="77" hidden="1"/>
    <cellStyle name="Percent 3" xfId="103" hidden="1"/>
    <cellStyle name="Percent 4" xfId="78"/>
    <cellStyle name="Percent 5" xfId="79"/>
    <cellStyle name="Percent(2)" xfId="80"/>
    <cellStyle name="Ratios" xfId="81"/>
    <cellStyle name="Sheet Title" xfId="82"/>
    <cellStyle name="Text-fin statements" xfId="83"/>
    <cellStyle name="Text-fin statements 2" xfId="84"/>
    <cellStyle name="Text-fin statements 3" xfId="85"/>
  </cellStyles>
  <dxfs count="0"/>
  <tableStyles count="0" defaultTableStyle="TableStyleMedium9" defaultPivotStyle="PivotStyleLight16"/>
  <colors>
    <mruColors>
      <color rgb="FF1E6B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4</xdr:row>
          <xdr:rowOff>190500</xdr:rowOff>
        </xdr:from>
        <xdr:to>
          <xdr:col>5</xdr:col>
          <xdr:colOff>561975</xdr:colOff>
          <xdr:row>6</xdr:row>
          <xdr:rowOff>123825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309563</xdr:colOff>
      <xdr:row>0</xdr:row>
      <xdr:rowOff>119062</xdr:rowOff>
    </xdr:from>
    <xdr:to>
      <xdr:col>5</xdr:col>
      <xdr:colOff>956470</xdr:colOff>
      <xdr:row>1</xdr:row>
      <xdr:rowOff>148077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1" y="119062"/>
          <a:ext cx="1337469" cy="350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</xdr:row>
          <xdr:rowOff>9525</xdr:rowOff>
        </xdr:from>
        <xdr:to>
          <xdr:col>5</xdr:col>
          <xdr:colOff>571500</xdr:colOff>
          <xdr:row>8</xdr:row>
          <xdr:rowOff>133350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485775</xdr:colOff>
      <xdr:row>0</xdr:row>
      <xdr:rowOff>85725</xdr:rowOff>
    </xdr:from>
    <xdr:to>
      <xdr:col>8</xdr:col>
      <xdr:colOff>794349</xdr:colOff>
      <xdr:row>1</xdr:row>
      <xdr:rowOff>118533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9875" y="85725"/>
          <a:ext cx="308574" cy="4233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53</xdr:row>
      <xdr:rowOff>0</xdr:rowOff>
    </xdr:from>
    <xdr:to>
      <xdr:col>5</xdr:col>
      <xdr:colOff>0</xdr:colOff>
      <xdr:row>53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2705100" y="2616517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5</xdr:col>
      <xdr:colOff>0</xdr:colOff>
      <xdr:row>53</xdr:row>
      <xdr:rowOff>0</xdr:rowOff>
    </xdr:from>
    <xdr:to>
      <xdr:col>5</xdr:col>
      <xdr:colOff>0</xdr:colOff>
      <xdr:row>53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705100" y="2616517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11205</xdr:colOff>
      <xdr:row>41</xdr:row>
      <xdr:rowOff>100852</xdr:rowOff>
    </xdr:from>
    <xdr:to>
      <xdr:col>29</xdr:col>
      <xdr:colOff>19611</xdr:colOff>
      <xdr:row>45</xdr:row>
      <xdr:rowOff>22411</xdr:rowOff>
    </xdr:to>
    <xdr:sp macro="" textlink="">
      <xdr:nvSpPr>
        <xdr:cNvPr id="7" name="Rectangle 3"/>
        <xdr:cNvSpPr>
          <a:spLocks noChangeArrowheads="1"/>
        </xdr:cNvSpPr>
      </xdr:nvSpPr>
      <xdr:spPr bwMode="auto">
        <a:xfrm>
          <a:off x="11205" y="24484852"/>
          <a:ext cx="19048881" cy="407334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11205</xdr:colOff>
      <xdr:row>45</xdr:row>
      <xdr:rowOff>112758</xdr:rowOff>
    </xdr:from>
    <xdr:to>
      <xdr:col>29</xdr:col>
      <xdr:colOff>19611</xdr:colOff>
      <xdr:row>48</xdr:row>
      <xdr:rowOff>34317</xdr:rowOff>
    </xdr:to>
    <xdr:sp macro="" textlink="">
      <xdr:nvSpPr>
        <xdr:cNvPr id="8" name="Rectangle 3"/>
        <xdr:cNvSpPr>
          <a:spLocks noChangeArrowheads="1"/>
        </xdr:cNvSpPr>
      </xdr:nvSpPr>
      <xdr:spPr bwMode="auto">
        <a:xfrm>
          <a:off x="11205" y="3898946"/>
          <a:ext cx="17701094" cy="42162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28</xdr:col>
      <xdr:colOff>309563</xdr:colOff>
      <xdr:row>0</xdr:row>
      <xdr:rowOff>71437</xdr:rowOff>
    </xdr:from>
    <xdr:to>
      <xdr:col>28</xdr:col>
      <xdr:colOff>611522</xdr:colOff>
      <xdr:row>1</xdr:row>
      <xdr:rowOff>174624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21126" y="71437"/>
          <a:ext cx="301959" cy="4365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</xdr:colOff>
      <xdr:row>41</xdr:row>
      <xdr:rowOff>100853</xdr:rowOff>
    </xdr:from>
    <xdr:to>
      <xdr:col>29</xdr:col>
      <xdr:colOff>11206</xdr:colOff>
      <xdr:row>46</xdr:row>
      <xdr:rowOff>11206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11205" y="3029791"/>
          <a:ext cx="22169439" cy="577103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11205</xdr:colOff>
      <xdr:row>46</xdr:row>
      <xdr:rowOff>112059</xdr:rowOff>
    </xdr:from>
    <xdr:to>
      <xdr:col>29</xdr:col>
      <xdr:colOff>11206</xdr:colOff>
      <xdr:row>49</xdr:row>
      <xdr:rowOff>22412</xdr:rowOff>
    </xdr:to>
    <xdr:sp macro="" textlink="">
      <xdr:nvSpPr>
        <xdr:cNvPr id="6" name="Rectangle 4"/>
        <xdr:cNvSpPr>
          <a:spLocks noChangeArrowheads="1"/>
        </xdr:cNvSpPr>
      </xdr:nvSpPr>
      <xdr:spPr bwMode="auto">
        <a:xfrm>
          <a:off x="11205" y="7993997"/>
          <a:ext cx="15871032" cy="41041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28</xdr:col>
      <xdr:colOff>333375</xdr:colOff>
      <xdr:row>0</xdr:row>
      <xdr:rowOff>107156</xdr:rowOff>
    </xdr:from>
    <xdr:to>
      <xdr:col>28</xdr:col>
      <xdr:colOff>641949</xdr:colOff>
      <xdr:row>1</xdr:row>
      <xdr:rowOff>197114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6469" y="107156"/>
          <a:ext cx="308574" cy="4233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</xdr:colOff>
      <xdr:row>41</xdr:row>
      <xdr:rowOff>89647</xdr:rowOff>
    </xdr:from>
    <xdr:to>
      <xdr:col>27</xdr:col>
      <xdr:colOff>0</xdr:colOff>
      <xdr:row>45</xdr:row>
      <xdr:rowOff>11907</xdr:rowOff>
    </xdr:to>
    <xdr:sp macro="" textlink="">
      <xdr:nvSpPr>
        <xdr:cNvPr id="2" name="Rectangle 4"/>
        <xdr:cNvSpPr>
          <a:spLocks noChangeArrowheads="1"/>
        </xdr:cNvSpPr>
      </xdr:nvSpPr>
      <xdr:spPr bwMode="auto">
        <a:xfrm>
          <a:off x="11205" y="24445072"/>
          <a:ext cx="18800670" cy="40803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6722</xdr:colOff>
      <xdr:row>45</xdr:row>
      <xdr:rowOff>108979</xdr:rowOff>
    </xdr:from>
    <xdr:to>
      <xdr:col>27</xdr:col>
      <xdr:colOff>11906</xdr:colOff>
      <xdr:row>48</xdr:row>
      <xdr:rowOff>9528</xdr:rowOff>
    </xdr:to>
    <xdr:sp macro="" textlink="">
      <xdr:nvSpPr>
        <xdr:cNvPr id="3" name="Rectangle 4"/>
        <xdr:cNvSpPr>
          <a:spLocks noChangeArrowheads="1"/>
        </xdr:cNvSpPr>
      </xdr:nvSpPr>
      <xdr:spPr bwMode="auto">
        <a:xfrm>
          <a:off x="6722" y="7800417"/>
          <a:ext cx="17721684" cy="40061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26</xdr:col>
      <xdr:colOff>440531</xdr:colOff>
      <xdr:row>0</xdr:row>
      <xdr:rowOff>95250</xdr:rowOff>
    </xdr:from>
    <xdr:to>
      <xdr:col>27</xdr:col>
      <xdr:colOff>4303</xdr:colOff>
      <xdr:row>1</xdr:row>
      <xdr:rowOff>198437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18844" y="95250"/>
          <a:ext cx="301959" cy="4365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</xdr:colOff>
      <xdr:row>41</xdr:row>
      <xdr:rowOff>89647</xdr:rowOff>
    </xdr:from>
    <xdr:to>
      <xdr:col>25</xdr:col>
      <xdr:colOff>0</xdr:colOff>
      <xdr:row>45</xdr:row>
      <xdr:rowOff>11907</xdr:rowOff>
    </xdr:to>
    <xdr:sp macro="" textlink="">
      <xdr:nvSpPr>
        <xdr:cNvPr id="2" name="Rectangle 4"/>
        <xdr:cNvSpPr>
          <a:spLocks noChangeArrowheads="1"/>
        </xdr:cNvSpPr>
      </xdr:nvSpPr>
      <xdr:spPr bwMode="auto">
        <a:xfrm>
          <a:off x="11205" y="24445072"/>
          <a:ext cx="18276795" cy="40803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6722</xdr:colOff>
      <xdr:row>45</xdr:row>
      <xdr:rowOff>97073</xdr:rowOff>
    </xdr:from>
    <xdr:to>
      <xdr:col>25</xdr:col>
      <xdr:colOff>1</xdr:colOff>
      <xdr:row>47</xdr:row>
      <xdr:rowOff>164309</xdr:rowOff>
    </xdr:to>
    <xdr:sp macro="" textlink="">
      <xdr:nvSpPr>
        <xdr:cNvPr id="3" name="Rectangle 4"/>
        <xdr:cNvSpPr>
          <a:spLocks noChangeArrowheads="1"/>
        </xdr:cNvSpPr>
      </xdr:nvSpPr>
      <xdr:spPr bwMode="auto">
        <a:xfrm>
          <a:off x="6722" y="3788011"/>
          <a:ext cx="15364248" cy="40061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24</xdr:col>
      <xdr:colOff>440532</xdr:colOff>
      <xdr:row>0</xdr:row>
      <xdr:rowOff>71438</xdr:rowOff>
    </xdr:from>
    <xdr:to>
      <xdr:col>25</xdr:col>
      <xdr:colOff>4303</xdr:colOff>
      <xdr:row>1</xdr:row>
      <xdr:rowOff>174625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70845" y="71438"/>
          <a:ext cx="301959" cy="4365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trinio/AppData/Roaming/Intrinio/Excel%20Add-in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  <pageSetUpPr fitToPage="1"/>
  </sheetPr>
  <dimension ref="A1:G42"/>
  <sheetViews>
    <sheetView showGridLines="0" tabSelected="1" zoomScale="80" zoomScaleNormal="80" workbookViewId="0">
      <selection activeCell="D6" sqref="D6"/>
    </sheetView>
  </sheetViews>
  <sheetFormatPr defaultColWidth="8" defaultRowHeight="12.75" outlineLevelRow="1"/>
  <cols>
    <col min="1" max="1" width="2.625" style="1" customWidth="1"/>
    <col min="2" max="2" width="4.125" style="1" customWidth="1"/>
    <col min="3" max="3" width="3.875" style="1" customWidth="1"/>
    <col min="4" max="4" width="11.625" style="1" customWidth="1"/>
    <col min="5" max="5" width="9" style="1" customWidth="1"/>
    <col min="6" max="6" width="12.625" style="1" customWidth="1"/>
    <col min="7" max="7" width="1.875" style="1" customWidth="1"/>
    <col min="8" max="16384" width="8" style="1"/>
  </cols>
  <sheetData>
    <row r="1" spans="1:7" ht="25.5" customHeight="1">
      <c r="A1" s="269" t="s">
        <v>75</v>
      </c>
      <c r="B1" s="270"/>
      <c r="C1" s="270"/>
      <c r="D1" s="270"/>
      <c r="E1" s="270"/>
      <c r="F1" s="270"/>
      <c r="G1" s="271"/>
    </row>
    <row r="2" spans="1:7" ht="18.75" customHeight="1" thickBot="1">
      <c r="A2" s="272"/>
      <c r="B2" s="273"/>
      <c r="C2" s="273"/>
      <c r="D2" s="273"/>
      <c r="E2" s="273"/>
      <c r="F2" s="273"/>
      <c r="G2" s="274"/>
    </row>
    <row r="3" spans="1:7" ht="18.75" customHeight="1" thickBot="1">
      <c r="A3" s="177"/>
      <c r="B3" s="177"/>
      <c r="C3" s="177"/>
      <c r="D3" s="177"/>
      <c r="E3" s="177"/>
      <c r="F3" s="177"/>
    </row>
    <row r="4" spans="1:7" ht="16.5" customHeight="1">
      <c r="A4" s="6"/>
      <c r="B4" s="178"/>
      <c r="C4" s="275" t="s">
        <v>0</v>
      </c>
      <c r="D4" s="279" t="s">
        <v>69</v>
      </c>
      <c r="E4" s="275" t="s">
        <v>1</v>
      </c>
      <c r="F4" s="276"/>
    </row>
    <row r="5" spans="1:7" ht="15.75" thickBot="1">
      <c r="A5" s="6"/>
      <c r="B5" s="3"/>
      <c r="C5" s="277"/>
      <c r="D5" s="280"/>
      <c r="E5" s="277"/>
      <c r="F5" s="278"/>
    </row>
    <row r="6" spans="1:7" ht="15.4">
      <c r="A6" s="6"/>
      <c r="B6" s="3"/>
      <c r="C6" s="7" t="str">
        <f>IF(D6="","",1)</f>
        <v/>
      </c>
      <c r="D6" s="179"/>
      <c r="E6" s="8"/>
      <c r="F6" s="5"/>
    </row>
    <row r="7" spans="1:7" ht="15.4">
      <c r="A7" s="6"/>
      <c r="B7" s="3"/>
      <c r="C7" s="7" t="str">
        <f>IF(D7="","",C6+1)</f>
        <v/>
      </c>
      <c r="D7" s="180"/>
      <c r="E7" s="8"/>
      <c r="F7" s="5"/>
    </row>
    <row r="8" spans="1:7" ht="15.4">
      <c r="A8" s="6"/>
      <c r="B8" s="3"/>
      <c r="C8" s="7" t="str">
        <f t="shared" ref="C8:C35" si="0">IF(D8="","",C7+1)</f>
        <v/>
      </c>
      <c r="D8" s="180"/>
      <c r="E8" s="8"/>
      <c r="F8" s="5"/>
    </row>
    <row r="9" spans="1:7" ht="15.4">
      <c r="A9" s="6"/>
      <c r="B9" s="3"/>
      <c r="C9" s="7" t="str">
        <f t="shared" si="0"/>
        <v/>
      </c>
      <c r="D9" s="180"/>
      <c r="E9" s="8"/>
      <c r="F9" s="5"/>
    </row>
    <row r="10" spans="1:7" ht="15.75" thickBot="1">
      <c r="A10" s="6"/>
      <c r="B10" s="3"/>
      <c r="C10" s="7" t="str">
        <f t="shared" si="0"/>
        <v/>
      </c>
      <c r="D10" s="180"/>
      <c r="E10" s="8"/>
      <c r="F10" s="5"/>
    </row>
    <row r="11" spans="1:7" ht="15.4" hidden="1" outlineLevel="1">
      <c r="A11" s="6"/>
      <c r="B11" s="3"/>
      <c r="C11" s="7" t="str">
        <f t="shared" si="0"/>
        <v/>
      </c>
      <c r="D11" s="180"/>
      <c r="E11" s="8"/>
      <c r="F11" s="5"/>
    </row>
    <row r="12" spans="1:7" ht="15.4" hidden="1" outlineLevel="1">
      <c r="A12" s="6"/>
      <c r="B12" s="3"/>
      <c r="C12" s="7" t="str">
        <f t="shared" si="0"/>
        <v/>
      </c>
      <c r="D12" s="180"/>
      <c r="E12" s="8"/>
      <c r="F12" s="5"/>
    </row>
    <row r="13" spans="1:7" ht="15.4" hidden="1" outlineLevel="1">
      <c r="A13" s="6"/>
      <c r="B13" s="3"/>
      <c r="C13" s="7" t="str">
        <f t="shared" si="0"/>
        <v/>
      </c>
      <c r="D13" s="180"/>
      <c r="E13" s="8"/>
      <c r="F13" s="5"/>
    </row>
    <row r="14" spans="1:7" ht="15.4" hidden="1" outlineLevel="1">
      <c r="A14" s="6"/>
      <c r="B14" s="3"/>
      <c r="C14" s="7" t="str">
        <f t="shared" si="0"/>
        <v/>
      </c>
      <c r="D14" s="180"/>
      <c r="E14" s="8"/>
      <c r="F14" s="5"/>
    </row>
    <row r="15" spans="1:7" ht="15.4" hidden="1" outlineLevel="1">
      <c r="A15" s="6"/>
      <c r="B15" s="3"/>
      <c r="C15" s="7" t="str">
        <f t="shared" si="0"/>
        <v/>
      </c>
      <c r="D15" s="180"/>
      <c r="E15" s="8"/>
      <c r="F15" s="5"/>
    </row>
    <row r="16" spans="1:7" ht="15.4" hidden="1" outlineLevel="1">
      <c r="A16" s="6"/>
      <c r="B16" s="3"/>
      <c r="C16" s="7" t="str">
        <f t="shared" si="0"/>
        <v/>
      </c>
      <c r="D16" s="180"/>
      <c r="E16" s="8"/>
      <c r="F16" s="5"/>
    </row>
    <row r="17" spans="1:6" ht="15.4" hidden="1" outlineLevel="1">
      <c r="A17" s="6"/>
      <c r="B17" s="3"/>
      <c r="C17" s="7" t="str">
        <f t="shared" si="0"/>
        <v/>
      </c>
      <c r="D17" s="180"/>
      <c r="E17" s="8"/>
      <c r="F17" s="5"/>
    </row>
    <row r="18" spans="1:6" ht="15.4" hidden="1" outlineLevel="1">
      <c r="A18" s="6"/>
      <c r="B18" s="3"/>
      <c r="C18" s="7" t="str">
        <f t="shared" si="0"/>
        <v/>
      </c>
      <c r="D18" s="180"/>
      <c r="E18" s="8"/>
      <c r="F18" s="5"/>
    </row>
    <row r="19" spans="1:6" ht="15.4" hidden="1" outlineLevel="1">
      <c r="A19" s="6"/>
      <c r="B19" s="3"/>
      <c r="C19" s="7" t="str">
        <f t="shared" si="0"/>
        <v/>
      </c>
      <c r="D19" s="180"/>
      <c r="E19" s="8"/>
      <c r="F19" s="5"/>
    </row>
    <row r="20" spans="1:6" ht="15.4" hidden="1" outlineLevel="1">
      <c r="A20" s="6"/>
      <c r="B20" s="3"/>
      <c r="C20" s="7" t="str">
        <f t="shared" si="0"/>
        <v/>
      </c>
      <c r="D20" s="180"/>
      <c r="E20" s="8"/>
      <c r="F20" s="5"/>
    </row>
    <row r="21" spans="1:6" ht="15.4" hidden="1" outlineLevel="1">
      <c r="A21" s="6"/>
      <c r="B21" s="3"/>
      <c r="C21" s="7" t="str">
        <f t="shared" si="0"/>
        <v/>
      </c>
      <c r="D21" s="180"/>
      <c r="E21" s="8"/>
      <c r="F21" s="5"/>
    </row>
    <row r="22" spans="1:6" ht="15.4" hidden="1" outlineLevel="1">
      <c r="A22" s="9"/>
      <c r="B22" s="3"/>
      <c r="C22" s="7" t="str">
        <f t="shared" si="0"/>
        <v/>
      </c>
      <c r="D22" s="180"/>
      <c r="E22" s="8"/>
      <c r="F22" s="5"/>
    </row>
    <row r="23" spans="1:6" ht="15.4" hidden="1" outlineLevel="1">
      <c r="A23" s="9"/>
      <c r="B23" s="3"/>
      <c r="C23" s="7" t="str">
        <f t="shared" si="0"/>
        <v/>
      </c>
      <c r="D23" s="180"/>
      <c r="E23" s="8"/>
      <c r="F23" s="5"/>
    </row>
    <row r="24" spans="1:6" ht="15.4" hidden="1" outlineLevel="1">
      <c r="A24" s="9"/>
      <c r="B24" s="3"/>
      <c r="C24" s="7" t="str">
        <f t="shared" si="0"/>
        <v/>
      </c>
      <c r="D24" s="180"/>
      <c r="E24" s="8"/>
      <c r="F24" s="5"/>
    </row>
    <row r="25" spans="1:6" ht="15.4" hidden="1" outlineLevel="1">
      <c r="A25" s="9"/>
      <c r="B25" s="3"/>
      <c r="C25" s="7" t="str">
        <f t="shared" si="0"/>
        <v/>
      </c>
      <c r="D25" s="180"/>
      <c r="E25" s="8"/>
      <c r="F25" s="5"/>
    </row>
    <row r="26" spans="1:6" ht="15.4" hidden="1" outlineLevel="1">
      <c r="A26" s="6"/>
      <c r="B26" s="3"/>
      <c r="C26" s="7" t="str">
        <f t="shared" si="0"/>
        <v/>
      </c>
      <c r="D26" s="180"/>
      <c r="E26" s="8"/>
      <c r="F26" s="5"/>
    </row>
    <row r="27" spans="1:6" ht="15.4" hidden="1" outlineLevel="1">
      <c r="A27" s="6"/>
      <c r="B27" s="3"/>
      <c r="C27" s="7" t="str">
        <f t="shared" si="0"/>
        <v/>
      </c>
      <c r="D27" s="180"/>
      <c r="E27" s="8"/>
      <c r="F27" s="5"/>
    </row>
    <row r="28" spans="1:6" ht="15.4" hidden="1" outlineLevel="1">
      <c r="A28" s="6"/>
      <c r="B28" s="3"/>
      <c r="C28" s="7" t="str">
        <f t="shared" si="0"/>
        <v/>
      </c>
      <c r="D28" s="180"/>
      <c r="E28" s="8"/>
      <c r="F28" s="5"/>
    </row>
    <row r="29" spans="1:6" ht="15.4" hidden="1" outlineLevel="1">
      <c r="A29" s="6"/>
      <c r="B29" s="3"/>
      <c r="C29" s="7" t="str">
        <f t="shared" si="0"/>
        <v/>
      </c>
      <c r="D29" s="180"/>
      <c r="E29" s="8"/>
      <c r="F29" s="5"/>
    </row>
    <row r="30" spans="1:6" ht="15.4" hidden="1" outlineLevel="1">
      <c r="A30" s="6"/>
      <c r="B30" s="3"/>
      <c r="C30" s="7" t="str">
        <f t="shared" si="0"/>
        <v/>
      </c>
      <c r="D30" s="180"/>
      <c r="E30" s="8"/>
      <c r="F30" s="5"/>
    </row>
    <row r="31" spans="1:6" ht="15.4" hidden="1" outlineLevel="1">
      <c r="A31" s="2"/>
      <c r="B31" s="3"/>
      <c r="C31" s="7" t="str">
        <f t="shared" si="0"/>
        <v/>
      </c>
      <c r="D31" s="180"/>
      <c r="E31" s="8"/>
      <c r="F31" s="5"/>
    </row>
    <row r="32" spans="1:6" ht="15.4" hidden="1" outlineLevel="1">
      <c r="A32" s="2"/>
      <c r="B32" s="3"/>
      <c r="C32" s="7" t="str">
        <f t="shared" si="0"/>
        <v/>
      </c>
      <c r="D32" s="180"/>
      <c r="E32" s="8"/>
      <c r="F32" s="5"/>
    </row>
    <row r="33" spans="1:6" ht="15.4" hidden="1" outlineLevel="1">
      <c r="A33" s="2"/>
      <c r="B33" s="3"/>
      <c r="C33" s="7" t="str">
        <f t="shared" si="0"/>
        <v/>
      </c>
      <c r="D33" s="180"/>
      <c r="E33" s="8"/>
      <c r="F33" s="5"/>
    </row>
    <row r="34" spans="1:6" ht="15.4" hidden="1" outlineLevel="1">
      <c r="B34" s="3"/>
      <c r="C34" s="7" t="str">
        <f t="shared" si="0"/>
        <v/>
      </c>
      <c r="D34" s="180"/>
      <c r="E34" s="8"/>
      <c r="F34" s="5"/>
    </row>
    <row r="35" spans="1:6" ht="15.75" hidden="1" outlineLevel="1" thickBot="1">
      <c r="B35" s="3"/>
      <c r="C35" s="7" t="str">
        <f t="shared" si="0"/>
        <v/>
      </c>
      <c r="D35" s="180"/>
      <c r="E35" s="8"/>
      <c r="F35" s="5"/>
    </row>
    <row r="36" spans="1:6" collapsed="1">
      <c r="B36" s="3"/>
      <c r="C36" s="4"/>
      <c r="D36" s="245"/>
      <c r="E36" s="4"/>
      <c r="F36" s="5"/>
    </row>
    <row r="37" spans="1:6" ht="13.15" thickBot="1">
      <c r="B37" s="10"/>
      <c r="C37" s="11"/>
      <c r="D37" s="12"/>
      <c r="E37" s="11"/>
      <c r="F37" s="13"/>
    </row>
    <row r="38" spans="1:6">
      <c r="B38" s="14"/>
      <c r="C38" s="14"/>
      <c r="D38" s="15"/>
      <c r="E38" s="14"/>
      <c r="F38" s="14"/>
    </row>
    <row r="39" spans="1:6">
      <c r="B39" s="14"/>
      <c r="C39" s="14"/>
      <c r="D39" s="15"/>
      <c r="E39" s="14"/>
      <c r="F39" s="14"/>
    </row>
    <row r="40" spans="1:6">
      <c r="B40" s="14"/>
      <c r="C40" s="14"/>
      <c r="D40" s="15"/>
      <c r="E40" s="14"/>
      <c r="F40" s="14"/>
    </row>
    <row r="41" spans="1:6">
      <c r="B41" s="14"/>
      <c r="C41" s="14"/>
      <c r="D41" s="15"/>
      <c r="E41" s="14"/>
      <c r="F41" s="14"/>
    </row>
    <row r="42" spans="1:6">
      <c r="B42" s="14"/>
      <c r="C42" s="14"/>
      <c r="D42" s="15"/>
      <c r="E42" s="14"/>
      <c r="F42" s="14"/>
    </row>
  </sheetData>
  <sheetProtection selectLockedCells="1"/>
  <mergeCells count="4">
    <mergeCell ref="A1:G2"/>
    <mergeCell ref="E4:F5"/>
    <mergeCell ref="D4:D5"/>
    <mergeCell ref="C4:C5"/>
  </mergeCells>
  <printOptions horizontalCentered="1"/>
  <pageMargins left="0.5" right="0.5" top="0.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0" r:id="rId4" name="Button 32">
              <controlPr defaultSize="0" print="0" autoFill="0" autoPict="0" macro="[0]!ThisWorkbook.RunList">
                <anchor moveWithCells="1" sizeWithCells="1">
                  <from>
                    <xdr:col>4</xdr:col>
                    <xdr:colOff>333375</xdr:colOff>
                    <xdr:row>4</xdr:row>
                    <xdr:rowOff>190500</xdr:rowOff>
                  </from>
                  <to>
                    <xdr:col>5</xdr:col>
                    <xdr:colOff>561975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ThisWorkbook.ClearList">
                <anchor moveWithCells="1" sizeWithCells="1">
                  <from>
                    <xdr:col>4</xdr:col>
                    <xdr:colOff>342900</xdr:colOff>
                    <xdr:row>7</xdr:row>
                    <xdr:rowOff>9525</xdr:rowOff>
                  </from>
                  <to>
                    <xdr:col>5</xdr:col>
                    <xdr:colOff>571500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  <pageSetUpPr fitToPage="1"/>
  </sheetPr>
  <dimension ref="A1:I36"/>
  <sheetViews>
    <sheetView showGridLines="0" zoomScale="90" zoomScaleNormal="90" workbookViewId="0">
      <pane ySplit="5" topLeftCell="A6" activePane="bottomLeft" state="frozen"/>
      <selection activeCell="D6" sqref="D6"/>
      <selection pane="bottomLeft" activeCell="A6" sqref="A6"/>
    </sheetView>
  </sheetViews>
  <sheetFormatPr defaultColWidth="8" defaultRowHeight="12.75" outlineLevelRow="1"/>
  <cols>
    <col min="1" max="1" width="22.625" style="164" customWidth="1"/>
    <col min="2" max="2" width="14.625" style="164" customWidth="1"/>
    <col min="3" max="3" width="62" style="164" customWidth="1"/>
    <col min="4" max="4" width="10.625" style="19" customWidth="1"/>
    <col min="5" max="5" width="12.25" style="19" customWidth="1"/>
    <col min="6" max="7" width="10.625" style="19" customWidth="1"/>
    <col min="8" max="8" width="10.75" style="19" customWidth="1"/>
    <col min="9" max="9" width="11.5" style="19" customWidth="1"/>
    <col min="10" max="10" width="1.5" style="19" customWidth="1"/>
    <col min="11" max="16384" width="8" style="19"/>
  </cols>
  <sheetData>
    <row r="1" spans="1:9" ht="28.5">
      <c r="A1" s="266" t="s">
        <v>114</v>
      </c>
      <c r="B1" s="266"/>
      <c r="C1" s="266"/>
      <c r="D1" s="266"/>
      <c r="E1" s="266"/>
      <c r="F1" s="266"/>
      <c r="G1" s="266"/>
      <c r="H1" s="281"/>
      <c r="I1" s="281"/>
    </row>
    <row r="2" spans="1:9" ht="19.5" customHeight="1">
      <c r="A2" s="182"/>
      <c r="B2" s="183"/>
      <c r="C2" s="183"/>
      <c r="D2" s="184"/>
      <c r="E2" s="184"/>
      <c r="F2" s="184"/>
      <c r="G2" s="184"/>
      <c r="H2" s="184"/>
      <c r="I2" s="184"/>
    </row>
    <row r="3" spans="1:9" ht="13.15">
      <c r="A3" s="185"/>
      <c r="B3" s="186"/>
      <c r="C3" s="186"/>
      <c r="D3" s="187"/>
      <c r="E3" s="187"/>
      <c r="F3" s="187" t="s">
        <v>3</v>
      </c>
      <c r="G3" s="187" t="s">
        <v>4</v>
      </c>
      <c r="H3" s="187" t="s">
        <v>76</v>
      </c>
      <c r="I3" s="187" t="s">
        <v>76</v>
      </c>
    </row>
    <row r="4" spans="1:9" ht="13.15">
      <c r="A4" s="185"/>
      <c r="B4" s="186"/>
      <c r="C4" s="186"/>
      <c r="D4" s="187"/>
      <c r="E4" s="187" t="s">
        <v>96</v>
      </c>
      <c r="F4" s="187" t="s">
        <v>7</v>
      </c>
      <c r="G4" s="187" t="s">
        <v>7</v>
      </c>
      <c r="H4" s="187" t="s">
        <v>70</v>
      </c>
      <c r="I4" s="187" t="s">
        <v>8</v>
      </c>
    </row>
    <row r="5" spans="1:9" ht="16.5">
      <c r="A5" s="226" t="s">
        <v>5</v>
      </c>
      <c r="B5" s="188" t="s">
        <v>2</v>
      </c>
      <c r="C5" s="188" t="s">
        <v>6</v>
      </c>
      <c r="D5" s="189" t="s">
        <v>93</v>
      </c>
      <c r="E5" s="189" t="s">
        <v>97</v>
      </c>
      <c r="F5" s="189" t="s">
        <v>104</v>
      </c>
      <c r="G5" s="189" t="s">
        <v>104</v>
      </c>
      <c r="H5" s="189" t="s">
        <v>104</v>
      </c>
      <c r="I5" s="189" t="s">
        <v>104</v>
      </c>
    </row>
    <row r="6" spans="1:9" ht="60" customHeight="1">
      <c r="A6" s="162" t="str">
        <f>[1]!IntrinioDataPoint(B6,"name")</f>
        <v/>
      </c>
      <c r="B6" s="181" t="str">
        <f>IF(List!D6="","",List!D6)</f>
        <v/>
      </c>
      <c r="C6" s="162" t="str">
        <f>[1]!IntrinioDataPoint(B6,"short_description")</f>
        <v/>
      </c>
      <c r="D6" s="232" t="str">
        <f>[1]!IntrinioDataPoint(B6,"employees")</f>
        <v/>
      </c>
      <c r="E6" s="267" t="str">
        <f>[1]!IntrinioDataPoint(B6,"next_earnings_date")</f>
        <v/>
      </c>
      <c r="F6" s="20" t="str">
        <f>IFERROR([1]!IntrinioDataPoint(B6,"marketcap")/1000000,"")</f>
        <v/>
      </c>
      <c r="G6" s="20" t="str">
        <f>IFERROR([1]!IntrinioDataPoint(B6,"enterprisevalue")/1000000,"")</f>
        <v/>
      </c>
      <c r="H6" s="20" t="str">
        <f>IFERROR([1]!IntrinioDataPoint(B6,"totalrevenue")/1000000,"")</f>
        <v/>
      </c>
      <c r="I6" s="20" t="str">
        <f>IFERROR([1]!IntrinioDataPoint(B6,"netincome")/1000000,"")</f>
        <v/>
      </c>
    </row>
    <row r="7" spans="1:9" ht="60" customHeight="1">
      <c r="A7" s="162" t="str">
        <f>[1]!IntrinioDataPoint(B7,"name")</f>
        <v/>
      </c>
      <c r="B7" s="181" t="str">
        <f>IF(List!D7="","",List!D7)</f>
        <v/>
      </c>
      <c r="C7" s="162" t="str">
        <f>[1]!IntrinioDataPoint(B7,"short_description")</f>
        <v/>
      </c>
      <c r="D7" s="232" t="str">
        <f>[1]!IntrinioDataPoint(B7,"employees")</f>
        <v/>
      </c>
      <c r="E7" s="267" t="str">
        <f>[1]!IntrinioDataPoint(B7,"next_earnings_date")</f>
        <v/>
      </c>
      <c r="F7" s="20" t="str">
        <f>IFERROR([1]!IntrinioDataPoint(B7,"marketcap")/1000000,"")</f>
        <v/>
      </c>
      <c r="G7" s="20" t="str">
        <f>IFERROR([1]!IntrinioDataPoint(B7,"enterprisevalue")/1000000,"")</f>
        <v/>
      </c>
      <c r="H7" s="20" t="str">
        <f>IFERROR([1]!IntrinioDataPoint(B7,"totalrevenue")/1000000,"")</f>
        <v/>
      </c>
      <c r="I7" s="20" t="str">
        <f>IFERROR([1]!IntrinioDataPoint(B7,"netincome")/1000000,"")</f>
        <v/>
      </c>
    </row>
    <row r="8" spans="1:9" ht="60" customHeight="1">
      <c r="A8" s="162" t="str">
        <f>[1]!IntrinioDataPoint(B8,"name")</f>
        <v/>
      </c>
      <c r="B8" s="181" t="str">
        <f>IF(List!D8="","",List!D8)</f>
        <v/>
      </c>
      <c r="C8" s="162" t="str">
        <f>[1]!IntrinioDataPoint(B8,"short_description")</f>
        <v/>
      </c>
      <c r="D8" s="232" t="str">
        <f>[1]!IntrinioDataPoint(B8,"employees")</f>
        <v/>
      </c>
      <c r="E8" s="267" t="str">
        <f>[1]!IntrinioDataPoint(B8,"next_earnings_date")</f>
        <v/>
      </c>
      <c r="F8" s="20" t="str">
        <f>IFERROR([1]!IntrinioDataPoint(B8,"marketcap")/1000000,"")</f>
        <v/>
      </c>
      <c r="G8" s="20" t="str">
        <f>IFERROR([1]!IntrinioDataPoint(B8,"enterprisevalue")/1000000,"")</f>
        <v/>
      </c>
      <c r="H8" s="20" t="str">
        <f>IFERROR([1]!IntrinioDataPoint(B8,"totalrevenue")/1000000,"")</f>
        <v/>
      </c>
      <c r="I8" s="20" t="str">
        <f>IFERROR([1]!IntrinioDataPoint(B8,"netincome")/1000000,"")</f>
        <v/>
      </c>
    </row>
    <row r="9" spans="1:9" ht="60" customHeight="1">
      <c r="A9" s="162" t="str">
        <f>[1]!IntrinioDataPoint(B9,"name")</f>
        <v/>
      </c>
      <c r="B9" s="181" t="str">
        <f>IF(List!D9="","",List!D9)</f>
        <v/>
      </c>
      <c r="C9" s="162" t="str">
        <f>[1]!IntrinioDataPoint(B9,"short_description")</f>
        <v/>
      </c>
      <c r="D9" s="232" t="str">
        <f>[1]!IntrinioDataPoint(B9,"employees")</f>
        <v/>
      </c>
      <c r="E9" s="267" t="str">
        <f>[1]!IntrinioDataPoint(B9,"next_earnings_date")</f>
        <v/>
      </c>
      <c r="F9" s="20" t="str">
        <f>IFERROR([1]!IntrinioDataPoint(B9,"marketcap")/1000000,"")</f>
        <v/>
      </c>
      <c r="G9" s="20" t="str">
        <f>IFERROR([1]!IntrinioDataPoint(B9,"enterprisevalue")/1000000,"")</f>
        <v/>
      </c>
      <c r="H9" s="20" t="str">
        <f>IFERROR([1]!IntrinioDataPoint(B9,"totalrevenue")/1000000,"")</f>
        <v/>
      </c>
      <c r="I9" s="20" t="str">
        <f>IFERROR([1]!IntrinioDataPoint(B9,"netincome")/1000000,"")</f>
        <v/>
      </c>
    </row>
    <row r="10" spans="1:9" ht="60" customHeight="1">
      <c r="A10" s="162" t="str">
        <f>[1]!IntrinioDataPoint(B10,"name")</f>
        <v/>
      </c>
      <c r="B10" s="181" t="str">
        <f>IF(List!D10="","",List!D10)</f>
        <v/>
      </c>
      <c r="C10" s="162" t="str">
        <f>[1]!IntrinioDataPoint(B10,"short_description")</f>
        <v/>
      </c>
      <c r="D10" s="232" t="str">
        <f>[1]!IntrinioDataPoint(B10,"employees")</f>
        <v/>
      </c>
      <c r="E10" s="267" t="str">
        <f>[1]!IntrinioDataPoint(B10,"next_earnings_date")</f>
        <v/>
      </c>
      <c r="F10" s="20" t="str">
        <f>IFERROR([1]!IntrinioDataPoint(B10,"marketcap")/1000000,"")</f>
        <v/>
      </c>
      <c r="G10" s="20" t="str">
        <f>IFERROR([1]!IntrinioDataPoint(B10,"enterprisevalue")/1000000,"")</f>
        <v/>
      </c>
      <c r="H10" s="20" t="str">
        <f>IFERROR([1]!IntrinioDataPoint(B10,"totalrevenue")/1000000,"")</f>
        <v/>
      </c>
      <c r="I10" s="20" t="str">
        <f>IFERROR([1]!IntrinioDataPoint(B10,"netincome")/1000000,"")</f>
        <v/>
      </c>
    </row>
    <row r="11" spans="1:9" ht="60" hidden="1" customHeight="1" outlineLevel="1">
      <c r="A11" s="162" t="str">
        <f>[1]!IntrinioDataPoint(B11,"name")</f>
        <v/>
      </c>
      <c r="B11" s="181" t="str">
        <f>IF(List!D11="","",List!D11)</f>
        <v/>
      </c>
      <c r="C11" s="162" t="str">
        <f>[1]!IntrinioDataPoint(B11,"short_description")</f>
        <v/>
      </c>
      <c r="D11" s="232" t="str">
        <f>[1]!IntrinioDataPoint(B11,"employees")</f>
        <v/>
      </c>
      <c r="E11" s="267" t="str">
        <f>[1]!IntrinioDataPoint(B11,"next_earnings_date")</f>
        <v/>
      </c>
      <c r="F11" s="20" t="str">
        <f>IFERROR([1]!IntrinioDataPoint(B11,"marketcap")/1000000,"")</f>
        <v/>
      </c>
      <c r="G11" s="20" t="str">
        <f>IFERROR([1]!IntrinioDataPoint(B11,"enterprisevalue")/1000000,"")</f>
        <v/>
      </c>
      <c r="H11" s="20" t="str">
        <f>IFERROR([1]!IntrinioDataPoint(B11,"totalrevenue")/1000000,"")</f>
        <v/>
      </c>
      <c r="I11" s="20" t="str">
        <f>IFERROR([1]!IntrinioDataPoint(B11,"netincome")/1000000,"")</f>
        <v/>
      </c>
    </row>
    <row r="12" spans="1:9" ht="60" hidden="1" customHeight="1" outlineLevel="1">
      <c r="A12" s="162" t="str">
        <f>[1]!IntrinioDataPoint(B12,"name")</f>
        <v/>
      </c>
      <c r="B12" s="181" t="str">
        <f>IF(List!D12="","",List!D12)</f>
        <v/>
      </c>
      <c r="C12" s="162" t="str">
        <f>[1]!IntrinioDataPoint(B12,"short_description")</f>
        <v/>
      </c>
      <c r="D12" s="232" t="str">
        <f>[1]!IntrinioDataPoint(B12,"employees")</f>
        <v/>
      </c>
      <c r="E12" s="267" t="str">
        <f>[1]!IntrinioDataPoint(B12,"next_earnings_date")</f>
        <v/>
      </c>
      <c r="F12" s="20" t="str">
        <f>IFERROR([1]!IntrinioDataPoint(B12,"marketcap")/1000000,"")</f>
        <v/>
      </c>
      <c r="G12" s="20" t="str">
        <f>IFERROR([1]!IntrinioDataPoint(B12,"enterprisevalue")/1000000,"")</f>
        <v/>
      </c>
      <c r="H12" s="20" t="str">
        <f>IFERROR([1]!IntrinioDataPoint(B12,"totalrevenue")/1000000,"")</f>
        <v/>
      </c>
      <c r="I12" s="20" t="str">
        <f>IFERROR([1]!IntrinioDataPoint(B12,"netincome")/1000000,"")</f>
        <v/>
      </c>
    </row>
    <row r="13" spans="1:9" ht="60" hidden="1" customHeight="1" outlineLevel="1">
      <c r="A13" s="162" t="str">
        <f>[1]!IntrinioDataPoint(B13,"name")</f>
        <v/>
      </c>
      <c r="B13" s="181" t="str">
        <f>IF(List!D13="","",List!D13)</f>
        <v/>
      </c>
      <c r="C13" s="162" t="str">
        <f>[1]!IntrinioDataPoint(B13,"short_description")</f>
        <v/>
      </c>
      <c r="D13" s="232" t="str">
        <f>[1]!IntrinioDataPoint(B13,"employees")</f>
        <v/>
      </c>
      <c r="E13" s="267" t="str">
        <f>[1]!IntrinioDataPoint(B13,"next_earnings_date")</f>
        <v/>
      </c>
      <c r="F13" s="20" t="str">
        <f>IFERROR([1]!IntrinioDataPoint(B13,"marketcap")/1000000,"")</f>
        <v/>
      </c>
      <c r="G13" s="20" t="str">
        <f>IFERROR([1]!IntrinioDataPoint(B13,"enterprisevalue")/1000000,"")</f>
        <v/>
      </c>
      <c r="H13" s="20" t="str">
        <f>IFERROR([1]!IntrinioDataPoint(B13,"totalrevenue")/1000000,"")</f>
        <v/>
      </c>
      <c r="I13" s="20" t="str">
        <f>IFERROR([1]!IntrinioDataPoint(B13,"netincome")/1000000,"")</f>
        <v/>
      </c>
    </row>
    <row r="14" spans="1:9" ht="60" hidden="1" customHeight="1" outlineLevel="1">
      <c r="A14" s="162" t="str">
        <f>[1]!IntrinioDataPoint(B14,"name")</f>
        <v/>
      </c>
      <c r="B14" s="181" t="str">
        <f>IF(List!D14="","",List!D14)</f>
        <v/>
      </c>
      <c r="C14" s="162" t="str">
        <f>[1]!IntrinioDataPoint(B14,"short_description")</f>
        <v/>
      </c>
      <c r="D14" s="232" t="str">
        <f>[1]!IntrinioDataPoint(B14,"employees")</f>
        <v/>
      </c>
      <c r="E14" s="267" t="str">
        <f>[1]!IntrinioDataPoint(B14,"next_earnings_date")</f>
        <v/>
      </c>
      <c r="F14" s="20" t="str">
        <f>IFERROR([1]!IntrinioDataPoint(B14,"marketcap")/1000000,"")</f>
        <v/>
      </c>
      <c r="G14" s="20" t="str">
        <f>IFERROR([1]!IntrinioDataPoint(B14,"enterprisevalue")/1000000,"")</f>
        <v/>
      </c>
      <c r="H14" s="20" t="str">
        <f>IFERROR([1]!IntrinioDataPoint(B14,"totalrevenue")/1000000,"")</f>
        <v/>
      </c>
      <c r="I14" s="20" t="str">
        <f>IFERROR([1]!IntrinioDataPoint(B14,"netincome")/1000000,"")</f>
        <v/>
      </c>
    </row>
    <row r="15" spans="1:9" ht="60" hidden="1" customHeight="1" outlineLevel="1">
      <c r="A15" s="162" t="str">
        <f>[1]!IntrinioDataPoint(B15,"name")</f>
        <v/>
      </c>
      <c r="B15" s="181" t="str">
        <f>IF(List!D15="","",List!D15)</f>
        <v/>
      </c>
      <c r="C15" s="162" t="str">
        <f>[1]!IntrinioDataPoint(B15,"short_description")</f>
        <v/>
      </c>
      <c r="D15" s="232" t="str">
        <f>[1]!IntrinioDataPoint(B15,"employees")</f>
        <v/>
      </c>
      <c r="E15" s="267" t="str">
        <f>[1]!IntrinioDataPoint(B15,"next_earnings_date")</f>
        <v/>
      </c>
      <c r="F15" s="20" t="str">
        <f>IFERROR([1]!IntrinioDataPoint(B15,"marketcap")/1000000,"")</f>
        <v/>
      </c>
      <c r="G15" s="20" t="str">
        <f>IFERROR([1]!IntrinioDataPoint(B15,"enterprisevalue")/1000000,"")</f>
        <v/>
      </c>
      <c r="H15" s="20" t="str">
        <f>IFERROR([1]!IntrinioDataPoint(B15,"totalrevenue")/1000000,"")</f>
        <v/>
      </c>
      <c r="I15" s="20" t="str">
        <f>IFERROR([1]!IntrinioDataPoint(B15,"netincome")/1000000,"")</f>
        <v/>
      </c>
    </row>
    <row r="16" spans="1:9" ht="60" hidden="1" customHeight="1" outlineLevel="1">
      <c r="A16" s="162" t="str">
        <f>[1]!IntrinioDataPoint(B16,"name")</f>
        <v/>
      </c>
      <c r="B16" s="181" t="str">
        <f>IF(List!D16="","",List!D16)</f>
        <v/>
      </c>
      <c r="C16" s="162" t="str">
        <f>[1]!IntrinioDataPoint(B16,"short_description")</f>
        <v/>
      </c>
      <c r="D16" s="232" t="str">
        <f>[1]!IntrinioDataPoint(B16,"employees")</f>
        <v/>
      </c>
      <c r="E16" s="267" t="str">
        <f>[1]!IntrinioDataPoint(B16,"next_earnings_date")</f>
        <v/>
      </c>
      <c r="F16" s="20" t="str">
        <f>IFERROR([1]!IntrinioDataPoint(B16,"marketcap")/1000000,"")</f>
        <v/>
      </c>
      <c r="G16" s="20" t="str">
        <f>IFERROR([1]!IntrinioDataPoint(B16,"enterprisevalue")/1000000,"")</f>
        <v/>
      </c>
      <c r="H16" s="20" t="str">
        <f>IFERROR([1]!IntrinioDataPoint(B16,"totalrevenue")/1000000,"")</f>
        <v/>
      </c>
      <c r="I16" s="20" t="str">
        <f>IFERROR([1]!IntrinioDataPoint(B16,"netincome")/1000000,"")</f>
        <v/>
      </c>
    </row>
    <row r="17" spans="1:9" ht="60" hidden="1" customHeight="1" outlineLevel="1">
      <c r="A17" s="162" t="str">
        <f>[1]!IntrinioDataPoint(B17,"name")</f>
        <v/>
      </c>
      <c r="B17" s="181" t="str">
        <f>IF(List!D17="","",List!D17)</f>
        <v/>
      </c>
      <c r="C17" s="162" t="str">
        <f>[1]!IntrinioDataPoint(B17,"short_description")</f>
        <v/>
      </c>
      <c r="D17" s="232" t="str">
        <f>[1]!IntrinioDataPoint(B17,"employees")</f>
        <v/>
      </c>
      <c r="E17" s="267" t="str">
        <f>[1]!IntrinioDataPoint(B17,"next_earnings_date")</f>
        <v/>
      </c>
      <c r="F17" s="20" t="str">
        <f>IFERROR([1]!IntrinioDataPoint(B17,"marketcap")/1000000,"")</f>
        <v/>
      </c>
      <c r="G17" s="20" t="str">
        <f>IFERROR([1]!IntrinioDataPoint(B17,"enterprisevalue")/1000000,"")</f>
        <v/>
      </c>
      <c r="H17" s="20" t="str">
        <f>IFERROR([1]!IntrinioDataPoint(B17,"totalrevenue")/1000000,"")</f>
        <v/>
      </c>
      <c r="I17" s="20" t="str">
        <f>IFERROR([1]!IntrinioDataPoint(B17,"netincome")/1000000,"")</f>
        <v/>
      </c>
    </row>
    <row r="18" spans="1:9" ht="60" hidden="1" customHeight="1" outlineLevel="1">
      <c r="A18" s="162" t="str">
        <f>[1]!IntrinioDataPoint(B18,"name")</f>
        <v/>
      </c>
      <c r="B18" s="181" t="str">
        <f>IF(List!D18="","",List!D18)</f>
        <v/>
      </c>
      <c r="C18" s="162" t="str">
        <f>[1]!IntrinioDataPoint(B18,"short_description")</f>
        <v/>
      </c>
      <c r="D18" s="232" t="str">
        <f>[1]!IntrinioDataPoint(B18,"employees")</f>
        <v/>
      </c>
      <c r="E18" s="267" t="str">
        <f>[1]!IntrinioDataPoint(B18,"next_earnings_date")</f>
        <v/>
      </c>
      <c r="F18" s="20" t="str">
        <f>IFERROR([1]!IntrinioDataPoint(B18,"marketcap")/1000000,"")</f>
        <v/>
      </c>
      <c r="G18" s="20" t="str">
        <f>IFERROR([1]!IntrinioDataPoint(B18,"enterprisevalue")/1000000,"")</f>
        <v/>
      </c>
      <c r="H18" s="20" t="str">
        <f>IFERROR([1]!IntrinioDataPoint(B18,"totalrevenue")/1000000,"")</f>
        <v/>
      </c>
      <c r="I18" s="20" t="str">
        <f>IFERROR([1]!IntrinioDataPoint(B18,"netincome")/1000000,"")</f>
        <v/>
      </c>
    </row>
    <row r="19" spans="1:9" ht="60" hidden="1" customHeight="1" outlineLevel="1">
      <c r="A19" s="162" t="str">
        <f>[1]!IntrinioDataPoint(B19,"name")</f>
        <v/>
      </c>
      <c r="B19" s="181" t="str">
        <f>IF(List!D19="","",List!D19)</f>
        <v/>
      </c>
      <c r="C19" s="162" t="str">
        <f>[1]!IntrinioDataPoint(B19,"short_description")</f>
        <v/>
      </c>
      <c r="D19" s="232" t="str">
        <f>[1]!IntrinioDataPoint(B19,"employees")</f>
        <v/>
      </c>
      <c r="E19" s="267" t="str">
        <f>[1]!IntrinioDataPoint(B19,"next_earnings_date")</f>
        <v/>
      </c>
      <c r="F19" s="20" t="str">
        <f>IFERROR([1]!IntrinioDataPoint(B19,"marketcap")/1000000,"")</f>
        <v/>
      </c>
      <c r="G19" s="20" t="str">
        <f>IFERROR([1]!IntrinioDataPoint(B19,"enterprisevalue")/1000000,"")</f>
        <v/>
      </c>
      <c r="H19" s="20" t="str">
        <f>IFERROR([1]!IntrinioDataPoint(B19,"totalrevenue")/1000000,"")</f>
        <v/>
      </c>
      <c r="I19" s="20" t="str">
        <f>IFERROR([1]!IntrinioDataPoint(B19,"netincome")/1000000,"")</f>
        <v/>
      </c>
    </row>
    <row r="20" spans="1:9" ht="60" hidden="1" customHeight="1" outlineLevel="1">
      <c r="A20" s="162" t="str">
        <f>[1]!IntrinioDataPoint(B20,"name")</f>
        <v/>
      </c>
      <c r="B20" s="181" t="str">
        <f>IF(List!D20="","",List!D20)</f>
        <v/>
      </c>
      <c r="C20" s="162" t="str">
        <f>[1]!IntrinioDataPoint(B20,"short_description")</f>
        <v/>
      </c>
      <c r="D20" s="232" t="str">
        <f>[1]!IntrinioDataPoint(B20,"employees")</f>
        <v/>
      </c>
      <c r="E20" s="267" t="str">
        <f>[1]!IntrinioDataPoint(B20,"next_earnings_date")</f>
        <v/>
      </c>
      <c r="F20" s="20" t="str">
        <f>IFERROR([1]!IntrinioDataPoint(B20,"marketcap")/1000000,"")</f>
        <v/>
      </c>
      <c r="G20" s="20" t="str">
        <f>IFERROR([1]!IntrinioDataPoint(B20,"enterprisevalue")/1000000,"")</f>
        <v/>
      </c>
      <c r="H20" s="20" t="str">
        <f>IFERROR([1]!IntrinioDataPoint(B20,"totalrevenue")/1000000,"")</f>
        <v/>
      </c>
      <c r="I20" s="20" t="str">
        <f>IFERROR([1]!IntrinioDataPoint(B20,"netincome")/1000000,"")</f>
        <v/>
      </c>
    </row>
    <row r="21" spans="1:9" ht="60" hidden="1" customHeight="1" outlineLevel="1">
      <c r="A21" s="162" t="str">
        <f>[1]!IntrinioDataPoint(B21,"name")</f>
        <v/>
      </c>
      <c r="B21" s="181" t="str">
        <f>IF(List!D21="","",List!D21)</f>
        <v/>
      </c>
      <c r="C21" s="162" t="str">
        <f>[1]!IntrinioDataPoint(B21,"short_description")</f>
        <v/>
      </c>
      <c r="D21" s="232" t="str">
        <f>[1]!IntrinioDataPoint(B21,"employees")</f>
        <v/>
      </c>
      <c r="E21" s="267" t="str">
        <f>[1]!IntrinioDataPoint(B21,"next_earnings_date")</f>
        <v/>
      </c>
      <c r="F21" s="20" t="str">
        <f>IFERROR([1]!IntrinioDataPoint(B21,"marketcap")/1000000,"")</f>
        <v/>
      </c>
      <c r="G21" s="20" t="str">
        <f>IFERROR([1]!IntrinioDataPoint(B21,"enterprisevalue")/1000000,"")</f>
        <v/>
      </c>
      <c r="H21" s="20" t="str">
        <f>IFERROR([1]!IntrinioDataPoint(B21,"totalrevenue")/1000000,"")</f>
        <v/>
      </c>
      <c r="I21" s="20" t="str">
        <f>IFERROR([1]!IntrinioDataPoint(B21,"netincome")/1000000,"")</f>
        <v/>
      </c>
    </row>
    <row r="22" spans="1:9" ht="60" hidden="1" customHeight="1" outlineLevel="1">
      <c r="A22" s="162" t="str">
        <f>[1]!IntrinioDataPoint(B22,"name")</f>
        <v/>
      </c>
      <c r="B22" s="181" t="str">
        <f>IF(List!D22="","",List!D22)</f>
        <v/>
      </c>
      <c r="C22" s="162" t="str">
        <f>[1]!IntrinioDataPoint(B22,"short_description")</f>
        <v/>
      </c>
      <c r="D22" s="232" t="str">
        <f>[1]!IntrinioDataPoint(B22,"employees")</f>
        <v/>
      </c>
      <c r="E22" s="267" t="str">
        <f>[1]!IntrinioDataPoint(B22,"next_earnings_date")</f>
        <v/>
      </c>
      <c r="F22" s="20" t="str">
        <f>IFERROR([1]!IntrinioDataPoint(B22,"marketcap")/1000000,"")</f>
        <v/>
      </c>
      <c r="G22" s="20" t="str">
        <f>IFERROR([1]!IntrinioDataPoint(B22,"enterprisevalue")/1000000,"")</f>
        <v/>
      </c>
      <c r="H22" s="20" t="str">
        <f>IFERROR([1]!IntrinioDataPoint(B22,"totalrevenue")/1000000,"")</f>
        <v/>
      </c>
      <c r="I22" s="20" t="str">
        <f>IFERROR([1]!IntrinioDataPoint(B22,"netincome")/1000000,"")</f>
        <v/>
      </c>
    </row>
    <row r="23" spans="1:9" ht="60" hidden="1" customHeight="1" outlineLevel="1">
      <c r="A23" s="162" t="str">
        <f>[1]!IntrinioDataPoint(B23,"name")</f>
        <v/>
      </c>
      <c r="B23" s="181" t="str">
        <f>IF(List!D23="","",List!D23)</f>
        <v/>
      </c>
      <c r="C23" s="162" t="str">
        <f>[1]!IntrinioDataPoint(B23,"short_description")</f>
        <v/>
      </c>
      <c r="D23" s="232" t="str">
        <f>[1]!IntrinioDataPoint(B23,"employees")</f>
        <v/>
      </c>
      <c r="E23" s="267" t="str">
        <f>[1]!IntrinioDataPoint(B23,"next_earnings_date")</f>
        <v/>
      </c>
      <c r="F23" s="20" t="str">
        <f>IFERROR([1]!IntrinioDataPoint(B23,"marketcap")/1000000,"")</f>
        <v/>
      </c>
      <c r="G23" s="20" t="str">
        <f>IFERROR([1]!IntrinioDataPoint(B23,"enterprisevalue")/1000000,"")</f>
        <v/>
      </c>
      <c r="H23" s="20" t="str">
        <f>IFERROR([1]!IntrinioDataPoint(B23,"totalrevenue")/1000000,"")</f>
        <v/>
      </c>
      <c r="I23" s="20" t="str">
        <f>IFERROR([1]!IntrinioDataPoint(B23,"netincome")/1000000,"")</f>
        <v/>
      </c>
    </row>
    <row r="24" spans="1:9" ht="60" hidden="1" customHeight="1" outlineLevel="1">
      <c r="A24" s="162" t="str">
        <f>[1]!IntrinioDataPoint(B24,"name")</f>
        <v/>
      </c>
      <c r="B24" s="181" t="str">
        <f>IF(List!D24="","",List!D24)</f>
        <v/>
      </c>
      <c r="C24" s="162" t="str">
        <f>[1]!IntrinioDataPoint(B24,"short_description")</f>
        <v/>
      </c>
      <c r="D24" s="232" t="str">
        <f>[1]!IntrinioDataPoint(B24,"employees")</f>
        <v/>
      </c>
      <c r="E24" s="267" t="str">
        <f>[1]!IntrinioDataPoint(B24,"next_earnings_date")</f>
        <v/>
      </c>
      <c r="F24" s="20" t="str">
        <f>IFERROR([1]!IntrinioDataPoint(B24,"marketcap")/1000000,"")</f>
        <v/>
      </c>
      <c r="G24" s="20" t="str">
        <f>IFERROR([1]!IntrinioDataPoint(B24,"enterprisevalue")/1000000,"")</f>
        <v/>
      </c>
      <c r="H24" s="20" t="str">
        <f>IFERROR([1]!IntrinioDataPoint(B24,"totalrevenue")/1000000,"")</f>
        <v/>
      </c>
      <c r="I24" s="20" t="str">
        <f>IFERROR([1]!IntrinioDataPoint(B24,"netincome")/1000000,"")</f>
        <v/>
      </c>
    </row>
    <row r="25" spans="1:9" ht="60" hidden="1" customHeight="1" outlineLevel="1">
      <c r="A25" s="162" t="str">
        <f>[1]!IntrinioDataPoint(B25,"name")</f>
        <v/>
      </c>
      <c r="B25" s="181" t="str">
        <f>IF(List!D25="","",List!D25)</f>
        <v/>
      </c>
      <c r="C25" s="162" t="str">
        <f>[1]!IntrinioDataPoint(B25,"short_description")</f>
        <v/>
      </c>
      <c r="D25" s="232" t="str">
        <f>[1]!IntrinioDataPoint(B25,"employees")</f>
        <v/>
      </c>
      <c r="E25" s="267" t="str">
        <f>[1]!IntrinioDataPoint(B25,"next_earnings_date")</f>
        <v/>
      </c>
      <c r="F25" s="20" t="str">
        <f>IFERROR([1]!IntrinioDataPoint(B25,"marketcap")/1000000,"")</f>
        <v/>
      </c>
      <c r="G25" s="20" t="str">
        <f>IFERROR([1]!IntrinioDataPoint(B25,"enterprisevalue")/1000000,"")</f>
        <v/>
      </c>
      <c r="H25" s="20" t="str">
        <f>IFERROR([1]!IntrinioDataPoint(B25,"totalrevenue")/1000000,"")</f>
        <v/>
      </c>
      <c r="I25" s="20" t="str">
        <f>IFERROR([1]!IntrinioDataPoint(B25,"netincome")/1000000,"")</f>
        <v/>
      </c>
    </row>
    <row r="26" spans="1:9" ht="60" hidden="1" customHeight="1" outlineLevel="1">
      <c r="A26" s="162" t="str">
        <f>[1]!IntrinioDataPoint(B26,"name")</f>
        <v/>
      </c>
      <c r="B26" s="181" t="str">
        <f>IF(List!D26="","",List!D26)</f>
        <v/>
      </c>
      <c r="C26" s="162" t="str">
        <f>[1]!IntrinioDataPoint(B26,"short_description")</f>
        <v/>
      </c>
      <c r="D26" s="232" t="str">
        <f>[1]!IntrinioDataPoint(B26,"employees")</f>
        <v/>
      </c>
      <c r="E26" s="267" t="str">
        <f>[1]!IntrinioDataPoint(B26,"next_earnings_date")</f>
        <v/>
      </c>
      <c r="F26" s="20" t="str">
        <f>IFERROR([1]!IntrinioDataPoint(B26,"marketcap")/1000000,"")</f>
        <v/>
      </c>
      <c r="G26" s="20" t="str">
        <f>IFERROR([1]!IntrinioDataPoint(B26,"enterprisevalue")/1000000,"")</f>
        <v/>
      </c>
      <c r="H26" s="20" t="str">
        <f>IFERROR([1]!IntrinioDataPoint(B26,"totalrevenue")/1000000,"")</f>
        <v/>
      </c>
      <c r="I26" s="20" t="str">
        <f>IFERROR([1]!IntrinioDataPoint(B26,"netincome")/1000000,"")</f>
        <v/>
      </c>
    </row>
    <row r="27" spans="1:9" ht="60" hidden="1" customHeight="1" outlineLevel="1">
      <c r="A27" s="162" t="str">
        <f>[1]!IntrinioDataPoint(B27,"name")</f>
        <v/>
      </c>
      <c r="B27" s="181" t="str">
        <f>IF(List!D27="","",List!D27)</f>
        <v/>
      </c>
      <c r="C27" s="162" t="str">
        <f>[1]!IntrinioDataPoint(B27,"short_description")</f>
        <v/>
      </c>
      <c r="D27" s="232" t="str">
        <f>[1]!IntrinioDataPoint(B27,"employees")</f>
        <v/>
      </c>
      <c r="E27" s="267" t="str">
        <f>[1]!IntrinioDataPoint(B27,"next_earnings_date")</f>
        <v/>
      </c>
      <c r="F27" s="20" t="str">
        <f>IFERROR([1]!IntrinioDataPoint(B27,"marketcap")/1000000,"")</f>
        <v/>
      </c>
      <c r="G27" s="20" t="str">
        <f>IFERROR([1]!IntrinioDataPoint(B27,"enterprisevalue")/1000000,"")</f>
        <v/>
      </c>
      <c r="H27" s="20" t="str">
        <f>IFERROR([1]!IntrinioDataPoint(B27,"totalrevenue")/1000000,"")</f>
        <v/>
      </c>
      <c r="I27" s="20" t="str">
        <f>IFERROR([1]!IntrinioDataPoint(B27,"netincome")/1000000,"")</f>
        <v/>
      </c>
    </row>
    <row r="28" spans="1:9" ht="60" hidden="1" customHeight="1" outlineLevel="1">
      <c r="A28" s="162" t="str">
        <f>[1]!IntrinioDataPoint(B28,"name")</f>
        <v/>
      </c>
      <c r="B28" s="181" t="str">
        <f>IF(List!D28="","",List!D28)</f>
        <v/>
      </c>
      <c r="C28" s="162" t="str">
        <f>[1]!IntrinioDataPoint(B28,"short_description")</f>
        <v/>
      </c>
      <c r="D28" s="232" t="str">
        <f>[1]!IntrinioDataPoint(B28,"employees")</f>
        <v/>
      </c>
      <c r="E28" s="267" t="str">
        <f>[1]!IntrinioDataPoint(B28,"next_earnings_date")</f>
        <v/>
      </c>
      <c r="F28" s="20" t="str">
        <f>IFERROR([1]!IntrinioDataPoint(B28,"marketcap")/1000000,"")</f>
        <v/>
      </c>
      <c r="G28" s="20" t="str">
        <f>IFERROR([1]!IntrinioDataPoint(B28,"enterprisevalue")/1000000,"")</f>
        <v/>
      </c>
      <c r="H28" s="20" t="str">
        <f>IFERROR([1]!IntrinioDataPoint(B28,"totalrevenue")/1000000,"")</f>
        <v/>
      </c>
      <c r="I28" s="20" t="str">
        <f>IFERROR([1]!IntrinioDataPoint(B28,"netincome")/1000000,"")</f>
        <v/>
      </c>
    </row>
    <row r="29" spans="1:9" ht="60" hidden="1" customHeight="1" outlineLevel="1">
      <c r="A29" s="162" t="str">
        <f>[1]!IntrinioDataPoint(B29,"name")</f>
        <v/>
      </c>
      <c r="B29" s="181" t="str">
        <f>IF(List!D29="","",List!D29)</f>
        <v/>
      </c>
      <c r="C29" s="162" t="str">
        <f>[1]!IntrinioDataPoint(B29,"short_description")</f>
        <v/>
      </c>
      <c r="D29" s="232" t="str">
        <f>[1]!IntrinioDataPoint(B29,"employees")</f>
        <v/>
      </c>
      <c r="E29" s="267" t="str">
        <f>[1]!IntrinioDataPoint(B29,"next_earnings_date")</f>
        <v/>
      </c>
      <c r="F29" s="20" t="str">
        <f>IFERROR([1]!IntrinioDataPoint(B29,"marketcap")/1000000,"")</f>
        <v/>
      </c>
      <c r="G29" s="20" t="str">
        <f>IFERROR([1]!IntrinioDataPoint(B29,"enterprisevalue")/1000000,"")</f>
        <v/>
      </c>
      <c r="H29" s="20" t="str">
        <f>IFERROR([1]!IntrinioDataPoint(B29,"totalrevenue")/1000000,"")</f>
        <v/>
      </c>
      <c r="I29" s="20" t="str">
        <f>IFERROR([1]!IntrinioDataPoint(B29,"netincome")/1000000,"")</f>
        <v/>
      </c>
    </row>
    <row r="30" spans="1:9" ht="60" hidden="1" customHeight="1" outlineLevel="1">
      <c r="A30" s="162" t="str">
        <f>[1]!IntrinioDataPoint(B30,"name")</f>
        <v/>
      </c>
      <c r="B30" s="181" t="str">
        <f>IF(List!D30="","",List!D30)</f>
        <v/>
      </c>
      <c r="C30" s="162" t="str">
        <f>[1]!IntrinioDataPoint(B30,"short_description")</f>
        <v/>
      </c>
      <c r="D30" s="232" t="str">
        <f>[1]!IntrinioDataPoint(B30,"employees")</f>
        <v/>
      </c>
      <c r="E30" s="267" t="str">
        <f>[1]!IntrinioDataPoint(B30,"next_earnings_date")</f>
        <v/>
      </c>
      <c r="F30" s="20" t="str">
        <f>IFERROR([1]!IntrinioDataPoint(B30,"marketcap")/1000000,"")</f>
        <v/>
      </c>
      <c r="G30" s="20" t="str">
        <f>IFERROR([1]!IntrinioDataPoint(B30,"enterprisevalue")/1000000,"")</f>
        <v/>
      </c>
      <c r="H30" s="20" t="str">
        <f>IFERROR([1]!IntrinioDataPoint(B30,"totalrevenue")/1000000,"")</f>
        <v/>
      </c>
      <c r="I30" s="20" t="str">
        <f>IFERROR([1]!IntrinioDataPoint(B30,"netincome")/1000000,"")</f>
        <v/>
      </c>
    </row>
    <row r="31" spans="1:9" ht="60" hidden="1" customHeight="1" outlineLevel="1">
      <c r="A31" s="162" t="str">
        <f>[1]!IntrinioDataPoint(B31,"name")</f>
        <v/>
      </c>
      <c r="B31" s="181" t="str">
        <f>IF(List!D31="","",List!D31)</f>
        <v/>
      </c>
      <c r="C31" s="162" t="str">
        <f>[1]!IntrinioDataPoint(B31,"short_description")</f>
        <v/>
      </c>
      <c r="D31" s="232" t="str">
        <f>[1]!IntrinioDataPoint(B31,"employees")</f>
        <v/>
      </c>
      <c r="E31" s="267" t="str">
        <f>[1]!IntrinioDataPoint(B31,"next_earnings_date")</f>
        <v/>
      </c>
      <c r="F31" s="20" t="str">
        <f>IFERROR([1]!IntrinioDataPoint(B31,"marketcap")/1000000,"")</f>
        <v/>
      </c>
      <c r="G31" s="20" t="str">
        <f>IFERROR([1]!IntrinioDataPoint(B31,"enterprisevalue")/1000000,"")</f>
        <v/>
      </c>
      <c r="H31" s="20" t="str">
        <f>IFERROR([1]!IntrinioDataPoint(B31,"totalrevenue")/1000000,"")</f>
        <v/>
      </c>
      <c r="I31" s="20" t="str">
        <f>IFERROR([1]!IntrinioDataPoint(B31,"netincome")/1000000,"")</f>
        <v/>
      </c>
    </row>
    <row r="32" spans="1:9" ht="60" hidden="1" customHeight="1" outlineLevel="1">
      <c r="A32" s="162" t="str">
        <f>[1]!IntrinioDataPoint(B32,"name")</f>
        <v/>
      </c>
      <c r="B32" s="181" t="str">
        <f>IF(List!D32="","",List!D32)</f>
        <v/>
      </c>
      <c r="C32" s="162" t="str">
        <f>[1]!IntrinioDataPoint(B32,"short_description")</f>
        <v/>
      </c>
      <c r="D32" s="232" t="str">
        <f>[1]!IntrinioDataPoint(B32,"employees")</f>
        <v/>
      </c>
      <c r="E32" s="267" t="str">
        <f>[1]!IntrinioDataPoint(B32,"next_earnings_date")</f>
        <v/>
      </c>
      <c r="F32" s="20" t="str">
        <f>IFERROR([1]!IntrinioDataPoint(B32,"marketcap")/1000000,"")</f>
        <v/>
      </c>
      <c r="G32" s="20" t="str">
        <f>IFERROR([1]!IntrinioDataPoint(B32,"enterprisevalue")/1000000,"")</f>
        <v/>
      </c>
      <c r="H32" s="20" t="str">
        <f>IFERROR([1]!IntrinioDataPoint(B32,"totalrevenue")/1000000,"")</f>
        <v/>
      </c>
      <c r="I32" s="20" t="str">
        <f>IFERROR([1]!IntrinioDataPoint(B32,"netincome")/1000000,"")</f>
        <v/>
      </c>
    </row>
    <row r="33" spans="1:9" ht="60" hidden="1" customHeight="1" outlineLevel="1">
      <c r="A33" s="162" t="str">
        <f>[1]!IntrinioDataPoint(B33,"name")</f>
        <v/>
      </c>
      <c r="B33" s="181" t="str">
        <f>IF(List!D33="","",List!D33)</f>
        <v/>
      </c>
      <c r="C33" s="162" t="str">
        <f>[1]!IntrinioDataPoint(B33,"short_description")</f>
        <v/>
      </c>
      <c r="D33" s="232" t="str">
        <f>[1]!IntrinioDataPoint(B33,"employees")</f>
        <v/>
      </c>
      <c r="E33" s="267" t="str">
        <f>[1]!IntrinioDataPoint(B33,"next_earnings_date")</f>
        <v/>
      </c>
      <c r="F33" s="20" t="str">
        <f>IFERROR([1]!IntrinioDataPoint(B33,"marketcap")/1000000,"")</f>
        <v/>
      </c>
      <c r="G33" s="20" t="str">
        <f>IFERROR([1]!IntrinioDataPoint(B33,"enterprisevalue")/1000000,"")</f>
        <v/>
      </c>
      <c r="H33" s="20" t="str">
        <f>IFERROR([1]!IntrinioDataPoint(B33,"totalrevenue")/1000000,"")</f>
        <v/>
      </c>
      <c r="I33" s="20" t="str">
        <f>IFERROR([1]!IntrinioDataPoint(B33,"netincome")/1000000,"")</f>
        <v/>
      </c>
    </row>
    <row r="34" spans="1:9" ht="60" hidden="1" customHeight="1" outlineLevel="1">
      <c r="A34" s="162" t="str">
        <f>[1]!IntrinioDataPoint(B34,"name")</f>
        <v/>
      </c>
      <c r="B34" s="181" t="str">
        <f>IF(List!D34="","",List!D34)</f>
        <v/>
      </c>
      <c r="C34" s="162" t="str">
        <f>[1]!IntrinioDataPoint(B34,"short_description")</f>
        <v/>
      </c>
      <c r="D34" s="232" t="str">
        <f>[1]!IntrinioDataPoint(B34,"employees")</f>
        <v/>
      </c>
      <c r="E34" s="267" t="str">
        <f>[1]!IntrinioDataPoint(B34,"next_earnings_date")</f>
        <v/>
      </c>
      <c r="F34" s="20" t="str">
        <f>IFERROR([1]!IntrinioDataPoint(B34,"marketcap")/1000000,"")</f>
        <v/>
      </c>
      <c r="G34" s="20" t="str">
        <f>IFERROR([1]!IntrinioDataPoint(B34,"enterprisevalue")/1000000,"")</f>
        <v/>
      </c>
      <c r="H34" s="20" t="str">
        <f>IFERROR([1]!IntrinioDataPoint(B34,"totalrevenue")/1000000,"")</f>
        <v/>
      </c>
      <c r="I34" s="20" t="str">
        <f>IFERROR([1]!IntrinioDataPoint(B34,"netincome")/1000000,"")</f>
        <v/>
      </c>
    </row>
    <row r="35" spans="1:9" ht="60" hidden="1" customHeight="1" outlineLevel="1">
      <c r="A35" s="162" t="str">
        <f>[1]!IntrinioDataPoint(B35,"name")</f>
        <v/>
      </c>
      <c r="B35" s="181" t="str">
        <f>IF(List!D35="","",List!D35)</f>
        <v/>
      </c>
      <c r="C35" s="162" t="str">
        <f>[1]!IntrinioDataPoint(B35,"short_description")</f>
        <v/>
      </c>
      <c r="D35" s="232" t="str">
        <f>[1]!IntrinioDataPoint(B35,"employees")</f>
        <v/>
      </c>
      <c r="E35" s="267" t="str">
        <f>[1]!IntrinioDataPoint(B35,"next_earnings_date")</f>
        <v/>
      </c>
      <c r="F35" s="20" t="str">
        <f>IFERROR([1]!IntrinioDataPoint(B35,"marketcap")/1000000,"")</f>
        <v/>
      </c>
      <c r="G35" s="20" t="str">
        <f>IFERROR([1]!IntrinioDataPoint(B35,"enterprisevalue")/1000000,"")</f>
        <v/>
      </c>
      <c r="H35" s="20" t="str">
        <f>IFERROR([1]!IntrinioDataPoint(B35,"totalrevenue")/1000000,"")</f>
        <v/>
      </c>
      <c r="I35" s="20" t="str">
        <f>IFERROR([1]!IntrinioDataPoint(B35,"netincome")/1000000,"")</f>
        <v/>
      </c>
    </row>
    <row r="36" spans="1:9" collapsed="1"/>
  </sheetData>
  <sheetProtection selectLockedCells="1"/>
  <mergeCells count="1">
    <mergeCell ref="H1:I1"/>
  </mergeCells>
  <printOptions horizontalCentered="1"/>
  <pageMargins left="0.5" right="0.5" top="0.5" bottom="0.5" header="0.5" footer="0.5"/>
  <pageSetup scale="63" fitToHeight="6" orientation="portrait" r:id="rId1"/>
  <headerFooter alignWithMargins="0"/>
  <rowBreaks count="1" manualBreakCount="1">
    <brk id="20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  <pageSetUpPr fitToPage="1"/>
  </sheetPr>
  <dimension ref="A1:AD53"/>
  <sheetViews>
    <sheetView showGridLines="0" zoomScale="80" zoomScaleNormal="80" workbookViewId="0">
      <pane xSplit="3" ySplit="9" topLeftCell="D10" activePane="bottomRight" state="frozen"/>
      <selection activeCell="A4" sqref="A4"/>
      <selection pane="topRight" activeCell="A4" sqref="A4"/>
      <selection pane="bottomLeft" activeCell="A4" sqref="A4"/>
      <selection pane="bottomRight" activeCell="D10" sqref="D10"/>
    </sheetView>
  </sheetViews>
  <sheetFormatPr defaultColWidth="7" defaultRowHeight="12.75" outlineLevelRow="1"/>
  <cols>
    <col min="1" max="1" width="0.875" style="171" customWidth="1"/>
    <col min="2" max="2" width="22.625" style="171" customWidth="1"/>
    <col min="3" max="3" width="7.375" style="171" customWidth="1"/>
    <col min="4" max="5" width="9.5" style="63" customWidth="1"/>
    <col min="6" max="7" width="10.625" style="63" customWidth="1"/>
    <col min="8" max="8" width="1.25" style="63" customWidth="1"/>
    <col min="9" max="9" width="9.25" style="63" customWidth="1"/>
    <col min="10" max="10" width="1.25" style="63" customWidth="1"/>
    <col min="11" max="12" width="8.75" style="63" customWidth="1"/>
    <col min="13" max="13" width="8.625" style="63" customWidth="1"/>
    <col min="14" max="14" width="1.25" style="63" customWidth="1"/>
    <col min="15" max="15" width="10.25" style="63" customWidth="1"/>
    <col min="16" max="18" width="9.625" style="63" customWidth="1"/>
    <col min="19" max="19" width="1.25" style="63" customWidth="1"/>
    <col min="20" max="20" width="8.75" style="63" customWidth="1"/>
    <col min="21" max="21" width="1.25" style="63" customWidth="1"/>
    <col min="22" max="23" width="9" style="63" customWidth="1"/>
    <col min="24" max="24" width="9.625" style="63" customWidth="1"/>
    <col min="25" max="26" width="7.625" style="63" customWidth="1"/>
    <col min="27" max="27" width="1.25" style="43" customWidth="1"/>
    <col min="28" max="29" width="8.75" style="140" customWidth="1"/>
    <col min="30" max="30" width="0.875" style="43" customWidth="1"/>
    <col min="31" max="31" width="2.75" style="43" customWidth="1"/>
    <col min="32" max="16384" width="7" style="43"/>
  </cols>
  <sheetData>
    <row r="1" spans="1:30" s="22" customFormat="1" ht="25.15">
      <c r="A1" s="262" t="s">
        <v>125</v>
      </c>
      <c r="B1" s="262"/>
      <c r="C1" s="262"/>
      <c r="D1" s="262"/>
      <c r="E1" s="262"/>
      <c r="F1" s="262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</row>
    <row r="2" spans="1:30" s="22" customFormat="1" ht="18" customHeight="1">
      <c r="A2" s="262"/>
      <c r="B2" s="262"/>
      <c r="C2" s="262"/>
      <c r="D2" s="262"/>
      <c r="E2" s="262"/>
      <c r="F2" s="262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</row>
    <row r="3" spans="1:30" s="22" customFormat="1" ht="12.75" customHeight="1">
      <c r="A3" s="262"/>
      <c r="B3" s="262"/>
      <c r="C3" s="262"/>
      <c r="D3" s="262"/>
      <c r="E3" s="262"/>
      <c r="F3" s="262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</row>
    <row r="4" spans="1:30">
      <c r="A4" s="154"/>
      <c r="B4" s="165"/>
      <c r="C4" s="165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62"/>
      <c r="AB4" s="109"/>
      <c r="AC4" s="109"/>
      <c r="AD4" s="62"/>
    </row>
    <row r="5" spans="1:30">
      <c r="A5" s="154"/>
      <c r="B5" s="165"/>
      <c r="C5" s="165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  <c r="AA5" s="62"/>
      <c r="AB5" s="109"/>
      <c r="AC5" s="109"/>
      <c r="AD5" s="62"/>
    </row>
    <row r="6" spans="1:30" s="42" customFormat="1" ht="13.15">
      <c r="A6" s="166"/>
      <c r="B6" s="167"/>
      <c r="C6" s="167"/>
      <c r="F6" s="111"/>
      <c r="G6" s="112"/>
      <c r="H6" s="112"/>
      <c r="S6" s="113"/>
      <c r="T6" s="114"/>
      <c r="U6" s="114"/>
      <c r="AB6" s="115"/>
      <c r="AC6" s="115"/>
    </row>
    <row r="7" spans="1:30" s="56" customFormat="1" ht="16.5">
      <c r="A7" s="168"/>
      <c r="B7" s="169"/>
      <c r="C7" s="169"/>
      <c r="D7" s="110" t="s">
        <v>80</v>
      </c>
      <c r="E7" s="110" t="s">
        <v>94</v>
      </c>
      <c r="F7" s="110" t="s">
        <v>3</v>
      </c>
      <c r="G7" s="110" t="s">
        <v>4</v>
      </c>
      <c r="H7" s="116"/>
      <c r="I7" s="283" t="s">
        <v>72</v>
      </c>
      <c r="J7" s="283"/>
      <c r="K7" s="283"/>
      <c r="L7" s="283"/>
      <c r="M7" s="283"/>
      <c r="N7" s="283"/>
      <c r="O7" s="283"/>
      <c r="P7" s="283"/>
      <c r="Q7" s="283"/>
      <c r="R7" s="283"/>
      <c r="T7" s="83" t="s">
        <v>47</v>
      </c>
      <c r="U7" s="117"/>
      <c r="V7" s="283" t="s">
        <v>71</v>
      </c>
      <c r="W7" s="283"/>
      <c r="X7" s="283"/>
      <c r="Y7" s="283"/>
      <c r="Z7" s="283"/>
      <c r="AB7" s="118"/>
      <c r="AC7" s="118"/>
    </row>
    <row r="8" spans="1:30" s="42" customFormat="1" ht="16.5">
      <c r="A8" s="166"/>
      <c r="B8" s="167"/>
      <c r="C8" s="166"/>
      <c r="D8" s="110" t="s">
        <v>60</v>
      </c>
      <c r="E8" s="110" t="s">
        <v>63</v>
      </c>
      <c r="F8" s="110" t="s">
        <v>7</v>
      </c>
      <c r="G8" s="110" t="s">
        <v>7</v>
      </c>
      <c r="H8" s="112"/>
      <c r="I8" s="83" t="s">
        <v>91</v>
      </c>
      <c r="J8" s="83"/>
      <c r="K8" s="282" t="s">
        <v>70</v>
      </c>
      <c r="L8" s="282"/>
      <c r="M8" s="282"/>
      <c r="N8" s="83"/>
      <c r="O8" s="176" t="s">
        <v>14</v>
      </c>
      <c r="P8" s="176" t="s">
        <v>12</v>
      </c>
      <c r="Q8" s="176" t="s">
        <v>87</v>
      </c>
      <c r="R8" s="176" t="s">
        <v>88</v>
      </c>
      <c r="S8" s="110"/>
      <c r="T8" s="30" t="s">
        <v>14</v>
      </c>
      <c r="U8" s="83"/>
      <c r="V8" s="83" t="s">
        <v>61</v>
      </c>
      <c r="W8" s="83" t="s">
        <v>62</v>
      </c>
      <c r="X8" s="282" t="s">
        <v>8</v>
      </c>
      <c r="Y8" s="282"/>
      <c r="Z8" s="282"/>
      <c r="AB8" s="119" t="s">
        <v>66</v>
      </c>
      <c r="AC8" s="119" t="s">
        <v>68</v>
      </c>
    </row>
    <row r="9" spans="1:30" s="42" customFormat="1" ht="16.5">
      <c r="A9" s="145"/>
      <c r="B9" s="170" t="s">
        <v>5</v>
      </c>
      <c r="C9" s="145" t="s">
        <v>2</v>
      </c>
      <c r="D9" s="120" t="s">
        <v>63</v>
      </c>
      <c r="E9" s="120" t="s">
        <v>95</v>
      </c>
      <c r="F9" s="39" t="s">
        <v>104</v>
      </c>
      <c r="G9" s="39" t="s">
        <v>104</v>
      </c>
      <c r="H9" s="121"/>
      <c r="I9" s="39" t="s">
        <v>92</v>
      </c>
      <c r="J9" s="39"/>
      <c r="K9" s="39" t="s">
        <v>76</v>
      </c>
      <c r="L9" s="176" t="s">
        <v>86</v>
      </c>
      <c r="M9" s="39" t="s">
        <v>65</v>
      </c>
      <c r="N9" s="39"/>
      <c r="O9" s="39" t="s">
        <v>76</v>
      </c>
      <c r="P9" s="176" t="s">
        <v>76</v>
      </c>
      <c r="Q9" s="176" t="s">
        <v>76</v>
      </c>
      <c r="R9" s="39" t="s">
        <v>76</v>
      </c>
      <c r="S9" s="39"/>
      <c r="T9" s="40" t="s">
        <v>45</v>
      </c>
      <c r="U9" s="39"/>
      <c r="V9" s="39" t="s">
        <v>7</v>
      </c>
      <c r="W9" s="39" t="s">
        <v>64</v>
      </c>
      <c r="X9" s="39" t="s">
        <v>76</v>
      </c>
      <c r="Y9" s="176" t="s">
        <v>86</v>
      </c>
      <c r="Z9" s="39" t="s">
        <v>65</v>
      </c>
      <c r="AB9" s="122" t="s">
        <v>67</v>
      </c>
      <c r="AC9" s="122" t="s">
        <v>67</v>
      </c>
    </row>
    <row r="10" spans="1:30">
      <c r="A10" s="146"/>
      <c r="B10" s="153" t="str">
        <f>Info!A6</f>
        <v/>
      </c>
      <c r="C10" s="161" t="str">
        <f>IF(List!D6="","",List!D6)</f>
        <v/>
      </c>
      <c r="D10" s="123" t="str">
        <f>[1]!IntrinioDataPoint($C10,"close_price")</f>
        <v/>
      </c>
      <c r="E10" s="123" t="str">
        <f>[1]!IntrinioDataPoint($C10,"analyst_target_price")</f>
        <v/>
      </c>
      <c r="F10" s="124" t="str">
        <f>Info!F6</f>
        <v/>
      </c>
      <c r="G10" s="124" t="str">
        <f>Info!G6</f>
        <v/>
      </c>
      <c r="H10" s="62"/>
      <c r="I10" s="125" t="str">
        <f>[1]!IntrinioDataPoint($C10,"evtoinvestedcapital")</f>
        <v/>
      </c>
      <c r="J10" s="92"/>
      <c r="K10" s="92" t="str">
        <f>[1]!IntrinioDataPoint($C10,"evtorevenue")</f>
        <v/>
      </c>
      <c r="L10" s="92" t="str">
        <f>[1]!IntrinioDataPoint($C10,"evtocurrentyearrevenue")</f>
        <v/>
      </c>
      <c r="M10" s="92" t="str">
        <f>[1]!IntrinioDataPoint($C10,"evtonextyearrevenue")</f>
        <v/>
      </c>
      <c r="N10" s="92"/>
      <c r="O10" s="125" t="str">
        <f>[1]!IntrinioDataPoint($C10,"evtoebitda")</f>
        <v/>
      </c>
      <c r="P10" s="92" t="str">
        <f>[1]!IntrinioDataPoint($C10,"evtonopat")</f>
        <v/>
      </c>
      <c r="Q10" s="92" t="str">
        <f>[1]!IntrinioDataPoint($C10,"evtoocf")</f>
        <v/>
      </c>
      <c r="R10" s="92" t="str">
        <f>[1]!IntrinioDataPoint($C10,"evtofcff")</f>
        <v/>
      </c>
      <c r="S10" s="92"/>
      <c r="T10" s="126" t="str">
        <f>IF($C10="","",[1]!IntrinioFinancials($C10,"calculations",0,"TTM","debttoebitda"))</f>
        <v/>
      </c>
      <c r="U10" s="92"/>
      <c r="V10" s="92" t="str">
        <f>[1]!IntrinioDataPoint($C10,"pricetobook")</f>
        <v/>
      </c>
      <c r="W10" s="92" t="str">
        <f>[1]!IntrinioDataPoint($C10,"pricetotangiblebook")</f>
        <v/>
      </c>
      <c r="X10" s="125" t="str">
        <f>[1]!IntrinioDataPoint($C10,"pricetoearnings")</f>
        <v/>
      </c>
      <c r="Y10" s="92" t="str">
        <f>[1]!IntrinioDataPoint($C10,"pricetocurrentyearearnings")</f>
        <v/>
      </c>
      <c r="Z10" s="126" t="str">
        <f>[1]!IntrinioDataPoint($C10,"pricetonextyearearnings")</f>
        <v/>
      </c>
      <c r="AA10" s="62"/>
      <c r="AB10" s="174" t="str">
        <f>[1]!IntrinioDataPoint($C10,"earningsyield")</f>
        <v/>
      </c>
      <c r="AC10" s="174" t="str">
        <f>[1]!IntrinioDataPoint($C10,"trailing_dividend_yield")</f>
        <v/>
      </c>
      <c r="AD10" s="127"/>
    </row>
    <row r="11" spans="1:30">
      <c r="A11" s="146"/>
      <c r="B11" s="233" t="str">
        <f>Info!A7</f>
        <v/>
      </c>
      <c r="C11" s="193" t="str">
        <f>IF(List!D7="","",List!D7)</f>
        <v/>
      </c>
      <c r="D11" s="234" t="str">
        <f>[1]!IntrinioDataPoint($C11,"close_price")</f>
        <v/>
      </c>
      <c r="E11" s="234" t="str">
        <f>[1]!IntrinioDataPoint($C11,"analyst_target_price")</f>
        <v/>
      </c>
      <c r="F11" s="235" t="str">
        <f>Info!F7</f>
        <v/>
      </c>
      <c r="G11" s="235" t="str">
        <f>Info!G7</f>
        <v/>
      </c>
      <c r="H11" s="224"/>
      <c r="I11" s="236" t="str">
        <f>[1]!IntrinioDataPoint($C11,"evtoinvestedcapital")</f>
        <v/>
      </c>
      <c r="J11" s="237"/>
      <c r="K11" s="237" t="str">
        <f>[1]!IntrinioDataPoint($C11,"evtorevenue")</f>
        <v/>
      </c>
      <c r="L11" s="237" t="str">
        <f>[1]!IntrinioDataPoint($C11,"evtocurrentyearrevenue")</f>
        <v/>
      </c>
      <c r="M11" s="237" t="str">
        <f>[1]!IntrinioDataPoint($C11,"evtonextyearrevenue")</f>
        <v/>
      </c>
      <c r="N11" s="237"/>
      <c r="O11" s="236" t="str">
        <f>[1]!IntrinioDataPoint($C11,"evtoebitda")</f>
        <v/>
      </c>
      <c r="P11" s="237" t="str">
        <f>[1]!IntrinioDataPoint($C11,"evtonopat")</f>
        <v/>
      </c>
      <c r="Q11" s="237" t="str">
        <f>[1]!IntrinioDataPoint($C11,"evtoocf")</f>
        <v/>
      </c>
      <c r="R11" s="237" t="str">
        <f>[1]!IntrinioDataPoint($C11,"evtofcff")</f>
        <v/>
      </c>
      <c r="S11" s="237"/>
      <c r="T11" s="238" t="str">
        <f>IF($C11="","",[1]!IntrinioFinancials($C11,"calculations",0,"TTM","debttoebitda"))</f>
        <v/>
      </c>
      <c r="U11" s="237"/>
      <c r="V11" s="237" t="str">
        <f>[1]!IntrinioDataPoint($C11,"pricetobook")</f>
        <v/>
      </c>
      <c r="W11" s="237" t="str">
        <f>[1]!IntrinioDataPoint($C11,"pricetotangiblebook")</f>
        <v/>
      </c>
      <c r="X11" s="236" t="str">
        <f>[1]!IntrinioDataPoint($C11,"pricetoearnings")</f>
        <v/>
      </c>
      <c r="Y11" s="237" t="str">
        <f>[1]!IntrinioDataPoint($C11,"pricetocurrentyearearnings")</f>
        <v/>
      </c>
      <c r="Z11" s="238" t="str">
        <f>[1]!IntrinioDataPoint($C11,"pricetonextyearearnings")</f>
        <v/>
      </c>
      <c r="AA11" s="224"/>
      <c r="AB11" s="239" t="str">
        <f>[1]!IntrinioDataPoint($C11,"earningsyield")</f>
        <v/>
      </c>
      <c r="AC11" s="239" t="str">
        <f>[1]!IntrinioDataPoint($C11,"trailing_dividend_yield")</f>
        <v/>
      </c>
      <c r="AD11" s="127"/>
    </row>
    <row r="12" spans="1:30">
      <c r="A12" s="146"/>
      <c r="B12" s="153" t="str">
        <f>Info!A8</f>
        <v/>
      </c>
      <c r="C12" s="161" t="str">
        <f>IF(List!D8="","",List!D8)</f>
        <v/>
      </c>
      <c r="D12" s="123" t="str">
        <f>[1]!IntrinioDataPoint($C12,"close_price")</f>
        <v/>
      </c>
      <c r="E12" s="123" t="str">
        <f>[1]!IntrinioDataPoint($C12,"analyst_target_price")</f>
        <v/>
      </c>
      <c r="F12" s="124" t="str">
        <f>Info!F8</f>
        <v/>
      </c>
      <c r="G12" s="124" t="str">
        <f>Info!G8</f>
        <v/>
      </c>
      <c r="H12" s="62"/>
      <c r="I12" s="125" t="str">
        <f>[1]!IntrinioDataPoint($C12,"evtoinvestedcapital")</f>
        <v/>
      </c>
      <c r="J12" s="92"/>
      <c r="K12" s="92" t="str">
        <f>[1]!IntrinioDataPoint($C12,"evtorevenue")</f>
        <v/>
      </c>
      <c r="L12" s="92" t="str">
        <f>[1]!IntrinioDataPoint($C12,"evtocurrentyearrevenue")</f>
        <v/>
      </c>
      <c r="M12" s="92" t="str">
        <f>[1]!IntrinioDataPoint($C12,"evtonextyearrevenue")</f>
        <v/>
      </c>
      <c r="N12" s="92"/>
      <c r="O12" s="125" t="str">
        <f>[1]!IntrinioDataPoint($C12,"evtoebitda")</f>
        <v/>
      </c>
      <c r="P12" s="92" t="str">
        <f>[1]!IntrinioDataPoint($C12,"evtonopat")</f>
        <v/>
      </c>
      <c r="Q12" s="92" t="str">
        <f>[1]!IntrinioDataPoint($C12,"evtoocf")</f>
        <v/>
      </c>
      <c r="R12" s="92" t="str">
        <f>[1]!IntrinioDataPoint($C12,"evtofcff")</f>
        <v/>
      </c>
      <c r="S12" s="92"/>
      <c r="T12" s="126" t="str">
        <f>IF($C12="","",[1]!IntrinioFinancials($C12,"calculations",0,"TTM","debttoebitda"))</f>
        <v/>
      </c>
      <c r="U12" s="92"/>
      <c r="V12" s="92" t="str">
        <f>[1]!IntrinioDataPoint($C12,"pricetobook")</f>
        <v/>
      </c>
      <c r="W12" s="92" t="str">
        <f>[1]!IntrinioDataPoint($C12,"pricetotangiblebook")</f>
        <v/>
      </c>
      <c r="X12" s="125" t="str">
        <f>[1]!IntrinioDataPoint($C12,"pricetoearnings")</f>
        <v/>
      </c>
      <c r="Y12" s="92" t="str">
        <f>[1]!IntrinioDataPoint($C12,"pricetocurrentyearearnings")</f>
        <v/>
      </c>
      <c r="Z12" s="126" t="str">
        <f>[1]!IntrinioDataPoint($C12,"pricetonextyearearnings")</f>
        <v/>
      </c>
      <c r="AA12" s="62"/>
      <c r="AB12" s="174" t="str">
        <f>[1]!IntrinioDataPoint($C12,"earningsyield")</f>
        <v/>
      </c>
      <c r="AC12" s="174" t="str">
        <f>[1]!IntrinioDataPoint($C12,"trailing_dividend_yield")</f>
        <v/>
      </c>
      <c r="AD12" s="127"/>
    </row>
    <row r="13" spans="1:30">
      <c r="A13" s="146"/>
      <c r="B13" s="233" t="str">
        <f>Info!A9</f>
        <v/>
      </c>
      <c r="C13" s="193" t="str">
        <f>IF(List!D9="","",List!D9)</f>
        <v/>
      </c>
      <c r="D13" s="234" t="str">
        <f>[1]!IntrinioDataPoint($C13,"close_price")</f>
        <v/>
      </c>
      <c r="E13" s="234" t="str">
        <f>[1]!IntrinioDataPoint($C13,"analyst_target_price")</f>
        <v/>
      </c>
      <c r="F13" s="235" t="str">
        <f>Info!F9</f>
        <v/>
      </c>
      <c r="G13" s="235" t="str">
        <f>Info!G9</f>
        <v/>
      </c>
      <c r="H13" s="224"/>
      <c r="I13" s="236" t="str">
        <f>[1]!IntrinioDataPoint($C13,"evtoinvestedcapital")</f>
        <v/>
      </c>
      <c r="J13" s="237"/>
      <c r="K13" s="237" t="str">
        <f>[1]!IntrinioDataPoint($C13,"evtorevenue")</f>
        <v/>
      </c>
      <c r="L13" s="237" t="str">
        <f>[1]!IntrinioDataPoint($C13,"evtocurrentyearrevenue")</f>
        <v/>
      </c>
      <c r="M13" s="237" t="str">
        <f>[1]!IntrinioDataPoint($C13,"evtonextyearrevenue")</f>
        <v/>
      </c>
      <c r="N13" s="237"/>
      <c r="O13" s="236" t="str">
        <f>[1]!IntrinioDataPoint($C13,"evtoebitda")</f>
        <v/>
      </c>
      <c r="P13" s="237" t="str">
        <f>[1]!IntrinioDataPoint($C13,"evtonopat")</f>
        <v/>
      </c>
      <c r="Q13" s="237" t="str">
        <f>[1]!IntrinioDataPoint($C13,"evtoocf")</f>
        <v/>
      </c>
      <c r="R13" s="237" t="str">
        <f>[1]!IntrinioDataPoint($C13,"evtofcff")</f>
        <v/>
      </c>
      <c r="S13" s="237"/>
      <c r="T13" s="238" t="str">
        <f>IF($C13="","",[1]!IntrinioFinancials($C13,"calculations",0,"TTM","debttoebitda"))</f>
        <v/>
      </c>
      <c r="U13" s="237"/>
      <c r="V13" s="237" t="str">
        <f>[1]!IntrinioDataPoint($C13,"pricetobook")</f>
        <v/>
      </c>
      <c r="W13" s="237" t="str">
        <f>[1]!IntrinioDataPoint($C13,"pricetotangiblebook")</f>
        <v/>
      </c>
      <c r="X13" s="236" t="str">
        <f>[1]!IntrinioDataPoint($C13,"pricetoearnings")</f>
        <v/>
      </c>
      <c r="Y13" s="237" t="str">
        <f>[1]!IntrinioDataPoint($C13,"pricetocurrentyearearnings")</f>
        <v/>
      </c>
      <c r="Z13" s="238" t="str">
        <f>[1]!IntrinioDataPoint($C13,"pricetonextyearearnings")</f>
        <v/>
      </c>
      <c r="AA13" s="224"/>
      <c r="AB13" s="239" t="str">
        <f>[1]!IntrinioDataPoint($C13,"earningsyield")</f>
        <v/>
      </c>
      <c r="AC13" s="239" t="str">
        <f>[1]!IntrinioDataPoint($C13,"trailing_dividend_yield")</f>
        <v/>
      </c>
      <c r="AD13" s="127"/>
    </row>
    <row r="14" spans="1:30">
      <c r="A14" s="146"/>
      <c r="B14" s="153" t="str">
        <f>Info!A10</f>
        <v/>
      </c>
      <c r="C14" s="161" t="str">
        <f>IF(List!D10="","",List!D10)</f>
        <v/>
      </c>
      <c r="D14" s="123" t="str">
        <f>[1]!IntrinioDataPoint($C14,"close_price")</f>
        <v/>
      </c>
      <c r="E14" s="123" t="str">
        <f>[1]!IntrinioDataPoint($C14,"analyst_target_price")</f>
        <v/>
      </c>
      <c r="F14" s="124" t="str">
        <f>Info!F10</f>
        <v/>
      </c>
      <c r="G14" s="124" t="str">
        <f>Info!G10</f>
        <v/>
      </c>
      <c r="H14" s="62"/>
      <c r="I14" s="125" t="str">
        <f>[1]!IntrinioDataPoint($C14,"evtoinvestedcapital")</f>
        <v/>
      </c>
      <c r="J14" s="92"/>
      <c r="K14" s="92" t="str">
        <f>[1]!IntrinioDataPoint($C14,"evtorevenue")</f>
        <v/>
      </c>
      <c r="L14" s="92" t="str">
        <f>[1]!IntrinioDataPoint($C14,"evtocurrentyearrevenue")</f>
        <v/>
      </c>
      <c r="M14" s="92" t="str">
        <f>[1]!IntrinioDataPoint($C14,"evtonextyearrevenue")</f>
        <v/>
      </c>
      <c r="N14" s="92"/>
      <c r="O14" s="125" t="str">
        <f>[1]!IntrinioDataPoint($C14,"evtoebitda")</f>
        <v/>
      </c>
      <c r="P14" s="92" t="str">
        <f>[1]!IntrinioDataPoint($C14,"evtonopat")</f>
        <v/>
      </c>
      <c r="Q14" s="92" t="str">
        <f>[1]!IntrinioDataPoint($C14,"evtoocf")</f>
        <v/>
      </c>
      <c r="R14" s="92" t="str">
        <f>[1]!IntrinioDataPoint($C14,"evtofcff")</f>
        <v/>
      </c>
      <c r="S14" s="92"/>
      <c r="T14" s="126" t="str">
        <f>IF($C14="","",[1]!IntrinioFinancials($C14,"calculations",0,"TTM","debttoebitda"))</f>
        <v/>
      </c>
      <c r="U14" s="92"/>
      <c r="V14" s="92" t="str">
        <f>[1]!IntrinioDataPoint($C14,"pricetobook")</f>
        <v/>
      </c>
      <c r="W14" s="92" t="str">
        <f>[1]!IntrinioDataPoint($C14,"pricetotangiblebook")</f>
        <v/>
      </c>
      <c r="X14" s="125" t="str">
        <f>[1]!IntrinioDataPoint($C14,"pricetoearnings")</f>
        <v/>
      </c>
      <c r="Y14" s="92" t="str">
        <f>[1]!IntrinioDataPoint($C14,"pricetocurrentyearearnings")</f>
        <v/>
      </c>
      <c r="Z14" s="126" t="str">
        <f>[1]!IntrinioDataPoint($C14,"pricetonextyearearnings")</f>
        <v/>
      </c>
      <c r="AA14" s="62"/>
      <c r="AB14" s="174" t="str">
        <f>[1]!IntrinioDataPoint($C14,"earningsyield")</f>
        <v/>
      </c>
      <c r="AC14" s="174" t="str">
        <f>[1]!IntrinioDataPoint($C14,"trailing_dividend_yield")</f>
        <v/>
      </c>
      <c r="AD14" s="127"/>
    </row>
    <row r="15" spans="1:30" hidden="1" outlineLevel="1">
      <c r="A15" s="146"/>
      <c r="B15" s="233" t="str">
        <f>Info!A11</f>
        <v/>
      </c>
      <c r="C15" s="193" t="str">
        <f>IF(List!D11="","",List!D11)</f>
        <v/>
      </c>
      <c r="D15" s="234" t="str">
        <f>[1]!IntrinioDataPoint($C15,"close_price")</f>
        <v/>
      </c>
      <c r="E15" s="234" t="str">
        <f>[1]!IntrinioDataPoint($C15,"analyst_target_price")</f>
        <v/>
      </c>
      <c r="F15" s="235" t="str">
        <f>Info!F11</f>
        <v/>
      </c>
      <c r="G15" s="235" t="str">
        <f>Info!G11</f>
        <v/>
      </c>
      <c r="H15" s="224"/>
      <c r="I15" s="236" t="str">
        <f>[1]!IntrinioDataPoint($C15,"evtoinvestedcapital")</f>
        <v/>
      </c>
      <c r="J15" s="237"/>
      <c r="K15" s="237" t="str">
        <f>[1]!IntrinioDataPoint($C15,"evtorevenue")</f>
        <v/>
      </c>
      <c r="L15" s="237" t="str">
        <f>[1]!IntrinioDataPoint($C15,"evtocurrentyearrevenue")</f>
        <v/>
      </c>
      <c r="M15" s="237" t="str">
        <f>[1]!IntrinioDataPoint($C15,"evtonextyearrevenue")</f>
        <v/>
      </c>
      <c r="N15" s="237"/>
      <c r="O15" s="236" t="str">
        <f>[1]!IntrinioDataPoint($C15,"evtoebitda")</f>
        <v/>
      </c>
      <c r="P15" s="237" t="str">
        <f>[1]!IntrinioDataPoint($C15,"evtonopat")</f>
        <v/>
      </c>
      <c r="Q15" s="237" t="str">
        <f>[1]!IntrinioDataPoint($C15,"evtoocf")</f>
        <v/>
      </c>
      <c r="R15" s="237" t="str">
        <f>[1]!IntrinioDataPoint($C15,"evtofcff")</f>
        <v/>
      </c>
      <c r="S15" s="237"/>
      <c r="T15" s="238" t="str">
        <f>IF($C15="","",[1]!IntrinioFinancials($C15,"calculations",0,"TTM","debttoebitda"))</f>
        <v/>
      </c>
      <c r="U15" s="237"/>
      <c r="V15" s="237" t="str">
        <f>[1]!IntrinioDataPoint($C15,"pricetobook")</f>
        <v/>
      </c>
      <c r="W15" s="237" t="str">
        <f>[1]!IntrinioDataPoint($C15,"pricetotangiblebook")</f>
        <v/>
      </c>
      <c r="X15" s="236" t="str">
        <f>[1]!IntrinioDataPoint($C15,"pricetoearnings")</f>
        <v/>
      </c>
      <c r="Y15" s="237" t="str">
        <f>[1]!IntrinioDataPoint($C15,"pricetocurrentyearearnings")</f>
        <v/>
      </c>
      <c r="Z15" s="238" t="str">
        <f>[1]!IntrinioDataPoint($C15,"pricetonextyearearnings")</f>
        <v/>
      </c>
      <c r="AA15" s="224"/>
      <c r="AB15" s="239" t="str">
        <f>[1]!IntrinioDataPoint($C15,"earningsyield")</f>
        <v/>
      </c>
      <c r="AC15" s="239" t="str">
        <f>[1]!IntrinioDataPoint($C15,"trailing_dividend_yield")</f>
        <v/>
      </c>
      <c r="AD15" s="127"/>
    </row>
    <row r="16" spans="1:30" hidden="1" outlineLevel="1">
      <c r="A16" s="146"/>
      <c r="B16" s="153" t="str">
        <f>Info!A12</f>
        <v/>
      </c>
      <c r="C16" s="161" t="str">
        <f>IF(List!D12="","",List!D12)</f>
        <v/>
      </c>
      <c r="D16" s="123" t="str">
        <f>[1]!IntrinioDataPoint($C16,"close_price")</f>
        <v/>
      </c>
      <c r="E16" s="123" t="str">
        <f>[1]!IntrinioDataPoint($C16,"analyst_target_price")</f>
        <v/>
      </c>
      <c r="F16" s="124" t="str">
        <f>Info!F12</f>
        <v/>
      </c>
      <c r="G16" s="124" t="str">
        <f>Info!G12</f>
        <v/>
      </c>
      <c r="H16" s="62"/>
      <c r="I16" s="125" t="str">
        <f>[1]!IntrinioDataPoint($C16,"evtoinvestedcapital")</f>
        <v/>
      </c>
      <c r="J16" s="92"/>
      <c r="K16" s="92" t="str">
        <f>[1]!IntrinioDataPoint($C16,"evtorevenue")</f>
        <v/>
      </c>
      <c r="L16" s="92" t="str">
        <f>[1]!IntrinioDataPoint($C16,"evtocurrentyearrevenue")</f>
        <v/>
      </c>
      <c r="M16" s="92" t="str">
        <f>[1]!IntrinioDataPoint($C16,"evtonextyearrevenue")</f>
        <v/>
      </c>
      <c r="N16" s="92"/>
      <c r="O16" s="125" t="str">
        <f>[1]!IntrinioDataPoint($C16,"evtoebitda")</f>
        <v/>
      </c>
      <c r="P16" s="92" t="str">
        <f>[1]!IntrinioDataPoint($C16,"evtonopat")</f>
        <v/>
      </c>
      <c r="Q16" s="92" t="str">
        <f>[1]!IntrinioDataPoint($C16,"evtoocf")</f>
        <v/>
      </c>
      <c r="R16" s="92" t="str">
        <f>[1]!IntrinioDataPoint($C16,"evtofcff")</f>
        <v/>
      </c>
      <c r="S16" s="92"/>
      <c r="T16" s="126" t="str">
        <f>IF($C16="","",[1]!IntrinioFinancials($C16,"calculations",0,"TTM","debttoebitda"))</f>
        <v/>
      </c>
      <c r="U16" s="92"/>
      <c r="V16" s="92" t="str">
        <f>[1]!IntrinioDataPoint($C16,"pricetobook")</f>
        <v/>
      </c>
      <c r="W16" s="92" t="str">
        <f>[1]!IntrinioDataPoint($C16,"pricetotangiblebook")</f>
        <v/>
      </c>
      <c r="X16" s="125" t="str">
        <f>[1]!IntrinioDataPoint($C16,"pricetoearnings")</f>
        <v/>
      </c>
      <c r="Y16" s="92" t="str">
        <f>[1]!IntrinioDataPoint($C16,"pricetocurrentyearearnings")</f>
        <v/>
      </c>
      <c r="Z16" s="126" t="str">
        <f>[1]!IntrinioDataPoint($C16,"pricetonextyearearnings")</f>
        <v/>
      </c>
      <c r="AA16" s="62"/>
      <c r="AB16" s="174" t="str">
        <f>[1]!IntrinioDataPoint($C16,"earningsyield")</f>
        <v/>
      </c>
      <c r="AC16" s="174" t="str">
        <f>[1]!IntrinioDataPoint($C16,"trailing_dividend_yield")</f>
        <v/>
      </c>
      <c r="AD16" s="127"/>
    </row>
    <row r="17" spans="1:30" hidden="1" outlineLevel="1">
      <c r="A17" s="146"/>
      <c r="B17" s="233" t="str">
        <f>Info!A13</f>
        <v/>
      </c>
      <c r="C17" s="193" t="str">
        <f>IF(List!D13="","",List!D13)</f>
        <v/>
      </c>
      <c r="D17" s="234" t="str">
        <f>[1]!IntrinioDataPoint($C17,"close_price")</f>
        <v/>
      </c>
      <c r="E17" s="234" t="str">
        <f>[1]!IntrinioDataPoint($C17,"analyst_target_price")</f>
        <v/>
      </c>
      <c r="F17" s="235" t="str">
        <f>Info!F13</f>
        <v/>
      </c>
      <c r="G17" s="235" t="str">
        <f>Info!G13</f>
        <v/>
      </c>
      <c r="H17" s="224"/>
      <c r="I17" s="236" t="str">
        <f>[1]!IntrinioDataPoint($C17,"evtoinvestedcapital")</f>
        <v/>
      </c>
      <c r="J17" s="237"/>
      <c r="K17" s="237" t="str">
        <f>[1]!IntrinioDataPoint($C17,"evtorevenue")</f>
        <v/>
      </c>
      <c r="L17" s="237" t="str">
        <f>[1]!IntrinioDataPoint($C17,"evtocurrentyearrevenue")</f>
        <v/>
      </c>
      <c r="M17" s="237" t="str">
        <f>[1]!IntrinioDataPoint($C17,"evtonextyearrevenue")</f>
        <v/>
      </c>
      <c r="N17" s="237"/>
      <c r="O17" s="236" t="str">
        <f>[1]!IntrinioDataPoint($C17,"evtoebitda")</f>
        <v/>
      </c>
      <c r="P17" s="237" t="str">
        <f>[1]!IntrinioDataPoint($C17,"evtonopat")</f>
        <v/>
      </c>
      <c r="Q17" s="237" t="str">
        <f>[1]!IntrinioDataPoint($C17,"evtoocf")</f>
        <v/>
      </c>
      <c r="R17" s="237" t="str">
        <f>[1]!IntrinioDataPoint($C17,"evtofcff")</f>
        <v/>
      </c>
      <c r="S17" s="237"/>
      <c r="T17" s="238" t="str">
        <f>IF($C17="","",[1]!IntrinioFinancials($C17,"calculations",0,"TTM","debttoebitda"))</f>
        <v/>
      </c>
      <c r="U17" s="237"/>
      <c r="V17" s="237" t="str">
        <f>[1]!IntrinioDataPoint($C17,"pricetobook")</f>
        <v/>
      </c>
      <c r="W17" s="237" t="str">
        <f>[1]!IntrinioDataPoint($C17,"pricetotangiblebook")</f>
        <v/>
      </c>
      <c r="X17" s="236" t="str">
        <f>[1]!IntrinioDataPoint($C17,"pricetoearnings")</f>
        <v/>
      </c>
      <c r="Y17" s="237" t="str">
        <f>[1]!IntrinioDataPoint($C17,"pricetocurrentyearearnings")</f>
        <v/>
      </c>
      <c r="Z17" s="238" t="str">
        <f>[1]!IntrinioDataPoint($C17,"pricetonextyearearnings")</f>
        <v/>
      </c>
      <c r="AA17" s="224"/>
      <c r="AB17" s="239" t="str">
        <f>[1]!IntrinioDataPoint($C17,"earningsyield")</f>
        <v/>
      </c>
      <c r="AC17" s="239" t="str">
        <f>[1]!IntrinioDataPoint($C17,"trailing_dividend_yield")</f>
        <v/>
      </c>
      <c r="AD17" s="127"/>
    </row>
    <row r="18" spans="1:30" hidden="1" outlineLevel="1">
      <c r="A18" s="146"/>
      <c r="B18" s="153" t="str">
        <f>Info!A14</f>
        <v/>
      </c>
      <c r="C18" s="161" t="str">
        <f>IF(List!D14="","",List!D14)</f>
        <v/>
      </c>
      <c r="D18" s="123" t="str">
        <f>[1]!IntrinioDataPoint($C18,"close_price")</f>
        <v/>
      </c>
      <c r="E18" s="123" t="str">
        <f>[1]!IntrinioDataPoint($C18,"analyst_target_price")</f>
        <v/>
      </c>
      <c r="F18" s="124" t="str">
        <f>Info!F14</f>
        <v/>
      </c>
      <c r="G18" s="124" t="str">
        <f>Info!G14</f>
        <v/>
      </c>
      <c r="H18" s="62"/>
      <c r="I18" s="125" t="str">
        <f>[1]!IntrinioDataPoint($C18,"evtoinvestedcapital")</f>
        <v/>
      </c>
      <c r="J18" s="92"/>
      <c r="K18" s="92" t="str">
        <f>[1]!IntrinioDataPoint($C18,"evtorevenue")</f>
        <v/>
      </c>
      <c r="L18" s="92" t="str">
        <f>[1]!IntrinioDataPoint($C18,"evtocurrentyearrevenue")</f>
        <v/>
      </c>
      <c r="M18" s="92" t="str">
        <f>[1]!IntrinioDataPoint($C18,"evtonextyearrevenue")</f>
        <v/>
      </c>
      <c r="N18" s="92"/>
      <c r="O18" s="125" t="str">
        <f>[1]!IntrinioDataPoint($C18,"evtoebitda")</f>
        <v/>
      </c>
      <c r="P18" s="92" t="str">
        <f>[1]!IntrinioDataPoint($C18,"evtonopat")</f>
        <v/>
      </c>
      <c r="Q18" s="92" t="str">
        <f>[1]!IntrinioDataPoint($C18,"evtoocf")</f>
        <v/>
      </c>
      <c r="R18" s="92" t="str">
        <f>[1]!IntrinioDataPoint($C18,"evtofcff")</f>
        <v/>
      </c>
      <c r="S18" s="92"/>
      <c r="T18" s="126" t="str">
        <f>IF($C18="","",[1]!IntrinioFinancials($C18,"calculations",0,"TTM","debttoebitda"))</f>
        <v/>
      </c>
      <c r="U18" s="92"/>
      <c r="V18" s="92" t="str">
        <f>[1]!IntrinioDataPoint($C18,"pricetobook")</f>
        <v/>
      </c>
      <c r="W18" s="92" t="str">
        <f>[1]!IntrinioDataPoint($C18,"pricetotangiblebook")</f>
        <v/>
      </c>
      <c r="X18" s="125" t="str">
        <f>[1]!IntrinioDataPoint($C18,"pricetoearnings")</f>
        <v/>
      </c>
      <c r="Y18" s="92" t="str">
        <f>[1]!IntrinioDataPoint($C18,"pricetocurrentyearearnings")</f>
        <v/>
      </c>
      <c r="Z18" s="126" t="str">
        <f>[1]!IntrinioDataPoint($C18,"pricetonextyearearnings")</f>
        <v/>
      </c>
      <c r="AA18" s="62"/>
      <c r="AB18" s="174" t="str">
        <f>[1]!IntrinioDataPoint($C18,"earningsyield")</f>
        <v/>
      </c>
      <c r="AC18" s="174" t="str">
        <f>[1]!IntrinioDataPoint($C18,"trailing_dividend_yield")</f>
        <v/>
      </c>
      <c r="AD18" s="127"/>
    </row>
    <row r="19" spans="1:30" hidden="1" outlineLevel="1">
      <c r="A19" s="146"/>
      <c r="B19" s="233" t="str">
        <f>Info!A15</f>
        <v/>
      </c>
      <c r="C19" s="193" t="str">
        <f>IF(List!D15="","",List!D15)</f>
        <v/>
      </c>
      <c r="D19" s="234" t="str">
        <f>[1]!IntrinioDataPoint($C19,"close_price")</f>
        <v/>
      </c>
      <c r="E19" s="234" t="str">
        <f>[1]!IntrinioDataPoint($C19,"analyst_target_price")</f>
        <v/>
      </c>
      <c r="F19" s="235" t="str">
        <f>Info!F15</f>
        <v/>
      </c>
      <c r="G19" s="235" t="str">
        <f>Info!G15</f>
        <v/>
      </c>
      <c r="H19" s="224"/>
      <c r="I19" s="236" t="str">
        <f>[1]!IntrinioDataPoint($C19,"evtoinvestedcapital")</f>
        <v/>
      </c>
      <c r="J19" s="237"/>
      <c r="K19" s="237" t="str">
        <f>[1]!IntrinioDataPoint($C19,"evtorevenue")</f>
        <v/>
      </c>
      <c r="L19" s="237" t="str">
        <f>[1]!IntrinioDataPoint($C19,"evtocurrentyearrevenue")</f>
        <v/>
      </c>
      <c r="M19" s="237" t="str">
        <f>[1]!IntrinioDataPoint($C19,"evtonextyearrevenue")</f>
        <v/>
      </c>
      <c r="N19" s="237"/>
      <c r="O19" s="236" t="str">
        <f>[1]!IntrinioDataPoint($C19,"evtoebitda")</f>
        <v/>
      </c>
      <c r="P19" s="237" t="str">
        <f>[1]!IntrinioDataPoint($C19,"evtonopat")</f>
        <v/>
      </c>
      <c r="Q19" s="237" t="str">
        <f>[1]!IntrinioDataPoint($C19,"evtoocf")</f>
        <v/>
      </c>
      <c r="R19" s="237" t="str">
        <f>[1]!IntrinioDataPoint($C19,"evtofcff")</f>
        <v/>
      </c>
      <c r="S19" s="237"/>
      <c r="T19" s="238" t="str">
        <f>IF($C19="","",[1]!IntrinioFinancials($C19,"calculations",0,"TTM","debttoebitda"))</f>
        <v/>
      </c>
      <c r="U19" s="237"/>
      <c r="V19" s="237" t="str">
        <f>[1]!IntrinioDataPoint($C19,"pricetobook")</f>
        <v/>
      </c>
      <c r="W19" s="237" t="str">
        <f>[1]!IntrinioDataPoint($C19,"pricetotangiblebook")</f>
        <v/>
      </c>
      <c r="X19" s="236" t="str">
        <f>[1]!IntrinioDataPoint($C19,"pricetoearnings")</f>
        <v/>
      </c>
      <c r="Y19" s="237" t="str">
        <f>[1]!IntrinioDataPoint($C19,"pricetocurrentyearearnings")</f>
        <v/>
      </c>
      <c r="Z19" s="238" t="str">
        <f>[1]!IntrinioDataPoint($C19,"pricetonextyearearnings")</f>
        <v/>
      </c>
      <c r="AA19" s="224"/>
      <c r="AB19" s="239" t="str">
        <f>[1]!IntrinioDataPoint($C19,"earningsyield")</f>
        <v/>
      </c>
      <c r="AC19" s="239" t="str">
        <f>[1]!IntrinioDataPoint($C19,"trailing_dividend_yield")</f>
        <v/>
      </c>
      <c r="AD19" s="127"/>
    </row>
    <row r="20" spans="1:30" hidden="1" outlineLevel="1">
      <c r="A20" s="146"/>
      <c r="B20" s="153" t="str">
        <f>Info!A16</f>
        <v/>
      </c>
      <c r="C20" s="161" t="str">
        <f>IF(List!D16="","",List!D16)</f>
        <v/>
      </c>
      <c r="D20" s="123" t="str">
        <f>[1]!IntrinioDataPoint($C20,"close_price")</f>
        <v/>
      </c>
      <c r="E20" s="123" t="str">
        <f>[1]!IntrinioDataPoint($C20,"analyst_target_price")</f>
        <v/>
      </c>
      <c r="F20" s="124" t="str">
        <f>Info!F16</f>
        <v/>
      </c>
      <c r="G20" s="124" t="str">
        <f>Info!G16</f>
        <v/>
      </c>
      <c r="H20" s="62"/>
      <c r="I20" s="125" t="str">
        <f>[1]!IntrinioDataPoint($C20,"evtoinvestedcapital")</f>
        <v/>
      </c>
      <c r="J20" s="92"/>
      <c r="K20" s="92" t="str">
        <f>[1]!IntrinioDataPoint($C20,"evtorevenue")</f>
        <v/>
      </c>
      <c r="L20" s="92" t="str">
        <f>[1]!IntrinioDataPoint($C20,"evtocurrentyearrevenue")</f>
        <v/>
      </c>
      <c r="M20" s="92" t="str">
        <f>[1]!IntrinioDataPoint($C20,"evtonextyearrevenue")</f>
        <v/>
      </c>
      <c r="N20" s="92"/>
      <c r="O20" s="125" t="str">
        <f>[1]!IntrinioDataPoint($C20,"evtoebitda")</f>
        <v/>
      </c>
      <c r="P20" s="92" t="str">
        <f>[1]!IntrinioDataPoint($C20,"evtonopat")</f>
        <v/>
      </c>
      <c r="Q20" s="92" t="str">
        <f>[1]!IntrinioDataPoint($C20,"evtoocf")</f>
        <v/>
      </c>
      <c r="R20" s="92" t="str">
        <f>[1]!IntrinioDataPoint($C20,"evtofcff")</f>
        <v/>
      </c>
      <c r="S20" s="92"/>
      <c r="T20" s="126" t="str">
        <f>IF($C20="","",[1]!IntrinioFinancials($C20,"calculations",0,"TTM","debttoebitda"))</f>
        <v/>
      </c>
      <c r="U20" s="92"/>
      <c r="V20" s="92" t="str">
        <f>[1]!IntrinioDataPoint($C20,"pricetobook")</f>
        <v/>
      </c>
      <c r="W20" s="92" t="str">
        <f>[1]!IntrinioDataPoint($C20,"pricetotangiblebook")</f>
        <v/>
      </c>
      <c r="X20" s="125" t="str">
        <f>[1]!IntrinioDataPoint($C20,"pricetoearnings")</f>
        <v/>
      </c>
      <c r="Y20" s="92" t="str">
        <f>[1]!IntrinioDataPoint($C20,"pricetocurrentyearearnings")</f>
        <v/>
      </c>
      <c r="Z20" s="126" t="str">
        <f>[1]!IntrinioDataPoint($C20,"pricetonextyearearnings")</f>
        <v/>
      </c>
      <c r="AA20" s="62"/>
      <c r="AB20" s="174" t="str">
        <f>[1]!IntrinioDataPoint($C20,"earningsyield")</f>
        <v/>
      </c>
      <c r="AC20" s="174" t="str">
        <f>[1]!IntrinioDataPoint($C20,"trailing_dividend_yield")</f>
        <v/>
      </c>
      <c r="AD20" s="127"/>
    </row>
    <row r="21" spans="1:30" hidden="1" outlineLevel="1">
      <c r="A21" s="146"/>
      <c r="B21" s="233" t="str">
        <f>Info!A17</f>
        <v/>
      </c>
      <c r="C21" s="193" t="str">
        <f>IF(List!D17="","",List!D17)</f>
        <v/>
      </c>
      <c r="D21" s="234" t="str">
        <f>[1]!IntrinioDataPoint($C21,"close_price")</f>
        <v/>
      </c>
      <c r="E21" s="234" t="str">
        <f>[1]!IntrinioDataPoint($C21,"analyst_target_price")</f>
        <v/>
      </c>
      <c r="F21" s="235" t="str">
        <f>Info!F17</f>
        <v/>
      </c>
      <c r="G21" s="235" t="str">
        <f>Info!G17</f>
        <v/>
      </c>
      <c r="H21" s="224"/>
      <c r="I21" s="236" t="str">
        <f>[1]!IntrinioDataPoint($C21,"evtoinvestedcapital")</f>
        <v/>
      </c>
      <c r="J21" s="237"/>
      <c r="K21" s="237" t="str">
        <f>[1]!IntrinioDataPoint($C21,"evtorevenue")</f>
        <v/>
      </c>
      <c r="L21" s="237" t="str">
        <f>[1]!IntrinioDataPoint($C21,"evtocurrentyearrevenue")</f>
        <v/>
      </c>
      <c r="M21" s="237" t="str">
        <f>[1]!IntrinioDataPoint($C21,"evtonextyearrevenue")</f>
        <v/>
      </c>
      <c r="N21" s="237"/>
      <c r="O21" s="236" t="str">
        <f>[1]!IntrinioDataPoint($C21,"evtoebitda")</f>
        <v/>
      </c>
      <c r="P21" s="237" t="str">
        <f>[1]!IntrinioDataPoint($C21,"evtonopat")</f>
        <v/>
      </c>
      <c r="Q21" s="237" t="str">
        <f>[1]!IntrinioDataPoint($C21,"evtoocf")</f>
        <v/>
      </c>
      <c r="R21" s="237" t="str">
        <f>[1]!IntrinioDataPoint($C21,"evtofcff")</f>
        <v/>
      </c>
      <c r="S21" s="237"/>
      <c r="T21" s="238" t="str">
        <f>IF($C21="","",[1]!IntrinioFinancials($C21,"calculations",0,"TTM","debttoebitda"))</f>
        <v/>
      </c>
      <c r="U21" s="237"/>
      <c r="V21" s="237" t="str">
        <f>[1]!IntrinioDataPoint($C21,"pricetobook")</f>
        <v/>
      </c>
      <c r="W21" s="237" t="str">
        <f>[1]!IntrinioDataPoint($C21,"pricetotangiblebook")</f>
        <v/>
      </c>
      <c r="X21" s="236" t="str">
        <f>[1]!IntrinioDataPoint($C21,"pricetoearnings")</f>
        <v/>
      </c>
      <c r="Y21" s="237" t="str">
        <f>[1]!IntrinioDataPoint($C21,"pricetocurrentyearearnings")</f>
        <v/>
      </c>
      <c r="Z21" s="238" t="str">
        <f>[1]!IntrinioDataPoint($C21,"pricetonextyearearnings")</f>
        <v/>
      </c>
      <c r="AA21" s="224"/>
      <c r="AB21" s="239" t="str">
        <f>[1]!IntrinioDataPoint($C21,"earningsyield")</f>
        <v/>
      </c>
      <c r="AC21" s="239" t="str">
        <f>[1]!IntrinioDataPoint($C21,"trailing_dividend_yield")</f>
        <v/>
      </c>
      <c r="AD21" s="127"/>
    </row>
    <row r="22" spans="1:30" hidden="1" outlineLevel="1">
      <c r="A22" s="146"/>
      <c r="B22" s="153" t="str">
        <f>Info!A18</f>
        <v/>
      </c>
      <c r="C22" s="161" t="str">
        <f>IF(List!D18="","",List!D18)</f>
        <v/>
      </c>
      <c r="D22" s="123" t="str">
        <f>[1]!IntrinioDataPoint($C22,"close_price")</f>
        <v/>
      </c>
      <c r="E22" s="123" t="str">
        <f>[1]!IntrinioDataPoint($C22,"analyst_target_price")</f>
        <v/>
      </c>
      <c r="F22" s="124" t="str">
        <f>Info!F18</f>
        <v/>
      </c>
      <c r="G22" s="124" t="str">
        <f>Info!G18</f>
        <v/>
      </c>
      <c r="H22" s="62"/>
      <c r="I22" s="125" t="str">
        <f>[1]!IntrinioDataPoint($C22,"evtoinvestedcapital")</f>
        <v/>
      </c>
      <c r="J22" s="92"/>
      <c r="K22" s="92" t="str">
        <f>[1]!IntrinioDataPoint($C22,"evtorevenue")</f>
        <v/>
      </c>
      <c r="L22" s="92" t="str">
        <f>[1]!IntrinioDataPoint($C22,"evtocurrentyearrevenue")</f>
        <v/>
      </c>
      <c r="M22" s="92" t="str">
        <f>[1]!IntrinioDataPoint($C22,"evtonextyearrevenue")</f>
        <v/>
      </c>
      <c r="N22" s="92"/>
      <c r="O22" s="125" t="str">
        <f>[1]!IntrinioDataPoint($C22,"evtoebitda")</f>
        <v/>
      </c>
      <c r="P22" s="92" t="str">
        <f>[1]!IntrinioDataPoint($C22,"evtonopat")</f>
        <v/>
      </c>
      <c r="Q22" s="92" t="str">
        <f>[1]!IntrinioDataPoint($C22,"evtoocf")</f>
        <v/>
      </c>
      <c r="R22" s="92" t="str">
        <f>[1]!IntrinioDataPoint($C22,"evtofcff")</f>
        <v/>
      </c>
      <c r="S22" s="92"/>
      <c r="T22" s="126" t="str">
        <f>IF($C22="","",[1]!IntrinioFinancials($C22,"calculations",0,"TTM","debttoebitda"))</f>
        <v/>
      </c>
      <c r="U22" s="92"/>
      <c r="V22" s="92" t="str">
        <f>[1]!IntrinioDataPoint($C22,"pricetobook")</f>
        <v/>
      </c>
      <c r="W22" s="92" t="str">
        <f>[1]!IntrinioDataPoint($C22,"pricetotangiblebook")</f>
        <v/>
      </c>
      <c r="X22" s="125" t="str">
        <f>[1]!IntrinioDataPoint($C22,"pricetoearnings")</f>
        <v/>
      </c>
      <c r="Y22" s="92" t="str">
        <f>[1]!IntrinioDataPoint($C22,"pricetocurrentyearearnings")</f>
        <v/>
      </c>
      <c r="Z22" s="126" t="str">
        <f>[1]!IntrinioDataPoint($C22,"pricetonextyearearnings")</f>
        <v/>
      </c>
      <c r="AA22" s="62"/>
      <c r="AB22" s="174" t="str">
        <f>[1]!IntrinioDataPoint($C22,"earningsyield")</f>
        <v/>
      </c>
      <c r="AC22" s="174" t="str">
        <f>[1]!IntrinioDataPoint($C22,"trailing_dividend_yield")</f>
        <v/>
      </c>
      <c r="AD22" s="127"/>
    </row>
    <row r="23" spans="1:30" hidden="1" outlineLevel="1">
      <c r="A23" s="146"/>
      <c r="B23" s="233" t="str">
        <f>Info!A19</f>
        <v/>
      </c>
      <c r="C23" s="193" t="str">
        <f>IF(List!D19="","",List!D19)</f>
        <v/>
      </c>
      <c r="D23" s="234" t="str">
        <f>[1]!IntrinioDataPoint($C23,"close_price")</f>
        <v/>
      </c>
      <c r="E23" s="234" t="str">
        <f>[1]!IntrinioDataPoint($C23,"analyst_target_price")</f>
        <v/>
      </c>
      <c r="F23" s="235" t="str">
        <f>Info!F19</f>
        <v/>
      </c>
      <c r="G23" s="235" t="str">
        <f>Info!G19</f>
        <v/>
      </c>
      <c r="H23" s="224"/>
      <c r="I23" s="236" t="str">
        <f>[1]!IntrinioDataPoint($C23,"evtoinvestedcapital")</f>
        <v/>
      </c>
      <c r="J23" s="237"/>
      <c r="K23" s="237" t="str">
        <f>[1]!IntrinioDataPoint($C23,"evtorevenue")</f>
        <v/>
      </c>
      <c r="L23" s="237" t="str">
        <f>[1]!IntrinioDataPoint($C23,"evtocurrentyearrevenue")</f>
        <v/>
      </c>
      <c r="M23" s="237" t="str">
        <f>[1]!IntrinioDataPoint($C23,"evtonextyearrevenue")</f>
        <v/>
      </c>
      <c r="N23" s="237"/>
      <c r="O23" s="236" t="str">
        <f>[1]!IntrinioDataPoint($C23,"evtoebitda")</f>
        <v/>
      </c>
      <c r="P23" s="237" t="str">
        <f>[1]!IntrinioDataPoint($C23,"evtonopat")</f>
        <v/>
      </c>
      <c r="Q23" s="237" t="str">
        <f>[1]!IntrinioDataPoint($C23,"evtoocf")</f>
        <v/>
      </c>
      <c r="R23" s="237" t="str">
        <f>[1]!IntrinioDataPoint($C23,"evtofcff")</f>
        <v/>
      </c>
      <c r="S23" s="237"/>
      <c r="T23" s="238" t="str">
        <f>IF($C23="","",[1]!IntrinioFinancials($C23,"calculations",0,"TTM","debttoebitda"))</f>
        <v/>
      </c>
      <c r="U23" s="237"/>
      <c r="V23" s="237" t="str">
        <f>[1]!IntrinioDataPoint($C23,"pricetobook")</f>
        <v/>
      </c>
      <c r="W23" s="237" t="str">
        <f>[1]!IntrinioDataPoint($C23,"pricetotangiblebook")</f>
        <v/>
      </c>
      <c r="X23" s="236" t="str">
        <f>[1]!IntrinioDataPoint($C23,"pricetoearnings")</f>
        <v/>
      </c>
      <c r="Y23" s="237" t="str">
        <f>[1]!IntrinioDataPoint($C23,"pricetocurrentyearearnings")</f>
        <v/>
      </c>
      <c r="Z23" s="238" t="str">
        <f>[1]!IntrinioDataPoint($C23,"pricetonextyearearnings")</f>
        <v/>
      </c>
      <c r="AA23" s="224"/>
      <c r="AB23" s="239" t="str">
        <f>[1]!IntrinioDataPoint($C23,"earningsyield")</f>
        <v/>
      </c>
      <c r="AC23" s="239" t="str">
        <f>[1]!IntrinioDataPoint($C23,"trailing_dividend_yield")</f>
        <v/>
      </c>
      <c r="AD23" s="127"/>
    </row>
    <row r="24" spans="1:30" hidden="1" outlineLevel="1">
      <c r="A24" s="146"/>
      <c r="B24" s="153" t="str">
        <f>Info!A20</f>
        <v/>
      </c>
      <c r="C24" s="161" t="str">
        <f>IF(List!D20="","",List!D20)</f>
        <v/>
      </c>
      <c r="D24" s="123" t="str">
        <f>[1]!IntrinioDataPoint($C24,"close_price")</f>
        <v/>
      </c>
      <c r="E24" s="123" t="str">
        <f>[1]!IntrinioDataPoint($C24,"analyst_target_price")</f>
        <v/>
      </c>
      <c r="F24" s="124" t="str">
        <f>Info!F20</f>
        <v/>
      </c>
      <c r="G24" s="124" t="str">
        <f>Info!G20</f>
        <v/>
      </c>
      <c r="H24" s="62"/>
      <c r="I24" s="125" t="str">
        <f>[1]!IntrinioDataPoint($C24,"evtoinvestedcapital")</f>
        <v/>
      </c>
      <c r="J24" s="92"/>
      <c r="K24" s="92" t="str">
        <f>[1]!IntrinioDataPoint($C24,"evtorevenue")</f>
        <v/>
      </c>
      <c r="L24" s="92" t="str">
        <f>[1]!IntrinioDataPoint($C24,"evtocurrentyearrevenue")</f>
        <v/>
      </c>
      <c r="M24" s="92" t="str">
        <f>[1]!IntrinioDataPoint($C24,"evtonextyearrevenue")</f>
        <v/>
      </c>
      <c r="N24" s="92"/>
      <c r="O24" s="125" t="str">
        <f>[1]!IntrinioDataPoint($C24,"evtoebitda")</f>
        <v/>
      </c>
      <c r="P24" s="92" t="str">
        <f>[1]!IntrinioDataPoint($C24,"evtonopat")</f>
        <v/>
      </c>
      <c r="Q24" s="92" t="str">
        <f>[1]!IntrinioDataPoint($C24,"evtoocf")</f>
        <v/>
      </c>
      <c r="R24" s="92" t="str">
        <f>[1]!IntrinioDataPoint($C24,"evtofcff")</f>
        <v/>
      </c>
      <c r="S24" s="92"/>
      <c r="T24" s="126" t="str">
        <f>IF($C24="","",[1]!IntrinioFinancials($C24,"calculations",0,"TTM","debttoebitda"))</f>
        <v/>
      </c>
      <c r="U24" s="92"/>
      <c r="V24" s="92" t="str">
        <f>[1]!IntrinioDataPoint($C24,"pricetobook")</f>
        <v/>
      </c>
      <c r="W24" s="92" t="str">
        <f>[1]!IntrinioDataPoint($C24,"pricetotangiblebook")</f>
        <v/>
      </c>
      <c r="X24" s="125" t="str">
        <f>[1]!IntrinioDataPoint($C24,"pricetoearnings")</f>
        <v/>
      </c>
      <c r="Y24" s="92" t="str">
        <f>[1]!IntrinioDataPoint($C24,"pricetocurrentyearearnings")</f>
        <v/>
      </c>
      <c r="Z24" s="126" t="str">
        <f>[1]!IntrinioDataPoint($C24,"pricetonextyearearnings")</f>
        <v/>
      </c>
      <c r="AA24" s="62"/>
      <c r="AB24" s="174" t="str">
        <f>[1]!IntrinioDataPoint($C24,"earningsyield")</f>
        <v/>
      </c>
      <c r="AC24" s="174" t="str">
        <f>[1]!IntrinioDataPoint($C24,"trailing_dividend_yield")</f>
        <v/>
      </c>
      <c r="AD24" s="127"/>
    </row>
    <row r="25" spans="1:30" hidden="1" outlineLevel="1">
      <c r="A25" s="146"/>
      <c r="B25" s="233" t="str">
        <f>Info!A21</f>
        <v/>
      </c>
      <c r="C25" s="193" t="str">
        <f>IF(List!D21="","",List!D21)</f>
        <v/>
      </c>
      <c r="D25" s="234" t="str">
        <f>[1]!IntrinioDataPoint($C25,"close_price")</f>
        <v/>
      </c>
      <c r="E25" s="234" t="str">
        <f>[1]!IntrinioDataPoint($C25,"analyst_target_price")</f>
        <v/>
      </c>
      <c r="F25" s="235" t="str">
        <f>Info!F21</f>
        <v/>
      </c>
      <c r="G25" s="235" t="str">
        <f>Info!G21</f>
        <v/>
      </c>
      <c r="H25" s="224"/>
      <c r="I25" s="236" t="str">
        <f>[1]!IntrinioDataPoint($C25,"evtoinvestedcapital")</f>
        <v/>
      </c>
      <c r="J25" s="237"/>
      <c r="K25" s="237" t="str">
        <f>[1]!IntrinioDataPoint($C25,"evtorevenue")</f>
        <v/>
      </c>
      <c r="L25" s="237" t="str">
        <f>[1]!IntrinioDataPoint($C25,"evtocurrentyearrevenue")</f>
        <v/>
      </c>
      <c r="M25" s="237" t="str">
        <f>[1]!IntrinioDataPoint($C25,"evtonextyearrevenue")</f>
        <v/>
      </c>
      <c r="N25" s="237"/>
      <c r="O25" s="236" t="str">
        <f>[1]!IntrinioDataPoint($C25,"evtoebitda")</f>
        <v/>
      </c>
      <c r="P25" s="237" t="str">
        <f>[1]!IntrinioDataPoint($C25,"evtonopat")</f>
        <v/>
      </c>
      <c r="Q25" s="237" t="str">
        <f>[1]!IntrinioDataPoint($C25,"evtoocf")</f>
        <v/>
      </c>
      <c r="R25" s="237" t="str">
        <f>[1]!IntrinioDataPoint($C25,"evtofcff")</f>
        <v/>
      </c>
      <c r="S25" s="237"/>
      <c r="T25" s="238" t="str">
        <f>IF($C25="","",[1]!IntrinioFinancials($C25,"calculations",0,"TTM","debttoebitda"))</f>
        <v/>
      </c>
      <c r="U25" s="237"/>
      <c r="V25" s="237" t="str">
        <f>[1]!IntrinioDataPoint($C25,"pricetobook")</f>
        <v/>
      </c>
      <c r="W25" s="237" t="str">
        <f>[1]!IntrinioDataPoint($C25,"pricetotangiblebook")</f>
        <v/>
      </c>
      <c r="X25" s="236" t="str">
        <f>[1]!IntrinioDataPoint($C25,"pricetoearnings")</f>
        <v/>
      </c>
      <c r="Y25" s="237" t="str">
        <f>[1]!IntrinioDataPoint($C25,"pricetocurrentyearearnings")</f>
        <v/>
      </c>
      <c r="Z25" s="238" t="str">
        <f>[1]!IntrinioDataPoint($C25,"pricetonextyearearnings")</f>
        <v/>
      </c>
      <c r="AA25" s="224"/>
      <c r="AB25" s="239" t="str">
        <f>[1]!IntrinioDataPoint($C25,"earningsyield")</f>
        <v/>
      </c>
      <c r="AC25" s="239" t="str">
        <f>[1]!IntrinioDataPoint($C25,"trailing_dividend_yield")</f>
        <v/>
      </c>
      <c r="AD25" s="127"/>
    </row>
    <row r="26" spans="1:30" hidden="1" outlineLevel="1">
      <c r="A26" s="146"/>
      <c r="B26" s="153" t="str">
        <f>Info!A22</f>
        <v/>
      </c>
      <c r="C26" s="161" t="str">
        <f>IF(List!D22="","",List!D22)</f>
        <v/>
      </c>
      <c r="D26" s="123" t="str">
        <f>[1]!IntrinioDataPoint($C26,"close_price")</f>
        <v/>
      </c>
      <c r="E26" s="123" t="str">
        <f>[1]!IntrinioDataPoint($C26,"analyst_target_price")</f>
        <v/>
      </c>
      <c r="F26" s="124" t="str">
        <f>Info!F22</f>
        <v/>
      </c>
      <c r="G26" s="124" t="str">
        <f>Info!G22</f>
        <v/>
      </c>
      <c r="H26" s="62"/>
      <c r="I26" s="125" t="str">
        <f>[1]!IntrinioDataPoint($C26,"evtoinvestedcapital")</f>
        <v/>
      </c>
      <c r="J26" s="92"/>
      <c r="K26" s="92" t="str">
        <f>[1]!IntrinioDataPoint($C26,"evtorevenue")</f>
        <v/>
      </c>
      <c r="L26" s="92" t="str">
        <f>[1]!IntrinioDataPoint($C26,"evtocurrentyearrevenue")</f>
        <v/>
      </c>
      <c r="M26" s="92" t="str">
        <f>[1]!IntrinioDataPoint($C26,"evtonextyearrevenue")</f>
        <v/>
      </c>
      <c r="N26" s="92"/>
      <c r="O26" s="125" t="str">
        <f>[1]!IntrinioDataPoint($C26,"evtoebitda")</f>
        <v/>
      </c>
      <c r="P26" s="92" t="str">
        <f>[1]!IntrinioDataPoint($C26,"evtonopat")</f>
        <v/>
      </c>
      <c r="Q26" s="92" t="str">
        <f>[1]!IntrinioDataPoint($C26,"evtoocf")</f>
        <v/>
      </c>
      <c r="R26" s="92" t="str">
        <f>[1]!IntrinioDataPoint($C26,"evtofcff")</f>
        <v/>
      </c>
      <c r="S26" s="92"/>
      <c r="T26" s="126" t="str">
        <f>IF($C26="","",[1]!IntrinioFinancials($C26,"calculations",0,"TTM","debttoebitda"))</f>
        <v/>
      </c>
      <c r="U26" s="92"/>
      <c r="V26" s="92" t="str">
        <f>[1]!IntrinioDataPoint($C26,"pricetobook")</f>
        <v/>
      </c>
      <c r="W26" s="92" t="str">
        <f>[1]!IntrinioDataPoint($C26,"pricetotangiblebook")</f>
        <v/>
      </c>
      <c r="X26" s="125" t="str">
        <f>[1]!IntrinioDataPoint($C26,"pricetoearnings")</f>
        <v/>
      </c>
      <c r="Y26" s="92" t="str">
        <f>[1]!IntrinioDataPoint($C26,"pricetocurrentyearearnings")</f>
        <v/>
      </c>
      <c r="Z26" s="126" t="str">
        <f>[1]!IntrinioDataPoint($C26,"pricetonextyearearnings")</f>
        <v/>
      </c>
      <c r="AA26" s="62"/>
      <c r="AB26" s="174" t="str">
        <f>[1]!IntrinioDataPoint($C26,"earningsyield")</f>
        <v/>
      </c>
      <c r="AC26" s="174" t="str">
        <f>[1]!IntrinioDataPoint($C26,"trailing_dividend_yield")</f>
        <v/>
      </c>
      <c r="AD26" s="127"/>
    </row>
    <row r="27" spans="1:30" hidden="1" outlineLevel="1">
      <c r="A27" s="146"/>
      <c r="B27" s="233" t="str">
        <f>Info!A23</f>
        <v/>
      </c>
      <c r="C27" s="193" t="str">
        <f>IF(List!D23="","",List!D23)</f>
        <v/>
      </c>
      <c r="D27" s="234" t="str">
        <f>[1]!IntrinioDataPoint($C27,"close_price")</f>
        <v/>
      </c>
      <c r="E27" s="234" t="str">
        <f>[1]!IntrinioDataPoint($C27,"analyst_target_price")</f>
        <v/>
      </c>
      <c r="F27" s="235" t="str">
        <f>Info!F23</f>
        <v/>
      </c>
      <c r="G27" s="235" t="str">
        <f>Info!G23</f>
        <v/>
      </c>
      <c r="H27" s="224"/>
      <c r="I27" s="236" t="str">
        <f>[1]!IntrinioDataPoint($C27,"evtoinvestedcapital")</f>
        <v/>
      </c>
      <c r="J27" s="237"/>
      <c r="K27" s="237" t="str">
        <f>[1]!IntrinioDataPoint($C27,"evtorevenue")</f>
        <v/>
      </c>
      <c r="L27" s="237" t="str">
        <f>[1]!IntrinioDataPoint($C27,"evtocurrentyearrevenue")</f>
        <v/>
      </c>
      <c r="M27" s="237" t="str">
        <f>[1]!IntrinioDataPoint($C27,"evtonextyearrevenue")</f>
        <v/>
      </c>
      <c r="N27" s="237"/>
      <c r="O27" s="236" t="str">
        <f>[1]!IntrinioDataPoint($C27,"evtoebitda")</f>
        <v/>
      </c>
      <c r="P27" s="237" t="str">
        <f>[1]!IntrinioDataPoint($C27,"evtonopat")</f>
        <v/>
      </c>
      <c r="Q27" s="237" t="str">
        <f>[1]!IntrinioDataPoint($C27,"evtoocf")</f>
        <v/>
      </c>
      <c r="R27" s="237" t="str">
        <f>[1]!IntrinioDataPoint($C27,"evtofcff")</f>
        <v/>
      </c>
      <c r="S27" s="237"/>
      <c r="T27" s="238" t="str">
        <f>IF($C27="","",[1]!IntrinioFinancials($C27,"calculations",0,"TTM","debttoebitda"))</f>
        <v/>
      </c>
      <c r="U27" s="237"/>
      <c r="V27" s="237" t="str">
        <f>[1]!IntrinioDataPoint($C27,"pricetobook")</f>
        <v/>
      </c>
      <c r="W27" s="237" t="str">
        <f>[1]!IntrinioDataPoint($C27,"pricetotangiblebook")</f>
        <v/>
      </c>
      <c r="X27" s="236" t="str">
        <f>[1]!IntrinioDataPoint($C27,"pricetoearnings")</f>
        <v/>
      </c>
      <c r="Y27" s="237" t="str">
        <f>[1]!IntrinioDataPoint($C27,"pricetocurrentyearearnings")</f>
        <v/>
      </c>
      <c r="Z27" s="238" t="str">
        <f>[1]!IntrinioDataPoint($C27,"pricetonextyearearnings")</f>
        <v/>
      </c>
      <c r="AA27" s="224"/>
      <c r="AB27" s="239" t="str">
        <f>[1]!IntrinioDataPoint($C27,"earningsyield")</f>
        <v/>
      </c>
      <c r="AC27" s="239" t="str">
        <f>[1]!IntrinioDataPoint($C27,"trailing_dividend_yield")</f>
        <v/>
      </c>
      <c r="AD27" s="127"/>
    </row>
    <row r="28" spans="1:30" hidden="1" outlineLevel="1">
      <c r="A28" s="146"/>
      <c r="B28" s="153" t="str">
        <f>Info!A24</f>
        <v/>
      </c>
      <c r="C28" s="161" t="str">
        <f>IF(List!D24="","",List!D24)</f>
        <v/>
      </c>
      <c r="D28" s="123" t="str">
        <f>[1]!IntrinioDataPoint($C28,"close_price")</f>
        <v/>
      </c>
      <c r="E28" s="123" t="str">
        <f>[1]!IntrinioDataPoint($C28,"analyst_target_price")</f>
        <v/>
      </c>
      <c r="F28" s="124" t="str">
        <f>Info!F24</f>
        <v/>
      </c>
      <c r="G28" s="124" t="str">
        <f>Info!G24</f>
        <v/>
      </c>
      <c r="H28" s="62"/>
      <c r="I28" s="125" t="str">
        <f>[1]!IntrinioDataPoint($C28,"evtoinvestedcapital")</f>
        <v/>
      </c>
      <c r="J28" s="92"/>
      <c r="K28" s="92" t="str">
        <f>[1]!IntrinioDataPoint($C28,"evtorevenue")</f>
        <v/>
      </c>
      <c r="L28" s="92" t="str">
        <f>[1]!IntrinioDataPoint($C28,"evtocurrentyearrevenue")</f>
        <v/>
      </c>
      <c r="M28" s="92" t="str">
        <f>[1]!IntrinioDataPoint($C28,"evtonextyearrevenue")</f>
        <v/>
      </c>
      <c r="N28" s="92"/>
      <c r="O28" s="125" t="str">
        <f>[1]!IntrinioDataPoint($C28,"evtoebitda")</f>
        <v/>
      </c>
      <c r="P28" s="92" t="str">
        <f>[1]!IntrinioDataPoint($C28,"evtonopat")</f>
        <v/>
      </c>
      <c r="Q28" s="92" t="str">
        <f>[1]!IntrinioDataPoint($C28,"evtoocf")</f>
        <v/>
      </c>
      <c r="R28" s="92" t="str">
        <f>[1]!IntrinioDataPoint($C28,"evtofcff")</f>
        <v/>
      </c>
      <c r="S28" s="92"/>
      <c r="T28" s="126" t="str">
        <f>IF($C28="","",[1]!IntrinioFinancials($C28,"calculations",0,"TTM","debttoebitda"))</f>
        <v/>
      </c>
      <c r="U28" s="92"/>
      <c r="V28" s="92" t="str">
        <f>[1]!IntrinioDataPoint($C28,"pricetobook")</f>
        <v/>
      </c>
      <c r="W28" s="92" t="str">
        <f>[1]!IntrinioDataPoint($C28,"pricetotangiblebook")</f>
        <v/>
      </c>
      <c r="X28" s="125" t="str">
        <f>[1]!IntrinioDataPoint($C28,"pricetoearnings")</f>
        <v/>
      </c>
      <c r="Y28" s="92" t="str">
        <f>[1]!IntrinioDataPoint($C28,"pricetocurrentyearearnings")</f>
        <v/>
      </c>
      <c r="Z28" s="126" t="str">
        <f>[1]!IntrinioDataPoint($C28,"pricetonextyearearnings")</f>
        <v/>
      </c>
      <c r="AA28" s="62"/>
      <c r="AB28" s="174" t="str">
        <f>[1]!IntrinioDataPoint($C28,"earningsyield")</f>
        <v/>
      </c>
      <c r="AC28" s="174" t="str">
        <f>[1]!IntrinioDataPoint($C28,"trailing_dividend_yield")</f>
        <v/>
      </c>
      <c r="AD28" s="127"/>
    </row>
    <row r="29" spans="1:30" hidden="1" outlineLevel="1">
      <c r="A29" s="146"/>
      <c r="B29" s="233" t="str">
        <f>Info!A25</f>
        <v/>
      </c>
      <c r="C29" s="193" t="str">
        <f>IF(List!D25="","",List!D25)</f>
        <v/>
      </c>
      <c r="D29" s="234" t="str">
        <f>[1]!IntrinioDataPoint($C29,"close_price")</f>
        <v/>
      </c>
      <c r="E29" s="234" t="str">
        <f>[1]!IntrinioDataPoint($C29,"analyst_target_price")</f>
        <v/>
      </c>
      <c r="F29" s="235" t="str">
        <f>Info!F25</f>
        <v/>
      </c>
      <c r="G29" s="235" t="str">
        <f>Info!G25</f>
        <v/>
      </c>
      <c r="H29" s="224"/>
      <c r="I29" s="236" t="str">
        <f>[1]!IntrinioDataPoint($C29,"evtoinvestedcapital")</f>
        <v/>
      </c>
      <c r="J29" s="237"/>
      <c r="K29" s="237" t="str">
        <f>[1]!IntrinioDataPoint($C29,"evtorevenue")</f>
        <v/>
      </c>
      <c r="L29" s="237" t="str">
        <f>[1]!IntrinioDataPoint($C29,"evtocurrentyearrevenue")</f>
        <v/>
      </c>
      <c r="M29" s="237" t="str">
        <f>[1]!IntrinioDataPoint($C29,"evtonextyearrevenue")</f>
        <v/>
      </c>
      <c r="N29" s="237"/>
      <c r="O29" s="236" t="str">
        <f>[1]!IntrinioDataPoint($C29,"evtoebitda")</f>
        <v/>
      </c>
      <c r="P29" s="237" t="str">
        <f>[1]!IntrinioDataPoint($C29,"evtonopat")</f>
        <v/>
      </c>
      <c r="Q29" s="237" t="str">
        <f>[1]!IntrinioDataPoint($C29,"evtoocf")</f>
        <v/>
      </c>
      <c r="R29" s="237" t="str">
        <f>[1]!IntrinioDataPoint($C29,"evtofcff")</f>
        <v/>
      </c>
      <c r="S29" s="237"/>
      <c r="T29" s="238" t="str">
        <f>IF($C29="","",[1]!IntrinioFinancials($C29,"calculations",0,"TTM","debttoebitda"))</f>
        <v/>
      </c>
      <c r="U29" s="237"/>
      <c r="V29" s="237" t="str">
        <f>[1]!IntrinioDataPoint($C29,"pricetobook")</f>
        <v/>
      </c>
      <c r="W29" s="237" t="str">
        <f>[1]!IntrinioDataPoint($C29,"pricetotangiblebook")</f>
        <v/>
      </c>
      <c r="X29" s="236" t="str">
        <f>[1]!IntrinioDataPoint($C29,"pricetoearnings")</f>
        <v/>
      </c>
      <c r="Y29" s="237" t="str">
        <f>[1]!IntrinioDataPoint($C29,"pricetocurrentyearearnings")</f>
        <v/>
      </c>
      <c r="Z29" s="238" t="str">
        <f>[1]!IntrinioDataPoint($C29,"pricetonextyearearnings")</f>
        <v/>
      </c>
      <c r="AA29" s="224"/>
      <c r="AB29" s="239" t="str">
        <f>[1]!IntrinioDataPoint($C29,"earningsyield")</f>
        <v/>
      </c>
      <c r="AC29" s="239" t="str">
        <f>[1]!IntrinioDataPoint($C29,"trailing_dividend_yield")</f>
        <v/>
      </c>
      <c r="AD29" s="127"/>
    </row>
    <row r="30" spans="1:30" hidden="1" outlineLevel="1">
      <c r="A30" s="146"/>
      <c r="B30" s="153" t="str">
        <f>Info!A26</f>
        <v/>
      </c>
      <c r="C30" s="161" t="str">
        <f>IF(List!D26="","",List!D26)</f>
        <v/>
      </c>
      <c r="D30" s="123" t="str">
        <f>[1]!IntrinioDataPoint($C30,"close_price")</f>
        <v/>
      </c>
      <c r="E30" s="123" t="str">
        <f>[1]!IntrinioDataPoint($C30,"analyst_target_price")</f>
        <v/>
      </c>
      <c r="F30" s="124" t="str">
        <f>Info!F26</f>
        <v/>
      </c>
      <c r="G30" s="124" t="str">
        <f>Info!G26</f>
        <v/>
      </c>
      <c r="H30" s="62"/>
      <c r="I30" s="125" t="str">
        <f>[1]!IntrinioDataPoint($C30,"evtoinvestedcapital")</f>
        <v/>
      </c>
      <c r="J30" s="92"/>
      <c r="K30" s="92" t="str">
        <f>[1]!IntrinioDataPoint($C30,"evtorevenue")</f>
        <v/>
      </c>
      <c r="L30" s="92" t="str">
        <f>[1]!IntrinioDataPoint($C30,"evtocurrentyearrevenue")</f>
        <v/>
      </c>
      <c r="M30" s="92" t="str">
        <f>[1]!IntrinioDataPoint($C30,"evtonextyearrevenue")</f>
        <v/>
      </c>
      <c r="N30" s="92"/>
      <c r="O30" s="125" t="str">
        <f>[1]!IntrinioDataPoint($C30,"evtoebitda")</f>
        <v/>
      </c>
      <c r="P30" s="92" t="str">
        <f>[1]!IntrinioDataPoint($C30,"evtonopat")</f>
        <v/>
      </c>
      <c r="Q30" s="92" t="str">
        <f>[1]!IntrinioDataPoint($C30,"evtoocf")</f>
        <v/>
      </c>
      <c r="R30" s="92" t="str">
        <f>[1]!IntrinioDataPoint($C30,"evtofcff")</f>
        <v/>
      </c>
      <c r="S30" s="92"/>
      <c r="T30" s="126" t="str">
        <f>IF($C30="","",[1]!IntrinioFinancials($C30,"calculations",0,"TTM","debttoebitda"))</f>
        <v/>
      </c>
      <c r="U30" s="92"/>
      <c r="V30" s="92" t="str">
        <f>[1]!IntrinioDataPoint($C30,"pricetobook")</f>
        <v/>
      </c>
      <c r="W30" s="92" t="str">
        <f>[1]!IntrinioDataPoint($C30,"pricetotangiblebook")</f>
        <v/>
      </c>
      <c r="X30" s="125" t="str">
        <f>[1]!IntrinioDataPoint($C30,"pricetoearnings")</f>
        <v/>
      </c>
      <c r="Y30" s="92" t="str">
        <f>[1]!IntrinioDataPoint($C30,"pricetocurrentyearearnings")</f>
        <v/>
      </c>
      <c r="Z30" s="126" t="str">
        <f>[1]!IntrinioDataPoint($C30,"pricetonextyearearnings")</f>
        <v/>
      </c>
      <c r="AA30" s="62"/>
      <c r="AB30" s="174" t="str">
        <f>[1]!IntrinioDataPoint($C30,"earningsyield")</f>
        <v/>
      </c>
      <c r="AC30" s="174" t="str">
        <f>[1]!IntrinioDataPoint($C30,"trailing_dividend_yield")</f>
        <v/>
      </c>
      <c r="AD30" s="127"/>
    </row>
    <row r="31" spans="1:30" hidden="1" outlineLevel="1">
      <c r="A31" s="146"/>
      <c r="B31" s="233" t="str">
        <f>Info!A27</f>
        <v/>
      </c>
      <c r="C31" s="193" t="str">
        <f>IF(List!D27="","",List!D27)</f>
        <v/>
      </c>
      <c r="D31" s="234" t="str">
        <f>[1]!IntrinioDataPoint($C31,"close_price")</f>
        <v/>
      </c>
      <c r="E31" s="234" t="str">
        <f>[1]!IntrinioDataPoint($C31,"analyst_target_price")</f>
        <v/>
      </c>
      <c r="F31" s="235" t="str">
        <f>Info!F27</f>
        <v/>
      </c>
      <c r="G31" s="235" t="str">
        <f>Info!G27</f>
        <v/>
      </c>
      <c r="H31" s="224"/>
      <c r="I31" s="236" t="str">
        <f>[1]!IntrinioDataPoint($C31,"evtoinvestedcapital")</f>
        <v/>
      </c>
      <c r="J31" s="237"/>
      <c r="K31" s="237" t="str">
        <f>[1]!IntrinioDataPoint($C31,"evtorevenue")</f>
        <v/>
      </c>
      <c r="L31" s="237" t="str">
        <f>[1]!IntrinioDataPoint($C31,"evtocurrentyearrevenue")</f>
        <v/>
      </c>
      <c r="M31" s="237" t="str">
        <f>[1]!IntrinioDataPoint($C31,"evtonextyearrevenue")</f>
        <v/>
      </c>
      <c r="N31" s="237"/>
      <c r="O31" s="236" t="str">
        <f>[1]!IntrinioDataPoint($C31,"evtoebitda")</f>
        <v/>
      </c>
      <c r="P31" s="237" t="str">
        <f>[1]!IntrinioDataPoint($C31,"evtonopat")</f>
        <v/>
      </c>
      <c r="Q31" s="237" t="str">
        <f>[1]!IntrinioDataPoint($C31,"evtoocf")</f>
        <v/>
      </c>
      <c r="R31" s="237" t="str">
        <f>[1]!IntrinioDataPoint($C31,"evtofcff")</f>
        <v/>
      </c>
      <c r="S31" s="237"/>
      <c r="T31" s="238" t="str">
        <f>IF($C31="","",[1]!IntrinioFinancials($C31,"calculations",0,"TTM","debttoebitda"))</f>
        <v/>
      </c>
      <c r="U31" s="237"/>
      <c r="V31" s="237" t="str">
        <f>[1]!IntrinioDataPoint($C31,"pricetobook")</f>
        <v/>
      </c>
      <c r="W31" s="237" t="str">
        <f>[1]!IntrinioDataPoint($C31,"pricetotangiblebook")</f>
        <v/>
      </c>
      <c r="X31" s="236" t="str">
        <f>[1]!IntrinioDataPoint($C31,"pricetoearnings")</f>
        <v/>
      </c>
      <c r="Y31" s="237" t="str">
        <f>[1]!IntrinioDataPoint($C31,"pricetocurrentyearearnings")</f>
        <v/>
      </c>
      <c r="Z31" s="238" t="str">
        <f>[1]!IntrinioDataPoint($C31,"pricetonextyearearnings")</f>
        <v/>
      </c>
      <c r="AA31" s="224"/>
      <c r="AB31" s="239" t="str">
        <f>[1]!IntrinioDataPoint($C31,"earningsyield")</f>
        <v/>
      </c>
      <c r="AC31" s="239" t="str">
        <f>[1]!IntrinioDataPoint($C31,"trailing_dividend_yield")</f>
        <v/>
      </c>
      <c r="AD31" s="127"/>
    </row>
    <row r="32" spans="1:30" hidden="1" outlineLevel="1">
      <c r="A32" s="146"/>
      <c r="B32" s="153" t="str">
        <f>Info!A28</f>
        <v/>
      </c>
      <c r="C32" s="161" t="str">
        <f>IF(List!D28="","",List!D28)</f>
        <v/>
      </c>
      <c r="D32" s="123" t="str">
        <f>[1]!IntrinioDataPoint($C32,"close_price")</f>
        <v/>
      </c>
      <c r="E32" s="123" t="str">
        <f>[1]!IntrinioDataPoint($C32,"analyst_target_price")</f>
        <v/>
      </c>
      <c r="F32" s="124" t="str">
        <f>Info!F28</f>
        <v/>
      </c>
      <c r="G32" s="124" t="str">
        <f>Info!G28</f>
        <v/>
      </c>
      <c r="H32" s="62"/>
      <c r="I32" s="125" t="str">
        <f>[1]!IntrinioDataPoint($C32,"evtoinvestedcapital")</f>
        <v/>
      </c>
      <c r="J32" s="92"/>
      <c r="K32" s="92" t="str">
        <f>[1]!IntrinioDataPoint($C32,"evtorevenue")</f>
        <v/>
      </c>
      <c r="L32" s="92" t="str">
        <f>[1]!IntrinioDataPoint($C32,"evtocurrentyearrevenue")</f>
        <v/>
      </c>
      <c r="M32" s="92" t="str">
        <f>[1]!IntrinioDataPoint($C32,"evtonextyearrevenue")</f>
        <v/>
      </c>
      <c r="N32" s="92"/>
      <c r="O32" s="125" t="str">
        <f>[1]!IntrinioDataPoint($C32,"evtoebitda")</f>
        <v/>
      </c>
      <c r="P32" s="92" t="str">
        <f>[1]!IntrinioDataPoint($C32,"evtonopat")</f>
        <v/>
      </c>
      <c r="Q32" s="92" t="str">
        <f>[1]!IntrinioDataPoint($C32,"evtoocf")</f>
        <v/>
      </c>
      <c r="R32" s="92" t="str">
        <f>[1]!IntrinioDataPoint($C32,"evtofcff")</f>
        <v/>
      </c>
      <c r="S32" s="92"/>
      <c r="T32" s="126" t="str">
        <f>IF($C32="","",[1]!IntrinioFinancials($C32,"calculations",0,"TTM","debttoebitda"))</f>
        <v/>
      </c>
      <c r="U32" s="92"/>
      <c r="V32" s="92" t="str">
        <f>[1]!IntrinioDataPoint($C32,"pricetobook")</f>
        <v/>
      </c>
      <c r="W32" s="92" t="str">
        <f>[1]!IntrinioDataPoint($C32,"pricetotangiblebook")</f>
        <v/>
      </c>
      <c r="X32" s="125" t="str">
        <f>[1]!IntrinioDataPoint($C32,"pricetoearnings")</f>
        <v/>
      </c>
      <c r="Y32" s="92" t="str">
        <f>[1]!IntrinioDataPoint($C32,"pricetocurrentyearearnings")</f>
        <v/>
      </c>
      <c r="Z32" s="126" t="str">
        <f>[1]!IntrinioDataPoint($C32,"pricetonextyearearnings")</f>
        <v/>
      </c>
      <c r="AA32" s="62"/>
      <c r="AB32" s="174" t="str">
        <f>[1]!IntrinioDataPoint($C32,"earningsyield")</f>
        <v/>
      </c>
      <c r="AC32" s="174" t="str">
        <f>[1]!IntrinioDataPoint($C32,"trailing_dividend_yield")</f>
        <v/>
      </c>
      <c r="AD32" s="127"/>
    </row>
    <row r="33" spans="1:30" hidden="1" outlineLevel="1">
      <c r="A33" s="146"/>
      <c r="B33" s="233" t="str">
        <f>Info!A29</f>
        <v/>
      </c>
      <c r="C33" s="193" t="str">
        <f>IF(List!D29="","",List!D29)</f>
        <v/>
      </c>
      <c r="D33" s="234" t="str">
        <f>[1]!IntrinioDataPoint($C33,"close_price")</f>
        <v/>
      </c>
      <c r="E33" s="234" t="str">
        <f>[1]!IntrinioDataPoint($C33,"analyst_target_price")</f>
        <v/>
      </c>
      <c r="F33" s="235" t="str">
        <f>Info!F29</f>
        <v/>
      </c>
      <c r="G33" s="235" t="str">
        <f>Info!G29</f>
        <v/>
      </c>
      <c r="H33" s="224"/>
      <c r="I33" s="236" t="str">
        <f>[1]!IntrinioDataPoint($C33,"evtoinvestedcapital")</f>
        <v/>
      </c>
      <c r="J33" s="237"/>
      <c r="K33" s="237" t="str">
        <f>[1]!IntrinioDataPoint($C33,"evtorevenue")</f>
        <v/>
      </c>
      <c r="L33" s="237" t="str">
        <f>[1]!IntrinioDataPoint($C33,"evtocurrentyearrevenue")</f>
        <v/>
      </c>
      <c r="M33" s="237" t="str">
        <f>[1]!IntrinioDataPoint($C33,"evtonextyearrevenue")</f>
        <v/>
      </c>
      <c r="N33" s="237"/>
      <c r="O33" s="236" t="str">
        <f>[1]!IntrinioDataPoint($C33,"evtoebitda")</f>
        <v/>
      </c>
      <c r="P33" s="237" t="str">
        <f>[1]!IntrinioDataPoint($C33,"evtonopat")</f>
        <v/>
      </c>
      <c r="Q33" s="237" t="str">
        <f>[1]!IntrinioDataPoint($C33,"evtoocf")</f>
        <v/>
      </c>
      <c r="R33" s="237" t="str">
        <f>[1]!IntrinioDataPoint($C33,"evtofcff")</f>
        <v/>
      </c>
      <c r="S33" s="237"/>
      <c r="T33" s="238" t="str">
        <f>IF($C33="","",[1]!IntrinioFinancials($C33,"calculations",0,"TTM","debttoebitda"))</f>
        <v/>
      </c>
      <c r="U33" s="237"/>
      <c r="V33" s="237" t="str">
        <f>[1]!IntrinioDataPoint($C33,"pricetobook")</f>
        <v/>
      </c>
      <c r="W33" s="237" t="str">
        <f>[1]!IntrinioDataPoint($C33,"pricetotangiblebook")</f>
        <v/>
      </c>
      <c r="X33" s="236" t="str">
        <f>[1]!IntrinioDataPoint($C33,"pricetoearnings")</f>
        <v/>
      </c>
      <c r="Y33" s="237" t="str">
        <f>[1]!IntrinioDataPoint($C33,"pricetocurrentyearearnings")</f>
        <v/>
      </c>
      <c r="Z33" s="238" t="str">
        <f>[1]!IntrinioDataPoint($C33,"pricetonextyearearnings")</f>
        <v/>
      </c>
      <c r="AA33" s="224"/>
      <c r="AB33" s="239" t="str">
        <f>[1]!IntrinioDataPoint($C33,"earningsyield")</f>
        <v/>
      </c>
      <c r="AC33" s="239" t="str">
        <f>[1]!IntrinioDataPoint($C33,"trailing_dividend_yield")</f>
        <v/>
      </c>
      <c r="AD33" s="127"/>
    </row>
    <row r="34" spans="1:30" hidden="1" outlineLevel="1">
      <c r="A34" s="146"/>
      <c r="B34" s="153" t="str">
        <f>Info!A30</f>
        <v/>
      </c>
      <c r="C34" s="161" t="str">
        <f>IF(List!D30="","",List!D30)</f>
        <v/>
      </c>
      <c r="D34" s="123" t="str">
        <f>[1]!IntrinioDataPoint($C34,"close_price")</f>
        <v/>
      </c>
      <c r="E34" s="123" t="str">
        <f>[1]!IntrinioDataPoint($C34,"analyst_target_price")</f>
        <v/>
      </c>
      <c r="F34" s="124" t="str">
        <f>Info!F30</f>
        <v/>
      </c>
      <c r="G34" s="124" t="str">
        <f>Info!G30</f>
        <v/>
      </c>
      <c r="H34" s="62"/>
      <c r="I34" s="125" t="str">
        <f>[1]!IntrinioDataPoint($C34,"evtoinvestedcapital")</f>
        <v/>
      </c>
      <c r="J34" s="92"/>
      <c r="K34" s="92" t="str">
        <f>[1]!IntrinioDataPoint($C34,"evtorevenue")</f>
        <v/>
      </c>
      <c r="L34" s="92" t="str">
        <f>[1]!IntrinioDataPoint($C34,"evtocurrentyearrevenue")</f>
        <v/>
      </c>
      <c r="M34" s="92" t="str">
        <f>[1]!IntrinioDataPoint($C34,"evtonextyearrevenue")</f>
        <v/>
      </c>
      <c r="N34" s="92"/>
      <c r="O34" s="125" t="str">
        <f>[1]!IntrinioDataPoint($C34,"evtoebitda")</f>
        <v/>
      </c>
      <c r="P34" s="92" t="str">
        <f>[1]!IntrinioDataPoint($C34,"evtonopat")</f>
        <v/>
      </c>
      <c r="Q34" s="92" t="str">
        <f>[1]!IntrinioDataPoint($C34,"evtoocf")</f>
        <v/>
      </c>
      <c r="R34" s="92" t="str">
        <f>[1]!IntrinioDataPoint($C34,"evtofcff")</f>
        <v/>
      </c>
      <c r="S34" s="92"/>
      <c r="T34" s="126" t="str">
        <f>IF($C34="","",[1]!IntrinioFinancials($C34,"calculations",0,"TTM","debttoebitda"))</f>
        <v/>
      </c>
      <c r="U34" s="92"/>
      <c r="V34" s="92" t="str">
        <f>[1]!IntrinioDataPoint($C34,"pricetobook")</f>
        <v/>
      </c>
      <c r="W34" s="92" t="str">
        <f>[1]!IntrinioDataPoint($C34,"pricetotangiblebook")</f>
        <v/>
      </c>
      <c r="X34" s="125" t="str">
        <f>[1]!IntrinioDataPoint($C34,"pricetoearnings")</f>
        <v/>
      </c>
      <c r="Y34" s="92" t="str">
        <f>[1]!IntrinioDataPoint($C34,"pricetocurrentyearearnings")</f>
        <v/>
      </c>
      <c r="Z34" s="126" t="str">
        <f>[1]!IntrinioDataPoint($C34,"pricetonextyearearnings")</f>
        <v/>
      </c>
      <c r="AA34" s="62"/>
      <c r="AB34" s="174" t="str">
        <f>[1]!IntrinioDataPoint($C34,"earningsyield")</f>
        <v/>
      </c>
      <c r="AC34" s="174" t="str">
        <f>[1]!IntrinioDataPoint($C34,"trailing_dividend_yield")</f>
        <v/>
      </c>
      <c r="AD34" s="127"/>
    </row>
    <row r="35" spans="1:30" hidden="1" outlineLevel="1">
      <c r="A35" s="146"/>
      <c r="B35" s="233" t="str">
        <f>Info!A31</f>
        <v/>
      </c>
      <c r="C35" s="193" t="str">
        <f>IF(List!D31="","",List!D31)</f>
        <v/>
      </c>
      <c r="D35" s="234" t="str">
        <f>[1]!IntrinioDataPoint($C35,"close_price")</f>
        <v/>
      </c>
      <c r="E35" s="234" t="str">
        <f>[1]!IntrinioDataPoint($C35,"analyst_target_price")</f>
        <v/>
      </c>
      <c r="F35" s="235" t="str">
        <f>Info!F31</f>
        <v/>
      </c>
      <c r="G35" s="235" t="str">
        <f>Info!G31</f>
        <v/>
      </c>
      <c r="H35" s="224"/>
      <c r="I35" s="236" t="str">
        <f>[1]!IntrinioDataPoint($C35,"evtoinvestedcapital")</f>
        <v/>
      </c>
      <c r="J35" s="237"/>
      <c r="K35" s="237" t="str">
        <f>[1]!IntrinioDataPoint($C35,"evtorevenue")</f>
        <v/>
      </c>
      <c r="L35" s="237" t="str">
        <f>[1]!IntrinioDataPoint($C35,"evtocurrentyearrevenue")</f>
        <v/>
      </c>
      <c r="M35" s="237" t="str">
        <f>[1]!IntrinioDataPoint($C35,"evtonextyearrevenue")</f>
        <v/>
      </c>
      <c r="N35" s="237"/>
      <c r="O35" s="236" t="str">
        <f>[1]!IntrinioDataPoint($C35,"evtoebitda")</f>
        <v/>
      </c>
      <c r="P35" s="237" t="str">
        <f>[1]!IntrinioDataPoint($C35,"evtonopat")</f>
        <v/>
      </c>
      <c r="Q35" s="237" t="str">
        <f>[1]!IntrinioDataPoint($C35,"evtoocf")</f>
        <v/>
      </c>
      <c r="R35" s="237" t="str">
        <f>[1]!IntrinioDataPoint($C35,"evtofcff")</f>
        <v/>
      </c>
      <c r="S35" s="237"/>
      <c r="T35" s="238" t="str">
        <f>IF($C35="","",[1]!IntrinioFinancials($C35,"calculations",0,"TTM","debttoebitda"))</f>
        <v/>
      </c>
      <c r="U35" s="237"/>
      <c r="V35" s="237" t="str">
        <f>[1]!IntrinioDataPoint($C35,"pricetobook")</f>
        <v/>
      </c>
      <c r="W35" s="237" t="str">
        <f>[1]!IntrinioDataPoint($C35,"pricetotangiblebook")</f>
        <v/>
      </c>
      <c r="X35" s="236" t="str">
        <f>[1]!IntrinioDataPoint($C35,"pricetoearnings")</f>
        <v/>
      </c>
      <c r="Y35" s="237" t="str">
        <f>[1]!IntrinioDataPoint($C35,"pricetocurrentyearearnings")</f>
        <v/>
      </c>
      <c r="Z35" s="238" t="str">
        <f>[1]!IntrinioDataPoint($C35,"pricetonextyearearnings")</f>
        <v/>
      </c>
      <c r="AA35" s="224"/>
      <c r="AB35" s="239" t="str">
        <f>[1]!IntrinioDataPoint($C35,"earningsyield")</f>
        <v/>
      </c>
      <c r="AC35" s="239" t="str">
        <f>[1]!IntrinioDataPoint($C35,"trailing_dividend_yield")</f>
        <v/>
      </c>
      <c r="AD35" s="127"/>
    </row>
    <row r="36" spans="1:30" hidden="1" outlineLevel="1">
      <c r="A36" s="146"/>
      <c r="B36" s="153" t="str">
        <f>Info!A32</f>
        <v/>
      </c>
      <c r="C36" s="161" t="str">
        <f>IF(List!D32="","",List!D32)</f>
        <v/>
      </c>
      <c r="D36" s="123" t="str">
        <f>[1]!IntrinioDataPoint($C36,"close_price")</f>
        <v/>
      </c>
      <c r="E36" s="123" t="str">
        <f>[1]!IntrinioDataPoint($C36,"analyst_target_price")</f>
        <v/>
      </c>
      <c r="F36" s="124" t="str">
        <f>Info!F32</f>
        <v/>
      </c>
      <c r="G36" s="124" t="str">
        <f>Info!G32</f>
        <v/>
      </c>
      <c r="H36" s="62"/>
      <c r="I36" s="125" t="str">
        <f>[1]!IntrinioDataPoint($C36,"evtoinvestedcapital")</f>
        <v/>
      </c>
      <c r="J36" s="92"/>
      <c r="K36" s="92" t="str">
        <f>[1]!IntrinioDataPoint($C36,"evtorevenue")</f>
        <v/>
      </c>
      <c r="L36" s="92" t="str">
        <f>[1]!IntrinioDataPoint($C36,"evtocurrentyearrevenue")</f>
        <v/>
      </c>
      <c r="M36" s="92" t="str">
        <f>[1]!IntrinioDataPoint($C36,"evtonextyearrevenue")</f>
        <v/>
      </c>
      <c r="N36" s="92"/>
      <c r="O36" s="125" t="str">
        <f>[1]!IntrinioDataPoint($C36,"evtoebitda")</f>
        <v/>
      </c>
      <c r="P36" s="92" t="str">
        <f>[1]!IntrinioDataPoint($C36,"evtonopat")</f>
        <v/>
      </c>
      <c r="Q36" s="92" t="str">
        <f>[1]!IntrinioDataPoint($C36,"evtoocf")</f>
        <v/>
      </c>
      <c r="R36" s="92" t="str">
        <f>[1]!IntrinioDataPoint($C36,"evtofcff")</f>
        <v/>
      </c>
      <c r="S36" s="92"/>
      <c r="T36" s="126" t="str">
        <f>IF($C36="","",[1]!IntrinioFinancials($C36,"calculations",0,"TTM","debttoebitda"))</f>
        <v/>
      </c>
      <c r="U36" s="92"/>
      <c r="V36" s="92" t="str">
        <f>[1]!IntrinioDataPoint($C36,"pricetobook")</f>
        <v/>
      </c>
      <c r="W36" s="92" t="str">
        <f>[1]!IntrinioDataPoint($C36,"pricetotangiblebook")</f>
        <v/>
      </c>
      <c r="X36" s="125" t="str">
        <f>[1]!IntrinioDataPoint($C36,"pricetoearnings")</f>
        <v/>
      </c>
      <c r="Y36" s="92" t="str">
        <f>[1]!IntrinioDataPoint($C36,"pricetocurrentyearearnings")</f>
        <v/>
      </c>
      <c r="Z36" s="126" t="str">
        <f>[1]!IntrinioDataPoint($C36,"pricetonextyearearnings")</f>
        <v/>
      </c>
      <c r="AA36" s="62"/>
      <c r="AB36" s="174" t="str">
        <f>[1]!IntrinioDataPoint($C36,"earningsyield")</f>
        <v/>
      </c>
      <c r="AC36" s="174" t="str">
        <f>[1]!IntrinioDataPoint($C36,"trailing_dividend_yield")</f>
        <v/>
      </c>
      <c r="AD36" s="127"/>
    </row>
    <row r="37" spans="1:30" hidden="1" outlineLevel="1">
      <c r="A37" s="146"/>
      <c r="B37" s="233" t="str">
        <f>Info!A33</f>
        <v/>
      </c>
      <c r="C37" s="193" t="str">
        <f>IF(List!D33="","",List!D33)</f>
        <v/>
      </c>
      <c r="D37" s="234" t="str">
        <f>[1]!IntrinioDataPoint($C37,"close_price")</f>
        <v/>
      </c>
      <c r="E37" s="234" t="str">
        <f>[1]!IntrinioDataPoint($C37,"analyst_target_price")</f>
        <v/>
      </c>
      <c r="F37" s="235" t="str">
        <f>Info!F33</f>
        <v/>
      </c>
      <c r="G37" s="235" t="str">
        <f>Info!G33</f>
        <v/>
      </c>
      <c r="H37" s="224"/>
      <c r="I37" s="236" t="str">
        <f>[1]!IntrinioDataPoint($C37,"evtoinvestedcapital")</f>
        <v/>
      </c>
      <c r="J37" s="237"/>
      <c r="K37" s="237" t="str">
        <f>[1]!IntrinioDataPoint($C37,"evtorevenue")</f>
        <v/>
      </c>
      <c r="L37" s="237" t="str">
        <f>[1]!IntrinioDataPoint($C37,"evtocurrentyearrevenue")</f>
        <v/>
      </c>
      <c r="M37" s="237" t="str">
        <f>[1]!IntrinioDataPoint($C37,"evtonextyearrevenue")</f>
        <v/>
      </c>
      <c r="N37" s="237"/>
      <c r="O37" s="236" t="str">
        <f>[1]!IntrinioDataPoint($C37,"evtoebitda")</f>
        <v/>
      </c>
      <c r="P37" s="237" t="str">
        <f>[1]!IntrinioDataPoint($C37,"evtonopat")</f>
        <v/>
      </c>
      <c r="Q37" s="237" t="str">
        <f>[1]!IntrinioDataPoint($C37,"evtoocf")</f>
        <v/>
      </c>
      <c r="R37" s="237" t="str">
        <f>[1]!IntrinioDataPoint($C37,"evtofcff")</f>
        <v/>
      </c>
      <c r="S37" s="237"/>
      <c r="T37" s="238" t="str">
        <f>IF($C37="","",[1]!IntrinioFinancials($C37,"calculations",0,"TTM","debttoebitda"))</f>
        <v/>
      </c>
      <c r="U37" s="237"/>
      <c r="V37" s="237" t="str">
        <f>[1]!IntrinioDataPoint($C37,"pricetobook")</f>
        <v/>
      </c>
      <c r="W37" s="237" t="str">
        <f>[1]!IntrinioDataPoint($C37,"pricetotangiblebook")</f>
        <v/>
      </c>
      <c r="X37" s="236" t="str">
        <f>[1]!IntrinioDataPoint($C37,"pricetoearnings")</f>
        <v/>
      </c>
      <c r="Y37" s="237" t="str">
        <f>[1]!IntrinioDataPoint($C37,"pricetocurrentyearearnings")</f>
        <v/>
      </c>
      <c r="Z37" s="238" t="str">
        <f>[1]!IntrinioDataPoint($C37,"pricetonextyearearnings")</f>
        <v/>
      </c>
      <c r="AA37" s="224"/>
      <c r="AB37" s="239" t="str">
        <f>[1]!IntrinioDataPoint($C37,"earningsyield")</f>
        <v/>
      </c>
      <c r="AC37" s="239" t="str">
        <f>[1]!IntrinioDataPoint($C37,"trailing_dividend_yield")</f>
        <v/>
      </c>
      <c r="AD37" s="127"/>
    </row>
    <row r="38" spans="1:30" hidden="1" outlineLevel="1">
      <c r="A38" s="146"/>
      <c r="B38" s="153" t="str">
        <f>Info!A34</f>
        <v/>
      </c>
      <c r="C38" s="161" t="str">
        <f>IF(List!D34="","",List!D34)</f>
        <v/>
      </c>
      <c r="D38" s="123" t="str">
        <f>[1]!IntrinioDataPoint($C38,"close_price")</f>
        <v/>
      </c>
      <c r="E38" s="123" t="str">
        <f>[1]!IntrinioDataPoint($C38,"analyst_target_price")</f>
        <v/>
      </c>
      <c r="F38" s="124" t="str">
        <f>Info!F34</f>
        <v/>
      </c>
      <c r="G38" s="124" t="str">
        <f>Info!G34</f>
        <v/>
      </c>
      <c r="H38" s="62"/>
      <c r="I38" s="125" t="str">
        <f>[1]!IntrinioDataPoint($C38,"evtoinvestedcapital")</f>
        <v/>
      </c>
      <c r="J38" s="92"/>
      <c r="K38" s="92" t="str">
        <f>[1]!IntrinioDataPoint($C38,"evtorevenue")</f>
        <v/>
      </c>
      <c r="L38" s="92" t="str">
        <f>[1]!IntrinioDataPoint($C38,"evtocurrentyearrevenue")</f>
        <v/>
      </c>
      <c r="M38" s="92" t="str">
        <f>[1]!IntrinioDataPoint($C38,"evtonextyearrevenue")</f>
        <v/>
      </c>
      <c r="N38" s="92"/>
      <c r="O38" s="125" t="str">
        <f>[1]!IntrinioDataPoint($C38,"evtoebitda")</f>
        <v/>
      </c>
      <c r="P38" s="92" t="str">
        <f>[1]!IntrinioDataPoint($C38,"evtonopat")</f>
        <v/>
      </c>
      <c r="Q38" s="92" t="str">
        <f>[1]!IntrinioDataPoint($C38,"evtoocf")</f>
        <v/>
      </c>
      <c r="R38" s="92" t="str">
        <f>[1]!IntrinioDataPoint($C38,"evtofcff")</f>
        <v/>
      </c>
      <c r="S38" s="92"/>
      <c r="T38" s="126" t="str">
        <f>IF($C38="","",[1]!IntrinioFinancials($C38,"calculations",0,"TTM","debttoebitda"))</f>
        <v/>
      </c>
      <c r="U38" s="92"/>
      <c r="V38" s="92" t="str">
        <f>[1]!IntrinioDataPoint($C38,"pricetobook")</f>
        <v/>
      </c>
      <c r="W38" s="92" t="str">
        <f>[1]!IntrinioDataPoint($C38,"pricetotangiblebook")</f>
        <v/>
      </c>
      <c r="X38" s="125" t="str">
        <f>[1]!IntrinioDataPoint($C38,"pricetoearnings")</f>
        <v/>
      </c>
      <c r="Y38" s="92" t="str">
        <f>[1]!IntrinioDataPoint($C38,"pricetocurrentyearearnings")</f>
        <v/>
      </c>
      <c r="Z38" s="126" t="str">
        <f>[1]!IntrinioDataPoint($C38,"pricetonextyearearnings")</f>
        <v/>
      </c>
      <c r="AA38" s="62"/>
      <c r="AB38" s="174" t="str">
        <f>[1]!IntrinioDataPoint($C38,"earningsyield")</f>
        <v/>
      </c>
      <c r="AC38" s="174" t="str">
        <f>[1]!IntrinioDataPoint($C38,"trailing_dividend_yield")</f>
        <v/>
      </c>
      <c r="AD38" s="127"/>
    </row>
    <row r="39" spans="1:30" hidden="1" outlineLevel="1">
      <c r="A39" s="146"/>
      <c r="B39" s="233" t="str">
        <f>Info!A35</f>
        <v/>
      </c>
      <c r="C39" s="193" t="str">
        <f>IF(List!D35="","",List!D35)</f>
        <v/>
      </c>
      <c r="D39" s="234" t="str">
        <f>[1]!IntrinioDataPoint($C39,"close_price")</f>
        <v/>
      </c>
      <c r="E39" s="234" t="str">
        <f>[1]!IntrinioDataPoint($C39,"analyst_target_price")</f>
        <v/>
      </c>
      <c r="F39" s="235" t="str">
        <f>Info!F35</f>
        <v/>
      </c>
      <c r="G39" s="235" t="str">
        <f>Info!G35</f>
        <v/>
      </c>
      <c r="H39" s="224"/>
      <c r="I39" s="236" t="str">
        <f>[1]!IntrinioDataPoint($C39,"evtoinvestedcapital")</f>
        <v/>
      </c>
      <c r="J39" s="237"/>
      <c r="K39" s="237" t="str">
        <f>[1]!IntrinioDataPoint($C39,"evtorevenue")</f>
        <v/>
      </c>
      <c r="L39" s="237" t="str">
        <f>[1]!IntrinioDataPoint($C39,"evtocurrentyearrevenue")</f>
        <v/>
      </c>
      <c r="M39" s="237" t="str">
        <f>[1]!IntrinioDataPoint($C39,"evtonextyearrevenue")</f>
        <v/>
      </c>
      <c r="N39" s="237"/>
      <c r="O39" s="236" t="str">
        <f>[1]!IntrinioDataPoint($C39,"evtoebitda")</f>
        <v/>
      </c>
      <c r="P39" s="237" t="str">
        <f>[1]!IntrinioDataPoint($C39,"evtonopat")</f>
        <v/>
      </c>
      <c r="Q39" s="237" t="str">
        <f>[1]!IntrinioDataPoint($C39,"evtoocf")</f>
        <v/>
      </c>
      <c r="R39" s="237" t="str">
        <f>[1]!IntrinioDataPoint($C39,"evtofcff")</f>
        <v/>
      </c>
      <c r="S39" s="237"/>
      <c r="T39" s="238" t="str">
        <f>IF($C39="","",[1]!IntrinioFinancials($C39,"calculations",0,"TTM","debttoebitda"))</f>
        <v/>
      </c>
      <c r="U39" s="237"/>
      <c r="V39" s="237" t="str">
        <f>[1]!IntrinioDataPoint($C39,"pricetobook")</f>
        <v/>
      </c>
      <c r="W39" s="237" t="str">
        <f>[1]!IntrinioDataPoint($C39,"pricetotangiblebook")</f>
        <v/>
      </c>
      <c r="X39" s="236" t="str">
        <f>[1]!IntrinioDataPoint($C39,"pricetoearnings")</f>
        <v/>
      </c>
      <c r="Y39" s="237" t="str">
        <f>[1]!IntrinioDataPoint($C39,"pricetocurrentyearearnings")</f>
        <v/>
      </c>
      <c r="Z39" s="238" t="str">
        <f>[1]!IntrinioDataPoint($C39,"pricetonextyearearnings")</f>
        <v/>
      </c>
      <c r="AA39" s="224"/>
      <c r="AB39" s="239" t="str">
        <f>[1]!IntrinioDataPoint($C39,"earningsyield")</f>
        <v/>
      </c>
      <c r="AC39" s="239" t="str">
        <f>[1]!IntrinioDataPoint($C39,"trailing_dividend_yield")</f>
        <v/>
      </c>
    </row>
    <row r="40" spans="1:30" ht="13.15" collapsed="1">
      <c r="A40" s="146"/>
      <c r="B40" s="147"/>
      <c r="C40" s="161"/>
      <c r="D40" s="55"/>
      <c r="E40" s="55"/>
      <c r="F40" s="55"/>
      <c r="G40" s="55"/>
      <c r="H40" s="56"/>
      <c r="I40" s="128"/>
      <c r="J40" s="57"/>
      <c r="K40" s="57"/>
      <c r="L40" s="57"/>
      <c r="M40" s="57"/>
      <c r="N40" s="57"/>
      <c r="O40" s="128"/>
      <c r="P40" s="57"/>
      <c r="Q40" s="57"/>
      <c r="R40" s="57"/>
      <c r="S40" s="57"/>
      <c r="T40" s="129"/>
      <c r="U40" s="57"/>
      <c r="V40" s="57"/>
      <c r="W40" s="57"/>
      <c r="X40" s="128"/>
      <c r="Y40" s="57"/>
      <c r="Z40" s="129"/>
      <c r="AA40" s="62"/>
      <c r="AB40" s="109"/>
      <c r="AC40" s="109"/>
    </row>
    <row r="41" spans="1:30" ht="13.15">
      <c r="B41" s="265" t="s">
        <v>85</v>
      </c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  <c r="V41" s="265"/>
      <c r="W41" s="265"/>
      <c r="X41" s="265"/>
      <c r="Y41" s="265"/>
      <c r="Z41" s="265"/>
      <c r="AA41" s="265"/>
      <c r="AB41" s="265"/>
      <c r="AC41" s="265"/>
    </row>
    <row r="42" spans="1:30">
      <c r="B42" s="153"/>
      <c r="C42" s="153"/>
      <c r="D42" s="105"/>
      <c r="E42" s="105"/>
      <c r="F42" s="130"/>
      <c r="G42" s="130"/>
      <c r="H42" s="108"/>
      <c r="I42" s="131"/>
      <c r="J42" s="132"/>
      <c r="K42" s="132"/>
      <c r="L42" s="132"/>
      <c r="M42" s="132"/>
      <c r="N42" s="132"/>
      <c r="O42" s="131"/>
      <c r="P42" s="132"/>
      <c r="Q42" s="132"/>
      <c r="R42" s="132"/>
      <c r="S42" s="132"/>
      <c r="T42" s="133"/>
      <c r="U42" s="134"/>
      <c r="V42" s="134"/>
      <c r="W42" s="134"/>
      <c r="X42" s="135"/>
      <c r="Y42" s="134"/>
      <c r="Z42" s="136"/>
      <c r="AA42" s="62"/>
      <c r="AB42" s="109"/>
      <c r="AC42" s="109"/>
    </row>
    <row r="43" spans="1:30" ht="13.15">
      <c r="B43" s="192" t="s">
        <v>73</v>
      </c>
      <c r="C43" s="193"/>
      <c r="D43" s="196"/>
      <c r="E43" s="196"/>
      <c r="F43" s="196"/>
      <c r="G43" s="196"/>
      <c r="H43" s="194"/>
      <c r="I43" s="218" t="str">
        <f>IFERROR(+(SUMPRODUCT('Benchmarking 1'!#REF!,I10:I39))/(SUM('Benchmarking 1'!#REF!)-(SUMIF(I10:I39,"",'Benchmarking 1'!#REF!))),"")</f>
        <v/>
      </c>
      <c r="J43" s="195"/>
      <c r="K43" s="195" t="str">
        <f>IFERROR(+(SUMPRODUCT('Benchmarking 1'!#REF!,K10:K39))/(SUM('Benchmarking 1'!#REF!)-(SUMIF(K10:K39,"",'Benchmarking 1'!#REF!))),"")</f>
        <v/>
      </c>
      <c r="L43" s="195" t="str">
        <f>IFERROR(+(SUMPRODUCT('Benchmarking 1'!#REF!,L10:L39))/(SUM('Benchmarking 1'!#REF!)-(SUMIF(L10:L39,"",'Benchmarking 1'!#REF!))),"")</f>
        <v/>
      </c>
      <c r="M43" s="195" t="str">
        <f>IFERROR(+(SUMPRODUCT('Benchmarking 1'!#REF!,M10:M39))/(SUM('Benchmarking 1'!#REF!)-(SUMIF(M10:M39,"",'Benchmarking 1'!#REF!))),"")</f>
        <v/>
      </c>
      <c r="N43" s="195"/>
      <c r="O43" s="222" t="str">
        <f>IFERROR(+(SUMPRODUCT('Benchmarking 1'!#REF!,O10:O39))/(SUM('Benchmarking 1'!#REF!)-(SUMIF(O10:O39,"",'Benchmarking 1'!#REF!))),"")</f>
        <v/>
      </c>
      <c r="P43" s="195" t="str">
        <f>IFERROR(+(SUMPRODUCT('Benchmarking 1'!#REF!,P10:P39))/(SUM('Benchmarking 1'!#REF!)-(SUMIF(P10:P39,"",'Benchmarking 1'!#REF!))),"")</f>
        <v/>
      </c>
      <c r="Q43" s="195" t="str">
        <f>IFERROR(+(SUMPRODUCT('Benchmarking 1'!#REF!,Q10:Q39))/(SUM('Benchmarking 1'!#REF!)-(SUMIF(Q10:Q39,"",'Benchmarking 1'!#REF!))),"")</f>
        <v/>
      </c>
      <c r="R43" s="195" t="str">
        <f>IFERROR(+(SUMPRODUCT('Benchmarking 1'!#REF!,R10:R39))/(SUM('Benchmarking 1'!#REF!)-(SUMIF(R10:R39,"",'Benchmarking 1'!#REF!))),"")</f>
        <v/>
      </c>
      <c r="S43" s="195"/>
      <c r="T43" s="223" t="str">
        <f>IFERROR(+(SUMPRODUCT('Benchmarking 1'!#REF!,T10:T39))/(SUM('Benchmarking 1'!#REF!)-(SUMIF(T10:T39,"",'Benchmarking 1'!#REF!))),"")</f>
        <v/>
      </c>
      <c r="U43" s="195"/>
      <c r="V43" s="195" t="str">
        <f>IFERROR(+(SUMPRODUCT('Benchmarking 1'!#REF!,V10:V39))/(SUM('Benchmarking 1'!#REF!)-(SUMIF(V10:V39,"",'Benchmarking 1'!#REF!))),"")</f>
        <v/>
      </c>
      <c r="W43" s="195" t="str">
        <f>IFERROR(+(SUMPRODUCT('Benchmarking 1'!#REF!,W10:W39))/(SUM('Benchmarking 1'!#REF!)-(SUMIF(W10:W39,"",'Benchmarking 1'!#REF!))),"")</f>
        <v/>
      </c>
      <c r="X43" s="222" t="str">
        <f>IFERROR(+(SUMPRODUCT('Benchmarking 1'!#REF!,X10:X39))/(SUM('Benchmarking 1'!#REF!)-(SUMIF(X10:X39,"",'Benchmarking 1'!#REF!))),"")</f>
        <v/>
      </c>
      <c r="Y43" s="195" t="str">
        <f>IFERROR(+(SUMPRODUCT('Benchmarking 1'!#REF!,Y10:Y39))/(SUM('Benchmarking 1'!#REF!)-(SUMIF(Y10:Y39,"",'Benchmarking 1'!#REF!))),"")</f>
        <v/>
      </c>
      <c r="Z43" s="223" t="str">
        <f>IFERROR(+(SUMPRODUCT('Benchmarking 1'!#REF!,Z10:Z39))/(SUM('Benchmarking 1'!#REF!)-(SUMIF(Z10:Z39,"",'Benchmarking 1'!#REF!))),"")</f>
        <v/>
      </c>
      <c r="AA43" s="224"/>
      <c r="AB43" s="225" t="str">
        <f>IFERROR(+(SUMPRODUCT('Benchmarking 1'!#REF!,AB10:AB39))/(SUM('Benchmarking 1'!#REF!)-(SUMIF(AB10:AB39,"",'Benchmarking 1'!#REF!))),"")</f>
        <v/>
      </c>
      <c r="AC43" s="225" t="str">
        <f>IFERROR(+(SUMPRODUCT('Benchmarking 1'!#REF!,AC10:AC39))/(SUM('Benchmarking 1'!#REF!)-(SUMIF(AC10:AC39,"",'Benchmarking 1'!#REF!))),"")</f>
        <v/>
      </c>
      <c r="AD43" s="201"/>
    </row>
    <row r="44" spans="1:30" ht="13.15">
      <c r="B44" s="192" t="s">
        <v>79</v>
      </c>
      <c r="C44" s="193"/>
      <c r="D44" s="196"/>
      <c r="E44" s="196"/>
      <c r="F44" s="196"/>
      <c r="G44" s="196"/>
      <c r="H44" s="194"/>
      <c r="I44" s="218" t="str">
        <f>IFERROR(AVERAGE(I9:I39),"")</f>
        <v/>
      </c>
      <c r="J44" s="195"/>
      <c r="K44" s="195" t="str">
        <f>IFERROR(AVERAGE(K9:K39),"")</f>
        <v/>
      </c>
      <c r="L44" s="195" t="str">
        <f>IFERROR(AVERAGE(L9:L39),"")</f>
        <v/>
      </c>
      <c r="M44" s="195" t="str">
        <f>IFERROR(AVERAGE(M9:M39),"")</f>
        <v/>
      </c>
      <c r="N44" s="195"/>
      <c r="O44" s="222" t="str">
        <f>IFERROR(AVERAGE(O9:O39),"")</f>
        <v/>
      </c>
      <c r="P44" s="195" t="str">
        <f>IFERROR(AVERAGE(P9:P39),"")</f>
        <v/>
      </c>
      <c r="Q44" s="195" t="str">
        <f>IFERROR(AVERAGE(Q9:Q39),"")</f>
        <v/>
      </c>
      <c r="R44" s="195" t="str">
        <f>IFERROR(AVERAGE(R9:R39),"")</f>
        <v/>
      </c>
      <c r="S44" s="195"/>
      <c r="T44" s="223" t="str">
        <f>IFERROR(AVERAGE(T9:T39),"")</f>
        <v/>
      </c>
      <c r="U44" s="195"/>
      <c r="V44" s="195" t="str">
        <f>IFERROR(AVERAGE(V9:V39),"")</f>
        <v/>
      </c>
      <c r="W44" s="195" t="str">
        <f>IFERROR(AVERAGE(W9:W39),"")</f>
        <v/>
      </c>
      <c r="X44" s="222" t="str">
        <f>IFERROR(AVERAGE(X9:X39),"")</f>
        <v/>
      </c>
      <c r="Y44" s="195" t="str">
        <f>IFERROR(AVERAGE(Y9:Y39),"")</f>
        <v/>
      </c>
      <c r="Z44" s="223" t="str">
        <f>IFERROR(AVERAGE(Z9:Z39),"")</f>
        <v/>
      </c>
      <c r="AA44" s="224"/>
      <c r="AB44" s="225" t="str">
        <f>IFERROR(AVERAGE(AB9:AB39),"")</f>
        <v/>
      </c>
      <c r="AC44" s="225" t="str">
        <f>IFERROR(AVERAGE(AC9:AC39),"")</f>
        <v/>
      </c>
      <c r="AD44" s="201"/>
    </row>
    <row r="45" spans="1:30" ht="13.15">
      <c r="A45" s="146"/>
      <c r="B45" s="192" t="s">
        <v>18</v>
      </c>
      <c r="C45" s="193"/>
      <c r="D45" s="196"/>
      <c r="E45" s="196"/>
      <c r="F45" s="196"/>
      <c r="G45" s="196"/>
      <c r="H45" s="194"/>
      <c r="I45" s="218" t="str">
        <f>IFERROR(MEDIAN(I10:I39),"")</f>
        <v/>
      </c>
      <c r="J45" s="195"/>
      <c r="K45" s="195" t="str">
        <f>IFERROR(MEDIAN(K10:K39),"")</f>
        <v/>
      </c>
      <c r="L45" s="195" t="str">
        <f>IFERROR(MEDIAN(L10:L39),"")</f>
        <v/>
      </c>
      <c r="M45" s="195" t="str">
        <f>IFERROR(MEDIAN(M10:M39),"")</f>
        <v/>
      </c>
      <c r="N45" s="195"/>
      <c r="O45" s="222" t="str">
        <f>IFERROR(MEDIAN(O10:O39),"")</f>
        <v/>
      </c>
      <c r="P45" s="195" t="str">
        <f>IFERROR(MEDIAN(P10:P39),"")</f>
        <v/>
      </c>
      <c r="Q45" s="195" t="str">
        <f>IFERROR(MEDIAN(Q10:Q39),"")</f>
        <v/>
      </c>
      <c r="R45" s="195" t="str">
        <f>IFERROR(MEDIAN(R10:R39),"")</f>
        <v/>
      </c>
      <c r="S45" s="195"/>
      <c r="T45" s="223" t="str">
        <f>IFERROR(MEDIAN(T10:T39),"")</f>
        <v/>
      </c>
      <c r="U45" s="195"/>
      <c r="V45" s="195" t="str">
        <f>IFERROR(MEDIAN(V10:V39),"")</f>
        <v/>
      </c>
      <c r="W45" s="195" t="str">
        <f>IFERROR(MEDIAN(W10:W39),"")</f>
        <v/>
      </c>
      <c r="X45" s="222" t="str">
        <f>IFERROR(MEDIAN(X10:X39),"")</f>
        <v/>
      </c>
      <c r="Y45" s="195" t="str">
        <f>IFERROR(MEDIAN(Y10:Y39),"")</f>
        <v/>
      </c>
      <c r="Z45" s="223" t="str">
        <f>IFERROR(MEDIAN(Z10:Z39),"")</f>
        <v/>
      </c>
      <c r="AA45" s="224"/>
      <c r="AB45" s="225" t="str">
        <f>IFERROR(MEDIAN(AB10:AB39),"")</f>
        <v/>
      </c>
      <c r="AC45" s="225" t="str">
        <f>IFERROR(MEDIAN(AC10:AC39),"")</f>
        <v/>
      </c>
      <c r="AD45" s="201"/>
    </row>
    <row r="46" spans="1:30" ht="13.15">
      <c r="A46" s="146"/>
      <c r="B46" s="147"/>
      <c r="C46" s="161"/>
      <c r="D46" s="55"/>
      <c r="E46" s="55"/>
      <c r="F46" s="55"/>
      <c r="G46" s="55"/>
      <c r="H46" s="56"/>
      <c r="I46" s="90"/>
      <c r="J46" s="57"/>
      <c r="K46" s="57"/>
      <c r="L46" s="57"/>
      <c r="M46" s="57"/>
      <c r="N46" s="57"/>
      <c r="O46" s="128"/>
      <c r="P46" s="57"/>
      <c r="Q46" s="57"/>
      <c r="R46" s="57"/>
      <c r="S46" s="57"/>
      <c r="T46" s="129"/>
      <c r="U46" s="57"/>
      <c r="V46" s="57"/>
      <c r="W46" s="57"/>
      <c r="X46" s="128"/>
      <c r="Y46" s="57"/>
      <c r="Z46" s="129"/>
      <c r="AA46" s="62"/>
      <c r="AB46" s="109"/>
      <c r="AC46" s="109"/>
    </row>
    <row r="47" spans="1:30" ht="13.15">
      <c r="A47" s="146"/>
      <c r="B47" s="192" t="s">
        <v>19</v>
      </c>
      <c r="C47" s="193"/>
      <c r="D47" s="196"/>
      <c r="E47" s="196"/>
      <c r="F47" s="196"/>
      <c r="G47" s="196"/>
      <c r="H47" s="194"/>
      <c r="I47" s="218" t="str">
        <f>IF($C$10="","",MAX(I10:I39))</f>
        <v/>
      </c>
      <c r="J47" s="195"/>
      <c r="K47" s="195" t="str">
        <f>IF($C$10="","",MAX(K10:K39))</f>
        <v/>
      </c>
      <c r="L47" s="195" t="str">
        <f>IF($C$10="","",MAX(L10:L39))</f>
        <v/>
      </c>
      <c r="M47" s="195" t="str">
        <f>IF($C$10="","",MAX(M10:M39))</f>
        <v/>
      </c>
      <c r="N47" s="195"/>
      <c r="O47" s="222" t="str">
        <f>IF($C$10="","",MAX(O10:O39))</f>
        <v/>
      </c>
      <c r="P47" s="195" t="str">
        <f>IF($C$10="","",MAX(P10:P39))</f>
        <v/>
      </c>
      <c r="Q47" s="195" t="str">
        <f>IF($C$10="","",MAX(Q10:Q39))</f>
        <v/>
      </c>
      <c r="R47" s="195" t="str">
        <f>IF($C$10="","",MAX(R10:R39))</f>
        <v/>
      </c>
      <c r="S47" s="195"/>
      <c r="T47" s="223" t="str">
        <f>IF($C$10="","",MAX(T10:T39))</f>
        <v/>
      </c>
      <c r="U47" s="195"/>
      <c r="V47" s="195" t="str">
        <f>IF($C$10="","",MAX(V10:V39))</f>
        <v/>
      </c>
      <c r="W47" s="195" t="str">
        <f>IF($C$10="","",MAX(W10:W39))</f>
        <v/>
      </c>
      <c r="X47" s="222" t="str">
        <f>IF($C$10="","",MAX(X10:X39))</f>
        <v/>
      </c>
      <c r="Y47" s="195" t="str">
        <f>IF($C$10="","",MAX(Y10:Y39))</f>
        <v/>
      </c>
      <c r="Z47" s="223" t="str">
        <f>IF($C$10="","",MAX(Z10:Z39))</f>
        <v/>
      </c>
      <c r="AA47" s="224"/>
      <c r="AB47" s="225" t="str">
        <f>IF($C$10="","",MAX(AB10:AB39))</f>
        <v/>
      </c>
      <c r="AC47" s="225" t="str">
        <f>IF($C$10="","",MAX(AC10:AC39))</f>
        <v/>
      </c>
      <c r="AD47" s="201"/>
    </row>
    <row r="48" spans="1:30" ht="13.15">
      <c r="A48" s="146"/>
      <c r="B48" s="192" t="s">
        <v>20</v>
      </c>
      <c r="C48" s="193"/>
      <c r="D48" s="196"/>
      <c r="E48" s="196"/>
      <c r="F48" s="196"/>
      <c r="G48" s="196"/>
      <c r="H48" s="194"/>
      <c r="I48" s="218" t="str">
        <f>IF($C$10="","",MIN(I10:I39))</f>
        <v/>
      </c>
      <c r="J48" s="195"/>
      <c r="K48" s="195" t="str">
        <f>IF($C$10="","",MIN(K10:K39))</f>
        <v/>
      </c>
      <c r="L48" s="195" t="str">
        <f>IF($C$10="","",MIN(L10:L39))</f>
        <v/>
      </c>
      <c r="M48" s="195" t="str">
        <f>IF($C$10="","",MIN(M10:M39))</f>
        <v/>
      </c>
      <c r="N48" s="195"/>
      <c r="O48" s="222" t="str">
        <f>IF($C$10="","",MIN(O10:O39))</f>
        <v/>
      </c>
      <c r="P48" s="195" t="str">
        <f>IF($C$10="","",MIN(P10:P39))</f>
        <v/>
      </c>
      <c r="Q48" s="195" t="str">
        <f>IF($C$10="","",MIN(Q10:Q39))</f>
        <v/>
      </c>
      <c r="R48" s="195" t="str">
        <f>IF($C$10="","",MIN(R10:R39))</f>
        <v/>
      </c>
      <c r="S48" s="195"/>
      <c r="T48" s="223" t="str">
        <f>IF($C$10="","",MIN(T10:T39))</f>
        <v/>
      </c>
      <c r="U48" s="195"/>
      <c r="V48" s="195" t="str">
        <f>IF($C$10="","",MIN(V10:V39))</f>
        <v/>
      </c>
      <c r="W48" s="195" t="str">
        <f>IF($C$10="","",MIN(W10:W39))</f>
        <v/>
      </c>
      <c r="X48" s="222" t="str">
        <f>IF($C$10="","",MIN(X10:X39))</f>
        <v/>
      </c>
      <c r="Y48" s="195" t="str">
        <f>IF($C$10="","",MIN(Y10:Y39))</f>
        <v/>
      </c>
      <c r="Z48" s="223" t="str">
        <f>IF($C$10="","",MIN(Z10:Z39))</f>
        <v/>
      </c>
      <c r="AA48" s="224"/>
      <c r="AB48" s="225" t="str">
        <f>IF($C$10="","",MIN(AB10:AB39))</f>
        <v/>
      </c>
      <c r="AC48" s="225" t="str">
        <f>IF($C$10="","",MIN(AC10:AC39))</f>
        <v/>
      </c>
      <c r="AD48" s="201"/>
    </row>
    <row r="49" spans="1:29" ht="13.15">
      <c r="A49" s="146"/>
      <c r="B49" s="153"/>
      <c r="C49" s="161"/>
      <c r="D49" s="62"/>
      <c r="E49" s="62"/>
      <c r="F49" s="55"/>
      <c r="G49" s="55"/>
      <c r="H49" s="56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60"/>
      <c r="U49" s="57"/>
      <c r="V49" s="57"/>
      <c r="W49" s="57"/>
      <c r="X49" s="57"/>
      <c r="Y49" s="57"/>
      <c r="Z49" s="57"/>
      <c r="AA49" s="132"/>
      <c r="AB49" s="109"/>
      <c r="AC49" s="109"/>
    </row>
    <row r="50" spans="1:29" ht="13.15">
      <c r="A50" s="172"/>
      <c r="B50" s="157"/>
      <c r="C50" s="173"/>
      <c r="D50" s="16"/>
      <c r="E50" s="16"/>
      <c r="F50" s="16"/>
      <c r="G50" s="65"/>
      <c r="H50" s="66"/>
      <c r="I50" s="137"/>
      <c r="J50" s="137"/>
      <c r="K50" s="137"/>
      <c r="L50" s="137"/>
      <c r="M50" s="137"/>
      <c r="N50" s="137"/>
      <c r="O50" s="137"/>
      <c r="P50" s="62"/>
      <c r="Q50" s="62"/>
      <c r="R50" s="62"/>
      <c r="S50" s="57"/>
      <c r="T50" s="137"/>
      <c r="U50" s="67"/>
      <c r="V50" s="57"/>
      <c r="W50" s="57"/>
      <c r="X50" s="57"/>
      <c r="Y50" s="57"/>
      <c r="Z50" s="57"/>
      <c r="AA50" s="132"/>
      <c r="AB50" s="109"/>
      <c r="AC50" s="109"/>
    </row>
    <row r="51" spans="1:29">
      <c r="A51" s="163"/>
      <c r="B51" s="149" t="s">
        <v>111</v>
      </c>
      <c r="C51" s="163"/>
      <c r="D51" s="18"/>
      <c r="E51" s="18"/>
      <c r="F51" s="71"/>
      <c r="G51" s="71"/>
      <c r="H51" s="18"/>
      <c r="I51" s="72"/>
      <c r="J51" s="72"/>
      <c r="K51" s="72"/>
      <c r="L51" s="72"/>
      <c r="M51" s="72"/>
      <c r="N51" s="72"/>
      <c r="O51" s="72"/>
      <c r="P51" s="43"/>
      <c r="Q51" s="43"/>
      <c r="R51" s="43"/>
      <c r="S51" s="92"/>
      <c r="T51" s="72"/>
      <c r="U51" s="72"/>
      <c r="V51" s="92"/>
      <c r="W51" s="92"/>
      <c r="X51" s="92"/>
      <c r="Y51" s="92"/>
      <c r="Z51" s="92"/>
      <c r="AA51" s="62"/>
      <c r="AB51" s="109"/>
      <c r="AC51" s="109"/>
    </row>
    <row r="52" spans="1:29">
      <c r="A52" s="163"/>
      <c r="B52" s="158" t="s">
        <v>109</v>
      </c>
      <c r="C52" s="163"/>
      <c r="D52" s="18"/>
      <c r="E52" s="18"/>
      <c r="F52" s="71"/>
      <c r="G52" s="71"/>
      <c r="H52" s="18"/>
      <c r="I52" s="72"/>
      <c r="J52" s="72"/>
      <c r="K52" s="72"/>
      <c r="L52" s="72"/>
      <c r="M52" s="72"/>
      <c r="N52" s="138"/>
      <c r="O52" s="138"/>
      <c r="P52" s="72"/>
      <c r="Q52" s="72"/>
      <c r="R52" s="72"/>
      <c r="S52" s="139"/>
      <c r="T52" s="138"/>
      <c r="U52" s="138"/>
      <c r="V52" s="139"/>
      <c r="W52" s="139"/>
      <c r="X52" s="139"/>
      <c r="Y52" s="139"/>
      <c r="Z52" s="139"/>
    </row>
    <row r="53" spans="1:29">
      <c r="A53" s="163"/>
      <c r="B53" s="146"/>
      <c r="C53" s="163"/>
      <c r="D53" s="18"/>
      <c r="E53" s="18"/>
      <c r="F53" s="71"/>
      <c r="G53" s="71"/>
      <c r="H53" s="18"/>
      <c r="I53" s="72"/>
      <c r="J53" s="72"/>
      <c r="K53" s="72"/>
      <c r="L53" s="72"/>
      <c r="M53" s="72"/>
      <c r="N53" s="138"/>
      <c r="O53" s="141"/>
      <c r="P53" s="72"/>
      <c r="Q53" s="72"/>
      <c r="R53" s="72"/>
      <c r="S53" s="139"/>
      <c r="T53" s="138"/>
      <c r="U53" s="138"/>
      <c r="V53" s="139"/>
      <c r="W53" s="139"/>
      <c r="X53" s="139"/>
      <c r="Y53" s="139"/>
      <c r="Z53" s="139"/>
    </row>
  </sheetData>
  <sheetProtection selectLockedCells="1"/>
  <mergeCells count="4">
    <mergeCell ref="K8:M8"/>
    <mergeCell ref="I7:R7"/>
    <mergeCell ref="V7:Z7"/>
    <mergeCell ref="X8:Z8"/>
  </mergeCells>
  <printOptions horizontalCentered="1"/>
  <pageMargins left="0.5" right="0.5" top="0.5" bottom="0.5" header="0.5" footer="0.5"/>
  <pageSetup scale="42" fitToHeight="19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  <pageSetUpPr fitToPage="1"/>
  </sheetPr>
  <dimension ref="A1:AG54"/>
  <sheetViews>
    <sheetView showGridLines="0" zoomScale="80" zoomScaleNormal="80" workbookViewId="0">
      <pane xSplit="3" ySplit="9" topLeftCell="D10" activePane="bottomRight" state="frozen"/>
      <selection sqref="A1:XFD1048576"/>
      <selection pane="topRight" sqref="A1:XFD1048576"/>
      <selection pane="bottomLeft" sqref="A1:XFD1048576"/>
      <selection pane="bottomRight" activeCell="D10" sqref="D10"/>
    </sheetView>
  </sheetViews>
  <sheetFormatPr defaultColWidth="7" defaultRowHeight="12.75" outlineLevelRow="1"/>
  <cols>
    <col min="1" max="1" width="0.875" style="29" customWidth="1"/>
    <col min="2" max="2" width="22.75" style="143" customWidth="1"/>
    <col min="3" max="3" width="7.625" style="143" customWidth="1"/>
    <col min="4" max="4" width="9.625" style="143" customWidth="1"/>
    <col min="5" max="5" width="9.875" style="143" bestFit="1" customWidth="1"/>
    <col min="6" max="6" width="5.5" style="143" bestFit="1" customWidth="1"/>
    <col min="7" max="8" width="8.625" style="143" customWidth="1"/>
    <col min="9" max="9" width="0.875" style="73" customWidth="1"/>
    <col min="10" max="14" width="9.625" style="29" customWidth="1"/>
    <col min="15" max="15" width="0.875" style="29" customWidth="1"/>
    <col min="16" max="19" width="8.25" style="29" customWidth="1"/>
    <col min="20" max="20" width="0.875" style="29" customWidth="1"/>
    <col min="21" max="29" width="8.75" style="29" customWidth="1"/>
    <col min="30" max="30" width="0.875" style="29" customWidth="1"/>
    <col min="31" max="31" width="1.875" style="33" customWidth="1"/>
    <col min="32" max="32" width="7.875" style="33" customWidth="1"/>
    <col min="33" max="33" width="11.25" style="33" customWidth="1"/>
    <col min="34" max="16384" width="7" style="33"/>
  </cols>
  <sheetData>
    <row r="1" spans="1:33" s="22" customFormat="1" ht="25.15">
      <c r="A1" s="262" t="s">
        <v>124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1"/>
    </row>
    <row r="2" spans="1:33" s="22" customFormat="1" ht="18" customHeight="1">
      <c r="A2" s="262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1"/>
    </row>
    <row r="3" spans="1:33" s="22" customFormat="1" ht="12.75" customHeight="1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1"/>
    </row>
    <row r="4" spans="1:33" s="22" customFormat="1">
      <c r="A4" s="23"/>
      <c r="B4" s="159"/>
      <c r="C4" s="159"/>
      <c r="D4" s="159"/>
      <c r="E4" s="159"/>
      <c r="F4" s="159"/>
      <c r="G4" s="159"/>
      <c r="H4" s="159"/>
      <c r="I4" s="25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6"/>
      <c r="W4" s="24"/>
      <c r="X4" s="24"/>
      <c r="Y4" s="24"/>
      <c r="Z4" s="24"/>
      <c r="AA4" s="24"/>
      <c r="AB4" s="24"/>
      <c r="AC4" s="24"/>
    </row>
    <row r="5" spans="1:33" s="28" customFormat="1">
      <c r="A5" s="27"/>
      <c r="B5" s="160"/>
      <c r="C5" s="160"/>
      <c r="D5" s="160"/>
      <c r="E5" s="160"/>
      <c r="F5" s="160"/>
      <c r="G5" s="160"/>
      <c r="H5" s="160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</row>
    <row r="6" spans="1:33" ht="17.25" customHeight="1">
      <c r="D6" s="283" t="s">
        <v>119</v>
      </c>
      <c r="E6" s="283"/>
      <c r="F6" s="283"/>
      <c r="G6" s="283"/>
      <c r="H6" s="283"/>
      <c r="I6" s="30"/>
      <c r="J6" s="283" t="s">
        <v>113</v>
      </c>
      <c r="K6" s="283"/>
      <c r="L6" s="283"/>
      <c r="M6" s="283"/>
      <c r="N6" s="283"/>
      <c r="O6" s="31"/>
      <c r="P6" s="283" t="s">
        <v>77</v>
      </c>
      <c r="Q6" s="283"/>
      <c r="R6" s="283"/>
      <c r="S6" s="283"/>
      <c r="T6" s="31"/>
      <c r="U6" s="283" t="s">
        <v>9</v>
      </c>
      <c r="V6" s="283"/>
      <c r="W6" s="283"/>
      <c r="X6" s="283"/>
      <c r="Y6" s="283"/>
      <c r="Z6" s="283"/>
      <c r="AA6" s="283"/>
      <c r="AB6" s="283"/>
      <c r="AC6" s="283"/>
      <c r="AD6" s="32"/>
    </row>
    <row r="7" spans="1:33" s="251" customFormat="1" ht="15" customHeight="1">
      <c r="A7" s="248"/>
      <c r="B7" s="249"/>
      <c r="C7" s="249"/>
      <c r="D7" s="287" t="s">
        <v>80</v>
      </c>
      <c r="E7" s="287"/>
      <c r="F7" s="287"/>
      <c r="G7" s="264"/>
      <c r="H7" s="264"/>
      <c r="J7" s="252"/>
      <c r="K7" s="252" t="s">
        <v>10</v>
      </c>
      <c r="L7" s="250"/>
      <c r="M7" s="250"/>
      <c r="N7" s="250" t="s">
        <v>11</v>
      </c>
      <c r="O7" s="253"/>
      <c r="P7" s="252" t="s">
        <v>10</v>
      </c>
      <c r="Q7" s="253"/>
      <c r="R7" s="253"/>
      <c r="S7" s="252" t="s">
        <v>11</v>
      </c>
      <c r="T7" s="252"/>
      <c r="U7" s="285" t="s">
        <v>70</v>
      </c>
      <c r="V7" s="285"/>
      <c r="W7" s="285"/>
      <c r="X7" s="285"/>
      <c r="Y7" s="286" t="s">
        <v>8</v>
      </c>
      <c r="Z7" s="286"/>
      <c r="AA7" s="286"/>
      <c r="AB7" s="286"/>
      <c r="AC7" s="286"/>
      <c r="AD7" s="253"/>
    </row>
    <row r="8" spans="1:33" s="251" customFormat="1" ht="15" customHeight="1">
      <c r="A8" s="248"/>
      <c r="B8" s="249"/>
      <c r="C8" s="249"/>
      <c r="D8" s="284" t="s">
        <v>127</v>
      </c>
      <c r="E8" s="284"/>
      <c r="F8" s="284"/>
      <c r="G8" s="264" t="s">
        <v>120</v>
      </c>
      <c r="H8" s="264" t="s">
        <v>120</v>
      </c>
      <c r="I8" s="250"/>
      <c r="J8" s="252" t="s">
        <v>70</v>
      </c>
      <c r="K8" s="252" t="s">
        <v>13</v>
      </c>
      <c r="L8" s="250" t="s">
        <v>78</v>
      </c>
      <c r="M8" s="250" t="s">
        <v>12</v>
      </c>
      <c r="N8" s="250" t="s">
        <v>15</v>
      </c>
      <c r="O8" s="250"/>
      <c r="P8" s="252" t="s">
        <v>13</v>
      </c>
      <c r="Q8" s="252" t="s">
        <v>78</v>
      </c>
      <c r="R8" s="252" t="s">
        <v>12</v>
      </c>
      <c r="S8" s="252" t="s">
        <v>15</v>
      </c>
      <c r="T8" s="252"/>
      <c r="U8" s="254" t="s">
        <v>105</v>
      </c>
      <c r="V8" s="254" t="s">
        <v>106</v>
      </c>
      <c r="W8" s="254" t="s">
        <v>107</v>
      </c>
      <c r="X8" s="254" t="s">
        <v>108</v>
      </c>
      <c r="Y8" s="254" t="s">
        <v>105</v>
      </c>
      <c r="Z8" s="254" t="s">
        <v>106</v>
      </c>
      <c r="AA8" s="254" t="s">
        <v>107</v>
      </c>
      <c r="AB8" s="254" t="s">
        <v>108</v>
      </c>
      <c r="AC8" s="254" t="s">
        <v>116</v>
      </c>
      <c r="AD8" s="253"/>
    </row>
    <row r="9" spans="1:33" s="251" customFormat="1" ht="15" customHeight="1">
      <c r="A9" s="248"/>
      <c r="B9" s="255" t="s">
        <v>16</v>
      </c>
      <c r="C9" s="256" t="s">
        <v>2</v>
      </c>
      <c r="D9" s="256" t="s">
        <v>63</v>
      </c>
      <c r="E9" s="256" t="s">
        <v>97</v>
      </c>
      <c r="F9" s="256" t="s">
        <v>126</v>
      </c>
      <c r="G9" s="256" t="s">
        <v>19</v>
      </c>
      <c r="H9" s="256" t="s">
        <v>20</v>
      </c>
      <c r="I9" s="257"/>
      <c r="J9" s="257" t="s">
        <v>104</v>
      </c>
      <c r="K9" s="257" t="s">
        <v>104</v>
      </c>
      <c r="L9" s="257" t="s">
        <v>104</v>
      </c>
      <c r="M9" s="257" t="s">
        <v>104</v>
      </c>
      <c r="N9" s="257" t="s">
        <v>104</v>
      </c>
      <c r="O9" s="257"/>
      <c r="P9" s="257" t="s">
        <v>17</v>
      </c>
      <c r="Q9" s="257" t="s">
        <v>17</v>
      </c>
      <c r="R9" s="257" t="s">
        <v>17</v>
      </c>
      <c r="S9" s="257" t="s">
        <v>17</v>
      </c>
      <c r="T9" s="257"/>
      <c r="U9" s="258" t="s">
        <v>17</v>
      </c>
      <c r="V9" s="258" t="s">
        <v>17</v>
      </c>
      <c r="W9" s="258" t="s">
        <v>17</v>
      </c>
      <c r="X9" s="258" t="s">
        <v>17</v>
      </c>
      <c r="Y9" s="258" t="s">
        <v>17</v>
      </c>
      <c r="Z9" s="258" t="s">
        <v>17</v>
      </c>
      <c r="AA9" s="258" t="s">
        <v>17</v>
      </c>
      <c r="AB9" s="258" t="s">
        <v>17</v>
      </c>
      <c r="AC9" s="258" t="s">
        <v>17</v>
      </c>
      <c r="AD9" s="253"/>
    </row>
    <row r="10" spans="1:33" s="46" customFormat="1">
      <c r="A10" s="33"/>
      <c r="B10" s="146" t="str">
        <f>Info!A6</f>
        <v/>
      </c>
      <c r="C10" s="148" t="str">
        <f>IF(List!D6="","",List!D6)</f>
        <v/>
      </c>
      <c r="D10" s="259" t="str">
        <f>[1]!IntrinioDataPoint(C10,"close_price")</f>
        <v/>
      </c>
      <c r="E10" s="148" t="str">
        <f>[1]!IntrinioDataPoint(C10,"price_date")</f>
        <v/>
      </c>
      <c r="F10" s="148" t="str">
        <f>[1]!IntrinioDataPoint(C10,"price_time")</f>
        <v/>
      </c>
      <c r="G10" s="259" t="str">
        <f>[1]!IntrinioDataPoint($C10,"52_week_high")</f>
        <v/>
      </c>
      <c r="H10" s="259" t="str">
        <f>[1]!IntrinioDataPoint($C10,"52_week_low")</f>
        <v/>
      </c>
      <c r="I10" s="48"/>
      <c r="J10" s="49" t="str">
        <f>IF($C10="","",[1]!IntrinioFinancials($C10,"income_statement",0,"TTM","totalrevenue",rounding))</f>
        <v/>
      </c>
      <c r="K10" s="48" t="str">
        <f>IF($C10="","",[1]!IntrinioFinancials($C10,"income_statement",0,"TTM","totalgrossprofit",rounding))</f>
        <v/>
      </c>
      <c r="L10" s="48" t="str">
        <f>IF($C10="","",[1]!IntrinioFinancials($C10,"calculations",0,"TTM","ebit",rounding))</f>
        <v/>
      </c>
      <c r="M10" s="48" t="str">
        <f>IF($C10="","",[1]!IntrinioFinancials($C10,"calculations",0,"TTM","nopat",rounding))</f>
        <v/>
      </c>
      <c r="N10" s="48" t="str">
        <f>IF($C10="","",[1]!IntrinioFinancials($C10,"income_statement",0,"TTM","netincome",rounding))</f>
        <v/>
      </c>
      <c r="O10" s="50"/>
      <c r="P10" s="51" t="str">
        <f>IF($C10="","",[1]!IntrinioFinancials($C10,"calculations",0,"TTM","grossmargin"))</f>
        <v/>
      </c>
      <c r="Q10" s="45" t="str">
        <f>IF($C10="","",[1]!IntrinioFinancials($C10,"calculations",0,"TTM","ebitmargin"))</f>
        <v/>
      </c>
      <c r="R10" s="45" t="str">
        <f>IF($C10="","",[1]!IntrinioFinancials($C10,"calculations",0,"TTM","nopatmargin"))</f>
        <v/>
      </c>
      <c r="S10" s="45" t="str">
        <f>IF($C10="","",[1]!IntrinioFinancials($C10,"calculations",0,"TTM","profitmargin"))</f>
        <v/>
      </c>
      <c r="T10" s="45"/>
      <c r="U10" s="51" t="str">
        <f>IF($C10="","",[1]!IntrinioFinancials($C10,"calculations",0,"TTM","revenuegrowth"))</f>
        <v/>
      </c>
      <c r="V10" s="45" t="str">
        <f>IF($C10="","",[1]!IntrinioFinancials($C10,"calculations",0,"TTM","revenueqoqgrowth"))</f>
        <v/>
      </c>
      <c r="W10" s="45" t="str">
        <f>IF($C10="","",[1]!IntrinioDataPoint($C10,"current_yr_ave_revenue_est")/[1]!IntrinioFinancials($C10,"income_statement",0,"FY","totalrevenue","A")-1)</f>
        <v/>
      </c>
      <c r="X10" s="100" t="str">
        <f>IF($C10="","",[1]!IntrinioDataPoint($C10,"next_yr_ave_revenue_est")/[1]!IntrinioDataPoint($C10,"current_yr_ave_revenue_est")-1)</f>
        <v/>
      </c>
      <c r="Y10" s="45" t="str">
        <f>IF($C10="","",[1]!IntrinioFinancials($C10,"calculations",0,"TTM","netincomegrowth"))</f>
        <v/>
      </c>
      <c r="Z10" s="45" t="str">
        <f>IF($C10="","",[1]!IntrinioFinancials($C10,"calculations",0,"TTM","netincomeqoqgrowth"))</f>
        <v/>
      </c>
      <c r="AA10" s="45" t="str">
        <f>[1]!IntrinioDataPoint($C10,"current_yr_ave_eps_growth_est")</f>
        <v/>
      </c>
      <c r="AB10" s="45" t="str">
        <f>[1]!IntrinioDataPoint($C10,"next_yr_ave_eps_growth_est")</f>
        <v/>
      </c>
      <c r="AC10" s="45" t="str">
        <f>[1]!IntrinioDataPoint($C10,"long_term_growth_rate")</f>
        <v/>
      </c>
      <c r="AD10" s="52"/>
      <c r="AG10" s="53"/>
    </row>
    <row r="11" spans="1:33" s="46" customFormat="1">
      <c r="A11" s="33"/>
      <c r="B11" s="202" t="str">
        <f>Info!A7</f>
        <v/>
      </c>
      <c r="C11" s="227" t="str">
        <f>IF(List!D7="","",List!D7)</f>
        <v/>
      </c>
      <c r="D11" s="260" t="str">
        <f>[1]!IntrinioDataPoint(C11,"close_price")</f>
        <v/>
      </c>
      <c r="E11" s="227" t="str">
        <f>[1]!IntrinioDataPoint(C11,"price_date")</f>
        <v/>
      </c>
      <c r="F11" s="227" t="str">
        <f>[1]!IntrinioDataPoint(C11,"price_time")</f>
        <v/>
      </c>
      <c r="G11" s="260" t="str">
        <f>[1]!IntrinioDataPoint($C11,"52_week_high")</f>
        <v/>
      </c>
      <c r="H11" s="260" t="str">
        <f>[1]!IntrinioDataPoint($C11,"52_week_low")</f>
        <v/>
      </c>
      <c r="I11" s="203"/>
      <c r="J11" s="204" t="str">
        <f>IF($C11="","",[1]!IntrinioFinancials($C11,"income_statement",0,"TTM","totalrevenue",rounding))</f>
        <v/>
      </c>
      <c r="K11" s="203" t="str">
        <f>IF($C11="","",[1]!IntrinioFinancials($C11,"income_statement",0,"TTM","totalgrossprofit",rounding))</f>
        <v/>
      </c>
      <c r="L11" s="203" t="str">
        <f>IF($C11="","",[1]!IntrinioFinancials($C11,"calculations",0,"TTM","ebit",rounding))</f>
        <v/>
      </c>
      <c r="M11" s="203" t="str">
        <f>IF($C11="","",[1]!IntrinioFinancials($C11,"calculations",0,"TTM","nopat",rounding))</f>
        <v/>
      </c>
      <c r="N11" s="203" t="str">
        <f>IF($C11="","",[1]!IntrinioFinancials($C11,"income_statement",0,"TTM","netincome",rounding))</f>
        <v/>
      </c>
      <c r="O11" s="205"/>
      <c r="P11" s="206" t="str">
        <f>IF($C11="","",[1]!IntrinioFinancials($C11,"calculations",0,"TTM","grossmargin"))</f>
        <v/>
      </c>
      <c r="Q11" s="207" t="str">
        <f>IF($C11="","",[1]!IntrinioFinancials($C11,"calculations",0,"TTM","ebitmargin"))</f>
        <v/>
      </c>
      <c r="R11" s="207" t="str">
        <f>IF($C11="","",[1]!IntrinioFinancials($C11,"calculations",0,"TTM","nopatmargin"))</f>
        <v/>
      </c>
      <c r="S11" s="207" t="str">
        <f>IF($C11="","",[1]!IntrinioFinancials($C11,"calculations",0,"TTM","profitmargin"))</f>
        <v/>
      </c>
      <c r="T11" s="207"/>
      <c r="U11" s="206" t="str">
        <f>IF($C11="","",[1]!IntrinioFinancials($C11,"calculations",0,"TTM","revenuegrowth"))</f>
        <v/>
      </c>
      <c r="V11" s="207" t="str">
        <f>IF($C11="","",[1]!IntrinioFinancials($C11,"calculations",0,"TTM","revenueqoqgrowth"))</f>
        <v/>
      </c>
      <c r="W11" s="207" t="str">
        <f>IF($C11="","",[1]!IntrinioDataPoint($C11,"current_yr_ave_revenue_est")/[1]!IntrinioFinancials($C11,"income_statement",0,"FY","totalrevenue","A")-1)</f>
        <v/>
      </c>
      <c r="X11" s="208" t="str">
        <f>IF($C11="","",[1]!IntrinioDataPoint($C11,"next_yr_ave_revenue_est")/[1]!IntrinioDataPoint($C11,"current_yr_ave_revenue_est")-1)</f>
        <v/>
      </c>
      <c r="Y11" s="207" t="str">
        <f>IF($C11="","",[1]!IntrinioFinancials($C11,"calculations",0,"TTM","netincomegrowth"))</f>
        <v/>
      </c>
      <c r="Z11" s="207" t="str">
        <f>IF($C11="","",[1]!IntrinioFinancials($C11,"calculations",0,"TTM","netincomeqoqgrowth"))</f>
        <v/>
      </c>
      <c r="AA11" s="207" t="str">
        <f>[1]!IntrinioDataPoint($C11,"current_yr_ave_eps_growth_est")</f>
        <v/>
      </c>
      <c r="AB11" s="207" t="str">
        <f>[1]!IntrinioDataPoint($C11,"next_yr_ave_eps_growth_est")</f>
        <v/>
      </c>
      <c r="AC11" s="207" t="str">
        <f>[1]!IntrinioDataPoint($C11,"long_term_growth_rate")</f>
        <v/>
      </c>
      <c r="AD11" s="52"/>
      <c r="AG11" s="54"/>
    </row>
    <row r="12" spans="1:33" s="46" customFormat="1">
      <c r="A12" s="33"/>
      <c r="B12" s="146" t="str">
        <f>Info!A8</f>
        <v/>
      </c>
      <c r="C12" s="148" t="str">
        <f>IF(List!D8="","",List!D8)</f>
        <v/>
      </c>
      <c r="D12" s="259" t="str">
        <f>[1]!IntrinioDataPoint(C12,"close_price")</f>
        <v/>
      </c>
      <c r="E12" s="148" t="str">
        <f>[1]!IntrinioDataPoint(C12,"price_date")</f>
        <v/>
      </c>
      <c r="F12" s="148" t="str">
        <f>[1]!IntrinioDataPoint(C12,"price_time")</f>
        <v/>
      </c>
      <c r="G12" s="259" t="str">
        <f>[1]!IntrinioDataPoint($C12,"52_week_high")</f>
        <v/>
      </c>
      <c r="H12" s="259" t="str">
        <f>[1]!IntrinioDataPoint($C12,"52_week_low")</f>
        <v/>
      </c>
      <c r="I12" s="48"/>
      <c r="J12" s="49" t="str">
        <f>IF($C12="","",[1]!IntrinioFinancials($C12,"income_statement",0,"TTM","totalrevenue",rounding))</f>
        <v/>
      </c>
      <c r="K12" s="48" t="str">
        <f>IF($C12="","",[1]!IntrinioFinancials($C12,"income_statement",0,"TTM","totalgrossprofit",rounding))</f>
        <v/>
      </c>
      <c r="L12" s="48" t="str">
        <f>IF($C12="","",[1]!IntrinioFinancials($C12,"calculations",0,"TTM","ebit",rounding))</f>
        <v/>
      </c>
      <c r="M12" s="48" t="str">
        <f>IF($C12="","",[1]!IntrinioFinancials($C12,"calculations",0,"TTM","nopat",rounding))</f>
        <v/>
      </c>
      <c r="N12" s="48" t="str">
        <f>IF($C12="","",[1]!IntrinioFinancials($C12,"income_statement",0,"TTM","netincome",rounding))</f>
        <v/>
      </c>
      <c r="O12" s="50"/>
      <c r="P12" s="51" t="str">
        <f>IF($C12="","",[1]!IntrinioFinancials($C12,"calculations",0,"TTM","grossmargin"))</f>
        <v/>
      </c>
      <c r="Q12" s="45" t="str">
        <f>IF($C12="","",[1]!IntrinioFinancials($C12,"calculations",0,"TTM","ebitmargin"))</f>
        <v/>
      </c>
      <c r="R12" s="45" t="str">
        <f>IF($C12="","",[1]!IntrinioFinancials($C12,"calculations",0,"TTM","nopatmargin"))</f>
        <v/>
      </c>
      <c r="S12" s="45" t="str">
        <f>IF($C12="","",[1]!IntrinioFinancials($C12,"calculations",0,"TTM","profitmargin"))</f>
        <v/>
      </c>
      <c r="T12" s="45"/>
      <c r="U12" s="51" t="str">
        <f>IF($C12="","",[1]!IntrinioFinancials($C12,"calculations",0,"TTM","revenuegrowth"))</f>
        <v/>
      </c>
      <c r="V12" s="45" t="str">
        <f>IF($C12="","",[1]!IntrinioFinancials($C12,"calculations",0,"TTM","revenueqoqgrowth"))</f>
        <v/>
      </c>
      <c r="W12" s="45" t="str">
        <f>IF($C12="","",[1]!IntrinioDataPoint($C12,"current_yr_ave_revenue_est")/[1]!IntrinioFinancials($C12,"income_statement",0,"FY","totalrevenue","A")-1)</f>
        <v/>
      </c>
      <c r="X12" s="100" t="str">
        <f>IF($C12="","",[1]!IntrinioDataPoint($C12,"next_yr_ave_revenue_est")/[1]!IntrinioDataPoint($C12,"current_yr_ave_revenue_est")-1)</f>
        <v/>
      </c>
      <c r="Y12" s="45" t="str">
        <f>IF($C12="","",[1]!IntrinioFinancials($C12,"calculations",0,"TTM","netincomegrowth"))</f>
        <v/>
      </c>
      <c r="Z12" s="45" t="str">
        <f>IF($C12="","",[1]!IntrinioFinancials($C12,"calculations",0,"TTM","netincomeqoqgrowth"))</f>
        <v/>
      </c>
      <c r="AA12" s="45" t="str">
        <f>[1]!IntrinioDataPoint($C12,"current_yr_ave_eps_growth_est")</f>
        <v/>
      </c>
      <c r="AB12" s="45" t="str">
        <f>[1]!IntrinioDataPoint($C12,"next_yr_ave_eps_growth_est")</f>
        <v/>
      </c>
      <c r="AC12" s="45" t="str">
        <f>[1]!IntrinioDataPoint($C12,"long_term_growth_rate")</f>
        <v/>
      </c>
      <c r="AD12" s="52"/>
      <c r="AG12" s="54"/>
    </row>
    <row r="13" spans="1:33" s="46" customFormat="1">
      <c r="A13" s="33"/>
      <c r="B13" s="202" t="str">
        <f>Info!A9</f>
        <v/>
      </c>
      <c r="C13" s="227" t="str">
        <f>IF(List!D9="","",List!D9)</f>
        <v/>
      </c>
      <c r="D13" s="260" t="str">
        <f>[1]!IntrinioDataPoint(C13,"close_price")</f>
        <v/>
      </c>
      <c r="E13" s="227" t="str">
        <f>[1]!IntrinioDataPoint(C13,"price_date")</f>
        <v/>
      </c>
      <c r="F13" s="227" t="str">
        <f>[1]!IntrinioDataPoint(C13,"price_time")</f>
        <v/>
      </c>
      <c r="G13" s="260" t="str">
        <f>[1]!IntrinioDataPoint($C13,"52_week_high")</f>
        <v/>
      </c>
      <c r="H13" s="260" t="str">
        <f>[1]!IntrinioDataPoint($C13,"52_week_low")</f>
        <v/>
      </c>
      <c r="I13" s="203"/>
      <c r="J13" s="204" t="str">
        <f>IF($C13="","",[1]!IntrinioFinancials($C13,"income_statement",0,"TTM","totalrevenue",rounding))</f>
        <v/>
      </c>
      <c r="K13" s="203" t="str">
        <f>IF($C13="","",[1]!IntrinioFinancials($C13,"income_statement",0,"TTM","totalgrossprofit",rounding))</f>
        <v/>
      </c>
      <c r="L13" s="203" t="str">
        <f>IF($C13="","",[1]!IntrinioFinancials($C13,"calculations",0,"TTM","ebit",rounding))</f>
        <v/>
      </c>
      <c r="M13" s="203" t="str">
        <f>IF($C13="","",[1]!IntrinioFinancials($C13,"calculations",0,"TTM","nopat",rounding))</f>
        <v/>
      </c>
      <c r="N13" s="203" t="str">
        <f>IF($C13="","",[1]!IntrinioFinancials($C13,"income_statement",0,"TTM","netincome",rounding))</f>
        <v/>
      </c>
      <c r="O13" s="205"/>
      <c r="P13" s="206" t="str">
        <f>IF($C13="","",[1]!IntrinioFinancials($C13,"calculations",0,"TTM","grossmargin"))</f>
        <v/>
      </c>
      <c r="Q13" s="207" t="str">
        <f>IF($C13="","",[1]!IntrinioFinancials($C13,"calculations",0,"TTM","ebitmargin"))</f>
        <v/>
      </c>
      <c r="R13" s="207" t="str">
        <f>IF($C13="","",[1]!IntrinioFinancials($C13,"calculations",0,"TTM","nopatmargin"))</f>
        <v/>
      </c>
      <c r="S13" s="207" t="str">
        <f>IF($C13="","",[1]!IntrinioFinancials($C13,"calculations",0,"TTM","profitmargin"))</f>
        <v/>
      </c>
      <c r="T13" s="207"/>
      <c r="U13" s="206" t="str">
        <f>IF($C13="","",[1]!IntrinioFinancials($C13,"calculations",0,"TTM","revenuegrowth"))</f>
        <v/>
      </c>
      <c r="V13" s="207" t="str">
        <f>IF($C13="","",[1]!IntrinioFinancials($C13,"calculations",0,"TTM","revenueqoqgrowth"))</f>
        <v/>
      </c>
      <c r="W13" s="207" t="str">
        <f>IF($C13="","",[1]!IntrinioDataPoint($C13,"current_yr_ave_revenue_est")/[1]!IntrinioFinancials($C13,"income_statement",0,"FY","totalrevenue","A")-1)</f>
        <v/>
      </c>
      <c r="X13" s="208" t="str">
        <f>IF($C13="","",[1]!IntrinioDataPoint($C13,"next_yr_ave_revenue_est")/[1]!IntrinioDataPoint($C13,"current_yr_ave_revenue_est")-1)</f>
        <v/>
      </c>
      <c r="Y13" s="207" t="str">
        <f>IF($C13="","",[1]!IntrinioFinancials($C13,"calculations",0,"TTM","netincomegrowth"))</f>
        <v/>
      </c>
      <c r="Z13" s="207" t="str">
        <f>IF($C13="","",[1]!IntrinioFinancials($C13,"calculations",0,"TTM","netincomeqoqgrowth"))</f>
        <v/>
      </c>
      <c r="AA13" s="207" t="str">
        <f>[1]!IntrinioDataPoint($C13,"current_yr_ave_eps_growth_est")</f>
        <v/>
      </c>
      <c r="AB13" s="207" t="str">
        <f>[1]!IntrinioDataPoint($C13,"next_yr_ave_eps_growth_est")</f>
        <v/>
      </c>
      <c r="AC13" s="207" t="str">
        <f>[1]!IntrinioDataPoint($C13,"long_term_growth_rate")</f>
        <v/>
      </c>
      <c r="AD13" s="52"/>
      <c r="AG13" s="54"/>
    </row>
    <row r="14" spans="1:33" s="46" customFormat="1">
      <c r="A14" s="33"/>
      <c r="B14" s="146" t="str">
        <f>Info!A10</f>
        <v/>
      </c>
      <c r="C14" s="148" t="str">
        <f>IF(List!D10="","",List!D10)</f>
        <v/>
      </c>
      <c r="D14" s="259" t="str">
        <f>[1]!IntrinioDataPoint(C14,"close_price")</f>
        <v/>
      </c>
      <c r="E14" s="148" t="str">
        <f>[1]!IntrinioDataPoint(C14,"price_date")</f>
        <v/>
      </c>
      <c r="F14" s="148" t="str">
        <f>[1]!IntrinioDataPoint(C14,"price_time")</f>
        <v/>
      </c>
      <c r="G14" s="259" t="str">
        <f>[1]!IntrinioDataPoint($C14,"52_week_high")</f>
        <v/>
      </c>
      <c r="H14" s="259" t="str">
        <f>[1]!IntrinioDataPoint($C14,"52_week_low")</f>
        <v/>
      </c>
      <c r="I14" s="48"/>
      <c r="J14" s="49" t="str">
        <f>IF($C14="","",[1]!IntrinioFinancials($C14,"income_statement",0,"TTM","totalrevenue",rounding))</f>
        <v/>
      </c>
      <c r="K14" s="48" t="str">
        <f>IF($C14="","",[1]!IntrinioFinancials($C14,"income_statement",0,"TTM","totalgrossprofit",rounding))</f>
        <v/>
      </c>
      <c r="L14" s="48" t="str">
        <f>IF($C14="","",[1]!IntrinioFinancials($C14,"calculations",0,"TTM","ebit",rounding))</f>
        <v/>
      </c>
      <c r="M14" s="48" t="str">
        <f>IF($C14="","",[1]!IntrinioFinancials($C14,"calculations",0,"TTM","nopat",rounding))</f>
        <v/>
      </c>
      <c r="N14" s="48" t="str">
        <f>IF($C14="","",[1]!IntrinioFinancials($C14,"income_statement",0,"TTM","netincome",rounding))</f>
        <v/>
      </c>
      <c r="O14" s="50"/>
      <c r="P14" s="51" t="str">
        <f>IF($C14="","",[1]!IntrinioFinancials($C14,"calculations",0,"TTM","grossmargin"))</f>
        <v/>
      </c>
      <c r="Q14" s="45" t="str">
        <f>IF($C14="","",[1]!IntrinioFinancials($C14,"calculations",0,"TTM","ebitmargin"))</f>
        <v/>
      </c>
      <c r="R14" s="45" t="str">
        <f>IF($C14="","",[1]!IntrinioFinancials($C14,"calculations",0,"TTM","nopatmargin"))</f>
        <v/>
      </c>
      <c r="S14" s="45" t="str">
        <f>IF($C14="","",[1]!IntrinioFinancials($C14,"calculations",0,"TTM","profitmargin"))</f>
        <v/>
      </c>
      <c r="T14" s="45"/>
      <c r="U14" s="51" t="str">
        <f>IF($C14="","",[1]!IntrinioFinancials($C14,"calculations",0,"TTM","revenuegrowth"))</f>
        <v/>
      </c>
      <c r="V14" s="45" t="str">
        <f>IF($C14="","",[1]!IntrinioFinancials($C14,"calculations",0,"TTM","revenueqoqgrowth"))</f>
        <v/>
      </c>
      <c r="W14" s="45" t="str">
        <f>IF($C14="","",[1]!IntrinioDataPoint($C14,"current_yr_ave_revenue_est")/[1]!IntrinioFinancials($C14,"income_statement",0,"FY","totalrevenue","A")-1)</f>
        <v/>
      </c>
      <c r="X14" s="100" t="str">
        <f>IF($C14="","",[1]!IntrinioDataPoint($C14,"next_yr_ave_revenue_est")/[1]!IntrinioDataPoint($C14,"current_yr_ave_revenue_est")-1)</f>
        <v/>
      </c>
      <c r="Y14" s="45" t="str">
        <f>IF($C14="","",[1]!IntrinioFinancials($C14,"calculations",0,"TTM","netincomegrowth"))</f>
        <v/>
      </c>
      <c r="Z14" s="45" t="str">
        <f>IF($C14="","",[1]!IntrinioFinancials($C14,"calculations",0,"TTM","netincomeqoqgrowth"))</f>
        <v/>
      </c>
      <c r="AA14" s="45" t="str">
        <f>[1]!IntrinioDataPoint($C14,"current_yr_ave_eps_growth_est")</f>
        <v/>
      </c>
      <c r="AB14" s="45" t="str">
        <f>[1]!IntrinioDataPoint($C14,"next_yr_ave_eps_growth_est")</f>
        <v/>
      </c>
      <c r="AC14" s="45" t="str">
        <f>[1]!IntrinioDataPoint($C14,"long_term_growth_rate")</f>
        <v/>
      </c>
      <c r="AD14" s="52"/>
      <c r="AG14" s="54"/>
    </row>
    <row r="15" spans="1:33" s="46" customFormat="1" ht="12.75" hidden="1" customHeight="1" outlineLevel="1">
      <c r="A15" s="33"/>
      <c r="B15" s="202" t="str">
        <f>Info!A11</f>
        <v/>
      </c>
      <c r="C15" s="227" t="str">
        <f>IF(List!D11="","",List!D11)</f>
        <v/>
      </c>
      <c r="D15" s="260" t="str">
        <f>[1]!IntrinioDataPoint(C15,"close_price")</f>
        <v/>
      </c>
      <c r="E15" s="227" t="str">
        <f>[1]!IntrinioDataPoint(C15,"price_date")</f>
        <v/>
      </c>
      <c r="F15" s="227" t="str">
        <f>[1]!IntrinioDataPoint(C15,"price_time")</f>
        <v/>
      </c>
      <c r="G15" s="260" t="str">
        <f>[1]!IntrinioDataPoint($C15,"52_week_high")</f>
        <v/>
      </c>
      <c r="H15" s="260" t="str">
        <f>[1]!IntrinioDataPoint($C15,"52_week_low")</f>
        <v/>
      </c>
      <c r="I15" s="203"/>
      <c r="J15" s="204" t="str">
        <f>IF($C15="","",[1]!IntrinioFinancials($C15,"income_statement",0,"TTM","totalrevenue",rounding))</f>
        <v/>
      </c>
      <c r="K15" s="203" t="str">
        <f>IF($C15="","",[1]!IntrinioFinancials($C15,"income_statement",0,"TTM","totalgrossprofit",rounding))</f>
        <v/>
      </c>
      <c r="L15" s="203" t="str">
        <f>IF($C15="","",[1]!IntrinioFinancials($C15,"calculations",0,"TTM","ebit",rounding))</f>
        <v/>
      </c>
      <c r="M15" s="203" t="str">
        <f>IF($C15="","",[1]!IntrinioFinancials($C15,"calculations",0,"TTM","nopat",rounding))</f>
        <v/>
      </c>
      <c r="N15" s="203" t="str">
        <f>IF($C15="","",[1]!IntrinioFinancials($C15,"income_statement",0,"TTM","netincome",rounding))</f>
        <v/>
      </c>
      <c r="O15" s="205"/>
      <c r="P15" s="206" t="str">
        <f>IF($C15="","",[1]!IntrinioFinancials($C15,"calculations",0,"TTM","grossmargin"))</f>
        <v/>
      </c>
      <c r="Q15" s="207" t="str">
        <f>IF($C15="","",[1]!IntrinioFinancials($C15,"calculations",0,"TTM","ebitmargin"))</f>
        <v/>
      </c>
      <c r="R15" s="207" t="str">
        <f>IF($C15="","",[1]!IntrinioFinancials($C15,"calculations",0,"TTM","nopatmargin"))</f>
        <v/>
      </c>
      <c r="S15" s="207" t="str">
        <f>IF($C15="","",[1]!IntrinioFinancials($C15,"calculations",0,"TTM","profitmargin"))</f>
        <v/>
      </c>
      <c r="T15" s="207"/>
      <c r="U15" s="206" t="str">
        <f>IF($C15="","",[1]!IntrinioFinancials($C15,"calculations",0,"TTM","revenuegrowth"))</f>
        <v/>
      </c>
      <c r="V15" s="207" t="str">
        <f>IF($C15="","",[1]!IntrinioFinancials($C15,"calculations",0,"TTM","revenueqoqgrowth"))</f>
        <v/>
      </c>
      <c r="W15" s="207" t="str">
        <f>IF($C15="","",[1]!IntrinioDataPoint($C15,"current_yr_ave_revenue_est")/[1]!IntrinioFinancials($C15,"income_statement",0,"FY","totalrevenue","A")-1)</f>
        <v/>
      </c>
      <c r="X15" s="208" t="str">
        <f>IF($C15="","",[1]!IntrinioDataPoint($C15,"next_yr_ave_revenue_est")/[1]!IntrinioDataPoint($C15,"current_yr_ave_revenue_est")-1)</f>
        <v/>
      </c>
      <c r="Y15" s="207" t="str">
        <f>IF($C15="","",[1]!IntrinioFinancials($C15,"calculations",0,"TTM","netincomegrowth"))</f>
        <v/>
      </c>
      <c r="Z15" s="207" t="str">
        <f>IF($C15="","",[1]!IntrinioFinancials($C15,"calculations",0,"TTM","netincomeqoqgrowth"))</f>
        <v/>
      </c>
      <c r="AA15" s="207" t="str">
        <f>[1]!IntrinioDataPoint($C15,"current_yr_ave_eps_growth_est")</f>
        <v/>
      </c>
      <c r="AB15" s="207" t="str">
        <f>[1]!IntrinioDataPoint($C15,"next_yr_ave_eps_growth_est")</f>
        <v/>
      </c>
      <c r="AC15" s="207" t="str">
        <f>[1]!IntrinioDataPoint($C15,"long_term_growth_rate")</f>
        <v/>
      </c>
      <c r="AD15" s="52"/>
      <c r="AG15" s="54"/>
    </row>
    <row r="16" spans="1:33" s="46" customFormat="1" ht="12.75" hidden="1" customHeight="1" outlineLevel="1">
      <c r="A16" s="33"/>
      <c r="B16" s="146" t="str">
        <f>Info!A12</f>
        <v/>
      </c>
      <c r="C16" s="148" t="str">
        <f>IF(List!D12="","",List!D12)</f>
        <v/>
      </c>
      <c r="D16" s="259" t="str">
        <f>[1]!IntrinioDataPoint(C16,"close_price")</f>
        <v/>
      </c>
      <c r="E16" s="148" t="str">
        <f>[1]!IntrinioDataPoint(C16,"price_date")</f>
        <v/>
      </c>
      <c r="F16" s="148" t="str">
        <f>[1]!IntrinioDataPoint(C16,"price_time")</f>
        <v/>
      </c>
      <c r="G16" s="259" t="str">
        <f>[1]!IntrinioDataPoint($C16,"52_week_high")</f>
        <v/>
      </c>
      <c r="H16" s="259" t="str">
        <f>[1]!IntrinioDataPoint($C16,"52_week_low")</f>
        <v/>
      </c>
      <c r="I16" s="48"/>
      <c r="J16" s="49" t="str">
        <f>IF($C16="","",[1]!IntrinioFinancials($C16,"income_statement",0,"TTM","totalrevenue",rounding))</f>
        <v/>
      </c>
      <c r="K16" s="48" t="str">
        <f>IF($C16="","",[1]!IntrinioFinancials($C16,"income_statement",0,"TTM","totalgrossprofit",rounding))</f>
        <v/>
      </c>
      <c r="L16" s="48" t="str">
        <f>IF($C16="","",[1]!IntrinioFinancials($C16,"calculations",0,"TTM","ebit",rounding))</f>
        <v/>
      </c>
      <c r="M16" s="48" t="str">
        <f>IF($C16="","",[1]!IntrinioFinancials($C16,"calculations",0,"TTM","nopat",rounding))</f>
        <v/>
      </c>
      <c r="N16" s="48" t="str">
        <f>IF($C16="","",[1]!IntrinioFinancials($C16,"income_statement",0,"TTM","netincome",rounding))</f>
        <v/>
      </c>
      <c r="O16" s="50"/>
      <c r="P16" s="51" t="str">
        <f>IF($C16="","",[1]!IntrinioFinancials($C16,"calculations",0,"TTM","grossmargin"))</f>
        <v/>
      </c>
      <c r="Q16" s="45" t="str">
        <f>IF($C16="","",[1]!IntrinioFinancials($C16,"calculations",0,"TTM","ebitmargin"))</f>
        <v/>
      </c>
      <c r="R16" s="45" t="str">
        <f>IF($C16="","",[1]!IntrinioFinancials($C16,"calculations",0,"TTM","nopatmargin"))</f>
        <v/>
      </c>
      <c r="S16" s="45" t="str">
        <f>IF($C16="","",[1]!IntrinioFinancials($C16,"calculations",0,"TTM","profitmargin"))</f>
        <v/>
      </c>
      <c r="T16" s="45"/>
      <c r="U16" s="51" t="str">
        <f>IF($C16="","",[1]!IntrinioFinancials($C16,"calculations",0,"TTM","revenuegrowth"))</f>
        <v/>
      </c>
      <c r="V16" s="45" t="str">
        <f>IF($C16="","",[1]!IntrinioFinancials($C16,"calculations",0,"TTM","revenueqoqgrowth"))</f>
        <v/>
      </c>
      <c r="W16" s="45" t="str">
        <f>IF($C16="","",[1]!IntrinioDataPoint($C16,"current_yr_ave_revenue_est")/[1]!IntrinioFinancials($C16,"income_statement",0,"FY","totalrevenue","A")-1)</f>
        <v/>
      </c>
      <c r="X16" s="100" t="str">
        <f>IF($C16="","",[1]!IntrinioDataPoint($C16,"next_yr_ave_revenue_est")/[1]!IntrinioDataPoint($C16,"current_yr_ave_revenue_est")-1)</f>
        <v/>
      </c>
      <c r="Y16" s="45" t="str">
        <f>IF($C16="","",[1]!IntrinioFinancials($C16,"calculations",0,"TTM","netincomegrowth"))</f>
        <v/>
      </c>
      <c r="Z16" s="45" t="str">
        <f>IF($C16="","",[1]!IntrinioFinancials($C16,"calculations",0,"TTM","netincomeqoqgrowth"))</f>
        <v/>
      </c>
      <c r="AA16" s="45" t="str">
        <f>[1]!IntrinioDataPoint($C16,"current_yr_ave_eps_growth_est")</f>
        <v/>
      </c>
      <c r="AB16" s="45" t="str">
        <f>[1]!IntrinioDataPoint($C16,"next_yr_ave_eps_growth_est")</f>
        <v/>
      </c>
      <c r="AC16" s="45" t="str">
        <f>[1]!IntrinioDataPoint($C16,"long_term_growth_rate")</f>
        <v/>
      </c>
      <c r="AD16" s="52"/>
      <c r="AG16" s="54"/>
    </row>
    <row r="17" spans="1:33" s="46" customFormat="1" ht="12.75" hidden="1" customHeight="1" outlineLevel="1">
      <c r="A17" s="33"/>
      <c r="B17" s="202" t="str">
        <f>Info!A13</f>
        <v/>
      </c>
      <c r="C17" s="227" t="str">
        <f>IF(List!D13="","",List!D13)</f>
        <v/>
      </c>
      <c r="D17" s="260" t="str">
        <f>[1]!IntrinioDataPoint(C17,"close_price")</f>
        <v/>
      </c>
      <c r="E17" s="227" t="str">
        <f>[1]!IntrinioDataPoint(C17,"price_date")</f>
        <v/>
      </c>
      <c r="F17" s="227" t="str">
        <f>[1]!IntrinioDataPoint(C17,"price_time")</f>
        <v/>
      </c>
      <c r="G17" s="260" t="str">
        <f>[1]!IntrinioDataPoint($C17,"52_week_high")</f>
        <v/>
      </c>
      <c r="H17" s="260" t="str">
        <f>[1]!IntrinioDataPoint($C17,"52_week_low")</f>
        <v/>
      </c>
      <c r="I17" s="203"/>
      <c r="J17" s="204" t="str">
        <f>IF($C17="","",[1]!IntrinioFinancials($C17,"income_statement",0,"TTM","totalrevenue",rounding))</f>
        <v/>
      </c>
      <c r="K17" s="203" t="str">
        <f>IF($C17="","",[1]!IntrinioFinancials($C17,"income_statement",0,"TTM","totalgrossprofit",rounding))</f>
        <v/>
      </c>
      <c r="L17" s="203" t="str">
        <f>IF($C17="","",[1]!IntrinioFinancials($C17,"calculations",0,"TTM","ebit",rounding))</f>
        <v/>
      </c>
      <c r="M17" s="203" t="str">
        <f>IF($C17="","",[1]!IntrinioFinancials($C17,"calculations",0,"TTM","nopat",rounding))</f>
        <v/>
      </c>
      <c r="N17" s="203" t="str">
        <f>IF($C17="","",[1]!IntrinioFinancials($C17,"income_statement",0,"TTM","netincome",rounding))</f>
        <v/>
      </c>
      <c r="O17" s="205"/>
      <c r="P17" s="206" t="str">
        <f>IF($C17="","",[1]!IntrinioFinancials($C17,"calculations",0,"TTM","grossmargin"))</f>
        <v/>
      </c>
      <c r="Q17" s="207" t="str">
        <f>IF($C17="","",[1]!IntrinioFinancials($C17,"calculations",0,"TTM","ebitmargin"))</f>
        <v/>
      </c>
      <c r="R17" s="207" t="str">
        <f>IF($C17="","",[1]!IntrinioFinancials($C17,"calculations",0,"TTM","nopatmargin"))</f>
        <v/>
      </c>
      <c r="S17" s="207" t="str">
        <f>IF($C17="","",[1]!IntrinioFinancials($C17,"calculations",0,"TTM","profitmargin"))</f>
        <v/>
      </c>
      <c r="T17" s="207"/>
      <c r="U17" s="206" t="str">
        <f>IF($C17="","",[1]!IntrinioFinancials($C17,"calculations",0,"TTM","revenuegrowth"))</f>
        <v/>
      </c>
      <c r="V17" s="207" t="str">
        <f>IF($C17="","",[1]!IntrinioFinancials($C17,"calculations",0,"TTM","revenueqoqgrowth"))</f>
        <v/>
      </c>
      <c r="W17" s="207" t="str">
        <f>IF($C17="","",[1]!IntrinioDataPoint($C17,"current_yr_ave_revenue_est")/[1]!IntrinioFinancials($C17,"income_statement",0,"FY","totalrevenue","A")-1)</f>
        <v/>
      </c>
      <c r="X17" s="208" t="str">
        <f>IF($C17="","",[1]!IntrinioDataPoint($C17,"next_yr_ave_revenue_est")/[1]!IntrinioDataPoint($C17,"current_yr_ave_revenue_est")-1)</f>
        <v/>
      </c>
      <c r="Y17" s="207" t="str">
        <f>IF($C17="","",[1]!IntrinioFinancials($C17,"calculations",0,"TTM","netincomegrowth"))</f>
        <v/>
      </c>
      <c r="Z17" s="207" t="str">
        <f>IF($C17="","",[1]!IntrinioFinancials($C17,"calculations",0,"TTM","netincomeqoqgrowth"))</f>
        <v/>
      </c>
      <c r="AA17" s="207" t="str">
        <f>[1]!IntrinioDataPoint($C17,"current_yr_ave_eps_growth_est")</f>
        <v/>
      </c>
      <c r="AB17" s="207" t="str">
        <f>[1]!IntrinioDataPoint($C17,"next_yr_ave_eps_growth_est")</f>
        <v/>
      </c>
      <c r="AC17" s="207" t="str">
        <f>[1]!IntrinioDataPoint($C17,"long_term_growth_rate")</f>
        <v/>
      </c>
      <c r="AD17" s="52"/>
      <c r="AG17" s="54"/>
    </row>
    <row r="18" spans="1:33" s="46" customFormat="1" ht="12.75" hidden="1" customHeight="1" outlineLevel="1">
      <c r="A18" s="33"/>
      <c r="B18" s="146" t="str">
        <f>Info!A14</f>
        <v/>
      </c>
      <c r="C18" s="148" t="str">
        <f>IF(List!D14="","",List!D14)</f>
        <v/>
      </c>
      <c r="D18" s="259" t="str">
        <f>[1]!IntrinioDataPoint(C18,"close_price")</f>
        <v/>
      </c>
      <c r="E18" s="148" t="str">
        <f>[1]!IntrinioDataPoint(C18,"price_date")</f>
        <v/>
      </c>
      <c r="F18" s="148" t="str">
        <f>[1]!IntrinioDataPoint(C18,"price_time")</f>
        <v/>
      </c>
      <c r="G18" s="259" t="str">
        <f>[1]!IntrinioDataPoint($C18,"52_week_high")</f>
        <v/>
      </c>
      <c r="H18" s="259" t="str">
        <f>[1]!IntrinioDataPoint($C18,"52_week_low")</f>
        <v/>
      </c>
      <c r="I18" s="48"/>
      <c r="J18" s="49" t="str">
        <f>IF($C18="","",[1]!IntrinioFinancials($C18,"income_statement",0,"TTM","totalrevenue",rounding))</f>
        <v/>
      </c>
      <c r="K18" s="48" t="str">
        <f>IF($C18="","",[1]!IntrinioFinancials($C18,"income_statement",0,"TTM","totalgrossprofit",rounding))</f>
        <v/>
      </c>
      <c r="L18" s="48" t="str">
        <f>IF($C18="","",[1]!IntrinioFinancials($C18,"calculations",0,"TTM","ebit",rounding))</f>
        <v/>
      </c>
      <c r="M18" s="48" t="str">
        <f>IF($C18="","",[1]!IntrinioFinancials($C18,"calculations",0,"TTM","nopat",rounding))</f>
        <v/>
      </c>
      <c r="N18" s="48" t="str">
        <f>IF($C18="","",[1]!IntrinioFinancials($C18,"income_statement",0,"TTM","netincome",rounding))</f>
        <v/>
      </c>
      <c r="O18" s="50"/>
      <c r="P18" s="51" t="str">
        <f>IF($C18="","",[1]!IntrinioFinancials($C18,"calculations",0,"TTM","grossmargin"))</f>
        <v/>
      </c>
      <c r="Q18" s="45" t="str">
        <f>IF($C18="","",[1]!IntrinioFinancials($C18,"calculations",0,"TTM","ebitmargin"))</f>
        <v/>
      </c>
      <c r="R18" s="45" t="str">
        <f>IF($C18="","",[1]!IntrinioFinancials($C18,"calculations",0,"TTM","nopatmargin"))</f>
        <v/>
      </c>
      <c r="S18" s="45" t="str">
        <f>IF($C18="","",[1]!IntrinioFinancials($C18,"calculations",0,"TTM","profitmargin"))</f>
        <v/>
      </c>
      <c r="T18" s="45"/>
      <c r="U18" s="51" t="str">
        <f>IF($C18="","",[1]!IntrinioFinancials($C18,"calculations",0,"TTM","revenuegrowth"))</f>
        <v/>
      </c>
      <c r="V18" s="45" t="str">
        <f>IF($C18="","",[1]!IntrinioFinancials($C18,"calculations",0,"TTM","revenueqoqgrowth"))</f>
        <v/>
      </c>
      <c r="W18" s="45" t="str">
        <f>IF($C18="","",[1]!IntrinioDataPoint($C18,"current_yr_ave_revenue_est")/[1]!IntrinioFinancials($C18,"income_statement",0,"FY","totalrevenue","A")-1)</f>
        <v/>
      </c>
      <c r="X18" s="100" t="str">
        <f>IF($C18="","",[1]!IntrinioDataPoint($C18,"next_yr_ave_revenue_est")/[1]!IntrinioDataPoint($C18,"current_yr_ave_revenue_est")-1)</f>
        <v/>
      </c>
      <c r="Y18" s="45" t="str">
        <f>IF($C18="","",[1]!IntrinioFinancials($C18,"calculations",0,"TTM","netincomegrowth"))</f>
        <v/>
      </c>
      <c r="Z18" s="45" t="str">
        <f>IF($C18="","",[1]!IntrinioFinancials($C18,"calculations",0,"TTM","netincomeqoqgrowth"))</f>
        <v/>
      </c>
      <c r="AA18" s="45" t="str">
        <f>[1]!IntrinioDataPoint($C18,"current_yr_ave_eps_growth_est")</f>
        <v/>
      </c>
      <c r="AB18" s="45" t="str">
        <f>[1]!IntrinioDataPoint($C18,"next_yr_ave_eps_growth_est")</f>
        <v/>
      </c>
      <c r="AC18" s="45" t="str">
        <f>[1]!IntrinioDataPoint($C18,"long_term_growth_rate")</f>
        <v/>
      </c>
      <c r="AD18" s="52"/>
      <c r="AG18" s="54"/>
    </row>
    <row r="19" spans="1:33" s="46" customFormat="1" ht="12.75" hidden="1" customHeight="1" outlineLevel="1">
      <c r="A19" s="33"/>
      <c r="B19" s="202" t="str">
        <f>Info!A15</f>
        <v/>
      </c>
      <c r="C19" s="227" t="str">
        <f>IF(List!D15="","",List!D15)</f>
        <v/>
      </c>
      <c r="D19" s="260" t="str">
        <f>[1]!IntrinioDataPoint(C19,"close_price")</f>
        <v/>
      </c>
      <c r="E19" s="227" t="str">
        <f>[1]!IntrinioDataPoint(C19,"price_date")</f>
        <v/>
      </c>
      <c r="F19" s="227" t="str">
        <f>[1]!IntrinioDataPoint(C19,"price_time")</f>
        <v/>
      </c>
      <c r="G19" s="260" t="str">
        <f>[1]!IntrinioDataPoint($C19,"52_week_high")</f>
        <v/>
      </c>
      <c r="H19" s="260" t="str">
        <f>[1]!IntrinioDataPoint($C19,"52_week_low")</f>
        <v/>
      </c>
      <c r="I19" s="203"/>
      <c r="J19" s="204" t="str">
        <f>IF($C19="","",[1]!IntrinioFinancials($C19,"income_statement",0,"TTM","totalrevenue",rounding))</f>
        <v/>
      </c>
      <c r="K19" s="203" t="str">
        <f>IF($C19="","",[1]!IntrinioFinancials($C19,"income_statement",0,"TTM","totalgrossprofit",rounding))</f>
        <v/>
      </c>
      <c r="L19" s="203" t="str">
        <f>IF($C19="","",[1]!IntrinioFinancials($C19,"calculations",0,"TTM","ebit",rounding))</f>
        <v/>
      </c>
      <c r="M19" s="203" t="str">
        <f>IF($C19="","",[1]!IntrinioFinancials($C19,"calculations",0,"TTM","nopat",rounding))</f>
        <v/>
      </c>
      <c r="N19" s="203" t="str">
        <f>IF($C19="","",[1]!IntrinioFinancials($C19,"income_statement",0,"TTM","netincome",rounding))</f>
        <v/>
      </c>
      <c r="O19" s="205"/>
      <c r="P19" s="206" t="str">
        <f>IF($C19="","",[1]!IntrinioFinancials($C19,"calculations",0,"TTM","grossmargin"))</f>
        <v/>
      </c>
      <c r="Q19" s="207" t="str">
        <f>IF($C19="","",[1]!IntrinioFinancials($C19,"calculations",0,"TTM","ebitmargin"))</f>
        <v/>
      </c>
      <c r="R19" s="207" t="str">
        <f>IF($C19="","",[1]!IntrinioFinancials($C19,"calculations",0,"TTM","nopatmargin"))</f>
        <v/>
      </c>
      <c r="S19" s="207" t="str">
        <f>IF($C19="","",[1]!IntrinioFinancials($C19,"calculations",0,"TTM","profitmargin"))</f>
        <v/>
      </c>
      <c r="T19" s="207"/>
      <c r="U19" s="206" t="str">
        <f>IF($C19="","",[1]!IntrinioFinancials($C19,"calculations",0,"TTM","revenuegrowth"))</f>
        <v/>
      </c>
      <c r="V19" s="207" t="str">
        <f>IF($C19="","",[1]!IntrinioFinancials($C19,"calculations",0,"TTM","revenueqoqgrowth"))</f>
        <v/>
      </c>
      <c r="W19" s="207" t="str">
        <f>IF($C19="","",[1]!IntrinioDataPoint($C19,"current_yr_ave_revenue_est")/[1]!IntrinioFinancials($C19,"income_statement",0,"FY","totalrevenue","A")-1)</f>
        <v/>
      </c>
      <c r="X19" s="208" t="str">
        <f>IF($C19="","",[1]!IntrinioDataPoint($C19,"next_yr_ave_revenue_est")/[1]!IntrinioDataPoint($C19,"current_yr_ave_revenue_est")-1)</f>
        <v/>
      </c>
      <c r="Y19" s="207" t="str">
        <f>IF($C19="","",[1]!IntrinioFinancials($C19,"calculations",0,"TTM","netincomegrowth"))</f>
        <v/>
      </c>
      <c r="Z19" s="207" t="str">
        <f>IF($C19="","",[1]!IntrinioFinancials($C19,"calculations",0,"TTM","netincomeqoqgrowth"))</f>
        <v/>
      </c>
      <c r="AA19" s="207" t="str">
        <f>[1]!IntrinioDataPoint($C19,"current_yr_ave_eps_growth_est")</f>
        <v/>
      </c>
      <c r="AB19" s="207" t="str">
        <f>[1]!IntrinioDataPoint($C19,"next_yr_ave_eps_growth_est")</f>
        <v/>
      </c>
      <c r="AC19" s="207" t="str">
        <f>[1]!IntrinioDataPoint($C19,"long_term_growth_rate")</f>
        <v/>
      </c>
      <c r="AD19" s="52"/>
      <c r="AG19" s="54"/>
    </row>
    <row r="20" spans="1:33" s="46" customFormat="1" ht="12.75" hidden="1" customHeight="1" outlineLevel="1">
      <c r="A20" s="33"/>
      <c r="B20" s="146" t="str">
        <f>Info!A16</f>
        <v/>
      </c>
      <c r="C20" s="148" t="str">
        <f>IF(List!D16="","",List!D16)</f>
        <v/>
      </c>
      <c r="D20" s="259" t="str">
        <f>[1]!IntrinioDataPoint(C20,"close_price")</f>
        <v/>
      </c>
      <c r="E20" s="148" t="str">
        <f>[1]!IntrinioDataPoint(C20,"price_date")</f>
        <v/>
      </c>
      <c r="F20" s="148" t="str">
        <f>[1]!IntrinioDataPoint(C20,"price_time")</f>
        <v/>
      </c>
      <c r="G20" s="259" t="str">
        <f>[1]!IntrinioDataPoint($C20,"52_week_high")</f>
        <v/>
      </c>
      <c r="H20" s="259" t="str">
        <f>[1]!IntrinioDataPoint($C20,"52_week_low")</f>
        <v/>
      </c>
      <c r="I20" s="48"/>
      <c r="J20" s="49" t="str">
        <f>IF($C20="","",[1]!IntrinioFinancials($C20,"income_statement",0,"TTM","totalrevenue",rounding))</f>
        <v/>
      </c>
      <c r="K20" s="48" t="str">
        <f>IF($C20="","",[1]!IntrinioFinancials($C20,"income_statement",0,"TTM","totalgrossprofit",rounding))</f>
        <v/>
      </c>
      <c r="L20" s="48" t="str">
        <f>IF($C20="","",[1]!IntrinioFinancials($C20,"calculations",0,"TTM","ebit",rounding))</f>
        <v/>
      </c>
      <c r="M20" s="48" t="str">
        <f>IF($C20="","",[1]!IntrinioFinancials($C20,"calculations",0,"TTM","nopat",rounding))</f>
        <v/>
      </c>
      <c r="N20" s="48" t="str">
        <f>IF($C20="","",[1]!IntrinioFinancials($C20,"income_statement",0,"TTM","netincome",rounding))</f>
        <v/>
      </c>
      <c r="O20" s="50"/>
      <c r="P20" s="51" t="str">
        <f>IF($C20="","",[1]!IntrinioFinancials($C20,"calculations",0,"TTM","grossmargin"))</f>
        <v/>
      </c>
      <c r="Q20" s="45" t="str">
        <f>IF($C20="","",[1]!IntrinioFinancials($C20,"calculations",0,"TTM","ebitmargin"))</f>
        <v/>
      </c>
      <c r="R20" s="45" t="str">
        <f>IF($C20="","",[1]!IntrinioFinancials($C20,"calculations",0,"TTM","nopatmargin"))</f>
        <v/>
      </c>
      <c r="S20" s="45" t="str">
        <f>IF($C20="","",[1]!IntrinioFinancials($C20,"calculations",0,"TTM","profitmargin"))</f>
        <v/>
      </c>
      <c r="T20" s="45"/>
      <c r="U20" s="51" t="str">
        <f>IF($C20="","",[1]!IntrinioFinancials($C20,"calculations",0,"TTM","revenuegrowth"))</f>
        <v/>
      </c>
      <c r="V20" s="45" t="str">
        <f>IF($C20="","",[1]!IntrinioFinancials($C20,"calculations",0,"TTM","revenueqoqgrowth"))</f>
        <v/>
      </c>
      <c r="W20" s="45" t="str">
        <f>IF($C20="","",[1]!IntrinioDataPoint($C20,"current_yr_ave_revenue_est")/[1]!IntrinioFinancials($C20,"income_statement",0,"FY","totalrevenue","A")-1)</f>
        <v/>
      </c>
      <c r="X20" s="100" t="str">
        <f>IF($C20="","",[1]!IntrinioDataPoint($C20,"next_yr_ave_revenue_est")/[1]!IntrinioDataPoint($C20,"current_yr_ave_revenue_est")-1)</f>
        <v/>
      </c>
      <c r="Y20" s="45" t="str">
        <f>IF($C20="","",[1]!IntrinioFinancials($C20,"calculations",0,"TTM","netincomegrowth"))</f>
        <v/>
      </c>
      <c r="Z20" s="45" t="str">
        <f>IF($C20="","",[1]!IntrinioFinancials($C20,"calculations",0,"TTM","netincomeqoqgrowth"))</f>
        <v/>
      </c>
      <c r="AA20" s="45" t="str">
        <f>[1]!IntrinioDataPoint($C20,"current_yr_ave_eps_growth_est")</f>
        <v/>
      </c>
      <c r="AB20" s="45" t="str">
        <f>[1]!IntrinioDataPoint($C20,"next_yr_ave_eps_growth_est")</f>
        <v/>
      </c>
      <c r="AC20" s="45" t="str">
        <f>[1]!IntrinioDataPoint($C20,"long_term_growth_rate")</f>
        <v/>
      </c>
      <c r="AD20" s="52"/>
      <c r="AG20" s="54"/>
    </row>
    <row r="21" spans="1:33" s="46" customFormat="1" ht="12.75" hidden="1" customHeight="1" outlineLevel="1">
      <c r="A21" s="33"/>
      <c r="B21" s="202" t="str">
        <f>Info!A17</f>
        <v/>
      </c>
      <c r="C21" s="227" t="str">
        <f>IF(List!D17="","",List!D17)</f>
        <v/>
      </c>
      <c r="D21" s="260" t="str">
        <f>[1]!IntrinioDataPoint(C21,"close_price")</f>
        <v/>
      </c>
      <c r="E21" s="227" t="str">
        <f>[1]!IntrinioDataPoint(C21,"price_date")</f>
        <v/>
      </c>
      <c r="F21" s="227" t="str">
        <f>[1]!IntrinioDataPoint(C21,"price_time")</f>
        <v/>
      </c>
      <c r="G21" s="260" t="str">
        <f>[1]!IntrinioDataPoint($C21,"52_week_high")</f>
        <v/>
      </c>
      <c r="H21" s="260" t="str">
        <f>[1]!IntrinioDataPoint($C21,"52_week_low")</f>
        <v/>
      </c>
      <c r="I21" s="203"/>
      <c r="J21" s="204" t="str">
        <f>IF($C21="","",[1]!IntrinioFinancials($C21,"income_statement",0,"TTM","totalrevenue",rounding))</f>
        <v/>
      </c>
      <c r="K21" s="203" t="str">
        <f>IF($C21="","",[1]!IntrinioFinancials($C21,"income_statement",0,"TTM","totalgrossprofit",rounding))</f>
        <v/>
      </c>
      <c r="L21" s="203" t="str">
        <f>IF($C21="","",[1]!IntrinioFinancials($C21,"calculations",0,"TTM","ebit",rounding))</f>
        <v/>
      </c>
      <c r="M21" s="203" t="str">
        <f>IF($C21="","",[1]!IntrinioFinancials($C21,"calculations",0,"TTM","nopat",rounding))</f>
        <v/>
      </c>
      <c r="N21" s="203" t="str">
        <f>IF($C21="","",[1]!IntrinioFinancials($C21,"income_statement",0,"TTM","netincome",rounding))</f>
        <v/>
      </c>
      <c r="O21" s="205"/>
      <c r="P21" s="206" t="str">
        <f>IF($C21="","",[1]!IntrinioFinancials($C21,"calculations",0,"TTM","grossmargin"))</f>
        <v/>
      </c>
      <c r="Q21" s="207" t="str">
        <f>IF($C21="","",[1]!IntrinioFinancials($C21,"calculations",0,"TTM","ebitmargin"))</f>
        <v/>
      </c>
      <c r="R21" s="207" t="str">
        <f>IF($C21="","",[1]!IntrinioFinancials($C21,"calculations",0,"TTM","nopatmargin"))</f>
        <v/>
      </c>
      <c r="S21" s="207" t="str">
        <f>IF($C21="","",[1]!IntrinioFinancials($C21,"calculations",0,"TTM","profitmargin"))</f>
        <v/>
      </c>
      <c r="T21" s="207"/>
      <c r="U21" s="206" t="str">
        <f>IF($C21="","",[1]!IntrinioFinancials($C21,"calculations",0,"TTM","revenuegrowth"))</f>
        <v/>
      </c>
      <c r="V21" s="207" t="str">
        <f>IF($C21="","",[1]!IntrinioFinancials($C21,"calculations",0,"TTM","revenueqoqgrowth"))</f>
        <v/>
      </c>
      <c r="W21" s="207" t="str">
        <f>IF($C21="","",[1]!IntrinioDataPoint($C21,"current_yr_ave_revenue_est")/[1]!IntrinioFinancials($C21,"income_statement",0,"FY","totalrevenue","A")-1)</f>
        <v/>
      </c>
      <c r="X21" s="208" t="str">
        <f>IF($C21="","",[1]!IntrinioDataPoint($C21,"next_yr_ave_revenue_est")/[1]!IntrinioDataPoint($C21,"current_yr_ave_revenue_est")-1)</f>
        <v/>
      </c>
      <c r="Y21" s="207" t="str">
        <f>IF($C21="","",[1]!IntrinioFinancials($C21,"calculations",0,"TTM","netincomegrowth"))</f>
        <v/>
      </c>
      <c r="Z21" s="207" t="str">
        <f>IF($C21="","",[1]!IntrinioFinancials($C21,"calculations",0,"TTM","netincomeqoqgrowth"))</f>
        <v/>
      </c>
      <c r="AA21" s="207" t="str">
        <f>[1]!IntrinioDataPoint($C21,"current_yr_ave_eps_growth_est")</f>
        <v/>
      </c>
      <c r="AB21" s="207" t="str">
        <f>[1]!IntrinioDataPoint($C21,"next_yr_ave_eps_growth_est")</f>
        <v/>
      </c>
      <c r="AC21" s="207" t="str">
        <f>[1]!IntrinioDataPoint($C21,"long_term_growth_rate")</f>
        <v/>
      </c>
      <c r="AD21" s="52"/>
      <c r="AG21" s="54"/>
    </row>
    <row r="22" spans="1:33" s="46" customFormat="1" ht="12.75" hidden="1" customHeight="1" outlineLevel="1">
      <c r="A22" s="33"/>
      <c r="B22" s="146" t="str">
        <f>Info!A18</f>
        <v/>
      </c>
      <c r="C22" s="148" t="str">
        <f>IF(List!D18="","",List!D18)</f>
        <v/>
      </c>
      <c r="D22" s="259" t="str">
        <f>[1]!IntrinioDataPoint(C22,"close_price")</f>
        <v/>
      </c>
      <c r="E22" s="148" t="str">
        <f>[1]!IntrinioDataPoint(C22,"price_date")</f>
        <v/>
      </c>
      <c r="F22" s="148" t="str">
        <f>[1]!IntrinioDataPoint(C22,"price_time")</f>
        <v/>
      </c>
      <c r="G22" s="259" t="str">
        <f>[1]!IntrinioDataPoint($C22,"52_week_high")</f>
        <v/>
      </c>
      <c r="H22" s="259" t="str">
        <f>[1]!IntrinioDataPoint($C22,"52_week_low")</f>
        <v/>
      </c>
      <c r="I22" s="48"/>
      <c r="J22" s="49" t="str">
        <f>IF($C22="","",[1]!IntrinioFinancials($C22,"income_statement",0,"TTM","totalrevenue",rounding))</f>
        <v/>
      </c>
      <c r="K22" s="48" t="str">
        <f>IF($C22="","",[1]!IntrinioFinancials($C22,"income_statement",0,"TTM","totalgrossprofit",rounding))</f>
        <v/>
      </c>
      <c r="L22" s="48" t="str">
        <f>IF($C22="","",[1]!IntrinioFinancials($C22,"calculations",0,"TTM","ebit",rounding))</f>
        <v/>
      </c>
      <c r="M22" s="48" t="str">
        <f>IF($C22="","",[1]!IntrinioFinancials($C22,"calculations",0,"TTM","nopat",rounding))</f>
        <v/>
      </c>
      <c r="N22" s="48" t="str">
        <f>IF($C22="","",[1]!IntrinioFinancials($C22,"income_statement",0,"TTM","netincome",rounding))</f>
        <v/>
      </c>
      <c r="O22" s="50"/>
      <c r="P22" s="51" t="str">
        <f>IF($C22="","",[1]!IntrinioFinancials($C22,"calculations",0,"TTM","grossmargin"))</f>
        <v/>
      </c>
      <c r="Q22" s="45" t="str">
        <f>IF($C22="","",[1]!IntrinioFinancials($C22,"calculations",0,"TTM","ebitmargin"))</f>
        <v/>
      </c>
      <c r="R22" s="45" t="str">
        <f>IF($C22="","",[1]!IntrinioFinancials($C22,"calculations",0,"TTM","nopatmargin"))</f>
        <v/>
      </c>
      <c r="S22" s="45" t="str">
        <f>IF($C22="","",[1]!IntrinioFinancials($C22,"calculations",0,"TTM","profitmargin"))</f>
        <v/>
      </c>
      <c r="T22" s="45"/>
      <c r="U22" s="51" t="str">
        <f>IF($C22="","",[1]!IntrinioFinancials($C22,"calculations",0,"TTM","revenuegrowth"))</f>
        <v/>
      </c>
      <c r="V22" s="45" t="str">
        <f>IF($C22="","",[1]!IntrinioFinancials($C22,"calculations",0,"TTM","revenueqoqgrowth"))</f>
        <v/>
      </c>
      <c r="W22" s="45" t="str">
        <f>IF($C22="","",[1]!IntrinioDataPoint($C22,"current_yr_ave_revenue_est")/[1]!IntrinioFinancials($C22,"income_statement",0,"FY","totalrevenue","A")-1)</f>
        <v/>
      </c>
      <c r="X22" s="100" t="str">
        <f>IF($C22="","",[1]!IntrinioDataPoint($C22,"next_yr_ave_revenue_est")/[1]!IntrinioDataPoint($C22,"current_yr_ave_revenue_est")-1)</f>
        <v/>
      </c>
      <c r="Y22" s="45" t="str">
        <f>IF($C22="","",[1]!IntrinioFinancials($C22,"calculations",0,"TTM","netincomegrowth"))</f>
        <v/>
      </c>
      <c r="Z22" s="45" t="str">
        <f>IF($C22="","",[1]!IntrinioFinancials($C22,"calculations",0,"TTM","netincomeqoqgrowth"))</f>
        <v/>
      </c>
      <c r="AA22" s="45" t="str">
        <f>[1]!IntrinioDataPoint($C22,"current_yr_ave_eps_growth_est")</f>
        <v/>
      </c>
      <c r="AB22" s="45" t="str">
        <f>[1]!IntrinioDataPoint($C22,"next_yr_ave_eps_growth_est")</f>
        <v/>
      </c>
      <c r="AC22" s="45" t="str">
        <f>[1]!IntrinioDataPoint($C22,"long_term_growth_rate")</f>
        <v/>
      </c>
      <c r="AD22" s="52"/>
      <c r="AG22" s="54"/>
    </row>
    <row r="23" spans="1:33" s="46" customFormat="1" ht="12.75" hidden="1" customHeight="1" outlineLevel="1">
      <c r="A23" s="33"/>
      <c r="B23" s="202" t="str">
        <f>Info!A19</f>
        <v/>
      </c>
      <c r="C23" s="227" t="str">
        <f>IF(List!D19="","",List!D19)</f>
        <v/>
      </c>
      <c r="D23" s="260" t="str">
        <f>[1]!IntrinioDataPoint(C23,"close_price")</f>
        <v/>
      </c>
      <c r="E23" s="227" t="str">
        <f>[1]!IntrinioDataPoint(C23,"price_date")</f>
        <v/>
      </c>
      <c r="F23" s="227" t="str">
        <f>[1]!IntrinioDataPoint(C23,"price_time")</f>
        <v/>
      </c>
      <c r="G23" s="260" t="str">
        <f>[1]!IntrinioDataPoint($C23,"52_week_high")</f>
        <v/>
      </c>
      <c r="H23" s="260" t="str">
        <f>[1]!IntrinioDataPoint($C23,"52_week_low")</f>
        <v/>
      </c>
      <c r="I23" s="203"/>
      <c r="J23" s="204" t="str">
        <f>IF($C23="","",[1]!IntrinioFinancials($C23,"income_statement",0,"TTM","totalrevenue",rounding))</f>
        <v/>
      </c>
      <c r="K23" s="203" t="str">
        <f>IF($C23="","",[1]!IntrinioFinancials($C23,"income_statement",0,"TTM","totalgrossprofit",rounding))</f>
        <v/>
      </c>
      <c r="L23" s="203" t="str">
        <f>IF($C23="","",[1]!IntrinioFinancials($C23,"calculations",0,"TTM","ebit",rounding))</f>
        <v/>
      </c>
      <c r="M23" s="203" t="str">
        <f>IF($C23="","",[1]!IntrinioFinancials($C23,"calculations",0,"TTM","nopat",rounding))</f>
        <v/>
      </c>
      <c r="N23" s="203" t="str">
        <f>IF($C23="","",[1]!IntrinioFinancials($C23,"income_statement",0,"TTM","netincome",rounding))</f>
        <v/>
      </c>
      <c r="O23" s="205"/>
      <c r="P23" s="206" t="str">
        <f>IF($C23="","",[1]!IntrinioFinancials($C23,"calculations",0,"TTM","grossmargin"))</f>
        <v/>
      </c>
      <c r="Q23" s="207" t="str">
        <f>IF($C23="","",[1]!IntrinioFinancials($C23,"calculations",0,"TTM","ebitmargin"))</f>
        <v/>
      </c>
      <c r="R23" s="207" t="str">
        <f>IF($C23="","",[1]!IntrinioFinancials($C23,"calculations",0,"TTM","nopatmargin"))</f>
        <v/>
      </c>
      <c r="S23" s="207" t="str">
        <f>IF($C23="","",[1]!IntrinioFinancials($C23,"calculations",0,"TTM","profitmargin"))</f>
        <v/>
      </c>
      <c r="T23" s="207"/>
      <c r="U23" s="206" t="str">
        <f>IF($C23="","",[1]!IntrinioFinancials($C23,"calculations",0,"TTM","revenuegrowth"))</f>
        <v/>
      </c>
      <c r="V23" s="207" t="str">
        <f>IF($C23="","",[1]!IntrinioFinancials($C23,"calculations",0,"TTM","revenueqoqgrowth"))</f>
        <v/>
      </c>
      <c r="W23" s="207" t="str">
        <f>IF($C23="","",[1]!IntrinioDataPoint($C23,"current_yr_ave_revenue_est")/[1]!IntrinioFinancials($C23,"income_statement",0,"FY","totalrevenue","A")-1)</f>
        <v/>
      </c>
      <c r="X23" s="208" t="str">
        <f>IF($C23="","",[1]!IntrinioDataPoint($C23,"next_yr_ave_revenue_est")/[1]!IntrinioDataPoint($C23,"current_yr_ave_revenue_est")-1)</f>
        <v/>
      </c>
      <c r="Y23" s="207" t="str">
        <f>IF($C23="","",[1]!IntrinioFinancials($C23,"calculations",0,"TTM","netincomegrowth"))</f>
        <v/>
      </c>
      <c r="Z23" s="207" t="str">
        <f>IF($C23="","",[1]!IntrinioFinancials($C23,"calculations",0,"TTM","netincomeqoqgrowth"))</f>
        <v/>
      </c>
      <c r="AA23" s="207" t="str">
        <f>[1]!IntrinioDataPoint($C23,"current_yr_ave_eps_growth_est")</f>
        <v/>
      </c>
      <c r="AB23" s="207" t="str">
        <f>[1]!IntrinioDataPoint($C23,"next_yr_ave_eps_growth_est")</f>
        <v/>
      </c>
      <c r="AC23" s="207" t="str">
        <f>[1]!IntrinioDataPoint($C23,"long_term_growth_rate")</f>
        <v/>
      </c>
      <c r="AD23" s="52"/>
      <c r="AG23" s="54"/>
    </row>
    <row r="24" spans="1:33" s="46" customFormat="1" ht="12.75" hidden="1" customHeight="1" outlineLevel="1">
      <c r="A24" s="33"/>
      <c r="B24" s="146" t="str">
        <f>Info!A20</f>
        <v/>
      </c>
      <c r="C24" s="148" t="str">
        <f>IF(List!D20="","",List!D20)</f>
        <v/>
      </c>
      <c r="D24" s="259" t="str">
        <f>[1]!IntrinioDataPoint(C24,"close_price")</f>
        <v/>
      </c>
      <c r="E24" s="148" t="str">
        <f>[1]!IntrinioDataPoint(C24,"price_date")</f>
        <v/>
      </c>
      <c r="F24" s="148" t="str">
        <f>[1]!IntrinioDataPoint(C24,"price_time")</f>
        <v/>
      </c>
      <c r="G24" s="259" t="str">
        <f>[1]!IntrinioDataPoint($C24,"52_week_high")</f>
        <v/>
      </c>
      <c r="H24" s="259" t="str">
        <f>[1]!IntrinioDataPoint($C24,"52_week_low")</f>
        <v/>
      </c>
      <c r="I24" s="48"/>
      <c r="J24" s="49" t="str">
        <f>IF($C24="","",[1]!IntrinioFinancials($C24,"income_statement",0,"TTM","totalrevenue",rounding))</f>
        <v/>
      </c>
      <c r="K24" s="48" t="str">
        <f>IF($C24="","",[1]!IntrinioFinancials($C24,"income_statement",0,"TTM","totalgrossprofit",rounding))</f>
        <v/>
      </c>
      <c r="L24" s="48" t="str">
        <f>IF($C24="","",[1]!IntrinioFinancials($C24,"calculations",0,"TTM","ebit",rounding))</f>
        <v/>
      </c>
      <c r="M24" s="48" t="str">
        <f>IF($C24="","",[1]!IntrinioFinancials($C24,"calculations",0,"TTM","nopat",rounding))</f>
        <v/>
      </c>
      <c r="N24" s="48" t="str">
        <f>IF($C24="","",[1]!IntrinioFinancials($C24,"income_statement",0,"TTM","netincome",rounding))</f>
        <v/>
      </c>
      <c r="O24" s="50"/>
      <c r="P24" s="51" t="str">
        <f>IF($C24="","",[1]!IntrinioFinancials($C24,"calculations",0,"TTM","grossmargin"))</f>
        <v/>
      </c>
      <c r="Q24" s="45" t="str">
        <f>IF($C24="","",[1]!IntrinioFinancials($C24,"calculations",0,"TTM","ebitmargin"))</f>
        <v/>
      </c>
      <c r="R24" s="45" t="str">
        <f>IF($C24="","",[1]!IntrinioFinancials($C24,"calculations",0,"TTM","nopatmargin"))</f>
        <v/>
      </c>
      <c r="S24" s="45" t="str">
        <f>IF($C24="","",[1]!IntrinioFinancials($C24,"calculations",0,"TTM","profitmargin"))</f>
        <v/>
      </c>
      <c r="T24" s="45"/>
      <c r="U24" s="51" t="str">
        <f>IF($C24="","",[1]!IntrinioFinancials($C24,"calculations",0,"TTM","revenuegrowth"))</f>
        <v/>
      </c>
      <c r="V24" s="45" t="str">
        <f>IF($C24="","",[1]!IntrinioFinancials($C24,"calculations",0,"TTM","revenueqoqgrowth"))</f>
        <v/>
      </c>
      <c r="W24" s="45" t="str">
        <f>IF($C24="","",[1]!IntrinioDataPoint($C24,"current_yr_ave_revenue_est")/[1]!IntrinioFinancials($C24,"income_statement",0,"FY","totalrevenue","A")-1)</f>
        <v/>
      </c>
      <c r="X24" s="100" t="str">
        <f>IF($C24="","",[1]!IntrinioDataPoint($C24,"next_yr_ave_revenue_est")/[1]!IntrinioDataPoint($C24,"current_yr_ave_revenue_est")-1)</f>
        <v/>
      </c>
      <c r="Y24" s="45" t="str">
        <f>IF($C24="","",[1]!IntrinioFinancials($C24,"calculations",0,"TTM","netincomegrowth"))</f>
        <v/>
      </c>
      <c r="Z24" s="45" t="str">
        <f>IF($C24="","",[1]!IntrinioFinancials($C24,"calculations",0,"TTM","netincomeqoqgrowth"))</f>
        <v/>
      </c>
      <c r="AA24" s="45" t="str">
        <f>[1]!IntrinioDataPoint($C24,"current_yr_ave_eps_growth_est")</f>
        <v/>
      </c>
      <c r="AB24" s="45" t="str">
        <f>[1]!IntrinioDataPoint($C24,"next_yr_ave_eps_growth_est")</f>
        <v/>
      </c>
      <c r="AC24" s="45" t="str">
        <f>[1]!IntrinioDataPoint($C24,"long_term_growth_rate")</f>
        <v/>
      </c>
      <c r="AD24" s="52"/>
      <c r="AG24" s="54"/>
    </row>
    <row r="25" spans="1:33" s="46" customFormat="1" ht="12.75" hidden="1" customHeight="1" outlineLevel="1">
      <c r="A25" s="33"/>
      <c r="B25" s="202" t="str">
        <f>Info!A21</f>
        <v/>
      </c>
      <c r="C25" s="227" t="str">
        <f>IF(List!D21="","",List!D21)</f>
        <v/>
      </c>
      <c r="D25" s="260" t="str">
        <f>[1]!IntrinioDataPoint(C25,"close_price")</f>
        <v/>
      </c>
      <c r="E25" s="227" t="str">
        <f>[1]!IntrinioDataPoint(C25,"price_date")</f>
        <v/>
      </c>
      <c r="F25" s="227" t="str">
        <f>[1]!IntrinioDataPoint(C25,"price_time")</f>
        <v/>
      </c>
      <c r="G25" s="260" t="str">
        <f>[1]!IntrinioDataPoint($C25,"52_week_high")</f>
        <v/>
      </c>
      <c r="H25" s="260" t="str">
        <f>[1]!IntrinioDataPoint($C25,"52_week_low")</f>
        <v/>
      </c>
      <c r="I25" s="203"/>
      <c r="J25" s="204" t="str">
        <f>IF($C25="","",[1]!IntrinioFinancials($C25,"income_statement",0,"TTM","totalrevenue",rounding))</f>
        <v/>
      </c>
      <c r="K25" s="203" t="str">
        <f>IF($C25="","",[1]!IntrinioFinancials($C25,"income_statement",0,"TTM","totalgrossprofit",rounding))</f>
        <v/>
      </c>
      <c r="L25" s="203" t="str">
        <f>IF($C25="","",[1]!IntrinioFinancials($C25,"calculations",0,"TTM","ebit",rounding))</f>
        <v/>
      </c>
      <c r="M25" s="203" t="str">
        <f>IF($C25="","",[1]!IntrinioFinancials($C25,"calculations",0,"TTM","nopat",rounding))</f>
        <v/>
      </c>
      <c r="N25" s="203" t="str">
        <f>IF($C25="","",[1]!IntrinioFinancials($C25,"income_statement",0,"TTM","netincome",rounding))</f>
        <v/>
      </c>
      <c r="O25" s="205"/>
      <c r="P25" s="206" t="str">
        <f>IF($C25="","",[1]!IntrinioFinancials($C25,"calculations",0,"TTM","grossmargin"))</f>
        <v/>
      </c>
      <c r="Q25" s="207" t="str">
        <f>IF($C25="","",[1]!IntrinioFinancials($C25,"calculations",0,"TTM","ebitmargin"))</f>
        <v/>
      </c>
      <c r="R25" s="207" t="str">
        <f>IF($C25="","",[1]!IntrinioFinancials($C25,"calculations",0,"TTM","nopatmargin"))</f>
        <v/>
      </c>
      <c r="S25" s="207" t="str">
        <f>IF($C25="","",[1]!IntrinioFinancials($C25,"calculations",0,"TTM","profitmargin"))</f>
        <v/>
      </c>
      <c r="T25" s="207"/>
      <c r="U25" s="206" t="str">
        <f>IF($C25="","",[1]!IntrinioFinancials($C25,"calculations",0,"TTM","revenuegrowth"))</f>
        <v/>
      </c>
      <c r="V25" s="207" t="str">
        <f>IF($C25="","",[1]!IntrinioFinancials($C25,"calculations",0,"TTM","revenueqoqgrowth"))</f>
        <v/>
      </c>
      <c r="W25" s="207" t="str">
        <f>IF($C25="","",[1]!IntrinioDataPoint($C25,"current_yr_ave_revenue_est")/[1]!IntrinioFinancials($C25,"income_statement",0,"FY","totalrevenue","A")-1)</f>
        <v/>
      </c>
      <c r="X25" s="208" t="str">
        <f>IF($C25="","",[1]!IntrinioDataPoint($C25,"next_yr_ave_revenue_est")/[1]!IntrinioDataPoint($C25,"current_yr_ave_revenue_est")-1)</f>
        <v/>
      </c>
      <c r="Y25" s="207" t="str">
        <f>IF($C25="","",[1]!IntrinioFinancials($C25,"calculations",0,"TTM","netincomegrowth"))</f>
        <v/>
      </c>
      <c r="Z25" s="207" t="str">
        <f>IF($C25="","",[1]!IntrinioFinancials($C25,"calculations",0,"TTM","netincomeqoqgrowth"))</f>
        <v/>
      </c>
      <c r="AA25" s="207" t="str">
        <f>[1]!IntrinioDataPoint($C25,"current_yr_ave_eps_growth_est")</f>
        <v/>
      </c>
      <c r="AB25" s="207" t="str">
        <f>[1]!IntrinioDataPoint($C25,"next_yr_ave_eps_growth_est")</f>
        <v/>
      </c>
      <c r="AC25" s="207" t="str">
        <f>[1]!IntrinioDataPoint($C25,"long_term_growth_rate")</f>
        <v/>
      </c>
      <c r="AD25" s="52"/>
      <c r="AG25" s="54"/>
    </row>
    <row r="26" spans="1:33" s="46" customFormat="1" ht="12.75" hidden="1" customHeight="1" outlineLevel="1">
      <c r="A26" s="33"/>
      <c r="B26" s="146" t="str">
        <f>Info!A22</f>
        <v/>
      </c>
      <c r="C26" s="148" t="str">
        <f>IF(List!D22="","",List!D22)</f>
        <v/>
      </c>
      <c r="D26" s="259" t="str">
        <f>[1]!IntrinioDataPoint(C26,"close_price")</f>
        <v/>
      </c>
      <c r="E26" s="148" t="str">
        <f>[1]!IntrinioDataPoint(C26,"price_date")</f>
        <v/>
      </c>
      <c r="F26" s="148" t="str">
        <f>[1]!IntrinioDataPoint(C26,"price_time")</f>
        <v/>
      </c>
      <c r="G26" s="259" t="str">
        <f>[1]!IntrinioDataPoint($C26,"52_week_high")</f>
        <v/>
      </c>
      <c r="H26" s="259" t="str">
        <f>[1]!IntrinioDataPoint($C26,"52_week_low")</f>
        <v/>
      </c>
      <c r="I26" s="48"/>
      <c r="J26" s="49" t="str">
        <f>IF($C26="","",[1]!IntrinioFinancials($C26,"income_statement",0,"TTM","totalrevenue",rounding))</f>
        <v/>
      </c>
      <c r="K26" s="48" t="str">
        <f>IF($C26="","",[1]!IntrinioFinancials($C26,"income_statement",0,"TTM","totalgrossprofit",rounding))</f>
        <v/>
      </c>
      <c r="L26" s="48" t="str">
        <f>IF($C26="","",[1]!IntrinioFinancials($C26,"calculations",0,"TTM","ebit",rounding))</f>
        <v/>
      </c>
      <c r="M26" s="48" t="str">
        <f>IF($C26="","",[1]!IntrinioFinancials($C26,"calculations",0,"TTM","nopat",rounding))</f>
        <v/>
      </c>
      <c r="N26" s="48" t="str">
        <f>IF($C26="","",[1]!IntrinioFinancials($C26,"income_statement",0,"TTM","netincome",rounding))</f>
        <v/>
      </c>
      <c r="O26" s="50"/>
      <c r="P26" s="51" t="str">
        <f>IF($C26="","",[1]!IntrinioFinancials($C26,"calculations",0,"TTM","grossmargin"))</f>
        <v/>
      </c>
      <c r="Q26" s="45" t="str">
        <f>IF($C26="","",[1]!IntrinioFinancials($C26,"calculations",0,"TTM","ebitmargin"))</f>
        <v/>
      </c>
      <c r="R26" s="45" t="str">
        <f>IF($C26="","",[1]!IntrinioFinancials($C26,"calculations",0,"TTM","nopatmargin"))</f>
        <v/>
      </c>
      <c r="S26" s="45" t="str">
        <f>IF($C26="","",[1]!IntrinioFinancials($C26,"calculations",0,"TTM","profitmargin"))</f>
        <v/>
      </c>
      <c r="T26" s="45"/>
      <c r="U26" s="51" t="str">
        <f>IF($C26="","",[1]!IntrinioFinancials($C26,"calculations",0,"TTM","revenuegrowth"))</f>
        <v/>
      </c>
      <c r="V26" s="45" t="str">
        <f>IF($C26="","",[1]!IntrinioFinancials($C26,"calculations",0,"TTM","revenueqoqgrowth"))</f>
        <v/>
      </c>
      <c r="W26" s="45" t="str">
        <f>IF($C26="","",[1]!IntrinioDataPoint($C26,"current_yr_ave_revenue_est")/[1]!IntrinioFinancials($C26,"income_statement",0,"FY","totalrevenue","A")-1)</f>
        <v/>
      </c>
      <c r="X26" s="100" t="str">
        <f>IF($C26="","",[1]!IntrinioDataPoint($C26,"next_yr_ave_revenue_est")/[1]!IntrinioDataPoint($C26,"current_yr_ave_revenue_est")-1)</f>
        <v/>
      </c>
      <c r="Y26" s="45" t="str">
        <f>IF($C26="","",[1]!IntrinioFinancials($C26,"calculations",0,"TTM","netincomegrowth"))</f>
        <v/>
      </c>
      <c r="Z26" s="45" t="str">
        <f>IF($C26="","",[1]!IntrinioFinancials($C26,"calculations",0,"TTM","netincomeqoqgrowth"))</f>
        <v/>
      </c>
      <c r="AA26" s="45" t="str">
        <f>[1]!IntrinioDataPoint($C26,"current_yr_ave_eps_growth_est")</f>
        <v/>
      </c>
      <c r="AB26" s="45" t="str">
        <f>[1]!IntrinioDataPoint($C26,"next_yr_ave_eps_growth_est")</f>
        <v/>
      </c>
      <c r="AC26" s="45" t="str">
        <f>[1]!IntrinioDataPoint($C26,"long_term_growth_rate")</f>
        <v/>
      </c>
      <c r="AD26" s="52"/>
      <c r="AG26" s="54"/>
    </row>
    <row r="27" spans="1:33" s="46" customFormat="1" ht="12.75" hidden="1" customHeight="1" outlineLevel="1">
      <c r="A27" s="33"/>
      <c r="B27" s="202" t="str">
        <f>Info!A23</f>
        <v/>
      </c>
      <c r="C27" s="227" t="str">
        <f>IF(List!D23="","",List!D23)</f>
        <v/>
      </c>
      <c r="D27" s="260" t="str">
        <f>[1]!IntrinioDataPoint(C27,"close_price")</f>
        <v/>
      </c>
      <c r="E27" s="227" t="str">
        <f>[1]!IntrinioDataPoint(C27,"price_date")</f>
        <v/>
      </c>
      <c r="F27" s="227" t="str">
        <f>[1]!IntrinioDataPoint(C27,"price_time")</f>
        <v/>
      </c>
      <c r="G27" s="260" t="str">
        <f>[1]!IntrinioDataPoint($C27,"52_week_high")</f>
        <v/>
      </c>
      <c r="H27" s="260" t="str">
        <f>[1]!IntrinioDataPoint($C27,"52_week_low")</f>
        <v/>
      </c>
      <c r="I27" s="203"/>
      <c r="J27" s="204" t="str">
        <f>IF($C27="","",[1]!IntrinioFinancials($C27,"income_statement",0,"TTM","totalrevenue",rounding))</f>
        <v/>
      </c>
      <c r="K27" s="203" t="str">
        <f>IF($C27="","",[1]!IntrinioFinancials($C27,"income_statement",0,"TTM","totalgrossprofit",rounding))</f>
        <v/>
      </c>
      <c r="L27" s="203" t="str">
        <f>IF($C27="","",[1]!IntrinioFinancials($C27,"calculations",0,"TTM","ebit",rounding))</f>
        <v/>
      </c>
      <c r="M27" s="203" t="str">
        <f>IF($C27="","",[1]!IntrinioFinancials($C27,"calculations",0,"TTM","nopat",rounding))</f>
        <v/>
      </c>
      <c r="N27" s="203" t="str">
        <f>IF($C27="","",[1]!IntrinioFinancials($C27,"income_statement",0,"TTM","netincome",rounding))</f>
        <v/>
      </c>
      <c r="O27" s="205"/>
      <c r="P27" s="206" t="str">
        <f>IF($C27="","",[1]!IntrinioFinancials($C27,"calculations",0,"TTM","grossmargin"))</f>
        <v/>
      </c>
      <c r="Q27" s="207" t="str">
        <f>IF($C27="","",[1]!IntrinioFinancials($C27,"calculations",0,"TTM","ebitmargin"))</f>
        <v/>
      </c>
      <c r="R27" s="207" t="str">
        <f>IF($C27="","",[1]!IntrinioFinancials($C27,"calculations",0,"TTM","nopatmargin"))</f>
        <v/>
      </c>
      <c r="S27" s="207" t="str">
        <f>IF($C27="","",[1]!IntrinioFinancials($C27,"calculations",0,"TTM","profitmargin"))</f>
        <v/>
      </c>
      <c r="T27" s="207"/>
      <c r="U27" s="206" t="str">
        <f>IF($C27="","",[1]!IntrinioFinancials($C27,"calculations",0,"TTM","revenuegrowth"))</f>
        <v/>
      </c>
      <c r="V27" s="207" t="str">
        <f>IF($C27="","",[1]!IntrinioFinancials($C27,"calculations",0,"TTM","revenueqoqgrowth"))</f>
        <v/>
      </c>
      <c r="W27" s="207" t="str">
        <f>IF($C27="","",[1]!IntrinioDataPoint($C27,"current_yr_ave_revenue_est")/[1]!IntrinioFinancials($C27,"income_statement",0,"FY","totalrevenue","A")-1)</f>
        <v/>
      </c>
      <c r="X27" s="208" t="str">
        <f>IF($C27="","",[1]!IntrinioDataPoint($C27,"next_yr_ave_revenue_est")/[1]!IntrinioDataPoint($C27,"current_yr_ave_revenue_est")-1)</f>
        <v/>
      </c>
      <c r="Y27" s="207" t="str">
        <f>IF($C27="","",[1]!IntrinioFinancials($C27,"calculations",0,"TTM","netincomegrowth"))</f>
        <v/>
      </c>
      <c r="Z27" s="207" t="str">
        <f>IF($C27="","",[1]!IntrinioFinancials($C27,"calculations",0,"TTM","netincomeqoqgrowth"))</f>
        <v/>
      </c>
      <c r="AA27" s="207" t="str">
        <f>[1]!IntrinioDataPoint($C27,"current_yr_ave_eps_growth_est")</f>
        <v/>
      </c>
      <c r="AB27" s="207" t="str">
        <f>[1]!IntrinioDataPoint($C27,"next_yr_ave_eps_growth_est")</f>
        <v/>
      </c>
      <c r="AC27" s="207" t="str">
        <f>[1]!IntrinioDataPoint($C27,"long_term_growth_rate")</f>
        <v/>
      </c>
      <c r="AD27" s="52"/>
      <c r="AG27" s="54"/>
    </row>
    <row r="28" spans="1:33" s="46" customFormat="1" ht="12.75" hidden="1" customHeight="1" outlineLevel="1">
      <c r="A28" s="33"/>
      <c r="B28" s="146" t="str">
        <f>Info!A24</f>
        <v/>
      </c>
      <c r="C28" s="148" t="str">
        <f>IF(List!D24="","",List!D24)</f>
        <v/>
      </c>
      <c r="D28" s="259" t="str">
        <f>[1]!IntrinioDataPoint(C28,"close_price")</f>
        <v/>
      </c>
      <c r="E28" s="148" t="str">
        <f>[1]!IntrinioDataPoint(C28,"price_date")</f>
        <v/>
      </c>
      <c r="F28" s="148" t="str">
        <f>[1]!IntrinioDataPoint(C28,"price_time")</f>
        <v/>
      </c>
      <c r="G28" s="259" t="str">
        <f>[1]!IntrinioDataPoint($C28,"52_week_high")</f>
        <v/>
      </c>
      <c r="H28" s="259" t="str">
        <f>[1]!IntrinioDataPoint($C28,"52_week_low")</f>
        <v/>
      </c>
      <c r="I28" s="48"/>
      <c r="J28" s="49" t="str">
        <f>IF($C28="","",[1]!IntrinioFinancials($C28,"income_statement",0,"TTM","totalrevenue",rounding))</f>
        <v/>
      </c>
      <c r="K28" s="48" t="str">
        <f>IF($C28="","",[1]!IntrinioFinancials($C28,"income_statement",0,"TTM","totalgrossprofit",rounding))</f>
        <v/>
      </c>
      <c r="L28" s="48" t="str">
        <f>IF($C28="","",[1]!IntrinioFinancials($C28,"calculations",0,"TTM","ebit",rounding))</f>
        <v/>
      </c>
      <c r="M28" s="48" t="str">
        <f>IF($C28="","",[1]!IntrinioFinancials($C28,"calculations",0,"TTM","nopat",rounding))</f>
        <v/>
      </c>
      <c r="N28" s="48" t="str">
        <f>IF($C28="","",[1]!IntrinioFinancials($C28,"income_statement",0,"TTM","netincome",rounding))</f>
        <v/>
      </c>
      <c r="O28" s="50"/>
      <c r="P28" s="51" t="str">
        <f>IF($C28="","",[1]!IntrinioFinancials($C28,"calculations",0,"TTM","grossmargin"))</f>
        <v/>
      </c>
      <c r="Q28" s="45" t="str">
        <f>IF($C28="","",[1]!IntrinioFinancials($C28,"calculations",0,"TTM","ebitmargin"))</f>
        <v/>
      </c>
      <c r="R28" s="45" t="str">
        <f>IF($C28="","",[1]!IntrinioFinancials($C28,"calculations",0,"TTM","nopatmargin"))</f>
        <v/>
      </c>
      <c r="S28" s="45" t="str">
        <f>IF($C28="","",[1]!IntrinioFinancials($C28,"calculations",0,"TTM","profitmargin"))</f>
        <v/>
      </c>
      <c r="T28" s="45"/>
      <c r="U28" s="51" t="str">
        <f>IF($C28="","",[1]!IntrinioFinancials($C28,"calculations",0,"TTM","revenuegrowth"))</f>
        <v/>
      </c>
      <c r="V28" s="45" t="str">
        <f>IF($C28="","",[1]!IntrinioFinancials($C28,"calculations",0,"TTM","revenueqoqgrowth"))</f>
        <v/>
      </c>
      <c r="W28" s="45" t="str">
        <f>IF($C28="","",[1]!IntrinioDataPoint($C28,"current_yr_ave_revenue_est")/[1]!IntrinioFinancials($C28,"income_statement",0,"FY","totalrevenue","A")-1)</f>
        <v/>
      </c>
      <c r="X28" s="100" t="str">
        <f>IF($C28="","",[1]!IntrinioDataPoint($C28,"next_yr_ave_revenue_est")/[1]!IntrinioDataPoint($C28,"current_yr_ave_revenue_est")-1)</f>
        <v/>
      </c>
      <c r="Y28" s="45" t="str">
        <f>IF($C28="","",[1]!IntrinioFinancials($C28,"calculations",0,"TTM","netincomegrowth"))</f>
        <v/>
      </c>
      <c r="Z28" s="45" t="str">
        <f>IF($C28="","",[1]!IntrinioFinancials($C28,"calculations",0,"TTM","netincomeqoqgrowth"))</f>
        <v/>
      </c>
      <c r="AA28" s="45" t="str">
        <f>[1]!IntrinioDataPoint($C28,"current_yr_ave_eps_growth_est")</f>
        <v/>
      </c>
      <c r="AB28" s="45" t="str">
        <f>[1]!IntrinioDataPoint($C28,"next_yr_ave_eps_growth_est")</f>
        <v/>
      </c>
      <c r="AC28" s="45" t="str">
        <f>[1]!IntrinioDataPoint($C28,"long_term_growth_rate")</f>
        <v/>
      </c>
      <c r="AD28" s="52"/>
      <c r="AG28" s="54"/>
    </row>
    <row r="29" spans="1:33" s="46" customFormat="1" ht="12.75" hidden="1" customHeight="1" outlineLevel="1">
      <c r="A29" s="33"/>
      <c r="B29" s="202" t="str">
        <f>Info!A25</f>
        <v/>
      </c>
      <c r="C29" s="227" t="str">
        <f>IF(List!D25="","",List!D25)</f>
        <v/>
      </c>
      <c r="D29" s="260" t="str">
        <f>[1]!IntrinioDataPoint(C29,"close_price")</f>
        <v/>
      </c>
      <c r="E29" s="227" t="str">
        <f>[1]!IntrinioDataPoint(C29,"price_date")</f>
        <v/>
      </c>
      <c r="F29" s="227" t="str">
        <f>[1]!IntrinioDataPoint(C29,"price_time")</f>
        <v/>
      </c>
      <c r="G29" s="260" t="str">
        <f>[1]!IntrinioDataPoint($C29,"52_week_high")</f>
        <v/>
      </c>
      <c r="H29" s="260" t="str">
        <f>[1]!IntrinioDataPoint($C29,"52_week_low")</f>
        <v/>
      </c>
      <c r="I29" s="203"/>
      <c r="J29" s="204" t="str">
        <f>IF($C29="","",[1]!IntrinioFinancials($C29,"income_statement",0,"TTM","totalrevenue",rounding))</f>
        <v/>
      </c>
      <c r="K29" s="203" t="str">
        <f>IF($C29="","",[1]!IntrinioFinancials($C29,"income_statement",0,"TTM","totalgrossprofit",rounding))</f>
        <v/>
      </c>
      <c r="L29" s="203" t="str">
        <f>IF($C29="","",[1]!IntrinioFinancials($C29,"calculations",0,"TTM","ebit",rounding))</f>
        <v/>
      </c>
      <c r="M29" s="203" t="str">
        <f>IF($C29="","",[1]!IntrinioFinancials($C29,"calculations",0,"TTM","nopat",rounding))</f>
        <v/>
      </c>
      <c r="N29" s="203" t="str">
        <f>IF($C29="","",[1]!IntrinioFinancials($C29,"income_statement",0,"TTM","netincome",rounding))</f>
        <v/>
      </c>
      <c r="O29" s="205"/>
      <c r="P29" s="206" t="str">
        <f>IF($C29="","",[1]!IntrinioFinancials($C29,"calculations",0,"TTM","grossmargin"))</f>
        <v/>
      </c>
      <c r="Q29" s="207" t="str">
        <f>IF($C29="","",[1]!IntrinioFinancials($C29,"calculations",0,"TTM","ebitmargin"))</f>
        <v/>
      </c>
      <c r="R29" s="207" t="str">
        <f>IF($C29="","",[1]!IntrinioFinancials($C29,"calculations",0,"TTM","nopatmargin"))</f>
        <v/>
      </c>
      <c r="S29" s="207" t="str">
        <f>IF($C29="","",[1]!IntrinioFinancials($C29,"calculations",0,"TTM","profitmargin"))</f>
        <v/>
      </c>
      <c r="T29" s="207"/>
      <c r="U29" s="206" t="str">
        <f>IF($C29="","",[1]!IntrinioFinancials($C29,"calculations",0,"TTM","revenuegrowth"))</f>
        <v/>
      </c>
      <c r="V29" s="207" t="str">
        <f>IF($C29="","",[1]!IntrinioFinancials($C29,"calculations",0,"TTM","revenueqoqgrowth"))</f>
        <v/>
      </c>
      <c r="W29" s="207" t="str">
        <f>IF($C29="","",[1]!IntrinioDataPoint($C29,"current_yr_ave_revenue_est")/[1]!IntrinioFinancials($C29,"income_statement",0,"FY","totalrevenue","A")-1)</f>
        <v/>
      </c>
      <c r="X29" s="208" t="str">
        <f>IF($C29="","",[1]!IntrinioDataPoint($C29,"next_yr_ave_revenue_est")/[1]!IntrinioDataPoint($C29,"current_yr_ave_revenue_est")-1)</f>
        <v/>
      </c>
      <c r="Y29" s="207" t="str">
        <f>IF($C29="","",[1]!IntrinioFinancials($C29,"calculations",0,"TTM","netincomegrowth"))</f>
        <v/>
      </c>
      <c r="Z29" s="207" t="str">
        <f>IF($C29="","",[1]!IntrinioFinancials($C29,"calculations",0,"TTM","netincomeqoqgrowth"))</f>
        <v/>
      </c>
      <c r="AA29" s="207" t="str">
        <f>[1]!IntrinioDataPoint($C29,"current_yr_ave_eps_growth_est")</f>
        <v/>
      </c>
      <c r="AB29" s="207" t="str">
        <f>[1]!IntrinioDataPoint($C29,"next_yr_ave_eps_growth_est")</f>
        <v/>
      </c>
      <c r="AC29" s="207" t="str">
        <f>[1]!IntrinioDataPoint($C29,"long_term_growth_rate")</f>
        <v/>
      </c>
      <c r="AD29" s="52"/>
      <c r="AG29" s="54"/>
    </row>
    <row r="30" spans="1:33" s="46" customFormat="1" ht="12.75" hidden="1" customHeight="1" outlineLevel="1">
      <c r="A30" s="33"/>
      <c r="B30" s="146" t="str">
        <f>Info!A26</f>
        <v/>
      </c>
      <c r="C30" s="148" t="str">
        <f>IF(List!D26="","",List!D26)</f>
        <v/>
      </c>
      <c r="D30" s="259" t="str">
        <f>[1]!IntrinioDataPoint(C30,"close_price")</f>
        <v/>
      </c>
      <c r="E30" s="148" t="str">
        <f>[1]!IntrinioDataPoint(C30,"price_date")</f>
        <v/>
      </c>
      <c r="F30" s="148" t="str">
        <f>[1]!IntrinioDataPoint(C30,"price_time")</f>
        <v/>
      </c>
      <c r="G30" s="259" t="str">
        <f>[1]!IntrinioDataPoint($C30,"52_week_high")</f>
        <v/>
      </c>
      <c r="H30" s="259" t="str">
        <f>[1]!IntrinioDataPoint($C30,"52_week_low")</f>
        <v/>
      </c>
      <c r="I30" s="48"/>
      <c r="J30" s="49" t="str">
        <f>IF($C30="","",[1]!IntrinioFinancials($C30,"income_statement",0,"TTM","totalrevenue",rounding))</f>
        <v/>
      </c>
      <c r="K30" s="48" t="str">
        <f>IF($C30="","",[1]!IntrinioFinancials($C30,"income_statement",0,"TTM","totalgrossprofit",rounding))</f>
        <v/>
      </c>
      <c r="L30" s="48" t="str">
        <f>IF($C30="","",[1]!IntrinioFinancials($C30,"calculations",0,"TTM","ebit",rounding))</f>
        <v/>
      </c>
      <c r="M30" s="48" t="str">
        <f>IF($C30="","",[1]!IntrinioFinancials($C30,"calculations",0,"TTM","nopat",rounding))</f>
        <v/>
      </c>
      <c r="N30" s="48" t="str">
        <f>IF($C30="","",[1]!IntrinioFinancials($C30,"income_statement",0,"TTM","netincome",rounding))</f>
        <v/>
      </c>
      <c r="O30" s="50"/>
      <c r="P30" s="51" t="str">
        <f>IF($C30="","",[1]!IntrinioFinancials($C30,"calculations",0,"TTM","grossmargin"))</f>
        <v/>
      </c>
      <c r="Q30" s="45" t="str">
        <f>IF($C30="","",[1]!IntrinioFinancials($C30,"calculations",0,"TTM","ebitmargin"))</f>
        <v/>
      </c>
      <c r="R30" s="45" t="str">
        <f>IF($C30="","",[1]!IntrinioFinancials($C30,"calculations",0,"TTM","nopatmargin"))</f>
        <v/>
      </c>
      <c r="S30" s="45" t="str">
        <f>IF($C30="","",[1]!IntrinioFinancials($C30,"calculations",0,"TTM","profitmargin"))</f>
        <v/>
      </c>
      <c r="T30" s="45"/>
      <c r="U30" s="51" t="str">
        <f>IF($C30="","",[1]!IntrinioFinancials($C30,"calculations",0,"TTM","revenuegrowth"))</f>
        <v/>
      </c>
      <c r="V30" s="45" t="str">
        <f>IF($C30="","",[1]!IntrinioFinancials($C30,"calculations",0,"TTM","revenueqoqgrowth"))</f>
        <v/>
      </c>
      <c r="W30" s="45" t="str">
        <f>IF($C30="","",[1]!IntrinioDataPoint($C30,"current_yr_ave_revenue_est")/[1]!IntrinioFinancials($C30,"income_statement",0,"FY","totalrevenue","A")-1)</f>
        <v/>
      </c>
      <c r="X30" s="100" t="str">
        <f>IF($C30="","",[1]!IntrinioDataPoint($C30,"next_yr_ave_revenue_est")/[1]!IntrinioDataPoint($C30,"current_yr_ave_revenue_est")-1)</f>
        <v/>
      </c>
      <c r="Y30" s="45" t="str">
        <f>IF($C30="","",[1]!IntrinioFinancials($C30,"calculations",0,"TTM","netincomegrowth"))</f>
        <v/>
      </c>
      <c r="Z30" s="45" t="str">
        <f>IF($C30="","",[1]!IntrinioFinancials($C30,"calculations",0,"TTM","netincomeqoqgrowth"))</f>
        <v/>
      </c>
      <c r="AA30" s="45" t="str">
        <f>[1]!IntrinioDataPoint($C30,"current_yr_ave_eps_growth_est")</f>
        <v/>
      </c>
      <c r="AB30" s="45" t="str">
        <f>[1]!IntrinioDataPoint($C30,"next_yr_ave_eps_growth_est")</f>
        <v/>
      </c>
      <c r="AC30" s="45" t="str">
        <f>[1]!IntrinioDataPoint($C30,"long_term_growth_rate")</f>
        <v/>
      </c>
      <c r="AD30" s="52"/>
      <c r="AG30" s="54"/>
    </row>
    <row r="31" spans="1:33" s="46" customFormat="1" ht="12.75" hidden="1" customHeight="1" outlineLevel="1">
      <c r="A31" s="33"/>
      <c r="B31" s="202" t="str">
        <f>Info!A27</f>
        <v/>
      </c>
      <c r="C31" s="227" t="str">
        <f>IF(List!D27="","",List!D27)</f>
        <v/>
      </c>
      <c r="D31" s="260" t="str">
        <f>[1]!IntrinioDataPoint(C31,"close_price")</f>
        <v/>
      </c>
      <c r="E31" s="227" t="str">
        <f>[1]!IntrinioDataPoint(C31,"price_date")</f>
        <v/>
      </c>
      <c r="F31" s="227" t="str">
        <f>[1]!IntrinioDataPoint(C31,"price_time")</f>
        <v/>
      </c>
      <c r="G31" s="260" t="str">
        <f>[1]!IntrinioDataPoint($C31,"52_week_high")</f>
        <v/>
      </c>
      <c r="H31" s="260" t="str">
        <f>[1]!IntrinioDataPoint($C31,"52_week_low")</f>
        <v/>
      </c>
      <c r="I31" s="203"/>
      <c r="J31" s="204" t="str">
        <f>IF($C31="","",[1]!IntrinioFinancials($C31,"income_statement",0,"TTM","totalrevenue",rounding))</f>
        <v/>
      </c>
      <c r="K31" s="203" t="str">
        <f>IF($C31="","",[1]!IntrinioFinancials($C31,"income_statement",0,"TTM","totalgrossprofit",rounding))</f>
        <v/>
      </c>
      <c r="L31" s="203" t="str">
        <f>IF($C31="","",[1]!IntrinioFinancials($C31,"calculations",0,"TTM","ebit",rounding))</f>
        <v/>
      </c>
      <c r="M31" s="203" t="str">
        <f>IF($C31="","",[1]!IntrinioFinancials($C31,"calculations",0,"TTM","nopat",rounding))</f>
        <v/>
      </c>
      <c r="N31" s="203" t="str">
        <f>IF($C31="","",[1]!IntrinioFinancials($C31,"income_statement",0,"TTM","netincome",rounding))</f>
        <v/>
      </c>
      <c r="O31" s="205"/>
      <c r="P31" s="206" t="str">
        <f>IF($C31="","",[1]!IntrinioFinancials($C31,"calculations",0,"TTM","grossmargin"))</f>
        <v/>
      </c>
      <c r="Q31" s="207" t="str">
        <f>IF($C31="","",[1]!IntrinioFinancials($C31,"calculations",0,"TTM","ebitmargin"))</f>
        <v/>
      </c>
      <c r="R31" s="207" t="str">
        <f>IF($C31="","",[1]!IntrinioFinancials($C31,"calculations",0,"TTM","nopatmargin"))</f>
        <v/>
      </c>
      <c r="S31" s="207" t="str">
        <f>IF($C31="","",[1]!IntrinioFinancials($C31,"calculations",0,"TTM","profitmargin"))</f>
        <v/>
      </c>
      <c r="T31" s="207"/>
      <c r="U31" s="206" t="str">
        <f>IF($C31="","",[1]!IntrinioFinancials($C31,"calculations",0,"TTM","revenuegrowth"))</f>
        <v/>
      </c>
      <c r="V31" s="207" t="str">
        <f>IF($C31="","",[1]!IntrinioFinancials($C31,"calculations",0,"TTM","revenueqoqgrowth"))</f>
        <v/>
      </c>
      <c r="W31" s="207" t="str">
        <f>IF($C31="","",[1]!IntrinioDataPoint($C31,"current_yr_ave_revenue_est")/[1]!IntrinioFinancials($C31,"income_statement",0,"FY","totalrevenue","A")-1)</f>
        <v/>
      </c>
      <c r="X31" s="208" t="str">
        <f>IF($C31="","",[1]!IntrinioDataPoint($C31,"next_yr_ave_revenue_est")/[1]!IntrinioDataPoint($C31,"current_yr_ave_revenue_est")-1)</f>
        <v/>
      </c>
      <c r="Y31" s="207" t="str">
        <f>IF($C31="","",[1]!IntrinioFinancials($C31,"calculations",0,"TTM","netincomegrowth"))</f>
        <v/>
      </c>
      <c r="Z31" s="207" t="str">
        <f>IF($C31="","",[1]!IntrinioFinancials($C31,"calculations",0,"TTM","netincomeqoqgrowth"))</f>
        <v/>
      </c>
      <c r="AA31" s="207" t="str">
        <f>[1]!IntrinioDataPoint($C31,"current_yr_ave_eps_growth_est")</f>
        <v/>
      </c>
      <c r="AB31" s="207" t="str">
        <f>[1]!IntrinioDataPoint($C31,"next_yr_ave_eps_growth_est")</f>
        <v/>
      </c>
      <c r="AC31" s="207" t="str">
        <f>[1]!IntrinioDataPoint($C31,"long_term_growth_rate")</f>
        <v/>
      </c>
      <c r="AD31" s="52"/>
      <c r="AG31" s="54"/>
    </row>
    <row r="32" spans="1:33" s="46" customFormat="1" ht="12.75" hidden="1" customHeight="1" outlineLevel="1">
      <c r="A32" s="33"/>
      <c r="B32" s="146" t="str">
        <f>Info!A28</f>
        <v/>
      </c>
      <c r="C32" s="148" t="str">
        <f>IF(List!D28="","",List!D28)</f>
        <v/>
      </c>
      <c r="D32" s="259" t="str">
        <f>[1]!IntrinioDataPoint(C32,"close_price")</f>
        <v/>
      </c>
      <c r="E32" s="148" t="str">
        <f>[1]!IntrinioDataPoint(C32,"price_date")</f>
        <v/>
      </c>
      <c r="F32" s="148" t="str">
        <f>[1]!IntrinioDataPoint(C32,"price_time")</f>
        <v/>
      </c>
      <c r="G32" s="259" t="str">
        <f>[1]!IntrinioDataPoint($C32,"52_week_high")</f>
        <v/>
      </c>
      <c r="H32" s="259" t="str">
        <f>[1]!IntrinioDataPoint($C32,"52_week_low")</f>
        <v/>
      </c>
      <c r="I32" s="48"/>
      <c r="J32" s="49" t="str">
        <f>IF($C32="","",[1]!IntrinioFinancials($C32,"income_statement",0,"TTM","totalrevenue",rounding))</f>
        <v/>
      </c>
      <c r="K32" s="48" t="str">
        <f>IF($C32="","",[1]!IntrinioFinancials($C32,"income_statement",0,"TTM","totalgrossprofit",rounding))</f>
        <v/>
      </c>
      <c r="L32" s="48" t="str">
        <f>IF($C32="","",[1]!IntrinioFinancials($C32,"calculations",0,"TTM","ebit",rounding))</f>
        <v/>
      </c>
      <c r="M32" s="48" t="str">
        <f>IF($C32="","",[1]!IntrinioFinancials($C32,"calculations",0,"TTM","nopat",rounding))</f>
        <v/>
      </c>
      <c r="N32" s="48" t="str">
        <f>IF($C32="","",[1]!IntrinioFinancials($C32,"income_statement",0,"TTM","netincome",rounding))</f>
        <v/>
      </c>
      <c r="O32" s="50"/>
      <c r="P32" s="51" t="str">
        <f>IF($C32="","",[1]!IntrinioFinancials($C32,"calculations",0,"TTM","grossmargin"))</f>
        <v/>
      </c>
      <c r="Q32" s="45" t="str">
        <f>IF($C32="","",[1]!IntrinioFinancials($C32,"calculations",0,"TTM","ebitmargin"))</f>
        <v/>
      </c>
      <c r="R32" s="45" t="str">
        <f>IF($C32="","",[1]!IntrinioFinancials($C32,"calculations",0,"TTM","nopatmargin"))</f>
        <v/>
      </c>
      <c r="S32" s="45" t="str">
        <f>IF($C32="","",[1]!IntrinioFinancials($C32,"calculations",0,"TTM","profitmargin"))</f>
        <v/>
      </c>
      <c r="T32" s="45"/>
      <c r="U32" s="51" t="str">
        <f>IF($C32="","",[1]!IntrinioFinancials($C32,"calculations",0,"TTM","revenuegrowth"))</f>
        <v/>
      </c>
      <c r="V32" s="45" t="str">
        <f>IF($C32="","",[1]!IntrinioFinancials($C32,"calculations",0,"TTM","revenueqoqgrowth"))</f>
        <v/>
      </c>
      <c r="W32" s="45" t="str">
        <f>IF($C32="","",[1]!IntrinioDataPoint($C32,"current_yr_ave_revenue_est")/[1]!IntrinioFinancials($C32,"income_statement",0,"FY","totalrevenue","A")-1)</f>
        <v/>
      </c>
      <c r="X32" s="100" t="str">
        <f>IF($C32="","",[1]!IntrinioDataPoint($C32,"next_yr_ave_revenue_est")/[1]!IntrinioDataPoint($C32,"current_yr_ave_revenue_est")-1)</f>
        <v/>
      </c>
      <c r="Y32" s="45" t="str">
        <f>IF($C32="","",[1]!IntrinioFinancials($C32,"calculations",0,"TTM","netincomegrowth"))</f>
        <v/>
      </c>
      <c r="Z32" s="45" t="str">
        <f>IF($C32="","",[1]!IntrinioFinancials($C32,"calculations",0,"TTM","netincomeqoqgrowth"))</f>
        <v/>
      </c>
      <c r="AA32" s="45" t="str">
        <f>[1]!IntrinioDataPoint($C32,"current_yr_ave_eps_growth_est")</f>
        <v/>
      </c>
      <c r="AB32" s="45" t="str">
        <f>[1]!IntrinioDataPoint($C32,"next_yr_ave_eps_growth_est")</f>
        <v/>
      </c>
      <c r="AC32" s="45" t="str">
        <f>[1]!IntrinioDataPoint($C32,"long_term_growth_rate")</f>
        <v/>
      </c>
      <c r="AD32" s="52"/>
      <c r="AG32" s="54"/>
    </row>
    <row r="33" spans="1:33" s="46" customFormat="1" ht="12.75" hidden="1" customHeight="1" outlineLevel="1">
      <c r="A33" s="33"/>
      <c r="B33" s="202" t="str">
        <f>Info!A29</f>
        <v/>
      </c>
      <c r="C33" s="227" t="str">
        <f>IF(List!D29="","",List!D29)</f>
        <v/>
      </c>
      <c r="D33" s="260" t="str">
        <f>[1]!IntrinioDataPoint(C33,"close_price")</f>
        <v/>
      </c>
      <c r="E33" s="227" t="str">
        <f>[1]!IntrinioDataPoint(C33,"price_date")</f>
        <v/>
      </c>
      <c r="F33" s="227" t="str">
        <f>[1]!IntrinioDataPoint(C33,"price_time")</f>
        <v/>
      </c>
      <c r="G33" s="260" t="str">
        <f>[1]!IntrinioDataPoint($C33,"52_week_high")</f>
        <v/>
      </c>
      <c r="H33" s="260" t="str">
        <f>[1]!IntrinioDataPoint($C33,"52_week_low")</f>
        <v/>
      </c>
      <c r="I33" s="203"/>
      <c r="J33" s="204" t="str">
        <f>IF($C33="","",[1]!IntrinioFinancials($C33,"income_statement",0,"TTM","totalrevenue",rounding))</f>
        <v/>
      </c>
      <c r="K33" s="203" t="str">
        <f>IF($C33="","",[1]!IntrinioFinancials($C33,"income_statement",0,"TTM","totalgrossprofit",rounding))</f>
        <v/>
      </c>
      <c r="L33" s="203" t="str">
        <f>IF($C33="","",[1]!IntrinioFinancials($C33,"calculations",0,"TTM","ebit",rounding))</f>
        <v/>
      </c>
      <c r="M33" s="203" t="str">
        <f>IF($C33="","",[1]!IntrinioFinancials($C33,"calculations",0,"TTM","nopat",rounding))</f>
        <v/>
      </c>
      <c r="N33" s="203" t="str">
        <f>IF($C33="","",[1]!IntrinioFinancials($C33,"income_statement",0,"TTM","netincome",rounding))</f>
        <v/>
      </c>
      <c r="O33" s="205"/>
      <c r="P33" s="206" t="str">
        <f>IF($C33="","",[1]!IntrinioFinancials($C33,"calculations",0,"TTM","grossmargin"))</f>
        <v/>
      </c>
      <c r="Q33" s="207" t="str">
        <f>IF($C33="","",[1]!IntrinioFinancials($C33,"calculations",0,"TTM","ebitmargin"))</f>
        <v/>
      </c>
      <c r="R33" s="207" t="str">
        <f>IF($C33="","",[1]!IntrinioFinancials($C33,"calculations",0,"TTM","nopatmargin"))</f>
        <v/>
      </c>
      <c r="S33" s="207" t="str">
        <f>IF($C33="","",[1]!IntrinioFinancials($C33,"calculations",0,"TTM","profitmargin"))</f>
        <v/>
      </c>
      <c r="T33" s="207"/>
      <c r="U33" s="206" t="str">
        <f>IF($C33="","",[1]!IntrinioFinancials($C33,"calculations",0,"TTM","revenuegrowth"))</f>
        <v/>
      </c>
      <c r="V33" s="207" t="str">
        <f>IF($C33="","",[1]!IntrinioFinancials($C33,"calculations",0,"TTM","revenueqoqgrowth"))</f>
        <v/>
      </c>
      <c r="W33" s="207" t="str">
        <f>IF($C33="","",[1]!IntrinioDataPoint($C33,"current_yr_ave_revenue_est")/[1]!IntrinioFinancials($C33,"income_statement",0,"FY","totalrevenue","A")-1)</f>
        <v/>
      </c>
      <c r="X33" s="208" t="str">
        <f>IF($C33="","",[1]!IntrinioDataPoint($C33,"next_yr_ave_revenue_est")/[1]!IntrinioDataPoint($C33,"current_yr_ave_revenue_est")-1)</f>
        <v/>
      </c>
      <c r="Y33" s="207" t="str">
        <f>IF($C33="","",[1]!IntrinioFinancials($C33,"calculations",0,"TTM","netincomegrowth"))</f>
        <v/>
      </c>
      <c r="Z33" s="207" t="str">
        <f>IF($C33="","",[1]!IntrinioFinancials($C33,"calculations",0,"TTM","netincomeqoqgrowth"))</f>
        <v/>
      </c>
      <c r="AA33" s="207" t="str">
        <f>[1]!IntrinioDataPoint($C33,"current_yr_ave_eps_growth_est")</f>
        <v/>
      </c>
      <c r="AB33" s="207" t="str">
        <f>[1]!IntrinioDataPoint($C33,"next_yr_ave_eps_growth_est")</f>
        <v/>
      </c>
      <c r="AC33" s="207" t="str">
        <f>[1]!IntrinioDataPoint($C33,"long_term_growth_rate")</f>
        <v/>
      </c>
      <c r="AD33" s="52"/>
      <c r="AG33" s="54"/>
    </row>
    <row r="34" spans="1:33" s="46" customFormat="1" ht="12.75" hidden="1" customHeight="1" outlineLevel="1">
      <c r="A34" s="33"/>
      <c r="B34" s="146" t="str">
        <f>Info!A30</f>
        <v/>
      </c>
      <c r="C34" s="148" t="str">
        <f>IF(List!D30="","",List!D30)</f>
        <v/>
      </c>
      <c r="D34" s="259" t="str">
        <f>[1]!IntrinioDataPoint(C34,"close_price")</f>
        <v/>
      </c>
      <c r="E34" s="148" t="str">
        <f>[1]!IntrinioDataPoint(C34,"price_date")</f>
        <v/>
      </c>
      <c r="F34" s="148" t="str">
        <f>[1]!IntrinioDataPoint(C34,"price_time")</f>
        <v/>
      </c>
      <c r="G34" s="259" t="str">
        <f>[1]!IntrinioDataPoint($C34,"52_week_high")</f>
        <v/>
      </c>
      <c r="H34" s="259" t="str">
        <f>[1]!IntrinioDataPoint($C34,"52_week_low")</f>
        <v/>
      </c>
      <c r="I34" s="48"/>
      <c r="J34" s="49" t="str">
        <f>IF($C34="","",[1]!IntrinioFinancials($C34,"income_statement",0,"TTM","totalrevenue",rounding))</f>
        <v/>
      </c>
      <c r="K34" s="48" t="str">
        <f>IF($C34="","",[1]!IntrinioFinancials($C34,"income_statement",0,"TTM","totalgrossprofit",rounding))</f>
        <v/>
      </c>
      <c r="L34" s="48" t="str">
        <f>IF($C34="","",[1]!IntrinioFinancials($C34,"calculations",0,"TTM","ebit",rounding))</f>
        <v/>
      </c>
      <c r="M34" s="48" t="str">
        <f>IF($C34="","",[1]!IntrinioFinancials($C34,"calculations",0,"TTM","nopat",rounding))</f>
        <v/>
      </c>
      <c r="N34" s="48" t="str">
        <f>IF($C34="","",[1]!IntrinioFinancials($C34,"income_statement",0,"TTM","netincome",rounding))</f>
        <v/>
      </c>
      <c r="O34" s="50"/>
      <c r="P34" s="51" t="str">
        <f>IF($C34="","",[1]!IntrinioFinancials($C34,"calculations",0,"TTM","grossmargin"))</f>
        <v/>
      </c>
      <c r="Q34" s="45" t="str">
        <f>IF($C34="","",[1]!IntrinioFinancials($C34,"calculations",0,"TTM","ebitmargin"))</f>
        <v/>
      </c>
      <c r="R34" s="45" t="str">
        <f>IF($C34="","",[1]!IntrinioFinancials($C34,"calculations",0,"TTM","nopatmargin"))</f>
        <v/>
      </c>
      <c r="S34" s="45" t="str">
        <f>IF($C34="","",[1]!IntrinioFinancials($C34,"calculations",0,"TTM","profitmargin"))</f>
        <v/>
      </c>
      <c r="T34" s="45"/>
      <c r="U34" s="51" t="str">
        <f>IF($C34="","",[1]!IntrinioFinancials($C34,"calculations",0,"TTM","revenuegrowth"))</f>
        <v/>
      </c>
      <c r="V34" s="45" t="str">
        <f>IF($C34="","",[1]!IntrinioFinancials($C34,"calculations",0,"TTM","revenueqoqgrowth"))</f>
        <v/>
      </c>
      <c r="W34" s="45" t="str">
        <f>IF($C34="","",[1]!IntrinioDataPoint($C34,"current_yr_ave_revenue_est")/[1]!IntrinioFinancials($C34,"income_statement",0,"FY","totalrevenue","A")-1)</f>
        <v/>
      </c>
      <c r="X34" s="100" t="str">
        <f>IF($C34="","",[1]!IntrinioDataPoint($C34,"next_yr_ave_revenue_est")/[1]!IntrinioDataPoint($C34,"current_yr_ave_revenue_est")-1)</f>
        <v/>
      </c>
      <c r="Y34" s="45" t="str">
        <f>IF($C34="","",[1]!IntrinioFinancials($C34,"calculations",0,"TTM","netincomegrowth"))</f>
        <v/>
      </c>
      <c r="Z34" s="45" t="str">
        <f>IF($C34="","",[1]!IntrinioFinancials($C34,"calculations",0,"TTM","netincomeqoqgrowth"))</f>
        <v/>
      </c>
      <c r="AA34" s="45" t="str">
        <f>[1]!IntrinioDataPoint($C34,"current_yr_ave_eps_growth_est")</f>
        <v/>
      </c>
      <c r="AB34" s="45" t="str">
        <f>[1]!IntrinioDataPoint($C34,"next_yr_ave_eps_growth_est")</f>
        <v/>
      </c>
      <c r="AC34" s="45" t="str">
        <f>[1]!IntrinioDataPoint($C34,"long_term_growth_rate")</f>
        <v/>
      </c>
      <c r="AD34" s="52"/>
      <c r="AG34" s="54"/>
    </row>
    <row r="35" spans="1:33" s="46" customFormat="1" ht="12.75" hidden="1" customHeight="1" outlineLevel="1">
      <c r="A35" s="33"/>
      <c r="B35" s="202" t="str">
        <f>Info!A31</f>
        <v/>
      </c>
      <c r="C35" s="227" t="str">
        <f>IF(List!D31="","",List!D31)</f>
        <v/>
      </c>
      <c r="D35" s="260" t="str">
        <f>[1]!IntrinioDataPoint(C35,"close_price")</f>
        <v/>
      </c>
      <c r="E35" s="227" t="str">
        <f>[1]!IntrinioDataPoint(C35,"price_date")</f>
        <v/>
      </c>
      <c r="F35" s="227" t="str">
        <f>[1]!IntrinioDataPoint(C35,"price_time")</f>
        <v/>
      </c>
      <c r="G35" s="260" t="str">
        <f>[1]!IntrinioDataPoint($C35,"52_week_high")</f>
        <v/>
      </c>
      <c r="H35" s="260" t="str">
        <f>[1]!IntrinioDataPoint($C35,"52_week_low")</f>
        <v/>
      </c>
      <c r="I35" s="203"/>
      <c r="J35" s="204" t="str">
        <f>IF($C35="","",[1]!IntrinioFinancials($C35,"income_statement",0,"TTM","totalrevenue",rounding))</f>
        <v/>
      </c>
      <c r="K35" s="203" t="str">
        <f>IF($C35="","",[1]!IntrinioFinancials($C35,"income_statement",0,"TTM","totalgrossprofit",rounding))</f>
        <v/>
      </c>
      <c r="L35" s="203" t="str">
        <f>IF($C35="","",[1]!IntrinioFinancials($C35,"calculations",0,"TTM","ebit",rounding))</f>
        <v/>
      </c>
      <c r="M35" s="203" t="str">
        <f>IF($C35="","",[1]!IntrinioFinancials($C35,"calculations",0,"TTM","nopat",rounding))</f>
        <v/>
      </c>
      <c r="N35" s="203" t="str">
        <f>IF($C35="","",[1]!IntrinioFinancials($C35,"income_statement",0,"TTM","netincome",rounding))</f>
        <v/>
      </c>
      <c r="O35" s="205"/>
      <c r="P35" s="206" t="str">
        <f>IF($C35="","",[1]!IntrinioFinancials($C35,"calculations",0,"TTM","grossmargin"))</f>
        <v/>
      </c>
      <c r="Q35" s="207" t="str">
        <f>IF($C35="","",[1]!IntrinioFinancials($C35,"calculations",0,"TTM","ebitmargin"))</f>
        <v/>
      </c>
      <c r="R35" s="207" t="str">
        <f>IF($C35="","",[1]!IntrinioFinancials($C35,"calculations",0,"TTM","nopatmargin"))</f>
        <v/>
      </c>
      <c r="S35" s="207" t="str">
        <f>IF($C35="","",[1]!IntrinioFinancials($C35,"calculations",0,"TTM","profitmargin"))</f>
        <v/>
      </c>
      <c r="T35" s="207"/>
      <c r="U35" s="206" t="str">
        <f>IF($C35="","",[1]!IntrinioFinancials($C35,"calculations",0,"TTM","revenuegrowth"))</f>
        <v/>
      </c>
      <c r="V35" s="207" t="str">
        <f>IF($C35="","",[1]!IntrinioFinancials($C35,"calculations",0,"TTM","revenueqoqgrowth"))</f>
        <v/>
      </c>
      <c r="W35" s="207" t="str">
        <f>IF($C35="","",[1]!IntrinioDataPoint($C35,"current_yr_ave_revenue_est")/[1]!IntrinioFinancials($C35,"income_statement",0,"FY","totalrevenue","A")-1)</f>
        <v/>
      </c>
      <c r="X35" s="208" t="str">
        <f>IF($C35="","",[1]!IntrinioDataPoint($C35,"next_yr_ave_revenue_est")/[1]!IntrinioDataPoint($C35,"current_yr_ave_revenue_est")-1)</f>
        <v/>
      </c>
      <c r="Y35" s="207" t="str">
        <f>IF($C35="","",[1]!IntrinioFinancials($C35,"calculations",0,"TTM","netincomegrowth"))</f>
        <v/>
      </c>
      <c r="Z35" s="207" t="str">
        <f>IF($C35="","",[1]!IntrinioFinancials($C35,"calculations",0,"TTM","netincomeqoqgrowth"))</f>
        <v/>
      </c>
      <c r="AA35" s="207" t="str">
        <f>[1]!IntrinioDataPoint($C35,"current_yr_ave_eps_growth_est")</f>
        <v/>
      </c>
      <c r="AB35" s="207" t="str">
        <f>[1]!IntrinioDataPoint($C35,"next_yr_ave_eps_growth_est")</f>
        <v/>
      </c>
      <c r="AC35" s="207" t="str">
        <f>[1]!IntrinioDataPoint($C35,"long_term_growth_rate")</f>
        <v/>
      </c>
      <c r="AD35" s="52"/>
      <c r="AG35" s="54"/>
    </row>
    <row r="36" spans="1:33" s="46" customFormat="1" ht="12.75" hidden="1" customHeight="1" outlineLevel="1">
      <c r="A36" s="33"/>
      <c r="B36" s="146" t="str">
        <f>Info!A32</f>
        <v/>
      </c>
      <c r="C36" s="148" t="str">
        <f>IF(List!D32="","",List!D32)</f>
        <v/>
      </c>
      <c r="D36" s="259" t="str">
        <f>[1]!IntrinioDataPoint(C36,"close_price")</f>
        <v/>
      </c>
      <c r="E36" s="148" t="str">
        <f>[1]!IntrinioDataPoint(C36,"price_date")</f>
        <v/>
      </c>
      <c r="F36" s="148" t="str">
        <f>[1]!IntrinioDataPoint(C36,"price_time")</f>
        <v/>
      </c>
      <c r="G36" s="259" t="str">
        <f>[1]!IntrinioDataPoint($C36,"52_week_high")</f>
        <v/>
      </c>
      <c r="H36" s="259" t="str">
        <f>[1]!IntrinioDataPoint($C36,"52_week_low")</f>
        <v/>
      </c>
      <c r="I36" s="48"/>
      <c r="J36" s="49" t="str">
        <f>IF($C36="","",[1]!IntrinioFinancials($C36,"income_statement",0,"TTM","totalrevenue",rounding))</f>
        <v/>
      </c>
      <c r="K36" s="48" t="str">
        <f>IF($C36="","",[1]!IntrinioFinancials($C36,"income_statement",0,"TTM","totalgrossprofit",rounding))</f>
        <v/>
      </c>
      <c r="L36" s="48" t="str">
        <f>IF($C36="","",[1]!IntrinioFinancials($C36,"calculations",0,"TTM","ebit",rounding))</f>
        <v/>
      </c>
      <c r="M36" s="48" t="str">
        <f>IF($C36="","",[1]!IntrinioFinancials($C36,"calculations",0,"TTM","nopat",rounding))</f>
        <v/>
      </c>
      <c r="N36" s="48" t="str">
        <f>IF($C36="","",[1]!IntrinioFinancials($C36,"income_statement",0,"TTM","netincome",rounding))</f>
        <v/>
      </c>
      <c r="O36" s="50"/>
      <c r="P36" s="51" t="str">
        <f>IF($C36="","",[1]!IntrinioFinancials($C36,"calculations",0,"TTM","grossmargin"))</f>
        <v/>
      </c>
      <c r="Q36" s="45" t="str">
        <f>IF($C36="","",[1]!IntrinioFinancials($C36,"calculations",0,"TTM","ebitmargin"))</f>
        <v/>
      </c>
      <c r="R36" s="45" t="str">
        <f>IF($C36="","",[1]!IntrinioFinancials($C36,"calculations",0,"TTM","nopatmargin"))</f>
        <v/>
      </c>
      <c r="S36" s="45" t="str">
        <f>IF($C36="","",[1]!IntrinioFinancials($C36,"calculations",0,"TTM","profitmargin"))</f>
        <v/>
      </c>
      <c r="T36" s="45"/>
      <c r="U36" s="51" t="str">
        <f>IF($C36="","",[1]!IntrinioFinancials($C36,"calculations",0,"TTM","revenuegrowth"))</f>
        <v/>
      </c>
      <c r="V36" s="45" t="str">
        <f>IF($C36="","",[1]!IntrinioFinancials($C36,"calculations",0,"TTM","revenueqoqgrowth"))</f>
        <v/>
      </c>
      <c r="W36" s="45" t="str">
        <f>IF($C36="","",[1]!IntrinioDataPoint($C36,"current_yr_ave_revenue_est")/[1]!IntrinioFinancials($C36,"income_statement",0,"FY","totalrevenue","A")-1)</f>
        <v/>
      </c>
      <c r="X36" s="100" t="str">
        <f>IF($C36="","",[1]!IntrinioDataPoint($C36,"next_yr_ave_revenue_est")/[1]!IntrinioDataPoint($C36,"current_yr_ave_revenue_est")-1)</f>
        <v/>
      </c>
      <c r="Y36" s="45" t="str">
        <f>IF($C36="","",[1]!IntrinioFinancials($C36,"calculations",0,"TTM","netincomegrowth"))</f>
        <v/>
      </c>
      <c r="Z36" s="45" t="str">
        <f>IF($C36="","",[1]!IntrinioFinancials($C36,"calculations",0,"TTM","netincomeqoqgrowth"))</f>
        <v/>
      </c>
      <c r="AA36" s="45" t="str">
        <f>[1]!IntrinioDataPoint($C36,"current_yr_ave_eps_growth_est")</f>
        <v/>
      </c>
      <c r="AB36" s="45" t="str">
        <f>[1]!IntrinioDataPoint($C36,"next_yr_ave_eps_growth_est")</f>
        <v/>
      </c>
      <c r="AC36" s="45" t="str">
        <f>[1]!IntrinioDataPoint($C36,"long_term_growth_rate")</f>
        <v/>
      </c>
      <c r="AD36" s="52"/>
      <c r="AG36" s="54"/>
    </row>
    <row r="37" spans="1:33" s="46" customFormat="1" ht="12.75" hidden="1" customHeight="1" outlineLevel="1">
      <c r="A37" s="33"/>
      <c r="B37" s="202" t="str">
        <f>Info!A33</f>
        <v/>
      </c>
      <c r="C37" s="227" t="str">
        <f>IF(List!D33="","",List!D33)</f>
        <v/>
      </c>
      <c r="D37" s="260" t="str">
        <f>[1]!IntrinioDataPoint(C37,"close_price")</f>
        <v/>
      </c>
      <c r="E37" s="227" t="str">
        <f>[1]!IntrinioDataPoint(C37,"price_date")</f>
        <v/>
      </c>
      <c r="F37" s="227" t="str">
        <f>[1]!IntrinioDataPoint(C37,"price_time")</f>
        <v/>
      </c>
      <c r="G37" s="260" t="str">
        <f>[1]!IntrinioDataPoint($C37,"52_week_high")</f>
        <v/>
      </c>
      <c r="H37" s="260" t="str">
        <f>[1]!IntrinioDataPoint($C37,"52_week_low")</f>
        <v/>
      </c>
      <c r="I37" s="203"/>
      <c r="J37" s="204" t="str">
        <f>IF($C37="","",[1]!IntrinioFinancials($C37,"income_statement",0,"TTM","totalrevenue",rounding))</f>
        <v/>
      </c>
      <c r="K37" s="203" t="str">
        <f>IF($C37="","",[1]!IntrinioFinancials($C37,"income_statement",0,"TTM","totalgrossprofit",rounding))</f>
        <v/>
      </c>
      <c r="L37" s="203" t="str">
        <f>IF($C37="","",[1]!IntrinioFinancials($C37,"calculations",0,"TTM","ebit",rounding))</f>
        <v/>
      </c>
      <c r="M37" s="203" t="str">
        <f>IF($C37="","",[1]!IntrinioFinancials($C37,"calculations",0,"TTM","nopat",rounding))</f>
        <v/>
      </c>
      <c r="N37" s="203" t="str">
        <f>IF($C37="","",[1]!IntrinioFinancials($C37,"income_statement",0,"TTM","netincome",rounding))</f>
        <v/>
      </c>
      <c r="O37" s="205"/>
      <c r="P37" s="206" t="str">
        <f>IF($C37="","",[1]!IntrinioFinancials($C37,"calculations",0,"TTM","grossmargin"))</f>
        <v/>
      </c>
      <c r="Q37" s="207" t="str">
        <f>IF($C37="","",[1]!IntrinioFinancials($C37,"calculations",0,"TTM","ebitmargin"))</f>
        <v/>
      </c>
      <c r="R37" s="207" t="str">
        <f>IF($C37="","",[1]!IntrinioFinancials($C37,"calculations",0,"TTM","nopatmargin"))</f>
        <v/>
      </c>
      <c r="S37" s="207" t="str">
        <f>IF($C37="","",[1]!IntrinioFinancials($C37,"calculations",0,"TTM","profitmargin"))</f>
        <v/>
      </c>
      <c r="T37" s="207"/>
      <c r="U37" s="206" t="str">
        <f>IF($C37="","",[1]!IntrinioFinancials($C37,"calculations",0,"TTM","revenuegrowth"))</f>
        <v/>
      </c>
      <c r="V37" s="207" t="str">
        <f>IF($C37="","",[1]!IntrinioFinancials($C37,"calculations",0,"TTM","revenueqoqgrowth"))</f>
        <v/>
      </c>
      <c r="W37" s="207" t="str">
        <f>IF($C37="","",[1]!IntrinioDataPoint($C37,"current_yr_ave_revenue_est")/[1]!IntrinioFinancials($C37,"income_statement",0,"FY","totalrevenue","A")-1)</f>
        <v/>
      </c>
      <c r="X37" s="208" t="str">
        <f>IF($C37="","",[1]!IntrinioDataPoint($C37,"next_yr_ave_revenue_est")/[1]!IntrinioDataPoint($C37,"current_yr_ave_revenue_est")-1)</f>
        <v/>
      </c>
      <c r="Y37" s="207" t="str">
        <f>IF($C37="","",[1]!IntrinioFinancials($C37,"calculations",0,"TTM","netincomegrowth"))</f>
        <v/>
      </c>
      <c r="Z37" s="207" t="str">
        <f>IF($C37="","",[1]!IntrinioFinancials($C37,"calculations",0,"TTM","netincomeqoqgrowth"))</f>
        <v/>
      </c>
      <c r="AA37" s="207" t="str">
        <f>[1]!IntrinioDataPoint($C37,"current_yr_ave_eps_growth_est")</f>
        <v/>
      </c>
      <c r="AB37" s="207" t="str">
        <f>[1]!IntrinioDataPoint($C37,"next_yr_ave_eps_growth_est")</f>
        <v/>
      </c>
      <c r="AC37" s="207" t="str">
        <f>[1]!IntrinioDataPoint($C37,"long_term_growth_rate")</f>
        <v/>
      </c>
      <c r="AD37" s="52"/>
      <c r="AG37" s="54"/>
    </row>
    <row r="38" spans="1:33" s="46" customFormat="1" ht="12.75" hidden="1" customHeight="1" outlineLevel="1">
      <c r="A38" s="33"/>
      <c r="B38" s="146" t="str">
        <f>Info!A34</f>
        <v/>
      </c>
      <c r="C38" s="148" t="str">
        <f>IF(List!D34="","",List!D34)</f>
        <v/>
      </c>
      <c r="D38" s="259" t="str">
        <f>[1]!IntrinioDataPoint(C38,"close_price")</f>
        <v/>
      </c>
      <c r="E38" s="148" t="str">
        <f>[1]!IntrinioDataPoint(C38,"price_date")</f>
        <v/>
      </c>
      <c r="F38" s="148" t="str">
        <f>[1]!IntrinioDataPoint(C38,"price_time")</f>
        <v/>
      </c>
      <c r="G38" s="259" t="str">
        <f>[1]!IntrinioDataPoint($C38,"52_week_high")</f>
        <v/>
      </c>
      <c r="H38" s="259" t="str">
        <f>[1]!IntrinioDataPoint($C38,"52_week_low")</f>
        <v/>
      </c>
      <c r="I38" s="48"/>
      <c r="J38" s="49" t="str">
        <f>IF($C38="","",[1]!IntrinioFinancials($C38,"income_statement",0,"TTM","totalrevenue",rounding))</f>
        <v/>
      </c>
      <c r="K38" s="48" t="str">
        <f>IF($C38="","",[1]!IntrinioFinancials($C38,"income_statement",0,"TTM","totalgrossprofit",rounding))</f>
        <v/>
      </c>
      <c r="L38" s="48" t="str">
        <f>IF($C38="","",[1]!IntrinioFinancials($C38,"calculations",0,"TTM","ebit",rounding))</f>
        <v/>
      </c>
      <c r="M38" s="48" t="str">
        <f>IF($C38="","",[1]!IntrinioFinancials($C38,"calculations",0,"TTM","nopat",rounding))</f>
        <v/>
      </c>
      <c r="N38" s="48" t="str">
        <f>IF($C38="","",[1]!IntrinioFinancials($C38,"income_statement",0,"TTM","netincome",rounding))</f>
        <v/>
      </c>
      <c r="O38" s="50"/>
      <c r="P38" s="51" t="str">
        <f>IF($C38="","",[1]!IntrinioFinancials($C38,"calculations",0,"TTM","grossmargin"))</f>
        <v/>
      </c>
      <c r="Q38" s="45" t="str">
        <f>IF($C38="","",[1]!IntrinioFinancials($C38,"calculations",0,"TTM","ebitmargin"))</f>
        <v/>
      </c>
      <c r="R38" s="45" t="str">
        <f>IF($C38="","",[1]!IntrinioFinancials($C38,"calculations",0,"TTM","nopatmargin"))</f>
        <v/>
      </c>
      <c r="S38" s="45" t="str">
        <f>IF($C38="","",[1]!IntrinioFinancials($C38,"calculations",0,"TTM","profitmargin"))</f>
        <v/>
      </c>
      <c r="T38" s="45"/>
      <c r="U38" s="51" t="str">
        <f>IF($C38="","",[1]!IntrinioFinancials($C38,"calculations",0,"TTM","revenuegrowth"))</f>
        <v/>
      </c>
      <c r="V38" s="45" t="str">
        <f>IF($C38="","",[1]!IntrinioFinancials($C38,"calculations",0,"TTM","revenueqoqgrowth"))</f>
        <v/>
      </c>
      <c r="W38" s="45" t="str">
        <f>IF($C38="","",[1]!IntrinioDataPoint($C38,"current_yr_ave_revenue_est")/[1]!IntrinioFinancials($C38,"income_statement",0,"FY","totalrevenue","A")-1)</f>
        <v/>
      </c>
      <c r="X38" s="100" t="str">
        <f>IF($C38="","",[1]!IntrinioDataPoint($C38,"next_yr_ave_revenue_est")/[1]!IntrinioDataPoint($C38,"current_yr_ave_revenue_est")-1)</f>
        <v/>
      </c>
      <c r="Y38" s="45" t="str">
        <f>IF($C38="","",[1]!IntrinioFinancials($C38,"calculations",0,"TTM","netincomegrowth"))</f>
        <v/>
      </c>
      <c r="Z38" s="45" t="str">
        <f>IF($C38="","",[1]!IntrinioFinancials($C38,"calculations",0,"TTM","netincomeqoqgrowth"))</f>
        <v/>
      </c>
      <c r="AA38" s="45" t="str">
        <f>[1]!IntrinioDataPoint($C38,"current_yr_ave_eps_growth_est")</f>
        <v/>
      </c>
      <c r="AB38" s="45" t="str">
        <f>[1]!IntrinioDataPoint($C38,"next_yr_ave_eps_growth_est")</f>
        <v/>
      </c>
      <c r="AC38" s="45" t="str">
        <f>[1]!IntrinioDataPoint($C38,"long_term_growth_rate")</f>
        <v/>
      </c>
      <c r="AD38" s="52"/>
      <c r="AG38" s="54"/>
    </row>
    <row r="39" spans="1:33" s="46" customFormat="1" ht="12.75" hidden="1" customHeight="1" outlineLevel="1">
      <c r="A39" s="33"/>
      <c r="B39" s="202" t="str">
        <f>Info!A35</f>
        <v/>
      </c>
      <c r="C39" s="227" t="str">
        <f>IF(List!D35="","",List!D35)</f>
        <v/>
      </c>
      <c r="D39" s="260" t="str">
        <f>[1]!IntrinioDataPoint(C39,"close_price")</f>
        <v/>
      </c>
      <c r="E39" s="227" t="str">
        <f>[1]!IntrinioDataPoint(C39,"price_date")</f>
        <v/>
      </c>
      <c r="F39" s="227" t="str">
        <f>[1]!IntrinioDataPoint(C39,"price_time")</f>
        <v/>
      </c>
      <c r="G39" s="260" t="str">
        <f>[1]!IntrinioDataPoint($C39,"52_week_high")</f>
        <v/>
      </c>
      <c r="H39" s="260" t="str">
        <f>[1]!IntrinioDataPoint($C39,"52_week_low")</f>
        <v/>
      </c>
      <c r="I39" s="203"/>
      <c r="J39" s="204" t="str">
        <f>IF($C39="","",[1]!IntrinioFinancials($C39,"income_statement",0,"TTM","totalrevenue",rounding))</f>
        <v/>
      </c>
      <c r="K39" s="203" t="str">
        <f>IF($C39="","",[1]!IntrinioFinancials($C39,"income_statement",0,"TTM","totalgrossprofit",rounding))</f>
        <v/>
      </c>
      <c r="L39" s="203" t="str">
        <f>IF($C39="","",[1]!IntrinioFinancials($C39,"calculations",0,"TTM","ebit",rounding))</f>
        <v/>
      </c>
      <c r="M39" s="203" t="str">
        <f>IF($C39="","",[1]!IntrinioFinancials($C39,"calculations",0,"TTM","nopat",rounding))</f>
        <v/>
      </c>
      <c r="N39" s="203" t="str">
        <f>IF($C39="","",[1]!IntrinioFinancials($C39,"income_statement",0,"TTM","netincome",rounding))</f>
        <v/>
      </c>
      <c r="O39" s="205"/>
      <c r="P39" s="206" t="str">
        <f>IF($C39="","",[1]!IntrinioFinancials($C39,"calculations",0,"TTM","grossmargin"))</f>
        <v/>
      </c>
      <c r="Q39" s="207" t="str">
        <f>IF($C39="","",[1]!IntrinioFinancials($C39,"calculations",0,"TTM","ebitmargin"))</f>
        <v/>
      </c>
      <c r="R39" s="207" t="str">
        <f>IF($C39="","",[1]!IntrinioFinancials($C39,"calculations",0,"TTM","nopatmargin"))</f>
        <v/>
      </c>
      <c r="S39" s="207" t="str">
        <f>IF($C39="","",[1]!IntrinioFinancials($C39,"calculations",0,"TTM","profitmargin"))</f>
        <v/>
      </c>
      <c r="T39" s="207"/>
      <c r="U39" s="206" t="str">
        <f>IF($C39="","",[1]!IntrinioFinancials($C39,"calculations",0,"TTM","revenuegrowth"))</f>
        <v/>
      </c>
      <c r="V39" s="207" t="str">
        <f>IF($C39="","",[1]!IntrinioFinancials($C39,"calculations",0,"TTM","revenueqoqgrowth"))</f>
        <v/>
      </c>
      <c r="W39" s="207" t="str">
        <f>IF($C39="","",[1]!IntrinioDataPoint($C39,"current_yr_ave_revenue_est")/[1]!IntrinioFinancials($C39,"income_statement",0,"FY","totalrevenue","A")-1)</f>
        <v/>
      </c>
      <c r="X39" s="208" t="str">
        <f>IF($C39="","",[1]!IntrinioDataPoint($C39,"next_yr_ave_revenue_est")/[1]!IntrinioDataPoint($C39,"current_yr_ave_revenue_est")-1)</f>
        <v/>
      </c>
      <c r="Y39" s="207" t="str">
        <f>IF($C39="","",[1]!IntrinioFinancials($C39,"calculations",0,"TTM","netincomegrowth"))</f>
        <v/>
      </c>
      <c r="Z39" s="207" t="str">
        <f>IF($C39="","",[1]!IntrinioFinancials($C39,"calculations",0,"TTM","netincomeqoqgrowth"))</f>
        <v/>
      </c>
      <c r="AA39" s="207" t="str">
        <f>[1]!IntrinioDataPoint($C39,"current_yr_ave_eps_growth_est")</f>
        <v/>
      </c>
      <c r="AB39" s="207" t="str">
        <f>[1]!IntrinioDataPoint($C39,"next_yr_ave_eps_growth_est")</f>
        <v/>
      </c>
      <c r="AC39" s="207" t="str">
        <f>[1]!IntrinioDataPoint($C39,"long_term_growth_rate")</f>
        <v/>
      </c>
      <c r="AD39" s="52"/>
      <c r="AG39" s="54"/>
    </row>
    <row r="40" spans="1:33" s="46" customFormat="1" collapsed="1">
      <c r="A40" s="33"/>
      <c r="B40" s="146"/>
      <c r="C40" s="148"/>
      <c r="D40" s="148"/>
      <c r="E40" s="148"/>
      <c r="F40" s="148"/>
      <c r="G40" s="148"/>
      <c r="H40" s="148"/>
      <c r="I40" s="48"/>
      <c r="J40" s="49"/>
      <c r="K40" s="48"/>
      <c r="L40" s="48"/>
      <c r="M40" s="48"/>
      <c r="N40" s="48"/>
      <c r="O40" s="50"/>
      <c r="P40" s="51"/>
      <c r="Q40" s="45"/>
      <c r="R40" s="45"/>
      <c r="S40" s="45"/>
      <c r="T40" s="45"/>
      <c r="U40" s="51"/>
      <c r="V40" s="45"/>
      <c r="W40" s="45"/>
      <c r="X40" s="100"/>
      <c r="Y40" s="45"/>
      <c r="Z40" s="45"/>
      <c r="AA40" s="45"/>
      <c r="AB40" s="45"/>
      <c r="AC40" s="45"/>
      <c r="AD40" s="52"/>
    </row>
    <row r="41" spans="1:33" s="46" customFormat="1" ht="16.5">
      <c r="A41" s="33"/>
      <c r="B41" s="265" t="s">
        <v>85</v>
      </c>
      <c r="C41" s="263"/>
      <c r="D41" s="263"/>
      <c r="E41" s="263"/>
      <c r="F41" s="263"/>
      <c r="G41" s="263"/>
      <c r="H41" s="263"/>
      <c r="I41" s="263"/>
      <c r="J41" s="263"/>
      <c r="K41" s="263"/>
      <c r="L41" s="263"/>
      <c r="M41" s="263"/>
      <c r="N41" s="263"/>
      <c r="O41" s="263"/>
      <c r="P41" s="263"/>
      <c r="Q41" s="263"/>
      <c r="R41" s="263"/>
      <c r="S41" s="263"/>
      <c r="T41" s="263"/>
      <c r="U41" s="263"/>
      <c r="V41" s="263"/>
      <c r="W41" s="263"/>
      <c r="X41" s="263"/>
      <c r="Y41" s="263"/>
      <c r="Z41" s="263"/>
      <c r="AA41" s="263"/>
      <c r="AB41" s="263"/>
      <c r="AC41" s="263"/>
      <c r="AD41" s="47"/>
    </row>
    <row r="42" spans="1:33" s="43" customFormat="1" ht="13.15">
      <c r="B42" s="146"/>
      <c r="C42" s="146"/>
      <c r="D42" s="146"/>
      <c r="E42" s="146"/>
      <c r="F42" s="146"/>
      <c r="G42" s="146"/>
      <c r="H42" s="146"/>
      <c r="I42" s="55"/>
      <c r="J42" s="58"/>
      <c r="K42" s="56"/>
      <c r="L42" s="57"/>
      <c r="M42" s="57"/>
      <c r="N42" s="57"/>
      <c r="O42" s="57"/>
      <c r="P42" s="59"/>
      <c r="Q42" s="60"/>
      <c r="R42" s="60"/>
      <c r="S42" s="60"/>
      <c r="T42" s="60"/>
      <c r="U42" s="51"/>
      <c r="V42" s="45"/>
      <c r="W42" s="45"/>
      <c r="X42" s="100"/>
      <c r="Y42" s="45"/>
      <c r="Z42" s="45"/>
      <c r="AA42" s="45"/>
      <c r="AB42" s="45"/>
      <c r="AC42" s="45"/>
    </row>
    <row r="43" spans="1:33" s="43" customFormat="1" ht="13.15">
      <c r="A43" s="63"/>
      <c r="B43" s="192" t="s">
        <v>73</v>
      </c>
      <c r="C43" s="193"/>
      <c r="D43" s="193"/>
      <c r="E43" s="193"/>
      <c r="F43" s="193"/>
      <c r="G43" s="193"/>
      <c r="H43" s="193"/>
      <c r="I43" s="196"/>
      <c r="J43" s="197"/>
      <c r="K43" s="194"/>
      <c r="L43" s="195"/>
      <c r="M43" s="195"/>
      <c r="N43" s="195"/>
      <c r="O43" s="195"/>
      <c r="P43" s="198" t="str">
        <f>IFERROR(+(SUMPRODUCT(#REF!,P10:P39))/(SUM(#REF!)-(SUMIF(P10:P39,"",#REF!))),"")</f>
        <v/>
      </c>
      <c r="Q43" s="199" t="str">
        <f>IFERROR(+(SUMPRODUCT(#REF!,Q10:Q39))/(SUM(#REF!)-(SUMIF(Q10:Q39,"",#REF!))),"")</f>
        <v/>
      </c>
      <c r="R43" s="199" t="str">
        <f>IFERROR(+(SUMPRODUCT(#REF!,R10:R39))/(SUM(#REF!)-(SUMIF(R10:R39,"",#REF!))),"")</f>
        <v/>
      </c>
      <c r="S43" s="199" t="str">
        <f>IFERROR(+(SUMPRODUCT(#REF!,S10:S39))/(SUM(#REF!)-(SUMIF(S10:S39,"",#REF!))),"")</f>
        <v/>
      </c>
      <c r="T43" s="199"/>
      <c r="U43" s="198" t="str">
        <f>IFERROR(+(SUMPRODUCT(#REF!,U10:U39))/(SUM(#REF!)-(SUMIF(U10:U39,"",#REF!))),"")</f>
        <v/>
      </c>
      <c r="V43" s="199" t="str">
        <f>IFERROR(+(SUMPRODUCT(#REF!,V10:V39))/(SUM(#REF!)-(SUMIF(V10:V39,"",#REF!))),"")</f>
        <v/>
      </c>
      <c r="W43" s="199" t="str">
        <f>IFERROR(+(SUMPRODUCT(#REF!,W10:W39))/(SUM(#REF!)-(SUMIF(W10:W39,"",#REF!))),"")</f>
        <v/>
      </c>
      <c r="X43" s="200" t="str">
        <f>IFERROR(+(SUMPRODUCT(#REF!,X10:X39))/(SUM(#REF!)-(SUMIF(X10:X39,"",#REF!))),"")</f>
        <v/>
      </c>
      <c r="Y43" s="199" t="str">
        <f>IFERROR(+(SUMPRODUCT(#REF!,Y10:Y39))/(SUM(#REF!)-(SUMIF(Y10:Y39,"",#REF!))),"")</f>
        <v/>
      </c>
      <c r="Z43" s="199" t="str">
        <f>IFERROR(+(SUMPRODUCT(#REF!,Z10:Z39))/(SUM(#REF!)-(SUMIF(Z10:Z39,"",#REF!))),"")</f>
        <v/>
      </c>
      <c r="AA43" s="199" t="str">
        <f>IFERROR(+(SUMPRODUCT(#REF!,AA10:AA39))/(SUM(#REF!)-(SUMIF(AA10:AA39,"",#REF!))),"")</f>
        <v/>
      </c>
      <c r="AB43" s="199" t="str">
        <f>IFERROR(+(SUMPRODUCT(#REF!,AB10:AB39))/(SUM(#REF!)-(SUMIF(AB10:AB39,"",#REF!))),"")</f>
        <v/>
      </c>
      <c r="AC43" s="199" t="str">
        <f>IFERROR(+(SUMPRODUCT(#REF!,AC10:AC39))/(SUM(#REF!)-(SUMIF(AC10:AC39,"",#REF!))),"")</f>
        <v/>
      </c>
      <c r="AD43" s="199"/>
    </row>
    <row r="44" spans="1:33" s="43" customFormat="1" ht="13.15">
      <c r="A44" s="63"/>
      <c r="B44" s="192" t="s">
        <v>79</v>
      </c>
      <c r="C44" s="193"/>
      <c r="D44" s="193"/>
      <c r="E44" s="193"/>
      <c r="F44" s="193"/>
      <c r="G44" s="193"/>
      <c r="H44" s="193"/>
      <c r="I44" s="196"/>
      <c r="J44" s="197"/>
      <c r="K44" s="194"/>
      <c r="L44" s="195"/>
      <c r="M44" s="195"/>
      <c r="N44" s="195"/>
      <c r="O44" s="195"/>
      <c r="P44" s="198" t="str">
        <f>IFERROR(AVERAGE(P10:P39),"")</f>
        <v/>
      </c>
      <c r="Q44" s="199" t="str">
        <f t="shared" ref="Q44:S44" si="0">IFERROR(AVERAGE(Q10:Q39),"")</f>
        <v/>
      </c>
      <c r="R44" s="199" t="str">
        <f t="shared" si="0"/>
        <v/>
      </c>
      <c r="S44" s="199" t="str">
        <f t="shared" si="0"/>
        <v/>
      </c>
      <c r="T44" s="199"/>
      <c r="U44" s="198" t="str">
        <f t="shared" ref="U44:AC44" si="1">IFERROR(AVERAGE(U10:U39),"")</f>
        <v/>
      </c>
      <c r="V44" s="199" t="str">
        <f t="shared" si="1"/>
        <v/>
      </c>
      <c r="W44" s="199" t="str">
        <f t="shared" ref="W44" si="2">IFERROR(AVERAGE(W10:W39),"")</f>
        <v/>
      </c>
      <c r="X44" s="200" t="str">
        <f t="shared" si="1"/>
        <v/>
      </c>
      <c r="Y44" s="199" t="str">
        <f t="shared" si="1"/>
        <v/>
      </c>
      <c r="Z44" s="199" t="str">
        <f t="shared" si="1"/>
        <v/>
      </c>
      <c r="AA44" s="199" t="str">
        <f t="shared" ref="AA44" si="3">IFERROR(AVERAGE(AA10:AA39),"")</f>
        <v/>
      </c>
      <c r="AB44" s="199" t="str">
        <f t="shared" si="1"/>
        <v/>
      </c>
      <c r="AC44" s="199" t="str">
        <f t="shared" si="1"/>
        <v/>
      </c>
      <c r="AD44" s="199"/>
    </row>
    <row r="45" spans="1:33" s="43" customFormat="1" ht="13.15">
      <c r="B45" s="192" t="s">
        <v>18</v>
      </c>
      <c r="C45" s="193"/>
      <c r="D45" s="193"/>
      <c r="E45" s="193"/>
      <c r="F45" s="193"/>
      <c r="G45" s="193"/>
      <c r="H45" s="193"/>
      <c r="I45" s="196"/>
      <c r="J45" s="197"/>
      <c r="K45" s="194"/>
      <c r="L45" s="195"/>
      <c r="M45" s="195"/>
      <c r="N45" s="195"/>
      <c r="O45" s="195"/>
      <c r="P45" s="198" t="str">
        <f>IFERROR(MEDIAN(P10:P39),"")</f>
        <v/>
      </c>
      <c r="Q45" s="199" t="str">
        <f t="shared" ref="Q45:S45" si="4">IFERROR(MEDIAN(Q10:Q39),"")</f>
        <v/>
      </c>
      <c r="R45" s="199" t="str">
        <f t="shared" si="4"/>
        <v/>
      </c>
      <c r="S45" s="199" t="str">
        <f t="shared" si="4"/>
        <v/>
      </c>
      <c r="T45" s="199"/>
      <c r="U45" s="198" t="str">
        <f t="shared" ref="U45:AC45" si="5">IFERROR(MEDIAN(U10:U39),"")</f>
        <v/>
      </c>
      <c r="V45" s="199" t="str">
        <f t="shared" si="5"/>
        <v/>
      </c>
      <c r="W45" s="199" t="str">
        <f t="shared" ref="W45" si="6">IFERROR(MEDIAN(W10:W39),"")</f>
        <v/>
      </c>
      <c r="X45" s="200" t="str">
        <f t="shared" si="5"/>
        <v/>
      </c>
      <c r="Y45" s="199" t="str">
        <f t="shared" si="5"/>
        <v/>
      </c>
      <c r="Z45" s="199" t="str">
        <f t="shared" si="5"/>
        <v/>
      </c>
      <c r="AA45" s="199" t="str">
        <f t="shared" ref="AA45" si="7">IFERROR(MEDIAN(AA10:AA39),"")</f>
        <v/>
      </c>
      <c r="AB45" s="199" t="str">
        <f t="shared" si="5"/>
        <v/>
      </c>
      <c r="AC45" s="199" t="str">
        <f t="shared" si="5"/>
        <v/>
      </c>
      <c r="AD45" s="199"/>
    </row>
    <row r="46" spans="1:33" s="43" customFormat="1" ht="13.15">
      <c r="B46" s="192" t="s">
        <v>115</v>
      </c>
      <c r="C46" s="193"/>
      <c r="D46" s="193"/>
      <c r="E46" s="193"/>
      <c r="F46" s="193"/>
      <c r="G46" s="193"/>
      <c r="H46" s="193"/>
      <c r="I46" s="209"/>
      <c r="J46" s="210" t="str">
        <f t="shared" ref="J46:N46" si="8">IF(J10&lt;&gt;"",SUM(J10:J39),"")</f>
        <v/>
      </c>
      <c r="K46" s="209" t="str">
        <f t="shared" si="8"/>
        <v/>
      </c>
      <c r="L46" s="209" t="str">
        <f t="shared" si="8"/>
        <v/>
      </c>
      <c r="M46" s="209" t="str">
        <f t="shared" si="8"/>
        <v/>
      </c>
      <c r="N46" s="209" t="str">
        <f t="shared" si="8"/>
        <v/>
      </c>
      <c r="O46" s="195"/>
      <c r="P46" s="198" t="str">
        <f>IFERROR(K46/J46,"")</f>
        <v/>
      </c>
      <c r="Q46" s="199" t="str">
        <f>IFERROR(L46/J46,"")</f>
        <v/>
      </c>
      <c r="R46" s="199" t="str">
        <f>IFERROR(M46/J46,"")</f>
        <v/>
      </c>
      <c r="S46" s="199" t="str">
        <f>IFERROR(N46/J46,"")</f>
        <v/>
      </c>
      <c r="T46" s="199"/>
      <c r="U46" s="198"/>
      <c r="V46" s="199"/>
      <c r="W46" s="199"/>
      <c r="X46" s="200"/>
      <c r="Y46" s="199"/>
      <c r="Z46" s="199"/>
      <c r="AA46" s="199"/>
      <c r="AB46" s="199"/>
      <c r="AC46" s="199"/>
      <c r="AD46" s="199"/>
    </row>
    <row r="47" spans="1:33" s="43" customFormat="1" ht="13.15">
      <c r="B47" s="147"/>
      <c r="C47" s="161"/>
      <c r="D47" s="161"/>
      <c r="E47" s="161"/>
      <c r="F47" s="161"/>
      <c r="G47" s="161"/>
      <c r="H47" s="161"/>
      <c r="I47" s="55"/>
      <c r="J47" s="58"/>
      <c r="K47" s="56"/>
      <c r="L47" s="57"/>
      <c r="M47" s="57"/>
      <c r="N47" s="57"/>
      <c r="O47" s="57"/>
      <c r="P47" s="59"/>
      <c r="Q47" s="60"/>
      <c r="R47" s="60"/>
      <c r="S47" s="60"/>
      <c r="T47" s="60"/>
      <c r="U47" s="51"/>
      <c r="V47" s="45"/>
      <c r="W47" s="45"/>
      <c r="X47" s="100"/>
      <c r="Y47" s="45"/>
      <c r="Z47" s="45"/>
      <c r="AA47" s="45"/>
      <c r="AB47" s="45"/>
      <c r="AC47" s="45"/>
    </row>
    <row r="48" spans="1:33" s="43" customFormat="1" ht="13.15">
      <c r="B48" s="192" t="s">
        <v>19</v>
      </c>
      <c r="C48" s="193"/>
      <c r="D48" s="193"/>
      <c r="E48" s="193"/>
      <c r="F48" s="193"/>
      <c r="G48" s="193"/>
      <c r="H48" s="193"/>
      <c r="I48" s="196"/>
      <c r="J48" s="197"/>
      <c r="K48" s="194"/>
      <c r="L48" s="195"/>
      <c r="M48" s="195"/>
      <c r="N48" s="195"/>
      <c r="O48" s="195"/>
      <c r="P48" s="198" t="str">
        <f>IF($C$10="","",MAX(P10:P39))</f>
        <v/>
      </c>
      <c r="Q48" s="199" t="str">
        <f>IF($C$10="","",MAX(Q10:Q39))</f>
        <v/>
      </c>
      <c r="R48" s="199" t="str">
        <f>IF($C$10="","",MAX(R10:R39))</f>
        <v/>
      </c>
      <c r="S48" s="199" t="str">
        <f>IF($C$10="","",MAX(S10:S39))</f>
        <v/>
      </c>
      <c r="T48" s="199"/>
      <c r="U48" s="198" t="str">
        <f t="shared" ref="U48:AC48" si="9">IF($C$10="","",MAX(U10:U39))</f>
        <v/>
      </c>
      <c r="V48" s="199" t="str">
        <f t="shared" si="9"/>
        <v/>
      </c>
      <c r="W48" s="199" t="str">
        <f t="shared" ref="W48" si="10">IF($C$10="","",MAX(W10:W39))</f>
        <v/>
      </c>
      <c r="X48" s="200" t="str">
        <f t="shared" si="9"/>
        <v/>
      </c>
      <c r="Y48" s="199" t="str">
        <f t="shared" si="9"/>
        <v/>
      </c>
      <c r="Z48" s="199" t="str">
        <f t="shared" si="9"/>
        <v/>
      </c>
      <c r="AA48" s="199" t="str">
        <f t="shared" ref="AA48" si="11">IF($C$10="","",MAX(AA10:AA39))</f>
        <v/>
      </c>
      <c r="AB48" s="199" t="str">
        <f t="shared" si="9"/>
        <v/>
      </c>
      <c r="AC48" s="199" t="str">
        <f t="shared" si="9"/>
        <v/>
      </c>
      <c r="AD48" s="201"/>
    </row>
    <row r="49" spans="1:30" s="43" customFormat="1" ht="13.15">
      <c r="B49" s="192" t="s">
        <v>20</v>
      </c>
      <c r="C49" s="193"/>
      <c r="D49" s="193"/>
      <c r="E49" s="193"/>
      <c r="F49" s="193"/>
      <c r="G49" s="193"/>
      <c r="H49" s="193"/>
      <c r="I49" s="196"/>
      <c r="J49" s="197"/>
      <c r="K49" s="194"/>
      <c r="L49" s="195"/>
      <c r="M49" s="195"/>
      <c r="N49" s="195"/>
      <c r="O49" s="195"/>
      <c r="P49" s="198" t="str">
        <f>IF($C$10="","",MIN(P10:P39))</f>
        <v/>
      </c>
      <c r="Q49" s="199" t="str">
        <f>IF($C$10="","",MIN(Q10:Q39))</f>
        <v/>
      </c>
      <c r="R49" s="199" t="str">
        <f>IF($C$10="","",MIN(R10:R39))</f>
        <v/>
      </c>
      <c r="S49" s="199" t="str">
        <f>IF($C$10="","",MIN(S10:S39))</f>
        <v/>
      </c>
      <c r="T49" s="199"/>
      <c r="U49" s="198" t="str">
        <f t="shared" ref="U49:AC49" si="12">IF($C$10="","",MIN(U10:U39))</f>
        <v/>
      </c>
      <c r="V49" s="199" t="str">
        <f t="shared" si="12"/>
        <v/>
      </c>
      <c r="W49" s="199" t="str">
        <f t="shared" ref="W49" si="13">IF($C$10="","",MIN(W10:W39))</f>
        <v/>
      </c>
      <c r="X49" s="200" t="str">
        <f t="shared" si="12"/>
        <v/>
      </c>
      <c r="Y49" s="199" t="str">
        <f t="shared" si="12"/>
        <v/>
      </c>
      <c r="Z49" s="199" t="str">
        <f t="shared" si="12"/>
        <v/>
      </c>
      <c r="AA49" s="199" t="str">
        <f t="shared" ref="AA49" si="14">IF($C$10="","",MIN(AA10:AA39))</f>
        <v/>
      </c>
      <c r="AB49" s="199" t="str">
        <f t="shared" si="12"/>
        <v/>
      </c>
      <c r="AC49" s="199" t="str">
        <f t="shared" si="12"/>
        <v/>
      </c>
      <c r="AD49" s="201"/>
    </row>
    <row r="50" spans="1:30" s="43" customFormat="1" ht="13.15">
      <c r="B50" s="146"/>
      <c r="C50" s="148"/>
      <c r="D50" s="148"/>
      <c r="E50" s="148"/>
      <c r="F50" s="148"/>
      <c r="G50" s="148"/>
      <c r="H50" s="148"/>
      <c r="I50" s="55"/>
      <c r="J50" s="55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60"/>
      <c r="X50" s="60"/>
      <c r="Y50" s="57"/>
      <c r="Z50" s="57"/>
      <c r="AA50" s="57"/>
      <c r="AB50" s="57"/>
      <c r="AC50" s="57"/>
    </row>
    <row r="51" spans="1:30" s="22" customFormat="1" ht="13.15">
      <c r="A51" s="33"/>
      <c r="B51" s="157"/>
      <c r="C51" s="157"/>
      <c r="D51" s="157"/>
      <c r="E51" s="157"/>
      <c r="F51" s="157"/>
      <c r="G51" s="157"/>
      <c r="H51" s="157"/>
      <c r="I51" s="64"/>
      <c r="J51" s="65"/>
      <c r="K51" s="65"/>
      <c r="L51" s="65"/>
      <c r="M51" s="66"/>
      <c r="N51" s="67"/>
      <c r="O51" s="68"/>
      <c r="P51" s="69"/>
      <c r="R51" s="69"/>
      <c r="S51" s="69"/>
      <c r="T51" s="69"/>
      <c r="V51" s="69"/>
      <c r="W51" s="69"/>
      <c r="X51" s="69"/>
      <c r="Y51" s="69"/>
      <c r="Z51" s="69"/>
      <c r="AA51" s="69"/>
      <c r="AB51" s="69"/>
      <c r="AC51" s="69"/>
    </row>
    <row r="52" spans="1:30" s="22" customFormat="1" ht="13.15">
      <c r="A52" s="33"/>
      <c r="B52" s="149" t="s">
        <v>111</v>
      </c>
      <c r="C52" s="149"/>
      <c r="D52" s="149"/>
      <c r="E52" s="149"/>
      <c r="F52" s="149"/>
      <c r="G52" s="149"/>
      <c r="H52" s="149"/>
      <c r="I52" s="70"/>
      <c r="J52" s="71"/>
      <c r="K52" s="71"/>
      <c r="L52" s="71"/>
      <c r="M52" s="18"/>
      <c r="N52" s="72"/>
      <c r="O52" s="68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</row>
    <row r="53" spans="1:30" s="22" customFormat="1" ht="13.15">
      <c r="A53" s="33"/>
      <c r="B53" s="158" t="s">
        <v>109</v>
      </c>
      <c r="C53" s="149"/>
      <c r="D53" s="149"/>
      <c r="E53" s="149"/>
      <c r="F53" s="149"/>
      <c r="G53" s="149"/>
      <c r="H53" s="149"/>
      <c r="I53" s="70"/>
      <c r="J53" s="71"/>
      <c r="K53" s="71"/>
      <c r="L53" s="71"/>
      <c r="M53" s="18"/>
      <c r="N53" s="72"/>
      <c r="O53" s="68"/>
      <c r="Z53" s="69"/>
      <c r="AA53" s="69"/>
      <c r="AB53" s="69"/>
      <c r="AC53" s="69"/>
    </row>
    <row r="54" spans="1:30" s="22" customFormat="1">
      <c r="A54" s="29"/>
      <c r="B54" s="156"/>
      <c r="C54" s="156"/>
      <c r="D54" s="156"/>
      <c r="E54" s="156"/>
      <c r="F54" s="156"/>
      <c r="G54" s="156"/>
      <c r="H54" s="156"/>
      <c r="I54" s="41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</sheetData>
  <sheetProtection selectLockedCells="1"/>
  <mergeCells count="8">
    <mergeCell ref="D8:F8"/>
    <mergeCell ref="D6:H6"/>
    <mergeCell ref="U7:X7"/>
    <mergeCell ref="Y7:AC7"/>
    <mergeCell ref="U6:AC6"/>
    <mergeCell ref="J6:N6"/>
    <mergeCell ref="P6:S6"/>
    <mergeCell ref="D7:F7"/>
  </mergeCells>
  <printOptions horizontalCentered="1"/>
  <pageMargins left="0.5" right="0.5" top="0.5" bottom="0.5" header="0.5" footer="0.5"/>
  <pageSetup scale="57" fitToHeight="19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7"/>
    <pageSetUpPr fitToPage="1"/>
  </sheetPr>
  <dimension ref="A1:AF54"/>
  <sheetViews>
    <sheetView showGridLines="0" zoomScale="80" zoomScaleNormal="80" workbookViewId="0">
      <pane xSplit="3" ySplit="9" topLeftCell="D10" activePane="bottomRight" state="frozen"/>
      <selection activeCell="A4" sqref="A4"/>
      <selection pane="topRight" activeCell="A4" sqref="A4"/>
      <selection pane="bottomLeft" activeCell="A4" sqref="A4"/>
      <selection pane="bottomRight" activeCell="D10" sqref="D10"/>
    </sheetView>
  </sheetViews>
  <sheetFormatPr defaultColWidth="7" defaultRowHeight="12.75" outlineLevelRow="1"/>
  <cols>
    <col min="1" max="1" width="0.875" style="29" customWidth="1"/>
    <col min="2" max="2" width="29.375" style="143" customWidth="1"/>
    <col min="3" max="3" width="9.625" style="143" customWidth="1"/>
    <col min="4" max="4" width="9.25" style="143" customWidth="1"/>
    <col min="5" max="5" width="10.25" style="143" customWidth="1"/>
    <col min="6" max="6" width="1.25" style="29" customWidth="1"/>
    <col min="7" max="8" width="9.625" style="84" customWidth="1"/>
    <col min="9" max="9" width="10.5" style="84" customWidth="1"/>
    <col min="10" max="10" width="1.25" style="29" customWidth="1"/>
    <col min="11" max="13" width="9.625" style="84" customWidth="1"/>
    <col min="14" max="14" width="1.25" style="29" customWidth="1"/>
    <col min="15" max="15" width="10.375" style="29" customWidth="1"/>
    <col min="16" max="19" width="9.625" style="29" customWidth="1"/>
    <col min="20" max="20" width="1.25" style="29" customWidth="1"/>
    <col min="21" max="21" width="10.625" style="29" customWidth="1"/>
    <col min="22" max="23" width="9.625" style="29" customWidth="1"/>
    <col min="24" max="24" width="0.875" style="29" customWidth="1"/>
    <col min="25" max="27" width="9.625" style="29" customWidth="1"/>
    <col min="28" max="28" width="1.25" style="33" customWidth="1"/>
    <col min="29" max="29" width="12.5" style="33" customWidth="1"/>
    <col min="30" max="30" width="10.875" style="33" customWidth="1"/>
    <col min="31" max="31" width="12.25" style="33" customWidth="1"/>
    <col min="32" max="16384" width="7" style="33"/>
  </cols>
  <sheetData>
    <row r="1" spans="1:32" s="22" customFormat="1" ht="25.15">
      <c r="A1" s="262" t="s">
        <v>123</v>
      </c>
      <c r="B1" s="262"/>
      <c r="C1" s="262"/>
      <c r="D1" s="262"/>
      <c r="E1" s="262"/>
      <c r="F1" s="211"/>
      <c r="G1" s="211"/>
      <c r="H1" s="211"/>
      <c r="I1" s="212"/>
      <c r="J1" s="190"/>
      <c r="K1" s="212"/>
      <c r="L1" s="212"/>
      <c r="M1" s="212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1"/>
    </row>
    <row r="2" spans="1:32" s="22" customFormat="1" ht="18" customHeight="1">
      <c r="A2" s="262"/>
      <c r="B2" s="262"/>
      <c r="C2" s="262"/>
      <c r="D2" s="262"/>
      <c r="E2" s="262"/>
      <c r="F2" s="211"/>
      <c r="G2" s="211"/>
      <c r="H2" s="211"/>
      <c r="I2" s="212"/>
      <c r="J2" s="190"/>
      <c r="K2" s="212"/>
      <c r="L2" s="212"/>
      <c r="M2" s="212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1"/>
    </row>
    <row r="3" spans="1:32" s="22" customFormat="1" ht="12.75" customHeight="1">
      <c r="A3" s="262"/>
      <c r="B3" s="262"/>
      <c r="C3" s="262"/>
      <c r="D3" s="262"/>
      <c r="E3" s="262"/>
      <c r="F3" s="211"/>
      <c r="G3" s="211"/>
      <c r="H3" s="211"/>
      <c r="I3" s="212"/>
      <c r="J3" s="190"/>
      <c r="K3" s="212"/>
      <c r="L3" s="212"/>
      <c r="M3" s="212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1"/>
    </row>
    <row r="4" spans="1:32" s="22" customFormat="1">
      <c r="A4" s="23"/>
      <c r="B4" s="154"/>
      <c r="C4" s="142"/>
      <c r="D4" s="142"/>
      <c r="E4" s="142"/>
      <c r="G4" s="74"/>
      <c r="H4" s="74"/>
      <c r="I4" s="74"/>
      <c r="K4" s="74"/>
      <c r="L4" s="74"/>
      <c r="M4" s="74"/>
    </row>
    <row r="5" spans="1:32" ht="13.15">
      <c r="G5" s="75"/>
      <c r="H5" s="75"/>
      <c r="I5" s="75"/>
      <c r="K5" s="75"/>
      <c r="L5" s="75"/>
      <c r="M5" s="75"/>
      <c r="O5" s="36"/>
      <c r="P5" s="36"/>
      <c r="Q5" s="36"/>
      <c r="R5" s="36"/>
      <c r="S5" s="36"/>
      <c r="T5" s="36"/>
      <c r="U5" s="36"/>
      <c r="V5" s="36"/>
      <c r="W5" s="36"/>
      <c r="X5" s="36"/>
    </row>
    <row r="6" spans="1:32" ht="16.5">
      <c r="G6" s="288" t="s">
        <v>117</v>
      </c>
      <c r="H6" s="288"/>
      <c r="I6" s="288"/>
      <c r="K6" s="288" t="s">
        <v>118</v>
      </c>
      <c r="L6" s="288"/>
      <c r="M6" s="288"/>
      <c r="O6" s="283" t="s">
        <v>21</v>
      </c>
      <c r="P6" s="283"/>
      <c r="Q6" s="283"/>
      <c r="R6" s="283"/>
      <c r="S6" s="283"/>
      <c r="T6" s="36"/>
      <c r="U6" s="283" t="s">
        <v>22</v>
      </c>
      <c r="V6" s="283"/>
      <c r="W6" s="283"/>
      <c r="X6" s="76"/>
      <c r="Y6" s="283" t="s">
        <v>23</v>
      </c>
      <c r="Z6" s="283"/>
      <c r="AA6" s="283"/>
    </row>
    <row r="7" spans="1:32" s="35" customFormat="1" ht="13.15">
      <c r="A7" s="34"/>
      <c r="B7" s="144"/>
      <c r="C7" s="144"/>
      <c r="D7" s="150" t="s">
        <v>80</v>
      </c>
      <c r="E7" s="150" t="s">
        <v>80</v>
      </c>
      <c r="F7" s="34"/>
      <c r="G7" s="78"/>
      <c r="H7" s="78"/>
      <c r="I7" s="78"/>
      <c r="J7" s="34"/>
      <c r="K7" s="78"/>
      <c r="L7" s="78" t="s">
        <v>10</v>
      </c>
      <c r="M7" s="78" t="s">
        <v>28</v>
      </c>
      <c r="N7" s="34"/>
      <c r="O7" s="38"/>
      <c r="P7" s="38"/>
      <c r="Q7" s="38"/>
      <c r="R7" s="38" t="s">
        <v>30</v>
      </c>
      <c r="S7" s="38"/>
      <c r="T7" s="38"/>
      <c r="U7" s="38" t="s">
        <v>31</v>
      </c>
      <c r="V7" s="38" t="s">
        <v>32</v>
      </c>
      <c r="W7" s="38"/>
      <c r="X7" s="38"/>
      <c r="Y7" s="30" t="s">
        <v>13</v>
      </c>
      <c r="Z7" s="30" t="s">
        <v>33</v>
      </c>
      <c r="AA7" s="30" t="s">
        <v>34</v>
      </c>
    </row>
    <row r="8" spans="1:32" s="35" customFormat="1" ht="13.15">
      <c r="A8" s="34"/>
      <c r="B8" s="144"/>
      <c r="C8" s="144"/>
      <c r="D8" s="150" t="s">
        <v>121</v>
      </c>
      <c r="E8" s="150" t="s">
        <v>122</v>
      </c>
      <c r="F8" s="34"/>
      <c r="G8" s="79" t="s">
        <v>24</v>
      </c>
      <c r="H8" s="79" t="s">
        <v>25</v>
      </c>
      <c r="I8" s="79" t="s">
        <v>26</v>
      </c>
      <c r="J8" s="37"/>
      <c r="K8" s="79" t="s">
        <v>27</v>
      </c>
      <c r="L8" s="79" t="s">
        <v>35</v>
      </c>
      <c r="M8" s="79" t="s">
        <v>70</v>
      </c>
      <c r="N8" s="37"/>
      <c r="O8" s="38" t="s">
        <v>29</v>
      </c>
      <c r="P8" s="38" t="s">
        <v>36</v>
      </c>
      <c r="Q8" s="38" t="s">
        <v>37</v>
      </c>
      <c r="R8" s="38" t="s">
        <v>38</v>
      </c>
      <c r="S8" s="38" t="s">
        <v>39</v>
      </c>
      <c r="T8" s="38"/>
      <c r="U8" s="38" t="s">
        <v>34</v>
      </c>
      <c r="V8" s="77" t="s">
        <v>40</v>
      </c>
      <c r="W8" s="38" t="s">
        <v>41</v>
      </c>
      <c r="X8" s="38"/>
      <c r="Y8" s="30" t="s">
        <v>35</v>
      </c>
      <c r="Z8" s="30" t="s">
        <v>42</v>
      </c>
      <c r="AA8" s="30" t="s">
        <v>43</v>
      </c>
    </row>
    <row r="9" spans="1:32" s="35" customFormat="1" ht="16.5">
      <c r="A9" s="34"/>
      <c r="B9" s="155" t="s">
        <v>16</v>
      </c>
      <c r="C9" s="145" t="s">
        <v>2</v>
      </c>
      <c r="D9" s="151" t="s">
        <v>122</v>
      </c>
      <c r="E9" s="151" t="s">
        <v>81</v>
      </c>
      <c r="F9" s="39"/>
      <c r="G9" s="80" t="s">
        <v>17</v>
      </c>
      <c r="H9" s="80" t="s">
        <v>17</v>
      </c>
      <c r="I9" s="80" t="s">
        <v>17</v>
      </c>
      <c r="J9" s="81"/>
      <c r="K9" s="80" t="s">
        <v>17</v>
      </c>
      <c r="L9" s="80" t="s">
        <v>17</v>
      </c>
      <c r="M9" s="80" t="s">
        <v>17</v>
      </c>
      <c r="N9" s="81"/>
      <c r="O9" s="82" t="s">
        <v>45</v>
      </c>
      <c r="P9" s="82" t="s">
        <v>45</v>
      </c>
      <c r="Q9" s="82" t="s">
        <v>45</v>
      </c>
      <c r="R9" s="82" t="s">
        <v>45</v>
      </c>
      <c r="S9" s="82" t="s">
        <v>45</v>
      </c>
      <c r="T9" s="82"/>
      <c r="U9" s="82" t="s">
        <v>45</v>
      </c>
      <c r="V9" s="82" t="s">
        <v>17</v>
      </c>
      <c r="W9" s="82" t="s">
        <v>17</v>
      </c>
      <c r="X9" s="40"/>
      <c r="Y9" s="40" t="s">
        <v>17</v>
      </c>
      <c r="Z9" s="40" t="s">
        <v>45</v>
      </c>
      <c r="AA9" s="40" t="s">
        <v>45</v>
      </c>
    </row>
    <row r="10" spans="1:32" s="46" customFormat="1" ht="13.15">
      <c r="A10" s="33"/>
      <c r="B10" s="146" t="str">
        <f>Info!A6</f>
        <v/>
      </c>
      <c r="C10" s="148" t="str">
        <f>IF(List!D6="","",List!D6)</f>
        <v/>
      </c>
      <c r="D10" s="152" t="str">
        <f>[1]!IntrinioFundamentals($C10,"income_statement","QTR",0,"fiscal_period")&amp;" " &amp;[1]!IntrinioFundamentals($C10,"income_statement","QTR",0,"fiscal_year")</f>
        <v xml:space="preserve"> </v>
      </c>
      <c r="E10" s="152" t="str">
        <f>[1]!IntrinioFundamentals($C10,"income_statement","QTR",0,"end_date")</f>
        <v/>
      </c>
      <c r="F10" s="43"/>
      <c r="G10" s="45" t="str">
        <f>IF($C10="","",[1]!IntrinioFinancials($C10,"calculations",0,"TTM","roic"))</f>
        <v/>
      </c>
      <c r="H10" s="45" t="str">
        <f>IF($C10="","",[1]!IntrinioFinancials($C10,"calculations",0,"TTM","rnnoa"))</f>
        <v/>
      </c>
      <c r="I10" s="45" t="str">
        <f>IF($C10="","",[1]!IntrinioFinancials($C10,"calculations",0,"TTM","roe"))</f>
        <v/>
      </c>
      <c r="J10" s="87"/>
      <c r="K10" s="45" t="str">
        <f>IF($C10="","",[1]!IntrinioFinancials($C10,"calculations",0,"TTM","nopatmargin"))</f>
        <v/>
      </c>
      <c r="L10" s="45" t="str">
        <f>IF($C10="","",[1]!IntrinioFinancials($C10,"calculations",0,"TTM","grossmargin"))</f>
        <v/>
      </c>
      <c r="M10" s="45" t="str">
        <f>IF($C10="","",[1]!IntrinioFinancials($C10,"calculations",0,"TTM","opextorevenue"))</f>
        <v/>
      </c>
      <c r="N10" s="87"/>
      <c r="O10" s="88" t="str">
        <f>IF($C10="","",[1]!IntrinioFinancials($C10,"calculations",0,"TTM","investedcapitalturnover"))</f>
        <v/>
      </c>
      <c r="P10" s="88" t="str">
        <f>IF($C10="","",[1]!IntrinioFinancials($C10,"calculations",0,"TTM","arturnover"))</f>
        <v/>
      </c>
      <c r="Q10" s="88" t="str">
        <f>IF($C10="","",[1]!IntrinioFinancials($C10,"calculations",0,"TTM","invturnover"))</f>
        <v/>
      </c>
      <c r="R10" s="88" t="str">
        <f>IF($C10="","",[1]!IntrinioFinancials($C10,"calculations",0,"TTM","faturnover"))</f>
        <v/>
      </c>
      <c r="S10" s="88" t="str">
        <f>IF($C10="","",[1]!IntrinioFinancials($C10,"calculations",0,"TTM","apturnover"))</f>
        <v/>
      </c>
      <c r="T10" s="88"/>
      <c r="U10" s="89" t="str">
        <f>IF($C10="","",[1]!IntrinioFinancials($C10,"calculations",0,"TTM","finleverage"))</f>
        <v/>
      </c>
      <c r="V10" s="45" t="str">
        <f>IF($C10="","",[1]!IntrinioFinancials($C10,"calculations",0,"TTM","nnep"))</f>
        <v/>
      </c>
      <c r="W10" s="45" t="str">
        <f>IF($C10="","",[1]!IntrinioFinancials($C10,"calculations",0,"TTM","roicnnepspread"))</f>
        <v/>
      </c>
      <c r="X10" s="45"/>
      <c r="Y10" s="51" t="str">
        <f>IF($C10="","",[1]!IntrinioFinancials($C10,"calculations",0,"TTM","profitmargin"))</f>
        <v/>
      </c>
      <c r="Z10" s="88" t="str">
        <f>IF($C10="","",[1]!IntrinioFinancials($C10,"calculations",0,"TTM","assetturnover"))</f>
        <v/>
      </c>
      <c r="AA10" s="88" t="str">
        <f>IF($C10="","",[1]!IntrinioFinancials($C10,"calculations",0,"TTM","leverageratio"))</f>
        <v/>
      </c>
      <c r="AD10" s="85"/>
      <c r="AE10" s="85"/>
      <c r="AF10" s="86"/>
    </row>
    <row r="11" spans="1:32" s="46" customFormat="1" ht="13.15">
      <c r="A11" s="33"/>
      <c r="B11" s="202" t="str">
        <f>Info!A7</f>
        <v/>
      </c>
      <c r="C11" s="227" t="str">
        <f>IF(List!D7="","",List!D7)</f>
        <v/>
      </c>
      <c r="D11" s="213" t="str">
        <f>[1]!IntrinioFundamentals($C11,"income_statement","QTR",0,"fiscal_period")&amp;" " &amp;[1]!IntrinioFundamentals($C11,"income_statement","QTR",0,"fiscal_year")</f>
        <v xml:space="preserve"> </v>
      </c>
      <c r="E11" s="213" t="str">
        <f>[1]!IntrinioFundamentals($C11,"income_statement","QTR",0,"end_date")</f>
        <v/>
      </c>
      <c r="F11" s="201"/>
      <c r="G11" s="207" t="str">
        <f>IF($C11="","",[1]!IntrinioFinancials($C11,"calculations",0,"TTM","roic"))</f>
        <v/>
      </c>
      <c r="H11" s="207" t="str">
        <f>IF($C11="","",[1]!IntrinioFinancials($C11,"calculations",0,"TTM","rnnoa"))</f>
        <v/>
      </c>
      <c r="I11" s="207" t="str">
        <f>IF($C11="","",[1]!IntrinioFinancials($C11,"calculations",0,"TTM","roe"))</f>
        <v/>
      </c>
      <c r="J11" s="214"/>
      <c r="K11" s="207" t="str">
        <f>IF($C11="","",[1]!IntrinioFinancials($C11,"calculations",0,"TTM","nopatmargin"))</f>
        <v/>
      </c>
      <c r="L11" s="207" t="str">
        <f>IF($C11="","",[1]!IntrinioFinancials($C11,"calculations",0,"TTM","grossmargin"))</f>
        <v/>
      </c>
      <c r="M11" s="207" t="str">
        <f>IF($C11="","",[1]!IntrinioFinancials($C11,"calculations",0,"TTM","opextorevenue"))</f>
        <v/>
      </c>
      <c r="N11" s="214"/>
      <c r="O11" s="215" t="str">
        <f>IF($C11="","",[1]!IntrinioFinancials($C11,"calculations",0,"TTM","investedcapitalturnover"))</f>
        <v/>
      </c>
      <c r="P11" s="215" t="str">
        <f>IF($C11="","",[1]!IntrinioFinancials($C11,"calculations",0,"TTM","arturnover"))</f>
        <v/>
      </c>
      <c r="Q11" s="215" t="str">
        <f>IF($C11="","",[1]!IntrinioFinancials($C11,"calculations",0,"TTM","invturnover"))</f>
        <v/>
      </c>
      <c r="R11" s="215" t="str">
        <f>IF($C11="","",[1]!IntrinioFinancials($C11,"calculations",0,"TTM","faturnover"))</f>
        <v/>
      </c>
      <c r="S11" s="215" t="str">
        <f>IF($C11="","",[1]!IntrinioFinancials($C11,"calculations",0,"TTM","apturnover"))</f>
        <v/>
      </c>
      <c r="T11" s="215"/>
      <c r="U11" s="216" t="str">
        <f>IF($C11="","",[1]!IntrinioFinancials($C11,"calculations",0,"TTM","finleverage"))</f>
        <v/>
      </c>
      <c r="V11" s="207" t="str">
        <f>IF($C11="","",[1]!IntrinioFinancials($C11,"calculations",0,"TTM","nnep"))</f>
        <v/>
      </c>
      <c r="W11" s="207" t="str">
        <f>IF($C11="","",[1]!IntrinioFinancials($C11,"calculations",0,"TTM","roicnnepspread"))</f>
        <v/>
      </c>
      <c r="X11" s="207"/>
      <c r="Y11" s="206" t="str">
        <f>IF($C11="","",[1]!IntrinioFinancials($C11,"calculations",0,"TTM","profitmargin"))</f>
        <v/>
      </c>
      <c r="Z11" s="215" t="str">
        <f>IF($C11="","",[1]!IntrinioFinancials($C11,"calculations",0,"TTM","assetturnover"))</f>
        <v/>
      </c>
      <c r="AA11" s="215" t="str">
        <f>IF($C11="","",[1]!IntrinioFinancials($C11,"calculations",0,"TTM","leverageratio"))</f>
        <v/>
      </c>
      <c r="AD11" s="85"/>
      <c r="AE11" s="85"/>
      <c r="AF11" s="86"/>
    </row>
    <row r="12" spans="1:32" s="46" customFormat="1" ht="13.15">
      <c r="A12" s="33"/>
      <c r="B12" s="146" t="str">
        <f>Info!A8</f>
        <v/>
      </c>
      <c r="C12" s="148" t="str">
        <f>IF(List!D8="","",List!D8)</f>
        <v/>
      </c>
      <c r="D12" s="152" t="str">
        <f>[1]!IntrinioFundamentals($C12,"income_statement","QTR",0,"fiscal_period")&amp;" " &amp;[1]!IntrinioFundamentals($C12,"income_statement","QTR",0,"fiscal_year")</f>
        <v xml:space="preserve"> </v>
      </c>
      <c r="E12" s="152" t="str">
        <f>[1]!IntrinioFundamentals($C12,"income_statement","QTR",0,"end_date")</f>
        <v/>
      </c>
      <c r="F12" s="43"/>
      <c r="G12" s="45" t="str">
        <f>IF($C12="","",[1]!IntrinioFinancials($C12,"calculations",0,"TTM","roic"))</f>
        <v/>
      </c>
      <c r="H12" s="45" t="str">
        <f>IF($C12="","",[1]!IntrinioFinancials($C12,"calculations",0,"TTM","rnnoa"))</f>
        <v/>
      </c>
      <c r="I12" s="45" t="str">
        <f>IF($C12="","",[1]!IntrinioFinancials($C12,"calculations",0,"TTM","roe"))</f>
        <v/>
      </c>
      <c r="J12" s="87"/>
      <c r="K12" s="45" t="str">
        <f>IF($C12="","",[1]!IntrinioFinancials($C12,"calculations",0,"TTM","nopatmargin"))</f>
        <v/>
      </c>
      <c r="L12" s="45" t="str">
        <f>IF($C12="","",[1]!IntrinioFinancials($C12,"calculations",0,"TTM","grossmargin"))</f>
        <v/>
      </c>
      <c r="M12" s="45" t="str">
        <f>IF($C12="","",[1]!IntrinioFinancials($C12,"calculations",0,"TTM","opextorevenue"))</f>
        <v/>
      </c>
      <c r="N12" s="87"/>
      <c r="O12" s="88" t="str">
        <f>IF($C12="","",[1]!IntrinioFinancials($C12,"calculations",0,"TTM","investedcapitalturnover"))</f>
        <v/>
      </c>
      <c r="P12" s="88" t="str">
        <f>IF($C12="","",[1]!IntrinioFinancials($C12,"calculations",0,"TTM","arturnover"))</f>
        <v/>
      </c>
      <c r="Q12" s="88" t="str">
        <f>IF($C12="","",[1]!IntrinioFinancials($C12,"calculations",0,"TTM","invturnover"))</f>
        <v/>
      </c>
      <c r="R12" s="88" t="str">
        <f>IF($C12="","",[1]!IntrinioFinancials($C12,"calculations",0,"TTM","faturnover"))</f>
        <v/>
      </c>
      <c r="S12" s="88" t="str">
        <f>IF($C12="","",[1]!IntrinioFinancials($C12,"calculations",0,"TTM","apturnover"))</f>
        <v/>
      </c>
      <c r="T12" s="88"/>
      <c r="U12" s="89" t="str">
        <f>IF($C12="","",[1]!IntrinioFinancials($C12,"calculations",0,"TTM","finleverage"))</f>
        <v/>
      </c>
      <c r="V12" s="45" t="str">
        <f>IF($C12="","",[1]!IntrinioFinancials($C12,"calculations",0,"TTM","nnep"))</f>
        <v/>
      </c>
      <c r="W12" s="45" t="str">
        <f>IF($C12="","",[1]!IntrinioFinancials($C12,"calculations",0,"TTM","roicnnepspread"))</f>
        <v/>
      </c>
      <c r="X12" s="45"/>
      <c r="Y12" s="51" t="str">
        <f>IF($C12="","",[1]!IntrinioFinancials($C12,"calculations",0,"TTM","profitmargin"))</f>
        <v/>
      </c>
      <c r="Z12" s="88" t="str">
        <f>IF($C12="","",[1]!IntrinioFinancials($C12,"calculations",0,"TTM","assetturnover"))</f>
        <v/>
      </c>
      <c r="AA12" s="88" t="str">
        <f>IF($C12="","",[1]!IntrinioFinancials($C12,"calculations",0,"TTM","leverageratio"))</f>
        <v/>
      </c>
      <c r="AD12" s="85"/>
      <c r="AE12" s="85"/>
      <c r="AF12" s="86"/>
    </row>
    <row r="13" spans="1:32" s="46" customFormat="1" ht="13.15">
      <c r="A13" s="33"/>
      <c r="B13" s="202" t="str">
        <f>Info!A9</f>
        <v/>
      </c>
      <c r="C13" s="227" t="str">
        <f>IF(List!D9="","",List!D9)</f>
        <v/>
      </c>
      <c r="D13" s="213" t="str">
        <f>[1]!IntrinioFundamentals($C13,"income_statement","QTR",0,"fiscal_period")&amp;" " &amp;[1]!IntrinioFundamentals($C13,"income_statement","QTR",0,"fiscal_year")</f>
        <v xml:space="preserve"> </v>
      </c>
      <c r="E13" s="213" t="str">
        <f>[1]!IntrinioFundamentals($C13,"income_statement","QTR",0,"end_date")</f>
        <v/>
      </c>
      <c r="F13" s="201"/>
      <c r="G13" s="207" t="str">
        <f>IF($C13="","",[1]!IntrinioFinancials($C13,"calculations",0,"TTM","roic"))</f>
        <v/>
      </c>
      <c r="H13" s="207" t="str">
        <f>IF($C13="","",[1]!IntrinioFinancials($C13,"calculations",0,"TTM","rnnoa"))</f>
        <v/>
      </c>
      <c r="I13" s="207" t="str">
        <f>IF($C13="","",[1]!IntrinioFinancials($C13,"calculations",0,"TTM","roe"))</f>
        <v/>
      </c>
      <c r="J13" s="214"/>
      <c r="K13" s="207" t="str">
        <f>IF($C13="","",[1]!IntrinioFinancials($C13,"calculations",0,"TTM","nopatmargin"))</f>
        <v/>
      </c>
      <c r="L13" s="207" t="str">
        <f>IF($C13="","",[1]!IntrinioFinancials($C13,"calculations",0,"TTM","grossmargin"))</f>
        <v/>
      </c>
      <c r="M13" s="207" t="str">
        <f>IF($C13="","",[1]!IntrinioFinancials($C13,"calculations",0,"TTM","opextorevenue"))</f>
        <v/>
      </c>
      <c r="N13" s="214"/>
      <c r="O13" s="215" t="str">
        <f>IF($C13="","",[1]!IntrinioFinancials($C13,"calculations",0,"TTM","investedcapitalturnover"))</f>
        <v/>
      </c>
      <c r="P13" s="215" t="str">
        <f>IF($C13="","",[1]!IntrinioFinancials($C13,"calculations",0,"TTM","arturnover"))</f>
        <v/>
      </c>
      <c r="Q13" s="215" t="str">
        <f>IF($C13="","",[1]!IntrinioFinancials($C13,"calculations",0,"TTM","invturnover"))</f>
        <v/>
      </c>
      <c r="R13" s="215" t="str">
        <f>IF($C13="","",[1]!IntrinioFinancials($C13,"calculations",0,"TTM","faturnover"))</f>
        <v/>
      </c>
      <c r="S13" s="215" t="str">
        <f>IF($C13="","",[1]!IntrinioFinancials($C13,"calculations",0,"TTM","apturnover"))</f>
        <v/>
      </c>
      <c r="T13" s="215"/>
      <c r="U13" s="216" t="str">
        <f>IF($C13="","",[1]!IntrinioFinancials($C13,"calculations",0,"TTM","finleverage"))</f>
        <v/>
      </c>
      <c r="V13" s="207" t="str">
        <f>IF($C13="","",[1]!IntrinioFinancials($C13,"calculations",0,"TTM","nnep"))</f>
        <v/>
      </c>
      <c r="W13" s="207" t="str">
        <f>IF($C13="","",[1]!IntrinioFinancials($C13,"calculations",0,"TTM","roicnnepspread"))</f>
        <v/>
      </c>
      <c r="X13" s="207"/>
      <c r="Y13" s="206" t="str">
        <f>IF($C13="","",[1]!IntrinioFinancials($C13,"calculations",0,"TTM","profitmargin"))</f>
        <v/>
      </c>
      <c r="Z13" s="215" t="str">
        <f>IF($C13="","",[1]!IntrinioFinancials($C13,"calculations",0,"TTM","assetturnover"))</f>
        <v/>
      </c>
      <c r="AA13" s="215" t="str">
        <f>IF($C13="","",[1]!IntrinioFinancials($C13,"calculations",0,"TTM","leverageratio"))</f>
        <v/>
      </c>
      <c r="AD13" s="85"/>
      <c r="AE13" s="85"/>
      <c r="AF13" s="86"/>
    </row>
    <row r="14" spans="1:32" s="46" customFormat="1" ht="13.15">
      <c r="A14" s="33"/>
      <c r="B14" s="146" t="str">
        <f>Info!A10</f>
        <v/>
      </c>
      <c r="C14" s="148" t="str">
        <f>IF(List!D10="","",List!D10)</f>
        <v/>
      </c>
      <c r="D14" s="152" t="str">
        <f>[1]!IntrinioFundamentals($C14,"income_statement","QTR",0,"fiscal_period")&amp;" " &amp;[1]!IntrinioFundamentals($C14,"income_statement","QTR",0,"fiscal_year")</f>
        <v xml:space="preserve"> </v>
      </c>
      <c r="E14" s="152" t="str">
        <f>[1]!IntrinioFundamentals($C14,"income_statement","QTR",0,"end_date")</f>
        <v/>
      </c>
      <c r="F14" s="43"/>
      <c r="G14" s="45" t="str">
        <f>IF($C14="","",[1]!IntrinioFinancials($C14,"calculations",0,"TTM","roic"))</f>
        <v/>
      </c>
      <c r="H14" s="45" t="str">
        <f>IF($C14="","",[1]!IntrinioFinancials($C14,"calculations",0,"TTM","rnnoa"))</f>
        <v/>
      </c>
      <c r="I14" s="45" t="str">
        <f>IF($C14="","",[1]!IntrinioFinancials($C14,"calculations",0,"TTM","roe"))</f>
        <v/>
      </c>
      <c r="J14" s="87"/>
      <c r="K14" s="45" t="str">
        <f>IF($C14="","",[1]!IntrinioFinancials($C14,"calculations",0,"TTM","nopatmargin"))</f>
        <v/>
      </c>
      <c r="L14" s="45" t="str">
        <f>IF($C14="","",[1]!IntrinioFinancials($C14,"calculations",0,"TTM","grossmargin"))</f>
        <v/>
      </c>
      <c r="M14" s="45" t="str">
        <f>IF($C14="","",[1]!IntrinioFinancials($C14,"calculations",0,"TTM","opextorevenue"))</f>
        <v/>
      </c>
      <c r="N14" s="87"/>
      <c r="O14" s="88" t="str">
        <f>IF($C14="","",[1]!IntrinioFinancials($C14,"calculations",0,"TTM","investedcapitalturnover"))</f>
        <v/>
      </c>
      <c r="P14" s="88" t="str">
        <f>IF($C14="","",[1]!IntrinioFinancials($C14,"calculations",0,"TTM","arturnover"))</f>
        <v/>
      </c>
      <c r="Q14" s="88" t="str">
        <f>IF($C14="","",[1]!IntrinioFinancials($C14,"calculations",0,"TTM","invturnover"))</f>
        <v/>
      </c>
      <c r="R14" s="88" t="str">
        <f>IF($C14="","",[1]!IntrinioFinancials($C14,"calculations",0,"TTM","faturnover"))</f>
        <v/>
      </c>
      <c r="S14" s="88" t="str">
        <f>IF($C14="","",[1]!IntrinioFinancials($C14,"calculations",0,"TTM","apturnover"))</f>
        <v/>
      </c>
      <c r="T14" s="88"/>
      <c r="U14" s="89" t="str">
        <f>IF($C14="","",[1]!IntrinioFinancials($C14,"calculations",0,"TTM","finleverage"))</f>
        <v/>
      </c>
      <c r="V14" s="45" t="str">
        <f>IF($C14="","",[1]!IntrinioFinancials($C14,"calculations",0,"TTM","nnep"))</f>
        <v/>
      </c>
      <c r="W14" s="45" t="str">
        <f>IF($C14="","",[1]!IntrinioFinancials($C14,"calculations",0,"TTM","roicnnepspread"))</f>
        <v/>
      </c>
      <c r="X14" s="45"/>
      <c r="Y14" s="51" t="str">
        <f>IF($C14="","",[1]!IntrinioFinancials($C14,"calculations",0,"TTM","profitmargin"))</f>
        <v/>
      </c>
      <c r="Z14" s="88" t="str">
        <f>IF($C14="","",[1]!IntrinioFinancials($C14,"calculations",0,"TTM","assetturnover"))</f>
        <v/>
      </c>
      <c r="AA14" s="88" t="str">
        <f>IF($C14="","",[1]!IntrinioFinancials($C14,"calculations",0,"TTM","leverageratio"))</f>
        <v/>
      </c>
      <c r="AD14" s="85"/>
      <c r="AE14" s="85"/>
      <c r="AF14" s="86"/>
    </row>
    <row r="15" spans="1:32" s="46" customFormat="1" ht="13.15" hidden="1" outlineLevel="1">
      <c r="A15" s="33"/>
      <c r="B15" s="202" t="str">
        <f>Info!A11</f>
        <v/>
      </c>
      <c r="C15" s="227" t="str">
        <f>IF(List!D11="","",List!D11)</f>
        <v/>
      </c>
      <c r="D15" s="213" t="str">
        <f>[1]!IntrinioFundamentals($C15,"income_statement","QTR",0,"fiscal_period")&amp;" " &amp;[1]!IntrinioFundamentals($C15,"income_statement","QTR",0,"fiscal_year")</f>
        <v xml:space="preserve"> </v>
      </c>
      <c r="E15" s="213" t="str">
        <f>[1]!IntrinioFundamentals($C15,"income_statement","QTR",0,"end_date")</f>
        <v/>
      </c>
      <c r="F15" s="201"/>
      <c r="G15" s="207" t="str">
        <f>IF($C15="","",[1]!IntrinioFinancials($C15,"calculations",0,"TTM","roic"))</f>
        <v/>
      </c>
      <c r="H15" s="207" t="str">
        <f>IF($C15="","",[1]!IntrinioFinancials($C15,"calculations",0,"TTM","rnnoa"))</f>
        <v/>
      </c>
      <c r="I15" s="207" t="str">
        <f>IF($C15="","",[1]!IntrinioFinancials($C15,"calculations",0,"TTM","roe"))</f>
        <v/>
      </c>
      <c r="J15" s="214"/>
      <c r="K15" s="207" t="str">
        <f>IF($C15="","",[1]!IntrinioFinancials($C15,"calculations",0,"TTM","nopatmargin"))</f>
        <v/>
      </c>
      <c r="L15" s="207" t="str">
        <f>IF($C15="","",[1]!IntrinioFinancials($C15,"calculations",0,"TTM","grossmargin"))</f>
        <v/>
      </c>
      <c r="M15" s="207" t="str">
        <f>IF($C15="","",[1]!IntrinioFinancials($C15,"calculations",0,"TTM","opextorevenue"))</f>
        <v/>
      </c>
      <c r="N15" s="214"/>
      <c r="O15" s="215" t="str">
        <f>IF($C15="","",[1]!IntrinioFinancials($C15,"calculations",0,"TTM","investedcapitalturnover"))</f>
        <v/>
      </c>
      <c r="P15" s="215" t="str">
        <f>IF($C15="","",[1]!IntrinioFinancials($C15,"calculations",0,"TTM","arturnover"))</f>
        <v/>
      </c>
      <c r="Q15" s="215" t="str">
        <f>IF($C15="","",[1]!IntrinioFinancials($C15,"calculations",0,"TTM","invturnover"))</f>
        <v/>
      </c>
      <c r="R15" s="215" t="str">
        <f>IF($C15="","",[1]!IntrinioFinancials($C15,"calculations",0,"TTM","faturnover"))</f>
        <v/>
      </c>
      <c r="S15" s="215" t="str">
        <f>IF($C15="","",[1]!IntrinioFinancials($C15,"calculations",0,"TTM","apturnover"))</f>
        <v/>
      </c>
      <c r="T15" s="215"/>
      <c r="U15" s="216" t="str">
        <f>IF($C15="","",[1]!IntrinioFinancials($C15,"calculations",0,"TTM","finleverage"))</f>
        <v/>
      </c>
      <c r="V15" s="207" t="str">
        <f>IF($C15="","",[1]!IntrinioFinancials($C15,"calculations",0,"TTM","nnep"))</f>
        <v/>
      </c>
      <c r="W15" s="207" t="str">
        <f>IF($C15="","",[1]!IntrinioFinancials($C15,"calculations",0,"TTM","roicnnepspread"))</f>
        <v/>
      </c>
      <c r="X15" s="207"/>
      <c r="Y15" s="206" t="str">
        <f>IF($C15="","",[1]!IntrinioFinancials($C15,"calculations",0,"TTM","profitmargin"))</f>
        <v/>
      </c>
      <c r="Z15" s="215" t="str">
        <f>IF($C15="","",[1]!IntrinioFinancials($C15,"calculations",0,"TTM","assetturnover"))</f>
        <v/>
      </c>
      <c r="AA15" s="215" t="str">
        <f>IF($C15="","",[1]!IntrinioFinancials($C15,"calculations",0,"TTM","leverageratio"))</f>
        <v/>
      </c>
      <c r="AD15" s="85"/>
      <c r="AE15" s="85"/>
      <c r="AF15" s="86"/>
    </row>
    <row r="16" spans="1:32" s="46" customFormat="1" ht="13.15" hidden="1" outlineLevel="1">
      <c r="A16" s="33"/>
      <c r="B16" s="146" t="str">
        <f>Info!A12</f>
        <v/>
      </c>
      <c r="C16" s="148" t="str">
        <f>IF(List!D12="","",List!D12)</f>
        <v/>
      </c>
      <c r="D16" s="152" t="str">
        <f>[1]!IntrinioFundamentals($C16,"income_statement","QTR",0,"fiscal_period")&amp;" " &amp;[1]!IntrinioFundamentals($C16,"income_statement","QTR",0,"fiscal_year")</f>
        <v xml:space="preserve"> </v>
      </c>
      <c r="E16" s="152" t="str">
        <f>[1]!IntrinioFundamentals($C16,"income_statement","QTR",0,"end_date")</f>
        <v/>
      </c>
      <c r="F16" s="43"/>
      <c r="G16" s="45" t="str">
        <f>IF($C16="","",[1]!IntrinioFinancials($C16,"calculations",0,"TTM","roic"))</f>
        <v/>
      </c>
      <c r="H16" s="45" t="str">
        <f>IF($C16="","",[1]!IntrinioFinancials($C16,"calculations",0,"TTM","rnnoa"))</f>
        <v/>
      </c>
      <c r="I16" s="45" t="str">
        <f>IF($C16="","",[1]!IntrinioFinancials($C16,"calculations",0,"TTM","roe"))</f>
        <v/>
      </c>
      <c r="J16" s="87"/>
      <c r="K16" s="45" t="str">
        <f>IF($C16="","",[1]!IntrinioFinancials($C16,"calculations",0,"TTM","nopatmargin"))</f>
        <v/>
      </c>
      <c r="L16" s="45" t="str">
        <f>IF($C16="","",[1]!IntrinioFinancials($C16,"calculations",0,"TTM","grossmargin"))</f>
        <v/>
      </c>
      <c r="M16" s="45" t="str">
        <f>IF($C16="","",[1]!IntrinioFinancials($C16,"calculations",0,"TTM","opextorevenue"))</f>
        <v/>
      </c>
      <c r="N16" s="87"/>
      <c r="O16" s="88" t="str">
        <f>IF($C16="","",[1]!IntrinioFinancials($C16,"calculations",0,"TTM","investedcapitalturnover"))</f>
        <v/>
      </c>
      <c r="P16" s="88" t="str">
        <f>IF($C16="","",[1]!IntrinioFinancials($C16,"calculations",0,"TTM","arturnover"))</f>
        <v/>
      </c>
      <c r="Q16" s="88" t="str">
        <f>IF($C16="","",[1]!IntrinioFinancials($C16,"calculations",0,"TTM","invturnover"))</f>
        <v/>
      </c>
      <c r="R16" s="88" t="str">
        <f>IF($C16="","",[1]!IntrinioFinancials($C16,"calculations",0,"TTM","faturnover"))</f>
        <v/>
      </c>
      <c r="S16" s="88" t="str">
        <f>IF($C16="","",[1]!IntrinioFinancials($C16,"calculations",0,"TTM","apturnover"))</f>
        <v/>
      </c>
      <c r="T16" s="88"/>
      <c r="U16" s="89" t="str">
        <f>IF($C16="","",[1]!IntrinioFinancials($C16,"calculations",0,"TTM","finleverage"))</f>
        <v/>
      </c>
      <c r="V16" s="45" t="str">
        <f>IF($C16="","",[1]!IntrinioFinancials($C16,"calculations",0,"TTM","nnep"))</f>
        <v/>
      </c>
      <c r="W16" s="45" t="str">
        <f>IF($C16="","",[1]!IntrinioFinancials($C16,"calculations",0,"TTM","roicnnepspread"))</f>
        <v/>
      </c>
      <c r="X16" s="45"/>
      <c r="Y16" s="51" t="str">
        <f>IF($C16="","",[1]!IntrinioFinancials($C16,"calculations",0,"TTM","profitmargin"))</f>
        <v/>
      </c>
      <c r="Z16" s="88" t="str">
        <f>IF($C16="","",[1]!IntrinioFinancials($C16,"calculations",0,"TTM","assetturnover"))</f>
        <v/>
      </c>
      <c r="AA16" s="88" t="str">
        <f>IF($C16="","",[1]!IntrinioFinancials($C16,"calculations",0,"TTM","leverageratio"))</f>
        <v/>
      </c>
      <c r="AD16" s="85"/>
      <c r="AE16" s="85"/>
      <c r="AF16" s="86"/>
    </row>
    <row r="17" spans="1:32" s="46" customFormat="1" ht="13.15" hidden="1" outlineLevel="1">
      <c r="A17" s="33"/>
      <c r="B17" s="202" t="str">
        <f>Info!A13</f>
        <v/>
      </c>
      <c r="C17" s="227" t="str">
        <f>IF(List!D13="","",List!D13)</f>
        <v/>
      </c>
      <c r="D17" s="213" t="str">
        <f>[1]!IntrinioFundamentals($C17,"income_statement","QTR",0,"fiscal_period")&amp;" " &amp;[1]!IntrinioFundamentals($C17,"income_statement","QTR",0,"fiscal_year")</f>
        <v xml:space="preserve"> </v>
      </c>
      <c r="E17" s="213" t="str">
        <f>[1]!IntrinioFundamentals($C17,"income_statement","QTR",0,"end_date")</f>
        <v/>
      </c>
      <c r="F17" s="201"/>
      <c r="G17" s="207" t="str">
        <f>IF($C17="","",[1]!IntrinioFinancials($C17,"calculations",0,"TTM","roic"))</f>
        <v/>
      </c>
      <c r="H17" s="207" t="str">
        <f>IF($C17="","",[1]!IntrinioFinancials($C17,"calculations",0,"TTM","rnnoa"))</f>
        <v/>
      </c>
      <c r="I17" s="207" t="str">
        <f>IF($C17="","",[1]!IntrinioFinancials($C17,"calculations",0,"TTM","roe"))</f>
        <v/>
      </c>
      <c r="J17" s="214"/>
      <c r="K17" s="207" t="str">
        <f>IF($C17="","",[1]!IntrinioFinancials($C17,"calculations",0,"TTM","nopatmargin"))</f>
        <v/>
      </c>
      <c r="L17" s="207" t="str">
        <f>IF($C17="","",[1]!IntrinioFinancials($C17,"calculations",0,"TTM","grossmargin"))</f>
        <v/>
      </c>
      <c r="M17" s="207" t="str">
        <f>IF($C17="","",[1]!IntrinioFinancials($C17,"calculations",0,"TTM","opextorevenue"))</f>
        <v/>
      </c>
      <c r="N17" s="214"/>
      <c r="O17" s="215" t="str">
        <f>IF($C17="","",[1]!IntrinioFinancials($C17,"calculations",0,"TTM","investedcapitalturnover"))</f>
        <v/>
      </c>
      <c r="P17" s="215" t="str">
        <f>IF($C17="","",[1]!IntrinioFinancials($C17,"calculations",0,"TTM","arturnover"))</f>
        <v/>
      </c>
      <c r="Q17" s="215" t="str">
        <f>IF($C17="","",[1]!IntrinioFinancials($C17,"calculations",0,"TTM","invturnover"))</f>
        <v/>
      </c>
      <c r="R17" s="215" t="str">
        <f>IF($C17="","",[1]!IntrinioFinancials($C17,"calculations",0,"TTM","faturnover"))</f>
        <v/>
      </c>
      <c r="S17" s="215" t="str">
        <f>IF($C17="","",[1]!IntrinioFinancials($C17,"calculations",0,"TTM","apturnover"))</f>
        <v/>
      </c>
      <c r="T17" s="215"/>
      <c r="U17" s="216" t="str">
        <f>IF($C17="","",[1]!IntrinioFinancials($C17,"calculations",0,"TTM","finleverage"))</f>
        <v/>
      </c>
      <c r="V17" s="207" t="str">
        <f>IF($C17="","",[1]!IntrinioFinancials($C17,"calculations",0,"TTM","nnep"))</f>
        <v/>
      </c>
      <c r="W17" s="207" t="str">
        <f>IF($C17="","",[1]!IntrinioFinancials($C17,"calculations",0,"TTM","roicnnepspread"))</f>
        <v/>
      </c>
      <c r="X17" s="207"/>
      <c r="Y17" s="206" t="str">
        <f>IF($C17="","",[1]!IntrinioFinancials($C17,"calculations",0,"TTM","profitmargin"))</f>
        <v/>
      </c>
      <c r="Z17" s="215" t="str">
        <f>IF($C17="","",[1]!IntrinioFinancials($C17,"calculations",0,"TTM","assetturnover"))</f>
        <v/>
      </c>
      <c r="AA17" s="215" t="str">
        <f>IF($C17="","",[1]!IntrinioFinancials($C17,"calculations",0,"TTM","leverageratio"))</f>
        <v/>
      </c>
      <c r="AD17" s="85"/>
      <c r="AE17" s="85"/>
      <c r="AF17" s="86"/>
    </row>
    <row r="18" spans="1:32" s="46" customFormat="1" ht="13.15" hidden="1" outlineLevel="1">
      <c r="A18" s="33"/>
      <c r="B18" s="146" t="str">
        <f>Info!A14</f>
        <v/>
      </c>
      <c r="C18" s="148" t="str">
        <f>IF(List!D14="","",List!D14)</f>
        <v/>
      </c>
      <c r="D18" s="152" t="str">
        <f>[1]!IntrinioFundamentals($C18,"income_statement","QTR",0,"fiscal_period")&amp;" " &amp;[1]!IntrinioFundamentals($C18,"income_statement","QTR",0,"fiscal_year")</f>
        <v xml:space="preserve"> </v>
      </c>
      <c r="E18" s="152" t="str">
        <f>[1]!IntrinioFundamentals($C18,"income_statement","QTR",0,"end_date")</f>
        <v/>
      </c>
      <c r="F18" s="43"/>
      <c r="G18" s="45" t="str">
        <f>IF($C18="","",[1]!IntrinioFinancials($C18,"calculations",0,"TTM","roic"))</f>
        <v/>
      </c>
      <c r="H18" s="45" t="str">
        <f>IF($C18="","",[1]!IntrinioFinancials($C18,"calculations",0,"TTM","rnnoa"))</f>
        <v/>
      </c>
      <c r="I18" s="45" t="str">
        <f>IF($C18="","",[1]!IntrinioFinancials($C18,"calculations",0,"TTM","roe"))</f>
        <v/>
      </c>
      <c r="J18" s="87"/>
      <c r="K18" s="45" t="str">
        <f>IF($C18="","",[1]!IntrinioFinancials($C18,"calculations",0,"TTM","nopatmargin"))</f>
        <v/>
      </c>
      <c r="L18" s="45" t="str">
        <f>IF($C18="","",[1]!IntrinioFinancials($C18,"calculations",0,"TTM","grossmargin"))</f>
        <v/>
      </c>
      <c r="M18" s="45" t="str">
        <f>IF($C18="","",[1]!IntrinioFinancials($C18,"calculations",0,"TTM","opextorevenue"))</f>
        <v/>
      </c>
      <c r="N18" s="87"/>
      <c r="O18" s="88" t="str">
        <f>IF($C18="","",[1]!IntrinioFinancials($C18,"calculations",0,"TTM","investedcapitalturnover"))</f>
        <v/>
      </c>
      <c r="P18" s="88" t="str">
        <f>IF($C18="","",[1]!IntrinioFinancials($C18,"calculations",0,"TTM","arturnover"))</f>
        <v/>
      </c>
      <c r="Q18" s="88" t="str">
        <f>IF($C18="","",[1]!IntrinioFinancials($C18,"calculations",0,"TTM","invturnover"))</f>
        <v/>
      </c>
      <c r="R18" s="88" t="str">
        <f>IF($C18="","",[1]!IntrinioFinancials($C18,"calculations",0,"TTM","faturnover"))</f>
        <v/>
      </c>
      <c r="S18" s="88" t="str">
        <f>IF($C18="","",[1]!IntrinioFinancials($C18,"calculations",0,"TTM","apturnover"))</f>
        <v/>
      </c>
      <c r="T18" s="88"/>
      <c r="U18" s="89" t="str">
        <f>IF($C18="","",[1]!IntrinioFinancials($C18,"calculations",0,"TTM","finleverage"))</f>
        <v/>
      </c>
      <c r="V18" s="45" t="str">
        <f>IF($C18="","",[1]!IntrinioFinancials($C18,"calculations",0,"TTM","nnep"))</f>
        <v/>
      </c>
      <c r="W18" s="45" t="str">
        <f>IF($C18="","",[1]!IntrinioFinancials($C18,"calculations",0,"TTM","roicnnepspread"))</f>
        <v/>
      </c>
      <c r="X18" s="45"/>
      <c r="Y18" s="51" t="str">
        <f>IF($C18="","",[1]!IntrinioFinancials($C18,"calculations",0,"TTM","profitmargin"))</f>
        <v/>
      </c>
      <c r="Z18" s="88" t="str">
        <f>IF($C18="","",[1]!IntrinioFinancials($C18,"calculations",0,"TTM","assetturnover"))</f>
        <v/>
      </c>
      <c r="AA18" s="88" t="str">
        <f>IF($C18="","",[1]!IntrinioFinancials($C18,"calculations",0,"TTM","leverageratio"))</f>
        <v/>
      </c>
      <c r="AD18" s="85"/>
      <c r="AE18" s="85"/>
      <c r="AF18" s="86"/>
    </row>
    <row r="19" spans="1:32" s="46" customFormat="1" ht="13.15" hidden="1" outlineLevel="1">
      <c r="A19" s="33"/>
      <c r="B19" s="202" t="str">
        <f>Info!A15</f>
        <v/>
      </c>
      <c r="C19" s="227" t="str">
        <f>IF(List!D15="","",List!D15)</f>
        <v/>
      </c>
      <c r="D19" s="213" t="str">
        <f>[1]!IntrinioFundamentals($C19,"income_statement","QTR",0,"fiscal_period")&amp;" " &amp;[1]!IntrinioFundamentals($C19,"income_statement","QTR",0,"fiscal_year")</f>
        <v xml:space="preserve"> </v>
      </c>
      <c r="E19" s="213" t="str">
        <f>[1]!IntrinioFundamentals($C19,"income_statement","QTR",0,"end_date")</f>
        <v/>
      </c>
      <c r="F19" s="201"/>
      <c r="G19" s="207" t="str">
        <f>IF($C19="","",[1]!IntrinioFinancials($C19,"calculations",0,"TTM","roic"))</f>
        <v/>
      </c>
      <c r="H19" s="207" t="str">
        <f>IF($C19="","",[1]!IntrinioFinancials($C19,"calculations",0,"TTM","rnnoa"))</f>
        <v/>
      </c>
      <c r="I19" s="207" t="str">
        <f>IF($C19="","",[1]!IntrinioFinancials($C19,"calculations",0,"TTM","roe"))</f>
        <v/>
      </c>
      <c r="J19" s="214"/>
      <c r="K19" s="207" t="str">
        <f>IF($C19="","",[1]!IntrinioFinancials($C19,"calculations",0,"TTM","nopatmargin"))</f>
        <v/>
      </c>
      <c r="L19" s="207" t="str">
        <f>IF($C19="","",[1]!IntrinioFinancials($C19,"calculations",0,"TTM","grossmargin"))</f>
        <v/>
      </c>
      <c r="M19" s="207" t="str">
        <f>IF($C19="","",[1]!IntrinioFinancials($C19,"calculations",0,"TTM","opextorevenue"))</f>
        <v/>
      </c>
      <c r="N19" s="214"/>
      <c r="O19" s="215" t="str">
        <f>IF($C19="","",[1]!IntrinioFinancials($C19,"calculations",0,"TTM","investedcapitalturnover"))</f>
        <v/>
      </c>
      <c r="P19" s="215" t="str">
        <f>IF($C19="","",[1]!IntrinioFinancials($C19,"calculations",0,"TTM","arturnover"))</f>
        <v/>
      </c>
      <c r="Q19" s="215" t="str">
        <f>IF($C19="","",[1]!IntrinioFinancials($C19,"calculations",0,"TTM","invturnover"))</f>
        <v/>
      </c>
      <c r="R19" s="215" t="str">
        <f>IF($C19="","",[1]!IntrinioFinancials($C19,"calculations",0,"TTM","faturnover"))</f>
        <v/>
      </c>
      <c r="S19" s="215" t="str">
        <f>IF($C19="","",[1]!IntrinioFinancials($C19,"calculations",0,"TTM","apturnover"))</f>
        <v/>
      </c>
      <c r="T19" s="215"/>
      <c r="U19" s="216" t="str">
        <f>IF($C19="","",[1]!IntrinioFinancials($C19,"calculations",0,"TTM","finleverage"))</f>
        <v/>
      </c>
      <c r="V19" s="207" t="str">
        <f>IF($C19="","",[1]!IntrinioFinancials($C19,"calculations",0,"TTM","nnep"))</f>
        <v/>
      </c>
      <c r="W19" s="207" t="str">
        <f>IF($C19="","",[1]!IntrinioFinancials($C19,"calculations",0,"TTM","roicnnepspread"))</f>
        <v/>
      </c>
      <c r="X19" s="207"/>
      <c r="Y19" s="206" t="str">
        <f>IF($C19="","",[1]!IntrinioFinancials($C19,"calculations",0,"TTM","profitmargin"))</f>
        <v/>
      </c>
      <c r="Z19" s="215" t="str">
        <f>IF($C19="","",[1]!IntrinioFinancials($C19,"calculations",0,"TTM","assetturnover"))</f>
        <v/>
      </c>
      <c r="AA19" s="215" t="str">
        <f>IF($C19="","",[1]!IntrinioFinancials($C19,"calculations",0,"TTM","leverageratio"))</f>
        <v/>
      </c>
      <c r="AD19" s="85"/>
      <c r="AE19" s="85"/>
      <c r="AF19" s="86"/>
    </row>
    <row r="20" spans="1:32" s="46" customFormat="1" ht="13.15" hidden="1" outlineLevel="1">
      <c r="A20" s="33"/>
      <c r="B20" s="146" t="str">
        <f>Info!A16</f>
        <v/>
      </c>
      <c r="C20" s="148" t="str">
        <f>IF(List!D16="","",List!D16)</f>
        <v/>
      </c>
      <c r="D20" s="152" t="str">
        <f>[1]!IntrinioFundamentals($C20,"income_statement","QTR",0,"fiscal_period")&amp;" " &amp;[1]!IntrinioFundamentals($C20,"income_statement","QTR",0,"fiscal_year")</f>
        <v xml:space="preserve"> </v>
      </c>
      <c r="E20" s="152" t="str">
        <f>[1]!IntrinioFundamentals($C20,"income_statement","QTR",0,"end_date")</f>
        <v/>
      </c>
      <c r="F20" s="43"/>
      <c r="G20" s="45" t="str">
        <f>IF($C20="","",[1]!IntrinioFinancials($C20,"calculations",0,"TTM","roic"))</f>
        <v/>
      </c>
      <c r="H20" s="45" t="str">
        <f>IF($C20="","",[1]!IntrinioFinancials($C20,"calculations",0,"TTM","rnnoa"))</f>
        <v/>
      </c>
      <c r="I20" s="45" t="str">
        <f>IF($C20="","",[1]!IntrinioFinancials($C20,"calculations",0,"TTM","roe"))</f>
        <v/>
      </c>
      <c r="J20" s="87"/>
      <c r="K20" s="45" t="str">
        <f>IF($C20="","",[1]!IntrinioFinancials($C20,"calculations",0,"TTM","nopatmargin"))</f>
        <v/>
      </c>
      <c r="L20" s="45" t="str">
        <f>IF($C20="","",[1]!IntrinioFinancials($C20,"calculations",0,"TTM","grossmargin"))</f>
        <v/>
      </c>
      <c r="M20" s="45" t="str">
        <f>IF($C20="","",[1]!IntrinioFinancials($C20,"calculations",0,"TTM","opextorevenue"))</f>
        <v/>
      </c>
      <c r="N20" s="87"/>
      <c r="O20" s="88" t="str">
        <f>IF($C20="","",[1]!IntrinioFinancials($C20,"calculations",0,"TTM","investedcapitalturnover"))</f>
        <v/>
      </c>
      <c r="P20" s="88" t="str">
        <f>IF($C20="","",[1]!IntrinioFinancials($C20,"calculations",0,"TTM","arturnover"))</f>
        <v/>
      </c>
      <c r="Q20" s="88" t="str">
        <f>IF($C20="","",[1]!IntrinioFinancials($C20,"calculations",0,"TTM","invturnover"))</f>
        <v/>
      </c>
      <c r="R20" s="88" t="str">
        <f>IF($C20="","",[1]!IntrinioFinancials($C20,"calculations",0,"TTM","faturnover"))</f>
        <v/>
      </c>
      <c r="S20" s="88" t="str">
        <f>IF($C20="","",[1]!IntrinioFinancials($C20,"calculations",0,"TTM","apturnover"))</f>
        <v/>
      </c>
      <c r="T20" s="88"/>
      <c r="U20" s="89" t="str">
        <f>IF($C20="","",[1]!IntrinioFinancials($C20,"calculations",0,"TTM","finleverage"))</f>
        <v/>
      </c>
      <c r="V20" s="45" t="str">
        <f>IF($C20="","",[1]!IntrinioFinancials($C20,"calculations",0,"TTM","nnep"))</f>
        <v/>
      </c>
      <c r="W20" s="45" t="str">
        <f>IF($C20="","",[1]!IntrinioFinancials($C20,"calculations",0,"TTM","roicnnepspread"))</f>
        <v/>
      </c>
      <c r="X20" s="45"/>
      <c r="Y20" s="51" t="str">
        <f>IF($C20="","",[1]!IntrinioFinancials($C20,"calculations",0,"TTM","profitmargin"))</f>
        <v/>
      </c>
      <c r="Z20" s="88" t="str">
        <f>IF($C20="","",[1]!IntrinioFinancials($C20,"calculations",0,"TTM","assetturnover"))</f>
        <v/>
      </c>
      <c r="AA20" s="88" t="str">
        <f>IF($C20="","",[1]!IntrinioFinancials($C20,"calculations",0,"TTM","leverageratio"))</f>
        <v/>
      </c>
      <c r="AD20" s="85"/>
      <c r="AE20" s="85"/>
      <c r="AF20" s="86"/>
    </row>
    <row r="21" spans="1:32" s="46" customFormat="1" ht="13.15" hidden="1" outlineLevel="1">
      <c r="A21" s="33"/>
      <c r="B21" s="202" t="str">
        <f>Info!A17</f>
        <v/>
      </c>
      <c r="C21" s="227" t="str">
        <f>IF(List!D17="","",List!D17)</f>
        <v/>
      </c>
      <c r="D21" s="213" t="str">
        <f>[1]!IntrinioFundamentals($C21,"income_statement","QTR",0,"fiscal_period")&amp;" " &amp;[1]!IntrinioFundamentals($C21,"income_statement","QTR",0,"fiscal_year")</f>
        <v xml:space="preserve"> </v>
      </c>
      <c r="E21" s="213" t="str">
        <f>[1]!IntrinioFundamentals($C21,"income_statement","QTR",0,"end_date")</f>
        <v/>
      </c>
      <c r="F21" s="201"/>
      <c r="G21" s="207" t="str">
        <f>IF($C21="","",[1]!IntrinioFinancials($C21,"calculations",0,"TTM","roic"))</f>
        <v/>
      </c>
      <c r="H21" s="207" t="str">
        <f>IF($C21="","",[1]!IntrinioFinancials($C21,"calculations",0,"TTM","rnnoa"))</f>
        <v/>
      </c>
      <c r="I21" s="207" t="str">
        <f>IF($C21="","",[1]!IntrinioFinancials($C21,"calculations",0,"TTM","roe"))</f>
        <v/>
      </c>
      <c r="J21" s="214"/>
      <c r="K21" s="207" t="str">
        <f>IF($C21="","",[1]!IntrinioFinancials($C21,"calculations",0,"TTM","nopatmargin"))</f>
        <v/>
      </c>
      <c r="L21" s="207" t="str">
        <f>IF($C21="","",[1]!IntrinioFinancials($C21,"calculations",0,"TTM","grossmargin"))</f>
        <v/>
      </c>
      <c r="M21" s="207" t="str">
        <f>IF($C21="","",[1]!IntrinioFinancials($C21,"calculations",0,"TTM","opextorevenue"))</f>
        <v/>
      </c>
      <c r="N21" s="214"/>
      <c r="O21" s="215" t="str">
        <f>IF($C21="","",[1]!IntrinioFinancials($C21,"calculations",0,"TTM","investedcapitalturnover"))</f>
        <v/>
      </c>
      <c r="P21" s="215" t="str">
        <f>IF($C21="","",[1]!IntrinioFinancials($C21,"calculations",0,"TTM","arturnover"))</f>
        <v/>
      </c>
      <c r="Q21" s="215" t="str">
        <f>IF($C21="","",[1]!IntrinioFinancials($C21,"calculations",0,"TTM","invturnover"))</f>
        <v/>
      </c>
      <c r="R21" s="215" t="str">
        <f>IF($C21="","",[1]!IntrinioFinancials($C21,"calculations",0,"TTM","faturnover"))</f>
        <v/>
      </c>
      <c r="S21" s="215" t="str">
        <f>IF($C21="","",[1]!IntrinioFinancials($C21,"calculations",0,"TTM","apturnover"))</f>
        <v/>
      </c>
      <c r="T21" s="215"/>
      <c r="U21" s="216" t="str">
        <f>IF($C21="","",[1]!IntrinioFinancials($C21,"calculations",0,"TTM","finleverage"))</f>
        <v/>
      </c>
      <c r="V21" s="207" t="str">
        <f>IF($C21="","",[1]!IntrinioFinancials($C21,"calculations",0,"TTM","nnep"))</f>
        <v/>
      </c>
      <c r="W21" s="207" t="str">
        <f>IF($C21="","",[1]!IntrinioFinancials($C21,"calculations",0,"TTM","roicnnepspread"))</f>
        <v/>
      </c>
      <c r="X21" s="207"/>
      <c r="Y21" s="206" t="str">
        <f>IF($C21="","",[1]!IntrinioFinancials($C21,"calculations",0,"TTM","profitmargin"))</f>
        <v/>
      </c>
      <c r="Z21" s="215" t="str">
        <f>IF($C21="","",[1]!IntrinioFinancials($C21,"calculations",0,"TTM","assetturnover"))</f>
        <v/>
      </c>
      <c r="AA21" s="215" t="str">
        <f>IF($C21="","",[1]!IntrinioFinancials($C21,"calculations",0,"TTM","leverageratio"))</f>
        <v/>
      </c>
      <c r="AD21" s="85"/>
      <c r="AE21" s="85"/>
      <c r="AF21" s="86"/>
    </row>
    <row r="22" spans="1:32" s="46" customFormat="1" ht="13.15" hidden="1" outlineLevel="1">
      <c r="A22" s="33"/>
      <c r="B22" s="146" t="str">
        <f>Info!A18</f>
        <v/>
      </c>
      <c r="C22" s="148" t="str">
        <f>IF(List!D18="","",List!D18)</f>
        <v/>
      </c>
      <c r="D22" s="152" t="str">
        <f>[1]!IntrinioFundamentals($C22,"income_statement","QTR",0,"fiscal_period")&amp;" " &amp;[1]!IntrinioFundamentals($C22,"income_statement","QTR",0,"fiscal_year")</f>
        <v xml:space="preserve"> </v>
      </c>
      <c r="E22" s="152" t="str">
        <f>[1]!IntrinioFundamentals($C22,"income_statement","QTR",0,"end_date")</f>
        <v/>
      </c>
      <c r="F22" s="43"/>
      <c r="G22" s="45" t="str">
        <f>IF($C22="","",[1]!IntrinioFinancials($C22,"calculations",0,"TTM","roic"))</f>
        <v/>
      </c>
      <c r="H22" s="45" t="str">
        <f>IF($C22="","",[1]!IntrinioFinancials($C22,"calculations",0,"TTM","rnnoa"))</f>
        <v/>
      </c>
      <c r="I22" s="45" t="str">
        <f>IF($C22="","",[1]!IntrinioFinancials($C22,"calculations",0,"TTM","roe"))</f>
        <v/>
      </c>
      <c r="J22" s="87"/>
      <c r="K22" s="45" t="str">
        <f>IF($C22="","",[1]!IntrinioFinancials($C22,"calculations",0,"TTM","nopatmargin"))</f>
        <v/>
      </c>
      <c r="L22" s="45" t="str">
        <f>IF($C22="","",[1]!IntrinioFinancials($C22,"calculations",0,"TTM","grossmargin"))</f>
        <v/>
      </c>
      <c r="M22" s="45" t="str">
        <f>IF($C22="","",[1]!IntrinioFinancials($C22,"calculations",0,"TTM","opextorevenue"))</f>
        <v/>
      </c>
      <c r="N22" s="87"/>
      <c r="O22" s="88" t="str">
        <f>IF($C22="","",[1]!IntrinioFinancials($C22,"calculations",0,"TTM","investedcapitalturnover"))</f>
        <v/>
      </c>
      <c r="P22" s="88" t="str">
        <f>IF($C22="","",[1]!IntrinioFinancials($C22,"calculations",0,"TTM","arturnover"))</f>
        <v/>
      </c>
      <c r="Q22" s="88" t="str">
        <f>IF($C22="","",[1]!IntrinioFinancials($C22,"calculations",0,"TTM","invturnover"))</f>
        <v/>
      </c>
      <c r="R22" s="88" t="str">
        <f>IF($C22="","",[1]!IntrinioFinancials($C22,"calculations",0,"TTM","faturnover"))</f>
        <v/>
      </c>
      <c r="S22" s="88" t="str">
        <f>IF($C22="","",[1]!IntrinioFinancials($C22,"calculations",0,"TTM","apturnover"))</f>
        <v/>
      </c>
      <c r="T22" s="88"/>
      <c r="U22" s="89" t="str">
        <f>IF($C22="","",[1]!IntrinioFinancials($C22,"calculations",0,"TTM","finleverage"))</f>
        <v/>
      </c>
      <c r="V22" s="45" t="str">
        <f>IF($C22="","",[1]!IntrinioFinancials($C22,"calculations",0,"TTM","nnep"))</f>
        <v/>
      </c>
      <c r="W22" s="45" t="str">
        <f>IF($C22="","",[1]!IntrinioFinancials($C22,"calculations",0,"TTM","roicnnepspread"))</f>
        <v/>
      </c>
      <c r="X22" s="45"/>
      <c r="Y22" s="51" t="str">
        <f>IF($C22="","",[1]!IntrinioFinancials($C22,"calculations",0,"TTM","profitmargin"))</f>
        <v/>
      </c>
      <c r="Z22" s="88" t="str">
        <f>IF($C22="","",[1]!IntrinioFinancials($C22,"calculations",0,"TTM","assetturnover"))</f>
        <v/>
      </c>
      <c r="AA22" s="88" t="str">
        <f>IF($C22="","",[1]!IntrinioFinancials($C22,"calculations",0,"TTM","leverageratio"))</f>
        <v/>
      </c>
      <c r="AD22" s="85"/>
      <c r="AE22" s="85"/>
      <c r="AF22" s="86"/>
    </row>
    <row r="23" spans="1:32" s="46" customFormat="1" ht="13.15" hidden="1" outlineLevel="1">
      <c r="A23" s="33"/>
      <c r="B23" s="202" t="str">
        <f>Info!A19</f>
        <v/>
      </c>
      <c r="C23" s="227" t="str">
        <f>IF(List!D19="","",List!D19)</f>
        <v/>
      </c>
      <c r="D23" s="213" t="str">
        <f>[1]!IntrinioFundamentals($C23,"income_statement","QTR",0,"fiscal_period")&amp;" " &amp;[1]!IntrinioFundamentals($C23,"income_statement","QTR",0,"fiscal_year")</f>
        <v xml:space="preserve"> </v>
      </c>
      <c r="E23" s="213" t="str">
        <f>[1]!IntrinioFundamentals($C23,"income_statement","QTR",0,"end_date")</f>
        <v/>
      </c>
      <c r="F23" s="201"/>
      <c r="G23" s="207" t="str">
        <f>IF($C23="","",[1]!IntrinioFinancials($C23,"calculations",0,"TTM","roic"))</f>
        <v/>
      </c>
      <c r="H23" s="207" t="str">
        <f>IF($C23="","",[1]!IntrinioFinancials($C23,"calculations",0,"TTM","rnnoa"))</f>
        <v/>
      </c>
      <c r="I23" s="207" t="str">
        <f>IF($C23="","",[1]!IntrinioFinancials($C23,"calculations",0,"TTM","roe"))</f>
        <v/>
      </c>
      <c r="J23" s="214"/>
      <c r="K23" s="207" t="str">
        <f>IF($C23="","",[1]!IntrinioFinancials($C23,"calculations",0,"TTM","nopatmargin"))</f>
        <v/>
      </c>
      <c r="L23" s="207" t="str">
        <f>IF($C23="","",[1]!IntrinioFinancials($C23,"calculations",0,"TTM","grossmargin"))</f>
        <v/>
      </c>
      <c r="M23" s="207" t="str">
        <f>IF($C23="","",[1]!IntrinioFinancials($C23,"calculations",0,"TTM","opextorevenue"))</f>
        <v/>
      </c>
      <c r="N23" s="214"/>
      <c r="O23" s="215" t="str">
        <f>IF($C23="","",[1]!IntrinioFinancials($C23,"calculations",0,"TTM","investedcapitalturnover"))</f>
        <v/>
      </c>
      <c r="P23" s="215" t="str">
        <f>IF($C23="","",[1]!IntrinioFinancials($C23,"calculations",0,"TTM","arturnover"))</f>
        <v/>
      </c>
      <c r="Q23" s="215" t="str">
        <f>IF($C23="","",[1]!IntrinioFinancials($C23,"calculations",0,"TTM","invturnover"))</f>
        <v/>
      </c>
      <c r="R23" s="215" t="str">
        <f>IF($C23="","",[1]!IntrinioFinancials($C23,"calculations",0,"TTM","faturnover"))</f>
        <v/>
      </c>
      <c r="S23" s="215" t="str">
        <f>IF($C23="","",[1]!IntrinioFinancials($C23,"calculations",0,"TTM","apturnover"))</f>
        <v/>
      </c>
      <c r="T23" s="215"/>
      <c r="U23" s="216" t="str">
        <f>IF($C23="","",[1]!IntrinioFinancials($C23,"calculations",0,"TTM","finleverage"))</f>
        <v/>
      </c>
      <c r="V23" s="207" t="str">
        <f>IF($C23="","",[1]!IntrinioFinancials($C23,"calculations",0,"TTM","nnep"))</f>
        <v/>
      </c>
      <c r="W23" s="207" t="str">
        <f>IF($C23="","",[1]!IntrinioFinancials($C23,"calculations",0,"TTM","roicnnepspread"))</f>
        <v/>
      </c>
      <c r="X23" s="207"/>
      <c r="Y23" s="206" t="str">
        <f>IF($C23="","",[1]!IntrinioFinancials($C23,"calculations",0,"TTM","profitmargin"))</f>
        <v/>
      </c>
      <c r="Z23" s="215" t="str">
        <f>IF($C23="","",[1]!IntrinioFinancials($C23,"calculations",0,"TTM","assetturnover"))</f>
        <v/>
      </c>
      <c r="AA23" s="215" t="str">
        <f>IF($C23="","",[1]!IntrinioFinancials($C23,"calculations",0,"TTM","leverageratio"))</f>
        <v/>
      </c>
      <c r="AD23" s="85"/>
      <c r="AE23" s="85"/>
      <c r="AF23" s="86"/>
    </row>
    <row r="24" spans="1:32" s="46" customFormat="1" ht="13.15" hidden="1" outlineLevel="1">
      <c r="A24" s="33"/>
      <c r="B24" s="146" t="str">
        <f>Info!A20</f>
        <v/>
      </c>
      <c r="C24" s="148" t="str">
        <f>IF(List!D20="","",List!D20)</f>
        <v/>
      </c>
      <c r="D24" s="152" t="str">
        <f>[1]!IntrinioFundamentals($C24,"income_statement","QTR",0,"fiscal_period")&amp;" " &amp;[1]!IntrinioFundamentals($C24,"income_statement","QTR",0,"fiscal_year")</f>
        <v xml:space="preserve"> </v>
      </c>
      <c r="E24" s="152" t="str">
        <f>[1]!IntrinioFundamentals($C24,"income_statement","QTR",0,"end_date")</f>
        <v/>
      </c>
      <c r="F24" s="43"/>
      <c r="G24" s="45" t="str">
        <f>IF($C24="","",[1]!IntrinioFinancials($C24,"calculations",0,"TTM","roic"))</f>
        <v/>
      </c>
      <c r="H24" s="45" t="str">
        <f>IF($C24="","",[1]!IntrinioFinancials($C24,"calculations",0,"TTM","rnnoa"))</f>
        <v/>
      </c>
      <c r="I24" s="45" t="str">
        <f>IF($C24="","",[1]!IntrinioFinancials($C24,"calculations",0,"TTM","roe"))</f>
        <v/>
      </c>
      <c r="J24" s="87"/>
      <c r="K24" s="45" t="str">
        <f>IF($C24="","",[1]!IntrinioFinancials($C24,"calculations",0,"TTM","nopatmargin"))</f>
        <v/>
      </c>
      <c r="L24" s="45" t="str">
        <f>IF($C24="","",[1]!IntrinioFinancials($C24,"calculations",0,"TTM","grossmargin"))</f>
        <v/>
      </c>
      <c r="M24" s="45" t="str">
        <f>IF($C24="","",[1]!IntrinioFinancials($C24,"calculations",0,"TTM","opextorevenue"))</f>
        <v/>
      </c>
      <c r="N24" s="87"/>
      <c r="O24" s="88" t="str">
        <f>IF($C24="","",[1]!IntrinioFinancials($C24,"calculations",0,"TTM","investedcapitalturnover"))</f>
        <v/>
      </c>
      <c r="P24" s="88" t="str">
        <f>IF($C24="","",[1]!IntrinioFinancials($C24,"calculations",0,"TTM","arturnover"))</f>
        <v/>
      </c>
      <c r="Q24" s="88" t="str">
        <f>IF($C24="","",[1]!IntrinioFinancials($C24,"calculations",0,"TTM","invturnover"))</f>
        <v/>
      </c>
      <c r="R24" s="88" t="str">
        <f>IF($C24="","",[1]!IntrinioFinancials($C24,"calculations",0,"TTM","faturnover"))</f>
        <v/>
      </c>
      <c r="S24" s="88" t="str">
        <f>IF($C24="","",[1]!IntrinioFinancials($C24,"calculations",0,"TTM","apturnover"))</f>
        <v/>
      </c>
      <c r="T24" s="88"/>
      <c r="U24" s="89" t="str">
        <f>IF($C24="","",[1]!IntrinioFinancials($C24,"calculations",0,"TTM","finleverage"))</f>
        <v/>
      </c>
      <c r="V24" s="45" t="str">
        <f>IF($C24="","",[1]!IntrinioFinancials($C24,"calculations",0,"TTM","nnep"))</f>
        <v/>
      </c>
      <c r="W24" s="45" t="str">
        <f>IF($C24="","",[1]!IntrinioFinancials($C24,"calculations",0,"TTM","roicnnepspread"))</f>
        <v/>
      </c>
      <c r="X24" s="45"/>
      <c r="Y24" s="51" t="str">
        <f>IF($C24="","",[1]!IntrinioFinancials($C24,"calculations",0,"TTM","profitmargin"))</f>
        <v/>
      </c>
      <c r="Z24" s="88" t="str">
        <f>IF($C24="","",[1]!IntrinioFinancials($C24,"calculations",0,"TTM","assetturnover"))</f>
        <v/>
      </c>
      <c r="AA24" s="88" t="str">
        <f>IF($C24="","",[1]!IntrinioFinancials($C24,"calculations",0,"TTM","leverageratio"))</f>
        <v/>
      </c>
      <c r="AD24" s="85"/>
      <c r="AE24" s="85"/>
      <c r="AF24" s="86"/>
    </row>
    <row r="25" spans="1:32" s="46" customFormat="1" ht="13.15" hidden="1" outlineLevel="1">
      <c r="A25" s="33"/>
      <c r="B25" s="202" t="str">
        <f>Info!A21</f>
        <v/>
      </c>
      <c r="C25" s="227" t="str">
        <f>IF(List!D21="","",List!D21)</f>
        <v/>
      </c>
      <c r="D25" s="213" t="str">
        <f>[1]!IntrinioFundamentals($C25,"income_statement","QTR",0,"fiscal_period")&amp;" " &amp;[1]!IntrinioFundamentals($C25,"income_statement","QTR",0,"fiscal_year")</f>
        <v xml:space="preserve"> </v>
      </c>
      <c r="E25" s="213" t="str">
        <f>[1]!IntrinioFundamentals($C25,"income_statement","QTR",0,"end_date")</f>
        <v/>
      </c>
      <c r="F25" s="201"/>
      <c r="G25" s="207" t="str">
        <f>IF($C25="","",[1]!IntrinioFinancials($C25,"calculations",0,"TTM","roic"))</f>
        <v/>
      </c>
      <c r="H25" s="207" t="str">
        <f>IF($C25="","",[1]!IntrinioFinancials($C25,"calculations",0,"TTM","rnnoa"))</f>
        <v/>
      </c>
      <c r="I25" s="207" t="str">
        <f>IF($C25="","",[1]!IntrinioFinancials($C25,"calculations",0,"TTM","roe"))</f>
        <v/>
      </c>
      <c r="J25" s="214"/>
      <c r="K25" s="207" t="str">
        <f>IF($C25="","",[1]!IntrinioFinancials($C25,"calculations",0,"TTM","nopatmargin"))</f>
        <v/>
      </c>
      <c r="L25" s="207" t="str">
        <f>IF($C25="","",[1]!IntrinioFinancials($C25,"calculations",0,"TTM","grossmargin"))</f>
        <v/>
      </c>
      <c r="M25" s="207" t="str">
        <f>IF($C25="","",[1]!IntrinioFinancials($C25,"calculations",0,"TTM","opextorevenue"))</f>
        <v/>
      </c>
      <c r="N25" s="214"/>
      <c r="O25" s="215" t="str">
        <f>IF($C25="","",[1]!IntrinioFinancials($C25,"calculations",0,"TTM","investedcapitalturnover"))</f>
        <v/>
      </c>
      <c r="P25" s="215" t="str">
        <f>IF($C25="","",[1]!IntrinioFinancials($C25,"calculations",0,"TTM","arturnover"))</f>
        <v/>
      </c>
      <c r="Q25" s="215" t="str">
        <f>IF($C25="","",[1]!IntrinioFinancials($C25,"calculations",0,"TTM","invturnover"))</f>
        <v/>
      </c>
      <c r="R25" s="215" t="str">
        <f>IF($C25="","",[1]!IntrinioFinancials($C25,"calculations",0,"TTM","faturnover"))</f>
        <v/>
      </c>
      <c r="S25" s="215" t="str">
        <f>IF($C25="","",[1]!IntrinioFinancials($C25,"calculations",0,"TTM","apturnover"))</f>
        <v/>
      </c>
      <c r="T25" s="215"/>
      <c r="U25" s="216" t="str">
        <f>IF($C25="","",[1]!IntrinioFinancials($C25,"calculations",0,"TTM","finleverage"))</f>
        <v/>
      </c>
      <c r="V25" s="207" t="str">
        <f>IF($C25="","",[1]!IntrinioFinancials($C25,"calculations",0,"TTM","nnep"))</f>
        <v/>
      </c>
      <c r="W25" s="207" t="str">
        <f>IF($C25="","",[1]!IntrinioFinancials($C25,"calculations",0,"TTM","roicnnepspread"))</f>
        <v/>
      </c>
      <c r="X25" s="207"/>
      <c r="Y25" s="206" t="str">
        <f>IF($C25="","",[1]!IntrinioFinancials($C25,"calculations",0,"TTM","profitmargin"))</f>
        <v/>
      </c>
      <c r="Z25" s="215" t="str">
        <f>IF($C25="","",[1]!IntrinioFinancials($C25,"calculations",0,"TTM","assetturnover"))</f>
        <v/>
      </c>
      <c r="AA25" s="215" t="str">
        <f>IF($C25="","",[1]!IntrinioFinancials($C25,"calculations",0,"TTM","leverageratio"))</f>
        <v/>
      </c>
      <c r="AD25" s="85"/>
      <c r="AE25" s="85"/>
      <c r="AF25" s="86"/>
    </row>
    <row r="26" spans="1:32" s="46" customFormat="1" ht="13.15" hidden="1" outlineLevel="1">
      <c r="A26" s="33"/>
      <c r="B26" s="146" t="str">
        <f>Info!A22</f>
        <v/>
      </c>
      <c r="C26" s="148" t="str">
        <f>IF(List!D22="","",List!D22)</f>
        <v/>
      </c>
      <c r="D26" s="152" t="str">
        <f>[1]!IntrinioFundamentals($C26,"income_statement","QTR",0,"fiscal_period")&amp;" " &amp;[1]!IntrinioFundamentals($C26,"income_statement","QTR",0,"fiscal_year")</f>
        <v xml:space="preserve"> </v>
      </c>
      <c r="E26" s="152" t="str">
        <f>[1]!IntrinioFundamentals($C26,"income_statement","QTR",0,"end_date")</f>
        <v/>
      </c>
      <c r="F26" s="43"/>
      <c r="G26" s="45" t="str">
        <f>IF($C26="","",[1]!IntrinioFinancials($C26,"calculations",0,"TTM","roic"))</f>
        <v/>
      </c>
      <c r="H26" s="45" t="str">
        <f>IF($C26="","",[1]!IntrinioFinancials($C26,"calculations",0,"TTM","rnnoa"))</f>
        <v/>
      </c>
      <c r="I26" s="45" t="str">
        <f>IF($C26="","",[1]!IntrinioFinancials($C26,"calculations",0,"TTM","roe"))</f>
        <v/>
      </c>
      <c r="J26" s="87"/>
      <c r="K26" s="45" t="str">
        <f>IF($C26="","",[1]!IntrinioFinancials($C26,"calculations",0,"TTM","nopatmargin"))</f>
        <v/>
      </c>
      <c r="L26" s="45" t="str">
        <f>IF($C26="","",[1]!IntrinioFinancials($C26,"calculations",0,"TTM","grossmargin"))</f>
        <v/>
      </c>
      <c r="M26" s="45" t="str">
        <f>IF($C26="","",[1]!IntrinioFinancials($C26,"calculations",0,"TTM","opextorevenue"))</f>
        <v/>
      </c>
      <c r="N26" s="87"/>
      <c r="O26" s="88" t="str">
        <f>IF($C26="","",[1]!IntrinioFinancials($C26,"calculations",0,"TTM","investedcapitalturnover"))</f>
        <v/>
      </c>
      <c r="P26" s="88" t="str">
        <f>IF($C26="","",[1]!IntrinioFinancials($C26,"calculations",0,"TTM","arturnover"))</f>
        <v/>
      </c>
      <c r="Q26" s="88" t="str">
        <f>IF($C26="","",[1]!IntrinioFinancials($C26,"calculations",0,"TTM","invturnover"))</f>
        <v/>
      </c>
      <c r="R26" s="88" t="str">
        <f>IF($C26="","",[1]!IntrinioFinancials($C26,"calculations",0,"TTM","faturnover"))</f>
        <v/>
      </c>
      <c r="S26" s="88" t="str">
        <f>IF($C26="","",[1]!IntrinioFinancials($C26,"calculations",0,"TTM","apturnover"))</f>
        <v/>
      </c>
      <c r="T26" s="88"/>
      <c r="U26" s="89" t="str">
        <f>IF($C26="","",[1]!IntrinioFinancials($C26,"calculations",0,"TTM","finleverage"))</f>
        <v/>
      </c>
      <c r="V26" s="45" t="str">
        <f>IF($C26="","",[1]!IntrinioFinancials($C26,"calculations",0,"TTM","nnep"))</f>
        <v/>
      </c>
      <c r="W26" s="45" t="str">
        <f>IF($C26="","",[1]!IntrinioFinancials($C26,"calculations",0,"TTM","roicnnepspread"))</f>
        <v/>
      </c>
      <c r="X26" s="45"/>
      <c r="Y26" s="51" t="str">
        <f>IF($C26="","",[1]!IntrinioFinancials($C26,"calculations",0,"TTM","profitmargin"))</f>
        <v/>
      </c>
      <c r="Z26" s="88" t="str">
        <f>IF($C26="","",[1]!IntrinioFinancials($C26,"calculations",0,"TTM","assetturnover"))</f>
        <v/>
      </c>
      <c r="AA26" s="88" t="str">
        <f>IF($C26="","",[1]!IntrinioFinancials($C26,"calculations",0,"TTM","leverageratio"))</f>
        <v/>
      </c>
      <c r="AD26" s="85"/>
      <c r="AE26" s="85"/>
      <c r="AF26" s="86"/>
    </row>
    <row r="27" spans="1:32" s="46" customFormat="1" ht="13.15" hidden="1" outlineLevel="1">
      <c r="A27" s="33"/>
      <c r="B27" s="202" t="str">
        <f>Info!A23</f>
        <v/>
      </c>
      <c r="C27" s="227" t="str">
        <f>IF(List!D23="","",List!D23)</f>
        <v/>
      </c>
      <c r="D27" s="213" t="str">
        <f>[1]!IntrinioFundamentals($C27,"income_statement","QTR",0,"fiscal_period")&amp;" " &amp;[1]!IntrinioFundamentals($C27,"income_statement","QTR",0,"fiscal_year")</f>
        <v xml:space="preserve"> </v>
      </c>
      <c r="E27" s="213" t="str">
        <f>[1]!IntrinioFundamentals($C27,"income_statement","QTR",0,"end_date")</f>
        <v/>
      </c>
      <c r="F27" s="201"/>
      <c r="G27" s="207" t="str">
        <f>IF($C27="","",[1]!IntrinioFinancials($C27,"calculations",0,"TTM","roic"))</f>
        <v/>
      </c>
      <c r="H27" s="207" t="str">
        <f>IF($C27="","",[1]!IntrinioFinancials($C27,"calculations",0,"TTM","rnnoa"))</f>
        <v/>
      </c>
      <c r="I27" s="207" t="str">
        <f>IF($C27="","",[1]!IntrinioFinancials($C27,"calculations",0,"TTM","roe"))</f>
        <v/>
      </c>
      <c r="J27" s="214"/>
      <c r="K27" s="207" t="str">
        <f>IF($C27="","",[1]!IntrinioFinancials($C27,"calculations",0,"TTM","nopatmargin"))</f>
        <v/>
      </c>
      <c r="L27" s="207" t="str">
        <f>IF($C27="","",[1]!IntrinioFinancials($C27,"calculations",0,"TTM","grossmargin"))</f>
        <v/>
      </c>
      <c r="M27" s="207" t="str">
        <f>IF($C27="","",[1]!IntrinioFinancials($C27,"calculations",0,"TTM","opextorevenue"))</f>
        <v/>
      </c>
      <c r="N27" s="214"/>
      <c r="O27" s="215" t="str">
        <f>IF($C27="","",[1]!IntrinioFinancials($C27,"calculations",0,"TTM","investedcapitalturnover"))</f>
        <v/>
      </c>
      <c r="P27" s="215" t="str">
        <f>IF($C27="","",[1]!IntrinioFinancials($C27,"calculations",0,"TTM","arturnover"))</f>
        <v/>
      </c>
      <c r="Q27" s="215" t="str">
        <f>IF($C27="","",[1]!IntrinioFinancials($C27,"calculations",0,"TTM","invturnover"))</f>
        <v/>
      </c>
      <c r="R27" s="215" t="str">
        <f>IF($C27="","",[1]!IntrinioFinancials($C27,"calculations",0,"TTM","faturnover"))</f>
        <v/>
      </c>
      <c r="S27" s="215" t="str">
        <f>IF($C27="","",[1]!IntrinioFinancials($C27,"calculations",0,"TTM","apturnover"))</f>
        <v/>
      </c>
      <c r="T27" s="215"/>
      <c r="U27" s="216" t="str">
        <f>IF($C27="","",[1]!IntrinioFinancials($C27,"calculations",0,"TTM","finleverage"))</f>
        <v/>
      </c>
      <c r="V27" s="207" t="str">
        <f>IF($C27="","",[1]!IntrinioFinancials($C27,"calculations",0,"TTM","nnep"))</f>
        <v/>
      </c>
      <c r="W27" s="207" t="str">
        <f>IF($C27="","",[1]!IntrinioFinancials($C27,"calculations",0,"TTM","roicnnepspread"))</f>
        <v/>
      </c>
      <c r="X27" s="207"/>
      <c r="Y27" s="206" t="str">
        <f>IF($C27="","",[1]!IntrinioFinancials($C27,"calculations",0,"TTM","profitmargin"))</f>
        <v/>
      </c>
      <c r="Z27" s="215" t="str">
        <f>IF($C27="","",[1]!IntrinioFinancials($C27,"calculations",0,"TTM","assetturnover"))</f>
        <v/>
      </c>
      <c r="AA27" s="215" t="str">
        <f>IF($C27="","",[1]!IntrinioFinancials($C27,"calculations",0,"TTM","leverageratio"))</f>
        <v/>
      </c>
      <c r="AD27" s="85"/>
      <c r="AE27" s="85"/>
      <c r="AF27" s="86"/>
    </row>
    <row r="28" spans="1:32" s="46" customFormat="1" ht="13.15" hidden="1" outlineLevel="1">
      <c r="A28" s="33"/>
      <c r="B28" s="146" t="str">
        <f>Info!A24</f>
        <v/>
      </c>
      <c r="C28" s="148" t="str">
        <f>IF(List!D24="","",List!D24)</f>
        <v/>
      </c>
      <c r="D28" s="152" t="str">
        <f>[1]!IntrinioFundamentals($C28,"income_statement","QTR",0,"fiscal_period")&amp;" " &amp;[1]!IntrinioFundamentals($C28,"income_statement","QTR",0,"fiscal_year")</f>
        <v xml:space="preserve"> </v>
      </c>
      <c r="E28" s="152" t="str">
        <f>[1]!IntrinioFundamentals($C28,"income_statement","QTR",0,"end_date")</f>
        <v/>
      </c>
      <c r="F28" s="43"/>
      <c r="G28" s="45" t="str">
        <f>IF($C28="","",[1]!IntrinioFinancials($C28,"calculations",0,"TTM","roic"))</f>
        <v/>
      </c>
      <c r="H28" s="45" t="str">
        <f>IF($C28="","",[1]!IntrinioFinancials($C28,"calculations",0,"TTM","rnnoa"))</f>
        <v/>
      </c>
      <c r="I28" s="45" t="str">
        <f>IF($C28="","",[1]!IntrinioFinancials($C28,"calculations",0,"TTM","roe"))</f>
        <v/>
      </c>
      <c r="J28" s="87"/>
      <c r="K28" s="45" t="str">
        <f>IF($C28="","",[1]!IntrinioFinancials($C28,"calculations",0,"TTM","nopatmargin"))</f>
        <v/>
      </c>
      <c r="L28" s="45" t="str">
        <f>IF($C28="","",[1]!IntrinioFinancials($C28,"calculations",0,"TTM","grossmargin"))</f>
        <v/>
      </c>
      <c r="M28" s="45" t="str">
        <f>IF($C28="","",[1]!IntrinioFinancials($C28,"calculations",0,"TTM","opextorevenue"))</f>
        <v/>
      </c>
      <c r="N28" s="87"/>
      <c r="O28" s="88" t="str">
        <f>IF($C28="","",[1]!IntrinioFinancials($C28,"calculations",0,"TTM","investedcapitalturnover"))</f>
        <v/>
      </c>
      <c r="P28" s="88" t="str">
        <f>IF($C28="","",[1]!IntrinioFinancials($C28,"calculations",0,"TTM","arturnover"))</f>
        <v/>
      </c>
      <c r="Q28" s="88" t="str">
        <f>IF($C28="","",[1]!IntrinioFinancials($C28,"calculations",0,"TTM","invturnover"))</f>
        <v/>
      </c>
      <c r="R28" s="88" t="str">
        <f>IF($C28="","",[1]!IntrinioFinancials($C28,"calculations",0,"TTM","faturnover"))</f>
        <v/>
      </c>
      <c r="S28" s="88" t="str">
        <f>IF($C28="","",[1]!IntrinioFinancials($C28,"calculations",0,"TTM","apturnover"))</f>
        <v/>
      </c>
      <c r="T28" s="88"/>
      <c r="U28" s="89" t="str">
        <f>IF($C28="","",[1]!IntrinioFinancials($C28,"calculations",0,"TTM","finleverage"))</f>
        <v/>
      </c>
      <c r="V28" s="45" t="str">
        <f>IF($C28="","",[1]!IntrinioFinancials($C28,"calculations",0,"TTM","nnep"))</f>
        <v/>
      </c>
      <c r="W28" s="45" t="str">
        <f>IF($C28="","",[1]!IntrinioFinancials($C28,"calculations",0,"TTM","roicnnepspread"))</f>
        <v/>
      </c>
      <c r="X28" s="45"/>
      <c r="Y28" s="51" t="str">
        <f>IF($C28="","",[1]!IntrinioFinancials($C28,"calculations",0,"TTM","profitmargin"))</f>
        <v/>
      </c>
      <c r="Z28" s="88" t="str">
        <f>IF($C28="","",[1]!IntrinioFinancials($C28,"calculations",0,"TTM","assetturnover"))</f>
        <v/>
      </c>
      <c r="AA28" s="88" t="str">
        <f>IF($C28="","",[1]!IntrinioFinancials($C28,"calculations",0,"TTM","leverageratio"))</f>
        <v/>
      </c>
      <c r="AD28" s="85"/>
      <c r="AE28" s="85"/>
      <c r="AF28" s="86"/>
    </row>
    <row r="29" spans="1:32" s="46" customFormat="1" ht="13.15" hidden="1" outlineLevel="1">
      <c r="A29" s="33"/>
      <c r="B29" s="202" t="str">
        <f>Info!A25</f>
        <v/>
      </c>
      <c r="C29" s="227" t="str">
        <f>IF(List!D25="","",List!D25)</f>
        <v/>
      </c>
      <c r="D29" s="213" t="str">
        <f>[1]!IntrinioFundamentals($C29,"income_statement","QTR",0,"fiscal_period")&amp;" " &amp;[1]!IntrinioFundamentals($C29,"income_statement","QTR",0,"fiscal_year")</f>
        <v xml:space="preserve"> </v>
      </c>
      <c r="E29" s="213" t="str">
        <f>[1]!IntrinioFundamentals($C29,"income_statement","QTR",0,"end_date")</f>
        <v/>
      </c>
      <c r="F29" s="201"/>
      <c r="G29" s="207" t="str">
        <f>IF($C29="","",[1]!IntrinioFinancials($C29,"calculations",0,"TTM","roic"))</f>
        <v/>
      </c>
      <c r="H29" s="207" t="str">
        <f>IF($C29="","",[1]!IntrinioFinancials($C29,"calculations",0,"TTM","rnnoa"))</f>
        <v/>
      </c>
      <c r="I29" s="207" t="str">
        <f>IF($C29="","",[1]!IntrinioFinancials($C29,"calculations",0,"TTM","roe"))</f>
        <v/>
      </c>
      <c r="J29" s="214"/>
      <c r="K29" s="207" t="str">
        <f>IF($C29="","",[1]!IntrinioFinancials($C29,"calculations",0,"TTM","nopatmargin"))</f>
        <v/>
      </c>
      <c r="L29" s="207" t="str">
        <f>IF($C29="","",[1]!IntrinioFinancials($C29,"calculations",0,"TTM","grossmargin"))</f>
        <v/>
      </c>
      <c r="M29" s="207" t="str">
        <f>IF($C29="","",[1]!IntrinioFinancials($C29,"calculations",0,"TTM","opextorevenue"))</f>
        <v/>
      </c>
      <c r="N29" s="214"/>
      <c r="O29" s="215" t="str">
        <f>IF($C29="","",[1]!IntrinioFinancials($C29,"calculations",0,"TTM","investedcapitalturnover"))</f>
        <v/>
      </c>
      <c r="P29" s="215" t="str">
        <f>IF($C29="","",[1]!IntrinioFinancials($C29,"calculations",0,"TTM","arturnover"))</f>
        <v/>
      </c>
      <c r="Q29" s="215" t="str">
        <f>IF($C29="","",[1]!IntrinioFinancials($C29,"calculations",0,"TTM","invturnover"))</f>
        <v/>
      </c>
      <c r="R29" s="215" t="str">
        <f>IF($C29="","",[1]!IntrinioFinancials($C29,"calculations",0,"TTM","faturnover"))</f>
        <v/>
      </c>
      <c r="S29" s="215" t="str">
        <f>IF($C29="","",[1]!IntrinioFinancials($C29,"calculations",0,"TTM","apturnover"))</f>
        <v/>
      </c>
      <c r="T29" s="215"/>
      <c r="U29" s="216" t="str">
        <f>IF($C29="","",[1]!IntrinioFinancials($C29,"calculations",0,"TTM","finleverage"))</f>
        <v/>
      </c>
      <c r="V29" s="207" t="str">
        <f>IF($C29="","",[1]!IntrinioFinancials($C29,"calculations",0,"TTM","nnep"))</f>
        <v/>
      </c>
      <c r="W29" s="207" t="str">
        <f>IF($C29="","",[1]!IntrinioFinancials($C29,"calculations",0,"TTM","roicnnepspread"))</f>
        <v/>
      </c>
      <c r="X29" s="207"/>
      <c r="Y29" s="206" t="str">
        <f>IF($C29="","",[1]!IntrinioFinancials($C29,"calculations",0,"TTM","profitmargin"))</f>
        <v/>
      </c>
      <c r="Z29" s="215" t="str">
        <f>IF($C29="","",[1]!IntrinioFinancials($C29,"calculations",0,"TTM","assetturnover"))</f>
        <v/>
      </c>
      <c r="AA29" s="215" t="str">
        <f>IF($C29="","",[1]!IntrinioFinancials($C29,"calculations",0,"TTM","leverageratio"))</f>
        <v/>
      </c>
      <c r="AD29" s="85"/>
      <c r="AE29" s="85"/>
      <c r="AF29" s="86"/>
    </row>
    <row r="30" spans="1:32" s="46" customFormat="1" ht="13.15" hidden="1" outlineLevel="1">
      <c r="A30" s="33"/>
      <c r="B30" s="146" t="str">
        <f>Info!A26</f>
        <v/>
      </c>
      <c r="C30" s="148" t="str">
        <f>IF(List!D26="","",List!D26)</f>
        <v/>
      </c>
      <c r="D30" s="152" t="str">
        <f>[1]!IntrinioFundamentals($C30,"income_statement","QTR",0,"fiscal_period")&amp;" " &amp;[1]!IntrinioFundamentals($C30,"income_statement","QTR",0,"fiscal_year")</f>
        <v xml:space="preserve"> </v>
      </c>
      <c r="E30" s="152" t="str">
        <f>[1]!IntrinioFundamentals($C30,"income_statement","QTR",0,"end_date")</f>
        <v/>
      </c>
      <c r="F30" s="43"/>
      <c r="G30" s="45" t="str">
        <f>IF($C30="","",[1]!IntrinioFinancials($C30,"calculations",0,"TTM","roic"))</f>
        <v/>
      </c>
      <c r="H30" s="45" t="str">
        <f>IF($C30="","",[1]!IntrinioFinancials($C30,"calculations",0,"TTM","rnnoa"))</f>
        <v/>
      </c>
      <c r="I30" s="45" t="str">
        <f>IF($C30="","",[1]!IntrinioFinancials($C30,"calculations",0,"TTM","roe"))</f>
        <v/>
      </c>
      <c r="J30" s="87"/>
      <c r="K30" s="45" t="str">
        <f>IF($C30="","",[1]!IntrinioFinancials($C30,"calculations",0,"TTM","nopatmargin"))</f>
        <v/>
      </c>
      <c r="L30" s="45" t="str">
        <f>IF($C30="","",[1]!IntrinioFinancials($C30,"calculations",0,"TTM","grossmargin"))</f>
        <v/>
      </c>
      <c r="M30" s="45" t="str">
        <f>IF($C30="","",[1]!IntrinioFinancials($C30,"calculations",0,"TTM","opextorevenue"))</f>
        <v/>
      </c>
      <c r="N30" s="87"/>
      <c r="O30" s="88" t="str">
        <f>IF($C30="","",[1]!IntrinioFinancials($C30,"calculations",0,"TTM","investedcapitalturnover"))</f>
        <v/>
      </c>
      <c r="P30" s="88" t="str">
        <f>IF($C30="","",[1]!IntrinioFinancials($C30,"calculations",0,"TTM","arturnover"))</f>
        <v/>
      </c>
      <c r="Q30" s="88" t="str">
        <f>IF($C30="","",[1]!IntrinioFinancials($C30,"calculations",0,"TTM","invturnover"))</f>
        <v/>
      </c>
      <c r="R30" s="88" t="str">
        <f>IF($C30="","",[1]!IntrinioFinancials($C30,"calculations",0,"TTM","faturnover"))</f>
        <v/>
      </c>
      <c r="S30" s="88" t="str">
        <f>IF($C30="","",[1]!IntrinioFinancials($C30,"calculations",0,"TTM","apturnover"))</f>
        <v/>
      </c>
      <c r="T30" s="88"/>
      <c r="U30" s="89" t="str">
        <f>IF($C30="","",[1]!IntrinioFinancials($C30,"calculations",0,"TTM","finleverage"))</f>
        <v/>
      </c>
      <c r="V30" s="45" t="str">
        <f>IF($C30="","",[1]!IntrinioFinancials($C30,"calculations",0,"TTM","nnep"))</f>
        <v/>
      </c>
      <c r="W30" s="45" t="str">
        <f>IF($C30="","",[1]!IntrinioFinancials($C30,"calculations",0,"TTM","roicnnepspread"))</f>
        <v/>
      </c>
      <c r="X30" s="45"/>
      <c r="Y30" s="51" t="str">
        <f>IF($C30="","",[1]!IntrinioFinancials($C30,"calculations",0,"TTM","profitmargin"))</f>
        <v/>
      </c>
      <c r="Z30" s="88" t="str">
        <f>IF($C30="","",[1]!IntrinioFinancials($C30,"calculations",0,"TTM","assetturnover"))</f>
        <v/>
      </c>
      <c r="AA30" s="88" t="str">
        <f>IF($C30="","",[1]!IntrinioFinancials($C30,"calculations",0,"TTM","leverageratio"))</f>
        <v/>
      </c>
      <c r="AD30" s="85"/>
      <c r="AE30" s="85"/>
      <c r="AF30" s="86"/>
    </row>
    <row r="31" spans="1:32" s="46" customFormat="1" ht="13.15" hidden="1" outlineLevel="1">
      <c r="A31" s="33"/>
      <c r="B31" s="202" t="str">
        <f>Info!A27</f>
        <v/>
      </c>
      <c r="C31" s="227" t="str">
        <f>IF(List!D27="","",List!D27)</f>
        <v/>
      </c>
      <c r="D31" s="213" t="str">
        <f>[1]!IntrinioFundamentals($C31,"income_statement","QTR",0,"fiscal_period")&amp;" " &amp;[1]!IntrinioFundamentals($C31,"income_statement","QTR",0,"fiscal_year")</f>
        <v xml:space="preserve"> </v>
      </c>
      <c r="E31" s="213" t="str">
        <f>[1]!IntrinioFundamentals($C31,"income_statement","QTR",0,"end_date")</f>
        <v/>
      </c>
      <c r="F31" s="201"/>
      <c r="G31" s="207" t="str">
        <f>IF($C31="","",[1]!IntrinioFinancials($C31,"calculations",0,"TTM","roic"))</f>
        <v/>
      </c>
      <c r="H31" s="207" t="str">
        <f>IF($C31="","",[1]!IntrinioFinancials($C31,"calculations",0,"TTM","rnnoa"))</f>
        <v/>
      </c>
      <c r="I31" s="207" t="str">
        <f>IF($C31="","",[1]!IntrinioFinancials($C31,"calculations",0,"TTM","roe"))</f>
        <v/>
      </c>
      <c r="J31" s="214"/>
      <c r="K31" s="207" t="str">
        <f>IF($C31="","",[1]!IntrinioFinancials($C31,"calculations",0,"TTM","nopatmargin"))</f>
        <v/>
      </c>
      <c r="L31" s="207" t="str">
        <f>IF($C31="","",[1]!IntrinioFinancials($C31,"calculations",0,"TTM","grossmargin"))</f>
        <v/>
      </c>
      <c r="M31" s="207" t="str">
        <f>IF($C31="","",[1]!IntrinioFinancials($C31,"calculations",0,"TTM","opextorevenue"))</f>
        <v/>
      </c>
      <c r="N31" s="214"/>
      <c r="O31" s="215" t="str">
        <f>IF($C31="","",[1]!IntrinioFinancials($C31,"calculations",0,"TTM","investedcapitalturnover"))</f>
        <v/>
      </c>
      <c r="P31" s="215" t="str">
        <f>IF($C31="","",[1]!IntrinioFinancials($C31,"calculations",0,"TTM","arturnover"))</f>
        <v/>
      </c>
      <c r="Q31" s="215" t="str">
        <f>IF($C31="","",[1]!IntrinioFinancials($C31,"calculations",0,"TTM","invturnover"))</f>
        <v/>
      </c>
      <c r="R31" s="215" t="str">
        <f>IF($C31="","",[1]!IntrinioFinancials($C31,"calculations",0,"TTM","faturnover"))</f>
        <v/>
      </c>
      <c r="S31" s="215" t="str">
        <f>IF($C31="","",[1]!IntrinioFinancials($C31,"calculations",0,"TTM","apturnover"))</f>
        <v/>
      </c>
      <c r="T31" s="215"/>
      <c r="U31" s="216" t="str">
        <f>IF($C31="","",[1]!IntrinioFinancials($C31,"calculations",0,"TTM","finleverage"))</f>
        <v/>
      </c>
      <c r="V31" s="207" t="str">
        <f>IF($C31="","",[1]!IntrinioFinancials($C31,"calculations",0,"TTM","nnep"))</f>
        <v/>
      </c>
      <c r="W31" s="207" t="str">
        <f>IF($C31="","",[1]!IntrinioFinancials($C31,"calculations",0,"TTM","roicnnepspread"))</f>
        <v/>
      </c>
      <c r="X31" s="207"/>
      <c r="Y31" s="206" t="str">
        <f>IF($C31="","",[1]!IntrinioFinancials($C31,"calculations",0,"TTM","profitmargin"))</f>
        <v/>
      </c>
      <c r="Z31" s="215" t="str">
        <f>IF($C31="","",[1]!IntrinioFinancials($C31,"calculations",0,"TTM","assetturnover"))</f>
        <v/>
      </c>
      <c r="AA31" s="215" t="str">
        <f>IF($C31="","",[1]!IntrinioFinancials($C31,"calculations",0,"TTM","leverageratio"))</f>
        <v/>
      </c>
      <c r="AD31" s="85"/>
      <c r="AE31" s="85"/>
      <c r="AF31" s="86"/>
    </row>
    <row r="32" spans="1:32" s="46" customFormat="1" ht="13.15" hidden="1" outlineLevel="1">
      <c r="A32" s="33"/>
      <c r="B32" s="146" t="str">
        <f>Info!A28</f>
        <v/>
      </c>
      <c r="C32" s="148" t="str">
        <f>IF(List!D28="","",List!D28)</f>
        <v/>
      </c>
      <c r="D32" s="152" t="str">
        <f>[1]!IntrinioFundamentals($C32,"income_statement","QTR",0,"fiscal_period")&amp;" " &amp;[1]!IntrinioFundamentals($C32,"income_statement","QTR",0,"fiscal_year")</f>
        <v xml:space="preserve"> </v>
      </c>
      <c r="E32" s="152" t="str">
        <f>[1]!IntrinioFundamentals($C32,"income_statement","QTR",0,"end_date")</f>
        <v/>
      </c>
      <c r="F32" s="43"/>
      <c r="G32" s="45" t="str">
        <f>IF($C32="","",[1]!IntrinioFinancials($C32,"calculations",0,"TTM","roic"))</f>
        <v/>
      </c>
      <c r="H32" s="45" t="str">
        <f>IF($C32="","",[1]!IntrinioFinancials($C32,"calculations",0,"TTM","rnnoa"))</f>
        <v/>
      </c>
      <c r="I32" s="45" t="str">
        <f>IF($C32="","",[1]!IntrinioFinancials($C32,"calculations",0,"TTM","roe"))</f>
        <v/>
      </c>
      <c r="J32" s="87"/>
      <c r="K32" s="45" t="str">
        <f>IF($C32="","",[1]!IntrinioFinancials($C32,"calculations",0,"TTM","nopatmargin"))</f>
        <v/>
      </c>
      <c r="L32" s="45" t="str">
        <f>IF($C32="","",[1]!IntrinioFinancials($C32,"calculations",0,"TTM","grossmargin"))</f>
        <v/>
      </c>
      <c r="M32" s="45" t="str">
        <f>IF($C32="","",[1]!IntrinioFinancials($C32,"calculations",0,"TTM","opextorevenue"))</f>
        <v/>
      </c>
      <c r="N32" s="87"/>
      <c r="O32" s="88" t="str">
        <f>IF($C32="","",[1]!IntrinioFinancials($C32,"calculations",0,"TTM","investedcapitalturnover"))</f>
        <v/>
      </c>
      <c r="P32" s="88" t="str">
        <f>IF($C32="","",[1]!IntrinioFinancials($C32,"calculations",0,"TTM","arturnover"))</f>
        <v/>
      </c>
      <c r="Q32" s="88" t="str">
        <f>IF($C32="","",[1]!IntrinioFinancials($C32,"calculations",0,"TTM","invturnover"))</f>
        <v/>
      </c>
      <c r="R32" s="88" t="str">
        <f>IF($C32="","",[1]!IntrinioFinancials($C32,"calculations",0,"TTM","faturnover"))</f>
        <v/>
      </c>
      <c r="S32" s="88" t="str">
        <f>IF($C32="","",[1]!IntrinioFinancials($C32,"calculations",0,"TTM","apturnover"))</f>
        <v/>
      </c>
      <c r="T32" s="88"/>
      <c r="U32" s="89" t="str">
        <f>IF($C32="","",[1]!IntrinioFinancials($C32,"calculations",0,"TTM","finleverage"))</f>
        <v/>
      </c>
      <c r="V32" s="45" t="str">
        <f>IF($C32="","",[1]!IntrinioFinancials($C32,"calculations",0,"TTM","nnep"))</f>
        <v/>
      </c>
      <c r="W32" s="45" t="str">
        <f>IF($C32="","",[1]!IntrinioFinancials($C32,"calculations",0,"TTM","roicnnepspread"))</f>
        <v/>
      </c>
      <c r="X32" s="45"/>
      <c r="Y32" s="51" t="str">
        <f>IF($C32="","",[1]!IntrinioFinancials($C32,"calculations",0,"TTM","profitmargin"))</f>
        <v/>
      </c>
      <c r="Z32" s="88" t="str">
        <f>IF($C32="","",[1]!IntrinioFinancials($C32,"calculations",0,"TTM","assetturnover"))</f>
        <v/>
      </c>
      <c r="AA32" s="88" t="str">
        <f>IF($C32="","",[1]!IntrinioFinancials($C32,"calculations",0,"TTM","leverageratio"))</f>
        <v/>
      </c>
      <c r="AD32" s="85"/>
      <c r="AE32" s="85"/>
      <c r="AF32" s="86"/>
    </row>
    <row r="33" spans="1:32" s="46" customFormat="1" ht="13.15" hidden="1" outlineLevel="1">
      <c r="A33" s="33"/>
      <c r="B33" s="202" t="str">
        <f>Info!A29</f>
        <v/>
      </c>
      <c r="C33" s="227" t="str">
        <f>IF(List!D29="","",List!D29)</f>
        <v/>
      </c>
      <c r="D33" s="213" t="str">
        <f>[1]!IntrinioFundamentals($C33,"income_statement","QTR",0,"fiscal_period")&amp;" " &amp;[1]!IntrinioFundamentals($C33,"income_statement","QTR",0,"fiscal_year")</f>
        <v xml:space="preserve"> </v>
      </c>
      <c r="E33" s="213" t="str">
        <f>[1]!IntrinioFundamentals($C33,"income_statement","QTR",0,"end_date")</f>
        <v/>
      </c>
      <c r="F33" s="201"/>
      <c r="G33" s="207" t="str">
        <f>IF($C33="","",[1]!IntrinioFinancials($C33,"calculations",0,"TTM","roic"))</f>
        <v/>
      </c>
      <c r="H33" s="207" t="str">
        <f>IF($C33="","",[1]!IntrinioFinancials($C33,"calculations",0,"TTM","rnnoa"))</f>
        <v/>
      </c>
      <c r="I33" s="207" t="str">
        <f>IF($C33="","",[1]!IntrinioFinancials($C33,"calculations",0,"TTM","roe"))</f>
        <v/>
      </c>
      <c r="J33" s="214"/>
      <c r="K33" s="207" t="str">
        <f>IF($C33="","",[1]!IntrinioFinancials($C33,"calculations",0,"TTM","nopatmargin"))</f>
        <v/>
      </c>
      <c r="L33" s="207" t="str">
        <f>IF($C33="","",[1]!IntrinioFinancials($C33,"calculations",0,"TTM","grossmargin"))</f>
        <v/>
      </c>
      <c r="M33" s="207" t="str">
        <f>IF($C33="","",[1]!IntrinioFinancials($C33,"calculations",0,"TTM","opextorevenue"))</f>
        <v/>
      </c>
      <c r="N33" s="214"/>
      <c r="O33" s="215" t="str">
        <f>IF($C33="","",[1]!IntrinioFinancials($C33,"calculations",0,"TTM","investedcapitalturnover"))</f>
        <v/>
      </c>
      <c r="P33" s="215" t="str">
        <f>IF($C33="","",[1]!IntrinioFinancials($C33,"calculations",0,"TTM","arturnover"))</f>
        <v/>
      </c>
      <c r="Q33" s="215" t="str">
        <f>IF($C33="","",[1]!IntrinioFinancials($C33,"calculations",0,"TTM","invturnover"))</f>
        <v/>
      </c>
      <c r="R33" s="215" t="str">
        <f>IF($C33="","",[1]!IntrinioFinancials($C33,"calculations",0,"TTM","faturnover"))</f>
        <v/>
      </c>
      <c r="S33" s="215" t="str">
        <f>IF($C33="","",[1]!IntrinioFinancials($C33,"calculations",0,"TTM","apturnover"))</f>
        <v/>
      </c>
      <c r="T33" s="215"/>
      <c r="U33" s="216" t="str">
        <f>IF($C33="","",[1]!IntrinioFinancials($C33,"calculations",0,"TTM","finleverage"))</f>
        <v/>
      </c>
      <c r="V33" s="207" t="str">
        <f>IF($C33="","",[1]!IntrinioFinancials($C33,"calculations",0,"TTM","nnep"))</f>
        <v/>
      </c>
      <c r="W33" s="207" t="str">
        <f>IF($C33="","",[1]!IntrinioFinancials($C33,"calculations",0,"TTM","roicnnepspread"))</f>
        <v/>
      </c>
      <c r="X33" s="207"/>
      <c r="Y33" s="206" t="str">
        <f>IF($C33="","",[1]!IntrinioFinancials($C33,"calculations",0,"TTM","profitmargin"))</f>
        <v/>
      </c>
      <c r="Z33" s="215" t="str">
        <f>IF($C33="","",[1]!IntrinioFinancials($C33,"calculations",0,"TTM","assetturnover"))</f>
        <v/>
      </c>
      <c r="AA33" s="215" t="str">
        <f>IF($C33="","",[1]!IntrinioFinancials($C33,"calculations",0,"TTM","leverageratio"))</f>
        <v/>
      </c>
      <c r="AD33" s="85"/>
      <c r="AE33" s="85"/>
      <c r="AF33" s="86"/>
    </row>
    <row r="34" spans="1:32" s="46" customFormat="1" ht="13.15" hidden="1" outlineLevel="1">
      <c r="A34" s="33"/>
      <c r="B34" s="146" t="str">
        <f>Info!A30</f>
        <v/>
      </c>
      <c r="C34" s="148" t="str">
        <f>IF(List!D30="","",List!D30)</f>
        <v/>
      </c>
      <c r="D34" s="152" t="str">
        <f>[1]!IntrinioFundamentals($C34,"income_statement","QTR",0,"fiscal_period")&amp;" " &amp;[1]!IntrinioFundamentals($C34,"income_statement","QTR",0,"fiscal_year")</f>
        <v xml:space="preserve"> </v>
      </c>
      <c r="E34" s="152" t="str">
        <f>[1]!IntrinioFundamentals($C34,"income_statement","QTR",0,"end_date")</f>
        <v/>
      </c>
      <c r="F34" s="43"/>
      <c r="G34" s="45" t="str">
        <f>IF($C34="","",[1]!IntrinioFinancials($C34,"calculations",0,"TTM","roic"))</f>
        <v/>
      </c>
      <c r="H34" s="45" t="str">
        <f>IF($C34="","",[1]!IntrinioFinancials($C34,"calculations",0,"TTM","rnnoa"))</f>
        <v/>
      </c>
      <c r="I34" s="45" t="str">
        <f>IF($C34="","",[1]!IntrinioFinancials($C34,"calculations",0,"TTM","roe"))</f>
        <v/>
      </c>
      <c r="J34" s="87"/>
      <c r="K34" s="45" t="str">
        <f>IF($C34="","",[1]!IntrinioFinancials($C34,"calculations",0,"TTM","nopatmargin"))</f>
        <v/>
      </c>
      <c r="L34" s="45" t="str">
        <f>IF($C34="","",[1]!IntrinioFinancials($C34,"calculations",0,"TTM","grossmargin"))</f>
        <v/>
      </c>
      <c r="M34" s="45" t="str">
        <f>IF($C34="","",[1]!IntrinioFinancials($C34,"calculations",0,"TTM","opextorevenue"))</f>
        <v/>
      </c>
      <c r="N34" s="87"/>
      <c r="O34" s="88" t="str">
        <f>IF($C34="","",[1]!IntrinioFinancials($C34,"calculations",0,"TTM","investedcapitalturnover"))</f>
        <v/>
      </c>
      <c r="P34" s="88" t="str">
        <f>IF($C34="","",[1]!IntrinioFinancials($C34,"calculations",0,"TTM","arturnover"))</f>
        <v/>
      </c>
      <c r="Q34" s="88" t="str">
        <f>IF($C34="","",[1]!IntrinioFinancials($C34,"calculations",0,"TTM","invturnover"))</f>
        <v/>
      </c>
      <c r="R34" s="88" t="str">
        <f>IF($C34="","",[1]!IntrinioFinancials($C34,"calculations",0,"TTM","faturnover"))</f>
        <v/>
      </c>
      <c r="S34" s="88" t="str">
        <f>IF($C34="","",[1]!IntrinioFinancials($C34,"calculations",0,"TTM","apturnover"))</f>
        <v/>
      </c>
      <c r="T34" s="88"/>
      <c r="U34" s="89" t="str">
        <f>IF($C34="","",[1]!IntrinioFinancials($C34,"calculations",0,"TTM","finleverage"))</f>
        <v/>
      </c>
      <c r="V34" s="45" t="str">
        <f>IF($C34="","",[1]!IntrinioFinancials($C34,"calculations",0,"TTM","nnep"))</f>
        <v/>
      </c>
      <c r="W34" s="45" t="str">
        <f>IF($C34="","",[1]!IntrinioFinancials($C34,"calculations",0,"TTM","roicnnepspread"))</f>
        <v/>
      </c>
      <c r="X34" s="45"/>
      <c r="Y34" s="51" t="str">
        <f>IF($C34="","",[1]!IntrinioFinancials($C34,"calculations",0,"TTM","profitmargin"))</f>
        <v/>
      </c>
      <c r="Z34" s="88" t="str">
        <f>IF($C34="","",[1]!IntrinioFinancials($C34,"calculations",0,"TTM","assetturnover"))</f>
        <v/>
      </c>
      <c r="AA34" s="88" t="str">
        <f>IF($C34="","",[1]!IntrinioFinancials($C34,"calculations",0,"TTM","leverageratio"))</f>
        <v/>
      </c>
      <c r="AD34" s="85"/>
      <c r="AE34" s="85"/>
      <c r="AF34" s="86"/>
    </row>
    <row r="35" spans="1:32" s="46" customFormat="1" ht="13.15" hidden="1" outlineLevel="1">
      <c r="A35" s="33"/>
      <c r="B35" s="202" t="str">
        <f>Info!A31</f>
        <v/>
      </c>
      <c r="C35" s="227" t="str">
        <f>IF(List!D31="","",List!D31)</f>
        <v/>
      </c>
      <c r="D35" s="213" t="str">
        <f>[1]!IntrinioFundamentals($C35,"income_statement","QTR",0,"fiscal_period")&amp;" " &amp;[1]!IntrinioFundamentals($C35,"income_statement","QTR",0,"fiscal_year")</f>
        <v xml:space="preserve"> </v>
      </c>
      <c r="E35" s="213" t="str">
        <f>[1]!IntrinioFundamentals($C35,"income_statement","QTR",0,"end_date")</f>
        <v/>
      </c>
      <c r="F35" s="201"/>
      <c r="G35" s="207" t="str">
        <f>IF($C35="","",[1]!IntrinioFinancials($C35,"calculations",0,"TTM","roic"))</f>
        <v/>
      </c>
      <c r="H35" s="207" t="str">
        <f>IF($C35="","",[1]!IntrinioFinancials($C35,"calculations",0,"TTM","rnnoa"))</f>
        <v/>
      </c>
      <c r="I35" s="207" t="str">
        <f>IF($C35="","",[1]!IntrinioFinancials($C35,"calculations",0,"TTM","roe"))</f>
        <v/>
      </c>
      <c r="J35" s="214"/>
      <c r="K35" s="207" t="str">
        <f>IF($C35="","",[1]!IntrinioFinancials($C35,"calculations",0,"TTM","nopatmargin"))</f>
        <v/>
      </c>
      <c r="L35" s="207" t="str">
        <f>IF($C35="","",[1]!IntrinioFinancials($C35,"calculations",0,"TTM","grossmargin"))</f>
        <v/>
      </c>
      <c r="M35" s="207" t="str">
        <f>IF($C35="","",[1]!IntrinioFinancials($C35,"calculations",0,"TTM","opextorevenue"))</f>
        <v/>
      </c>
      <c r="N35" s="214"/>
      <c r="O35" s="215" t="str">
        <f>IF($C35="","",[1]!IntrinioFinancials($C35,"calculations",0,"TTM","investedcapitalturnover"))</f>
        <v/>
      </c>
      <c r="P35" s="215" t="str">
        <f>IF($C35="","",[1]!IntrinioFinancials($C35,"calculations",0,"TTM","arturnover"))</f>
        <v/>
      </c>
      <c r="Q35" s="215" t="str">
        <f>IF($C35="","",[1]!IntrinioFinancials($C35,"calculations",0,"TTM","invturnover"))</f>
        <v/>
      </c>
      <c r="R35" s="215" t="str">
        <f>IF($C35="","",[1]!IntrinioFinancials($C35,"calculations",0,"TTM","faturnover"))</f>
        <v/>
      </c>
      <c r="S35" s="215" t="str">
        <f>IF($C35="","",[1]!IntrinioFinancials($C35,"calculations",0,"TTM","apturnover"))</f>
        <v/>
      </c>
      <c r="T35" s="215"/>
      <c r="U35" s="216" t="str">
        <f>IF($C35="","",[1]!IntrinioFinancials($C35,"calculations",0,"TTM","finleverage"))</f>
        <v/>
      </c>
      <c r="V35" s="207" t="str">
        <f>IF($C35="","",[1]!IntrinioFinancials($C35,"calculations",0,"TTM","nnep"))</f>
        <v/>
      </c>
      <c r="W35" s="207" t="str">
        <f>IF($C35="","",[1]!IntrinioFinancials($C35,"calculations",0,"TTM","roicnnepspread"))</f>
        <v/>
      </c>
      <c r="X35" s="207"/>
      <c r="Y35" s="206" t="str">
        <f>IF($C35="","",[1]!IntrinioFinancials($C35,"calculations",0,"TTM","profitmargin"))</f>
        <v/>
      </c>
      <c r="Z35" s="215" t="str">
        <f>IF($C35="","",[1]!IntrinioFinancials($C35,"calculations",0,"TTM","assetturnover"))</f>
        <v/>
      </c>
      <c r="AA35" s="215" t="str">
        <f>IF($C35="","",[1]!IntrinioFinancials($C35,"calculations",0,"TTM","leverageratio"))</f>
        <v/>
      </c>
      <c r="AD35" s="85"/>
      <c r="AE35" s="85"/>
      <c r="AF35" s="86"/>
    </row>
    <row r="36" spans="1:32" s="46" customFormat="1" ht="13.15" hidden="1" outlineLevel="1">
      <c r="A36" s="33"/>
      <c r="B36" s="146" t="str">
        <f>Info!A32</f>
        <v/>
      </c>
      <c r="C36" s="148" t="str">
        <f>IF(List!D32="","",List!D32)</f>
        <v/>
      </c>
      <c r="D36" s="152" t="str">
        <f>[1]!IntrinioFundamentals($C36,"income_statement","QTR",0,"fiscal_period")&amp;" " &amp;[1]!IntrinioFundamentals($C36,"income_statement","QTR",0,"fiscal_year")</f>
        <v xml:space="preserve"> </v>
      </c>
      <c r="E36" s="152" t="str">
        <f>[1]!IntrinioFundamentals($C36,"income_statement","QTR",0,"end_date")</f>
        <v/>
      </c>
      <c r="F36" s="43"/>
      <c r="G36" s="45" t="str">
        <f>IF($C36="","",[1]!IntrinioFinancials($C36,"calculations",0,"TTM","roic"))</f>
        <v/>
      </c>
      <c r="H36" s="45" t="str">
        <f>IF($C36="","",[1]!IntrinioFinancials($C36,"calculations",0,"TTM","rnnoa"))</f>
        <v/>
      </c>
      <c r="I36" s="45" t="str">
        <f>IF($C36="","",[1]!IntrinioFinancials($C36,"calculations",0,"TTM","roe"))</f>
        <v/>
      </c>
      <c r="J36" s="87"/>
      <c r="K36" s="45" t="str">
        <f>IF($C36="","",[1]!IntrinioFinancials($C36,"calculations",0,"TTM","nopatmargin"))</f>
        <v/>
      </c>
      <c r="L36" s="45" t="str">
        <f>IF($C36="","",[1]!IntrinioFinancials($C36,"calculations",0,"TTM","grossmargin"))</f>
        <v/>
      </c>
      <c r="M36" s="45" t="str">
        <f>IF($C36="","",[1]!IntrinioFinancials($C36,"calculations",0,"TTM","opextorevenue"))</f>
        <v/>
      </c>
      <c r="N36" s="87"/>
      <c r="O36" s="88" t="str">
        <f>IF($C36="","",[1]!IntrinioFinancials($C36,"calculations",0,"TTM","investedcapitalturnover"))</f>
        <v/>
      </c>
      <c r="P36" s="88" t="str">
        <f>IF($C36="","",[1]!IntrinioFinancials($C36,"calculations",0,"TTM","arturnover"))</f>
        <v/>
      </c>
      <c r="Q36" s="88" t="str">
        <f>IF($C36="","",[1]!IntrinioFinancials($C36,"calculations",0,"TTM","invturnover"))</f>
        <v/>
      </c>
      <c r="R36" s="88" t="str">
        <f>IF($C36="","",[1]!IntrinioFinancials($C36,"calculations",0,"TTM","faturnover"))</f>
        <v/>
      </c>
      <c r="S36" s="88" t="str">
        <f>IF($C36="","",[1]!IntrinioFinancials($C36,"calculations",0,"TTM","apturnover"))</f>
        <v/>
      </c>
      <c r="T36" s="88"/>
      <c r="U36" s="89" t="str">
        <f>IF($C36="","",[1]!IntrinioFinancials($C36,"calculations",0,"TTM","finleverage"))</f>
        <v/>
      </c>
      <c r="V36" s="45" t="str">
        <f>IF($C36="","",[1]!IntrinioFinancials($C36,"calculations",0,"TTM","nnep"))</f>
        <v/>
      </c>
      <c r="W36" s="45" t="str">
        <f>IF($C36="","",[1]!IntrinioFinancials($C36,"calculations",0,"TTM","roicnnepspread"))</f>
        <v/>
      </c>
      <c r="X36" s="45"/>
      <c r="Y36" s="51" t="str">
        <f>IF($C36="","",[1]!IntrinioFinancials($C36,"calculations",0,"TTM","profitmargin"))</f>
        <v/>
      </c>
      <c r="Z36" s="88" t="str">
        <f>IF($C36="","",[1]!IntrinioFinancials($C36,"calculations",0,"TTM","assetturnover"))</f>
        <v/>
      </c>
      <c r="AA36" s="88" t="str">
        <f>IF($C36="","",[1]!IntrinioFinancials($C36,"calculations",0,"TTM","leverageratio"))</f>
        <v/>
      </c>
      <c r="AD36" s="85"/>
      <c r="AE36" s="85"/>
      <c r="AF36" s="86"/>
    </row>
    <row r="37" spans="1:32" s="46" customFormat="1" ht="13.15" hidden="1" outlineLevel="1">
      <c r="A37" s="33"/>
      <c r="B37" s="202" t="str">
        <f>Info!A33</f>
        <v/>
      </c>
      <c r="C37" s="227" t="str">
        <f>IF(List!D33="","",List!D33)</f>
        <v/>
      </c>
      <c r="D37" s="213" t="str">
        <f>[1]!IntrinioFundamentals($C37,"income_statement","QTR",0,"fiscal_period")&amp;" " &amp;[1]!IntrinioFundamentals($C37,"income_statement","QTR",0,"fiscal_year")</f>
        <v xml:space="preserve"> </v>
      </c>
      <c r="E37" s="213" t="str">
        <f>[1]!IntrinioFundamentals($C37,"income_statement","QTR",0,"end_date")</f>
        <v/>
      </c>
      <c r="F37" s="201"/>
      <c r="G37" s="207" t="str">
        <f>IF($C37="","",[1]!IntrinioFinancials($C37,"calculations",0,"TTM","roic"))</f>
        <v/>
      </c>
      <c r="H37" s="207" t="str">
        <f>IF($C37="","",[1]!IntrinioFinancials($C37,"calculations",0,"TTM","rnnoa"))</f>
        <v/>
      </c>
      <c r="I37" s="207" t="str">
        <f>IF($C37="","",[1]!IntrinioFinancials($C37,"calculations",0,"TTM","roe"))</f>
        <v/>
      </c>
      <c r="J37" s="214"/>
      <c r="K37" s="207" t="str">
        <f>IF($C37="","",[1]!IntrinioFinancials($C37,"calculations",0,"TTM","nopatmargin"))</f>
        <v/>
      </c>
      <c r="L37" s="207" t="str">
        <f>IF($C37="","",[1]!IntrinioFinancials($C37,"calculations",0,"TTM","grossmargin"))</f>
        <v/>
      </c>
      <c r="M37" s="207" t="str">
        <f>IF($C37="","",[1]!IntrinioFinancials($C37,"calculations",0,"TTM","opextorevenue"))</f>
        <v/>
      </c>
      <c r="N37" s="214"/>
      <c r="O37" s="215" t="str">
        <f>IF($C37="","",[1]!IntrinioFinancials($C37,"calculations",0,"TTM","investedcapitalturnover"))</f>
        <v/>
      </c>
      <c r="P37" s="215" t="str">
        <f>IF($C37="","",[1]!IntrinioFinancials($C37,"calculations",0,"TTM","arturnover"))</f>
        <v/>
      </c>
      <c r="Q37" s="215" t="str">
        <f>IF($C37="","",[1]!IntrinioFinancials($C37,"calculations",0,"TTM","invturnover"))</f>
        <v/>
      </c>
      <c r="R37" s="215" t="str">
        <f>IF($C37="","",[1]!IntrinioFinancials($C37,"calculations",0,"TTM","faturnover"))</f>
        <v/>
      </c>
      <c r="S37" s="215" t="str">
        <f>IF($C37="","",[1]!IntrinioFinancials($C37,"calculations",0,"TTM","apturnover"))</f>
        <v/>
      </c>
      <c r="T37" s="215"/>
      <c r="U37" s="216" t="str">
        <f>IF($C37="","",[1]!IntrinioFinancials($C37,"calculations",0,"TTM","finleverage"))</f>
        <v/>
      </c>
      <c r="V37" s="207" t="str">
        <f>IF($C37="","",[1]!IntrinioFinancials($C37,"calculations",0,"TTM","nnep"))</f>
        <v/>
      </c>
      <c r="W37" s="207" t="str">
        <f>IF($C37="","",[1]!IntrinioFinancials($C37,"calculations",0,"TTM","roicnnepspread"))</f>
        <v/>
      </c>
      <c r="X37" s="207"/>
      <c r="Y37" s="206" t="str">
        <f>IF($C37="","",[1]!IntrinioFinancials($C37,"calculations",0,"TTM","profitmargin"))</f>
        <v/>
      </c>
      <c r="Z37" s="215" t="str">
        <f>IF($C37="","",[1]!IntrinioFinancials($C37,"calculations",0,"TTM","assetturnover"))</f>
        <v/>
      </c>
      <c r="AA37" s="215" t="str">
        <f>IF($C37="","",[1]!IntrinioFinancials($C37,"calculations",0,"TTM","leverageratio"))</f>
        <v/>
      </c>
      <c r="AD37" s="85"/>
      <c r="AE37" s="85"/>
      <c r="AF37" s="86"/>
    </row>
    <row r="38" spans="1:32" s="46" customFormat="1" ht="13.15" hidden="1" outlineLevel="1">
      <c r="A38" s="33"/>
      <c r="B38" s="146" t="str">
        <f>Info!A34</f>
        <v/>
      </c>
      <c r="C38" s="148" t="str">
        <f>IF(List!D34="","",List!D34)</f>
        <v/>
      </c>
      <c r="D38" s="152" t="str">
        <f>[1]!IntrinioFundamentals($C38,"income_statement","QTR",0,"fiscal_period")&amp;" " &amp;[1]!IntrinioFundamentals($C38,"income_statement","QTR",0,"fiscal_year")</f>
        <v xml:space="preserve"> </v>
      </c>
      <c r="E38" s="152" t="str">
        <f>[1]!IntrinioFundamentals($C38,"income_statement","QTR",0,"end_date")</f>
        <v/>
      </c>
      <c r="F38" s="43"/>
      <c r="G38" s="45" t="str">
        <f>IF($C38="","",[1]!IntrinioFinancials($C38,"calculations",0,"TTM","roic"))</f>
        <v/>
      </c>
      <c r="H38" s="45" t="str">
        <f>IF($C38="","",[1]!IntrinioFinancials($C38,"calculations",0,"TTM","rnnoa"))</f>
        <v/>
      </c>
      <c r="I38" s="45" t="str">
        <f>IF($C38="","",[1]!IntrinioFinancials($C38,"calculations",0,"TTM","roe"))</f>
        <v/>
      </c>
      <c r="J38" s="87"/>
      <c r="K38" s="45" t="str">
        <f>IF($C38="","",[1]!IntrinioFinancials($C38,"calculations",0,"TTM","nopatmargin"))</f>
        <v/>
      </c>
      <c r="L38" s="45" t="str">
        <f>IF($C38="","",[1]!IntrinioFinancials($C38,"calculations",0,"TTM","grossmargin"))</f>
        <v/>
      </c>
      <c r="M38" s="45" t="str">
        <f>IF($C38="","",[1]!IntrinioFinancials($C38,"calculations",0,"TTM","opextorevenue"))</f>
        <v/>
      </c>
      <c r="N38" s="87"/>
      <c r="O38" s="88" t="str">
        <f>IF($C38="","",[1]!IntrinioFinancials($C38,"calculations",0,"TTM","investedcapitalturnover"))</f>
        <v/>
      </c>
      <c r="P38" s="88" t="str">
        <f>IF($C38="","",[1]!IntrinioFinancials($C38,"calculations",0,"TTM","arturnover"))</f>
        <v/>
      </c>
      <c r="Q38" s="88" t="str">
        <f>IF($C38="","",[1]!IntrinioFinancials($C38,"calculations",0,"TTM","invturnover"))</f>
        <v/>
      </c>
      <c r="R38" s="88" t="str">
        <f>IF($C38="","",[1]!IntrinioFinancials($C38,"calculations",0,"TTM","faturnover"))</f>
        <v/>
      </c>
      <c r="S38" s="88" t="str">
        <f>IF($C38="","",[1]!IntrinioFinancials($C38,"calculations",0,"TTM","apturnover"))</f>
        <v/>
      </c>
      <c r="T38" s="88"/>
      <c r="U38" s="89" t="str">
        <f>IF($C38="","",[1]!IntrinioFinancials($C38,"calculations",0,"TTM","finleverage"))</f>
        <v/>
      </c>
      <c r="V38" s="45" t="str">
        <f>IF($C38="","",[1]!IntrinioFinancials($C38,"calculations",0,"TTM","nnep"))</f>
        <v/>
      </c>
      <c r="W38" s="45" t="str">
        <f>IF($C38="","",[1]!IntrinioFinancials($C38,"calculations",0,"TTM","roicnnepspread"))</f>
        <v/>
      </c>
      <c r="X38" s="45"/>
      <c r="Y38" s="51" t="str">
        <f>IF($C38="","",[1]!IntrinioFinancials($C38,"calculations",0,"TTM","profitmargin"))</f>
        <v/>
      </c>
      <c r="Z38" s="88" t="str">
        <f>IF($C38="","",[1]!IntrinioFinancials($C38,"calculations",0,"TTM","assetturnover"))</f>
        <v/>
      </c>
      <c r="AA38" s="88" t="str">
        <f>IF($C38="","",[1]!IntrinioFinancials($C38,"calculations",0,"TTM","leverageratio"))</f>
        <v/>
      </c>
      <c r="AD38" s="85"/>
      <c r="AE38" s="85"/>
      <c r="AF38" s="86"/>
    </row>
    <row r="39" spans="1:32" s="46" customFormat="1" ht="13.15" hidden="1" outlineLevel="1">
      <c r="A39" s="33"/>
      <c r="B39" s="202" t="str">
        <f>Info!A35</f>
        <v/>
      </c>
      <c r="C39" s="227" t="str">
        <f>IF(List!D35="","",List!D35)</f>
        <v/>
      </c>
      <c r="D39" s="213" t="str">
        <f>[1]!IntrinioFundamentals($C39,"income_statement","QTR",0,"fiscal_period")&amp;" " &amp;[1]!IntrinioFundamentals($C39,"income_statement","QTR",0,"fiscal_year")</f>
        <v xml:space="preserve"> </v>
      </c>
      <c r="E39" s="213" t="str">
        <f>[1]!IntrinioFundamentals($C39,"income_statement","QTR",0,"end_date")</f>
        <v/>
      </c>
      <c r="F39" s="201"/>
      <c r="G39" s="207" t="str">
        <f>IF($C39="","",[1]!IntrinioFinancials($C39,"calculations",0,"TTM","roic"))</f>
        <v/>
      </c>
      <c r="H39" s="207" t="str">
        <f>IF($C39="","",[1]!IntrinioFinancials($C39,"calculations",0,"TTM","rnnoa"))</f>
        <v/>
      </c>
      <c r="I39" s="207" t="str">
        <f>IF($C39="","",[1]!IntrinioFinancials($C39,"calculations",0,"TTM","roe"))</f>
        <v/>
      </c>
      <c r="J39" s="214"/>
      <c r="K39" s="207" t="str">
        <f>IF($C39="","",[1]!IntrinioFinancials($C39,"calculations",0,"TTM","nopatmargin"))</f>
        <v/>
      </c>
      <c r="L39" s="207" t="str">
        <f>IF($C39="","",[1]!IntrinioFinancials($C39,"calculations",0,"TTM","grossmargin"))</f>
        <v/>
      </c>
      <c r="M39" s="207" t="str">
        <f>IF($C39="","",[1]!IntrinioFinancials($C39,"calculations",0,"TTM","opextorevenue"))</f>
        <v/>
      </c>
      <c r="N39" s="214"/>
      <c r="O39" s="215" t="str">
        <f>IF($C39="","",[1]!IntrinioFinancials($C39,"calculations",0,"TTM","investedcapitalturnover"))</f>
        <v/>
      </c>
      <c r="P39" s="215" t="str">
        <f>IF($C39="","",[1]!IntrinioFinancials($C39,"calculations",0,"TTM","arturnover"))</f>
        <v/>
      </c>
      <c r="Q39" s="215" t="str">
        <f>IF($C39="","",[1]!IntrinioFinancials($C39,"calculations",0,"TTM","invturnover"))</f>
        <v/>
      </c>
      <c r="R39" s="215" t="str">
        <f>IF($C39="","",[1]!IntrinioFinancials($C39,"calculations",0,"TTM","faturnover"))</f>
        <v/>
      </c>
      <c r="S39" s="215" t="str">
        <f>IF($C39="","",[1]!IntrinioFinancials($C39,"calculations",0,"TTM","apturnover"))</f>
        <v/>
      </c>
      <c r="T39" s="215"/>
      <c r="U39" s="216" t="str">
        <f>IF($C39="","",[1]!IntrinioFinancials($C39,"calculations",0,"TTM","finleverage"))</f>
        <v/>
      </c>
      <c r="V39" s="207" t="str">
        <f>IF($C39="","",[1]!IntrinioFinancials($C39,"calculations",0,"TTM","nnep"))</f>
        <v/>
      </c>
      <c r="W39" s="207" t="str">
        <f>IF($C39="","",[1]!IntrinioFinancials($C39,"calculations",0,"TTM","roicnnepspread"))</f>
        <v/>
      </c>
      <c r="X39" s="207"/>
      <c r="Y39" s="206" t="str">
        <f>IF($C39="","",[1]!IntrinioFinancials($C39,"calculations",0,"TTM","profitmargin"))</f>
        <v/>
      </c>
      <c r="Z39" s="215" t="str">
        <f>IF($C39="","",[1]!IntrinioFinancials($C39,"calculations",0,"TTM","assetturnover"))</f>
        <v/>
      </c>
      <c r="AA39" s="215" t="str">
        <f>IF($C39="","",[1]!IntrinioFinancials($C39,"calculations",0,"TTM","leverageratio"))</f>
        <v/>
      </c>
      <c r="AD39" s="85"/>
      <c r="AE39" s="85"/>
      <c r="AF39" s="86"/>
    </row>
    <row r="40" spans="1:32" s="46" customFormat="1" ht="13.15" collapsed="1">
      <c r="A40" s="33"/>
      <c r="B40" s="146"/>
      <c r="C40" s="148"/>
      <c r="D40" s="152"/>
      <c r="E40" s="152"/>
      <c r="F40" s="43"/>
      <c r="G40" s="45"/>
      <c r="H40" s="45"/>
      <c r="I40" s="45"/>
      <c r="J40" s="87"/>
      <c r="K40" s="45"/>
      <c r="L40" s="45"/>
      <c r="M40" s="45"/>
      <c r="N40" s="87"/>
      <c r="O40" s="88"/>
      <c r="P40" s="88"/>
      <c r="Q40" s="88"/>
      <c r="R40" s="88"/>
      <c r="S40" s="88"/>
      <c r="T40" s="88"/>
      <c r="U40" s="89"/>
      <c r="V40" s="45"/>
      <c r="W40" s="45"/>
      <c r="X40" s="45"/>
      <c r="Y40" s="51"/>
      <c r="Z40" s="88"/>
      <c r="AA40" s="88"/>
      <c r="AD40" s="85"/>
      <c r="AE40" s="85"/>
      <c r="AF40" s="86"/>
    </row>
    <row r="41" spans="1:32" s="43" customFormat="1" ht="13.15">
      <c r="A41" s="63"/>
      <c r="B41" s="265" t="s">
        <v>85</v>
      </c>
      <c r="C41" s="268"/>
      <c r="D41" s="268"/>
      <c r="E41" s="268"/>
      <c r="F41" s="268"/>
      <c r="G41" s="268"/>
      <c r="H41" s="268"/>
      <c r="I41" s="268"/>
      <c r="J41" s="268"/>
      <c r="K41" s="268"/>
      <c r="L41" s="268"/>
      <c r="M41" s="268"/>
      <c r="N41" s="268"/>
      <c r="O41" s="268"/>
      <c r="P41" s="268"/>
      <c r="Q41" s="268"/>
      <c r="R41" s="268"/>
      <c r="S41" s="268"/>
      <c r="T41" s="268"/>
      <c r="U41" s="268"/>
      <c r="V41" s="268"/>
      <c r="W41" s="268"/>
      <c r="X41" s="268"/>
      <c r="Y41" s="268"/>
      <c r="Z41" s="268"/>
      <c r="AA41" s="268"/>
    </row>
    <row r="42" spans="1:32" s="43" customFormat="1" ht="13.15">
      <c r="B42" s="146"/>
      <c r="C42" s="146"/>
      <c r="D42" s="153"/>
      <c r="E42" s="153"/>
      <c r="F42" s="55"/>
      <c r="G42" s="60"/>
      <c r="H42" s="60"/>
      <c r="I42" s="60"/>
      <c r="J42" s="90"/>
      <c r="K42" s="60"/>
      <c r="L42" s="60"/>
      <c r="M42" s="60"/>
      <c r="N42" s="90"/>
      <c r="O42" s="57"/>
      <c r="P42" s="57"/>
      <c r="Q42" s="57"/>
      <c r="R42" s="57"/>
      <c r="S42" s="57"/>
      <c r="T42" s="57"/>
      <c r="U42" s="90"/>
      <c r="V42" s="57"/>
      <c r="W42" s="57"/>
      <c r="X42" s="57"/>
      <c r="Y42" s="90"/>
      <c r="Z42" s="57"/>
      <c r="AA42" s="57"/>
    </row>
    <row r="43" spans="1:32" s="43" customFormat="1" ht="13.15">
      <c r="A43" s="63"/>
      <c r="B43" s="192" t="s">
        <v>73</v>
      </c>
      <c r="C43" s="192"/>
      <c r="D43" s="192"/>
      <c r="E43" s="192"/>
      <c r="F43" s="196"/>
      <c r="G43" s="199" t="str">
        <f>IFERROR(+(SUMPRODUCT('Benchmarking 1'!#REF!,G10:G39))/(SUM('Benchmarking 1'!#REF!)-(SUMIF(G10:G39,"",'Benchmarking 1'!#REF!))),"")</f>
        <v/>
      </c>
      <c r="H43" s="199" t="str">
        <f>IFERROR(+(SUMPRODUCT('Benchmarking 1'!#REF!,H10:H39))/(SUM('Benchmarking 1'!#REF!)-(SUMIF(H10:H39,"",'Benchmarking 1'!#REF!))),"")</f>
        <v/>
      </c>
      <c r="I43" s="199" t="str">
        <f>IFERROR(+(SUMPRODUCT('Benchmarking 1'!#REF!,I10:I39))/(SUM('Benchmarking 1'!#REF!)-(SUMIF(I10:I39,"",'Benchmarking 1'!#REF!))),"")</f>
        <v/>
      </c>
      <c r="J43" s="217"/>
      <c r="K43" s="199" t="str">
        <f>IFERROR(+(SUMPRODUCT('Benchmarking 1'!#REF!,K10:K39))/(SUM('Benchmarking 1'!#REF!)-(SUMIF(K10:K39,"",'Benchmarking 1'!#REF!))),"")</f>
        <v/>
      </c>
      <c r="L43" s="199" t="str">
        <f>IFERROR(+(SUMPRODUCT('Benchmarking 1'!#REF!,L10:L39))/(SUM('Benchmarking 1'!#REF!)-(SUMIF(L10:L39,"",'Benchmarking 1'!#REF!))),"")</f>
        <v/>
      </c>
      <c r="M43" s="199" t="str">
        <f>IFERROR(+(SUMPRODUCT('Benchmarking 1'!#REF!,M10:M39))/(SUM('Benchmarking 1'!#REF!)-(SUMIF(M10:M39,"",'Benchmarking 1'!#REF!))),"")</f>
        <v/>
      </c>
      <c r="N43" s="217"/>
      <c r="O43" s="195" t="str">
        <f>IFERROR(+(SUMPRODUCT('Benchmarking 1'!#REF!,O10:O39))/(SUM('Benchmarking 1'!#REF!)-(SUMIF(O10:O39,"",'Benchmarking 1'!#REF!))),"")</f>
        <v/>
      </c>
      <c r="P43" s="195" t="str">
        <f>IFERROR(+(SUMPRODUCT('Benchmarking 1'!#REF!,P10:P39))/(SUM('Benchmarking 1'!#REF!)-(SUMIF(P10:P39,"",'Benchmarking 1'!#REF!))),"")</f>
        <v/>
      </c>
      <c r="Q43" s="195" t="str">
        <f>IFERROR(+(SUMPRODUCT('Benchmarking 1'!#REF!,Q10:Q39))/(SUM('Benchmarking 1'!#REF!)-(SUMIF(Q10:Q39,"",'Benchmarking 1'!#REF!))),"")</f>
        <v/>
      </c>
      <c r="R43" s="195" t="str">
        <f>IFERROR(+(SUMPRODUCT('Benchmarking 1'!#REF!,R10:R39))/(SUM('Benchmarking 1'!#REF!)-(SUMIF(R10:R39,"",'Benchmarking 1'!#REF!))),"")</f>
        <v/>
      </c>
      <c r="S43" s="195" t="str">
        <f>IFERROR(+(SUMPRODUCT('Benchmarking 1'!#REF!,S10:S39))/(SUM('Benchmarking 1'!#REF!)-(SUMIF(S10:S39,"",'Benchmarking 1'!#REF!))),"")</f>
        <v/>
      </c>
      <c r="T43" s="195"/>
      <c r="U43" s="218" t="str">
        <f>IFERROR(+(SUMPRODUCT('Benchmarking 1'!#REF!,U10:U39))/(SUM('Benchmarking 1'!#REF!)-(SUMIF(U10:U39,"",'Benchmarking 1'!#REF!))),"")</f>
        <v/>
      </c>
      <c r="V43" s="219" t="str">
        <f>IFERROR(+(SUMPRODUCT('Benchmarking 1'!#REF!,V10:V39))/(SUM('Benchmarking 1'!#REF!)-(SUMIF(V10:V39,"",'Benchmarking 1'!#REF!))),"")</f>
        <v/>
      </c>
      <c r="W43" s="219" t="str">
        <f>IFERROR(+(SUMPRODUCT('Benchmarking 1'!#REF!,W10:W39))/(SUM('Benchmarking 1'!#REF!)-(SUMIF(W10:W39,"",'Benchmarking 1'!#REF!))),"")</f>
        <v/>
      </c>
      <c r="X43" s="195"/>
      <c r="Y43" s="198" t="str">
        <f>IFERROR(+(SUMPRODUCT('Benchmarking 1'!#REF!,Y10:Y39))/(SUM('Benchmarking 1'!#REF!)-(SUMIF(Y10:Y39,"",'Benchmarking 1'!#REF!))),"")</f>
        <v/>
      </c>
      <c r="Z43" s="195" t="str">
        <f>IFERROR(+(SUMPRODUCT('Benchmarking 1'!#REF!,Z10:Z39))/(SUM('Benchmarking 1'!#REF!)-(SUMIF(Z10:Z39,"",'Benchmarking 1'!#REF!))),"")</f>
        <v/>
      </c>
      <c r="AA43" s="195" t="str">
        <f>IFERROR(+(SUMPRODUCT('Benchmarking 1'!#REF!,AA10:AA39))/(SUM('Benchmarking 1'!#REF!)-(SUMIF(AA10:AA39,"",'Benchmarking 1'!#REF!))),"")</f>
        <v/>
      </c>
    </row>
    <row r="44" spans="1:32" s="43" customFormat="1" ht="13.15">
      <c r="A44" s="63"/>
      <c r="B44" s="192" t="s">
        <v>79</v>
      </c>
      <c r="C44" s="192"/>
      <c r="D44" s="192"/>
      <c r="E44" s="192"/>
      <c r="F44" s="196"/>
      <c r="G44" s="199" t="str">
        <f>IFERROR(AVERAGE(G10:G39),"")</f>
        <v/>
      </c>
      <c r="H44" s="199" t="str">
        <f>IFERROR(AVERAGE(H10:H39),"")</f>
        <v/>
      </c>
      <c r="I44" s="199" t="str">
        <f>IFERROR(AVERAGE(I10:I39),"")</f>
        <v/>
      </c>
      <c r="J44" s="217"/>
      <c r="K44" s="199" t="str">
        <f t="shared" ref="K44:M44" si="0">IFERROR(AVERAGE(K10:K39),"")</f>
        <v/>
      </c>
      <c r="L44" s="199" t="str">
        <f t="shared" si="0"/>
        <v/>
      </c>
      <c r="M44" s="199" t="str">
        <f t="shared" si="0"/>
        <v/>
      </c>
      <c r="N44" s="217"/>
      <c r="O44" s="195" t="str">
        <f t="shared" ref="O44:S44" si="1">IFERROR(AVERAGE(O10:O39),"")</f>
        <v/>
      </c>
      <c r="P44" s="195" t="str">
        <f t="shared" si="1"/>
        <v/>
      </c>
      <c r="Q44" s="195" t="str">
        <f t="shared" si="1"/>
        <v/>
      </c>
      <c r="R44" s="195" t="str">
        <f t="shared" si="1"/>
        <v/>
      </c>
      <c r="S44" s="195" t="str">
        <f t="shared" si="1"/>
        <v/>
      </c>
      <c r="T44" s="195"/>
      <c r="U44" s="218" t="str">
        <f t="shared" ref="U44:W44" si="2">IFERROR(AVERAGE(U10:U39),"")</f>
        <v/>
      </c>
      <c r="V44" s="219" t="str">
        <f t="shared" si="2"/>
        <v/>
      </c>
      <c r="W44" s="219" t="str">
        <f t="shared" si="2"/>
        <v/>
      </c>
      <c r="X44" s="195"/>
      <c r="Y44" s="198" t="str">
        <f t="shared" ref="Y44:AA44" si="3">IFERROR(AVERAGE(Y10:Y39),"")</f>
        <v/>
      </c>
      <c r="Z44" s="195" t="str">
        <f t="shared" si="3"/>
        <v/>
      </c>
      <c r="AA44" s="195" t="str">
        <f t="shared" si="3"/>
        <v/>
      </c>
    </row>
    <row r="45" spans="1:32" s="43" customFormat="1" ht="13.15">
      <c r="B45" s="192" t="s">
        <v>18</v>
      </c>
      <c r="C45" s="192"/>
      <c r="D45" s="192"/>
      <c r="E45" s="192"/>
      <c r="F45" s="196"/>
      <c r="G45" s="199" t="str">
        <f>IFERROR(MEDIAN(G10:G39),"")</f>
        <v/>
      </c>
      <c r="H45" s="199" t="str">
        <f>IFERROR(MEDIAN(H10:H39),"")</f>
        <v/>
      </c>
      <c r="I45" s="199" t="str">
        <f>IFERROR(MEDIAN(I10:I39),"")</f>
        <v/>
      </c>
      <c r="J45" s="217"/>
      <c r="K45" s="199" t="str">
        <f t="shared" ref="K45:M45" si="4">IFERROR(MEDIAN(K10:K39),"")</f>
        <v/>
      </c>
      <c r="L45" s="199" t="str">
        <f t="shared" si="4"/>
        <v/>
      </c>
      <c r="M45" s="199" t="str">
        <f t="shared" si="4"/>
        <v/>
      </c>
      <c r="N45" s="217"/>
      <c r="O45" s="195" t="str">
        <f t="shared" ref="O45:S45" si="5">IFERROR(MEDIAN(O10:O39),"")</f>
        <v/>
      </c>
      <c r="P45" s="195" t="str">
        <f t="shared" si="5"/>
        <v/>
      </c>
      <c r="Q45" s="195" t="str">
        <f t="shared" si="5"/>
        <v/>
      </c>
      <c r="R45" s="195" t="str">
        <f t="shared" si="5"/>
        <v/>
      </c>
      <c r="S45" s="195" t="str">
        <f t="shared" si="5"/>
        <v/>
      </c>
      <c r="T45" s="195"/>
      <c r="U45" s="218" t="str">
        <f t="shared" ref="U45:W45" si="6">IFERROR(MEDIAN(U10:U39),"")</f>
        <v/>
      </c>
      <c r="V45" s="219" t="str">
        <f t="shared" si="6"/>
        <v/>
      </c>
      <c r="W45" s="219" t="str">
        <f t="shared" si="6"/>
        <v/>
      </c>
      <c r="X45" s="195"/>
      <c r="Y45" s="198" t="str">
        <f t="shared" ref="Y45:AA45" si="7">IFERROR(MEDIAN(Y10:Y39),"")</f>
        <v/>
      </c>
      <c r="Z45" s="195" t="str">
        <f t="shared" si="7"/>
        <v/>
      </c>
      <c r="AA45" s="195" t="str">
        <f t="shared" si="7"/>
        <v/>
      </c>
    </row>
    <row r="46" spans="1:32" s="43" customFormat="1" ht="13.15">
      <c r="B46" s="147"/>
      <c r="C46" s="147"/>
      <c r="D46" s="147"/>
      <c r="E46" s="147"/>
      <c r="F46" s="55"/>
      <c r="G46" s="60"/>
      <c r="H46" s="60"/>
      <c r="I46" s="60"/>
      <c r="J46" s="61"/>
      <c r="K46" s="60"/>
      <c r="L46" s="60"/>
      <c r="M46" s="60"/>
      <c r="N46" s="61"/>
      <c r="O46" s="57"/>
      <c r="P46" s="57"/>
      <c r="Q46" s="57"/>
      <c r="R46" s="57"/>
      <c r="S46" s="57"/>
      <c r="T46" s="57"/>
      <c r="U46" s="90"/>
      <c r="V46" s="57"/>
      <c r="W46" s="57"/>
      <c r="X46" s="57"/>
      <c r="Y46" s="90"/>
      <c r="Z46" s="57"/>
      <c r="AA46" s="57"/>
    </row>
    <row r="47" spans="1:32" s="43" customFormat="1" ht="13.15">
      <c r="B47" s="192" t="s">
        <v>19</v>
      </c>
      <c r="C47" s="192"/>
      <c r="D47" s="192"/>
      <c r="E47" s="192"/>
      <c r="F47" s="196"/>
      <c r="G47" s="199" t="str">
        <f>IF($C$10="","",MAX(G10:G39))</f>
        <v/>
      </c>
      <c r="H47" s="199" t="str">
        <f>IF($C$10="","",MAX(H10:H39))</f>
        <v/>
      </c>
      <c r="I47" s="199" t="str">
        <f>IF($C$10="","",MAX(I10:I39))</f>
        <v/>
      </c>
      <c r="J47" s="217"/>
      <c r="K47" s="199" t="str">
        <f t="shared" ref="K47:M47" si="8">IF($C$10="","",MAX(K10:K39))</f>
        <v/>
      </c>
      <c r="L47" s="199" t="str">
        <f t="shared" si="8"/>
        <v/>
      </c>
      <c r="M47" s="199" t="str">
        <f t="shared" si="8"/>
        <v/>
      </c>
      <c r="N47" s="217"/>
      <c r="O47" s="195" t="str">
        <f t="shared" ref="O47:S47" si="9">IF($C$10="","",MAX(O10:O39))</f>
        <v/>
      </c>
      <c r="P47" s="195" t="str">
        <f t="shared" si="9"/>
        <v/>
      </c>
      <c r="Q47" s="195" t="str">
        <f t="shared" si="9"/>
        <v/>
      </c>
      <c r="R47" s="195" t="str">
        <f t="shared" si="9"/>
        <v/>
      </c>
      <c r="S47" s="195" t="str">
        <f t="shared" si="9"/>
        <v/>
      </c>
      <c r="T47" s="195"/>
      <c r="U47" s="218" t="str">
        <f t="shared" ref="U47:W47" si="10">IF($C$10="","",MAX(U10:U39))</f>
        <v/>
      </c>
      <c r="V47" s="219" t="str">
        <f t="shared" si="10"/>
        <v/>
      </c>
      <c r="W47" s="219" t="str">
        <f t="shared" si="10"/>
        <v/>
      </c>
      <c r="X47" s="195"/>
      <c r="Y47" s="198" t="str">
        <f t="shared" ref="Y47:AA47" si="11">IF($C$10="","",MAX(Y10:Y39))</f>
        <v/>
      </c>
      <c r="Z47" s="195" t="str">
        <f t="shared" si="11"/>
        <v/>
      </c>
      <c r="AA47" s="195" t="str">
        <f t="shared" si="11"/>
        <v/>
      </c>
    </row>
    <row r="48" spans="1:32" s="43" customFormat="1" ht="13.15">
      <c r="B48" s="192" t="s">
        <v>20</v>
      </c>
      <c r="C48" s="192"/>
      <c r="D48" s="192"/>
      <c r="E48" s="192"/>
      <c r="F48" s="196"/>
      <c r="G48" s="199" t="str">
        <f>IF($C$10="","",MIN(G10:G39))</f>
        <v/>
      </c>
      <c r="H48" s="199" t="str">
        <f>IF($C$10="","",MIN(H10:H39))</f>
        <v/>
      </c>
      <c r="I48" s="199" t="str">
        <f>IF($C$10="","",MIN(I10:I39))</f>
        <v/>
      </c>
      <c r="J48" s="217"/>
      <c r="K48" s="199" t="str">
        <f t="shared" ref="K48:M48" si="12">IF($C$10="","",MIN(K10:K39))</f>
        <v/>
      </c>
      <c r="L48" s="199" t="str">
        <f t="shared" si="12"/>
        <v/>
      </c>
      <c r="M48" s="199" t="str">
        <f t="shared" si="12"/>
        <v/>
      </c>
      <c r="N48" s="217"/>
      <c r="O48" s="195" t="str">
        <f t="shared" ref="O48:S48" si="13">IF($C$10="","",MIN(O10:O39))</f>
        <v/>
      </c>
      <c r="P48" s="195" t="str">
        <f t="shared" si="13"/>
        <v/>
      </c>
      <c r="Q48" s="195" t="str">
        <f t="shared" si="13"/>
        <v/>
      </c>
      <c r="R48" s="195" t="str">
        <f t="shared" si="13"/>
        <v/>
      </c>
      <c r="S48" s="195" t="str">
        <f t="shared" si="13"/>
        <v/>
      </c>
      <c r="T48" s="195"/>
      <c r="U48" s="218" t="str">
        <f t="shared" ref="U48:W48" si="14">IF($C$10="","",MIN(U10:U39))</f>
        <v/>
      </c>
      <c r="V48" s="219" t="str">
        <f t="shared" si="14"/>
        <v/>
      </c>
      <c r="W48" s="219" t="str">
        <f t="shared" si="14"/>
        <v/>
      </c>
      <c r="X48" s="195"/>
      <c r="Y48" s="198" t="str">
        <f t="shared" ref="Y48:AA48" si="15">IF($C$10="","",MIN(Y10:Y39))</f>
        <v/>
      </c>
      <c r="Z48" s="195" t="str">
        <f t="shared" si="15"/>
        <v/>
      </c>
      <c r="AA48" s="195" t="str">
        <f t="shared" si="15"/>
        <v/>
      </c>
    </row>
    <row r="49" spans="1:27" s="43" customFormat="1" ht="13.15">
      <c r="B49" s="146"/>
      <c r="C49" s="148"/>
      <c r="D49" s="153"/>
      <c r="E49" s="153"/>
      <c r="F49" s="55"/>
      <c r="G49" s="96"/>
      <c r="H49" s="96"/>
      <c r="I49" s="60"/>
      <c r="J49" s="57"/>
      <c r="K49" s="60"/>
      <c r="L49" s="60"/>
      <c r="M49" s="60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60"/>
      <c r="Z49" s="60"/>
      <c r="AA49" s="60"/>
    </row>
    <row r="50" spans="1:27" s="22" customFormat="1" ht="13.15">
      <c r="A50" s="33"/>
      <c r="B50" s="157"/>
      <c r="C50" s="157"/>
      <c r="D50" s="157"/>
      <c r="E50" s="157"/>
      <c r="F50" s="157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97"/>
      <c r="Z50" s="97"/>
      <c r="AA50" s="97"/>
    </row>
    <row r="51" spans="1:27" s="22" customFormat="1" ht="13.15">
      <c r="A51" s="33"/>
      <c r="B51" s="149" t="s">
        <v>110</v>
      </c>
      <c r="C51" s="149"/>
      <c r="D51" s="149"/>
      <c r="E51" s="149"/>
      <c r="F51" s="21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97"/>
      <c r="Z51" s="97"/>
      <c r="AA51" s="97"/>
    </row>
    <row r="52" spans="1:27" s="22" customFormat="1" ht="13.15">
      <c r="A52" s="33"/>
      <c r="B52" s="158"/>
      <c r="C52" s="149"/>
      <c r="D52" s="149"/>
      <c r="E52" s="149"/>
      <c r="F52" s="21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97"/>
      <c r="Z52" s="97"/>
      <c r="AA52" s="97"/>
    </row>
    <row r="53" spans="1:27" s="22" customFormat="1" ht="13.15">
      <c r="A53" s="33"/>
      <c r="B53" s="149"/>
      <c r="C53" s="149"/>
      <c r="D53" s="149"/>
      <c r="E53" s="149"/>
      <c r="F53" s="21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97"/>
      <c r="Z53" s="97"/>
      <c r="AA53" s="97"/>
    </row>
    <row r="54" spans="1:27" s="22" customFormat="1" ht="12.75" customHeight="1">
      <c r="A54" s="33"/>
      <c r="B54" s="149"/>
      <c r="C54" s="149"/>
      <c r="D54" s="149"/>
      <c r="E54" s="149"/>
      <c r="F54" s="21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97"/>
      <c r="Z54" s="97"/>
      <c r="AA54" s="97"/>
    </row>
  </sheetData>
  <sheetProtection selectLockedCells="1"/>
  <mergeCells count="5">
    <mergeCell ref="O6:S6"/>
    <mergeCell ref="U6:W6"/>
    <mergeCell ref="Y6:AA6"/>
    <mergeCell ref="G6:I6"/>
    <mergeCell ref="K6:M6"/>
  </mergeCells>
  <printOptions horizontalCentered="1"/>
  <pageMargins left="0.5" right="0.5" top="0.5" bottom="0.5" header="0.5" footer="0.5"/>
  <pageSetup scale="42" fitToHeight="1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  <pageSetUpPr fitToPage="1"/>
  </sheetPr>
  <dimension ref="A1:Z54"/>
  <sheetViews>
    <sheetView showGridLines="0" zoomScale="80" zoomScaleNormal="80" workbookViewId="0">
      <pane xSplit="3" ySplit="9" topLeftCell="D10" activePane="bottomRight" state="frozen"/>
      <selection activeCell="A4" sqref="A4"/>
      <selection pane="topRight" activeCell="A4" sqref="A4"/>
      <selection pane="bottomLeft" activeCell="A4" sqref="A4"/>
      <selection pane="bottomRight" activeCell="G4" sqref="G4"/>
    </sheetView>
  </sheetViews>
  <sheetFormatPr defaultColWidth="7" defaultRowHeight="12.75" outlineLevelRow="1"/>
  <cols>
    <col min="1" max="1" width="0.875" style="29" customWidth="1"/>
    <col min="2" max="2" width="29.375" style="143" customWidth="1"/>
    <col min="3" max="3" width="9.625" style="143" customWidth="1"/>
    <col min="4" max="4" width="1.25" style="29" customWidth="1"/>
    <col min="5" max="5" width="10" style="29" customWidth="1"/>
    <col min="6" max="6" width="1.25" style="29" customWidth="1"/>
    <col min="7" max="7" width="10.375" style="29" customWidth="1"/>
    <col min="8" max="9" width="9.625" style="29" customWidth="1"/>
    <col min="10" max="10" width="1.25" style="29" customWidth="1"/>
    <col min="11" max="13" width="9.625" style="29" customWidth="1"/>
    <col min="14" max="14" width="1.25" style="29" customWidth="1"/>
    <col min="15" max="17" width="9.625" style="29" customWidth="1"/>
    <col min="18" max="18" width="1.25" style="29" customWidth="1"/>
    <col min="19" max="22" width="9.625" style="29" customWidth="1"/>
    <col min="23" max="23" width="1.25" style="29" customWidth="1"/>
    <col min="24" max="25" width="9.625" style="29" customWidth="1"/>
    <col min="26" max="26" width="0.5" style="33" customWidth="1"/>
    <col min="27" max="27" width="6.875" style="33" customWidth="1"/>
    <col min="28" max="16384" width="7" style="33"/>
  </cols>
  <sheetData>
    <row r="1" spans="1:26" s="22" customFormat="1" ht="25.15">
      <c r="A1" s="262" t="s">
        <v>99</v>
      </c>
      <c r="B1" s="262"/>
      <c r="C1" s="262"/>
      <c r="D1" s="262"/>
      <c r="E1" s="262"/>
      <c r="F1" s="262"/>
      <c r="G1" s="262"/>
      <c r="H1" s="262"/>
      <c r="I1" s="262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1"/>
    </row>
    <row r="2" spans="1:26" s="22" customFormat="1" ht="18" customHeight="1">
      <c r="A2" s="262"/>
      <c r="B2" s="262"/>
      <c r="C2" s="262"/>
      <c r="D2" s="262"/>
      <c r="E2" s="262"/>
      <c r="F2" s="262"/>
      <c r="G2" s="262"/>
      <c r="H2" s="262"/>
      <c r="I2" s="262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1"/>
    </row>
    <row r="3" spans="1:26" s="22" customFormat="1" ht="12.75" customHeight="1">
      <c r="A3" s="262"/>
      <c r="B3" s="262"/>
      <c r="C3" s="262"/>
      <c r="D3" s="262"/>
      <c r="E3" s="262"/>
      <c r="F3" s="262"/>
      <c r="G3" s="262"/>
      <c r="H3" s="262"/>
      <c r="I3" s="262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1"/>
    </row>
    <row r="4" spans="1:26" s="22" customFormat="1">
      <c r="A4" s="23"/>
      <c r="B4" s="154"/>
      <c r="C4" s="142"/>
    </row>
    <row r="5" spans="1:26" ht="13.15">
      <c r="G5" s="36"/>
      <c r="H5" s="36"/>
      <c r="I5" s="36"/>
      <c r="J5" s="36"/>
      <c r="K5" s="36"/>
      <c r="L5" s="36"/>
      <c r="M5" s="36"/>
      <c r="N5" s="36"/>
      <c r="Q5" s="36"/>
      <c r="R5" s="36"/>
      <c r="S5" s="36"/>
      <c r="T5" s="36"/>
      <c r="U5" s="36"/>
      <c r="V5" s="36"/>
      <c r="W5" s="36"/>
    </row>
    <row r="6" spans="1:26" ht="16.5">
      <c r="E6" s="175"/>
      <c r="G6" s="283" t="s">
        <v>98</v>
      </c>
      <c r="H6" s="283"/>
      <c r="I6" s="283"/>
      <c r="J6" s="36"/>
      <c r="K6" s="283" t="s">
        <v>74</v>
      </c>
      <c r="L6" s="283"/>
      <c r="M6" s="283"/>
      <c r="N6" s="76"/>
      <c r="O6" s="283" t="s">
        <v>46</v>
      </c>
      <c r="P6" s="283"/>
      <c r="Q6" s="283"/>
      <c r="R6" s="76"/>
      <c r="S6" s="283" t="s">
        <v>100</v>
      </c>
      <c r="T6" s="283"/>
      <c r="U6" s="283"/>
      <c r="V6" s="283"/>
      <c r="W6" s="76"/>
      <c r="X6" s="283" t="s">
        <v>82</v>
      </c>
      <c r="Y6" s="283"/>
    </row>
    <row r="7" spans="1:26" s="35" customFormat="1" ht="13.15">
      <c r="A7" s="34"/>
      <c r="B7" s="144"/>
      <c r="C7" s="144"/>
      <c r="D7" s="34"/>
      <c r="E7" s="77"/>
      <c r="F7" s="34"/>
      <c r="G7" s="38" t="s">
        <v>47</v>
      </c>
      <c r="H7" s="38" t="s">
        <v>48</v>
      </c>
      <c r="I7" s="38" t="s">
        <v>49</v>
      </c>
      <c r="J7" s="38"/>
      <c r="K7" s="38" t="s">
        <v>89</v>
      </c>
      <c r="L7" s="38" t="s">
        <v>78</v>
      </c>
      <c r="M7" s="38" t="s">
        <v>50</v>
      </c>
      <c r="N7" s="38"/>
      <c r="O7" s="30"/>
      <c r="P7" s="30"/>
      <c r="R7" s="38"/>
      <c r="S7" s="30" t="s">
        <v>102</v>
      </c>
      <c r="T7" s="30" t="s">
        <v>37</v>
      </c>
      <c r="U7" s="30" t="s">
        <v>103</v>
      </c>
      <c r="V7" s="30"/>
      <c r="W7" s="38"/>
      <c r="X7" s="30" t="s">
        <v>83</v>
      </c>
      <c r="Y7" s="30" t="s">
        <v>90</v>
      </c>
    </row>
    <row r="8" spans="1:26" s="35" customFormat="1" ht="13.15">
      <c r="A8" s="34"/>
      <c r="B8" s="144"/>
      <c r="C8" s="144"/>
      <c r="D8" s="34"/>
      <c r="E8" s="30"/>
      <c r="F8" s="34"/>
      <c r="G8" s="38" t="s">
        <v>51</v>
      </c>
      <c r="H8" s="38" t="s">
        <v>14</v>
      </c>
      <c r="I8" s="38" t="s">
        <v>14</v>
      </c>
      <c r="J8" s="38"/>
      <c r="K8" s="38" t="s">
        <v>52</v>
      </c>
      <c r="L8" s="98" t="s">
        <v>53</v>
      </c>
      <c r="M8" s="38" t="s">
        <v>52</v>
      </c>
      <c r="N8" s="38"/>
      <c r="O8" s="30" t="s">
        <v>54</v>
      </c>
      <c r="P8" s="30" t="s">
        <v>55</v>
      </c>
      <c r="Q8" s="30" t="s">
        <v>56</v>
      </c>
      <c r="R8" s="38"/>
      <c r="S8" s="30" t="s">
        <v>101</v>
      </c>
      <c r="T8" s="30" t="s">
        <v>101</v>
      </c>
      <c r="U8" s="30" t="s">
        <v>101</v>
      </c>
      <c r="V8" s="30" t="s">
        <v>57</v>
      </c>
      <c r="W8" s="38"/>
      <c r="X8" s="30" t="s">
        <v>84</v>
      </c>
      <c r="Y8" s="30" t="s">
        <v>84</v>
      </c>
    </row>
    <row r="9" spans="1:26" s="35" customFormat="1" ht="16.5">
      <c r="A9" s="34"/>
      <c r="B9" s="155" t="s">
        <v>16</v>
      </c>
      <c r="C9" s="145" t="s">
        <v>2</v>
      </c>
      <c r="D9" s="261"/>
      <c r="E9" s="40" t="s">
        <v>44</v>
      </c>
      <c r="F9" s="39"/>
      <c r="G9" s="82" t="s">
        <v>17</v>
      </c>
      <c r="H9" s="82" t="s">
        <v>45</v>
      </c>
      <c r="I9" s="82" t="s">
        <v>45</v>
      </c>
      <c r="J9" s="82"/>
      <c r="K9" s="82" t="s">
        <v>45</v>
      </c>
      <c r="L9" s="82" t="s">
        <v>45</v>
      </c>
      <c r="M9" s="82" t="s">
        <v>45</v>
      </c>
      <c r="N9" s="40"/>
      <c r="O9" s="40" t="s">
        <v>58</v>
      </c>
      <c r="P9" s="40" t="s">
        <v>43</v>
      </c>
      <c r="Q9" s="40" t="s">
        <v>43</v>
      </c>
      <c r="R9" s="40"/>
      <c r="S9" s="40" t="s">
        <v>59</v>
      </c>
      <c r="T9" s="40" t="s">
        <v>59</v>
      </c>
      <c r="U9" s="40" t="s">
        <v>59</v>
      </c>
      <c r="V9" s="40" t="s">
        <v>59</v>
      </c>
      <c r="W9" s="40"/>
      <c r="X9" s="40" t="s">
        <v>17</v>
      </c>
      <c r="Y9" s="40" t="s">
        <v>17</v>
      </c>
    </row>
    <row r="10" spans="1:26" s="46" customFormat="1">
      <c r="A10" s="33"/>
      <c r="B10" s="146" t="str">
        <f>Info!A6</f>
        <v/>
      </c>
      <c r="C10" s="148" t="str">
        <f>IF(List!D6="","",List!D6)</f>
        <v/>
      </c>
      <c r="D10" s="43"/>
      <c r="E10" s="99" t="str">
        <f>[1]!IntrinioDataPoint($C10,"beta")</f>
        <v/>
      </c>
      <c r="F10" s="43"/>
      <c r="G10" s="51" t="str">
        <f>IF($C10="","",[1]!IntrinioFinancials($C10,"calculations",0,"TTM","debttototalcapital"))</f>
        <v/>
      </c>
      <c r="H10" s="88" t="str">
        <f>IF($C10="","",[1]!IntrinioFinancials($C10,"calculations",0,"TTM","debttoebitda"))</f>
        <v/>
      </c>
      <c r="I10" s="88" t="str">
        <f>IF($C10="","",[1]!IntrinioFinancials($C10,"calculations",0,"TTM","netdebttoebitda"))</f>
        <v/>
      </c>
      <c r="J10" s="88"/>
      <c r="K10" s="89" t="str">
        <f>IF($C10="","",[1]!IntrinioFinancials($C10,"calculations",0,"TTM","ebittointerestex"))</f>
        <v/>
      </c>
      <c r="L10" s="88" t="str">
        <f>IF($C10="","",[1]!IntrinioFinancials($C10,"calculations",0,"TTM","ebitlesscapextointerestex"))</f>
        <v/>
      </c>
      <c r="M10" s="88" t="str">
        <f>IF($C10="","",[1]!IntrinioFinancials($C10,"calculations",0,"TTM","nopattointerestex"))</f>
        <v/>
      </c>
      <c r="N10" s="100"/>
      <c r="O10" s="240" t="str">
        <f>IF($C10="","",[1]!IntrinioFinancials($C10,"calculations",0,"TTM","altmanzscore"))</f>
        <v/>
      </c>
      <c r="P10" s="246" t="str">
        <f>IF($C10="","",[1]!IntrinioFinancials($C10,"calculations",0,"TTM","currentratio"))</f>
        <v/>
      </c>
      <c r="Q10" s="240" t="str">
        <f>IF($C10="","",[1]!IntrinioFinancials($C10,"calculations",0,"TTM","quickratio"))</f>
        <v/>
      </c>
      <c r="R10" s="100"/>
      <c r="S10" s="240" t="str">
        <f>IF($C10="","",[1]!IntrinioFinancials($C10,"calculations",0,"TTM","dso"))</f>
        <v/>
      </c>
      <c r="T10" s="101" t="str">
        <f>IF($C10="","",[1]!IntrinioFinancials($C10,"calculations",0,"TTM","dio"))</f>
        <v/>
      </c>
      <c r="U10" s="101" t="str">
        <f>IF($C10="","",[1]!IntrinioFinancials($C10,"calculations",0,"TTM","dpo"))</f>
        <v/>
      </c>
      <c r="V10" s="101" t="str">
        <f>IF($C10="","",[1]!IntrinioFinancials($C10,"calculations",0,"TTM","ccc"))</f>
        <v/>
      </c>
      <c r="W10" s="45"/>
      <c r="X10" s="51" t="str">
        <f>IF($C10="","",[1]!IntrinioFinancials($C10,"calculations",0,"TTM","dfcfnwctorev"))</f>
        <v/>
      </c>
      <c r="Y10" s="102" t="str">
        <f>IF($C10="","",[1]!IntrinioFinancials($C10,"calculations",0,"TTM","dfnwctorev"))</f>
        <v/>
      </c>
    </row>
    <row r="11" spans="1:26" s="46" customFormat="1">
      <c r="A11" s="33"/>
      <c r="B11" s="202" t="str">
        <f>Info!A7</f>
        <v/>
      </c>
      <c r="C11" s="227" t="str">
        <f>IF(List!D7="","",List!D7)</f>
        <v/>
      </c>
      <c r="D11" s="201"/>
      <c r="E11" s="229" t="str">
        <f>[1]!IntrinioDataPoint($C11,"beta")</f>
        <v/>
      </c>
      <c r="F11" s="201"/>
      <c r="G11" s="206" t="str">
        <f>IF($C11="","",[1]!IntrinioFinancials($C11,"calculations",0,"TTM","debttototalcapital"))</f>
        <v/>
      </c>
      <c r="H11" s="215" t="str">
        <f>IF($C11="","",[1]!IntrinioFinancials($C11,"calculations",0,"TTM","debttoebitda"))</f>
        <v/>
      </c>
      <c r="I11" s="215" t="str">
        <f>IF($C11="","",[1]!IntrinioFinancials($C11,"calculations",0,"TTM","netdebttoebitda"))</f>
        <v/>
      </c>
      <c r="J11" s="215"/>
      <c r="K11" s="216" t="str">
        <f>IF($C11="","",[1]!IntrinioFinancials($C11,"calculations",0,"TTM","ebittointerestex"))</f>
        <v/>
      </c>
      <c r="L11" s="215" t="str">
        <f>IF($C11="","",[1]!IntrinioFinancials($C11,"calculations",0,"TTM","ebitlesscapextointerestex"))</f>
        <v/>
      </c>
      <c r="M11" s="215" t="str">
        <f>IF($C11="","",[1]!IntrinioFinancials($C11,"calculations",0,"TTM","nopattointerestex"))</f>
        <v/>
      </c>
      <c r="N11" s="208"/>
      <c r="O11" s="241" t="str">
        <f>IF($C11="","",[1]!IntrinioFinancials($C11,"calculations",0,"TTM","altmanzscore"))</f>
        <v/>
      </c>
      <c r="P11" s="247" t="str">
        <f>IF($C11="","",[1]!IntrinioFinancials($C11,"calculations",0,"TTM","currentratio"))</f>
        <v/>
      </c>
      <c r="Q11" s="241" t="str">
        <f>IF($C11="","",[1]!IntrinioFinancials($C11,"calculations",0,"TTM","quickratio"))</f>
        <v/>
      </c>
      <c r="R11" s="208"/>
      <c r="S11" s="241" t="str">
        <f>IF($C11="","",[1]!IntrinioFinancials($C11,"calculations",0,"TTM","dso"))</f>
        <v/>
      </c>
      <c r="T11" s="230" t="str">
        <f>IF($C11="","",[1]!IntrinioFinancials($C11,"calculations",0,"TTM","dio"))</f>
        <v/>
      </c>
      <c r="U11" s="230" t="str">
        <f>IF($C11="","",[1]!IntrinioFinancials($C11,"calculations",0,"TTM","dpo"))</f>
        <v/>
      </c>
      <c r="V11" s="230" t="str">
        <f>IF($C11="","",[1]!IntrinioFinancials($C11,"calculations",0,"TTM","ccc"))</f>
        <v/>
      </c>
      <c r="W11" s="207"/>
      <c r="X11" s="206" t="str">
        <f>IF($C11="","",[1]!IntrinioFinancials($C11,"calculations",0,"TTM","dfcfnwctorev"))</f>
        <v/>
      </c>
      <c r="Y11" s="231" t="str">
        <f>IF($C11="","",[1]!IntrinioFinancials($C11,"calculations",0,"TTM","dfnwctorev"))</f>
        <v/>
      </c>
    </row>
    <row r="12" spans="1:26" s="46" customFormat="1">
      <c r="A12" s="33"/>
      <c r="B12" s="146" t="str">
        <f>Info!A8</f>
        <v/>
      </c>
      <c r="C12" s="148" t="str">
        <f>IF(List!D8="","",List!D8)</f>
        <v/>
      </c>
      <c r="D12" s="43"/>
      <c r="E12" s="99" t="str">
        <f>[1]!IntrinioDataPoint($C12,"beta")</f>
        <v/>
      </c>
      <c r="F12" s="43"/>
      <c r="G12" s="51" t="str">
        <f>IF($C12="","",[1]!IntrinioFinancials($C12,"calculations",0,"TTM","debttototalcapital"))</f>
        <v/>
      </c>
      <c r="H12" s="88" t="str">
        <f>IF($C12="","",[1]!IntrinioFinancials($C12,"calculations",0,"TTM","debttoebitda"))</f>
        <v/>
      </c>
      <c r="I12" s="88" t="str">
        <f>IF($C12="","",[1]!IntrinioFinancials($C12,"calculations",0,"TTM","netdebttoebitda"))</f>
        <v/>
      </c>
      <c r="J12" s="88"/>
      <c r="K12" s="89" t="str">
        <f>IF($C12="","",[1]!IntrinioFinancials($C12,"calculations",0,"TTM","ebittointerestex"))</f>
        <v/>
      </c>
      <c r="L12" s="88" t="str">
        <f>IF($C12="","",[1]!IntrinioFinancials($C12,"calculations",0,"TTM","ebitlesscapextointerestex"))</f>
        <v/>
      </c>
      <c r="M12" s="88" t="str">
        <f>IF($C12="","",[1]!IntrinioFinancials($C12,"calculations",0,"TTM","nopattointerestex"))</f>
        <v/>
      </c>
      <c r="N12" s="100"/>
      <c r="O12" s="240" t="str">
        <f>IF($C12="","",[1]!IntrinioFinancials($C12,"calculations",0,"TTM","altmanzscore"))</f>
        <v/>
      </c>
      <c r="P12" s="246" t="str">
        <f>IF($C12="","",[1]!IntrinioFinancials($C12,"calculations",0,"TTM","currentratio"))</f>
        <v/>
      </c>
      <c r="Q12" s="240" t="str">
        <f>IF($C12="","",[1]!IntrinioFinancials($C12,"calculations",0,"TTM","quickratio"))</f>
        <v/>
      </c>
      <c r="R12" s="100"/>
      <c r="S12" s="240" t="str">
        <f>IF($C12="","",[1]!IntrinioFinancials($C12,"calculations",0,"TTM","dso"))</f>
        <v/>
      </c>
      <c r="T12" s="101" t="str">
        <f>IF($C12="","",[1]!IntrinioFinancials($C12,"calculations",0,"TTM","dio"))</f>
        <v/>
      </c>
      <c r="U12" s="101" t="str">
        <f>IF($C12="","",[1]!IntrinioFinancials($C12,"calculations",0,"TTM","dpo"))</f>
        <v/>
      </c>
      <c r="V12" s="101" t="str">
        <f>IF($C12="","",[1]!IntrinioFinancials($C12,"calculations",0,"TTM","ccc"))</f>
        <v/>
      </c>
      <c r="W12" s="45"/>
      <c r="X12" s="51" t="str">
        <f>IF($C12="","",[1]!IntrinioFinancials($C12,"calculations",0,"TTM","dfcfnwctorev"))</f>
        <v/>
      </c>
      <c r="Y12" s="102" t="str">
        <f>IF($C12="","",[1]!IntrinioFinancials($C12,"calculations",0,"TTM","dfnwctorev"))</f>
        <v/>
      </c>
    </row>
    <row r="13" spans="1:26" s="46" customFormat="1">
      <c r="A13" s="33"/>
      <c r="B13" s="202" t="str">
        <f>Info!A9</f>
        <v/>
      </c>
      <c r="C13" s="227" t="str">
        <f>IF(List!D9="","",List!D9)</f>
        <v/>
      </c>
      <c r="D13" s="201"/>
      <c r="E13" s="229" t="str">
        <f>[1]!IntrinioDataPoint($C13,"beta")</f>
        <v/>
      </c>
      <c r="F13" s="201"/>
      <c r="G13" s="206" t="str">
        <f>IF($C13="","",[1]!IntrinioFinancials($C13,"calculations",0,"TTM","debttototalcapital"))</f>
        <v/>
      </c>
      <c r="H13" s="215" t="str">
        <f>IF($C13="","",[1]!IntrinioFinancials($C13,"calculations",0,"TTM","debttoebitda"))</f>
        <v/>
      </c>
      <c r="I13" s="215" t="str">
        <f>IF($C13="","",[1]!IntrinioFinancials($C13,"calculations",0,"TTM","netdebttoebitda"))</f>
        <v/>
      </c>
      <c r="J13" s="215"/>
      <c r="K13" s="216" t="str">
        <f>IF($C13="","",[1]!IntrinioFinancials($C13,"calculations",0,"TTM","ebittointerestex"))</f>
        <v/>
      </c>
      <c r="L13" s="215" t="str">
        <f>IF($C13="","",[1]!IntrinioFinancials($C13,"calculations",0,"TTM","ebitlesscapextointerestex"))</f>
        <v/>
      </c>
      <c r="M13" s="215" t="str">
        <f>IF($C13="","",[1]!IntrinioFinancials($C13,"calculations",0,"TTM","nopattointerestex"))</f>
        <v/>
      </c>
      <c r="N13" s="208"/>
      <c r="O13" s="241" t="str">
        <f>IF($C13="","",[1]!IntrinioFinancials($C13,"calculations",0,"TTM","altmanzscore"))</f>
        <v/>
      </c>
      <c r="P13" s="247" t="str">
        <f>IF($C13="","",[1]!IntrinioFinancials($C13,"calculations",0,"TTM","currentratio"))</f>
        <v/>
      </c>
      <c r="Q13" s="241" t="str">
        <f>IF($C13="","",[1]!IntrinioFinancials($C13,"calculations",0,"TTM","quickratio"))</f>
        <v/>
      </c>
      <c r="R13" s="208"/>
      <c r="S13" s="241" t="str">
        <f>IF($C13="","",[1]!IntrinioFinancials($C13,"calculations",0,"TTM","dso"))</f>
        <v/>
      </c>
      <c r="T13" s="230" t="str">
        <f>IF($C13="","",[1]!IntrinioFinancials($C13,"calculations",0,"TTM","dio"))</f>
        <v/>
      </c>
      <c r="U13" s="230" t="str">
        <f>IF($C13="","",[1]!IntrinioFinancials($C13,"calculations",0,"TTM","dpo"))</f>
        <v/>
      </c>
      <c r="V13" s="230" t="str">
        <f>IF($C13="","",[1]!IntrinioFinancials($C13,"calculations",0,"TTM","ccc"))</f>
        <v/>
      </c>
      <c r="W13" s="207"/>
      <c r="X13" s="206" t="str">
        <f>IF($C13="","",[1]!IntrinioFinancials($C13,"calculations",0,"TTM","dfcfnwctorev"))</f>
        <v/>
      </c>
      <c r="Y13" s="231" t="str">
        <f>IF($C13="","",[1]!IntrinioFinancials($C13,"calculations",0,"TTM","dfnwctorev"))</f>
        <v/>
      </c>
    </row>
    <row r="14" spans="1:26" s="46" customFormat="1">
      <c r="A14" s="33"/>
      <c r="B14" s="146" t="str">
        <f>Info!A10</f>
        <v/>
      </c>
      <c r="C14" s="148" t="str">
        <f>IF(List!D10="","",List!D10)</f>
        <v/>
      </c>
      <c r="D14" s="43"/>
      <c r="E14" s="99" t="str">
        <f>[1]!IntrinioDataPoint($C14,"beta")</f>
        <v/>
      </c>
      <c r="F14" s="43"/>
      <c r="G14" s="51" t="str">
        <f>IF($C14="","",[1]!IntrinioFinancials($C14,"calculations",0,"TTM","debttototalcapital"))</f>
        <v/>
      </c>
      <c r="H14" s="88" t="str">
        <f>IF($C14="","",[1]!IntrinioFinancials($C14,"calculations",0,"TTM","debttoebitda"))</f>
        <v/>
      </c>
      <c r="I14" s="88" t="str">
        <f>IF($C14="","",[1]!IntrinioFinancials($C14,"calculations",0,"TTM","netdebttoebitda"))</f>
        <v/>
      </c>
      <c r="J14" s="88"/>
      <c r="K14" s="89" t="str">
        <f>IF($C14="","",[1]!IntrinioFinancials($C14,"calculations",0,"TTM","ebittointerestex"))</f>
        <v/>
      </c>
      <c r="L14" s="88" t="str">
        <f>IF($C14="","",[1]!IntrinioFinancials($C14,"calculations",0,"TTM","ebitlesscapextointerestex"))</f>
        <v/>
      </c>
      <c r="M14" s="88" t="str">
        <f>IF($C14="","",[1]!IntrinioFinancials($C14,"calculations",0,"TTM","nopattointerestex"))</f>
        <v/>
      </c>
      <c r="N14" s="100"/>
      <c r="O14" s="240" t="str">
        <f>IF($C14="","",[1]!IntrinioFinancials($C14,"calculations",0,"TTM","altmanzscore"))</f>
        <v/>
      </c>
      <c r="P14" s="246" t="str">
        <f>IF($C14="","",[1]!IntrinioFinancials($C14,"calculations",0,"TTM","currentratio"))</f>
        <v/>
      </c>
      <c r="Q14" s="240" t="str">
        <f>IF($C14="","",[1]!IntrinioFinancials($C14,"calculations",0,"TTM","quickratio"))</f>
        <v/>
      </c>
      <c r="R14" s="100"/>
      <c r="S14" s="240" t="str">
        <f>IF($C14="","",[1]!IntrinioFinancials($C14,"calculations",0,"TTM","dso"))</f>
        <v/>
      </c>
      <c r="T14" s="101" t="str">
        <f>IF($C14="","",[1]!IntrinioFinancials($C14,"calculations",0,"TTM","dio"))</f>
        <v/>
      </c>
      <c r="U14" s="101" t="str">
        <f>IF($C14="","",[1]!IntrinioFinancials($C14,"calculations",0,"TTM","dpo"))</f>
        <v/>
      </c>
      <c r="V14" s="101" t="str">
        <f>IF($C14="","",[1]!IntrinioFinancials($C14,"calculations",0,"TTM","ccc"))</f>
        <v/>
      </c>
      <c r="W14" s="45"/>
      <c r="X14" s="51" t="str">
        <f>IF($C14="","",[1]!IntrinioFinancials($C14,"calculations",0,"TTM","dfcfnwctorev"))</f>
        <v/>
      </c>
      <c r="Y14" s="102" t="str">
        <f>IF($C14="","",[1]!IntrinioFinancials($C14,"calculations",0,"TTM","dfnwctorev"))</f>
        <v/>
      </c>
    </row>
    <row r="15" spans="1:26" s="46" customFormat="1" hidden="1" outlineLevel="1">
      <c r="A15" s="33"/>
      <c r="B15" s="202" t="str">
        <f>Info!A11</f>
        <v/>
      </c>
      <c r="C15" s="227" t="str">
        <f>IF(List!D11="","",List!D11)</f>
        <v/>
      </c>
      <c r="D15" s="201"/>
      <c r="E15" s="229" t="str">
        <f>[1]!IntrinioDataPoint($C15,"beta")</f>
        <v/>
      </c>
      <c r="F15" s="201"/>
      <c r="G15" s="206" t="str">
        <f>IF($C15="","",[1]!IntrinioFinancials($C15,"calculations",0,"TTM","debttototalcapital"))</f>
        <v/>
      </c>
      <c r="H15" s="215" t="str">
        <f>IF($C15="","",[1]!IntrinioFinancials($C15,"calculations",0,"TTM","debttoebitda"))</f>
        <v/>
      </c>
      <c r="I15" s="215" t="str">
        <f>IF($C15="","",[1]!IntrinioFinancials($C15,"calculations",0,"TTM","netdebttoebitda"))</f>
        <v/>
      </c>
      <c r="J15" s="215"/>
      <c r="K15" s="216" t="str">
        <f>IF($C15="","",[1]!IntrinioFinancials($C15,"calculations",0,"TTM","ebittointerestex"))</f>
        <v/>
      </c>
      <c r="L15" s="215" t="str">
        <f>IF($C15="","",[1]!IntrinioFinancials($C15,"calculations",0,"TTM","ebitlesscapextointerestex"))</f>
        <v/>
      </c>
      <c r="M15" s="215" t="str">
        <f>IF($C15="","",[1]!IntrinioFinancials($C15,"calculations",0,"TTM","nopattointerestex"))</f>
        <v/>
      </c>
      <c r="N15" s="208"/>
      <c r="O15" s="241" t="str">
        <f>IF($C15="","",[1]!IntrinioFinancials($C15,"calculations",0,"TTM","altmanzscore"))</f>
        <v/>
      </c>
      <c r="P15" s="247" t="str">
        <f>IF($C15="","",[1]!IntrinioFinancials($C15,"calculations",0,"TTM","currentratio"))</f>
        <v/>
      </c>
      <c r="Q15" s="241" t="str">
        <f>IF($C15="","",[1]!IntrinioFinancials($C15,"calculations",0,"TTM","quickratio"))</f>
        <v/>
      </c>
      <c r="R15" s="208"/>
      <c r="S15" s="241" t="str">
        <f>IF($C15="","",[1]!IntrinioFinancials($C15,"calculations",0,"TTM","dso"))</f>
        <v/>
      </c>
      <c r="T15" s="230" t="str">
        <f>IF($C15="","",[1]!IntrinioFinancials($C15,"calculations",0,"TTM","dio"))</f>
        <v/>
      </c>
      <c r="U15" s="230" t="str">
        <f>IF($C15="","",[1]!IntrinioFinancials($C15,"calculations",0,"TTM","dpo"))</f>
        <v/>
      </c>
      <c r="V15" s="230" t="str">
        <f>IF($C15="","",[1]!IntrinioFinancials($C15,"calculations",0,"TTM","ccc"))</f>
        <v/>
      </c>
      <c r="W15" s="207"/>
      <c r="X15" s="206" t="str">
        <f>IF($C15="","",[1]!IntrinioFinancials($C15,"calculations",0,"TTM","dfcfnwctorev"))</f>
        <v/>
      </c>
      <c r="Y15" s="231" t="str">
        <f>IF($C15="","",[1]!IntrinioFinancials($C15,"calculations",0,"TTM","dfnwctorev"))</f>
        <v/>
      </c>
    </row>
    <row r="16" spans="1:26" s="46" customFormat="1" hidden="1" outlineLevel="1">
      <c r="A16" s="33"/>
      <c r="B16" s="146" t="str">
        <f>Info!A12</f>
        <v/>
      </c>
      <c r="C16" s="148" t="str">
        <f>IF(List!D12="","",List!D12)</f>
        <v/>
      </c>
      <c r="D16" s="43"/>
      <c r="E16" s="99" t="str">
        <f>[1]!IntrinioDataPoint($C16,"beta")</f>
        <v/>
      </c>
      <c r="F16" s="43"/>
      <c r="G16" s="51" t="str">
        <f>IF($C16="","",[1]!IntrinioFinancials($C16,"calculations",0,"TTM","debttototalcapital"))</f>
        <v/>
      </c>
      <c r="H16" s="88" t="str">
        <f>IF($C16="","",[1]!IntrinioFinancials($C16,"calculations",0,"TTM","debttoebitda"))</f>
        <v/>
      </c>
      <c r="I16" s="88" t="str">
        <f>IF($C16="","",[1]!IntrinioFinancials($C16,"calculations",0,"TTM","netdebttoebitda"))</f>
        <v/>
      </c>
      <c r="J16" s="88"/>
      <c r="K16" s="89" t="str">
        <f>IF($C16="","",[1]!IntrinioFinancials($C16,"calculations",0,"TTM","ebittointerestex"))</f>
        <v/>
      </c>
      <c r="L16" s="88" t="str">
        <f>IF($C16="","",[1]!IntrinioFinancials($C16,"calculations",0,"TTM","ebitlesscapextointerestex"))</f>
        <v/>
      </c>
      <c r="M16" s="88" t="str">
        <f>IF($C16="","",[1]!IntrinioFinancials($C16,"calculations",0,"TTM","nopattointerestex"))</f>
        <v/>
      </c>
      <c r="N16" s="100"/>
      <c r="O16" s="240" t="str">
        <f>IF($C16="","",[1]!IntrinioFinancials($C16,"calculations",0,"TTM","altmanzscore"))</f>
        <v/>
      </c>
      <c r="P16" s="246" t="str">
        <f>IF($C16="","",[1]!IntrinioFinancials($C16,"calculations",0,"TTM","currentratio"))</f>
        <v/>
      </c>
      <c r="Q16" s="240" t="str">
        <f>IF($C16="","",[1]!IntrinioFinancials($C16,"calculations",0,"TTM","quickratio"))</f>
        <v/>
      </c>
      <c r="R16" s="100"/>
      <c r="S16" s="240" t="str">
        <f>IF($C16="","",[1]!IntrinioFinancials($C16,"calculations",0,"TTM","dso"))</f>
        <v/>
      </c>
      <c r="T16" s="101" t="str">
        <f>IF($C16="","",[1]!IntrinioFinancials($C16,"calculations",0,"TTM","dio"))</f>
        <v/>
      </c>
      <c r="U16" s="101" t="str">
        <f>IF($C16="","",[1]!IntrinioFinancials($C16,"calculations",0,"TTM","dpo"))</f>
        <v/>
      </c>
      <c r="V16" s="101" t="str">
        <f>IF($C16="","",[1]!IntrinioFinancials($C16,"calculations",0,"TTM","ccc"))</f>
        <v/>
      </c>
      <c r="W16" s="45"/>
      <c r="X16" s="51" t="str">
        <f>IF($C16="","",[1]!IntrinioFinancials($C16,"calculations",0,"TTM","dfcfnwctorev"))</f>
        <v/>
      </c>
      <c r="Y16" s="102" t="str">
        <f>IF($C16="","",[1]!IntrinioFinancials($C16,"calculations",0,"TTM","dfnwctorev"))</f>
        <v/>
      </c>
    </row>
    <row r="17" spans="1:25" s="46" customFormat="1" hidden="1" outlineLevel="1">
      <c r="A17" s="33"/>
      <c r="B17" s="202" t="str">
        <f>Info!A13</f>
        <v/>
      </c>
      <c r="C17" s="227" t="str">
        <f>IF(List!D13="","",List!D13)</f>
        <v/>
      </c>
      <c r="D17" s="201"/>
      <c r="E17" s="229" t="str">
        <f>[1]!IntrinioDataPoint($C17,"beta")</f>
        <v/>
      </c>
      <c r="F17" s="201"/>
      <c r="G17" s="206" t="str">
        <f>IF($C17="","",[1]!IntrinioFinancials($C17,"calculations",0,"TTM","debttototalcapital"))</f>
        <v/>
      </c>
      <c r="H17" s="215" t="str">
        <f>IF($C17="","",[1]!IntrinioFinancials($C17,"calculations",0,"TTM","debttoebitda"))</f>
        <v/>
      </c>
      <c r="I17" s="215" t="str">
        <f>IF($C17="","",[1]!IntrinioFinancials($C17,"calculations",0,"TTM","netdebttoebitda"))</f>
        <v/>
      </c>
      <c r="J17" s="215"/>
      <c r="K17" s="216" t="str">
        <f>IF($C17="","",[1]!IntrinioFinancials($C17,"calculations",0,"TTM","ebittointerestex"))</f>
        <v/>
      </c>
      <c r="L17" s="215" t="str">
        <f>IF($C17="","",[1]!IntrinioFinancials($C17,"calculations",0,"TTM","ebitlesscapextointerestex"))</f>
        <v/>
      </c>
      <c r="M17" s="215" t="str">
        <f>IF($C17="","",[1]!IntrinioFinancials($C17,"calculations",0,"TTM","nopattointerestex"))</f>
        <v/>
      </c>
      <c r="N17" s="208"/>
      <c r="O17" s="241" t="str">
        <f>IF($C17="","",[1]!IntrinioFinancials($C17,"calculations",0,"TTM","altmanzscore"))</f>
        <v/>
      </c>
      <c r="P17" s="247" t="str">
        <f>IF($C17="","",[1]!IntrinioFinancials($C17,"calculations",0,"TTM","currentratio"))</f>
        <v/>
      </c>
      <c r="Q17" s="241" t="str">
        <f>IF($C17="","",[1]!IntrinioFinancials($C17,"calculations",0,"TTM","quickratio"))</f>
        <v/>
      </c>
      <c r="R17" s="208"/>
      <c r="S17" s="241" t="str">
        <f>IF($C17="","",[1]!IntrinioFinancials($C17,"calculations",0,"TTM","dso"))</f>
        <v/>
      </c>
      <c r="T17" s="230" t="str">
        <f>IF($C17="","",[1]!IntrinioFinancials($C17,"calculations",0,"TTM","dio"))</f>
        <v/>
      </c>
      <c r="U17" s="230" t="str">
        <f>IF($C17="","",[1]!IntrinioFinancials($C17,"calculations",0,"TTM","dpo"))</f>
        <v/>
      </c>
      <c r="V17" s="230" t="str">
        <f>IF($C17="","",[1]!IntrinioFinancials($C17,"calculations",0,"TTM","ccc"))</f>
        <v/>
      </c>
      <c r="W17" s="207"/>
      <c r="X17" s="206" t="str">
        <f>IF($C17="","",[1]!IntrinioFinancials($C17,"calculations",0,"TTM","dfcfnwctorev"))</f>
        <v/>
      </c>
      <c r="Y17" s="231" t="str">
        <f>IF($C17="","",[1]!IntrinioFinancials($C17,"calculations",0,"TTM","dfnwctorev"))</f>
        <v/>
      </c>
    </row>
    <row r="18" spans="1:25" s="46" customFormat="1" hidden="1" outlineLevel="1">
      <c r="A18" s="33"/>
      <c r="B18" s="146" t="str">
        <f>Info!A14</f>
        <v/>
      </c>
      <c r="C18" s="148" t="str">
        <f>IF(List!D14="","",List!D14)</f>
        <v/>
      </c>
      <c r="D18" s="43"/>
      <c r="E18" s="99" t="str">
        <f>[1]!IntrinioDataPoint($C18,"beta")</f>
        <v/>
      </c>
      <c r="F18" s="43"/>
      <c r="G18" s="51" t="str">
        <f>IF($C18="","",[1]!IntrinioFinancials($C18,"calculations",0,"TTM","debttototalcapital"))</f>
        <v/>
      </c>
      <c r="H18" s="88" t="str">
        <f>IF($C18="","",[1]!IntrinioFinancials($C18,"calculations",0,"TTM","debttoebitda"))</f>
        <v/>
      </c>
      <c r="I18" s="88" t="str">
        <f>IF($C18="","",[1]!IntrinioFinancials($C18,"calculations",0,"TTM","netdebttoebitda"))</f>
        <v/>
      </c>
      <c r="J18" s="88"/>
      <c r="K18" s="89" t="str">
        <f>IF($C18="","",[1]!IntrinioFinancials($C18,"calculations",0,"TTM","ebittointerestex"))</f>
        <v/>
      </c>
      <c r="L18" s="88" t="str">
        <f>IF($C18="","",[1]!IntrinioFinancials($C18,"calculations",0,"TTM","ebitlesscapextointerestex"))</f>
        <v/>
      </c>
      <c r="M18" s="88" t="str">
        <f>IF($C18="","",[1]!IntrinioFinancials($C18,"calculations",0,"TTM","nopattointerestex"))</f>
        <v/>
      </c>
      <c r="N18" s="100"/>
      <c r="O18" s="240" t="str">
        <f>IF($C18="","",[1]!IntrinioFinancials($C18,"calculations",0,"TTM","altmanzscore"))</f>
        <v/>
      </c>
      <c r="P18" s="246" t="str">
        <f>IF($C18="","",[1]!IntrinioFinancials($C18,"calculations",0,"TTM","currentratio"))</f>
        <v/>
      </c>
      <c r="Q18" s="240" t="str">
        <f>IF($C18="","",[1]!IntrinioFinancials($C18,"calculations",0,"TTM","quickratio"))</f>
        <v/>
      </c>
      <c r="R18" s="100"/>
      <c r="S18" s="240" t="str">
        <f>IF($C18="","",[1]!IntrinioFinancials($C18,"calculations",0,"TTM","dso"))</f>
        <v/>
      </c>
      <c r="T18" s="101" t="str">
        <f>IF($C18="","",[1]!IntrinioFinancials($C18,"calculations",0,"TTM","dio"))</f>
        <v/>
      </c>
      <c r="U18" s="101" t="str">
        <f>IF($C18="","",[1]!IntrinioFinancials($C18,"calculations",0,"TTM","dpo"))</f>
        <v/>
      </c>
      <c r="V18" s="101" t="str">
        <f>IF($C18="","",[1]!IntrinioFinancials($C18,"calculations",0,"TTM","ccc"))</f>
        <v/>
      </c>
      <c r="W18" s="45"/>
      <c r="X18" s="51" t="str">
        <f>IF($C18="","",[1]!IntrinioFinancials($C18,"calculations",0,"TTM","dfcfnwctorev"))</f>
        <v/>
      </c>
      <c r="Y18" s="102" t="str">
        <f>IF($C18="","",[1]!IntrinioFinancials($C18,"calculations",0,"TTM","dfnwctorev"))</f>
        <v/>
      </c>
    </row>
    <row r="19" spans="1:25" s="46" customFormat="1" hidden="1" outlineLevel="1">
      <c r="A19" s="33"/>
      <c r="B19" s="202" t="str">
        <f>Info!A15</f>
        <v/>
      </c>
      <c r="C19" s="227" t="str">
        <f>IF(List!D15="","",List!D15)</f>
        <v/>
      </c>
      <c r="D19" s="201"/>
      <c r="E19" s="229" t="str">
        <f>[1]!IntrinioDataPoint($C19,"beta")</f>
        <v/>
      </c>
      <c r="F19" s="201"/>
      <c r="G19" s="206" t="str">
        <f>IF($C19="","",[1]!IntrinioFinancials($C19,"calculations",0,"TTM","debttototalcapital"))</f>
        <v/>
      </c>
      <c r="H19" s="215" t="str">
        <f>IF($C19="","",[1]!IntrinioFinancials($C19,"calculations",0,"TTM","debttoebitda"))</f>
        <v/>
      </c>
      <c r="I19" s="215" t="str">
        <f>IF($C19="","",[1]!IntrinioFinancials($C19,"calculations",0,"TTM","netdebttoebitda"))</f>
        <v/>
      </c>
      <c r="J19" s="215"/>
      <c r="K19" s="216" t="str">
        <f>IF($C19="","",[1]!IntrinioFinancials($C19,"calculations",0,"TTM","ebittointerestex"))</f>
        <v/>
      </c>
      <c r="L19" s="215" t="str">
        <f>IF($C19="","",[1]!IntrinioFinancials($C19,"calculations",0,"TTM","ebitlesscapextointerestex"))</f>
        <v/>
      </c>
      <c r="M19" s="215" t="str">
        <f>IF($C19="","",[1]!IntrinioFinancials($C19,"calculations",0,"TTM","nopattointerestex"))</f>
        <v/>
      </c>
      <c r="N19" s="208"/>
      <c r="O19" s="241" t="str">
        <f>IF($C19="","",[1]!IntrinioFinancials($C19,"calculations",0,"TTM","altmanzscore"))</f>
        <v/>
      </c>
      <c r="P19" s="247" t="str">
        <f>IF($C19="","",[1]!IntrinioFinancials($C19,"calculations",0,"TTM","currentratio"))</f>
        <v/>
      </c>
      <c r="Q19" s="241" t="str">
        <f>IF($C19="","",[1]!IntrinioFinancials($C19,"calculations",0,"TTM","quickratio"))</f>
        <v/>
      </c>
      <c r="R19" s="208"/>
      <c r="S19" s="241" t="str">
        <f>IF($C19="","",[1]!IntrinioFinancials($C19,"calculations",0,"TTM","dso"))</f>
        <v/>
      </c>
      <c r="T19" s="230" t="str">
        <f>IF($C19="","",[1]!IntrinioFinancials($C19,"calculations",0,"TTM","dio"))</f>
        <v/>
      </c>
      <c r="U19" s="230" t="str">
        <f>IF($C19="","",[1]!IntrinioFinancials($C19,"calculations",0,"TTM","dpo"))</f>
        <v/>
      </c>
      <c r="V19" s="230" t="str">
        <f>IF($C19="","",[1]!IntrinioFinancials($C19,"calculations",0,"TTM","ccc"))</f>
        <v/>
      </c>
      <c r="W19" s="207"/>
      <c r="X19" s="206" t="str">
        <f>IF($C19="","",[1]!IntrinioFinancials($C19,"calculations",0,"TTM","dfcfnwctorev"))</f>
        <v/>
      </c>
      <c r="Y19" s="231" t="str">
        <f>IF($C19="","",[1]!IntrinioFinancials($C19,"calculations",0,"TTM","dfnwctorev"))</f>
        <v/>
      </c>
    </row>
    <row r="20" spans="1:25" s="46" customFormat="1" hidden="1" outlineLevel="1">
      <c r="A20" s="33"/>
      <c r="B20" s="146" t="str">
        <f>Info!A16</f>
        <v/>
      </c>
      <c r="C20" s="148" t="str">
        <f>IF(List!D16="","",List!D16)</f>
        <v/>
      </c>
      <c r="D20" s="43"/>
      <c r="E20" s="99" t="str">
        <f>[1]!IntrinioDataPoint($C20,"beta")</f>
        <v/>
      </c>
      <c r="F20" s="43"/>
      <c r="G20" s="51" t="str">
        <f>IF($C20="","",[1]!IntrinioFinancials($C20,"calculations",0,"TTM","debttototalcapital"))</f>
        <v/>
      </c>
      <c r="H20" s="88" t="str">
        <f>IF($C20="","",[1]!IntrinioFinancials($C20,"calculations",0,"TTM","debttoebitda"))</f>
        <v/>
      </c>
      <c r="I20" s="88" t="str">
        <f>IF($C20="","",[1]!IntrinioFinancials($C20,"calculations",0,"TTM","netdebttoebitda"))</f>
        <v/>
      </c>
      <c r="J20" s="88"/>
      <c r="K20" s="89" t="str">
        <f>IF($C20="","",[1]!IntrinioFinancials($C20,"calculations",0,"TTM","ebittointerestex"))</f>
        <v/>
      </c>
      <c r="L20" s="88" t="str">
        <f>IF($C20="","",[1]!IntrinioFinancials($C20,"calculations",0,"TTM","ebitlesscapextointerestex"))</f>
        <v/>
      </c>
      <c r="M20" s="88" t="str">
        <f>IF($C20="","",[1]!IntrinioFinancials($C20,"calculations",0,"TTM","nopattointerestex"))</f>
        <v/>
      </c>
      <c r="N20" s="100"/>
      <c r="O20" s="240" t="str">
        <f>IF($C20="","",[1]!IntrinioFinancials($C20,"calculations",0,"TTM","altmanzscore"))</f>
        <v/>
      </c>
      <c r="P20" s="246" t="str">
        <f>IF($C20="","",[1]!IntrinioFinancials($C20,"calculations",0,"TTM","currentratio"))</f>
        <v/>
      </c>
      <c r="Q20" s="240" t="str">
        <f>IF($C20="","",[1]!IntrinioFinancials($C20,"calculations",0,"TTM","quickratio"))</f>
        <v/>
      </c>
      <c r="R20" s="100"/>
      <c r="S20" s="240" t="str">
        <f>IF($C20="","",[1]!IntrinioFinancials($C20,"calculations",0,"TTM","dso"))</f>
        <v/>
      </c>
      <c r="T20" s="101" t="str">
        <f>IF($C20="","",[1]!IntrinioFinancials($C20,"calculations",0,"TTM","dio"))</f>
        <v/>
      </c>
      <c r="U20" s="101" t="str">
        <f>IF($C20="","",[1]!IntrinioFinancials($C20,"calculations",0,"TTM","dpo"))</f>
        <v/>
      </c>
      <c r="V20" s="101" t="str">
        <f>IF($C20="","",[1]!IntrinioFinancials($C20,"calculations",0,"TTM","ccc"))</f>
        <v/>
      </c>
      <c r="W20" s="45"/>
      <c r="X20" s="51" t="str">
        <f>IF($C20="","",[1]!IntrinioFinancials($C20,"calculations",0,"TTM","dfcfnwctorev"))</f>
        <v/>
      </c>
      <c r="Y20" s="102" t="str">
        <f>IF($C20="","",[1]!IntrinioFinancials($C20,"calculations",0,"TTM","dfnwctorev"))</f>
        <v/>
      </c>
    </row>
    <row r="21" spans="1:25" s="46" customFormat="1" hidden="1" outlineLevel="1">
      <c r="A21" s="33"/>
      <c r="B21" s="202" t="str">
        <f>Info!A17</f>
        <v/>
      </c>
      <c r="C21" s="227" t="str">
        <f>IF(List!D17="","",List!D17)</f>
        <v/>
      </c>
      <c r="D21" s="201"/>
      <c r="E21" s="229" t="str">
        <f>[1]!IntrinioDataPoint($C21,"beta")</f>
        <v/>
      </c>
      <c r="F21" s="201"/>
      <c r="G21" s="206" t="str">
        <f>IF($C21="","",[1]!IntrinioFinancials($C21,"calculations",0,"TTM","debttototalcapital"))</f>
        <v/>
      </c>
      <c r="H21" s="215" t="str">
        <f>IF($C21="","",[1]!IntrinioFinancials($C21,"calculations",0,"TTM","debttoebitda"))</f>
        <v/>
      </c>
      <c r="I21" s="215" t="str">
        <f>IF($C21="","",[1]!IntrinioFinancials($C21,"calculations",0,"TTM","netdebttoebitda"))</f>
        <v/>
      </c>
      <c r="J21" s="215"/>
      <c r="K21" s="216" t="str">
        <f>IF($C21="","",[1]!IntrinioFinancials($C21,"calculations",0,"TTM","ebittointerestex"))</f>
        <v/>
      </c>
      <c r="L21" s="215" t="str">
        <f>IF($C21="","",[1]!IntrinioFinancials($C21,"calculations",0,"TTM","ebitlesscapextointerestex"))</f>
        <v/>
      </c>
      <c r="M21" s="215" t="str">
        <f>IF($C21="","",[1]!IntrinioFinancials($C21,"calculations",0,"TTM","nopattointerestex"))</f>
        <v/>
      </c>
      <c r="N21" s="208"/>
      <c r="O21" s="241" t="str">
        <f>IF($C21="","",[1]!IntrinioFinancials($C21,"calculations",0,"TTM","altmanzscore"))</f>
        <v/>
      </c>
      <c r="P21" s="247" t="str">
        <f>IF($C21="","",[1]!IntrinioFinancials($C21,"calculations",0,"TTM","currentratio"))</f>
        <v/>
      </c>
      <c r="Q21" s="241" t="str">
        <f>IF($C21="","",[1]!IntrinioFinancials($C21,"calculations",0,"TTM","quickratio"))</f>
        <v/>
      </c>
      <c r="R21" s="208"/>
      <c r="S21" s="241" t="str">
        <f>IF($C21="","",[1]!IntrinioFinancials($C21,"calculations",0,"TTM","dso"))</f>
        <v/>
      </c>
      <c r="T21" s="230" t="str">
        <f>IF($C21="","",[1]!IntrinioFinancials($C21,"calculations",0,"TTM","dio"))</f>
        <v/>
      </c>
      <c r="U21" s="230" t="str">
        <f>IF($C21="","",[1]!IntrinioFinancials($C21,"calculations",0,"TTM","dpo"))</f>
        <v/>
      </c>
      <c r="V21" s="230" t="str">
        <f>IF($C21="","",[1]!IntrinioFinancials($C21,"calculations",0,"TTM","ccc"))</f>
        <v/>
      </c>
      <c r="W21" s="207"/>
      <c r="X21" s="206" t="str">
        <f>IF($C21="","",[1]!IntrinioFinancials($C21,"calculations",0,"TTM","dfcfnwctorev"))</f>
        <v/>
      </c>
      <c r="Y21" s="231" t="str">
        <f>IF($C21="","",[1]!IntrinioFinancials($C21,"calculations",0,"TTM","dfnwctorev"))</f>
        <v/>
      </c>
    </row>
    <row r="22" spans="1:25" s="46" customFormat="1" hidden="1" outlineLevel="1">
      <c r="A22" s="33"/>
      <c r="B22" s="146" t="str">
        <f>Info!A18</f>
        <v/>
      </c>
      <c r="C22" s="148" t="str">
        <f>IF(List!D18="","",List!D18)</f>
        <v/>
      </c>
      <c r="D22" s="43"/>
      <c r="E22" s="99" t="str">
        <f>[1]!IntrinioDataPoint($C22,"beta")</f>
        <v/>
      </c>
      <c r="F22" s="43"/>
      <c r="G22" s="51" t="str">
        <f>IF($C22="","",[1]!IntrinioFinancials($C22,"calculations",0,"TTM","debttototalcapital"))</f>
        <v/>
      </c>
      <c r="H22" s="88" t="str">
        <f>IF($C22="","",[1]!IntrinioFinancials($C22,"calculations",0,"TTM","debttoebitda"))</f>
        <v/>
      </c>
      <c r="I22" s="88" t="str">
        <f>IF($C22="","",[1]!IntrinioFinancials($C22,"calculations",0,"TTM","netdebttoebitda"))</f>
        <v/>
      </c>
      <c r="J22" s="88"/>
      <c r="K22" s="89" t="str">
        <f>IF($C22="","",[1]!IntrinioFinancials($C22,"calculations",0,"TTM","ebittointerestex"))</f>
        <v/>
      </c>
      <c r="L22" s="88" t="str">
        <f>IF($C22="","",[1]!IntrinioFinancials($C22,"calculations",0,"TTM","ebitlesscapextointerestex"))</f>
        <v/>
      </c>
      <c r="M22" s="88" t="str">
        <f>IF($C22="","",[1]!IntrinioFinancials($C22,"calculations",0,"TTM","nopattointerestex"))</f>
        <v/>
      </c>
      <c r="N22" s="100"/>
      <c r="O22" s="240" t="str">
        <f>IF($C22="","",[1]!IntrinioFinancials($C22,"calculations",0,"TTM","altmanzscore"))</f>
        <v/>
      </c>
      <c r="P22" s="246" t="str">
        <f>IF($C22="","",[1]!IntrinioFinancials($C22,"calculations",0,"TTM","currentratio"))</f>
        <v/>
      </c>
      <c r="Q22" s="240" t="str">
        <f>IF($C22="","",[1]!IntrinioFinancials($C22,"calculations",0,"TTM","quickratio"))</f>
        <v/>
      </c>
      <c r="R22" s="100"/>
      <c r="S22" s="240" t="str">
        <f>IF($C22="","",[1]!IntrinioFinancials($C22,"calculations",0,"TTM","dso"))</f>
        <v/>
      </c>
      <c r="T22" s="101" t="str">
        <f>IF($C22="","",[1]!IntrinioFinancials($C22,"calculations",0,"TTM","dio"))</f>
        <v/>
      </c>
      <c r="U22" s="101" t="str">
        <f>IF($C22="","",[1]!IntrinioFinancials($C22,"calculations",0,"TTM","dpo"))</f>
        <v/>
      </c>
      <c r="V22" s="101" t="str">
        <f>IF($C22="","",[1]!IntrinioFinancials($C22,"calculations",0,"TTM","ccc"))</f>
        <v/>
      </c>
      <c r="W22" s="45"/>
      <c r="X22" s="51" t="str">
        <f>IF($C22="","",[1]!IntrinioFinancials($C22,"calculations",0,"TTM","dfcfnwctorev"))</f>
        <v/>
      </c>
      <c r="Y22" s="102" t="str">
        <f>IF($C22="","",[1]!IntrinioFinancials($C22,"calculations",0,"TTM","dfnwctorev"))</f>
        <v/>
      </c>
    </row>
    <row r="23" spans="1:25" s="46" customFormat="1" hidden="1" outlineLevel="1">
      <c r="A23" s="33"/>
      <c r="B23" s="202" t="str">
        <f>Info!A19</f>
        <v/>
      </c>
      <c r="C23" s="227" t="str">
        <f>IF(List!D19="","",List!D19)</f>
        <v/>
      </c>
      <c r="D23" s="201"/>
      <c r="E23" s="229" t="str">
        <f>[1]!IntrinioDataPoint($C23,"beta")</f>
        <v/>
      </c>
      <c r="F23" s="201"/>
      <c r="G23" s="206" t="str">
        <f>IF($C23="","",[1]!IntrinioFinancials($C23,"calculations",0,"TTM","debttototalcapital"))</f>
        <v/>
      </c>
      <c r="H23" s="215" t="str">
        <f>IF($C23="","",[1]!IntrinioFinancials($C23,"calculations",0,"TTM","debttoebitda"))</f>
        <v/>
      </c>
      <c r="I23" s="215" t="str">
        <f>IF($C23="","",[1]!IntrinioFinancials($C23,"calculations",0,"TTM","netdebttoebitda"))</f>
        <v/>
      </c>
      <c r="J23" s="215"/>
      <c r="K23" s="216" t="str">
        <f>IF($C23="","",[1]!IntrinioFinancials($C23,"calculations",0,"TTM","ebittointerestex"))</f>
        <v/>
      </c>
      <c r="L23" s="215" t="str">
        <f>IF($C23="","",[1]!IntrinioFinancials($C23,"calculations",0,"TTM","ebitlesscapextointerestex"))</f>
        <v/>
      </c>
      <c r="M23" s="215" t="str">
        <f>IF($C23="","",[1]!IntrinioFinancials($C23,"calculations",0,"TTM","nopattointerestex"))</f>
        <v/>
      </c>
      <c r="N23" s="208"/>
      <c r="O23" s="241" t="str">
        <f>IF($C23="","",[1]!IntrinioFinancials($C23,"calculations",0,"TTM","altmanzscore"))</f>
        <v/>
      </c>
      <c r="P23" s="247" t="str">
        <f>IF($C23="","",[1]!IntrinioFinancials($C23,"calculations",0,"TTM","currentratio"))</f>
        <v/>
      </c>
      <c r="Q23" s="241" t="str">
        <f>IF($C23="","",[1]!IntrinioFinancials($C23,"calculations",0,"TTM","quickratio"))</f>
        <v/>
      </c>
      <c r="R23" s="208"/>
      <c r="S23" s="241" t="str">
        <f>IF($C23="","",[1]!IntrinioFinancials($C23,"calculations",0,"TTM","dso"))</f>
        <v/>
      </c>
      <c r="T23" s="230" t="str">
        <f>IF($C23="","",[1]!IntrinioFinancials($C23,"calculations",0,"TTM","dio"))</f>
        <v/>
      </c>
      <c r="U23" s="230" t="str">
        <f>IF($C23="","",[1]!IntrinioFinancials($C23,"calculations",0,"TTM","dpo"))</f>
        <v/>
      </c>
      <c r="V23" s="230" t="str">
        <f>IF($C23="","",[1]!IntrinioFinancials($C23,"calculations",0,"TTM","ccc"))</f>
        <v/>
      </c>
      <c r="W23" s="207"/>
      <c r="X23" s="206" t="str">
        <f>IF($C23="","",[1]!IntrinioFinancials($C23,"calculations",0,"TTM","dfcfnwctorev"))</f>
        <v/>
      </c>
      <c r="Y23" s="231" t="str">
        <f>IF($C23="","",[1]!IntrinioFinancials($C23,"calculations",0,"TTM","dfnwctorev"))</f>
        <v/>
      </c>
    </row>
    <row r="24" spans="1:25" s="46" customFormat="1" hidden="1" outlineLevel="1">
      <c r="A24" s="33"/>
      <c r="B24" s="146" t="str">
        <f>Info!A20</f>
        <v/>
      </c>
      <c r="C24" s="148" t="str">
        <f>IF(List!D20="","",List!D20)</f>
        <v/>
      </c>
      <c r="D24" s="43"/>
      <c r="E24" s="99" t="str">
        <f>[1]!IntrinioDataPoint($C24,"beta")</f>
        <v/>
      </c>
      <c r="F24" s="43"/>
      <c r="G24" s="51" t="str">
        <f>IF($C24="","",[1]!IntrinioFinancials($C24,"calculations",0,"TTM","debttototalcapital"))</f>
        <v/>
      </c>
      <c r="H24" s="88" t="str">
        <f>IF($C24="","",[1]!IntrinioFinancials($C24,"calculations",0,"TTM","debttoebitda"))</f>
        <v/>
      </c>
      <c r="I24" s="88" t="str">
        <f>IF($C24="","",[1]!IntrinioFinancials($C24,"calculations",0,"TTM","netdebttoebitda"))</f>
        <v/>
      </c>
      <c r="J24" s="88"/>
      <c r="K24" s="89" t="str">
        <f>IF($C24="","",[1]!IntrinioFinancials($C24,"calculations",0,"TTM","ebittointerestex"))</f>
        <v/>
      </c>
      <c r="L24" s="88" t="str">
        <f>IF($C24="","",[1]!IntrinioFinancials($C24,"calculations",0,"TTM","ebitlesscapextointerestex"))</f>
        <v/>
      </c>
      <c r="M24" s="88" t="str">
        <f>IF($C24="","",[1]!IntrinioFinancials($C24,"calculations",0,"TTM","nopattointerestex"))</f>
        <v/>
      </c>
      <c r="N24" s="100"/>
      <c r="O24" s="240" t="str">
        <f>IF($C24="","",[1]!IntrinioFinancials($C24,"calculations",0,"TTM","altmanzscore"))</f>
        <v/>
      </c>
      <c r="P24" s="246" t="str">
        <f>IF($C24="","",[1]!IntrinioFinancials($C24,"calculations",0,"TTM","currentratio"))</f>
        <v/>
      </c>
      <c r="Q24" s="240" t="str">
        <f>IF($C24="","",[1]!IntrinioFinancials($C24,"calculations",0,"TTM","quickratio"))</f>
        <v/>
      </c>
      <c r="R24" s="100"/>
      <c r="S24" s="240" t="str">
        <f>IF($C24="","",[1]!IntrinioFinancials($C24,"calculations",0,"TTM","dso"))</f>
        <v/>
      </c>
      <c r="T24" s="101" t="str">
        <f>IF($C24="","",[1]!IntrinioFinancials($C24,"calculations",0,"TTM","dio"))</f>
        <v/>
      </c>
      <c r="U24" s="101" t="str">
        <f>IF($C24="","",[1]!IntrinioFinancials($C24,"calculations",0,"TTM","dpo"))</f>
        <v/>
      </c>
      <c r="V24" s="101" t="str">
        <f>IF($C24="","",[1]!IntrinioFinancials($C24,"calculations",0,"TTM","ccc"))</f>
        <v/>
      </c>
      <c r="W24" s="45"/>
      <c r="X24" s="51" t="str">
        <f>IF($C24="","",[1]!IntrinioFinancials($C24,"calculations",0,"TTM","dfcfnwctorev"))</f>
        <v/>
      </c>
      <c r="Y24" s="102" t="str">
        <f>IF($C24="","",[1]!IntrinioFinancials($C24,"calculations",0,"TTM","dfnwctorev"))</f>
        <v/>
      </c>
    </row>
    <row r="25" spans="1:25" s="46" customFormat="1" hidden="1" outlineLevel="1">
      <c r="A25" s="33"/>
      <c r="B25" s="202" t="str">
        <f>Info!A21</f>
        <v/>
      </c>
      <c r="C25" s="227" t="str">
        <f>IF(List!D21="","",List!D21)</f>
        <v/>
      </c>
      <c r="D25" s="201"/>
      <c r="E25" s="229" t="str">
        <f>[1]!IntrinioDataPoint($C25,"beta")</f>
        <v/>
      </c>
      <c r="F25" s="201"/>
      <c r="G25" s="206" t="str">
        <f>IF($C25="","",[1]!IntrinioFinancials($C25,"calculations",0,"TTM","debttototalcapital"))</f>
        <v/>
      </c>
      <c r="H25" s="215" t="str">
        <f>IF($C25="","",[1]!IntrinioFinancials($C25,"calculations",0,"TTM","debttoebitda"))</f>
        <v/>
      </c>
      <c r="I25" s="215" t="str">
        <f>IF($C25="","",[1]!IntrinioFinancials($C25,"calculations",0,"TTM","netdebttoebitda"))</f>
        <v/>
      </c>
      <c r="J25" s="215"/>
      <c r="K25" s="216" t="str">
        <f>IF($C25="","",[1]!IntrinioFinancials($C25,"calculations",0,"TTM","ebittointerestex"))</f>
        <v/>
      </c>
      <c r="L25" s="215" t="str">
        <f>IF($C25="","",[1]!IntrinioFinancials($C25,"calculations",0,"TTM","ebitlesscapextointerestex"))</f>
        <v/>
      </c>
      <c r="M25" s="215" t="str">
        <f>IF($C25="","",[1]!IntrinioFinancials($C25,"calculations",0,"TTM","nopattointerestex"))</f>
        <v/>
      </c>
      <c r="N25" s="208"/>
      <c r="O25" s="241" t="str">
        <f>IF($C25="","",[1]!IntrinioFinancials($C25,"calculations",0,"TTM","altmanzscore"))</f>
        <v/>
      </c>
      <c r="P25" s="247" t="str">
        <f>IF($C25="","",[1]!IntrinioFinancials($C25,"calculations",0,"TTM","currentratio"))</f>
        <v/>
      </c>
      <c r="Q25" s="241" t="str">
        <f>IF($C25="","",[1]!IntrinioFinancials($C25,"calculations",0,"TTM","quickratio"))</f>
        <v/>
      </c>
      <c r="R25" s="208"/>
      <c r="S25" s="241" t="str">
        <f>IF($C25="","",[1]!IntrinioFinancials($C25,"calculations",0,"TTM","dso"))</f>
        <v/>
      </c>
      <c r="T25" s="230" t="str">
        <f>IF($C25="","",[1]!IntrinioFinancials($C25,"calculations",0,"TTM","dio"))</f>
        <v/>
      </c>
      <c r="U25" s="230" t="str">
        <f>IF($C25="","",[1]!IntrinioFinancials($C25,"calculations",0,"TTM","dpo"))</f>
        <v/>
      </c>
      <c r="V25" s="230" t="str">
        <f>IF($C25="","",[1]!IntrinioFinancials($C25,"calculations",0,"TTM","ccc"))</f>
        <v/>
      </c>
      <c r="W25" s="207"/>
      <c r="X25" s="206" t="str">
        <f>IF($C25="","",[1]!IntrinioFinancials($C25,"calculations",0,"TTM","dfcfnwctorev"))</f>
        <v/>
      </c>
      <c r="Y25" s="231" t="str">
        <f>IF($C25="","",[1]!IntrinioFinancials($C25,"calculations",0,"TTM","dfnwctorev"))</f>
        <v/>
      </c>
    </row>
    <row r="26" spans="1:25" s="46" customFormat="1" hidden="1" outlineLevel="1">
      <c r="A26" s="33"/>
      <c r="B26" s="146" t="str">
        <f>Info!A22</f>
        <v/>
      </c>
      <c r="C26" s="148" t="str">
        <f>IF(List!D22="","",List!D22)</f>
        <v/>
      </c>
      <c r="D26" s="43"/>
      <c r="E26" s="99" t="str">
        <f>[1]!IntrinioDataPoint($C26,"beta")</f>
        <v/>
      </c>
      <c r="F26" s="43"/>
      <c r="G26" s="51" t="str">
        <f>IF($C26="","",[1]!IntrinioFinancials($C26,"calculations",0,"TTM","debttototalcapital"))</f>
        <v/>
      </c>
      <c r="H26" s="88" t="str">
        <f>IF($C26="","",[1]!IntrinioFinancials($C26,"calculations",0,"TTM","debttoebitda"))</f>
        <v/>
      </c>
      <c r="I26" s="88" t="str">
        <f>IF($C26="","",[1]!IntrinioFinancials($C26,"calculations",0,"TTM","netdebttoebitda"))</f>
        <v/>
      </c>
      <c r="J26" s="88"/>
      <c r="K26" s="89" t="str">
        <f>IF($C26="","",[1]!IntrinioFinancials($C26,"calculations",0,"TTM","ebittointerestex"))</f>
        <v/>
      </c>
      <c r="L26" s="88" t="str">
        <f>IF($C26="","",[1]!IntrinioFinancials($C26,"calculations",0,"TTM","ebitlesscapextointerestex"))</f>
        <v/>
      </c>
      <c r="M26" s="88" t="str">
        <f>IF($C26="","",[1]!IntrinioFinancials($C26,"calculations",0,"TTM","nopattointerestex"))</f>
        <v/>
      </c>
      <c r="N26" s="100"/>
      <c r="O26" s="240" t="str">
        <f>IF($C26="","",[1]!IntrinioFinancials($C26,"calculations",0,"TTM","altmanzscore"))</f>
        <v/>
      </c>
      <c r="P26" s="246" t="str">
        <f>IF($C26="","",[1]!IntrinioFinancials($C26,"calculations",0,"TTM","currentratio"))</f>
        <v/>
      </c>
      <c r="Q26" s="240" t="str">
        <f>IF($C26="","",[1]!IntrinioFinancials($C26,"calculations",0,"TTM","quickratio"))</f>
        <v/>
      </c>
      <c r="R26" s="100"/>
      <c r="S26" s="240" t="str">
        <f>IF($C26="","",[1]!IntrinioFinancials($C26,"calculations",0,"TTM","dso"))</f>
        <v/>
      </c>
      <c r="T26" s="101" t="str">
        <f>IF($C26="","",[1]!IntrinioFinancials($C26,"calculations",0,"TTM","dio"))</f>
        <v/>
      </c>
      <c r="U26" s="101" t="str">
        <f>IF($C26="","",[1]!IntrinioFinancials($C26,"calculations",0,"TTM","dpo"))</f>
        <v/>
      </c>
      <c r="V26" s="101" t="str">
        <f>IF($C26="","",[1]!IntrinioFinancials($C26,"calculations",0,"TTM","ccc"))</f>
        <v/>
      </c>
      <c r="W26" s="45"/>
      <c r="X26" s="51" t="str">
        <f>IF($C26="","",[1]!IntrinioFinancials($C26,"calculations",0,"TTM","dfcfnwctorev"))</f>
        <v/>
      </c>
      <c r="Y26" s="102" t="str">
        <f>IF($C26="","",[1]!IntrinioFinancials($C26,"calculations",0,"TTM","dfnwctorev"))</f>
        <v/>
      </c>
    </row>
    <row r="27" spans="1:25" s="46" customFormat="1" hidden="1" outlineLevel="1">
      <c r="A27" s="33"/>
      <c r="B27" s="202" t="str">
        <f>Info!A23</f>
        <v/>
      </c>
      <c r="C27" s="227" t="str">
        <f>IF(List!D23="","",List!D23)</f>
        <v/>
      </c>
      <c r="D27" s="201"/>
      <c r="E27" s="229" t="str">
        <f>[1]!IntrinioDataPoint($C27,"beta")</f>
        <v/>
      </c>
      <c r="F27" s="201"/>
      <c r="G27" s="206" t="str">
        <f>IF($C27="","",[1]!IntrinioFinancials($C27,"calculations",0,"TTM","debttototalcapital"))</f>
        <v/>
      </c>
      <c r="H27" s="215" t="str">
        <f>IF($C27="","",[1]!IntrinioFinancials($C27,"calculations",0,"TTM","debttoebitda"))</f>
        <v/>
      </c>
      <c r="I27" s="215" t="str">
        <f>IF($C27="","",[1]!IntrinioFinancials($C27,"calculations",0,"TTM","netdebttoebitda"))</f>
        <v/>
      </c>
      <c r="J27" s="215"/>
      <c r="K27" s="216" t="str">
        <f>IF($C27="","",[1]!IntrinioFinancials($C27,"calculations",0,"TTM","ebittointerestex"))</f>
        <v/>
      </c>
      <c r="L27" s="215" t="str">
        <f>IF($C27="","",[1]!IntrinioFinancials($C27,"calculations",0,"TTM","ebitlesscapextointerestex"))</f>
        <v/>
      </c>
      <c r="M27" s="215" t="str">
        <f>IF($C27="","",[1]!IntrinioFinancials($C27,"calculations",0,"TTM","nopattointerestex"))</f>
        <v/>
      </c>
      <c r="N27" s="208"/>
      <c r="O27" s="241" t="str">
        <f>IF($C27="","",[1]!IntrinioFinancials($C27,"calculations",0,"TTM","altmanzscore"))</f>
        <v/>
      </c>
      <c r="P27" s="247" t="str">
        <f>IF($C27="","",[1]!IntrinioFinancials($C27,"calculations",0,"TTM","currentratio"))</f>
        <v/>
      </c>
      <c r="Q27" s="241" t="str">
        <f>IF($C27="","",[1]!IntrinioFinancials($C27,"calculations",0,"TTM","quickratio"))</f>
        <v/>
      </c>
      <c r="R27" s="208"/>
      <c r="S27" s="241" t="str">
        <f>IF($C27="","",[1]!IntrinioFinancials($C27,"calculations",0,"TTM","dso"))</f>
        <v/>
      </c>
      <c r="T27" s="230" t="str">
        <f>IF($C27="","",[1]!IntrinioFinancials($C27,"calculations",0,"TTM","dio"))</f>
        <v/>
      </c>
      <c r="U27" s="230" t="str">
        <f>IF($C27="","",[1]!IntrinioFinancials($C27,"calculations",0,"TTM","dpo"))</f>
        <v/>
      </c>
      <c r="V27" s="230" t="str">
        <f>IF($C27="","",[1]!IntrinioFinancials($C27,"calculations",0,"TTM","ccc"))</f>
        <v/>
      </c>
      <c r="W27" s="207"/>
      <c r="X27" s="206" t="str">
        <f>IF($C27="","",[1]!IntrinioFinancials($C27,"calculations",0,"TTM","dfcfnwctorev"))</f>
        <v/>
      </c>
      <c r="Y27" s="231" t="str">
        <f>IF($C27="","",[1]!IntrinioFinancials($C27,"calculations",0,"TTM","dfnwctorev"))</f>
        <v/>
      </c>
    </row>
    <row r="28" spans="1:25" s="46" customFormat="1" hidden="1" outlineLevel="1">
      <c r="A28" s="33"/>
      <c r="B28" s="146" t="str">
        <f>Info!A24</f>
        <v/>
      </c>
      <c r="C28" s="148" t="str">
        <f>IF(List!D24="","",List!D24)</f>
        <v/>
      </c>
      <c r="D28" s="43"/>
      <c r="E28" s="99" t="str">
        <f>[1]!IntrinioDataPoint($C28,"beta")</f>
        <v/>
      </c>
      <c r="F28" s="43"/>
      <c r="G28" s="51" t="str">
        <f>IF($C28="","",[1]!IntrinioFinancials($C28,"calculations",0,"TTM","debttototalcapital"))</f>
        <v/>
      </c>
      <c r="H28" s="88" t="str">
        <f>IF($C28="","",[1]!IntrinioFinancials($C28,"calculations",0,"TTM","debttoebitda"))</f>
        <v/>
      </c>
      <c r="I28" s="88" t="str">
        <f>IF($C28="","",[1]!IntrinioFinancials($C28,"calculations",0,"TTM","netdebttoebitda"))</f>
        <v/>
      </c>
      <c r="J28" s="88"/>
      <c r="K28" s="89" t="str">
        <f>IF($C28="","",[1]!IntrinioFinancials($C28,"calculations",0,"TTM","ebittointerestex"))</f>
        <v/>
      </c>
      <c r="L28" s="88" t="str">
        <f>IF($C28="","",[1]!IntrinioFinancials($C28,"calculations",0,"TTM","ebitlesscapextointerestex"))</f>
        <v/>
      </c>
      <c r="M28" s="88" t="str">
        <f>IF($C28="","",[1]!IntrinioFinancials($C28,"calculations",0,"TTM","nopattointerestex"))</f>
        <v/>
      </c>
      <c r="N28" s="100"/>
      <c r="O28" s="240" t="str">
        <f>IF($C28="","",[1]!IntrinioFinancials($C28,"calculations",0,"TTM","altmanzscore"))</f>
        <v/>
      </c>
      <c r="P28" s="246" t="str">
        <f>IF($C28="","",[1]!IntrinioFinancials($C28,"calculations",0,"TTM","currentratio"))</f>
        <v/>
      </c>
      <c r="Q28" s="240" t="str">
        <f>IF($C28="","",[1]!IntrinioFinancials($C28,"calculations",0,"TTM","quickratio"))</f>
        <v/>
      </c>
      <c r="R28" s="100"/>
      <c r="S28" s="240" t="str">
        <f>IF($C28="","",[1]!IntrinioFinancials($C28,"calculations",0,"TTM","dso"))</f>
        <v/>
      </c>
      <c r="T28" s="101" t="str">
        <f>IF($C28="","",[1]!IntrinioFinancials($C28,"calculations",0,"TTM","dio"))</f>
        <v/>
      </c>
      <c r="U28" s="101" t="str">
        <f>IF($C28="","",[1]!IntrinioFinancials($C28,"calculations",0,"TTM","dpo"))</f>
        <v/>
      </c>
      <c r="V28" s="101" t="str">
        <f>IF($C28="","",[1]!IntrinioFinancials($C28,"calculations",0,"TTM","ccc"))</f>
        <v/>
      </c>
      <c r="W28" s="45"/>
      <c r="X28" s="51" t="str">
        <f>IF($C28="","",[1]!IntrinioFinancials($C28,"calculations",0,"TTM","dfcfnwctorev"))</f>
        <v/>
      </c>
      <c r="Y28" s="102" t="str">
        <f>IF($C28="","",[1]!IntrinioFinancials($C28,"calculations",0,"TTM","dfnwctorev"))</f>
        <v/>
      </c>
    </row>
    <row r="29" spans="1:25" s="46" customFormat="1" hidden="1" outlineLevel="1">
      <c r="A29" s="33"/>
      <c r="B29" s="202" t="str">
        <f>Info!A25</f>
        <v/>
      </c>
      <c r="C29" s="227" t="str">
        <f>IF(List!D25="","",List!D25)</f>
        <v/>
      </c>
      <c r="D29" s="201"/>
      <c r="E29" s="229" t="str">
        <f>[1]!IntrinioDataPoint($C29,"beta")</f>
        <v/>
      </c>
      <c r="F29" s="201"/>
      <c r="G29" s="206" t="str">
        <f>IF($C29="","",[1]!IntrinioFinancials($C29,"calculations",0,"TTM","debttototalcapital"))</f>
        <v/>
      </c>
      <c r="H29" s="215" t="str">
        <f>IF($C29="","",[1]!IntrinioFinancials($C29,"calculations",0,"TTM","debttoebitda"))</f>
        <v/>
      </c>
      <c r="I29" s="215" t="str">
        <f>IF($C29="","",[1]!IntrinioFinancials($C29,"calculations",0,"TTM","netdebttoebitda"))</f>
        <v/>
      </c>
      <c r="J29" s="215"/>
      <c r="K29" s="216" t="str">
        <f>IF($C29="","",[1]!IntrinioFinancials($C29,"calculations",0,"TTM","ebittointerestex"))</f>
        <v/>
      </c>
      <c r="L29" s="215" t="str">
        <f>IF($C29="","",[1]!IntrinioFinancials($C29,"calculations",0,"TTM","ebitlesscapextointerestex"))</f>
        <v/>
      </c>
      <c r="M29" s="215" t="str">
        <f>IF($C29="","",[1]!IntrinioFinancials($C29,"calculations",0,"TTM","nopattointerestex"))</f>
        <v/>
      </c>
      <c r="N29" s="208"/>
      <c r="O29" s="241" t="str">
        <f>IF($C29="","",[1]!IntrinioFinancials($C29,"calculations",0,"TTM","altmanzscore"))</f>
        <v/>
      </c>
      <c r="P29" s="247" t="str">
        <f>IF($C29="","",[1]!IntrinioFinancials($C29,"calculations",0,"TTM","currentratio"))</f>
        <v/>
      </c>
      <c r="Q29" s="241" t="str">
        <f>IF($C29="","",[1]!IntrinioFinancials($C29,"calculations",0,"TTM","quickratio"))</f>
        <v/>
      </c>
      <c r="R29" s="208"/>
      <c r="S29" s="241" t="str">
        <f>IF($C29="","",[1]!IntrinioFinancials($C29,"calculations",0,"TTM","dso"))</f>
        <v/>
      </c>
      <c r="T29" s="230" t="str">
        <f>IF($C29="","",[1]!IntrinioFinancials($C29,"calculations",0,"TTM","dio"))</f>
        <v/>
      </c>
      <c r="U29" s="230" t="str">
        <f>IF($C29="","",[1]!IntrinioFinancials($C29,"calculations",0,"TTM","dpo"))</f>
        <v/>
      </c>
      <c r="V29" s="230" t="str">
        <f>IF($C29="","",[1]!IntrinioFinancials($C29,"calculations",0,"TTM","ccc"))</f>
        <v/>
      </c>
      <c r="W29" s="207"/>
      <c r="X29" s="206" t="str">
        <f>IF($C29="","",[1]!IntrinioFinancials($C29,"calculations",0,"TTM","dfcfnwctorev"))</f>
        <v/>
      </c>
      <c r="Y29" s="231" t="str">
        <f>IF($C29="","",[1]!IntrinioFinancials($C29,"calculations",0,"TTM","dfnwctorev"))</f>
        <v/>
      </c>
    </row>
    <row r="30" spans="1:25" s="46" customFormat="1" hidden="1" outlineLevel="1">
      <c r="A30" s="33"/>
      <c r="B30" s="146" t="str">
        <f>Info!A26</f>
        <v/>
      </c>
      <c r="C30" s="148" t="str">
        <f>IF(List!D26="","",List!D26)</f>
        <v/>
      </c>
      <c r="D30" s="43"/>
      <c r="E30" s="99" t="str">
        <f>[1]!IntrinioDataPoint($C30,"beta")</f>
        <v/>
      </c>
      <c r="F30" s="43"/>
      <c r="G30" s="51" t="str">
        <f>IF($C30="","",[1]!IntrinioFinancials($C30,"calculations",0,"TTM","debttototalcapital"))</f>
        <v/>
      </c>
      <c r="H30" s="88" t="str">
        <f>IF($C30="","",[1]!IntrinioFinancials($C30,"calculations",0,"TTM","debttoebitda"))</f>
        <v/>
      </c>
      <c r="I30" s="88" t="str">
        <f>IF($C30="","",[1]!IntrinioFinancials($C30,"calculations",0,"TTM","netdebttoebitda"))</f>
        <v/>
      </c>
      <c r="J30" s="88"/>
      <c r="K30" s="89" t="str">
        <f>IF($C30="","",[1]!IntrinioFinancials($C30,"calculations",0,"TTM","ebittointerestex"))</f>
        <v/>
      </c>
      <c r="L30" s="88" t="str">
        <f>IF($C30="","",[1]!IntrinioFinancials($C30,"calculations",0,"TTM","ebitlesscapextointerestex"))</f>
        <v/>
      </c>
      <c r="M30" s="88" t="str">
        <f>IF($C30="","",[1]!IntrinioFinancials($C30,"calculations",0,"TTM","nopattointerestex"))</f>
        <v/>
      </c>
      <c r="N30" s="100"/>
      <c r="O30" s="240" t="str">
        <f>IF($C30="","",[1]!IntrinioFinancials($C30,"calculations",0,"TTM","altmanzscore"))</f>
        <v/>
      </c>
      <c r="P30" s="246" t="str">
        <f>IF($C30="","",[1]!IntrinioFinancials($C30,"calculations",0,"TTM","currentratio"))</f>
        <v/>
      </c>
      <c r="Q30" s="240" t="str">
        <f>IF($C30="","",[1]!IntrinioFinancials($C30,"calculations",0,"TTM","quickratio"))</f>
        <v/>
      </c>
      <c r="R30" s="100"/>
      <c r="S30" s="240" t="str">
        <f>IF($C30="","",[1]!IntrinioFinancials($C30,"calculations",0,"TTM","dso"))</f>
        <v/>
      </c>
      <c r="T30" s="101" t="str">
        <f>IF($C30="","",[1]!IntrinioFinancials($C30,"calculations",0,"TTM","dio"))</f>
        <v/>
      </c>
      <c r="U30" s="101" t="str">
        <f>IF($C30="","",[1]!IntrinioFinancials($C30,"calculations",0,"TTM","dpo"))</f>
        <v/>
      </c>
      <c r="V30" s="101" t="str">
        <f>IF($C30="","",[1]!IntrinioFinancials($C30,"calculations",0,"TTM","ccc"))</f>
        <v/>
      </c>
      <c r="W30" s="45"/>
      <c r="X30" s="51" t="str">
        <f>IF($C30="","",[1]!IntrinioFinancials($C30,"calculations",0,"TTM","dfcfnwctorev"))</f>
        <v/>
      </c>
      <c r="Y30" s="102" t="str">
        <f>IF($C30="","",[1]!IntrinioFinancials($C30,"calculations",0,"TTM","dfnwctorev"))</f>
        <v/>
      </c>
    </row>
    <row r="31" spans="1:25" s="46" customFormat="1" hidden="1" outlineLevel="1">
      <c r="A31" s="33"/>
      <c r="B31" s="202" t="str">
        <f>Info!A27</f>
        <v/>
      </c>
      <c r="C31" s="227" t="str">
        <f>IF(List!D27="","",List!D27)</f>
        <v/>
      </c>
      <c r="D31" s="201"/>
      <c r="E31" s="229" t="str">
        <f>[1]!IntrinioDataPoint($C31,"beta")</f>
        <v/>
      </c>
      <c r="F31" s="201"/>
      <c r="G31" s="206" t="str">
        <f>IF($C31="","",[1]!IntrinioFinancials($C31,"calculations",0,"TTM","debttototalcapital"))</f>
        <v/>
      </c>
      <c r="H31" s="215" t="str">
        <f>IF($C31="","",[1]!IntrinioFinancials($C31,"calculations",0,"TTM","debttoebitda"))</f>
        <v/>
      </c>
      <c r="I31" s="215" t="str">
        <f>IF($C31="","",[1]!IntrinioFinancials($C31,"calculations",0,"TTM","netdebttoebitda"))</f>
        <v/>
      </c>
      <c r="J31" s="215"/>
      <c r="K31" s="216" t="str">
        <f>IF($C31="","",[1]!IntrinioFinancials($C31,"calculations",0,"TTM","ebittointerestex"))</f>
        <v/>
      </c>
      <c r="L31" s="215" t="str">
        <f>IF($C31="","",[1]!IntrinioFinancials($C31,"calculations",0,"TTM","ebitlesscapextointerestex"))</f>
        <v/>
      </c>
      <c r="M31" s="215" t="str">
        <f>IF($C31="","",[1]!IntrinioFinancials($C31,"calculations",0,"TTM","nopattointerestex"))</f>
        <v/>
      </c>
      <c r="N31" s="208"/>
      <c r="O31" s="241" t="str">
        <f>IF($C31="","",[1]!IntrinioFinancials($C31,"calculations",0,"TTM","altmanzscore"))</f>
        <v/>
      </c>
      <c r="P31" s="247" t="str">
        <f>IF($C31="","",[1]!IntrinioFinancials($C31,"calculations",0,"TTM","currentratio"))</f>
        <v/>
      </c>
      <c r="Q31" s="241" t="str">
        <f>IF($C31="","",[1]!IntrinioFinancials($C31,"calculations",0,"TTM","quickratio"))</f>
        <v/>
      </c>
      <c r="R31" s="208"/>
      <c r="S31" s="241" t="str">
        <f>IF($C31="","",[1]!IntrinioFinancials($C31,"calculations",0,"TTM","dso"))</f>
        <v/>
      </c>
      <c r="T31" s="230" t="str">
        <f>IF($C31="","",[1]!IntrinioFinancials($C31,"calculations",0,"TTM","dio"))</f>
        <v/>
      </c>
      <c r="U31" s="230" t="str">
        <f>IF($C31="","",[1]!IntrinioFinancials($C31,"calculations",0,"TTM","dpo"))</f>
        <v/>
      </c>
      <c r="V31" s="230" t="str">
        <f>IF($C31="","",[1]!IntrinioFinancials($C31,"calculations",0,"TTM","ccc"))</f>
        <v/>
      </c>
      <c r="W31" s="207"/>
      <c r="X31" s="206" t="str">
        <f>IF($C31="","",[1]!IntrinioFinancials($C31,"calculations",0,"TTM","dfcfnwctorev"))</f>
        <v/>
      </c>
      <c r="Y31" s="231" t="str">
        <f>IF($C31="","",[1]!IntrinioFinancials($C31,"calculations",0,"TTM","dfnwctorev"))</f>
        <v/>
      </c>
    </row>
    <row r="32" spans="1:25" s="46" customFormat="1" hidden="1" outlineLevel="1">
      <c r="A32" s="33"/>
      <c r="B32" s="146" t="str">
        <f>Info!A28</f>
        <v/>
      </c>
      <c r="C32" s="148" t="str">
        <f>IF(List!D28="","",List!D28)</f>
        <v/>
      </c>
      <c r="D32" s="43"/>
      <c r="E32" s="99" t="str">
        <f>[1]!IntrinioDataPoint($C32,"beta")</f>
        <v/>
      </c>
      <c r="F32" s="43"/>
      <c r="G32" s="51" t="str">
        <f>IF($C32="","",[1]!IntrinioFinancials($C32,"calculations",0,"TTM","debttototalcapital"))</f>
        <v/>
      </c>
      <c r="H32" s="88" t="str">
        <f>IF($C32="","",[1]!IntrinioFinancials($C32,"calculations",0,"TTM","debttoebitda"))</f>
        <v/>
      </c>
      <c r="I32" s="88" t="str">
        <f>IF($C32="","",[1]!IntrinioFinancials($C32,"calculations",0,"TTM","netdebttoebitda"))</f>
        <v/>
      </c>
      <c r="J32" s="88"/>
      <c r="K32" s="89" t="str">
        <f>IF($C32="","",[1]!IntrinioFinancials($C32,"calculations",0,"TTM","ebittointerestex"))</f>
        <v/>
      </c>
      <c r="L32" s="88" t="str">
        <f>IF($C32="","",[1]!IntrinioFinancials($C32,"calculations",0,"TTM","ebitlesscapextointerestex"))</f>
        <v/>
      </c>
      <c r="M32" s="88" t="str">
        <f>IF($C32="","",[1]!IntrinioFinancials($C32,"calculations",0,"TTM","nopattointerestex"))</f>
        <v/>
      </c>
      <c r="N32" s="100"/>
      <c r="O32" s="240" t="str">
        <f>IF($C32="","",[1]!IntrinioFinancials($C32,"calculations",0,"TTM","altmanzscore"))</f>
        <v/>
      </c>
      <c r="P32" s="246" t="str">
        <f>IF($C32="","",[1]!IntrinioFinancials($C32,"calculations",0,"TTM","currentratio"))</f>
        <v/>
      </c>
      <c r="Q32" s="240" t="str">
        <f>IF($C32="","",[1]!IntrinioFinancials($C32,"calculations",0,"TTM","quickratio"))</f>
        <v/>
      </c>
      <c r="R32" s="100"/>
      <c r="S32" s="240" t="str">
        <f>IF($C32="","",[1]!IntrinioFinancials($C32,"calculations",0,"TTM","dso"))</f>
        <v/>
      </c>
      <c r="T32" s="101" t="str">
        <f>IF($C32="","",[1]!IntrinioFinancials($C32,"calculations",0,"TTM","dio"))</f>
        <v/>
      </c>
      <c r="U32" s="101" t="str">
        <f>IF($C32="","",[1]!IntrinioFinancials($C32,"calculations",0,"TTM","dpo"))</f>
        <v/>
      </c>
      <c r="V32" s="101" t="str">
        <f>IF($C32="","",[1]!IntrinioFinancials($C32,"calculations",0,"TTM","ccc"))</f>
        <v/>
      </c>
      <c r="W32" s="45"/>
      <c r="X32" s="51" t="str">
        <f>IF($C32="","",[1]!IntrinioFinancials($C32,"calculations",0,"TTM","dfcfnwctorev"))</f>
        <v/>
      </c>
      <c r="Y32" s="102" t="str">
        <f>IF($C32="","",[1]!IntrinioFinancials($C32,"calculations",0,"TTM","dfnwctorev"))</f>
        <v/>
      </c>
    </row>
    <row r="33" spans="1:26" s="46" customFormat="1" hidden="1" outlineLevel="1">
      <c r="A33" s="33"/>
      <c r="B33" s="202" t="str">
        <f>Info!A29</f>
        <v/>
      </c>
      <c r="C33" s="227" t="str">
        <f>IF(List!D29="","",List!D29)</f>
        <v/>
      </c>
      <c r="D33" s="201"/>
      <c r="E33" s="229" t="str">
        <f>[1]!IntrinioDataPoint($C33,"beta")</f>
        <v/>
      </c>
      <c r="F33" s="201"/>
      <c r="G33" s="206" t="str">
        <f>IF($C33="","",[1]!IntrinioFinancials($C33,"calculations",0,"TTM","debttototalcapital"))</f>
        <v/>
      </c>
      <c r="H33" s="215" t="str">
        <f>IF($C33="","",[1]!IntrinioFinancials($C33,"calculations",0,"TTM","debttoebitda"))</f>
        <v/>
      </c>
      <c r="I33" s="215" t="str">
        <f>IF($C33="","",[1]!IntrinioFinancials($C33,"calculations",0,"TTM","netdebttoebitda"))</f>
        <v/>
      </c>
      <c r="J33" s="215"/>
      <c r="K33" s="216" t="str">
        <f>IF($C33="","",[1]!IntrinioFinancials($C33,"calculations",0,"TTM","ebittointerestex"))</f>
        <v/>
      </c>
      <c r="L33" s="215" t="str">
        <f>IF($C33="","",[1]!IntrinioFinancials($C33,"calculations",0,"TTM","ebitlesscapextointerestex"))</f>
        <v/>
      </c>
      <c r="M33" s="215" t="str">
        <f>IF($C33="","",[1]!IntrinioFinancials($C33,"calculations",0,"TTM","nopattointerestex"))</f>
        <v/>
      </c>
      <c r="N33" s="208"/>
      <c r="O33" s="241" t="str">
        <f>IF($C33="","",[1]!IntrinioFinancials($C33,"calculations",0,"TTM","altmanzscore"))</f>
        <v/>
      </c>
      <c r="P33" s="247" t="str">
        <f>IF($C33="","",[1]!IntrinioFinancials($C33,"calculations",0,"TTM","currentratio"))</f>
        <v/>
      </c>
      <c r="Q33" s="241" t="str">
        <f>IF($C33="","",[1]!IntrinioFinancials($C33,"calculations",0,"TTM","quickratio"))</f>
        <v/>
      </c>
      <c r="R33" s="208"/>
      <c r="S33" s="241" t="str">
        <f>IF($C33="","",[1]!IntrinioFinancials($C33,"calculations",0,"TTM","dso"))</f>
        <v/>
      </c>
      <c r="T33" s="230" t="str">
        <f>IF($C33="","",[1]!IntrinioFinancials($C33,"calculations",0,"TTM","dio"))</f>
        <v/>
      </c>
      <c r="U33" s="230" t="str">
        <f>IF($C33="","",[1]!IntrinioFinancials($C33,"calculations",0,"TTM","dpo"))</f>
        <v/>
      </c>
      <c r="V33" s="230" t="str">
        <f>IF($C33="","",[1]!IntrinioFinancials($C33,"calculations",0,"TTM","ccc"))</f>
        <v/>
      </c>
      <c r="W33" s="207"/>
      <c r="X33" s="206" t="str">
        <f>IF($C33="","",[1]!IntrinioFinancials($C33,"calculations",0,"TTM","dfcfnwctorev"))</f>
        <v/>
      </c>
      <c r="Y33" s="231" t="str">
        <f>IF($C33="","",[1]!IntrinioFinancials($C33,"calculations",0,"TTM","dfnwctorev"))</f>
        <v/>
      </c>
    </row>
    <row r="34" spans="1:26" s="46" customFormat="1" hidden="1" outlineLevel="1">
      <c r="A34" s="33"/>
      <c r="B34" s="146" t="str">
        <f>Info!A30</f>
        <v/>
      </c>
      <c r="C34" s="148" t="str">
        <f>IF(List!D30="","",List!D30)</f>
        <v/>
      </c>
      <c r="D34" s="43"/>
      <c r="E34" s="99" t="str">
        <f>[1]!IntrinioDataPoint($C34,"beta")</f>
        <v/>
      </c>
      <c r="F34" s="43"/>
      <c r="G34" s="51" t="str">
        <f>IF($C34="","",[1]!IntrinioFinancials($C34,"calculations",0,"TTM","debttototalcapital"))</f>
        <v/>
      </c>
      <c r="H34" s="88" t="str">
        <f>IF($C34="","",[1]!IntrinioFinancials($C34,"calculations",0,"TTM","debttoebitda"))</f>
        <v/>
      </c>
      <c r="I34" s="88" t="str">
        <f>IF($C34="","",[1]!IntrinioFinancials($C34,"calculations",0,"TTM","netdebttoebitda"))</f>
        <v/>
      </c>
      <c r="J34" s="88"/>
      <c r="K34" s="89" t="str">
        <f>IF($C34="","",[1]!IntrinioFinancials($C34,"calculations",0,"TTM","ebittointerestex"))</f>
        <v/>
      </c>
      <c r="L34" s="88" t="str">
        <f>IF($C34="","",[1]!IntrinioFinancials($C34,"calculations",0,"TTM","ebitlesscapextointerestex"))</f>
        <v/>
      </c>
      <c r="M34" s="88" t="str">
        <f>IF($C34="","",[1]!IntrinioFinancials($C34,"calculations",0,"TTM","nopattointerestex"))</f>
        <v/>
      </c>
      <c r="N34" s="100"/>
      <c r="O34" s="240" t="str">
        <f>IF($C34="","",[1]!IntrinioFinancials($C34,"calculations",0,"TTM","altmanzscore"))</f>
        <v/>
      </c>
      <c r="P34" s="246" t="str">
        <f>IF($C34="","",[1]!IntrinioFinancials($C34,"calculations",0,"TTM","currentratio"))</f>
        <v/>
      </c>
      <c r="Q34" s="240" t="str">
        <f>IF($C34="","",[1]!IntrinioFinancials($C34,"calculations",0,"TTM","quickratio"))</f>
        <v/>
      </c>
      <c r="R34" s="100"/>
      <c r="S34" s="240" t="str">
        <f>IF($C34="","",[1]!IntrinioFinancials($C34,"calculations",0,"TTM","dso"))</f>
        <v/>
      </c>
      <c r="T34" s="101" t="str">
        <f>IF($C34="","",[1]!IntrinioFinancials($C34,"calculations",0,"TTM","dio"))</f>
        <v/>
      </c>
      <c r="U34" s="101" t="str">
        <f>IF($C34="","",[1]!IntrinioFinancials($C34,"calculations",0,"TTM","dpo"))</f>
        <v/>
      </c>
      <c r="V34" s="101" t="str">
        <f>IF($C34="","",[1]!IntrinioFinancials($C34,"calculations",0,"TTM","ccc"))</f>
        <v/>
      </c>
      <c r="W34" s="45"/>
      <c r="X34" s="51" t="str">
        <f>IF($C34="","",[1]!IntrinioFinancials($C34,"calculations",0,"TTM","dfcfnwctorev"))</f>
        <v/>
      </c>
      <c r="Y34" s="102" t="str">
        <f>IF($C34="","",[1]!IntrinioFinancials($C34,"calculations",0,"TTM","dfnwctorev"))</f>
        <v/>
      </c>
    </row>
    <row r="35" spans="1:26" s="46" customFormat="1" hidden="1" outlineLevel="1">
      <c r="A35" s="33"/>
      <c r="B35" s="202" t="str">
        <f>Info!A31</f>
        <v/>
      </c>
      <c r="C35" s="227" t="str">
        <f>IF(List!D31="","",List!D31)</f>
        <v/>
      </c>
      <c r="D35" s="201"/>
      <c r="E35" s="229" t="str">
        <f>[1]!IntrinioDataPoint($C35,"beta")</f>
        <v/>
      </c>
      <c r="F35" s="201"/>
      <c r="G35" s="206" t="str">
        <f>IF($C35="","",[1]!IntrinioFinancials($C35,"calculations",0,"TTM","debttototalcapital"))</f>
        <v/>
      </c>
      <c r="H35" s="215" t="str">
        <f>IF($C35="","",[1]!IntrinioFinancials($C35,"calculations",0,"TTM","debttoebitda"))</f>
        <v/>
      </c>
      <c r="I35" s="215" t="str">
        <f>IF($C35="","",[1]!IntrinioFinancials($C35,"calculations",0,"TTM","netdebttoebitda"))</f>
        <v/>
      </c>
      <c r="J35" s="215"/>
      <c r="K35" s="216" t="str">
        <f>IF($C35="","",[1]!IntrinioFinancials($C35,"calculations",0,"TTM","ebittointerestex"))</f>
        <v/>
      </c>
      <c r="L35" s="215" t="str">
        <f>IF($C35="","",[1]!IntrinioFinancials($C35,"calculations",0,"TTM","ebitlesscapextointerestex"))</f>
        <v/>
      </c>
      <c r="M35" s="215" t="str">
        <f>IF($C35="","",[1]!IntrinioFinancials($C35,"calculations",0,"TTM","nopattointerestex"))</f>
        <v/>
      </c>
      <c r="N35" s="208"/>
      <c r="O35" s="241" t="str">
        <f>IF($C35="","",[1]!IntrinioFinancials($C35,"calculations",0,"TTM","altmanzscore"))</f>
        <v/>
      </c>
      <c r="P35" s="247" t="str">
        <f>IF($C35="","",[1]!IntrinioFinancials($C35,"calculations",0,"TTM","currentratio"))</f>
        <v/>
      </c>
      <c r="Q35" s="241" t="str">
        <f>IF($C35="","",[1]!IntrinioFinancials($C35,"calculations",0,"TTM","quickratio"))</f>
        <v/>
      </c>
      <c r="R35" s="208"/>
      <c r="S35" s="241" t="str">
        <f>IF($C35="","",[1]!IntrinioFinancials($C35,"calculations",0,"TTM","dso"))</f>
        <v/>
      </c>
      <c r="T35" s="230" t="str">
        <f>IF($C35="","",[1]!IntrinioFinancials($C35,"calculations",0,"TTM","dio"))</f>
        <v/>
      </c>
      <c r="U35" s="230" t="str">
        <f>IF($C35="","",[1]!IntrinioFinancials($C35,"calculations",0,"TTM","dpo"))</f>
        <v/>
      </c>
      <c r="V35" s="230" t="str">
        <f>IF($C35="","",[1]!IntrinioFinancials($C35,"calculations",0,"TTM","ccc"))</f>
        <v/>
      </c>
      <c r="W35" s="207"/>
      <c r="X35" s="206" t="str">
        <f>IF($C35="","",[1]!IntrinioFinancials($C35,"calculations",0,"TTM","dfcfnwctorev"))</f>
        <v/>
      </c>
      <c r="Y35" s="231" t="str">
        <f>IF($C35="","",[1]!IntrinioFinancials($C35,"calculations",0,"TTM","dfnwctorev"))</f>
        <v/>
      </c>
    </row>
    <row r="36" spans="1:26" s="46" customFormat="1" hidden="1" outlineLevel="1">
      <c r="A36" s="33"/>
      <c r="B36" s="146" t="str">
        <f>Info!A32</f>
        <v/>
      </c>
      <c r="C36" s="148" t="str">
        <f>IF(List!D32="","",List!D32)</f>
        <v/>
      </c>
      <c r="D36" s="43"/>
      <c r="E36" s="99" t="str">
        <f>[1]!IntrinioDataPoint($C36,"beta")</f>
        <v/>
      </c>
      <c r="F36" s="43"/>
      <c r="G36" s="51" t="str">
        <f>IF($C36="","",[1]!IntrinioFinancials($C36,"calculations",0,"TTM","debttototalcapital"))</f>
        <v/>
      </c>
      <c r="H36" s="88" t="str">
        <f>IF($C36="","",[1]!IntrinioFinancials($C36,"calculations",0,"TTM","debttoebitda"))</f>
        <v/>
      </c>
      <c r="I36" s="88" t="str">
        <f>IF($C36="","",[1]!IntrinioFinancials($C36,"calculations",0,"TTM","netdebttoebitda"))</f>
        <v/>
      </c>
      <c r="J36" s="88"/>
      <c r="K36" s="89" t="str">
        <f>IF($C36="","",[1]!IntrinioFinancials($C36,"calculations",0,"TTM","ebittointerestex"))</f>
        <v/>
      </c>
      <c r="L36" s="88" t="str">
        <f>IF($C36="","",[1]!IntrinioFinancials($C36,"calculations",0,"TTM","ebitlesscapextointerestex"))</f>
        <v/>
      </c>
      <c r="M36" s="88" t="str">
        <f>IF($C36="","",[1]!IntrinioFinancials($C36,"calculations",0,"TTM","nopattointerestex"))</f>
        <v/>
      </c>
      <c r="N36" s="100"/>
      <c r="O36" s="240" t="str">
        <f>IF($C36="","",[1]!IntrinioFinancials($C36,"calculations",0,"TTM","altmanzscore"))</f>
        <v/>
      </c>
      <c r="P36" s="246" t="str">
        <f>IF($C36="","",[1]!IntrinioFinancials($C36,"calculations",0,"TTM","currentratio"))</f>
        <v/>
      </c>
      <c r="Q36" s="240" t="str">
        <f>IF($C36="","",[1]!IntrinioFinancials($C36,"calculations",0,"TTM","quickratio"))</f>
        <v/>
      </c>
      <c r="R36" s="100"/>
      <c r="S36" s="240" t="str">
        <f>IF($C36="","",[1]!IntrinioFinancials($C36,"calculations",0,"TTM","dso"))</f>
        <v/>
      </c>
      <c r="T36" s="101" t="str">
        <f>IF($C36="","",[1]!IntrinioFinancials($C36,"calculations",0,"TTM","dio"))</f>
        <v/>
      </c>
      <c r="U36" s="101" t="str">
        <f>IF($C36="","",[1]!IntrinioFinancials($C36,"calculations",0,"TTM","dpo"))</f>
        <v/>
      </c>
      <c r="V36" s="101" t="str">
        <f>IF($C36="","",[1]!IntrinioFinancials($C36,"calculations",0,"TTM","ccc"))</f>
        <v/>
      </c>
      <c r="W36" s="45"/>
      <c r="X36" s="51" t="str">
        <f>IF($C36="","",[1]!IntrinioFinancials($C36,"calculations",0,"TTM","dfcfnwctorev"))</f>
        <v/>
      </c>
      <c r="Y36" s="102" t="str">
        <f>IF($C36="","",[1]!IntrinioFinancials($C36,"calculations",0,"TTM","dfnwctorev"))</f>
        <v/>
      </c>
    </row>
    <row r="37" spans="1:26" s="46" customFormat="1" hidden="1" outlineLevel="1">
      <c r="A37" s="33"/>
      <c r="B37" s="202" t="str">
        <f>Info!A33</f>
        <v/>
      </c>
      <c r="C37" s="227" t="str">
        <f>IF(List!D33="","",List!D33)</f>
        <v/>
      </c>
      <c r="D37" s="201"/>
      <c r="E37" s="229" t="str">
        <f>[1]!IntrinioDataPoint($C37,"beta")</f>
        <v/>
      </c>
      <c r="F37" s="201"/>
      <c r="G37" s="206" t="str">
        <f>IF($C37="","",[1]!IntrinioFinancials($C37,"calculations",0,"TTM","debttototalcapital"))</f>
        <v/>
      </c>
      <c r="H37" s="215" t="str">
        <f>IF($C37="","",[1]!IntrinioFinancials($C37,"calculations",0,"TTM","debttoebitda"))</f>
        <v/>
      </c>
      <c r="I37" s="215" t="str">
        <f>IF($C37="","",[1]!IntrinioFinancials($C37,"calculations",0,"TTM","netdebttoebitda"))</f>
        <v/>
      </c>
      <c r="J37" s="215"/>
      <c r="K37" s="216" t="str">
        <f>IF($C37="","",[1]!IntrinioFinancials($C37,"calculations",0,"TTM","ebittointerestex"))</f>
        <v/>
      </c>
      <c r="L37" s="215" t="str">
        <f>IF($C37="","",[1]!IntrinioFinancials($C37,"calculations",0,"TTM","ebitlesscapextointerestex"))</f>
        <v/>
      </c>
      <c r="M37" s="215" t="str">
        <f>IF($C37="","",[1]!IntrinioFinancials($C37,"calculations",0,"TTM","nopattointerestex"))</f>
        <v/>
      </c>
      <c r="N37" s="208"/>
      <c r="O37" s="241" t="str">
        <f>IF($C37="","",[1]!IntrinioFinancials($C37,"calculations",0,"TTM","altmanzscore"))</f>
        <v/>
      </c>
      <c r="P37" s="247" t="str">
        <f>IF($C37="","",[1]!IntrinioFinancials($C37,"calculations",0,"TTM","currentratio"))</f>
        <v/>
      </c>
      <c r="Q37" s="241" t="str">
        <f>IF($C37="","",[1]!IntrinioFinancials($C37,"calculations",0,"TTM","quickratio"))</f>
        <v/>
      </c>
      <c r="R37" s="208"/>
      <c r="S37" s="241" t="str">
        <f>IF($C37="","",[1]!IntrinioFinancials($C37,"calculations",0,"TTM","dso"))</f>
        <v/>
      </c>
      <c r="T37" s="230" t="str">
        <f>IF($C37="","",[1]!IntrinioFinancials($C37,"calculations",0,"TTM","dio"))</f>
        <v/>
      </c>
      <c r="U37" s="230" t="str">
        <f>IF($C37="","",[1]!IntrinioFinancials($C37,"calculations",0,"TTM","dpo"))</f>
        <v/>
      </c>
      <c r="V37" s="230" t="str">
        <f>IF($C37="","",[1]!IntrinioFinancials($C37,"calculations",0,"TTM","ccc"))</f>
        <v/>
      </c>
      <c r="W37" s="207"/>
      <c r="X37" s="206" t="str">
        <f>IF($C37="","",[1]!IntrinioFinancials($C37,"calculations",0,"TTM","dfcfnwctorev"))</f>
        <v/>
      </c>
      <c r="Y37" s="231" t="str">
        <f>IF($C37="","",[1]!IntrinioFinancials($C37,"calculations",0,"TTM","dfnwctorev"))</f>
        <v/>
      </c>
    </row>
    <row r="38" spans="1:26" s="46" customFormat="1" hidden="1" outlineLevel="1">
      <c r="A38" s="33"/>
      <c r="B38" s="146" t="str">
        <f>Info!A34</f>
        <v/>
      </c>
      <c r="C38" s="148" t="str">
        <f>IF(List!D34="","",List!D34)</f>
        <v/>
      </c>
      <c r="D38" s="43"/>
      <c r="E38" s="99" t="str">
        <f>[1]!IntrinioDataPoint($C38,"beta")</f>
        <v/>
      </c>
      <c r="F38" s="43"/>
      <c r="G38" s="51" t="str">
        <f>IF($C38="","",[1]!IntrinioFinancials($C38,"calculations",0,"TTM","debttototalcapital"))</f>
        <v/>
      </c>
      <c r="H38" s="88" t="str">
        <f>IF($C38="","",[1]!IntrinioFinancials($C38,"calculations",0,"TTM","debttoebitda"))</f>
        <v/>
      </c>
      <c r="I38" s="88" t="str">
        <f>IF($C38="","",[1]!IntrinioFinancials($C38,"calculations",0,"TTM","netdebttoebitda"))</f>
        <v/>
      </c>
      <c r="J38" s="88"/>
      <c r="K38" s="89" t="str">
        <f>IF($C38="","",[1]!IntrinioFinancials($C38,"calculations",0,"TTM","ebittointerestex"))</f>
        <v/>
      </c>
      <c r="L38" s="88" t="str">
        <f>IF($C38="","",[1]!IntrinioFinancials($C38,"calculations",0,"TTM","ebitlesscapextointerestex"))</f>
        <v/>
      </c>
      <c r="M38" s="88" t="str">
        <f>IF($C38="","",[1]!IntrinioFinancials($C38,"calculations",0,"TTM","nopattointerestex"))</f>
        <v/>
      </c>
      <c r="N38" s="100"/>
      <c r="O38" s="240" t="str">
        <f>IF($C38="","",[1]!IntrinioFinancials($C38,"calculations",0,"TTM","altmanzscore"))</f>
        <v/>
      </c>
      <c r="P38" s="246" t="str">
        <f>IF($C38="","",[1]!IntrinioFinancials($C38,"calculations",0,"TTM","currentratio"))</f>
        <v/>
      </c>
      <c r="Q38" s="240" t="str">
        <f>IF($C38="","",[1]!IntrinioFinancials($C38,"calculations",0,"TTM","quickratio"))</f>
        <v/>
      </c>
      <c r="R38" s="100"/>
      <c r="S38" s="240" t="str">
        <f>IF($C38="","",[1]!IntrinioFinancials($C38,"calculations",0,"TTM","dso"))</f>
        <v/>
      </c>
      <c r="T38" s="101" t="str">
        <f>IF($C38="","",[1]!IntrinioFinancials($C38,"calculations",0,"TTM","dio"))</f>
        <v/>
      </c>
      <c r="U38" s="101" t="str">
        <f>IF($C38="","",[1]!IntrinioFinancials($C38,"calculations",0,"TTM","dpo"))</f>
        <v/>
      </c>
      <c r="V38" s="101" t="str">
        <f>IF($C38="","",[1]!IntrinioFinancials($C38,"calculations",0,"TTM","ccc"))</f>
        <v/>
      </c>
      <c r="W38" s="45"/>
      <c r="X38" s="51" t="str">
        <f>IF($C38="","",[1]!IntrinioFinancials($C38,"calculations",0,"TTM","dfcfnwctorev"))</f>
        <v/>
      </c>
      <c r="Y38" s="102" t="str">
        <f>IF($C38="","",[1]!IntrinioFinancials($C38,"calculations",0,"TTM","dfnwctorev"))</f>
        <v/>
      </c>
    </row>
    <row r="39" spans="1:26" s="46" customFormat="1" hidden="1" outlineLevel="1">
      <c r="A39" s="33"/>
      <c r="B39" s="202" t="str">
        <f>Info!A35</f>
        <v/>
      </c>
      <c r="C39" s="227" t="str">
        <f>IF(List!D35="","",List!D35)</f>
        <v/>
      </c>
      <c r="D39" s="201"/>
      <c r="E39" s="229" t="str">
        <f>[1]!IntrinioDataPoint($C39,"beta")</f>
        <v/>
      </c>
      <c r="F39" s="201"/>
      <c r="G39" s="206" t="str">
        <f>IF($C39="","",[1]!IntrinioFinancials($C39,"calculations",0,"TTM","debttototalcapital"))</f>
        <v/>
      </c>
      <c r="H39" s="215" t="str">
        <f>IF($C39="","",[1]!IntrinioFinancials($C39,"calculations",0,"TTM","debttoebitda"))</f>
        <v/>
      </c>
      <c r="I39" s="215" t="str">
        <f>IF($C39="","",[1]!IntrinioFinancials($C39,"calculations",0,"TTM","netdebttoebitda"))</f>
        <v/>
      </c>
      <c r="J39" s="215"/>
      <c r="K39" s="216" t="str">
        <f>IF($C39="","",[1]!IntrinioFinancials($C39,"calculations",0,"TTM","ebittointerestex"))</f>
        <v/>
      </c>
      <c r="L39" s="215" t="str">
        <f>IF($C39="","",[1]!IntrinioFinancials($C39,"calculations",0,"TTM","ebitlesscapextointerestex"))</f>
        <v/>
      </c>
      <c r="M39" s="215" t="str">
        <f>IF($C39="","",[1]!IntrinioFinancials($C39,"calculations",0,"TTM","nopattointerestex"))</f>
        <v/>
      </c>
      <c r="N39" s="208"/>
      <c r="O39" s="241" t="str">
        <f>IF($C39="","",[1]!IntrinioFinancials($C39,"calculations",0,"TTM","altmanzscore"))</f>
        <v/>
      </c>
      <c r="P39" s="247" t="str">
        <f>IF($C39="","",[1]!IntrinioFinancials($C39,"calculations",0,"TTM","currentratio"))</f>
        <v/>
      </c>
      <c r="Q39" s="241" t="str">
        <f>IF($C39="","",[1]!IntrinioFinancials($C39,"calculations",0,"TTM","quickratio"))</f>
        <v/>
      </c>
      <c r="R39" s="208"/>
      <c r="S39" s="241" t="str">
        <f>IF($C39="","",[1]!IntrinioFinancials($C39,"calculations",0,"TTM","dso"))</f>
        <v/>
      </c>
      <c r="T39" s="230" t="str">
        <f>IF($C39="","",[1]!IntrinioFinancials($C39,"calculations",0,"TTM","dio"))</f>
        <v/>
      </c>
      <c r="U39" s="230" t="str">
        <f>IF($C39="","",[1]!IntrinioFinancials($C39,"calculations",0,"TTM","dpo"))</f>
        <v/>
      </c>
      <c r="V39" s="230" t="str">
        <f>IF($C39="","",[1]!IntrinioFinancials($C39,"calculations",0,"TTM","ccc"))</f>
        <v/>
      </c>
      <c r="W39" s="207"/>
      <c r="X39" s="206" t="str">
        <f>IF($C39="","",[1]!IntrinioFinancials($C39,"calculations",0,"TTM","dfcfnwctorev"))</f>
        <v/>
      </c>
      <c r="Y39" s="231" t="str">
        <f>IF($C39="","",[1]!IntrinioFinancials($C39,"calculations",0,"TTM","dfnwctorev"))</f>
        <v/>
      </c>
    </row>
    <row r="40" spans="1:26" s="43" customFormat="1" ht="13.15" collapsed="1">
      <c r="B40" s="146"/>
      <c r="C40" s="148"/>
      <c r="D40" s="44"/>
      <c r="E40" s="106"/>
      <c r="F40" s="44"/>
      <c r="G40" s="91"/>
      <c r="H40" s="92"/>
      <c r="I40" s="92"/>
      <c r="J40" s="92"/>
      <c r="K40" s="90"/>
      <c r="L40" s="92"/>
      <c r="M40" s="92"/>
      <c r="N40" s="107"/>
      <c r="O40" s="246"/>
      <c r="P40" s="246"/>
      <c r="Q40" s="246"/>
      <c r="R40" s="107"/>
      <c r="S40" s="91"/>
      <c r="T40" s="92"/>
      <c r="U40" s="92"/>
      <c r="V40" s="92"/>
      <c r="W40" s="92"/>
      <c r="X40" s="93"/>
      <c r="Y40" s="94"/>
    </row>
    <row r="41" spans="1:26" s="43" customFormat="1" ht="13.15">
      <c r="A41" s="63"/>
      <c r="B41" s="265" t="s">
        <v>85</v>
      </c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  <c r="V41" s="265"/>
      <c r="W41" s="265"/>
      <c r="X41" s="265"/>
      <c r="Y41" s="265"/>
    </row>
    <row r="42" spans="1:26" s="43" customFormat="1" ht="13.15">
      <c r="B42" s="146"/>
      <c r="C42" s="146"/>
      <c r="D42" s="55"/>
      <c r="E42" s="103"/>
      <c r="F42" s="55"/>
      <c r="G42" s="59"/>
      <c r="H42" s="57"/>
      <c r="I42" s="57"/>
      <c r="J42" s="57"/>
      <c r="K42" s="90"/>
      <c r="L42" s="57"/>
      <c r="M42" s="57"/>
      <c r="N42" s="104"/>
      <c r="O42" s="57"/>
      <c r="P42" s="57"/>
      <c r="Q42" s="60"/>
      <c r="R42" s="57"/>
      <c r="S42" s="90"/>
      <c r="T42" s="57"/>
      <c r="U42" s="57"/>
      <c r="V42" s="57"/>
      <c r="W42" s="57"/>
      <c r="X42" s="90"/>
      <c r="Y42" s="57"/>
    </row>
    <row r="43" spans="1:26" s="43" customFormat="1" ht="13.15">
      <c r="A43" s="63"/>
      <c r="B43" s="192" t="s">
        <v>73</v>
      </c>
      <c r="C43" s="192"/>
      <c r="D43" s="196"/>
      <c r="E43" s="220" t="str">
        <f>IFERROR(+(SUMPRODUCT('Benchmarking 1'!#REF!,E10:E39))/(SUM('Benchmarking 1'!#REF!)-(SUMIF(E10:E39,"",'Benchmarking 1'!#REF!))),"")</f>
        <v/>
      </c>
      <c r="F43" s="196"/>
      <c r="G43" s="198" t="str">
        <f>IFERROR(+(SUMPRODUCT('Benchmarking 1'!#REF!,G10:G39))/(SUM('Benchmarking 1'!#REF!)-(SUMIF(G10:G39,"",'Benchmarking 1'!#REF!))),"")</f>
        <v/>
      </c>
      <c r="H43" s="195" t="str">
        <f>IFERROR(+(SUMPRODUCT('Benchmarking 1'!#REF!,H10:H39))/(SUM('Benchmarking 1'!#REF!)-(SUMIF(H10:H39,"",'Benchmarking 1'!#REF!))),"")</f>
        <v/>
      </c>
      <c r="I43" s="195" t="str">
        <f>IFERROR(+(SUMPRODUCT('Benchmarking 1'!#REF!,I10:I39))/(SUM('Benchmarking 1'!#REF!)-(SUMIF(I10:I39,"",'Benchmarking 1'!#REF!))),"")</f>
        <v/>
      </c>
      <c r="J43" s="195"/>
      <c r="K43" s="218" t="str">
        <f>IFERROR(+(SUMPRODUCT('Benchmarking 1'!#REF!,K10:K39))/(SUM('Benchmarking 1'!#REF!)-(SUMIF(K10:K39,"",'Benchmarking 1'!#REF!))),"")</f>
        <v/>
      </c>
      <c r="L43" s="195" t="str">
        <f>IFERROR(+(SUMPRODUCT('Benchmarking 1'!#REF!,L10:L39))/(SUM('Benchmarking 1'!#REF!)-(SUMIF(L10:L39,"",'Benchmarking 1'!#REF!))),"")</f>
        <v/>
      </c>
      <c r="M43" s="195" t="str">
        <f>IFERROR(+(SUMPRODUCT('Benchmarking 1'!#REF!,M10:M39))/(SUM('Benchmarking 1'!#REF!)-(SUMIF(M10:M39,"",'Benchmarking 1'!#REF!))),"")</f>
        <v/>
      </c>
      <c r="N43" s="221"/>
      <c r="O43" s="243" t="str">
        <f>IFERROR(+(SUMPRODUCT('Benchmarking 1'!#REF!,O10:O39))/(SUM('Benchmarking 1'!#REF!)-(SUMIF(O10:O39,"",'Benchmarking 1'!#REF!))),"")</f>
        <v/>
      </c>
      <c r="P43" s="243" t="str">
        <f>IFERROR(+(SUMPRODUCT('Benchmarking 1'!#REF!,P10:P39))/(SUM('Benchmarking 1'!#REF!)-(SUMIF(P10:P39,"",'Benchmarking 1'!#REF!))),"")</f>
        <v/>
      </c>
      <c r="Q43" s="243" t="str">
        <f>IFERROR(+(SUMPRODUCT('Benchmarking 1'!#REF!,Q10:Q39))/(SUM('Benchmarking 1'!#REF!)-(SUMIF(Q10:Q39,"",'Benchmarking 1'!#REF!))),"")</f>
        <v/>
      </c>
      <c r="R43" s="195"/>
      <c r="S43" s="242" t="str">
        <f>IFERROR(+(SUMPRODUCT('Benchmarking 1'!#REF!,S10:S39))/(SUM('Benchmarking 1'!#REF!)-(SUMIF(S10:S39,"",'Benchmarking 1'!#REF!))),"")</f>
        <v/>
      </c>
      <c r="T43" s="243" t="str">
        <f>IFERROR(+(SUMPRODUCT('Benchmarking 1'!#REF!,T10:T39))/(SUM('Benchmarking 1'!#REF!)-(SUMIF(T10:T39,"",'Benchmarking 1'!#REF!))),"")</f>
        <v/>
      </c>
      <c r="U43" s="243" t="str">
        <f>IFERROR(+(SUMPRODUCT('Benchmarking 1'!#REF!,U10:U39))/(SUM('Benchmarking 1'!#REF!)-(SUMIF(U10:U39,"",'Benchmarking 1'!#REF!))),"")</f>
        <v/>
      </c>
      <c r="V43" s="243" t="str">
        <f>IFERROR(+(SUMPRODUCT('Benchmarking 1'!#REF!,V10:V39))/(SUM('Benchmarking 1'!#REF!)-(SUMIF(V10:V39,"",'Benchmarking 1'!#REF!))),"")</f>
        <v/>
      </c>
      <c r="W43" s="195"/>
      <c r="X43" s="228" t="str">
        <f>IFERROR(+(SUMPRODUCT('Benchmarking 1'!#REF!,X10:X39))/(SUM('Benchmarking 1'!#REF!)-(SUMIF(X10:X39,"",'Benchmarking 1'!#REF!))),"")</f>
        <v/>
      </c>
      <c r="Y43" s="199" t="str">
        <f>IFERROR(+(SUMPRODUCT('Benchmarking 1'!#REF!,Y10:Y39))/(SUM('Benchmarking 1'!#REF!)-(SUMIF(Y10:Y39,"",'Benchmarking 1'!#REF!))),"")</f>
        <v/>
      </c>
      <c r="Z43" s="201"/>
    </row>
    <row r="44" spans="1:26" s="43" customFormat="1" ht="13.15">
      <c r="A44" s="63"/>
      <c r="B44" s="192" t="s">
        <v>79</v>
      </c>
      <c r="C44" s="192"/>
      <c r="D44" s="196"/>
      <c r="E44" s="220" t="str">
        <f>IFERROR(AVERAGE(E9:E39),"")</f>
        <v/>
      </c>
      <c r="F44" s="196"/>
      <c r="G44" s="198" t="str">
        <f>IFERROR(AVERAGE(G9:G39),"")</f>
        <v/>
      </c>
      <c r="H44" s="195" t="str">
        <f>IFERROR(AVERAGE(H9:H39),"")</f>
        <v/>
      </c>
      <c r="I44" s="195" t="str">
        <f>IFERROR(AVERAGE(I9:I39),"")</f>
        <v/>
      </c>
      <c r="J44" s="195"/>
      <c r="K44" s="218" t="str">
        <f>IFERROR(AVERAGE(K9:K39),"")</f>
        <v/>
      </c>
      <c r="L44" s="195" t="str">
        <f>IFERROR(AVERAGE(L9:L39),"")</f>
        <v/>
      </c>
      <c r="M44" s="195" t="str">
        <f>IFERROR(AVERAGE(M9:M39),"")</f>
        <v/>
      </c>
      <c r="N44" s="221"/>
      <c r="O44" s="243" t="str">
        <f>IFERROR(AVERAGE(O9:O39),"")</f>
        <v/>
      </c>
      <c r="P44" s="243" t="str">
        <f>IFERROR(AVERAGE(P9:P39),"")</f>
        <v/>
      </c>
      <c r="Q44" s="243" t="str">
        <f>IFERROR(AVERAGE(Q9:Q39),"")</f>
        <v/>
      </c>
      <c r="R44" s="195"/>
      <c r="S44" s="242" t="str">
        <f>IFERROR(AVERAGE(S9:S39),"")</f>
        <v/>
      </c>
      <c r="T44" s="243" t="str">
        <f>IFERROR(AVERAGE(T9:T39),"")</f>
        <v/>
      </c>
      <c r="U44" s="243" t="str">
        <f>IFERROR(AVERAGE(U9:U39),"")</f>
        <v/>
      </c>
      <c r="V44" s="243" t="str">
        <f>IFERROR(AVERAGE(V9:V39),"")</f>
        <v/>
      </c>
      <c r="W44" s="195"/>
      <c r="X44" s="228" t="str">
        <f>IFERROR(AVERAGE(X9:X39),"")</f>
        <v/>
      </c>
      <c r="Y44" s="199" t="str">
        <f>IFERROR(AVERAGE(Y9:Y39),"")</f>
        <v/>
      </c>
      <c r="Z44" s="201"/>
    </row>
    <row r="45" spans="1:26" s="43" customFormat="1" ht="13.15">
      <c r="B45" s="192" t="s">
        <v>18</v>
      </c>
      <c r="C45" s="192"/>
      <c r="D45" s="196"/>
      <c r="E45" s="220" t="str">
        <f>IFERROR(MEDIAN(E10:E39),"")</f>
        <v/>
      </c>
      <c r="F45" s="196"/>
      <c r="G45" s="198" t="str">
        <f>IFERROR(MEDIAN(G10:G39),"")</f>
        <v/>
      </c>
      <c r="H45" s="195" t="str">
        <f>IFERROR(MEDIAN(H10:H39),"")</f>
        <v/>
      </c>
      <c r="I45" s="195" t="str">
        <f>IFERROR(MEDIAN(I10:I39),"")</f>
        <v/>
      </c>
      <c r="J45" s="195"/>
      <c r="K45" s="218" t="str">
        <f>IFERROR(MEDIAN(K10:K39),"")</f>
        <v/>
      </c>
      <c r="L45" s="195" t="str">
        <f>IFERROR(MEDIAN(L10:L39),"")</f>
        <v/>
      </c>
      <c r="M45" s="195" t="str">
        <f>IFERROR(MEDIAN(M10:M39),"")</f>
        <v/>
      </c>
      <c r="N45" s="221"/>
      <c r="O45" s="243" t="str">
        <f>IFERROR(MEDIAN(O10:O39),"")</f>
        <v/>
      </c>
      <c r="P45" s="243" t="str">
        <f>IFERROR(MEDIAN(P10:P39),"")</f>
        <v/>
      </c>
      <c r="Q45" s="243" t="str">
        <f>IFERROR(MEDIAN(Q10:Q39),"")</f>
        <v/>
      </c>
      <c r="R45" s="195"/>
      <c r="S45" s="242" t="str">
        <f>IFERROR(MEDIAN(S10:S39),"")</f>
        <v/>
      </c>
      <c r="T45" s="243" t="str">
        <f>IFERROR(MEDIAN(T10:T39),"")</f>
        <v/>
      </c>
      <c r="U45" s="243" t="str">
        <f>IFERROR(MEDIAN(U10:U39),"")</f>
        <v/>
      </c>
      <c r="V45" s="243" t="str">
        <f>IFERROR(MEDIAN(V10:V39),"")</f>
        <v/>
      </c>
      <c r="W45" s="195"/>
      <c r="X45" s="228" t="str">
        <f>IFERROR(MEDIAN(X10:X39),"")</f>
        <v/>
      </c>
      <c r="Y45" s="199" t="str">
        <f>IFERROR(MEDIAN(Y10:Y39),"")</f>
        <v/>
      </c>
      <c r="Z45" s="201"/>
    </row>
    <row r="46" spans="1:26" s="43" customFormat="1" ht="13.15">
      <c r="B46" s="147"/>
      <c r="C46" s="147"/>
      <c r="D46" s="55"/>
      <c r="E46" s="103"/>
      <c r="F46" s="55"/>
      <c r="G46" s="59"/>
      <c r="H46" s="57"/>
      <c r="I46" s="57"/>
      <c r="J46" s="57"/>
      <c r="K46" s="90"/>
      <c r="L46" s="57"/>
      <c r="M46" s="57"/>
      <c r="N46" s="104"/>
      <c r="O46" s="118"/>
      <c r="P46" s="118"/>
      <c r="Q46" s="118"/>
      <c r="R46" s="57"/>
      <c r="S46" s="244"/>
      <c r="T46" s="118"/>
      <c r="U46" s="118"/>
      <c r="V46" s="118"/>
      <c r="W46" s="57"/>
      <c r="X46" s="90"/>
      <c r="Y46" s="57"/>
    </row>
    <row r="47" spans="1:26" s="43" customFormat="1" ht="13.15">
      <c r="B47" s="192" t="s">
        <v>19</v>
      </c>
      <c r="C47" s="192"/>
      <c r="D47" s="196"/>
      <c r="E47" s="220" t="str">
        <f>IF($C$10="","",MAX(E10:E39))</f>
        <v/>
      </c>
      <c r="F47" s="196"/>
      <c r="G47" s="198" t="str">
        <f>IF($C$10="","",MAX(G10:G39))</f>
        <v/>
      </c>
      <c r="H47" s="195" t="str">
        <f>IF($C$10="","",MAX(H10:H39))</f>
        <v/>
      </c>
      <c r="I47" s="195" t="str">
        <f>IF($C$10="","",MAX(I10:I39))</f>
        <v/>
      </c>
      <c r="J47" s="195"/>
      <c r="K47" s="218" t="str">
        <f>IF($C$10="","",MAX(K10:K39))</f>
        <v/>
      </c>
      <c r="L47" s="195" t="str">
        <f>IF($C$10="","",MAX(L10:L39))</f>
        <v/>
      </c>
      <c r="M47" s="195" t="str">
        <f>IF($C$10="","",MAX(M10:M39))</f>
        <v/>
      </c>
      <c r="N47" s="221"/>
      <c r="O47" s="243" t="str">
        <f>IF($C$10="","",MAX(O10:O39))</f>
        <v/>
      </c>
      <c r="P47" s="243" t="str">
        <f>IF($C$10="","",MAX(P10:P39))</f>
        <v/>
      </c>
      <c r="Q47" s="243" t="str">
        <f>IF($C$10="","",MAX(Q10:Q39))</f>
        <v/>
      </c>
      <c r="R47" s="195"/>
      <c r="S47" s="242" t="str">
        <f>IF($C$10="","",MAX(S10:S39))</f>
        <v/>
      </c>
      <c r="T47" s="243" t="str">
        <f>IF($C$10="","",MAX(T10:T39))</f>
        <v/>
      </c>
      <c r="U47" s="243" t="str">
        <f>IF($C$10="","",MAX(U10:U39))</f>
        <v/>
      </c>
      <c r="V47" s="243" t="str">
        <f>IF($C$10="","",MAX(V10:V39))</f>
        <v/>
      </c>
      <c r="W47" s="195"/>
      <c r="X47" s="228" t="str">
        <f>IF($C$10="","",MAX(X10:X39))</f>
        <v/>
      </c>
      <c r="Y47" s="199" t="str">
        <f>IF($C$10="","",MAX(Y10:Y39))</f>
        <v/>
      </c>
      <c r="Z47" s="201"/>
    </row>
    <row r="48" spans="1:26" s="43" customFormat="1" ht="13.15">
      <c r="B48" s="192" t="s">
        <v>20</v>
      </c>
      <c r="C48" s="192"/>
      <c r="D48" s="196"/>
      <c r="E48" s="220" t="str">
        <f>IF($C$10="","",MIN(E10:E39))</f>
        <v/>
      </c>
      <c r="F48" s="196"/>
      <c r="G48" s="198" t="str">
        <f>IF($C$10="","",MIN(G10:G39))</f>
        <v/>
      </c>
      <c r="H48" s="195" t="str">
        <f>IF($C$10="","",MIN(H10:H39))</f>
        <v/>
      </c>
      <c r="I48" s="195" t="str">
        <f>IF($C$10="","",MIN(I10:I39))</f>
        <v/>
      </c>
      <c r="J48" s="195"/>
      <c r="K48" s="218" t="str">
        <f>IF($C$10="","",MIN(K10:K39))</f>
        <v/>
      </c>
      <c r="L48" s="195" t="str">
        <f>IF($C$10="","",MIN(L10:L39))</f>
        <v/>
      </c>
      <c r="M48" s="195" t="str">
        <f>IF($C$10="","",MIN(M10:M39))</f>
        <v/>
      </c>
      <c r="N48" s="221"/>
      <c r="O48" s="243" t="str">
        <f>IF($C$10="","",MIN(O10:O39))</f>
        <v/>
      </c>
      <c r="P48" s="243" t="str">
        <f>IF($C$10="","",MIN(P10:P39))</f>
        <v/>
      </c>
      <c r="Q48" s="243" t="str">
        <f>IF($C$10="","",MIN(Q10:Q39))</f>
        <v/>
      </c>
      <c r="R48" s="195"/>
      <c r="S48" s="242" t="str">
        <f>IF($C$10="","",MIN(S10:S39))</f>
        <v/>
      </c>
      <c r="T48" s="243" t="str">
        <f>IF($C$10="","",MIN(T10:T39))</f>
        <v/>
      </c>
      <c r="U48" s="243" t="str">
        <f>IF($C$10="","",MIN(U10:U39))</f>
        <v/>
      </c>
      <c r="V48" s="243" t="str">
        <f>IF($C$10="","",MIN(V10:V39))</f>
        <v/>
      </c>
      <c r="W48" s="195"/>
      <c r="X48" s="228" t="str">
        <f>IF($C$10="","",MIN(X10:X39))</f>
        <v/>
      </c>
      <c r="Y48" s="199" t="str">
        <f>IF($C$10="","",MIN(Y10:Y39))</f>
        <v/>
      </c>
      <c r="Z48" s="201"/>
    </row>
    <row r="49" spans="1:25" s="43" customFormat="1" ht="13.15">
      <c r="B49" s="146"/>
      <c r="C49" s="148"/>
      <c r="D49" s="55"/>
      <c r="E49" s="95"/>
      <c r="F49" s="55"/>
      <c r="G49" s="57"/>
      <c r="H49" s="57"/>
      <c r="I49" s="57"/>
      <c r="J49" s="57"/>
      <c r="K49" s="57"/>
      <c r="L49" s="57"/>
      <c r="M49" s="57"/>
      <c r="N49" s="57"/>
      <c r="O49" s="60"/>
      <c r="P49" s="60"/>
      <c r="Q49" s="60"/>
      <c r="R49" s="57"/>
      <c r="S49" s="57"/>
      <c r="T49" s="57"/>
      <c r="U49" s="57"/>
      <c r="V49" s="57"/>
      <c r="W49" s="57"/>
      <c r="X49" s="60"/>
      <c r="Y49" s="60"/>
    </row>
    <row r="50" spans="1:25" s="22" customFormat="1" ht="13.15">
      <c r="A50" s="33"/>
      <c r="B50" s="157"/>
      <c r="C50" s="157"/>
      <c r="D50" s="157"/>
      <c r="E50" s="157"/>
      <c r="F50" s="17"/>
      <c r="G50" s="69"/>
      <c r="H50" s="69"/>
      <c r="I50" s="69"/>
      <c r="J50" s="69"/>
      <c r="K50" s="69"/>
      <c r="L50" s="69"/>
      <c r="M50" s="69"/>
      <c r="N50" s="69"/>
      <c r="O50" s="97"/>
      <c r="P50" s="97"/>
      <c r="Q50" s="97"/>
      <c r="R50" s="69"/>
      <c r="S50" s="69"/>
      <c r="T50" s="69"/>
      <c r="U50" s="69"/>
      <c r="V50" s="69"/>
      <c r="W50" s="69"/>
      <c r="X50" s="97"/>
      <c r="Y50" s="97"/>
    </row>
    <row r="51" spans="1:25" s="22" customFormat="1" ht="13.15">
      <c r="A51" s="33"/>
      <c r="B51" s="149" t="s">
        <v>112</v>
      </c>
      <c r="C51" s="149"/>
      <c r="D51" s="21"/>
      <c r="E51" s="21"/>
      <c r="F51" s="21"/>
      <c r="G51" s="69"/>
      <c r="H51" s="69"/>
      <c r="I51" s="69"/>
      <c r="J51" s="69"/>
      <c r="K51" s="69"/>
      <c r="L51" s="69"/>
      <c r="M51" s="69"/>
      <c r="N51" s="69"/>
      <c r="O51" s="97"/>
      <c r="P51" s="97"/>
      <c r="Q51" s="97"/>
      <c r="R51" s="69"/>
      <c r="S51" s="69"/>
      <c r="T51" s="69"/>
      <c r="U51" s="69"/>
      <c r="V51" s="69"/>
      <c r="W51" s="69"/>
      <c r="X51" s="97"/>
      <c r="Y51" s="97"/>
    </row>
    <row r="52" spans="1:25" s="22" customFormat="1" ht="13.15">
      <c r="A52" s="33"/>
      <c r="B52" s="158"/>
      <c r="C52" s="149"/>
      <c r="D52" s="21"/>
      <c r="E52" s="21"/>
      <c r="F52" s="21"/>
      <c r="G52" s="69"/>
      <c r="H52" s="69"/>
      <c r="I52" s="69"/>
      <c r="J52" s="69"/>
      <c r="K52" s="69"/>
      <c r="L52" s="69"/>
      <c r="M52" s="69"/>
      <c r="N52" s="69"/>
      <c r="O52" s="97"/>
      <c r="P52" s="97"/>
      <c r="Q52" s="97"/>
      <c r="R52" s="69"/>
      <c r="S52" s="69"/>
      <c r="T52" s="69"/>
      <c r="U52" s="69"/>
      <c r="V52" s="69"/>
      <c r="W52" s="69"/>
      <c r="X52" s="97"/>
      <c r="Y52" s="97"/>
    </row>
    <row r="53" spans="1:25" s="22" customFormat="1" ht="13.15">
      <c r="A53" s="33"/>
      <c r="B53" s="149"/>
      <c r="C53" s="149"/>
      <c r="D53" s="21"/>
      <c r="E53" s="21"/>
      <c r="F53" s="21"/>
      <c r="G53" s="69"/>
      <c r="H53" s="69"/>
      <c r="I53" s="69"/>
      <c r="J53" s="69"/>
      <c r="K53" s="69"/>
      <c r="L53" s="69"/>
      <c r="M53" s="69"/>
      <c r="N53" s="69"/>
      <c r="O53" s="97"/>
      <c r="P53" s="97"/>
      <c r="Q53" s="97"/>
      <c r="R53" s="69"/>
      <c r="S53" s="69"/>
      <c r="T53" s="69"/>
      <c r="U53" s="69"/>
      <c r="V53" s="69"/>
      <c r="W53" s="69"/>
      <c r="X53" s="97"/>
      <c r="Y53" s="97"/>
    </row>
    <row r="54" spans="1:25" s="22" customFormat="1" ht="13.15">
      <c r="A54" s="33"/>
      <c r="B54" s="149"/>
      <c r="C54" s="149"/>
      <c r="D54" s="21"/>
      <c r="E54" s="21"/>
      <c r="F54" s="21"/>
      <c r="G54" s="69"/>
      <c r="H54" s="69"/>
      <c r="I54" s="69"/>
      <c r="J54" s="69"/>
      <c r="K54" s="69"/>
      <c r="L54" s="69"/>
      <c r="M54" s="69"/>
      <c r="N54" s="69"/>
      <c r="O54" s="97"/>
      <c r="P54" s="97"/>
      <c r="Q54" s="97"/>
      <c r="R54" s="69"/>
      <c r="S54" s="69"/>
      <c r="T54" s="69"/>
      <c r="U54" s="69"/>
      <c r="V54" s="69"/>
      <c r="W54" s="69"/>
      <c r="X54" s="97"/>
      <c r="Y54" s="97"/>
    </row>
  </sheetData>
  <sheetProtection selectLockedCells="1"/>
  <mergeCells count="5">
    <mergeCell ref="K6:M6"/>
    <mergeCell ref="X6:Y6"/>
    <mergeCell ref="G6:I6"/>
    <mergeCell ref="O6:Q6"/>
    <mergeCell ref="S6:V6"/>
  </mergeCells>
  <printOptions horizontalCentered="1"/>
  <pageMargins left="0.5" right="0.5" top="0.5" bottom="0.5" header="0.5" footer="0.5"/>
  <pageSetup scale="43" fitToHeight="1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List</vt:lpstr>
      <vt:lpstr>Info</vt:lpstr>
      <vt:lpstr>Comparable Valuation</vt:lpstr>
      <vt:lpstr>Benchmarking 1</vt:lpstr>
      <vt:lpstr>Benchmarking 2</vt:lpstr>
      <vt:lpstr>Benchmarking 3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Intrinio Comps</dc:title>
  <dc:creator>Intrinio</dc:creator>
  <cp:keywords>Intrinio Comp</cp:keywords>
  <cp:lastModifiedBy>Joey French</cp:lastModifiedBy>
  <cp:lastPrinted>2013-04-06T06:54:38Z</cp:lastPrinted>
  <dcterms:created xsi:type="dcterms:W3CDTF">2012-02-24T02:51:12Z</dcterms:created>
  <dcterms:modified xsi:type="dcterms:W3CDTF">2016-04-29T19:58:47Z</dcterms:modified>
</cp:coreProperties>
</file>