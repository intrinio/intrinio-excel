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Intrinio\Templates\Industrials\"/>
    </mc:Choice>
  </mc:AlternateContent>
  <bookViews>
    <workbookView xWindow="0" yWindow="0" windowWidth="24000" windowHeight="9630"/>
  </bookViews>
  <sheets>
    <sheet name="Company Info" sheetId="1" r:id="rId1"/>
    <sheet name="Metrics &amp; Forecasts" sheetId="6" r:id="rId2"/>
    <sheet name="Historical Stock Prices" sheetId="8" r:id="rId3"/>
    <sheet name="Standardized Income Statement" sheetId="2" r:id="rId4"/>
    <sheet name="Standardized Balance Sheet" sheetId="3" r:id="rId5"/>
    <sheet name="Standardized Cash Flows" sheetId="4" r:id="rId6"/>
    <sheet name="Historical Metrics &amp; Ratios" sheetId="9" r:id="rId7"/>
    <sheet name="As Reported Statements" sheetId="5" r:id="rId8"/>
  </sheets>
  <externalReferences>
    <externalReference r:id="rId9"/>
  </externalReferences>
  <definedNames>
    <definedName name="BFRT_hsaocnryapfgkrbys17g" localSheetId="6" hidden="1">#REF!</definedName>
    <definedName name="BFRT_hsaocnryapfgkrbys17g" localSheetId="2" hidden="1">#REF!</definedName>
    <definedName name="BFRT_hsaocnryapfgkrbys17g" localSheetId="1" hidden="1">#REF!</definedName>
    <definedName name="BFRT_hsaocnryapfgkrbys17g" localSheetId="4" hidden="1">#REF!</definedName>
    <definedName name="BFRT_hsaocnryapfgkrbys17g" localSheetId="5" hidden="1">#REF!</definedName>
    <definedName name="BFRT_hsaocnryapfgkrbys17g" localSheetId="3" hidden="1">#REF!</definedName>
    <definedName name="BFRT_hsaocnryapfgkrbys17g" hidden="1">#REF!</definedName>
    <definedName name="HTML1_1" hidden="1">"[FCFF3]Sheet1!$A$1:$L$34"</definedName>
    <definedName name="HTML1_10" hidden="1">""</definedName>
    <definedName name="HTML1_11" hidden="1">1</definedName>
    <definedName name="HTML1_12" hidden="1">"Aswath:Adobe SiteMill™ 1.0.2:MyHomePage:FCFF3.html"</definedName>
    <definedName name="HTML1_2" hidden="1">1</definedName>
    <definedName name="HTML1_3" hidden="1">"FCFF3"</definedName>
    <definedName name="HTML1_4" hidden="1">"Three-Stage FCFF Model"</definedName>
    <definedName name="HTML1_5" hidden="1">""</definedName>
    <definedName name="HTML1_6" hidden="1">-4146</definedName>
    <definedName name="HTML1_7" hidden="1">-4146</definedName>
    <definedName name="HTML1_8" hidden="1">"10/22/96"</definedName>
    <definedName name="HTML1_9" hidden="1">"Aswath Damodaran"</definedName>
    <definedName name="HTMLCount" hidden="1">1</definedName>
    <definedName name="Normal" hidden="1">NORMINV(0.0477903522728147+RAND()*0.939985175072141,0.79,0.12)</definedName>
    <definedName name="Normal1" hidden="1">NORMINV(0.0477903522728147+RAND()*0.939985175072141,0.79,0.12)</definedName>
    <definedName name="rounding">"M"</definedName>
    <definedName name="sequence">'As Reported Statements'!$C$9</definedName>
    <definedName name="statement" localSheetId="7">'As Reported Statements'!$C$7</definedName>
    <definedName name="statement" localSheetId="6">'Historical Metrics &amp; Ratios'!$B$7</definedName>
    <definedName name="statement" localSheetId="4">'Standardized Balance Sheet'!$B$7</definedName>
    <definedName name="statement" localSheetId="5">'Standardized Cash Flows'!$B$7</definedName>
    <definedName name="statement">'Standardized Income Statement'!$B$7</definedName>
    <definedName name="ticker">'Company Info'!$D$7</definedName>
    <definedName name="type" localSheetId="7">'As Reported Statements'!$C$8</definedName>
    <definedName name="type" localSheetId="6">'Historical Metrics &amp; Ratios'!$B$8</definedName>
    <definedName name="type" localSheetId="4">'Standardized Balance Sheet'!$B$8</definedName>
    <definedName name="type" localSheetId="5">'Standardized Cash Flows'!$B$8</definedName>
    <definedName name="type">'Standardized Income Statement'!$B$8</definedName>
  </definedNames>
  <calcPr calcId="171027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5" l="1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D111" i="5"/>
  <c r="C111" i="5"/>
  <c r="E111" i="5"/>
  <c r="A111" i="5"/>
  <c r="D110" i="5"/>
  <c r="C110" i="5"/>
  <c r="E110" i="5"/>
  <c r="A110" i="5"/>
  <c r="D109" i="5"/>
  <c r="C109" i="5"/>
  <c r="E109" i="5"/>
  <c r="A109" i="5"/>
  <c r="D108" i="5"/>
  <c r="C108" i="5"/>
  <c r="E108" i="5"/>
  <c r="A108" i="5"/>
  <c r="D107" i="5"/>
  <c r="C107" i="5"/>
  <c r="E107" i="5"/>
  <c r="A107" i="5"/>
  <c r="D106" i="5"/>
  <c r="C106" i="5"/>
  <c r="E106" i="5"/>
  <c r="A106" i="5"/>
  <c r="D105" i="5"/>
  <c r="C105" i="5"/>
  <c r="E105" i="5"/>
  <c r="A105" i="5"/>
  <c r="D104" i="5"/>
  <c r="C104" i="5"/>
  <c r="E104" i="5"/>
  <c r="A104" i="5"/>
  <c r="D103" i="5"/>
  <c r="C103" i="5"/>
  <c r="E103" i="5"/>
  <c r="A103" i="5"/>
  <c r="D102" i="5"/>
  <c r="C102" i="5"/>
  <c r="E102" i="5"/>
  <c r="A102" i="5"/>
  <c r="D101" i="5"/>
  <c r="C101" i="5"/>
  <c r="E101" i="5"/>
  <c r="A101" i="5"/>
  <c r="D100" i="5"/>
  <c r="C100" i="5"/>
  <c r="E100" i="5"/>
  <c r="A100" i="5"/>
  <c r="D99" i="5"/>
  <c r="C99" i="5"/>
  <c r="E99" i="5"/>
  <c r="A99" i="5"/>
  <c r="D98" i="5"/>
  <c r="C98" i="5"/>
  <c r="E98" i="5"/>
  <c r="A98" i="5"/>
  <c r="D97" i="5"/>
  <c r="C97" i="5"/>
  <c r="E97" i="5"/>
  <c r="A97" i="5"/>
  <c r="D96" i="5"/>
  <c r="C96" i="5"/>
  <c r="E96" i="5"/>
  <c r="A96" i="5"/>
  <c r="D95" i="5"/>
  <c r="C95" i="5"/>
  <c r="E95" i="5"/>
  <c r="A95" i="5"/>
  <c r="D94" i="5"/>
  <c r="C94" i="5"/>
  <c r="E94" i="5"/>
  <c r="A94" i="5"/>
  <c r="D93" i="5"/>
  <c r="C93" i="5"/>
  <c r="E93" i="5"/>
  <c r="A93" i="5"/>
  <c r="D92" i="5"/>
  <c r="C92" i="5"/>
  <c r="E92" i="5"/>
  <c r="A92" i="5"/>
  <c r="D91" i="5"/>
  <c r="C91" i="5"/>
  <c r="E91" i="5"/>
  <c r="A91" i="5"/>
  <c r="D90" i="5"/>
  <c r="C90" i="5"/>
  <c r="E90" i="5"/>
  <c r="A90" i="5"/>
  <c r="D89" i="5"/>
  <c r="C89" i="5"/>
  <c r="E89" i="5"/>
  <c r="A89" i="5"/>
  <c r="D88" i="5"/>
  <c r="C88" i="5"/>
  <c r="E88" i="5"/>
  <c r="A88" i="5"/>
  <c r="D87" i="5"/>
  <c r="C87" i="5"/>
  <c r="E87" i="5"/>
  <c r="A87" i="5"/>
  <c r="D86" i="5"/>
  <c r="C86" i="5"/>
  <c r="E86" i="5"/>
  <c r="A86" i="5"/>
  <c r="D85" i="5"/>
  <c r="C85" i="5"/>
  <c r="E85" i="5"/>
  <c r="A85" i="5"/>
  <c r="D84" i="5"/>
  <c r="C84" i="5"/>
  <c r="E84" i="5"/>
  <c r="A84" i="5"/>
  <c r="D83" i="5"/>
  <c r="C83" i="5"/>
  <c r="E83" i="5"/>
  <c r="A83" i="5"/>
  <c r="D82" i="5"/>
  <c r="C82" i="5"/>
  <c r="E82" i="5"/>
  <c r="A82" i="5"/>
  <c r="D81" i="5"/>
  <c r="C81" i="5"/>
  <c r="E81" i="5"/>
  <c r="A81" i="5"/>
  <c r="D80" i="5"/>
  <c r="C80" i="5"/>
  <c r="E80" i="5"/>
  <c r="A80" i="5"/>
  <c r="D79" i="5"/>
  <c r="C79" i="5"/>
  <c r="E79" i="5"/>
  <c r="A79" i="5"/>
  <c r="D78" i="5"/>
  <c r="C78" i="5"/>
  <c r="E78" i="5"/>
  <c r="A78" i="5"/>
  <c r="D77" i="5"/>
  <c r="C77" i="5"/>
  <c r="E77" i="5"/>
  <c r="A77" i="5"/>
  <c r="D76" i="5"/>
  <c r="C76" i="5"/>
  <c r="E76" i="5"/>
  <c r="A76" i="5"/>
  <c r="D75" i="5"/>
  <c r="C75" i="5"/>
  <c r="E75" i="5"/>
  <c r="A75" i="5"/>
  <c r="D74" i="5"/>
  <c r="C74" i="5"/>
  <c r="E74" i="5"/>
  <c r="A74" i="5"/>
  <c r="D73" i="5"/>
  <c r="C73" i="5"/>
  <c r="E73" i="5"/>
  <c r="A73" i="5"/>
  <c r="D72" i="5"/>
  <c r="C72" i="5"/>
  <c r="E72" i="5"/>
  <c r="A72" i="5"/>
  <c r="D71" i="5"/>
  <c r="C71" i="5"/>
  <c r="E71" i="5"/>
  <c r="A71" i="5"/>
  <c r="D70" i="5"/>
  <c r="C70" i="5"/>
  <c r="E70" i="5"/>
  <c r="A70" i="5"/>
  <c r="D69" i="5"/>
  <c r="C69" i="5"/>
  <c r="E69" i="5"/>
  <c r="A69" i="5"/>
  <c r="D68" i="5"/>
  <c r="C68" i="5"/>
  <c r="E68" i="5"/>
  <c r="A68" i="5"/>
  <c r="D67" i="5"/>
  <c r="C67" i="5"/>
  <c r="E67" i="5"/>
  <c r="A67" i="5"/>
  <c r="D66" i="5"/>
  <c r="C66" i="5"/>
  <c r="E66" i="5"/>
  <c r="A66" i="5"/>
  <c r="D65" i="5"/>
  <c r="C65" i="5"/>
  <c r="E65" i="5"/>
  <c r="A65" i="5"/>
  <c r="D64" i="5"/>
  <c r="C64" i="5"/>
  <c r="E64" i="5"/>
  <c r="A64" i="5"/>
  <c r="D63" i="5"/>
  <c r="C63" i="5"/>
  <c r="E63" i="5"/>
  <c r="A63" i="5"/>
  <c r="D62" i="5"/>
  <c r="C62" i="5"/>
  <c r="E62" i="5"/>
  <c r="A62" i="5"/>
  <c r="D61" i="5"/>
  <c r="C61" i="5"/>
  <c r="E61" i="5"/>
  <c r="A61" i="5"/>
  <c r="D60" i="5"/>
  <c r="C60" i="5"/>
  <c r="E60" i="5"/>
  <c r="A60" i="5"/>
  <c r="D59" i="5"/>
  <c r="C59" i="5"/>
  <c r="E59" i="5"/>
  <c r="A59" i="5"/>
  <c r="D58" i="5"/>
  <c r="C58" i="5"/>
  <c r="E58" i="5"/>
  <c r="A58" i="5"/>
  <c r="D57" i="5"/>
  <c r="C57" i="5"/>
  <c r="E57" i="5"/>
  <c r="A57" i="5"/>
  <c r="D56" i="5"/>
  <c r="C56" i="5"/>
  <c r="E56" i="5"/>
  <c r="A56" i="5"/>
  <c r="D55" i="5"/>
  <c r="C55" i="5"/>
  <c r="E55" i="5"/>
  <c r="A55" i="5"/>
  <c r="D54" i="5"/>
  <c r="C54" i="5"/>
  <c r="E54" i="5"/>
  <c r="A54" i="5"/>
  <c r="D53" i="5"/>
  <c r="C53" i="5"/>
  <c r="E53" i="5"/>
  <c r="A53" i="5"/>
  <c r="D52" i="5"/>
  <c r="C52" i="5"/>
  <c r="E52" i="5"/>
  <c r="A52" i="5"/>
  <c r="D51" i="5"/>
  <c r="C51" i="5"/>
  <c r="E51" i="5"/>
  <c r="A51" i="5"/>
  <c r="D50" i="5"/>
  <c r="C50" i="5"/>
  <c r="E50" i="5"/>
  <c r="A50" i="5"/>
  <c r="D49" i="5"/>
  <c r="C49" i="5"/>
  <c r="E49" i="5"/>
  <c r="A49" i="5"/>
  <c r="D48" i="5"/>
  <c r="C48" i="5"/>
  <c r="E48" i="5"/>
  <c r="A48" i="5"/>
  <c r="D47" i="5"/>
  <c r="C47" i="5"/>
  <c r="E47" i="5"/>
  <c r="A47" i="5"/>
  <c r="D46" i="5"/>
  <c r="C46" i="5"/>
  <c r="E46" i="5"/>
  <c r="A46" i="5"/>
  <c r="D45" i="5"/>
  <c r="C45" i="5"/>
  <c r="E45" i="5"/>
  <c r="A45" i="5"/>
  <c r="D44" i="5"/>
  <c r="C44" i="5"/>
  <c r="E44" i="5"/>
  <c r="A44" i="5"/>
  <c r="D43" i="5"/>
  <c r="C43" i="5"/>
  <c r="E43" i="5"/>
  <c r="A43" i="5"/>
  <c r="D42" i="5"/>
  <c r="C42" i="5"/>
  <c r="E42" i="5"/>
  <c r="A42" i="5"/>
  <c r="D41" i="5"/>
  <c r="C41" i="5"/>
  <c r="E41" i="5"/>
  <c r="A41" i="5"/>
  <c r="D40" i="5"/>
  <c r="C40" i="5"/>
  <c r="E40" i="5"/>
  <c r="A40" i="5"/>
  <c r="D39" i="5"/>
  <c r="C39" i="5"/>
  <c r="E39" i="5"/>
  <c r="A39" i="5"/>
  <c r="D38" i="5"/>
  <c r="C38" i="5"/>
  <c r="E38" i="5"/>
  <c r="A38" i="5"/>
  <c r="D37" i="5"/>
  <c r="C37" i="5"/>
  <c r="E37" i="5"/>
  <c r="A37" i="5"/>
  <c r="D36" i="5"/>
  <c r="C36" i="5"/>
  <c r="E36" i="5"/>
  <c r="A36" i="5"/>
  <c r="D35" i="5"/>
  <c r="C35" i="5"/>
  <c r="E35" i="5"/>
  <c r="A35" i="5"/>
  <c r="D34" i="5"/>
  <c r="C34" i="5"/>
  <c r="E34" i="5"/>
  <c r="A34" i="5"/>
  <c r="D33" i="5"/>
  <c r="C33" i="5"/>
  <c r="E33" i="5"/>
  <c r="A33" i="5"/>
  <c r="D32" i="5"/>
  <c r="C32" i="5"/>
  <c r="E32" i="5"/>
  <c r="A32" i="5"/>
  <c r="D31" i="5"/>
  <c r="C31" i="5"/>
  <c r="E31" i="5"/>
  <c r="A31" i="5"/>
  <c r="D30" i="5"/>
  <c r="C30" i="5"/>
  <c r="E30" i="5"/>
  <c r="A30" i="5"/>
  <c r="D29" i="5"/>
  <c r="C29" i="5"/>
  <c r="E29" i="5"/>
  <c r="A29" i="5"/>
  <c r="D28" i="5"/>
  <c r="C28" i="5"/>
  <c r="E28" i="5"/>
  <c r="A28" i="5"/>
  <c r="D27" i="5"/>
  <c r="C27" i="5"/>
  <c r="E27" i="5"/>
  <c r="A27" i="5"/>
  <c r="D26" i="5"/>
  <c r="C26" i="5"/>
  <c r="E26" i="5"/>
  <c r="A26" i="5"/>
  <c r="D25" i="5"/>
  <c r="C25" i="5"/>
  <c r="E25" i="5"/>
  <c r="A25" i="5"/>
  <c r="D24" i="5"/>
  <c r="C24" i="5"/>
  <c r="E24" i="5"/>
  <c r="A24" i="5"/>
  <c r="D23" i="5"/>
  <c r="C23" i="5"/>
  <c r="E23" i="5"/>
  <c r="A23" i="5"/>
  <c r="D22" i="5"/>
  <c r="C22" i="5"/>
  <c r="E22" i="5"/>
  <c r="A22" i="5"/>
  <c r="D21" i="5"/>
  <c r="C21" i="5"/>
  <c r="E21" i="5"/>
  <c r="A21" i="5"/>
  <c r="D20" i="5"/>
  <c r="C20" i="5"/>
  <c r="E20" i="5"/>
  <c r="A20" i="5"/>
  <c r="D19" i="5"/>
  <c r="C19" i="5"/>
  <c r="E19" i="5"/>
  <c r="A19" i="5"/>
  <c r="D18" i="5"/>
  <c r="C18" i="5"/>
  <c r="E18" i="5"/>
  <c r="A18" i="5"/>
  <c r="D17" i="5"/>
  <c r="C17" i="5"/>
  <c r="E17" i="5"/>
  <c r="A17" i="5"/>
  <c r="D16" i="5"/>
  <c r="C16" i="5"/>
  <c r="E16" i="5"/>
  <c r="A16" i="5"/>
  <c r="D15" i="5"/>
  <c r="C15" i="5"/>
  <c r="E15" i="5"/>
  <c r="A15" i="5"/>
  <c r="D14" i="5"/>
  <c r="C14" i="5"/>
  <c r="E14" i="5"/>
  <c r="A14" i="5"/>
  <c r="D13" i="5"/>
  <c r="C13" i="5"/>
  <c r="E13" i="5"/>
  <c r="A13" i="5"/>
  <c r="D12" i="5"/>
  <c r="C12" i="5"/>
  <c r="E12" i="5"/>
  <c r="A12" i="5"/>
  <c r="D11" i="5"/>
  <c r="C11" i="5"/>
  <c r="E11" i="5"/>
  <c r="A11" i="5"/>
  <c r="E5" i="5"/>
  <c r="E4" i="5"/>
  <c r="E3" i="5"/>
  <c r="A2" i="5"/>
  <c r="A1" i="5"/>
  <c r="H187" i="9"/>
  <c r="G9" i="9"/>
  <c r="G187" i="9"/>
  <c r="F9" i="9"/>
  <c r="F187" i="9"/>
  <c r="E9" i="9"/>
  <c r="E187" i="9"/>
  <c r="D9" i="9"/>
  <c r="D187" i="9"/>
  <c r="H186" i="9"/>
  <c r="G186" i="9"/>
  <c r="F186" i="9"/>
  <c r="E186" i="9"/>
  <c r="D186" i="9"/>
  <c r="H185" i="9"/>
  <c r="G185" i="9"/>
  <c r="F185" i="9"/>
  <c r="E185" i="9"/>
  <c r="D185" i="9"/>
  <c r="H183" i="9"/>
  <c r="G183" i="9"/>
  <c r="F183" i="9"/>
  <c r="E183" i="9"/>
  <c r="D183" i="9"/>
  <c r="H182" i="9"/>
  <c r="G182" i="9"/>
  <c r="F182" i="9"/>
  <c r="E182" i="9"/>
  <c r="D182" i="9"/>
  <c r="H179" i="9"/>
  <c r="G179" i="9"/>
  <c r="F179" i="9"/>
  <c r="E179" i="9"/>
  <c r="D179" i="9"/>
  <c r="H178" i="9"/>
  <c r="G178" i="9"/>
  <c r="F178" i="9"/>
  <c r="E178" i="9"/>
  <c r="D178" i="9"/>
  <c r="H177" i="9"/>
  <c r="G177" i="9"/>
  <c r="F177" i="9"/>
  <c r="E177" i="9"/>
  <c r="D177" i="9"/>
  <c r="H175" i="9"/>
  <c r="G175" i="9"/>
  <c r="F175" i="9"/>
  <c r="E175" i="9"/>
  <c r="D175" i="9"/>
  <c r="H174" i="9"/>
  <c r="G174" i="9"/>
  <c r="F174" i="9"/>
  <c r="E174" i="9"/>
  <c r="D174" i="9"/>
  <c r="H173" i="9"/>
  <c r="G173" i="9"/>
  <c r="F173" i="9"/>
  <c r="E173" i="9"/>
  <c r="D173" i="9"/>
  <c r="H172" i="9"/>
  <c r="G172" i="9"/>
  <c r="F172" i="9"/>
  <c r="E172" i="9"/>
  <c r="D172" i="9"/>
  <c r="H169" i="9"/>
  <c r="G169" i="9"/>
  <c r="F169" i="9"/>
  <c r="E169" i="9"/>
  <c r="D169" i="9"/>
  <c r="H167" i="9"/>
  <c r="G167" i="9"/>
  <c r="F167" i="9"/>
  <c r="E167" i="9"/>
  <c r="D167" i="9"/>
  <c r="H166" i="9"/>
  <c r="G166" i="9"/>
  <c r="F166" i="9"/>
  <c r="E166" i="9"/>
  <c r="D166" i="9"/>
  <c r="H165" i="9"/>
  <c r="G165" i="9"/>
  <c r="F165" i="9"/>
  <c r="E165" i="9"/>
  <c r="D165" i="9"/>
  <c r="H164" i="9"/>
  <c r="G164" i="9"/>
  <c r="F164" i="9"/>
  <c r="E164" i="9"/>
  <c r="D164" i="9"/>
  <c r="H163" i="9"/>
  <c r="G163" i="9"/>
  <c r="F163" i="9"/>
  <c r="E163" i="9"/>
  <c r="D163" i="9"/>
  <c r="H162" i="9"/>
  <c r="G162" i="9"/>
  <c r="F162" i="9"/>
  <c r="E162" i="9"/>
  <c r="D162" i="9"/>
  <c r="H159" i="9"/>
  <c r="G159" i="9"/>
  <c r="F159" i="9"/>
  <c r="E159" i="9"/>
  <c r="D159" i="9"/>
  <c r="H158" i="9"/>
  <c r="G158" i="9"/>
  <c r="F158" i="9"/>
  <c r="E158" i="9"/>
  <c r="D158" i="9"/>
  <c r="H157" i="9"/>
  <c r="G157" i="9"/>
  <c r="F157" i="9"/>
  <c r="E157" i="9"/>
  <c r="D157" i="9"/>
  <c r="H156" i="9"/>
  <c r="G156" i="9"/>
  <c r="F156" i="9"/>
  <c r="E156" i="9"/>
  <c r="D156" i="9"/>
  <c r="H155" i="9"/>
  <c r="G155" i="9"/>
  <c r="F155" i="9"/>
  <c r="E155" i="9"/>
  <c r="D155" i="9"/>
  <c r="H154" i="9"/>
  <c r="G154" i="9"/>
  <c r="F154" i="9"/>
  <c r="E154" i="9"/>
  <c r="D154" i="9"/>
  <c r="H151" i="9"/>
  <c r="G151" i="9"/>
  <c r="F151" i="9"/>
  <c r="E151" i="9"/>
  <c r="D151" i="9"/>
  <c r="H150" i="9"/>
  <c r="G150" i="9"/>
  <c r="F150" i="9"/>
  <c r="E150" i="9"/>
  <c r="D150" i="9"/>
  <c r="H147" i="9"/>
  <c r="G147" i="9"/>
  <c r="F147" i="9"/>
  <c r="E147" i="9"/>
  <c r="D147" i="9"/>
  <c r="H146" i="9"/>
  <c r="G146" i="9"/>
  <c r="F146" i="9"/>
  <c r="E146" i="9"/>
  <c r="D146" i="9"/>
  <c r="H145" i="9"/>
  <c r="G145" i="9"/>
  <c r="F145" i="9"/>
  <c r="E145" i="9"/>
  <c r="D145" i="9"/>
  <c r="H144" i="9"/>
  <c r="G144" i="9"/>
  <c r="F144" i="9"/>
  <c r="E144" i="9"/>
  <c r="D144" i="9"/>
  <c r="H142" i="9"/>
  <c r="G142" i="9"/>
  <c r="F142" i="9"/>
  <c r="E142" i="9"/>
  <c r="D142" i="9"/>
  <c r="H141" i="9"/>
  <c r="G141" i="9"/>
  <c r="F141" i="9"/>
  <c r="E141" i="9"/>
  <c r="D141" i="9"/>
  <c r="H140" i="9"/>
  <c r="G140" i="9"/>
  <c r="F140" i="9"/>
  <c r="E140" i="9"/>
  <c r="D140" i="9"/>
  <c r="H139" i="9"/>
  <c r="G139" i="9"/>
  <c r="F139" i="9"/>
  <c r="E139" i="9"/>
  <c r="D139" i="9"/>
  <c r="H138" i="9"/>
  <c r="G138" i="9"/>
  <c r="F138" i="9"/>
  <c r="E138" i="9"/>
  <c r="D138" i="9"/>
  <c r="H137" i="9"/>
  <c r="G137" i="9"/>
  <c r="F137" i="9"/>
  <c r="E137" i="9"/>
  <c r="D137" i="9"/>
  <c r="H134" i="9"/>
  <c r="G134" i="9"/>
  <c r="F134" i="9"/>
  <c r="E134" i="9"/>
  <c r="D134" i="9"/>
  <c r="H133" i="9"/>
  <c r="G133" i="9"/>
  <c r="F133" i="9"/>
  <c r="E133" i="9"/>
  <c r="D133" i="9"/>
  <c r="H132" i="9"/>
  <c r="G132" i="9"/>
  <c r="F132" i="9"/>
  <c r="E132" i="9"/>
  <c r="D132" i="9"/>
  <c r="H131" i="9"/>
  <c r="G131" i="9"/>
  <c r="F131" i="9"/>
  <c r="E131" i="9"/>
  <c r="D131" i="9"/>
  <c r="H130" i="9"/>
  <c r="G130" i="9"/>
  <c r="F130" i="9"/>
  <c r="E130" i="9"/>
  <c r="D130" i="9"/>
  <c r="H128" i="9"/>
  <c r="G128" i="9"/>
  <c r="F128" i="9"/>
  <c r="E128" i="9"/>
  <c r="D128" i="9"/>
  <c r="H127" i="9"/>
  <c r="G127" i="9"/>
  <c r="F127" i="9"/>
  <c r="E127" i="9"/>
  <c r="D127" i="9"/>
  <c r="H126" i="9"/>
  <c r="G126" i="9"/>
  <c r="F126" i="9"/>
  <c r="E126" i="9"/>
  <c r="D126" i="9"/>
  <c r="H125" i="9"/>
  <c r="G125" i="9"/>
  <c r="F125" i="9"/>
  <c r="E125" i="9"/>
  <c r="D125" i="9"/>
  <c r="H124" i="9"/>
  <c r="G124" i="9"/>
  <c r="F124" i="9"/>
  <c r="E124" i="9"/>
  <c r="D124" i="9"/>
  <c r="H123" i="9"/>
  <c r="G123" i="9"/>
  <c r="F123" i="9"/>
  <c r="E123" i="9"/>
  <c r="D123" i="9"/>
  <c r="H120" i="9"/>
  <c r="G120" i="9"/>
  <c r="F120" i="9"/>
  <c r="E120" i="9"/>
  <c r="D120" i="9"/>
  <c r="H119" i="9"/>
  <c r="G119" i="9"/>
  <c r="F119" i="9"/>
  <c r="E119" i="9"/>
  <c r="D119" i="9"/>
  <c r="H117" i="9"/>
  <c r="G117" i="9"/>
  <c r="F117" i="9"/>
  <c r="E117" i="9"/>
  <c r="D117" i="9"/>
  <c r="H116" i="9"/>
  <c r="G116" i="9"/>
  <c r="F116" i="9"/>
  <c r="E116" i="9"/>
  <c r="D116" i="9"/>
  <c r="H114" i="9"/>
  <c r="G114" i="9"/>
  <c r="F114" i="9"/>
  <c r="E114" i="9"/>
  <c r="D114" i="9"/>
  <c r="H113" i="9"/>
  <c r="G113" i="9"/>
  <c r="F113" i="9"/>
  <c r="E113" i="9"/>
  <c r="D113" i="9"/>
  <c r="H111" i="9"/>
  <c r="G111" i="9"/>
  <c r="F111" i="9"/>
  <c r="E111" i="9"/>
  <c r="D111" i="9"/>
  <c r="H110" i="9"/>
  <c r="G110" i="9"/>
  <c r="F110" i="9"/>
  <c r="E110" i="9"/>
  <c r="D110" i="9"/>
  <c r="H108" i="9"/>
  <c r="G108" i="9"/>
  <c r="F108" i="9"/>
  <c r="E108" i="9"/>
  <c r="D108" i="9"/>
  <c r="H107" i="9"/>
  <c r="G107" i="9"/>
  <c r="F107" i="9"/>
  <c r="E107" i="9"/>
  <c r="D107" i="9"/>
  <c r="H105" i="9"/>
  <c r="G105" i="9"/>
  <c r="F105" i="9"/>
  <c r="E105" i="9"/>
  <c r="D105" i="9"/>
  <c r="H104" i="9"/>
  <c r="G104" i="9"/>
  <c r="F104" i="9"/>
  <c r="E104" i="9"/>
  <c r="D104" i="9"/>
  <c r="H102" i="9"/>
  <c r="G102" i="9"/>
  <c r="F102" i="9"/>
  <c r="E102" i="9"/>
  <c r="D102" i="9"/>
  <c r="H101" i="9"/>
  <c r="G101" i="9"/>
  <c r="F101" i="9"/>
  <c r="E101" i="9"/>
  <c r="D101" i="9"/>
  <c r="H99" i="9"/>
  <c r="G99" i="9"/>
  <c r="F99" i="9"/>
  <c r="E99" i="9"/>
  <c r="D99" i="9"/>
  <c r="H98" i="9"/>
  <c r="G98" i="9"/>
  <c r="F98" i="9"/>
  <c r="E98" i="9"/>
  <c r="D98" i="9"/>
  <c r="H96" i="9"/>
  <c r="G96" i="9"/>
  <c r="F96" i="9"/>
  <c r="E96" i="9"/>
  <c r="D96" i="9"/>
  <c r="H95" i="9"/>
  <c r="G95" i="9"/>
  <c r="F95" i="9"/>
  <c r="E95" i="9"/>
  <c r="D95" i="9"/>
  <c r="H92" i="9"/>
  <c r="G92" i="9"/>
  <c r="F92" i="9"/>
  <c r="E92" i="9"/>
  <c r="D92" i="9"/>
  <c r="H91" i="9"/>
  <c r="G91" i="9"/>
  <c r="F91" i="9"/>
  <c r="E91" i="9"/>
  <c r="D91" i="9"/>
  <c r="H90" i="9"/>
  <c r="G90" i="9"/>
  <c r="F90" i="9"/>
  <c r="E90" i="9"/>
  <c r="D90" i="9"/>
  <c r="H87" i="9"/>
  <c r="G87" i="9"/>
  <c r="F87" i="9"/>
  <c r="E87" i="9"/>
  <c r="D87" i="9"/>
  <c r="H85" i="9"/>
  <c r="G85" i="9"/>
  <c r="F85" i="9"/>
  <c r="E85" i="9"/>
  <c r="D85" i="9"/>
  <c r="H83" i="9"/>
  <c r="G83" i="9"/>
  <c r="F83" i="9"/>
  <c r="E83" i="9"/>
  <c r="D83" i="9"/>
  <c r="H82" i="9"/>
  <c r="G82" i="9"/>
  <c r="F82" i="9"/>
  <c r="E82" i="9"/>
  <c r="D82" i="9"/>
  <c r="H80" i="9"/>
  <c r="G80" i="9"/>
  <c r="F80" i="9"/>
  <c r="E80" i="9"/>
  <c r="D80" i="9"/>
  <c r="H79" i="9"/>
  <c r="G79" i="9"/>
  <c r="F79" i="9"/>
  <c r="E79" i="9"/>
  <c r="D79" i="9"/>
  <c r="H77" i="9"/>
  <c r="G77" i="9"/>
  <c r="F77" i="9"/>
  <c r="E77" i="9"/>
  <c r="D77" i="9"/>
  <c r="H76" i="9"/>
  <c r="G76" i="9"/>
  <c r="F76" i="9"/>
  <c r="E76" i="9"/>
  <c r="D76" i="9"/>
  <c r="H74" i="9"/>
  <c r="G74" i="9"/>
  <c r="F74" i="9"/>
  <c r="E74" i="9"/>
  <c r="D74" i="9"/>
  <c r="H73" i="9"/>
  <c r="G73" i="9"/>
  <c r="F73" i="9"/>
  <c r="E73" i="9"/>
  <c r="D73" i="9"/>
  <c r="H72" i="9"/>
  <c r="G72" i="9"/>
  <c r="F72" i="9"/>
  <c r="E72" i="9"/>
  <c r="D72" i="9"/>
  <c r="H71" i="9"/>
  <c r="G71" i="9"/>
  <c r="F71" i="9"/>
  <c r="E71" i="9"/>
  <c r="D71" i="9"/>
  <c r="H69" i="9"/>
  <c r="G69" i="9"/>
  <c r="F69" i="9"/>
  <c r="E69" i="9"/>
  <c r="D69" i="9"/>
  <c r="H67" i="9"/>
  <c r="G67" i="9"/>
  <c r="F67" i="9"/>
  <c r="E67" i="9"/>
  <c r="D67" i="9"/>
  <c r="H65" i="9"/>
  <c r="G65" i="9"/>
  <c r="F65" i="9"/>
  <c r="E65" i="9"/>
  <c r="D65" i="9"/>
  <c r="H64" i="9"/>
  <c r="G64" i="9"/>
  <c r="F64" i="9"/>
  <c r="E64" i="9"/>
  <c r="D64" i="9"/>
  <c r="H63" i="9"/>
  <c r="G63" i="9"/>
  <c r="F63" i="9"/>
  <c r="E63" i="9"/>
  <c r="D63" i="9"/>
  <c r="H61" i="9"/>
  <c r="G61" i="9"/>
  <c r="F61" i="9"/>
  <c r="E61" i="9"/>
  <c r="D61" i="9"/>
  <c r="H59" i="9"/>
  <c r="G59" i="9"/>
  <c r="F59" i="9"/>
  <c r="E59" i="9"/>
  <c r="D59" i="9"/>
  <c r="H57" i="9"/>
  <c r="G57" i="9"/>
  <c r="F57" i="9"/>
  <c r="E57" i="9"/>
  <c r="D57" i="9"/>
  <c r="H54" i="9"/>
  <c r="G54" i="9"/>
  <c r="F54" i="9"/>
  <c r="E54" i="9"/>
  <c r="D54" i="9"/>
  <c r="H53" i="9"/>
  <c r="G53" i="9"/>
  <c r="F53" i="9"/>
  <c r="E53" i="9"/>
  <c r="D53" i="9"/>
  <c r="H52" i="9"/>
  <c r="G52" i="9"/>
  <c r="F52" i="9"/>
  <c r="E52" i="9"/>
  <c r="D52" i="9"/>
  <c r="H51" i="9"/>
  <c r="G51" i="9"/>
  <c r="F51" i="9"/>
  <c r="E51" i="9"/>
  <c r="D51" i="9"/>
  <c r="H50" i="9"/>
  <c r="G50" i="9"/>
  <c r="F50" i="9"/>
  <c r="E50" i="9"/>
  <c r="D50" i="9"/>
  <c r="H49" i="9"/>
  <c r="G49" i="9"/>
  <c r="F49" i="9"/>
  <c r="E49" i="9"/>
  <c r="D49" i="9"/>
  <c r="H48" i="9"/>
  <c r="G48" i="9"/>
  <c r="F48" i="9"/>
  <c r="E48" i="9"/>
  <c r="D48" i="9"/>
  <c r="H46" i="9"/>
  <c r="G46" i="9"/>
  <c r="F46" i="9"/>
  <c r="E46" i="9"/>
  <c r="D46" i="9"/>
  <c r="H45" i="9"/>
  <c r="G45" i="9"/>
  <c r="F45" i="9"/>
  <c r="E45" i="9"/>
  <c r="D45" i="9"/>
  <c r="H44" i="9"/>
  <c r="G44" i="9"/>
  <c r="F44" i="9"/>
  <c r="E44" i="9"/>
  <c r="D44" i="9"/>
  <c r="H43" i="9"/>
  <c r="G43" i="9"/>
  <c r="F43" i="9"/>
  <c r="E43" i="9"/>
  <c r="D43" i="9"/>
  <c r="H42" i="9"/>
  <c r="G42" i="9"/>
  <c r="F42" i="9"/>
  <c r="E42" i="9"/>
  <c r="D42" i="9"/>
  <c r="H41" i="9"/>
  <c r="G41" i="9"/>
  <c r="F41" i="9"/>
  <c r="E41" i="9"/>
  <c r="D41" i="9"/>
  <c r="H39" i="9"/>
  <c r="G39" i="9"/>
  <c r="F39" i="9"/>
  <c r="E39" i="9"/>
  <c r="D39" i="9"/>
  <c r="H38" i="9"/>
  <c r="G38" i="9"/>
  <c r="F38" i="9"/>
  <c r="E38" i="9"/>
  <c r="D38" i="9"/>
  <c r="H35" i="9"/>
  <c r="G35" i="9"/>
  <c r="F35" i="9"/>
  <c r="E35" i="9"/>
  <c r="D35" i="9"/>
  <c r="H34" i="9"/>
  <c r="G34" i="9"/>
  <c r="F34" i="9"/>
  <c r="E34" i="9"/>
  <c r="D34" i="9"/>
  <c r="H33" i="9"/>
  <c r="G33" i="9"/>
  <c r="F33" i="9"/>
  <c r="E33" i="9"/>
  <c r="D33" i="9"/>
  <c r="H31" i="9"/>
  <c r="G31" i="9"/>
  <c r="F31" i="9"/>
  <c r="E31" i="9"/>
  <c r="D31" i="9"/>
  <c r="H30" i="9"/>
  <c r="G30" i="9"/>
  <c r="F30" i="9"/>
  <c r="E30" i="9"/>
  <c r="D30" i="9"/>
  <c r="H29" i="9"/>
  <c r="G29" i="9"/>
  <c r="F29" i="9"/>
  <c r="E29" i="9"/>
  <c r="D29" i="9"/>
  <c r="H27" i="9"/>
  <c r="G27" i="9"/>
  <c r="F27" i="9"/>
  <c r="E27" i="9"/>
  <c r="D27" i="9"/>
  <c r="H26" i="9"/>
  <c r="G26" i="9"/>
  <c r="F26" i="9"/>
  <c r="E26" i="9"/>
  <c r="D26" i="9"/>
  <c r="H24" i="9"/>
  <c r="G24" i="9"/>
  <c r="F24" i="9"/>
  <c r="E24" i="9"/>
  <c r="D24" i="9"/>
  <c r="H23" i="9"/>
  <c r="G23" i="9"/>
  <c r="F23" i="9"/>
  <c r="E23" i="9"/>
  <c r="D23" i="9"/>
  <c r="H22" i="9"/>
  <c r="G22" i="9"/>
  <c r="F22" i="9"/>
  <c r="E22" i="9"/>
  <c r="D22" i="9"/>
  <c r="H21" i="9"/>
  <c r="G21" i="9"/>
  <c r="F21" i="9"/>
  <c r="E21" i="9"/>
  <c r="D21" i="9"/>
  <c r="H19" i="9"/>
  <c r="G19" i="9"/>
  <c r="F19" i="9"/>
  <c r="E19" i="9"/>
  <c r="D19" i="9"/>
  <c r="H18" i="9"/>
  <c r="G18" i="9"/>
  <c r="F18" i="9"/>
  <c r="E18" i="9"/>
  <c r="D18" i="9"/>
  <c r="H16" i="9"/>
  <c r="G16" i="9"/>
  <c r="F16" i="9"/>
  <c r="E16" i="9"/>
  <c r="D16" i="9"/>
  <c r="H15" i="9"/>
  <c r="G15" i="9"/>
  <c r="F15" i="9"/>
  <c r="E15" i="9"/>
  <c r="D15" i="9"/>
  <c r="H14" i="9"/>
  <c r="G14" i="9"/>
  <c r="F14" i="9"/>
  <c r="E14" i="9"/>
  <c r="D14" i="9"/>
  <c r="H13" i="9"/>
  <c r="G13" i="9"/>
  <c r="F13" i="9"/>
  <c r="E13" i="9"/>
  <c r="D13" i="9"/>
  <c r="H12" i="9"/>
  <c r="G12" i="9"/>
  <c r="F12" i="9"/>
  <c r="E12" i="9"/>
  <c r="D12" i="9"/>
  <c r="H5" i="9"/>
  <c r="G5" i="9"/>
  <c r="F5" i="9"/>
  <c r="E5" i="9"/>
  <c r="D5" i="9"/>
  <c r="H4" i="9"/>
  <c r="G4" i="9"/>
  <c r="F4" i="9"/>
  <c r="E4" i="9"/>
  <c r="D4" i="9"/>
  <c r="H3" i="9"/>
  <c r="G3" i="9"/>
  <c r="F3" i="9"/>
  <c r="E3" i="9"/>
  <c r="D3" i="9"/>
  <c r="A2" i="9"/>
  <c r="A1" i="9"/>
  <c r="H56" i="4"/>
  <c r="G9" i="4"/>
  <c r="G56" i="4"/>
  <c r="F9" i="4"/>
  <c r="F56" i="4"/>
  <c r="E9" i="4"/>
  <c r="E56" i="4"/>
  <c r="D9" i="4"/>
  <c r="D56" i="4"/>
  <c r="H55" i="4"/>
  <c r="G55" i="4"/>
  <c r="F55" i="4"/>
  <c r="E55" i="4"/>
  <c r="D55" i="4"/>
  <c r="H54" i="4"/>
  <c r="G54" i="4"/>
  <c r="F54" i="4"/>
  <c r="E54" i="4"/>
  <c r="D54" i="4"/>
  <c r="H51" i="4"/>
  <c r="G51" i="4"/>
  <c r="F51" i="4"/>
  <c r="E51" i="4"/>
  <c r="D51" i="4"/>
  <c r="H49" i="4"/>
  <c r="G49" i="4"/>
  <c r="F49" i="4"/>
  <c r="E49" i="4"/>
  <c r="D49" i="4"/>
  <c r="H48" i="4"/>
  <c r="G48" i="4"/>
  <c r="F48" i="4"/>
  <c r="E48" i="4"/>
  <c r="D48" i="4"/>
  <c r="H46" i="4"/>
  <c r="G46" i="4"/>
  <c r="F46" i="4"/>
  <c r="E46" i="4"/>
  <c r="D46" i="4"/>
  <c r="H45" i="4"/>
  <c r="G45" i="4"/>
  <c r="F45" i="4"/>
  <c r="E45" i="4"/>
  <c r="D45" i="4"/>
  <c r="H44" i="4"/>
  <c r="G44" i="4"/>
  <c r="F44" i="4"/>
  <c r="E44" i="4"/>
  <c r="D44" i="4"/>
  <c r="H43" i="4"/>
  <c r="G43" i="4"/>
  <c r="F43" i="4"/>
  <c r="E43" i="4"/>
  <c r="D43" i="4"/>
  <c r="H42" i="4"/>
  <c r="G42" i="4"/>
  <c r="F42" i="4"/>
  <c r="E42" i="4"/>
  <c r="D42" i="4"/>
  <c r="H41" i="4"/>
  <c r="G41" i="4"/>
  <c r="F41" i="4"/>
  <c r="E41" i="4"/>
  <c r="D41" i="4"/>
  <c r="H40" i="4"/>
  <c r="G40" i="4"/>
  <c r="F40" i="4"/>
  <c r="E40" i="4"/>
  <c r="D40" i="4"/>
  <c r="H39" i="4"/>
  <c r="G39" i="4"/>
  <c r="F39" i="4"/>
  <c r="E39" i="4"/>
  <c r="D39" i="4"/>
  <c r="H38" i="4"/>
  <c r="G38" i="4"/>
  <c r="F38" i="4"/>
  <c r="E38" i="4"/>
  <c r="D38" i="4"/>
  <c r="H37" i="4"/>
  <c r="G37" i="4"/>
  <c r="F37" i="4"/>
  <c r="E37" i="4"/>
  <c r="D37" i="4"/>
  <c r="H36" i="4"/>
  <c r="G36" i="4"/>
  <c r="F36" i="4"/>
  <c r="E36" i="4"/>
  <c r="D36" i="4"/>
  <c r="H33" i="4"/>
  <c r="G33" i="4"/>
  <c r="F33" i="4"/>
  <c r="E33" i="4"/>
  <c r="D33" i="4"/>
  <c r="H32" i="4"/>
  <c r="G32" i="4"/>
  <c r="F32" i="4"/>
  <c r="E32" i="4"/>
  <c r="D32" i="4"/>
  <c r="H31" i="4"/>
  <c r="G31" i="4"/>
  <c r="F31" i="4"/>
  <c r="E31" i="4"/>
  <c r="D31" i="4"/>
  <c r="H30" i="4"/>
  <c r="G30" i="4"/>
  <c r="F30" i="4"/>
  <c r="E30" i="4"/>
  <c r="D30" i="4"/>
  <c r="H29" i="4"/>
  <c r="G29" i="4"/>
  <c r="F29" i="4"/>
  <c r="E29" i="4"/>
  <c r="D29" i="4"/>
  <c r="H28" i="4"/>
  <c r="G28" i="4"/>
  <c r="F28" i="4"/>
  <c r="E28" i="4"/>
  <c r="D28" i="4"/>
  <c r="H27" i="4"/>
  <c r="G27" i="4"/>
  <c r="F27" i="4"/>
  <c r="E27" i="4"/>
  <c r="D27" i="4"/>
  <c r="H26" i="4"/>
  <c r="G26" i="4"/>
  <c r="F26" i="4"/>
  <c r="E26" i="4"/>
  <c r="D26" i="4"/>
  <c r="H25" i="4"/>
  <c r="G25" i="4"/>
  <c r="F25" i="4"/>
  <c r="E25" i="4"/>
  <c r="D25" i="4"/>
  <c r="H24" i="4"/>
  <c r="G24" i="4"/>
  <c r="F24" i="4"/>
  <c r="E24" i="4"/>
  <c r="D24" i="4"/>
  <c r="H21" i="4"/>
  <c r="G21" i="4"/>
  <c r="F21" i="4"/>
  <c r="E21" i="4"/>
  <c r="D21" i="4"/>
  <c r="H20" i="4"/>
  <c r="G20" i="4"/>
  <c r="F20" i="4"/>
  <c r="E20" i="4"/>
  <c r="D20" i="4"/>
  <c r="H19" i="4"/>
  <c r="G19" i="4"/>
  <c r="F19" i="4"/>
  <c r="E19" i="4"/>
  <c r="D19" i="4"/>
  <c r="H18" i="4"/>
  <c r="G18" i="4"/>
  <c r="F18" i="4"/>
  <c r="E18" i="4"/>
  <c r="D18" i="4"/>
  <c r="H17" i="4"/>
  <c r="G17" i="4"/>
  <c r="F17" i="4"/>
  <c r="E17" i="4"/>
  <c r="D17" i="4"/>
  <c r="H16" i="4"/>
  <c r="G16" i="4"/>
  <c r="F16" i="4"/>
  <c r="E16" i="4"/>
  <c r="D16" i="4"/>
  <c r="H15" i="4"/>
  <c r="G15" i="4"/>
  <c r="F15" i="4"/>
  <c r="E15" i="4"/>
  <c r="D15" i="4"/>
  <c r="H14" i="4"/>
  <c r="G14" i="4"/>
  <c r="F14" i="4"/>
  <c r="E14" i="4"/>
  <c r="D14" i="4"/>
  <c r="H13" i="4"/>
  <c r="G13" i="4"/>
  <c r="F13" i="4"/>
  <c r="E13" i="4"/>
  <c r="D13" i="4"/>
  <c r="H12" i="4"/>
  <c r="G12" i="4"/>
  <c r="F12" i="4"/>
  <c r="E12" i="4"/>
  <c r="D12" i="4"/>
  <c r="H5" i="4"/>
  <c r="G5" i="4"/>
  <c r="F5" i="4"/>
  <c r="E5" i="4"/>
  <c r="D5" i="4"/>
  <c r="H4" i="4"/>
  <c r="G4" i="4"/>
  <c r="F4" i="4"/>
  <c r="E4" i="4"/>
  <c r="D4" i="4"/>
  <c r="H3" i="4"/>
  <c r="G3" i="4"/>
  <c r="F3" i="4"/>
  <c r="E3" i="4"/>
  <c r="D3" i="4"/>
  <c r="A2" i="4"/>
  <c r="A1" i="4"/>
  <c r="H91" i="3"/>
  <c r="G9" i="3"/>
  <c r="G91" i="3"/>
  <c r="F9" i="3"/>
  <c r="F91" i="3"/>
  <c r="E9" i="3"/>
  <c r="E91" i="3"/>
  <c r="D9" i="3"/>
  <c r="D91" i="3"/>
  <c r="H89" i="3"/>
  <c r="G89" i="3"/>
  <c r="F89" i="3"/>
  <c r="E89" i="3"/>
  <c r="D89" i="3"/>
  <c r="H88" i="3"/>
  <c r="G88" i="3"/>
  <c r="F88" i="3"/>
  <c r="E88" i="3"/>
  <c r="D88" i="3"/>
  <c r="H86" i="3"/>
  <c r="G86" i="3"/>
  <c r="F86" i="3"/>
  <c r="E86" i="3"/>
  <c r="D86" i="3"/>
  <c r="H84" i="3"/>
  <c r="G84" i="3"/>
  <c r="F84" i="3"/>
  <c r="E84" i="3"/>
  <c r="D84" i="3"/>
  <c r="H83" i="3"/>
  <c r="G83" i="3"/>
  <c r="F83" i="3"/>
  <c r="E83" i="3"/>
  <c r="D83" i="3"/>
  <c r="H82" i="3"/>
  <c r="G82" i="3"/>
  <c r="F82" i="3"/>
  <c r="E82" i="3"/>
  <c r="D82" i="3"/>
  <c r="H81" i="3"/>
  <c r="G81" i="3"/>
  <c r="F81" i="3"/>
  <c r="E81" i="3"/>
  <c r="D81" i="3"/>
  <c r="H80" i="3"/>
  <c r="G80" i="3"/>
  <c r="F80" i="3"/>
  <c r="E80" i="3"/>
  <c r="D80" i="3"/>
  <c r="H79" i="3"/>
  <c r="G79" i="3"/>
  <c r="F79" i="3"/>
  <c r="E79" i="3"/>
  <c r="D79" i="3"/>
  <c r="H76" i="3"/>
  <c r="G76" i="3"/>
  <c r="F76" i="3"/>
  <c r="E76" i="3"/>
  <c r="D76" i="3"/>
  <c r="H72" i="3"/>
  <c r="G72" i="3"/>
  <c r="F72" i="3"/>
  <c r="E72" i="3"/>
  <c r="D72" i="3"/>
  <c r="H70" i="3"/>
  <c r="G70" i="3"/>
  <c r="F70" i="3"/>
  <c r="E70" i="3"/>
  <c r="D70" i="3"/>
  <c r="H68" i="3"/>
  <c r="G68" i="3"/>
  <c r="F68" i="3"/>
  <c r="E68" i="3"/>
  <c r="D68" i="3"/>
  <c r="H66" i="3"/>
  <c r="G66" i="3"/>
  <c r="F66" i="3"/>
  <c r="E66" i="3"/>
  <c r="D66" i="3"/>
  <c r="H65" i="3"/>
  <c r="G65" i="3"/>
  <c r="F65" i="3"/>
  <c r="E65" i="3"/>
  <c r="D65" i="3"/>
  <c r="H64" i="3"/>
  <c r="G64" i="3"/>
  <c r="F64" i="3"/>
  <c r="E64" i="3"/>
  <c r="D64" i="3"/>
  <c r="H63" i="3"/>
  <c r="G63" i="3"/>
  <c r="F63" i="3"/>
  <c r="E63" i="3"/>
  <c r="D63" i="3"/>
  <c r="H62" i="3"/>
  <c r="G62" i="3"/>
  <c r="F62" i="3"/>
  <c r="E62" i="3"/>
  <c r="D62" i="3"/>
  <c r="H61" i="3"/>
  <c r="G61" i="3"/>
  <c r="F61" i="3"/>
  <c r="E61" i="3"/>
  <c r="D61" i="3"/>
  <c r="H60" i="3"/>
  <c r="G60" i="3"/>
  <c r="F60" i="3"/>
  <c r="E60" i="3"/>
  <c r="D60" i="3"/>
  <c r="H59" i="3"/>
  <c r="G59" i="3"/>
  <c r="F59" i="3"/>
  <c r="E59" i="3"/>
  <c r="D59" i="3"/>
  <c r="H58" i="3"/>
  <c r="G58" i="3"/>
  <c r="F58" i="3"/>
  <c r="E58" i="3"/>
  <c r="D58" i="3"/>
  <c r="H56" i="3"/>
  <c r="G56" i="3"/>
  <c r="F56" i="3"/>
  <c r="E56" i="3"/>
  <c r="D56" i="3"/>
  <c r="H55" i="3"/>
  <c r="G55" i="3"/>
  <c r="F55" i="3"/>
  <c r="E55" i="3"/>
  <c r="D55" i="3"/>
  <c r="H54" i="3"/>
  <c r="G54" i="3"/>
  <c r="F54" i="3"/>
  <c r="E54" i="3"/>
  <c r="D54" i="3"/>
  <c r="H53" i="3"/>
  <c r="G53" i="3"/>
  <c r="F53" i="3"/>
  <c r="E53" i="3"/>
  <c r="D53" i="3"/>
  <c r="H52" i="3"/>
  <c r="G52" i="3"/>
  <c r="F52" i="3"/>
  <c r="E52" i="3"/>
  <c r="D52" i="3"/>
  <c r="H51" i="3"/>
  <c r="G51" i="3"/>
  <c r="F51" i="3"/>
  <c r="E51" i="3"/>
  <c r="D51" i="3"/>
  <c r="H50" i="3"/>
  <c r="G50" i="3"/>
  <c r="F50" i="3"/>
  <c r="E50" i="3"/>
  <c r="D50" i="3"/>
  <c r="H49" i="3"/>
  <c r="G49" i="3"/>
  <c r="F49" i="3"/>
  <c r="E49" i="3"/>
  <c r="D49" i="3"/>
  <c r="H48" i="3"/>
  <c r="G48" i="3"/>
  <c r="F48" i="3"/>
  <c r="E48" i="3"/>
  <c r="D48" i="3"/>
  <c r="H47" i="3"/>
  <c r="G47" i="3"/>
  <c r="F47" i="3"/>
  <c r="E47" i="3"/>
  <c r="D47" i="3"/>
  <c r="H46" i="3"/>
  <c r="G46" i="3"/>
  <c r="F46" i="3"/>
  <c r="E46" i="3"/>
  <c r="D46" i="3"/>
  <c r="H45" i="3"/>
  <c r="G45" i="3"/>
  <c r="F45" i="3"/>
  <c r="E45" i="3"/>
  <c r="D45" i="3"/>
  <c r="H41" i="3"/>
  <c r="G41" i="3"/>
  <c r="F41" i="3"/>
  <c r="E41" i="3"/>
  <c r="D41" i="3"/>
  <c r="H39" i="3"/>
  <c r="G39" i="3"/>
  <c r="F39" i="3"/>
  <c r="E39" i="3"/>
  <c r="D39" i="3"/>
  <c r="H38" i="3"/>
  <c r="G38" i="3"/>
  <c r="F38" i="3"/>
  <c r="E38" i="3"/>
  <c r="D38" i="3"/>
  <c r="H37" i="3"/>
  <c r="G37" i="3"/>
  <c r="F37" i="3"/>
  <c r="E37" i="3"/>
  <c r="D37" i="3"/>
  <c r="H36" i="3"/>
  <c r="G36" i="3"/>
  <c r="F36" i="3"/>
  <c r="E36" i="3"/>
  <c r="D36" i="3"/>
  <c r="H35" i="3"/>
  <c r="G35" i="3"/>
  <c r="F35" i="3"/>
  <c r="E35" i="3"/>
  <c r="D35" i="3"/>
  <c r="H34" i="3"/>
  <c r="G34" i="3"/>
  <c r="F34" i="3"/>
  <c r="E34" i="3"/>
  <c r="D34" i="3"/>
  <c r="H33" i="3"/>
  <c r="G33" i="3"/>
  <c r="F33" i="3"/>
  <c r="E33" i="3"/>
  <c r="D33" i="3"/>
  <c r="H32" i="3"/>
  <c r="G32" i="3"/>
  <c r="F32" i="3"/>
  <c r="E32" i="3"/>
  <c r="D32" i="3"/>
  <c r="H31" i="3"/>
  <c r="G31" i="3"/>
  <c r="F31" i="3"/>
  <c r="E31" i="3"/>
  <c r="D31" i="3"/>
  <c r="H28" i="3"/>
  <c r="G28" i="3"/>
  <c r="F28" i="3"/>
  <c r="E28" i="3"/>
  <c r="D28" i="3"/>
  <c r="H27" i="3"/>
  <c r="G27" i="3"/>
  <c r="F27" i="3"/>
  <c r="E27" i="3"/>
  <c r="D27" i="3"/>
  <c r="H26" i="3"/>
  <c r="G26" i="3"/>
  <c r="F26" i="3"/>
  <c r="E26" i="3"/>
  <c r="D26" i="3"/>
  <c r="H23" i="3"/>
  <c r="G23" i="3"/>
  <c r="F23" i="3"/>
  <c r="E23" i="3"/>
  <c r="D23" i="3"/>
  <c r="H22" i="3"/>
  <c r="G22" i="3"/>
  <c r="F22" i="3"/>
  <c r="E22" i="3"/>
  <c r="D22" i="3"/>
  <c r="H21" i="3"/>
  <c r="G21" i="3"/>
  <c r="F21" i="3"/>
  <c r="E21" i="3"/>
  <c r="D21" i="3"/>
  <c r="H20" i="3"/>
  <c r="G20" i="3"/>
  <c r="F20" i="3"/>
  <c r="E20" i="3"/>
  <c r="D20" i="3"/>
  <c r="H19" i="3"/>
  <c r="G19" i="3"/>
  <c r="F19" i="3"/>
  <c r="E19" i="3"/>
  <c r="D19" i="3"/>
  <c r="H18" i="3"/>
  <c r="G18" i="3"/>
  <c r="F18" i="3"/>
  <c r="E18" i="3"/>
  <c r="D18" i="3"/>
  <c r="H17" i="3"/>
  <c r="G17" i="3"/>
  <c r="F17" i="3"/>
  <c r="E17" i="3"/>
  <c r="D17" i="3"/>
  <c r="H16" i="3"/>
  <c r="G16" i="3"/>
  <c r="F16" i="3"/>
  <c r="E16" i="3"/>
  <c r="D16" i="3"/>
  <c r="H15" i="3"/>
  <c r="G15" i="3"/>
  <c r="F15" i="3"/>
  <c r="E15" i="3"/>
  <c r="D15" i="3"/>
  <c r="H14" i="3"/>
  <c r="G14" i="3"/>
  <c r="F14" i="3"/>
  <c r="E14" i="3"/>
  <c r="D14" i="3"/>
  <c r="H13" i="3"/>
  <c r="G13" i="3"/>
  <c r="F13" i="3"/>
  <c r="E13" i="3"/>
  <c r="D13" i="3"/>
  <c r="H5" i="3"/>
  <c r="G5" i="3"/>
  <c r="F5" i="3"/>
  <c r="E5" i="3"/>
  <c r="D5" i="3"/>
  <c r="H4" i="3"/>
  <c r="G4" i="3"/>
  <c r="F4" i="3"/>
  <c r="E4" i="3"/>
  <c r="D4" i="3"/>
  <c r="H3" i="3"/>
  <c r="G3" i="3"/>
  <c r="F3" i="3"/>
  <c r="E3" i="3"/>
  <c r="D3" i="3"/>
  <c r="A2" i="3"/>
  <c r="A1" i="3"/>
  <c r="H69" i="2"/>
  <c r="G9" i="2"/>
  <c r="G69" i="2"/>
  <c r="F9" i="2"/>
  <c r="F69" i="2"/>
  <c r="E9" i="2"/>
  <c r="E69" i="2"/>
  <c r="D9" i="2"/>
  <c r="D69" i="2"/>
  <c r="H66" i="2"/>
  <c r="G66" i="2"/>
  <c r="F66" i="2"/>
  <c r="E66" i="2"/>
  <c r="D66" i="2"/>
  <c r="H65" i="2"/>
  <c r="G65" i="2"/>
  <c r="F65" i="2"/>
  <c r="E65" i="2"/>
  <c r="D65" i="2"/>
  <c r="H62" i="2"/>
  <c r="G62" i="2"/>
  <c r="F62" i="2"/>
  <c r="E62" i="2"/>
  <c r="D62" i="2"/>
  <c r="H61" i="2"/>
  <c r="G61" i="2"/>
  <c r="F61" i="2"/>
  <c r="E61" i="2"/>
  <c r="D61" i="2"/>
  <c r="H58" i="2"/>
  <c r="G58" i="2"/>
  <c r="F58" i="2"/>
  <c r="E58" i="2"/>
  <c r="D58" i="2"/>
  <c r="H56" i="2"/>
  <c r="G56" i="2"/>
  <c r="F56" i="2"/>
  <c r="E56" i="2"/>
  <c r="D56" i="2"/>
  <c r="H55" i="2"/>
  <c r="G55" i="2"/>
  <c r="F55" i="2"/>
  <c r="E55" i="2"/>
  <c r="D55" i="2"/>
  <c r="H54" i="2"/>
  <c r="G54" i="2"/>
  <c r="F54" i="2"/>
  <c r="E54" i="2"/>
  <c r="D54" i="2"/>
  <c r="H52" i="2"/>
  <c r="G52" i="2"/>
  <c r="F52" i="2"/>
  <c r="E52" i="2"/>
  <c r="D52" i="2"/>
  <c r="H50" i="2"/>
  <c r="G50" i="2"/>
  <c r="F50" i="2"/>
  <c r="E50" i="2"/>
  <c r="D50" i="2"/>
  <c r="H49" i="2"/>
  <c r="G49" i="2"/>
  <c r="F49" i="2"/>
  <c r="E49" i="2"/>
  <c r="D49" i="2"/>
  <c r="H47" i="2"/>
  <c r="G47" i="2"/>
  <c r="F47" i="2"/>
  <c r="E47" i="2"/>
  <c r="D47" i="2"/>
  <c r="H46" i="2"/>
  <c r="G46" i="2"/>
  <c r="F46" i="2"/>
  <c r="E46" i="2"/>
  <c r="D46" i="2"/>
  <c r="H44" i="2"/>
  <c r="G44" i="2"/>
  <c r="F44" i="2"/>
  <c r="E44" i="2"/>
  <c r="D44" i="2"/>
  <c r="H43" i="2"/>
  <c r="G43" i="2"/>
  <c r="F43" i="2"/>
  <c r="E43" i="2"/>
  <c r="D43" i="2"/>
  <c r="H41" i="2"/>
  <c r="G41" i="2"/>
  <c r="F41" i="2"/>
  <c r="E41" i="2"/>
  <c r="D41" i="2"/>
  <c r="H39" i="2"/>
  <c r="G39" i="2"/>
  <c r="F39" i="2"/>
  <c r="E39" i="2"/>
  <c r="D39" i="2"/>
  <c r="H38" i="2"/>
  <c r="G38" i="2"/>
  <c r="F38" i="2"/>
  <c r="E38" i="2"/>
  <c r="D38" i="2"/>
  <c r="H37" i="2"/>
  <c r="G37" i="2"/>
  <c r="F37" i="2"/>
  <c r="E37" i="2"/>
  <c r="D37" i="2"/>
  <c r="H36" i="2"/>
  <c r="G36" i="2"/>
  <c r="F36" i="2"/>
  <c r="E36" i="2"/>
  <c r="D36" i="2"/>
  <c r="H34" i="2"/>
  <c r="G34" i="2"/>
  <c r="F34" i="2"/>
  <c r="E34" i="2"/>
  <c r="D34" i="2"/>
  <c r="H32" i="2"/>
  <c r="G32" i="2"/>
  <c r="F32" i="2"/>
  <c r="E32" i="2"/>
  <c r="D32" i="2"/>
  <c r="H31" i="2"/>
  <c r="G31" i="2"/>
  <c r="F31" i="2"/>
  <c r="E31" i="2"/>
  <c r="D31" i="2"/>
  <c r="H30" i="2"/>
  <c r="G30" i="2"/>
  <c r="F30" i="2"/>
  <c r="E30" i="2"/>
  <c r="D30" i="2"/>
  <c r="H29" i="2"/>
  <c r="G29" i="2"/>
  <c r="F29" i="2"/>
  <c r="E29" i="2"/>
  <c r="D29" i="2"/>
  <c r="H28" i="2"/>
  <c r="G28" i="2"/>
  <c r="F28" i="2"/>
  <c r="E28" i="2"/>
  <c r="D28" i="2"/>
  <c r="H27" i="2"/>
  <c r="G27" i="2"/>
  <c r="F27" i="2"/>
  <c r="E27" i="2"/>
  <c r="D27" i="2"/>
  <c r="H26" i="2"/>
  <c r="G26" i="2"/>
  <c r="F26" i="2"/>
  <c r="E26" i="2"/>
  <c r="D26" i="2"/>
  <c r="H25" i="2"/>
  <c r="G25" i="2"/>
  <c r="F25" i="2"/>
  <c r="E25" i="2"/>
  <c r="D25" i="2"/>
  <c r="H24" i="2"/>
  <c r="G24" i="2"/>
  <c r="F24" i="2"/>
  <c r="E24" i="2"/>
  <c r="D24" i="2"/>
  <c r="H23" i="2"/>
  <c r="G23" i="2"/>
  <c r="F23" i="2"/>
  <c r="E23" i="2"/>
  <c r="D23" i="2"/>
  <c r="H22" i="2"/>
  <c r="G22" i="2"/>
  <c r="F22" i="2"/>
  <c r="E22" i="2"/>
  <c r="D22" i="2"/>
  <c r="H21" i="2"/>
  <c r="G21" i="2"/>
  <c r="F21" i="2"/>
  <c r="E21" i="2"/>
  <c r="D21" i="2"/>
  <c r="H19" i="2"/>
  <c r="G19" i="2"/>
  <c r="F19" i="2"/>
  <c r="E19" i="2"/>
  <c r="D19" i="2"/>
  <c r="H17" i="2"/>
  <c r="G17" i="2"/>
  <c r="F17" i="2"/>
  <c r="E17" i="2"/>
  <c r="D17" i="2"/>
  <c r="H16" i="2"/>
  <c r="G16" i="2"/>
  <c r="F16" i="2"/>
  <c r="E16" i="2"/>
  <c r="D16" i="2"/>
  <c r="H15" i="2"/>
  <c r="G15" i="2"/>
  <c r="F15" i="2"/>
  <c r="E15" i="2"/>
  <c r="D15" i="2"/>
  <c r="H13" i="2"/>
  <c r="G13" i="2"/>
  <c r="F13" i="2"/>
  <c r="E13" i="2"/>
  <c r="D13" i="2"/>
  <c r="H12" i="2"/>
  <c r="G12" i="2"/>
  <c r="F12" i="2"/>
  <c r="E12" i="2"/>
  <c r="D12" i="2"/>
  <c r="H11" i="2"/>
  <c r="G11" i="2"/>
  <c r="F11" i="2"/>
  <c r="E11" i="2"/>
  <c r="D11" i="2"/>
  <c r="H5" i="2"/>
  <c r="G5" i="2"/>
  <c r="F5" i="2"/>
  <c r="E5" i="2"/>
  <c r="D5" i="2"/>
  <c r="H4" i="2"/>
  <c r="G4" i="2"/>
  <c r="F4" i="2"/>
  <c r="E4" i="2"/>
  <c r="D4" i="2"/>
  <c r="H3" i="2"/>
  <c r="G3" i="2"/>
  <c r="F3" i="2"/>
  <c r="E3" i="2"/>
  <c r="D3" i="2"/>
  <c r="A2" i="2"/>
  <c r="A1" i="2"/>
  <c r="D5" i="8"/>
  <c r="D4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O269" i="8"/>
  <c r="N269" i="8"/>
  <c r="M269" i="8"/>
  <c r="L269" i="8"/>
  <c r="K269" i="8"/>
  <c r="J269" i="8"/>
  <c r="I269" i="8"/>
  <c r="H269" i="8"/>
  <c r="G269" i="8"/>
  <c r="F269" i="8"/>
  <c r="E269" i="8"/>
  <c r="D269" i="8"/>
  <c r="C269" i="8"/>
  <c r="O268" i="8"/>
  <c r="N268" i="8"/>
  <c r="M268" i="8"/>
  <c r="L268" i="8"/>
  <c r="K268" i="8"/>
  <c r="J268" i="8"/>
  <c r="I268" i="8"/>
  <c r="H268" i="8"/>
  <c r="G268" i="8"/>
  <c r="F268" i="8"/>
  <c r="E268" i="8"/>
  <c r="D268" i="8"/>
  <c r="C268" i="8"/>
  <c r="O267" i="8"/>
  <c r="N267" i="8"/>
  <c r="M267" i="8"/>
  <c r="L267" i="8"/>
  <c r="K267" i="8"/>
  <c r="J267" i="8"/>
  <c r="I267" i="8"/>
  <c r="H267" i="8"/>
  <c r="G267" i="8"/>
  <c r="F267" i="8"/>
  <c r="E267" i="8"/>
  <c r="D267" i="8"/>
  <c r="C267" i="8"/>
  <c r="O266" i="8"/>
  <c r="N266" i="8"/>
  <c r="M266" i="8"/>
  <c r="L266" i="8"/>
  <c r="K266" i="8"/>
  <c r="J266" i="8"/>
  <c r="I266" i="8"/>
  <c r="H266" i="8"/>
  <c r="G266" i="8"/>
  <c r="F266" i="8"/>
  <c r="E266" i="8"/>
  <c r="D266" i="8"/>
  <c r="C266" i="8"/>
  <c r="O265" i="8"/>
  <c r="N265" i="8"/>
  <c r="M265" i="8"/>
  <c r="L265" i="8"/>
  <c r="K265" i="8"/>
  <c r="J265" i="8"/>
  <c r="I265" i="8"/>
  <c r="H265" i="8"/>
  <c r="G265" i="8"/>
  <c r="F265" i="8"/>
  <c r="E265" i="8"/>
  <c r="D265" i="8"/>
  <c r="C265" i="8"/>
  <c r="O264" i="8"/>
  <c r="N264" i="8"/>
  <c r="M264" i="8"/>
  <c r="L264" i="8"/>
  <c r="K264" i="8"/>
  <c r="J264" i="8"/>
  <c r="I264" i="8"/>
  <c r="H264" i="8"/>
  <c r="G264" i="8"/>
  <c r="F264" i="8"/>
  <c r="E264" i="8"/>
  <c r="D264" i="8"/>
  <c r="C264" i="8"/>
  <c r="O263" i="8"/>
  <c r="N263" i="8"/>
  <c r="M263" i="8"/>
  <c r="L263" i="8"/>
  <c r="K263" i="8"/>
  <c r="J263" i="8"/>
  <c r="I263" i="8"/>
  <c r="H263" i="8"/>
  <c r="G263" i="8"/>
  <c r="F263" i="8"/>
  <c r="E263" i="8"/>
  <c r="D263" i="8"/>
  <c r="C263" i="8"/>
  <c r="O262" i="8"/>
  <c r="N262" i="8"/>
  <c r="M262" i="8"/>
  <c r="L262" i="8"/>
  <c r="K262" i="8"/>
  <c r="J262" i="8"/>
  <c r="I262" i="8"/>
  <c r="H262" i="8"/>
  <c r="G262" i="8"/>
  <c r="F262" i="8"/>
  <c r="E262" i="8"/>
  <c r="D262" i="8"/>
  <c r="C262" i="8"/>
  <c r="O261" i="8"/>
  <c r="N261" i="8"/>
  <c r="M261" i="8"/>
  <c r="L261" i="8"/>
  <c r="K261" i="8"/>
  <c r="J261" i="8"/>
  <c r="I261" i="8"/>
  <c r="H261" i="8"/>
  <c r="G261" i="8"/>
  <c r="F261" i="8"/>
  <c r="E261" i="8"/>
  <c r="D261" i="8"/>
  <c r="C261" i="8"/>
  <c r="O260" i="8"/>
  <c r="N260" i="8"/>
  <c r="M260" i="8"/>
  <c r="L260" i="8"/>
  <c r="K260" i="8"/>
  <c r="J260" i="8"/>
  <c r="I260" i="8"/>
  <c r="H260" i="8"/>
  <c r="G260" i="8"/>
  <c r="F260" i="8"/>
  <c r="E260" i="8"/>
  <c r="D260" i="8"/>
  <c r="C260" i="8"/>
  <c r="O259" i="8"/>
  <c r="N259" i="8"/>
  <c r="M259" i="8"/>
  <c r="L259" i="8"/>
  <c r="K259" i="8"/>
  <c r="J259" i="8"/>
  <c r="I259" i="8"/>
  <c r="H259" i="8"/>
  <c r="G259" i="8"/>
  <c r="F259" i="8"/>
  <c r="E259" i="8"/>
  <c r="D259" i="8"/>
  <c r="C259" i="8"/>
  <c r="O258" i="8"/>
  <c r="N258" i="8"/>
  <c r="M258" i="8"/>
  <c r="L258" i="8"/>
  <c r="K258" i="8"/>
  <c r="J258" i="8"/>
  <c r="I258" i="8"/>
  <c r="H258" i="8"/>
  <c r="G258" i="8"/>
  <c r="F258" i="8"/>
  <c r="E258" i="8"/>
  <c r="D258" i="8"/>
  <c r="C258" i="8"/>
  <c r="O257" i="8"/>
  <c r="N257" i="8"/>
  <c r="M257" i="8"/>
  <c r="L257" i="8"/>
  <c r="K257" i="8"/>
  <c r="J257" i="8"/>
  <c r="I257" i="8"/>
  <c r="H257" i="8"/>
  <c r="G257" i="8"/>
  <c r="F257" i="8"/>
  <c r="E257" i="8"/>
  <c r="D257" i="8"/>
  <c r="C257" i="8"/>
  <c r="O256" i="8"/>
  <c r="N256" i="8"/>
  <c r="M256" i="8"/>
  <c r="L256" i="8"/>
  <c r="K256" i="8"/>
  <c r="J256" i="8"/>
  <c r="I256" i="8"/>
  <c r="H256" i="8"/>
  <c r="G256" i="8"/>
  <c r="F256" i="8"/>
  <c r="E256" i="8"/>
  <c r="D256" i="8"/>
  <c r="C256" i="8"/>
  <c r="O255" i="8"/>
  <c r="N255" i="8"/>
  <c r="M255" i="8"/>
  <c r="L255" i="8"/>
  <c r="K255" i="8"/>
  <c r="J255" i="8"/>
  <c r="I255" i="8"/>
  <c r="H255" i="8"/>
  <c r="G255" i="8"/>
  <c r="F255" i="8"/>
  <c r="E255" i="8"/>
  <c r="D255" i="8"/>
  <c r="C255" i="8"/>
  <c r="O254" i="8"/>
  <c r="N254" i="8"/>
  <c r="M254" i="8"/>
  <c r="L254" i="8"/>
  <c r="K254" i="8"/>
  <c r="J254" i="8"/>
  <c r="I254" i="8"/>
  <c r="H254" i="8"/>
  <c r="G254" i="8"/>
  <c r="F254" i="8"/>
  <c r="E254" i="8"/>
  <c r="D254" i="8"/>
  <c r="C254" i="8"/>
  <c r="O253" i="8"/>
  <c r="N253" i="8"/>
  <c r="M253" i="8"/>
  <c r="L253" i="8"/>
  <c r="K253" i="8"/>
  <c r="J253" i="8"/>
  <c r="I253" i="8"/>
  <c r="H253" i="8"/>
  <c r="G253" i="8"/>
  <c r="F253" i="8"/>
  <c r="E253" i="8"/>
  <c r="D253" i="8"/>
  <c r="C253" i="8"/>
  <c r="O252" i="8"/>
  <c r="N252" i="8"/>
  <c r="M252" i="8"/>
  <c r="L252" i="8"/>
  <c r="K252" i="8"/>
  <c r="J252" i="8"/>
  <c r="I252" i="8"/>
  <c r="H252" i="8"/>
  <c r="G252" i="8"/>
  <c r="F252" i="8"/>
  <c r="E252" i="8"/>
  <c r="D252" i="8"/>
  <c r="C252" i="8"/>
  <c r="O251" i="8"/>
  <c r="N251" i="8"/>
  <c r="M251" i="8"/>
  <c r="L251" i="8"/>
  <c r="K251" i="8"/>
  <c r="J251" i="8"/>
  <c r="I251" i="8"/>
  <c r="H251" i="8"/>
  <c r="G251" i="8"/>
  <c r="F251" i="8"/>
  <c r="E251" i="8"/>
  <c r="D251" i="8"/>
  <c r="C251" i="8"/>
  <c r="O250" i="8"/>
  <c r="N250" i="8"/>
  <c r="M250" i="8"/>
  <c r="L250" i="8"/>
  <c r="K250" i="8"/>
  <c r="J250" i="8"/>
  <c r="I250" i="8"/>
  <c r="H250" i="8"/>
  <c r="G250" i="8"/>
  <c r="F250" i="8"/>
  <c r="E250" i="8"/>
  <c r="D250" i="8"/>
  <c r="C250" i="8"/>
  <c r="O249" i="8"/>
  <c r="N249" i="8"/>
  <c r="M249" i="8"/>
  <c r="L249" i="8"/>
  <c r="K249" i="8"/>
  <c r="J249" i="8"/>
  <c r="I249" i="8"/>
  <c r="H249" i="8"/>
  <c r="G249" i="8"/>
  <c r="F249" i="8"/>
  <c r="E249" i="8"/>
  <c r="D249" i="8"/>
  <c r="C249" i="8"/>
  <c r="O248" i="8"/>
  <c r="N248" i="8"/>
  <c r="M248" i="8"/>
  <c r="L248" i="8"/>
  <c r="K248" i="8"/>
  <c r="J248" i="8"/>
  <c r="I248" i="8"/>
  <c r="H248" i="8"/>
  <c r="G248" i="8"/>
  <c r="F248" i="8"/>
  <c r="E248" i="8"/>
  <c r="D248" i="8"/>
  <c r="C248" i="8"/>
  <c r="O247" i="8"/>
  <c r="N247" i="8"/>
  <c r="M247" i="8"/>
  <c r="L247" i="8"/>
  <c r="K247" i="8"/>
  <c r="J247" i="8"/>
  <c r="I247" i="8"/>
  <c r="H247" i="8"/>
  <c r="G247" i="8"/>
  <c r="F247" i="8"/>
  <c r="E247" i="8"/>
  <c r="D247" i="8"/>
  <c r="C247" i="8"/>
  <c r="O246" i="8"/>
  <c r="N246" i="8"/>
  <c r="M246" i="8"/>
  <c r="L246" i="8"/>
  <c r="K246" i="8"/>
  <c r="J246" i="8"/>
  <c r="I246" i="8"/>
  <c r="H246" i="8"/>
  <c r="G246" i="8"/>
  <c r="F246" i="8"/>
  <c r="E246" i="8"/>
  <c r="D246" i="8"/>
  <c r="C246" i="8"/>
  <c r="O245" i="8"/>
  <c r="N245" i="8"/>
  <c r="M245" i="8"/>
  <c r="L245" i="8"/>
  <c r="K245" i="8"/>
  <c r="J245" i="8"/>
  <c r="I245" i="8"/>
  <c r="H245" i="8"/>
  <c r="G245" i="8"/>
  <c r="F245" i="8"/>
  <c r="E245" i="8"/>
  <c r="D245" i="8"/>
  <c r="C245" i="8"/>
  <c r="O244" i="8"/>
  <c r="N244" i="8"/>
  <c r="M244" i="8"/>
  <c r="L244" i="8"/>
  <c r="K244" i="8"/>
  <c r="J244" i="8"/>
  <c r="I244" i="8"/>
  <c r="H244" i="8"/>
  <c r="G244" i="8"/>
  <c r="F244" i="8"/>
  <c r="E244" i="8"/>
  <c r="D244" i="8"/>
  <c r="C244" i="8"/>
  <c r="O243" i="8"/>
  <c r="N243" i="8"/>
  <c r="M243" i="8"/>
  <c r="L243" i="8"/>
  <c r="K243" i="8"/>
  <c r="J243" i="8"/>
  <c r="I243" i="8"/>
  <c r="H243" i="8"/>
  <c r="G243" i="8"/>
  <c r="F243" i="8"/>
  <c r="E243" i="8"/>
  <c r="D243" i="8"/>
  <c r="C243" i="8"/>
  <c r="O242" i="8"/>
  <c r="N242" i="8"/>
  <c r="M242" i="8"/>
  <c r="L242" i="8"/>
  <c r="K242" i="8"/>
  <c r="J242" i="8"/>
  <c r="I242" i="8"/>
  <c r="H242" i="8"/>
  <c r="G242" i="8"/>
  <c r="F242" i="8"/>
  <c r="E242" i="8"/>
  <c r="D242" i="8"/>
  <c r="C242" i="8"/>
  <c r="O241" i="8"/>
  <c r="N241" i="8"/>
  <c r="M241" i="8"/>
  <c r="L241" i="8"/>
  <c r="K241" i="8"/>
  <c r="J241" i="8"/>
  <c r="I241" i="8"/>
  <c r="H241" i="8"/>
  <c r="G241" i="8"/>
  <c r="F241" i="8"/>
  <c r="E241" i="8"/>
  <c r="D241" i="8"/>
  <c r="C241" i="8"/>
  <c r="O240" i="8"/>
  <c r="N240" i="8"/>
  <c r="M240" i="8"/>
  <c r="L240" i="8"/>
  <c r="K240" i="8"/>
  <c r="J240" i="8"/>
  <c r="I240" i="8"/>
  <c r="H240" i="8"/>
  <c r="G240" i="8"/>
  <c r="F240" i="8"/>
  <c r="E240" i="8"/>
  <c r="D240" i="8"/>
  <c r="C240" i="8"/>
  <c r="O239" i="8"/>
  <c r="N239" i="8"/>
  <c r="M239" i="8"/>
  <c r="L239" i="8"/>
  <c r="K239" i="8"/>
  <c r="J239" i="8"/>
  <c r="I239" i="8"/>
  <c r="H239" i="8"/>
  <c r="G239" i="8"/>
  <c r="F239" i="8"/>
  <c r="E239" i="8"/>
  <c r="D239" i="8"/>
  <c r="C239" i="8"/>
  <c r="O238" i="8"/>
  <c r="N238" i="8"/>
  <c r="M238" i="8"/>
  <c r="L238" i="8"/>
  <c r="K238" i="8"/>
  <c r="J238" i="8"/>
  <c r="I238" i="8"/>
  <c r="H238" i="8"/>
  <c r="G238" i="8"/>
  <c r="F238" i="8"/>
  <c r="E238" i="8"/>
  <c r="D238" i="8"/>
  <c r="C238" i="8"/>
  <c r="O237" i="8"/>
  <c r="N237" i="8"/>
  <c r="M237" i="8"/>
  <c r="L237" i="8"/>
  <c r="K237" i="8"/>
  <c r="J237" i="8"/>
  <c r="I237" i="8"/>
  <c r="H237" i="8"/>
  <c r="G237" i="8"/>
  <c r="F237" i="8"/>
  <c r="E237" i="8"/>
  <c r="D237" i="8"/>
  <c r="C237" i="8"/>
  <c r="O236" i="8"/>
  <c r="N236" i="8"/>
  <c r="M236" i="8"/>
  <c r="L236" i="8"/>
  <c r="K236" i="8"/>
  <c r="J236" i="8"/>
  <c r="I236" i="8"/>
  <c r="H236" i="8"/>
  <c r="G236" i="8"/>
  <c r="F236" i="8"/>
  <c r="E236" i="8"/>
  <c r="D236" i="8"/>
  <c r="C236" i="8"/>
  <c r="O235" i="8"/>
  <c r="N235" i="8"/>
  <c r="M235" i="8"/>
  <c r="L235" i="8"/>
  <c r="K235" i="8"/>
  <c r="J235" i="8"/>
  <c r="I235" i="8"/>
  <c r="H235" i="8"/>
  <c r="G235" i="8"/>
  <c r="F235" i="8"/>
  <c r="E235" i="8"/>
  <c r="D235" i="8"/>
  <c r="C235" i="8"/>
  <c r="O234" i="8"/>
  <c r="N234" i="8"/>
  <c r="M234" i="8"/>
  <c r="L234" i="8"/>
  <c r="K234" i="8"/>
  <c r="J234" i="8"/>
  <c r="I234" i="8"/>
  <c r="H234" i="8"/>
  <c r="G234" i="8"/>
  <c r="F234" i="8"/>
  <c r="E234" i="8"/>
  <c r="D234" i="8"/>
  <c r="C234" i="8"/>
  <c r="O233" i="8"/>
  <c r="N233" i="8"/>
  <c r="M233" i="8"/>
  <c r="L233" i="8"/>
  <c r="K233" i="8"/>
  <c r="J233" i="8"/>
  <c r="I233" i="8"/>
  <c r="H233" i="8"/>
  <c r="G233" i="8"/>
  <c r="F233" i="8"/>
  <c r="E233" i="8"/>
  <c r="D233" i="8"/>
  <c r="C233" i="8"/>
  <c r="O232" i="8"/>
  <c r="N232" i="8"/>
  <c r="M232" i="8"/>
  <c r="L232" i="8"/>
  <c r="K232" i="8"/>
  <c r="J232" i="8"/>
  <c r="I232" i="8"/>
  <c r="H232" i="8"/>
  <c r="G232" i="8"/>
  <c r="F232" i="8"/>
  <c r="E232" i="8"/>
  <c r="D232" i="8"/>
  <c r="C232" i="8"/>
  <c r="O231" i="8"/>
  <c r="N231" i="8"/>
  <c r="M231" i="8"/>
  <c r="L231" i="8"/>
  <c r="K231" i="8"/>
  <c r="J231" i="8"/>
  <c r="I231" i="8"/>
  <c r="H231" i="8"/>
  <c r="G231" i="8"/>
  <c r="F231" i="8"/>
  <c r="E231" i="8"/>
  <c r="D231" i="8"/>
  <c r="C231" i="8"/>
  <c r="O230" i="8"/>
  <c r="N230" i="8"/>
  <c r="M230" i="8"/>
  <c r="L230" i="8"/>
  <c r="K230" i="8"/>
  <c r="J230" i="8"/>
  <c r="I230" i="8"/>
  <c r="H230" i="8"/>
  <c r="G230" i="8"/>
  <c r="F230" i="8"/>
  <c r="E230" i="8"/>
  <c r="D230" i="8"/>
  <c r="C230" i="8"/>
  <c r="O229" i="8"/>
  <c r="N229" i="8"/>
  <c r="M229" i="8"/>
  <c r="L229" i="8"/>
  <c r="K229" i="8"/>
  <c r="J229" i="8"/>
  <c r="I229" i="8"/>
  <c r="H229" i="8"/>
  <c r="G229" i="8"/>
  <c r="F229" i="8"/>
  <c r="E229" i="8"/>
  <c r="D229" i="8"/>
  <c r="C229" i="8"/>
  <c r="O228" i="8"/>
  <c r="N228" i="8"/>
  <c r="M228" i="8"/>
  <c r="L228" i="8"/>
  <c r="K228" i="8"/>
  <c r="J228" i="8"/>
  <c r="I228" i="8"/>
  <c r="H228" i="8"/>
  <c r="G228" i="8"/>
  <c r="F228" i="8"/>
  <c r="E228" i="8"/>
  <c r="D228" i="8"/>
  <c r="C228" i="8"/>
  <c r="O227" i="8"/>
  <c r="N227" i="8"/>
  <c r="M227" i="8"/>
  <c r="L227" i="8"/>
  <c r="K227" i="8"/>
  <c r="J227" i="8"/>
  <c r="I227" i="8"/>
  <c r="H227" i="8"/>
  <c r="G227" i="8"/>
  <c r="F227" i="8"/>
  <c r="E227" i="8"/>
  <c r="D227" i="8"/>
  <c r="C227" i="8"/>
  <c r="O226" i="8"/>
  <c r="N226" i="8"/>
  <c r="M226" i="8"/>
  <c r="L226" i="8"/>
  <c r="K226" i="8"/>
  <c r="J226" i="8"/>
  <c r="I226" i="8"/>
  <c r="H226" i="8"/>
  <c r="G226" i="8"/>
  <c r="F226" i="8"/>
  <c r="E226" i="8"/>
  <c r="D226" i="8"/>
  <c r="C226" i="8"/>
  <c r="O225" i="8"/>
  <c r="N225" i="8"/>
  <c r="M225" i="8"/>
  <c r="L225" i="8"/>
  <c r="K225" i="8"/>
  <c r="J225" i="8"/>
  <c r="I225" i="8"/>
  <c r="H225" i="8"/>
  <c r="G225" i="8"/>
  <c r="F225" i="8"/>
  <c r="E225" i="8"/>
  <c r="D225" i="8"/>
  <c r="C225" i="8"/>
  <c r="O224" i="8"/>
  <c r="N224" i="8"/>
  <c r="M224" i="8"/>
  <c r="L224" i="8"/>
  <c r="K224" i="8"/>
  <c r="J224" i="8"/>
  <c r="I224" i="8"/>
  <c r="H224" i="8"/>
  <c r="G224" i="8"/>
  <c r="F224" i="8"/>
  <c r="E224" i="8"/>
  <c r="D224" i="8"/>
  <c r="C224" i="8"/>
  <c r="O223" i="8"/>
  <c r="N223" i="8"/>
  <c r="M223" i="8"/>
  <c r="L223" i="8"/>
  <c r="K223" i="8"/>
  <c r="J223" i="8"/>
  <c r="I223" i="8"/>
  <c r="H223" i="8"/>
  <c r="G223" i="8"/>
  <c r="F223" i="8"/>
  <c r="E223" i="8"/>
  <c r="D223" i="8"/>
  <c r="C223" i="8"/>
  <c r="O222" i="8"/>
  <c r="N222" i="8"/>
  <c r="M222" i="8"/>
  <c r="L222" i="8"/>
  <c r="K222" i="8"/>
  <c r="J222" i="8"/>
  <c r="I222" i="8"/>
  <c r="H222" i="8"/>
  <c r="G222" i="8"/>
  <c r="F222" i="8"/>
  <c r="E222" i="8"/>
  <c r="D222" i="8"/>
  <c r="C222" i="8"/>
  <c r="O221" i="8"/>
  <c r="N221" i="8"/>
  <c r="M221" i="8"/>
  <c r="L221" i="8"/>
  <c r="K221" i="8"/>
  <c r="J221" i="8"/>
  <c r="I221" i="8"/>
  <c r="H221" i="8"/>
  <c r="G221" i="8"/>
  <c r="F221" i="8"/>
  <c r="E221" i="8"/>
  <c r="D221" i="8"/>
  <c r="C221" i="8"/>
  <c r="O220" i="8"/>
  <c r="N220" i="8"/>
  <c r="M220" i="8"/>
  <c r="L220" i="8"/>
  <c r="K220" i="8"/>
  <c r="J220" i="8"/>
  <c r="I220" i="8"/>
  <c r="H220" i="8"/>
  <c r="G220" i="8"/>
  <c r="F220" i="8"/>
  <c r="E220" i="8"/>
  <c r="D220" i="8"/>
  <c r="C220" i="8"/>
  <c r="O219" i="8"/>
  <c r="N219" i="8"/>
  <c r="M219" i="8"/>
  <c r="L219" i="8"/>
  <c r="K219" i="8"/>
  <c r="J219" i="8"/>
  <c r="I219" i="8"/>
  <c r="H219" i="8"/>
  <c r="G219" i="8"/>
  <c r="F219" i="8"/>
  <c r="E219" i="8"/>
  <c r="D219" i="8"/>
  <c r="C219" i="8"/>
  <c r="O218" i="8"/>
  <c r="N218" i="8"/>
  <c r="M218" i="8"/>
  <c r="L218" i="8"/>
  <c r="K218" i="8"/>
  <c r="J218" i="8"/>
  <c r="I218" i="8"/>
  <c r="H218" i="8"/>
  <c r="G218" i="8"/>
  <c r="F218" i="8"/>
  <c r="E218" i="8"/>
  <c r="D218" i="8"/>
  <c r="C218" i="8"/>
  <c r="O217" i="8"/>
  <c r="N217" i="8"/>
  <c r="M217" i="8"/>
  <c r="L217" i="8"/>
  <c r="K217" i="8"/>
  <c r="J217" i="8"/>
  <c r="I217" i="8"/>
  <c r="H217" i="8"/>
  <c r="G217" i="8"/>
  <c r="F217" i="8"/>
  <c r="E217" i="8"/>
  <c r="D217" i="8"/>
  <c r="C217" i="8"/>
  <c r="O216" i="8"/>
  <c r="N216" i="8"/>
  <c r="M216" i="8"/>
  <c r="L216" i="8"/>
  <c r="K216" i="8"/>
  <c r="J216" i="8"/>
  <c r="I216" i="8"/>
  <c r="H216" i="8"/>
  <c r="G216" i="8"/>
  <c r="F216" i="8"/>
  <c r="E216" i="8"/>
  <c r="D216" i="8"/>
  <c r="C216" i="8"/>
  <c r="O215" i="8"/>
  <c r="N215" i="8"/>
  <c r="M215" i="8"/>
  <c r="L215" i="8"/>
  <c r="K215" i="8"/>
  <c r="J215" i="8"/>
  <c r="I215" i="8"/>
  <c r="H215" i="8"/>
  <c r="G215" i="8"/>
  <c r="F215" i="8"/>
  <c r="E215" i="8"/>
  <c r="D215" i="8"/>
  <c r="C215" i="8"/>
  <c r="O214" i="8"/>
  <c r="N214" i="8"/>
  <c r="M214" i="8"/>
  <c r="L214" i="8"/>
  <c r="K214" i="8"/>
  <c r="J214" i="8"/>
  <c r="I214" i="8"/>
  <c r="H214" i="8"/>
  <c r="G214" i="8"/>
  <c r="F214" i="8"/>
  <c r="E214" i="8"/>
  <c r="D214" i="8"/>
  <c r="C214" i="8"/>
  <c r="O213" i="8"/>
  <c r="N213" i="8"/>
  <c r="M213" i="8"/>
  <c r="L213" i="8"/>
  <c r="K213" i="8"/>
  <c r="J213" i="8"/>
  <c r="I213" i="8"/>
  <c r="H213" i="8"/>
  <c r="G213" i="8"/>
  <c r="F213" i="8"/>
  <c r="E213" i="8"/>
  <c r="D213" i="8"/>
  <c r="C213" i="8"/>
  <c r="O212" i="8"/>
  <c r="N212" i="8"/>
  <c r="M212" i="8"/>
  <c r="L212" i="8"/>
  <c r="K212" i="8"/>
  <c r="J212" i="8"/>
  <c r="I212" i="8"/>
  <c r="H212" i="8"/>
  <c r="G212" i="8"/>
  <c r="F212" i="8"/>
  <c r="E212" i="8"/>
  <c r="D212" i="8"/>
  <c r="C212" i="8"/>
  <c r="O211" i="8"/>
  <c r="N211" i="8"/>
  <c r="M211" i="8"/>
  <c r="L211" i="8"/>
  <c r="K211" i="8"/>
  <c r="J211" i="8"/>
  <c r="I211" i="8"/>
  <c r="H211" i="8"/>
  <c r="G211" i="8"/>
  <c r="F211" i="8"/>
  <c r="E211" i="8"/>
  <c r="D211" i="8"/>
  <c r="C211" i="8"/>
  <c r="O210" i="8"/>
  <c r="N210" i="8"/>
  <c r="M210" i="8"/>
  <c r="L210" i="8"/>
  <c r="K210" i="8"/>
  <c r="J210" i="8"/>
  <c r="I210" i="8"/>
  <c r="H210" i="8"/>
  <c r="G210" i="8"/>
  <c r="F210" i="8"/>
  <c r="E210" i="8"/>
  <c r="D210" i="8"/>
  <c r="C210" i="8"/>
  <c r="O209" i="8"/>
  <c r="N209" i="8"/>
  <c r="M209" i="8"/>
  <c r="L209" i="8"/>
  <c r="K209" i="8"/>
  <c r="J209" i="8"/>
  <c r="I209" i="8"/>
  <c r="H209" i="8"/>
  <c r="G209" i="8"/>
  <c r="F209" i="8"/>
  <c r="E209" i="8"/>
  <c r="D209" i="8"/>
  <c r="C209" i="8"/>
  <c r="O208" i="8"/>
  <c r="N208" i="8"/>
  <c r="M208" i="8"/>
  <c r="L208" i="8"/>
  <c r="K208" i="8"/>
  <c r="J208" i="8"/>
  <c r="I208" i="8"/>
  <c r="H208" i="8"/>
  <c r="G208" i="8"/>
  <c r="F208" i="8"/>
  <c r="E208" i="8"/>
  <c r="D208" i="8"/>
  <c r="C208" i="8"/>
  <c r="O207" i="8"/>
  <c r="N207" i="8"/>
  <c r="M207" i="8"/>
  <c r="L207" i="8"/>
  <c r="K207" i="8"/>
  <c r="J207" i="8"/>
  <c r="I207" i="8"/>
  <c r="H207" i="8"/>
  <c r="G207" i="8"/>
  <c r="F207" i="8"/>
  <c r="E207" i="8"/>
  <c r="D207" i="8"/>
  <c r="C207" i="8"/>
  <c r="O206" i="8"/>
  <c r="N206" i="8"/>
  <c r="M206" i="8"/>
  <c r="L206" i="8"/>
  <c r="K206" i="8"/>
  <c r="J206" i="8"/>
  <c r="I206" i="8"/>
  <c r="H206" i="8"/>
  <c r="G206" i="8"/>
  <c r="F206" i="8"/>
  <c r="E206" i="8"/>
  <c r="D206" i="8"/>
  <c r="C206" i="8"/>
  <c r="O205" i="8"/>
  <c r="N205" i="8"/>
  <c r="M205" i="8"/>
  <c r="L205" i="8"/>
  <c r="K205" i="8"/>
  <c r="J205" i="8"/>
  <c r="I205" i="8"/>
  <c r="H205" i="8"/>
  <c r="G205" i="8"/>
  <c r="F205" i="8"/>
  <c r="E205" i="8"/>
  <c r="D205" i="8"/>
  <c r="C205" i="8"/>
  <c r="O204" i="8"/>
  <c r="N204" i="8"/>
  <c r="M204" i="8"/>
  <c r="L204" i="8"/>
  <c r="K204" i="8"/>
  <c r="J204" i="8"/>
  <c r="I204" i="8"/>
  <c r="H204" i="8"/>
  <c r="G204" i="8"/>
  <c r="F204" i="8"/>
  <c r="E204" i="8"/>
  <c r="D204" i="8"/>
  <c r="C204" i="8"/>
  <c r="O203" i="8"/>
  <c r="N203" i="8"/>
  <c r="M203" i="8"/>
  <c r="L203" i="8"/>
  <c r="K203" i="8"/>
  <c r="J203" i="8"/>
  <c r="I203" i="8"/>
  <c r="H203" i="8"/>
  <c r="G203" i="8"/>
  <c r="F203" i="8"/>
  <c r="E203" i="8"/>
  <c r="D203" i="8"/>
  <c r="C203" i="8"/>
  <c r="O202" i="8"/>
  <c r="N202" i="8"/>
  <c r="M202" i="8"/>
  <c r="L202" i="8"/>
  <c r="K202" i="8"/>
  <c r="J202" i="8"/>
  <c r="I202" i="8"/>
  <c r="H202" i="8"/>
  <c r="G202" i="8"/>
  <c r="F202" i="8"/>
  <c r="E202" i="8"/>
  <c r="D202" i="8"/>
  <c r="C202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O186" i="8"/>
  <c r="N186" i="8"/>
  <c r="M186" i="8"/>
  <c r="L186" i="8"/>
  <c r="K186" i="8"/>
  <c r="J186" i="8"/>
  <c r="I186" i="8"/>
  <c r="H186" i="8"/>
  <c r="G186" i="8"/>
  <c r="F186" i="8"/>
  <c r="E186" i="8"/>
  <c r="D186" i="8"/>
  <c r="C186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O180" i="8"/>
  <c r="N180" i="8"/>
  <c r="M180" i="8"/>
  <c r="L180" i="8"/>
  <c r="K180" i="8"/>
  <c r="J180" i="8"/>
  <c r="I180" i="8"/>
  <c r="H180" i="8"/>
  <c r="G180" i="8"/>
  <c r="F180" i="8"/>
  <c r="E180" i="8"/>
  <c r="D180" i="8"/>
  <c r="C180" i="8"/>
  <c r="O179" i="8"/>
  <c r="N179" i="8"/>
  <c r="M179" i="8"/>
  <c r="L179" i="8"/>
  <c r="K179" i="8"/>
  <c r="J179" i="8"/>
  <c r="I179" i="8"/>
  <c r="H179" i="8"/>
  <c r="G179" i="8"/>
  <c r="F179" i="8"/>
  <c r="E179" i="8"/>
  <c r="D179" i="8"/>
  <c r="C179" i="8"/>
  <c r="O178" i="8"/>
  <c r="N178" i="8"/>
  <c r="M178" i="8"/>
  <c r="L178" i="8"/>
  <c r="K178" i="8"/>
  <c r="J178" i="8"/>
  <c r="I178" i="8"/>
  <c r="H178" i="8"/>
  <c r="G178" i="8"/>
  <c r="F178" i="8"/>
  <c r="E178" i="8"/>
  <c r="D178" i="8"/>
  <c r="C178" i="8"/>
  <c r="O177" i="8"/>
  <c r="N177" i="8"/>
  <c r="M177" i="8"/>
  <c r="L177" i="8"/>
  <c r="K177" i="8"/>
  <c r="J177" i="8"/>
  <c r="I177" i="8"/>
  <c r="H177" i="8"/>
  <c r="G177" i="8"/>
  <c r="F177" i="8"/>
  <c r="E177" i="8"/>
  <c r="D177" i="8"/>
  <c r="C177" i="8"/>
  <c r="O176" i="8"/>
  <c r="N176" i="8"/>
  <c r="M176" i="8"/>
  <c r="L176" i="8"/>
  <c r="K176" i="8"/>
  <c r="J176" i="8"/>
  <c r="I176" i="8"/>
  <c r="H176" i="8"/>
  <c r="G176" i="8"/>
  <c r="F176" i="8"/>
  <c r="E176" i="8"/>
  <c r="D176" i="8"/>
  <c r="C176" i="8"/>
  <c r="O175" i="8"/>
  <c r="N175" i="8"/>
  <c r="M175" i="8"/>
  <c r="L175" i="8"/>
  <c r="K175" i="8"/>
  <c r="J175" i="8"/>
  <c r="I175" i="8"/>
  <c r="H175" i="8"/>
  <c r="G175" i="8"/>
  <c r="F175" i="8"/>
  <c r="E175" i="8"/>
  <c r="D175" i="8"/>
  <c r="C175" i="8"/>
  <c r="O174" i="8"/>
  <c r="N174" i="8"/>
  <c r="M174" i="8"/>
  <c r="L174" i="8"/>
  <c r="K174" i="8"/>
  <c r="J174" i="8"/>
  <c r="I174" i="8"/>
  <c r="H174" i="8"/>
  <c r="G174" i="8"/>
  <c r="F174" i="8"/>
  <c r="E174" i="8"/>
  <c r="D174" i="8"/>
  <c r="C174" i="8"/>
  <c r="O173" i="8"/>
  <c r="N173" i="8"/>
  <c r="M173" i="8"/>
  <c r="L173" i="8"/>
  <c r="K173" i="8"/>
  <c r="J173" i="8"/>
  <c r="I173" i="8"/>
  <c r="H173" i="8"/>
  <c r="G173" i="8"/>
  <c r="F173" i="8"/>
  <c r="E173" i="8"/>
  <c r="D173" i="8"/>
  <c r="C173" i="8"/>
  <c r="O172" i="8"/>
  <c r="N172" i="8"/>
  <c r="M172" i="8"/>
  <c r="L172" i="8"/>
  <c r="K172" i="8"/>
  <c r="J172" i="8"/>
  <c r="I172" i="8"/>
  <c r="H172" i="8"/>
  <c r="G172" i="8"/>
  <c r="F172" i="8"/>
  <c r="E172" i="8"/>
  <c r="D172" i="8"/>
  <c r="C172" i="8"/>
  <c r="O171" i="8"/>
  <c r="N171" i="8"/>
  <c r="M171" i="8"/>
  <c r="L171" i="8"/>
  <c r="K171" i="8"/>
  <c r="J171" i="8"/>
  <c r="I171" i="8"/>
  <c r="H171" i="8"/>
  <c r="G171" i="8"/>
  <c r="F171" i="8"/>
  <c r="E171" i="8"/>
  <c r="D171" i="8"/>
  <c r="C171" i="8"/>
  <c r="O170" i="8"/>
  <c r="N170" i="8"/>
  <c r="M170" i="8"/>
  <c r="L170" i="8"/>
  <c r="K170" i="8"/>
  <c r="J170" i="8"/>
  <c r="I170" i="8"/>
  <c r="H170" i="8"/>
  <c r="G170" i="8"/>
  <c r="F170" i="8"/>
  <c r="E170" i="8"/>
  <c r="D170" i="8"/>
  <c r="C170" i="8"/>
  <c r="O169" i="8"/>
  <c r="N169" i="8"/>
  <c r="M169" i="8"/>
  <c r="L169" i="8"/>
  <c r="K169" i="8"/>
  <c r="J169" i="8"/>
  <c r="I169" i="8"/>
  <c r="H169" i="8"/>
  <c r="G169" i="8"/>
  <c r="F169" i="8"/>
  <c r="E169" i="8"/>
  <c r="D169" i="8"/>
  <c r="C169" i="8"/>
  <c r="O168" i="8"/>
  <c r="N168" i="8"/>
  <c r="M168" i="8"/>
  <c r="L168" i="8"/>
  <c r="K168" i="8"/>
  <c r="J168" i="8"/>
  <c r="I168" i="8"/>
  <c r="H168" i="8"/>
  <c r="G168" i="8"/>
  <c r="F168" i="8"/>
  <c r="E168" i="8"/>
  <c r="D168" i="8"/>
  <c r="C168" i="8"/>
  <c r="O167" i="8"/>
  <c r="N167" i="8"/>
  <c r="M167" i="8"/>
  <c r="L167" i="8"/>
  <c r="K167" i="8"/>
  <c r="J167" i="8"/>
  <c r="I167" i="8"/>
  <c r="H167" i="8"/>
  <c r="G167" i="8"/>
  <c r="F167" i="8"/>
  <c r="E167" i="8"/>
  <c r="D167" i="8"/>
  <c r="C167" i="8"/>
  <c r="O166" i="8"/>
  <c r="N166" i="8"/>
  <c r="M166" i="8"/>
  <c r="L166" i="8"/>
  <c r="K166" i="8"/>
  <c r="J166" i="8"/>
  <c r="I166" i="8"/>
  <c r="H166" i="8"/>
  <c r="G166" i="8"/>
  <c r="F166" i="8"/>
  <c r="E166" i="8"/>
  <c r="D166" i="8"/>
  <c r="C166" i="8"/>
  <c r="O165" i="8"/>
  <c r="N165" i="8"/>
  <c r="M165" i="8"/>
  <c r="L165" i="8"/>
  <c r="K165" i="8"/>
  <c r="J165" i="8"/>
  <c r="I165" i="8"/>
  <c r="H165" i="8"/>
  <c r="G165" i="8"/>
  <c r="F165" i="8"/>
  <c r="E165" i="8"/>
  <c r="D165" i="8"/>
  <c r="C165" i="8"/>
  <c r="O164" i="8"/>
  <c r="N164" i="8"/>
  <c r="M164" i="8"/>
  <c r="L164" i="8"/>
  <c r="K164" i="8"/>
  <c r="J164" i="8"/>
  <c r="I164" i="8"/>
  <c r="H164" i="8"/>
  <c r="G164" i="8"/>
  <c r="F164" i="8"/>
  <c r="E164" i="8"/>
  <c r="D164" i="8"/>
  <c r="C164" i="8"/>
  <c r="O163" i="8"/>
  <c r="N163" i="8"/>
  <c r="M163" i="8"/>
  <c r="L163" i="8"/>
  <c r="K163" i="8"/>
  <c r="J163" i="8"/>
  <c r="I163" i="8"/>
  <c r="H163" i="8"/>
  <c r="G163" i="8"/>
  <c r="F163" i="8"/>
  <c r="E163" i="8"/>
  <c r="D163" i="8"/>
  <c r="C163" i="8"/>
  <c r="O162" i="8"/>
  <c r="N162" i="8"/>
  <c r="M162" i="8"/>
  <c r="L162" i="8"/>
  <c r="K162" i="8"/>
  <c r="J162" i="8"/>
  <c r="I162" i="8"/>
  <c r="H162" i="8"/>
  <c r="G162" i="8"/>
  <c r="F162" i="8"/>
  <c r="E162" i="8"/>
  <c r="D162" i="8"/>
  <c r="C162" i="8"/>
  <c r="O161" i="8"/>
  <c r="N161" i="8"/>
  <c r="M161" i="8"/>
  <c r="L161" i="8"/>
  <c r="K161" i="8"/>
  <c r="J161" i="8"/>
  <c r="I161" i="8"/>
  <c r="H161" i="8"/>
  <c r="G161" i="8"/>
  <c r="F161" i="8"/>
  <c r="E161" i="8"/>
  <c r="D161" i="8"/>
  <c r="C161" i="8"/>
  <c r="O160" i="8"/>
  <c r="N160" i="8"/>
  <c r="M160" i="8"/>
  <c r="L160" i="8"/>
  <c r="K160" i="8"/>
  <c r="J160" i="8"/>
  <c r="I160" i="8"/>
  <c r="H160" i="8"/>
  <c r="G160" i="8"/>
  <c r="F160" i="8"/>
  <c r="E160" i="8"/>
  <c r="D160" i="8"/>
  <c r="C160" i="8"/>
  <c r="O159" i="8"/>
  <c r="N159" i="8"/>
  <c r="M159" i="8"/>
  <c r="L159" i="8"/>
  <c r="K159" i="8"/>
  <c r="J159" i="8"/>
  <c r="I159" i="8"/>
  <c r="H159" i="8"/>
  <c r="G159" i="8"/>
  <c r="F159" i="8"/>
  <c r="E159" i="8"/>
  <c r="D159" i="8"/>
  <c r="C159" i="8"/>
  <c r="O158" i="8"/>
  <c r="N158" i="8"/>
  <c r="M158" i="8"/>
  <c r="L158" i="8"/>
  <c r="K158" i="8"/>
  <c r="J158" i="8"/>
  <c r="I158" i="8"/>
  <c r="H158" i="8"/>
  <c r="G158" i="8"/>
  <c r="F158" i="8"/>
  <c r="E158" i="8"/>
  <c r="D158" i="8"/>
  <c r="C158" i="8"/>
  <c r="O157" i="8"/>
  <c r="N157" i="8"/>
  <c r="M157" i="8"/>
  <c r="L157" i="8"/>
  <c r="K157" i="8"/>
  <c r="J157" i="8"/>
  <c r="I157" i="8"/>
  <c r="H157" i="8"/>
  <c r="G157" i="8"/>
  <c r="F157" i="8"/>
  <c r="E157" i="8"/>
  <c r="D157" i="8"/>
  <c r="C157" i="8"/>
  <c r="O156" i="8"/>
  <c r="N156" i="8"/>
  <c r="M156" i="8"/>
  <c r="L156" i="8"/>
  <c r="K156" i="8"/>
  <c r="J156" i="8"/>
  <c r="I156" i="8"/>
  <c r="H156" i="8"/>
  <c r="G156" i="8"/>
  <c r="F156" i="8"/>
  <c r="E156" i="8"/>
  <c r="D156" i="8"/>
  <c r="C156" i="8"/>
  <c r="O155" i="8"/>
  <c r="N155" i="8"/>
  <c r="M155" i="8"/>
  <c r="L155" i="8"/>
  <c r="K155" i="8"/>
  <c r="J155" i="8"/>
  <c r="I155" i="8"/>
  <c r="H155" i="8"/>
  <c r="G155" i="8"/>
  <c r="F155" i="8"/>
  <c r="E155" i="8"/>
  <c r="D155" i="8"/>
  <c r="C155" i="8"/>
  <c r="O154" i="8"/>
  <c r="N154" i="8"/>
  <c r="M154" i="8"/>
  <c r="L154" i="8"/>
  <c r="K154" i="8"/>
  <c r="J154" i="8"/>
  <c r="I154" i="8"/>
  <c r="H154" i="8"/>
  <c r="G154" i="8"/>
  <c r="F154" i="8"/>
  <c r="E154" i="8"/>
  <c r="D154" i="8"/>
  <c r="C154" i="8"/>
  <c r="O153" i="8"/>
  <c r="N153" i="8"/>
  <c r="M153" i="8"/>
  <c r="L153" i="8"/>
  <c r="K153" i="8"/>
  <c r="J153" i="8"/>
  <c r="I153" i="8"/>
  <c r="H153" i="8"/>
  <c r="G153" i="8"/>
  <c r="F153" i="8"/>
  <c r="E153" i="8"/>
  <c r="D153" i="8"/>
  <c r="C153" i="8"/>
  <c r="O152" i="8"/>
  <c r="N152" i="8"/>
  <c r="M152" i="8"/>
  <c r="L152" i="8"/>
  <c r="K152" i="8"/>
  <c r="J152" i="8"/>
  <c r="I152" i="8"/>
  <c r="H152" i="8"/>
  <c r="G152" i="8"/>
  <c r="F152" i="8"/>
  <c r="E152" i="8"/>
  <c r="D152" i="8"/>
  <c r="C152" i="8"/>
  <c r="O151" i="8"/>
  <c r="N151" i="8"/>
  <c r="M151" i="8"/>
  <c r="L151" i="8"/>
  <c r="K151" i="8"/>
  <c r="J151" i="8"/>
  <c r="I151" i="8"/>
  <c r="H151" i="8"/>
  <c r="G151" i="8"/>
  <c r="F151" i="8"/>
  <c r="E151" i="8"/>
  <c r="D151" i="8"/>
  <c r="C151" i="8"/>
  <c r="O150" i="8"/>
  <c r="N150" i="8"/>
  <c r="M150" i="8"/>
  <c r="L150" i="8"/>
  <c r="K150" i="8"/>
  <c r="J150" i="8"/>
  <c r="I150" i="8"/>
  <c r="H150" i="8"/>
  <c r="G150" i="8"/>
  <c r="F150" i="8"/>
  <c r="E150" i="8"/>
  <c r="D150" i="8"/>
  <c r="C150" i="8"/>
  <c r="O149" i="8"/>
  <c r="N149" i="8"/>
  <c r="M149" i="8"/>
  <c r="L149" i="8"/>
  <c r="K149" i="8"/>
  <c r="J149" i="8"/>
  <c r="I149" i="8"/>
  <c r="H149" i="8"/>
  <c r="G149" i="8"/>
  <c r="F149" i="8"/>
  <c r="E149" i="8"/>
  <c r="D149" i="8"/>
  <c r="C149" i="8"/>
  <c r="O148" i="8"/>
  <c r="N148" i="8"/>
  <c r="M148" i="8"/>
  <c r="L148" i="8"/>
  <c r="K148" i="8"/>
  <c r="J148" i="8"/>
  <c r="I148" i="8"/>
  <c r="H148" i="8"/>
  <c r="G148" i="8"/>
  <c r="F148" i="8"/>
  <c r="E148" i="8"/>
  <c r="D148" i="8"/>
  <c r="C148" i="8"/>
  <c r="O147" i="8"/>
  <c r="N147" i="8"/>
  <c r="M147" i="8"/>
  <c r="L147" i="8"/>
  <c r="K147" i="8"/>
  <c r="J147" i="8"/>
  <c r="I147" i="8"/>
  <c r="H147" i="8"/>
  <c r="G147" i="8"/>
  <c r="F147" i="8"/>
  <c r="E147" i="8"/>
  <c r="D147" i="8"/>
  <c r="C147" i="8"/>
  <c r="O146" i="8"/>
  <c r="N146" i="8"/>
  <c r="M146" i="8"/>
  <c r="L146" i="8"/>
  <c r="K146" i="8"/>
  <c r="J146" i="8"/>
  <c r="I146" i="8"/>
  <c r="H146" i="8"/>
  <c r="G146" i="8"/>
  <c r="F146" i="8"/>
  <c r="E146" i="8"/>
  <c r="D146" i="8"/>
  <c r="C146" i="8"/>
  <c r="O145" i="8"/>
  <c r="N145" i="8"/>
  <c r="M145" i="8"/>
  <c r="L145" i="8"/>
  <c r="K145" i="8"/>
  <c r="J145" i="8"/>
  <c r="I145" i="8"/>
  <c r="H145" i="8"/>
  <c r="G145" i="8"/>
  <c r="F145" i="8"/>
  <c r="E145" i="8"/>
  <c r="D145" i="8"/>
  <c r="C145" i="8"/>
  <c r="O144" i="8"/>
  <c r="N144" i="8"/>
  <c r="M144" i="8"/>
  <c r="L144" i="8"/>
  <c r="K144" i="8"/>
  <c r="J144" i="8"/>
  <c r="I144" i="8"/>
  <c r="H144" i="8"/>
  <c r="G144" i="8"/>
  <c r="F144" i="8"/>
  <c r="E144" i="8"/>
  <c r="D144" i="8"/>
  <c r="C144" i="8"/>
  <c r="O143" i="8"/>
  <c r="N143" i="8"/>
  <c r="M143" i="8"/>
  <c r="L143" i="8"/>
  <c r="K143" i="8"/>
  <c r="J143" i="8"/>
  <c r="I143" i="8"/>
  <c r="H143" i="8"/>
  <c r="G143" i="8"/>
  <c r="F143" i="8"/>
  <c r="E143" i="8"/>
  <c r="D143" i="8"/>
  <c r="C143" i="8"/>
  <c r="O142" i="8"/>
  <c r="N142" i="8"/>
  <c r="M142" i="8"/>
  <c r="L142" i="8"/>
  <c r="K142" i="8"/>
  <c r="J142" i="8"/>
  <c r="I142" i="8"/>
  <c r="H142" i="8"/>
  <c r="G142" i="8"/>
  <c r="F142" i="8"/>
  <c r="E142" i="8"/>
  <c r="D142" i="8"/>
  <c r="C142" i="8"/>
  <c r="O141" i="8"/>
  <c r="N141" i="8"/>
  <c r="M141" i="8"/>
  <c r="L141" i="8"/>
  <c r="K141" i="8"/>
  <c r="J141" i="8"/>
  <c r="I141" i="8"/>
  <c r="H141" i="8"/>
  <c r="G141" i="8"/>
  <c r="F141" i="8"/>
  <c r="E141" i="8"/>
  <c r="D141" i="8"/>
  <c r="C141" i="8"/>
  <c r="O140" i="8"/>
  <c r="N140" i="8"/>
  <c r="M140" i="8"/>
  <c r="L140" i="8"/>
  <c r="K140" i="8"/>
  <c r="J140" i="8"/>
  <c r="I140" i="8"/>
  <c r="H140" i="8"/>
  <c r="G140" i="8"/>
  <c r="F140" i="8"/>
  <c r="E140" i="8"/>
  <c r="D140" i="8"/>
  <c r="C140" i="8"/>
  <c r="O139" i="8"/>
  <c r="N139" i="8"/>
  <c r="M139" i="8"/>
  <c r="L139" i="8"/>
  <c r="K139" i="8"/>
  <c r="J139" i="8"/>
  <c r="I139" i="8"/>
  <c r="H139" i="8"/>
  <c r="G139" i="8"/>
  <c r="F139" i="8"/>
  <c r="E139" i="8"/>
  <c r="D139" i="8"/>
  <c r="C139" i="8"/>
  <c r="O138" i="8"/>
  <c r="N138" i="8"/>
  <c r="M138" i="8"/>
  <c r="L138" i="8"/>
  <c r="K138" i="8"/>
  <c r="J138" i="8"/>
  <c r="I138" i="8"/>
  <c r="H138" i="8"/>
  <c r="G138" i="8"/>
  <c r="F138" i="8"/>
  <c r="E138" i="8"/>
  <c r="D138" i="8"/>
  <c r="C138" i="8"/>
  <c r="O137" i="8"/>
  <c r="N137" i="8"/>
  <c r="M137" i="8"/>
  <c r="L137" i="8"/>
  <c r="K137" i="8"/>
  <c r="J137" i="8"/>
  <c r="I137" i="8"/>
  <c r="H137" i="8"/>
  <c r="G137" i="8"/>
  <c r="F137" i="8"/>
  <c r="E137" i="8"/>
  <c r="D137" i="8"/>
  <c r="C137" i="8"/>
  <c r="O136" i="8"/>
  <c r="N136" i="8"/>
  <c r="M136" i="8"/>
  <c r="L136" i="8"/>
  <c r="K136" i="8"/>
  <c r="J136" i="8"/>
  <c r="I136" i="8"/>
  <c r="H136" i="8"/>
  <c r="G136" i="8"/>
  <c r="F136" i="8"/>
  <c r="E136" i="8"/>
  <c r="D136" i="8"/>
  <c r="C136" i="8"/>
  <c r="O135" i="8"/>
  <c r="N135" i="8"/>
  <c r="M135" i="8"/>
  <c r="L135" i="8"/>
  <c r="K135" i="8"/>
  <c r="J135" i="8"/>
  <c r="I135" i="8"/>
  <c r="H135" i="8"/>
  <c r="G135" i="8"/>
  <c r="F135" i="8"/>
  <c r="E135" i="8"/>
  <c r="D135" i="8"/>
  <c r="C135" i="8"/>
  <c r="O134" i="8"/>
  <c r="N134" i="8"/>
  <c r="M134" i="8"/>
  <c r="L134" i="8"/>
  <c r="K134" i="8"/>
  <c r="J134" i="8"/>
  <c r="I134" i="8"/>
  <c r="H134" i="8"/>
  <c r="G134" i="8"/>
  <c r="F134" i="8"/>
  <c r="E134" i="8"/>
  <c r="D134" i="8"/>
  <c r="C134" i="8"/>
  <c r="O133" i="8"/>
  <c r="N133" i="8"/>
  <c r="M133" i="8"/>
  <c r="L133" i="8"/>
  <c r="K133" i="8"/>
  <c r="J133" i="8"/>
  <c r="I133" i="8"/>
  <c r="H133" i="8"/>
  <c r="G133" i="8"/>
  <c r="F133" i="8"/>
  <c r="E133" i="8"/>
  <c r="D133" i="8"/>
  <c r="C133" i="8"/>
  <c r="O132" i="8"/>
  <c r="N132" i="8"/>
  <c r="M132" i="8"/>
  <c r="L132" i="8"/>
  <c r="K132" i="8"/>
  <c r="J132" i="8"/>
  <c r="I132" i="8"/>
  <c r="H132" i="8"/>
  <c r="G132" i="8"/>
  <c r="F132" i="8"/>
  <c r="E132" i="8"/>
  <c r="D132" i="8"/>
  <c r="C132" i="8"/>
  <c r="O131" i="8"/>
  <c r="N131" i="8"/>
  <c r="M131" i="8"/>
  <c r="L131" i="8"/>
  <c r="K131" i="8"/>
  <c r="J131" i="8"/>
  <c r="I131" i="8"/>
  <c r="H131" i="8"/>
  <c r="G131" i="8"/>
  <c r="F131" i="8"/>
  <c r="E131" i="8"/>
  <c r="D131" i="8"/>
  <c r="C131" i="8"/>
  <c r="O130" i="8"/>
  <c r="N130" i="8"/>
  <c r="M130" i="8"/>
  <c r="L130" i="8"/>
  <c r="K130" i="8"/>
  <c r="J130" i="8"/>
  <c r="I130" i="8"/>
  <c r="H130" i="8"/>
  <c r="G130" i="8"/>
  <c r="F130" i="8"/>
  <c r="E130" i="8"/>
  <c r="D130" i="8"/>
  <c r="C130" i="8"/>
  <c r="O129" i="8"/>
  <c r="N129" i="8"/>
  <c r="M129" i="8"/>
  <c r="L129" i="8"/>
  <c r="K129" i="8"/>
  <c r="J129" i="8"/>
  <c r="I129" i="8"/>
  <c r="H129" i="8"/>
  <c r="G129" i="8"/>
  <c r="F129" i="8"/>
  <c r="E129" i="8"/>
  <c r="D129" i="8"/>
  <c r="C129" i="8"/>
  <c r="O128" i="8"/>
  <c r="N128" i="8"/>
  <c r="M128" i="8"/>
  <c r="L128" i="8"/>
  <c r="K128" i="8"/>
  <c r="J128" i="8"/>
  <c r="I128" i="8"/>
  <c r="H128" i="8"/>
  <c r="G128" i="8"/>
  <c r="F128" i="8"/>
  <c r="E128" i="8"/>
  <c r="D128" i="8"/>
  <c r="C128" i="8"/>
  <c r="O127" i="8"/>
  <c r="N127" i="8"/>
  <c r="M127" i="8"/>
  <c r="L127" i="8"/>
  <c r="K127" i="8"/>
  <c r="J127" i="8"/>
  <c r="I127" i="8"/>
  <c r="H127" i="8"/>
  <c r="G127" i="8"/>
  <c r="F127" i="8"/>
  <c r="E127" i="8"/>
  <c r="D127" i="8"/>
  <c r="C127" i="8"/>
  <c r="O126" i="8"/>
  <c r="N126" i="8"/>
  <c r="M126" i="8"/>
  <c r="L126" i="8"/>
  <c r="K126" i="8"/>
  <c r="J126" i="8"/>
  <c r="I126" i="8"/>
  <c r="H126" i="8"/>
  <c r="G126" i="8"/>
  <c r="F126" i="8"/>
  <c r="E126" i="8"/>
  <c r="D126" i="8"/>
  <c r="C126" i="8"/>
  <c r="O125" i="8"/>
  <c r="N125" i="8"/>
  <c r="M125" i="8"/>
  <c r="L125" i="8"/>
  <c r="K125" i="8"/>
  <c r="J125" i="8"/>
  <c r="I125" i="8"/>
  <c r="H125" i="8"/>
  <c r="G125" i="8"/>
  <c r="F125" i="8"/>
  <c r="E125" i="8"/>
  <c r="D125" i="8"/>
  <c r="C125" i="8"/>
  <c r="O124" i="8"/>
  <c r="N124" i="8"/>
  <c r="M124" i="8"/>
  <c r="L124" i="8"/>
  <c r="K124" i="8"/>
  <c r="J124" i="8"/>
  <c r="I124" i="8"/>
  <c r="H124" i="8"/>
  <c r="G124" i="8"/>
  <c r="F124" i="8"/>
  <c r="E124" i="8"/>
  <c r="D124" i="8"/>
  <c r="C124" i="8"/>
  <c r="O123" i="8"/>
  <c r="N123" i="8"/>
  <c r="M123" i="8"/>
  <c r="L123" i="8"/>
  <c r="K123" i="8"/>
  <c r="J123" i="8"/>
  <c r="I123" i="8"/>
  <c r="H123" i="8"/>
  <c r="G123" i="8"/>
  <c r="F123" i="8"/>
  <c r="E123" i="8"/>
  <c r="D123" i="8"/>
  <c r="C123" i="8"/>
  <c r="O122" i="8"/>
  <c r="N122" i="8"/>
  <c r="M122" i="8"/>
  <c r="L122" i="8"/>
  <c r="K122" i="8"/>
  <c r="J122" i="8"/>
  <c r="I122" i="8"/>
  <c r="H122" i="8"/>
  <c r="G122" i="8"/>
  <c r="F122" i="8"/>
  <c r="E122" i="8"/>
  <c r="D122" i="8"/>
  <c r="C122" i="8"/>
  <c r="O121" i="8"/>
  <c r="N121" i="8"/>
  <c r="M121" i="8"/>
  <c r="L121" i="8"/>
  <c r="K121" i="8"/>
  <c r="J121" i="8"/>
  <c r="I121" i="8"/>
  <c r="H121" i="8"/>
  <c r="G121" i="8"/>
  <c r="F121" i="8"/>
  <c r="E121" i="8"/>
  <c r="D121" i="8"/>
  <c r="C121" i="8"/>
  <c r="O120" i="8"/>
  <c r="N120" i="8"/>
  <c r="M120" i="8"/>
  <c r="L120" i="8"/>
  <c r="K120" i="8"/>
  <c r="J120" i="8"/>
  <c r="I120" i="8"/>
  <c r="H120" i="8"/>
  <c r="G120" i="8"/>
  <c r="F120" i="8"/>
  <c r="E120" i="8"/>
  <c r="D120" i="8"/>
  <c r="C120" i="8"/>
  <c r="O119" i="8"/>
  <c r="N119" i="8"/>
  <c r="M119" i="8"/>
  <c r="L119" i="8"/>
  <c r="K119" i="8"/>
  <c r="J119" i="8"/>
  <c r="I119" i="8"/>
  <c r="H119" i="8"/>
  <c r="G119" i="8"/>
  <c r="F119" i="8"/>
  <c r="E119" i="8"/>
  <c r="D119" i="8"/>
  <c r="C119" i="8"/>
  <c r="O118" i="8"/>
  <c r="N118" i="8"/>
  <c r="M118" i="8"/>
  <c r="L118" i="8"/>
  <c r="K118" i="8"/>
  <c r="J118" i="8"/>
  <c r="I118" i="8"/>
  <c r="H118" i="8"/>
  <c r="G118" i="8"/>
  <c r="F118" i="8"/>
  <c r="E118" i="8"/>
  <c r="D118" i="8"/>
  <c r="C118" i="8"/>
  <c r="O117" i="8"/>
  <c r="N117" i="8"/>
  <c r="M117" i="8"/>
  <c r="L117" i="8"/>
  <c r="K117" i="8"/>
  <c r="J117" i="8"/>
  <c r="I117" i="8"/>
  <c r="H117" i="8"/>
  <c r="G117" i="8"/>
  <c r="F117" i="8"/>
  <c r="E117" i="8"/>
  <c r="D117" i="8"/>
  <c r="C117" i="8"/>
  <c r="O116" i="8"/>
  <c r="N116" i="8"/>
  <c r="M116" i="8"/>
  <c r="L116" i="8"/>
  <c r="K116" i="8"/>
  <c r="J116" i="8"/>
  <c r="I116" i="8"/>
  <c r="H116" i="8"/>
  <c r="G116" i="8"/>
  <c r="F116" i="8"/>
  <c r="E116" i="8"/>
  <c r="D116" i="8"/>
  <c r="C116" i="8"/>
  <c r="O115" i="8"/>
  <c r="N115" i="8"/>
  <c r="M115" i="8"/>
  <c r="L115" i="8"/>
  <c r="K115" i="8"/>
  <c r="J115" i="8"/>
  <c r="I115" i="8"/>
  <c r="H115" i="8"/>
  <c r="G115" i="8"/>
  <c r="F115" i="8"/>
  <c r="E115" i="8"/>
  <c r="D115" i="8"/>
  <c r="C115" i="8"/>
  <c r="O114" i="8"/>
  <c r="N114" i="8"/>
  <c r="M114" i="8"/>
  <c r="L114" i="8"/>
  <c r="K114" i="8"/>
  <c r="J114" i="8"/>
  <c r="I114" i="8"/>
  <c r="H114" i="8"/>
  <c r="G114" i="8"/>
  <c r="F114" i="8"/>
  <c r="E114" i="8"/>
  <c r="D114" i="8"/>
  <c r="C114" i="8"/>
  <c r="O113" i="8"/>
  <c r="N113" i="8"/>
  <c r="M113" i="8"/>
  <c r="L113" i="8"/>
  <c r="K113" i="8"/>
  <c r="J113" i="8"/>
  <c r="I113" i="8"/>
  <c r="H113" i="8"/>
  <c r="G113" i="8"/>
  <c r="F113" i="8"/>
  <c r="E113" i="8"/>
  <c r="D113" i="8"/>
  <c r="C113" i="8"/>
  <c r="O112" i="8"/>
  <c r="N112" i="8"/>
  <c r="M112" i="8"/>
  <c r="L112" i="8"/>
  <c r="K112" i="8"/>
  <c r="J112" i="8"/>
  <c r="I112" i="8"/>
  <c r="H112" i="8"/>
  <c r="G112" i="8"/>
  <c r="F112" i="8"/>
  <c r="E112" i="8"/>
  <c r="D112" i="8"/>
  <c r="C112" i="8"/>
  <c r="O111" i="8"/>
  <c r="N111" i="8"/>
  <c r="M111" i="8"/>
  <c r="L111" i="8"/>
  <c r="K111" i="8"/>
  <c r="J111" i="8"/>
  <c r="I111" i="8"/>
  <c r="H111" i="8"/>
  <c r="G111" i="8"/>
  <c r="F111" i="8"/>
  <c r="E111" i="8"/>
  <c r="D111" i="8"/>
  <c r="C111" i="8"/>
  <c r="O110" i="8"/>
  <c r="N110" i="8"/>
  <c r="M110" i="8"/>
  <c r="L110" i="8"/>
  <c r="K110" i="8"/>
  <c r="J110" i="8"/>
  <c r="I110" i="8"/>
  <c r="H110" i="8"/>
  <c r="G110" i="8"/>
  <c r="F110" i="8"/>
  <c r="E110" i="8"/>
  <c r="D110" i="8"/>
  <c r="C110" i="8"/>
  <c r="O109" i="8"/>
  <c r="N109" i="8"/>
  <c r="M109" i="8"/>
  <c r="L109" i="8"/>
  <c r="K109" i="8"/>
  <c r="J109" i="8"/>
  <c r="I109" i="8"/>
  <c r="H109" i="8"/>
  <c r="G109" i="8"/>
  <c r="F109" i="8"/>
  <c r="E109" i="8"/>
  <c r="D109" i="8"/>
  <c r="C109" i="8"/>
  <c r="O108" i="8"/>
  <c r="N108" i="8"/>
  <c r="M108" i="8"/>
  <c r="L108" i="8"/>
  <c r="K108" i="8"/>
  <c r="J108" i="8"/>
  <c r="I108" i="8"/>
  <c r="H108" i="8"/>
  <c r="G108" i="8"/>
  <c r="F108" i="8"/>
  <c r="E108" i="8"/>
  <c r="D108" i="8"/>
  <c r="C108" i="8"/>
  <c r="O107" i="8"/>
  <c r="N107" i="8"/>
  <c r="M107" i="8"/>
  <c r="L107" i="8"/>
  <c r="K107" i="8"/>
  <c r="J107" i="8"/>
  <c r="I107" i="8"/>
  <c r="H107" i="8"/>
  <c r="G107" i="8"/>
  <c r="F107" i="8"/>
  <c r="E107" i="8"/>
  <c r="D107" i="8"/>
  <c r="C107" i="8"/>
  <c r="O106" i="8"/>
  <c r="N106" i="8"/>
  <c r="M106" i="8"/>
  <c r="L106" i="8"/>
  <c r="K106" i="8"/>
  <c r="J106" i="8"/>
  <c r="I106" i="8"/>
  <c r="H106" i="8"/>
  <c r="G106" i="8"/>
  <c r="F106" i="8"/>
  <c r="E106" i="8"/>
  <c r="D106" i="8"/>
  <c r="C106" i="8"/>
  <c r="O105" i="8"/>
  <c r="N105" i="8"/>
  <c r="M105" i="8"/>
  <c r="L105" i="8"/>
  <c r="K105" i="8"/>
  <c r="J105" i="8"/>
  <c r="I105" i="8"/>
  <c r="H105" i="8"/>
  <c r="G105" i="8"/>
  <c r="F105" i="8"/>
  <c r="E105" i="8"/>
  <c r="D105" i="8"/>
  <c r="C105" i="8"/>
  <c r="O104" i="8"/>
  <c r="N104" i="8"/>
  <c r="M104" i="8"/>
  <c r="L104" i="8"/>
  <c r="K104" i="8"/>
  <c r="J104" i="8"/>
  <c r="I104" i="8"/>
  <c r="H104" i="8"/>
  <c r="G104" i="8"/>
  <c r="F104" i="8"/>
  <c r="E104" i="8"/>
  <c r="D104" i="8"/>
  <c r="C104" i="8"/>
  <c r="O103" i="8"/>
  <c r="N103" i="8"/>
  <c r="M103" i="8"/>
  <c r="L103" i="8"/>
  <c r="K103" i="8"/>
  <c r="J103" i="8"/>
  <c r="I103" i="8"/>
  <c r="H103" i="8"/>
  <c r="G103" i="8"/>
  <c r="F103" i="8"/>
  <c r="E103" i="8"/>
  <c r="D103" i="8"/>
  <c r="C103" i="8"/>
  <c r="O102" i="8"/>
  <c r="N102" i="8"/>
  <c r="M102" i="8"/>
  <c r="L102" i="8"/>
  <c r="K102" i="8"/>
  <c r="J102" i="8"/>
  <c r="I102" i="8"/>
  <c r="H102" i="8"/>
  <c r="G102" i="8"/>
  <c r="F102" i="8"/>
  <c r="E102" i="8"/>
  <c r="D102" i="8"/>
  <c r="C102" i="8"/>
  <c r="O101" i="8"/>
  <c r="N101" i="8"/>
  <c r="M101" i="8"/>
  <c r="L101" i="8"/>
  <c r="K101" i="8"/>
  <c r="J101" i="8"/>
  <c r="I101" i="8"/>
  <c r="H101" i="8"/>
  <c r="G101" i="8"/>
  <c r="F101" i="8"/>
  <c r="E101" i="8"/>
  <c r="D101" i="8"/>
  <c r="C101" i="8"/>
  <c r="O100" i="8"/>
  <c r="N100" i="8"/>
  <c r="M100" i="8"/>
  <c r="L100" i="8"/>
  <c r="K100" i="8"/>
  <c r="J100" i="8"/>
  <c r="I100" i="8"/>
  <c r="H100" i="8"/>
  <c r="G100" i="8"/>
  <c r="F100" i="8"/>
  <c r="E100" i="8"/>
  <c r="D100" i="8"/>
  <c r="C100" i="8"/>
  <c r="O99" i="8"/>
  <c r="N99" i="8"/>
  <c r="M99" i="8"/>
  <c r="L99" i="8"/>
  <c r="K99" i="8"/>
  <c r="J99" i="8"/>
  <c r="I99" i="8"/>
  <c r="H99" i="8"/>
  <c r="G99" i="8"/>
  <c r="F99" i="8"/>
  <c r="E99" i="8"/>
  <c r="D99" i="8"/>
  <c r="C99" i="8"/>
  <c r="O98" i="8"/>
  <c r="N98" i="8"/>
  <c r="M98" i="8"/>
  <c r="L98" i="8"/>
  <c r="K98" i="8"/>
  <c r="J98" i="8"/>
  <c r="I98" i="8"/>
  <c r="H98" i="8"/>
  <c r="G98" i="8"/>
  <c r="F98" i="8"/>
  <c r="E98" i="8"/>
  <c r="D98" i="8"/>
  <c r="C98" i="8"/>
  <c r="O97" i="8"/>
  <c r="N97" i="8"/>
  <c r="M97" i="8"/>
  <c r="L97" i="8"/>
  <c r="K97" i="8"/>
  <c r="J97" i="8"/>
  <c r="I97" i="8"/>
  <c r="H97" i="8"/>
  <c r="G97" i="8"/>
  <c r="F97" i="8"/>
  <c r="E97" i="8"/>
  <c r="D97" i="8"/>
  <c r="C97" i="8"/>
  <c r="O96" i="8"/>
  <c r="N96" i="8"/>
  <c r="M96" i="8"/>
  <c r="L96" i="8"/>
  <c r="K96" i="8"/>
  <c r="J96" i="8"/>
  <c r="I96" i="8"/>
  <c r="H96" i="8"/>
  <c r="G96" i="8"/>
  <c r="F96" i="8"/>
  <c r="E96" i="8"/>
  <c r="D96" i="8"/>
  <c r="C96" i="8"/>
  <c r="O95" i="8"/>
  <c r="N95" i="8"/>
  <c r="M95" i="8"/>
  <c r="L95" i="8"/>
  <c r="K95" i="8"/>
  <c r="J95" i="8"/>
  <c r="I95" i="8"/>
  <c r="H95" i="8"/>
  <c r="G95" i="8"/>
  <c r="F95" i="8"/>
  <c r="E95" i="8"/>
  <c r="D95" i="8"/>
  <c r="C95" i="8"/>
  <c r="O94" i="8"/>
  <c r="N94" i="8"/>
  <c r="M94" i="8"/>
  <c r="L94" i="8"/>
  <c r="K94" i="8"/>
  <c r="J94" i="8"/>
  <c r="I94" i="8"/>
  <c r="H94" i="8"/>
  <c r="G94" i="8"/>
  <c r="F94" i="8"/>
  <c r="E94" i="8"/>
  <c r="D94" i="8"/>
  <c r="C94" i="8"/>
  <c r="O93" i="8"/>
  <c r="N93" i="8"/>
  <c r="M93" i="8"/>
  <c r="L93" i="8"/>
  <c r="K93" i="8"/>
  <c r="J93" i="8"/>
  <c r="I93" i="8"/>
  <c r="H93" i="8"/>
  <c r="G93" i="8"/>
  <c r="F93" i="8"/>
  <c r="E93" i="8"/>
  <c r="D93" i="8"/>
  <c r="C93" i="8"/>
  <c r="O92" i="8"/>
  <c r="N92" i="8"/>
  <c r="M92" i="8"/>
  <c r="L92" i="8"/>
  <c r="K92" i="8"/>
  <c r="J92" i="8"/>
  <c r="I92" i="8"/>
  <c r="H92" i="8"/>
  <c r="G92" i="8"/>
  <c r="F92" i="8"/>
  <c r="E92" i="8"/>
  <c r="D92" i="8"/>
  <c r="C92" i="8"/>
  <c r="O91" i="8"/>
  <c r="N91" i="8"/>
  <c r="M91" i="8"/>
  <c r="L91" i="8"/>
  <c r="K91" i="8"/>
  <c r="J91" i="8"/>
  <c r="I91" i="8"/>
  <c r="H91" i="8"/>
  <c r="G91" i="8"/>
  <c r="F91" i="8"/>
  <c r="E91" i="8"/>
  <c r="D91" i="8"/>
  <c r="C91" i="8"/>
  <c r="O90" i="8"/>
  <c r="N90" i="8"/>
  <c r="M90" i="8"/>
  <c r="L90" i="8"/>
  <c r="K90" i="8"/>
  <c r="J90" i="8"/>
  <c r="I90" i="8"/>
  <c r="H90" i="8"/>
  <c r="G90" i="8"/>
  <c r="F90" i="8"/>
  <c r="E90" i="8"/>
  <c r="D90" i="8"/>
  <c r="C90" i="8"/>
  <c r="O89" i="8"/>
  <c r="N89" i="8"/>
  <c r="M89" i="8"/>
  <c r="L89" i="8"/>
  <c r="K89" i="8"/>
  <c r="J89" i="8"/>
  <c r="I89" i="8"/>
  <c r="H89" i="8"/>
  <c r="G89" i="8"/>
  <c r="F89" i="8"/>
  <c r="E89" i="8"/>
  <c r="D89" i="8"/>
  <c r="C89" i="8"/>
  <c r="O88" i="8"/>
  <c r="N88" i="8"/>
  <c r="M88" i="8"/>
  <c r="L88" i="8"/>
  <c r="K88" i="8"/>
  <c r="J88" i="8"/>
  <c r="I88" i="8"/>
  <c r="H88" i="8"/>
  <c r="G88" i="8"/>
  <c r="F88" i="8"/>
  <c r="E88" i="8"/>
  <c r="D88" i="8"/>
  <c r="C88" i="8"/>
  <c r="O87" i="8"/>
  <c r="N87" i="8"/>
  <c r="M87" i="8"/>
  <c r="L87" i="8"/>
  <c r="K87" i="8"/>
  <c r="J87" i="8"/>
  <c r="I87" i="8"/>
  <c r="H87" i="8"/>
  <c r="G87" i="8"/>
  <c r="F87" i="8"/>
  <c r="E87" i="8"/>
  <c r="D87" i="8"/>
  <c r="C87" i="8"/>
  <c r="O86" i="8"/>
  <c r="N86" i="8"/>
  <c r="M86" i="8"/>
  <c r="L86" i="8"/>
  <c r="K86" i="8"/>
  <c r="J86" i="8"/>
  <c r="I86" i="8"/>
  <c r="H86" i="8"/>
  <c r="G86" i="8"/>
  <c r="F86" i="8"/>
  <c r="E86" i="8"/>
  <c r="D86" i="8"/>
  <c r="C86" i="8"/>
  <c r="O85" i="8"/>
  <c r="N85" i="8"/>
  <c r="M85" i="8"/>
  <c r="L85" i="8"/>
  <c r="K85" i="8"/>
  <c r="J85" i="8"/>
  <c r="I85" i="8"/>
  <c r="H85" i="8"/>
  <c r="G85" i="8"/>
  <c r="F85" i="8"/>
  <c r="E85" i="8"/>
  <c r="D85" i="8"/>
  <c r="C85" i="8"/>
  <c r="O84" i="8"/>
  <c r="N84" i="8"/>
  <c r="M84" i="8"/>
  <c r="L84" i="8"/>
  <c r="K84" i="8"/>
  <c r="J84" i="8"/>
  <c r="I84" i="8"/>
  <c r="H84" i="8"/>
  <c r="G84" i="8"/>
  <c r="F84" i="8"/>
  <c r="E84" i="8"/>
  <c r="D84" i="8"/>
  <c r="C84" i="8"/>
  <c r="O83" i="8"/>
  <c r="N83" i="8"/>
  <c r="M83" i="8"/>
  <c r="L83" i="8"/>
  <c r="K83" i="8"/>
  <c r="J83" i="8"/>
  <c r="I83" i="8"/>
  <c r="H83" i="8"/>
  <c r="G83" i="8"/>
  <c r="F83" i="8"/>
  <c r="E83" i="8"/>
  <c r="D83" i="8"/>
  <c r="C83" i="8"/>
  <c r="O82" i="8"/>
  <c r="N82" i="8"/>
  <c r="M82" i="8"/>
  <c r="L82" i="8"/>
  <c r="K82" i="8"/>
  <c r="J82" i="8"/>
  <c r="I82" i="8"/>
  <c r="H82" i="8"/>
  <c r="G82" i="8"/>
  <c r="F82" i="8"/>
  <c r="E82" i="8"/>
  <c r="D82" i="8"/>
  <c r="C82" i="8"/>
  <c r="O81" i="8"/>
  <c r="N81" i="8"/>
  <c r="M81" i="8"/>
  <c r="L81" i="8"/>
  <c r="K81" i="8"/>
  <c r="J81" i="8"/>
  <c r="I81" i="8"/>
  <c r="H81" i="8"/>
  <c r="G81" i="8"/>
  <c r="F81" i="8"/>
  <c r="E81" i="8"/>
  <c r="D81" i="8"/>
  <c r="C81" i="8"/>
  <c r="O80" i="8"/>
  <c r="N80" i="8"/>
  <c r="M80" i="8"/>
  <c r="L80" i="8"/>
  <c r="K80" i="8"/>
  <c r="J80" i="8"/>
  <c r="I80" i="8"/>
  <c r="H80" i="8"/>
  <c r="G80" i="8"/>
  <c r="F80" i="8"/>
  <c r="E80" i="8"/>
  <c r="D80" i="8"/>
  <c r="C80" i="8"/>
  <c r="O79" i="8"/>
  <c r="N79" i="8"/>
  <c r="M79" i="8"/>
  <c r="L79" i="8"/>
  <c r="K79" i="8"/>
  <c r="J79" i="8"/>
  <c r="I79" i="8"/>
  <c r="H79" i="8"/>
  <c r="G79" i="8"/>
  <c r="F79" i="8"/>
  <c r="E79" i="8"/>
  <c r="D79" i="8"/>
  <c r="C79" i="8"/>
  <c r="O78" i="8"/>
  <c r="N78" i="8"/>
  <c r="M78" i="8"/>
  <c r="L78" i="8"/>
  <c r="K78" i="8"/>
  <c r="J78" i="8"/>
  <c r="I78" i="8"/>
  <c r="H78" i="8"/>
  <c r="G78" i="8"/>
  <c r="F78" i="8"/>
  <c r="E78" i="8"/>
  <c r="D78" i="8"/>
  <c r="C78" i="8"/>
  <c r="O77" i="8"/>
  <c r="N77" i="8"/>
  <c r="M77" i="8"/>
  <c r="L77" i="8"/>
  <c r="K77" i="8"/>
  <c r="J77" i="8"/>
  <c r="I77" i="8"/>
  <c r="H77" i="8"/>
  <c r="G77" i="8"/>
  <c r="F77" i="8"/>
  <c r="E77" i="8"/>
  <c r="D77" i="8"/>
  <c r="C77" i="8"/>
  <c r="O76" i="8"/>
  <c r="N76" i="8"/>
  <c r="M76" i="8"/>
  <c r="L76" i="8"/>
  <c r="K76" i="8"/>
  <c r="J76" i="8"/>
  <c r="I76" i="8"/>
  <c r="H76" i="8"/>
  <c r="G76" i="8"/>
  <c r="F76" i="8"/>
  <c r="E76" i="8"/>
  <c r="D76" i="8"/>
  <c r="C76" i="8"/>
  <c r="O75" i="8"/>
  <c r="N75" i="8"/>
  <c r="M75" i="8"/>
  <c r="L75" i="8"/>
  <c r="K75" i="8"/>
  <c r="J75" i="8"/>
  <c r="I75" i="8"/>
  <c r="H75" i="8"/>
  <c r="G75" i="8"/>
  <c r="F75" i="8"/>
  <c r="E75" i="8"/>
  <c r="D75" i="8"/>
  <c r="C75" i="8"/>
  <c r="O74" i="8"/>
  <c r="N74" i="8"/>
  <c r="M74" i="8"/>
  <c r="L74" i="8"/>
  <c r="K74" i="8"/>
  <c r="J74" i="8"/>
  <c r="I74" i="8"/>
  <c r="H74" i="8"/>
  <c r="G74" i="8"/>
  <c r="F74" i="8"/>
  <c r="E74" i="8"/>
  <c r="D74" i="8"/>
  <c r="C74" i="8"/>
  <c r="O73" i="8"/>
  <c r="N73" i="8"/>
  <c r="M73" i="8"/>
  <c r="L73" i="8"/>
  <c r="K73" i="8"/>
  <c r="J73" i="8"/>
  <c r="I73" i="8"/>
  <c r="H73" i="8"/>
  <c r="G73" i="8"/>
  <c r="F73" i="8"/>
  <c r="E73" i="8"/>
  <c r="D73" i="8"/>
  <c r="C73" i="8"/>
  <c r="O72" i="8"/>
  <c r="N72" i="8"/>
  <c r="M72" i="8"/>
  <c r="L72" i="8"/>
  <c r="K72" i="8"/>
  <c r="J72" i="8"/>
  <c r="I72" i="8"/>
  <c r="H72" i="8"/>
  <c r="G72" i="8"/>
  <c r="F72" i="8"/>
  <c r="E72" i="8"/>
  <c r="D72" i="8"/>
  <c r="C72" i="8"/>
  <c r="O71" i="8"/>
  <c r="N71" i="8"/>
  <c r="M71" i="8"/>
  <c r="L71" i="8"/>
  <c r="K71" i="8"/>
  <c r="J71" i="8"/>
  <c r="I71" i="8"/>
  <c r="H71" i="8"/>
  <c r="G71" i="8"/>
  <c r="F71" i="8"/>
  <c r="E71" i="8"/>
  <c r="D71" i="8"/>
  <c r="C71" i="8"/>
  <c r="O70" i="8"/>
  <c r="N70" i="8"/>
  <c r="M70" i="8"/>
  <c r="L70" i="8"/>
  <c r="K70" i="8"/>
  <c r="J70" i="8"/>
  <c r="I70" i="8"/>
  <c r="H70" i="8"/>
  <c r="G70" i="8"/>
  <c r="F70" i="8"/>
  <c r="E70" i="8"/>
  <c r="D70" i="8"/>
  <c r="C70" i="8"/>
  <c r="O69" i="8"/>
  <c r="N69" i="8"/>
  <c r="M69" i="8"/>
  <c r="L69" i="8"/>
  <c r="K69" i="8"/>
  <c r="J69" i="8"/>
  <c r="I69" i="8"/>
  <c r="H69" i="8"/>
  <c r="G69" i="8"/>
  <c r="F69" i="8"/>
  <c r="E69" i="8"/>
  <c r="D69" i="8"/>
  <c r="C69" i="8"/>
  <c r="O68" i="8"/>
  <c r="N68" i="8"/>
  <c r="M68" i="8"/>
  <c r="L68" i="8"/>
  <c r="K68" i="8"/>
  <c r="J68" i="8"/>
  <c r="I68" i="8"/>
  <c r="H68" i="8"/>
  <c r="G68" i="8"/>
  <c r="F68" i="8"/>
  <c r="E68" i="8"/>
  <c r="D68" i="8"/>
  <c r="C68" i="8"/>
  <c r="O67" i="8"/>
  <c r="N67" i="8"/>
  <c r="M67" i="8"/>
  <c r="L67" i="8"/>
  <c r="K67" i="8"/>
  <c r="J67" i="8"/>
  <c r="I67" i="8"/>
  <c r="H67" i="8"/>
  <c r="G67" i="8"/>
  <c r="F67" i="8"/>
  <c r="E67" i="8"/>
  <c r="D67" i="8"/>
  <c r="C67" i="8"/>
  <c r="O66" i="8"/>
  <c r="N66" i="8"/>
  <c r="M66" i="8"/>
  <c r="L66" i="8"/>
  <c r="K66" i="8"/>
  <c r="J66" i="8"/>
  <c r="I66" i="8"/>
  <c r="H66" i="8"/>
  <c r="G66" i="8"/>
  <c r="F66" i="8"/>
  <c r="E66" i="8"/>
  <c r="D66" i="8"/>
  <c r="C66" i="8"/>
  <c r="O65" i="8"/>
  <c r="N65" i="8"/>
  <c r="M65" i="8"/>
  <c r="L65" i="8"/>
  <c r="K65" i="8"/>
  <c r="J65" i="8"/>
  <c r="I65" i="8"/>
  <c r="H65" i="8"/>
  <c r="G65" i="8"/>
  <c r="F65" i="8"/>
  <c r="E65" i="8"/>
  <c r="D65" i="8"/>
  <c r="C65" i="8"/>
  <c r="O64" i="8"/>
  <c r="N64" i="8"/>
  <c r="M64" i="8"/>
  <c r="L64" i="8"/>
  <c r="K64" i="8"/>
  <c r="J64" i="8"/>
  <c r="I64" i="8"/>
  <c r="H64" i="8"/>
  <c r="G64" i="8"/>
  <c r="F64" i="8"/>
  <c r="E64" i="8"/>
  <c r="D64" i="8"/>
  <c r="C64" i="8"/>
  <c r="O63" i="8"/>
  <c r="N63" i="8"/>
  <c r="M63" i="8"/>
  <c r="L63" i="8"/>
  <c r="K63" i="8"/>
  <c r="J63" i="8"/>
  <c r="I63" i="8"/>
  <c r="H63" i="8"/>
  <c r="G63" i="8"/>
  <c r="F63" i="8"/>
  <c r="E63" i="8"/>
  <c r="D63" i="8"/>
  <c r="C63" i="8"/>
  <c r="O62" i="8"/>
  <c r="N62" i="8"/>
  <c r="M62" i="8"/>
  <c r="L62" i="8"/>
  <c r="K62" i="8"/>
  <c r="J62" i="8"/>
  <c r="I62" i="8"/>
  <c r="H62" i="8"/>
  <c r="G62" i="8"/>
  <c r="F62" i="8"/>
  <c r="E62" i="8"/>
  <c r="D62" i="8"/>
  <c r="C62" i="8"/>
  <c r="O61" i="8"/>
  <c r="N61" i="8"/>
  <c r="M61" i="8"/>
  <c r="L61" i="8"/>
  <c r="K61" i="8"/>
  <c r="J61" i="8"/>
  <c r="I61" i="8"/>
  <c r="H61" i="8"/>
  <c r="G61" i="8"/>
  <c r="F61" i="8"/>
  <c r="E61" i="8"/>
  <c r="D61" i="8"/>
  <c r="C61" i="8"/>
  <c r="O60" i="8"/>
  <c r="N60" i="8"/>
  <c r="M60" i="8"/>
  <c r="L60" i="8"/>
  <c r="K60" i="8"/>
  <c r="J60" i="8"/>
  <c r="I60" i="8"/>
  <c r="H60" i="8"/>
  <c r="G60" i="8"/>
  <c r="F60" i="8"/>
  <c r="E60" i="8"/>
  <c r="D60" i="8"/>
  <c r="C60" i="8"/>
  <c r="O59" i="8"/>
  <c r="N59" i="8"/>
  <c r="M59" i="8"/>
  <c r="L59" i="8"/>
  <c r="K59" i="8"/>
  <c r="J59" i="8"/>
  <c r="I59" i="8"/>
  <c r="H59" i="8"/>
  <c r="G59" i="8"/>
  <c r="F59" i="8"/>
  <c r="E59" i="8"/>
  <c r="D59" i="8"/>
  <c r="C59" i="8"/>
  <c r="O58" i="8"/>
  <c r="N58" i="8"/>
  <c r="M58" i="8"/>
  <c r="L58" i="8"/>
  <c r="K58" i="8"/>
  <c r="J58" i="8"/>
  <c r="I58" i="8"/>
  <c r="H58" i="8"/>
  <c r="G58" i="8"/>
  <c r="F58" i="8"/>
  <c r="E58" i="8"/>
  <c r="D58" i="8"/>
  <c r="C58" i="8"/>
  <c r="O57" i="8"/>
  <c r="N57" i="8"/>
  <c r="M57" i="8"/>
  <c r="L57" i="8"/>
  <c r="K57" i="8"/>
  <c r="J57" i="8"/>
  <c r="I57" i="8"/>
  <c r="H57" i="8"/>
  <c r="G57" i="8"/>
  <c r="F57" i="8"/>
  <c r="E57" i="8"/>
  <c r="D57" i="8"/>
  <c r="C57" i="8"/>
  <c r="O56" i="8"/>
  <c r="N56" i="8"/>
  <c r="M56" i="8"/>
  <c r="L56" i="8"/>
  <c r="K56" i="8"/>
  <c r="J56" i="8"/>
  <c r="I56" i="8"/>
  <c r="H56" i="8"/>
  <c r="G56" i="8"/>
  <c r="F56" i="8"/>
  <c r="E56" i="8"/>
  <c r="D56" i="8"/>
  <c r="C56" i="8"/>
  <c r="O55" i="8"/>
  <c r="N55" i="8"/>
  <c r="M55" i="8"/>
  <c r="L55" i="8"/>
  <c r="K55" i="8"/>
  <c r="J55" i="8"/>
  <c r="I55" i="8"/>
  <c r="H55" i="8"/>
  <c r="G55" i="8"/>
  <c r="F55" i="8"/>
  <c r="E55" i="8"/>
  <c r="D55" i="8"/>
  <c r="C55" i="8"/>
  <c r="O54" i="8"/>
  <c r="N54" i="8"/>
  <c r="M54" i="8"/>
  <c r="L54" i="8"/>
  <c r="K54" i="8"/>
  <c r="J54" i="8"/>
  <c r="I54" i="8"/>
  <c r="H54" i="8"/>
  <c r="G54" i="8"/>
  <c r="F54" i="8"/>
  <c r="E54" i="8"/>
  <c r="D54" i="8"/>
  <c r="C54" i="8"/>
  <c r="O53" i="8"/>
  <c r="N53" i="8"/>
  <c r="M53" i="8"/>
  <c r="L53" i="8"/>
  <c r="K53" i="8"/>
  <c r="J53" i="8"/>
  <c r="I53" i="8"/>
  <c r="H53" i="8"/>
  <c r="G53" i="8"/>
  <c r="F53" i="8"/>
  <c r="E53" i="8"/>
  <c r="D53" i="8"/>
  <c r="C53" i="8"/>
  <c r="O52" i="8"/>
  <c r="N52" i="8"/>
  <c r="M52" i="8"/>
  <c r="L52" i="8"/>
  <c r="K52" i="8"/>
  <c r="J52" i="8"/>
  <c r="I52" i="8"/>
  <c r="H52" i="8"/>
  <c r="G52" i="8"/>
  <c r="F52" i="8"/>
  <c r="E52" i="8"/>
  <c r="D52" i="8"/>
  <c r="C52" i="8"/>
  <c r="O51" i="8"/>
  <c r="N51" i="8"/>
  <c r="M51" i="8"/>
  <c r="L51" i="8"/>
  <c r="K51" i="8"/>
  <c r="J51" i="8"/>
  <c r="I51" i="8"/>
  <c r="H51" i="8"/>
  <c r="G51" i="8"/>
  <c r="F51" i="8"/>
  <c r="E51" i="8"/>
  <c r="D51" i="8"/>
  <c r="C51" i="8"/>
  <c r="O50" i="8"/>
  <c r="N50" i="8"/>
  <c r="M50" i="8"/>
  <c r="L50" i="8"/>
  <c r="K50" i="8"/>
  <c r="J50" i="8"/>
  <c r="I50" i="8"/>
  <c r="H50" i="8"/>
  <c r="G50" i="8"/>
  <c r="F50" i="8"/>
  <c r="E50" i="8"/>
  <c r="D50" i="8"/>
  <c r="C50" i="8"/>
  <c r="O49" i="8"/>
  <c r="N49" i="8"/>
  <c r="M49" i="8"/>
  <c r="L49" i="8"/>
  <c r="K49" i="8"/>
  <c r="J49" i="8"/>
  <c r="I49" i="8"/>
  <c r="H49" i="8"/>
  <c r="G49" i="8"/>
  <c r="F49" i="8"/>
  <c r="E49" i="8"/>
  <c r="D49" i="8"/>
  <c r="C49" i="8"/>
  <c r="O48" i="8"/>
  <c r="N48" i="8"/>
  <c r="M48" i="8"/>
  <c r="L48" i="8"/>
  <c r="K48" i="8"/>
  <c r="J48" i="8"/>
  <c r="I48" i="8"/>
  <c r="H48" i="8"/>
  <c r="G48" i="8"/>
  <c r="F48" i="8"/>
  <c r="E48" i="8"/>
  <c r="D48" i="8"/>
  <c r="C48" i="8"/>
  <c r="O47" i="8"/>
  <c r="N47" i="8"/>
  <c r="M47" i="8"/>
  <c r="L47" i="8"/>
  <c r="K47" i="8"/>
  <c r="J47" i="8"/>
  <c r="I47" i="8"/>
  <c r="H47" i="8"/>
  <c r="G47" i="8"/>
  <c r="F47" i="8"/>
  <c r="E47" i="8"/>
  <c r="D47" i="8"/>
  <c r="C47" i="8"/>
  <c r="O46" i="8"/>
  <c r="N46" i="8"/>
  <c r="M46" i="8"/>
  <c r="L46" i="8"/>
  <c r="K46" i="8"/>
  <c r="J46" i="8"/>
  <c r="I46" i="8"/>
  <c r="H46" i="8"/>
  <c r="G46" i="8"/>
  <c r="F46" i="8"/>
  <c r="E46" i="8"/>
  <c r="D46" i="8"/>
  <c r="C46" i="8"/>
  <c r="O45" i="8"/>
  <c r="N45" i="8"/>
  <c r="M45" i="8"/>
  <c r="L45" i="8"/>
  <c r="K45" i="8"/>
  <c r="J45" i="8"/>
  <c r="I45" i="8"/>
  <c r="H45" i="8"/>
  <c r="G45" i="8"/>
  <c r="F45" i="8"/>
  <c r="E45" i="8"/>
  <c r="D45" i="8"/>
  <c r="C45" i="8"/>
  <c r="O44" i="8"/>
  <c r="N44" i="8"/>
  <c r="M44" i="8"/>
  <c r="L44" i="8"/>
  <c r="K44" i="8"/>
  <c r="J44" i="8"/>
  <c r="I44" i="8"/>
  <c r="H44" i="8"/>
  <c r="G44" i="8"/>
  <c r="F44" i="8"/>
  <c r="E44" i="8"/>
  <c r="D44" i="8"/>
  <c r="C44" i="8"/>
  <c r="O43" i="8"/>
  <c r="N43" i="8"/>
  <c r="M43" i="8"/>
  <c r="L43" i="8"/>
  <c r="K43" i="8"/>
  <c r="J43" i="8"/>
  <c r="I43" i="8"/>
  <c r="H43" i="8"/>
  <c r="G43" i="8"/>
  <c r="F43" i="8"/>
  <c r="E43" i="8"/>
  <c r="D43" i="8"/>
  <c r="C43" i="8"/>
  <c r="O42" i="8"/>
  <c r="N42" i="8"/>
  <c r="M42" i="8"/>
  <c r="L42" i="8"/>
  <c r="K42" i="8"/>
  <c r="J42" i="8"/>
  <c r="I42" i="8"/>
  <c r="H42" i="8"/>
  <c r="G42" i="8"/>
  <c r="F42" i="8"/>
  <c r="E42" i="8"/>
  <c r="D42" i="8"/>
  <c r="C42" i="8"/>
  <c r="O41" i="8"/>
  <c r="N41" i="8"/>
  <c r="M41" i="8"/>
  <c r="L41" i="8"/>
  <c r="K41" i="8"/>
  <c r="J41" i="8"/>
  <c r="I41" i="8"/>
  <c r="H41" i="8"/>
  <c r="G41" i="8"/>
  <c r="F41" i="8"/>
  <c r="E41" i="8"/>
  <c r="D41" i="8"/>
  <c r="C41" i="8"/>
  <c r="O40" i="8"/>
  <c r="N40" i="8"/>
  <c r="M40" i="8"/>
  <c r="L40" i="8"/>
  <c r="K40" i="8"/>
  <c r="J40" i="8"/>
  <c r="I40" i="8"/>
  <c r="H40" i="8"/>
  <c r="G40" i="8"/>
  <c r="F40" i="8"/>
  <c r="E40" i="8"/>
  <c r="D40" i="8"/>
  <c r="C40" i="8"/>
  <c r="O39" i="8"/>
  <c r="N39" i="8"/>
  <c r="M39" i="8"/>
  <c r="L39" i="8"/>
  <c r="K39" i="8"/>
  <c r="J39" i="8"/>
  <c r="I39" i="8"/>
  <c r="H39" i="8"/>
  <c r="G39" i="8"/>
  <c r="F39" i="8"/>
  <c r="E39" i="8"/>
  <c r="D39" i="8"/>
  <c r="C39" i="8"/>
  <c r="O38" i="8"/>
  <c r="N38" i="8"/>
  <c r="M38" i="8"/>
  <c r="L38" i="8"/>
  <c r="K38" i="8"/>
  <c r="J38" i="8"/>
  <c r="I38" i="8"/>
  <c r="H38" i="8"/>
  <c r="G38" i="8"/>
  <c r="F38" i="8"/>
  <c r="E38" i="8"/>
  <c r="D38" i="8"/>
  <c r="C38" i="8"/>
  <c r="O37" i="8"/>
  <c r="N37" i="8"/>
  <c r="M37" i="8"/>
  <c r="L37" i="8"/>
  <c r="K37" i="8"/>
  <c r="J37" i="8"/>
  <c r="I37" i="8"/>
  <c r="H37" i="8"/>
  <c r="G37" i="8"/>
  <c r="F37" i="8"/>
  <c r="E37" i="8"/>
  <c r="D37" i="8"/>
  <c r="C37" i="8"/>
  <c r="O36" i="8"/>
  <c r="N36" i="8"/>
  <c r="M36" i="8"/>
  <c r="L36" i="8"/>
  <c r="K36" i="8"/>
  <c r="J36" i="8"/>
  <c r="I36" i="8"/>
  <c r="H36" i="8"/>
  <c r="G36" i="8"/>
  <c r="F36" i="8"/>
  <c r="E36" i="8"/>
  <c r="D36" i="8"/>
  <c r="C36" i="8"/>
  <c r="O35" i="8"/>
  <c r="N35" i="8"/>
  <c r="M35" i="8"/>
  <c r="L35" i="8"/>
  <c r="K35" i="8"/>
  <c r="J35" i="8"/>
  <c r="I35" i="8"/>
  <c r="H35" i="8"/>
  <c r="G35" i="8"/>
  <c r="F35" i="8"/>
  <c r="E35" i="8"/>
  <c r="D35" i="8"/>
  <c r="C35" i="8"/>
  <c r="O34" i="8"/>
  <c r="N34" i="8"/>
  <c r="M34" i="8"/>
  <c r="L34" i="8"/>
  <c r="K34" i="8"/>
  <c r="J34" i="8"/>
  <c r="I34" i="8"/>
  <c r="H34" i="8"/>
  <c r="G34" i="8"/>
  <c r="F34" i="8"/>
  <c r="E34" i="8"/>
  <c r="D34" i="8"/>
  <c r="C34" i="8"/>
  <c r="O33" i="8"/>
  <c r="N33" i="8"/>
  <c r="M33" i="8"/>
  <c r="L33" i="8"/>
  <c r="K33" i="8"/>
  <c r="J33" i="8"/>
  <c r="I33" i="8"/>
  <c r="H33" i="8"/>
  <c r="G33" i="8"/>
  <c r="F33" i="8"/>
  <c r="E33" i="8"/>
  <c r="D33" i="8"/>
  <c r="C33" i="8"/>
  <c r="O32" i="8"/>
  <c r="N32" i="8"/>
  <c r="M32" i="8"/>
  <c r="L32" i="8"/>
  <c r="K32" i="8"/>
  <c r="J32" i="8"/>
  <c r="I32" i="8"/>
  <c r="H32" i="8"/>
  <c r="G32" i="8"/>
  <c r="F32" i="8"/>
  <c r="E32" i="8"/>
  <c r="D32" i="8"/>
  <c r="C32" i="8"/>
  <c r="O31" i="8"/>
  <c r="N31" i="8"/>
  <c r="M31" i="8"/>
  <c r="L31" i="8"/>
  <c r="K31" i="8"/>
  <c r="J31" i="8"/>
  <c r="I31" i="8"/>
  <c r="H31" i="8"/>
  <c r="G31" i="8"/>
  <c r="F31" i="8"/>
  <c r="E31" i="8"/>
  <c r="D31" i="8"/>
  <c r="C31" i="8"/>
  <c r="O30" i="8"/>
  <c r="N30" i="8"/>
  <c r="M30" i="8"/>
  <c r="L30" i="8"/>
  <c r="K30" i="8"/>
  <c r="J30" i="8"/>
  <c r="I30" i="8"/>
  <c r="H30" i="8"/>
  <c r="G30" i="8"/>
  <c r="F30" i="8"/>
  <c r="E30" i="8"/>
  <c r="D30" i="8"/>
  <c r="C30" i="8"/>
  <c r="O29" i="8"/>
  <c r="N29" i="8"/>
  <c r="M29" i="8"/>
  <c r="L29" i="8"/>
  <c r="K29" i="8"/>
  <c r="J29" i="8"/>
  <c r="I29" i="8"/>
  <c r="H29" i="8"/>
  <c r="G29" i="8"/>
  <c r="F29" i="8"/>
  <c r="E29" i="8"/>
  <c r="D29" i="8"/>
  <c r="C29" i="8"/>
  <c r="O28" i="8"/>
  <c r="N28" i="8"/>
  <c r="M28" i="8"/>
  <c r="L28" i="8"/>
  <c r="K28" i="8"/>
  <c r="J28" i="8"/>
  <c r="I28" i="8"/>
  <c r="H28" i="8"/>
  <c r="G28" i="8"/>
  <c r="F28" i="8"/>
  <c r="E28" i="8"/>
  <c r="D28" i="8"/>
  <c r="C28" i="8"/>
  <c r="O27" i="8"/>
  <c r="N27" i="8"/>
  <c r="M27" i="8"/>
  <c r="L27" i="8"/>
  <c r="K27" i="8"/>
  <c r="J27" i="8"/>
  <c r="I27" i="8"/>
  <c r="H27" i="8"/>
  <c r="G27" i="8"/>
  <c r="F27" i="8"/>
  <c r="E27" i="8"/>
  <c r="D27" i="8"/>
  <c r="C27" i="8"/>
  <c r="O26" i="8"/>
  <c r="N26" i="8"/>
  <c r="M26" i="8"/>
  <c r="L26" i="8"/>
  <c r="K26" i="8"/>
  <c r="J26" i="8"/>
  <c r="I26" i="8"/>
  <c r="H26" i="8"/>
  <c r="G26" i="8"/>
  <c r="F26" i="8"/>
  <c r="E26" i="8"/>
  <c r="D26" i="8"/>
  <c r="C26" i="8"/>
  <c r="O25" i="8"/>
  <c r="N25" i="8"/>
  <c r="M25" i="8"/>
  <c r="L25" i="8"/>
  <c r="K25" i="8"/>
  <c r="J25" i="8"/>
  <c r="I25" i="8"/>
  <c r="H25" i="8"/>
  <c r="G25" i="8"/>
  <c r="F25" i="8"/>
  <c r="E25" i="8"/>
  <c r="D25" i="8"/>
  <c r="C25" i="8"/>
  <c r="O24" i="8"/>
  <c r="N24" i="8"/>
  <c r="M24" i="8"/>
  <c r="L24" i="8"/>
  <c r="K24" i="8"/>
  <c r="J24" i="8"/>
  <c r="I24" i="8"/>
  <c r="H24" i="8"/>
  <c r="G24" i="8"/>
  <c r="F24" i="8"/>
  <c r="E24" i="8"/>
  <c r="D24" i="8"/>
  <c r="C24" i="8"/>
  <c r="O23" i="8"/>
  <c r="N23" i="8"/>
  <c r="M23" i="8"/>
  <c r="L23" i="8"/>
  <c r="K23" i="8"/>
  <c r="J23" i="8"/>
  <c r="I23" i="8"/>
  <c r="H23" i="8"/>
  <c r="G23" i="8"/>
  <c r="F23" i="8"/>
  <c r="E23" i="8"/>
  <c r="D23" i="8"/>
  <c r="C23" i="8"/>
  <c r="O22" i="8"/>
  <c r="N22" i="8"/>
  <c r="M22" i="8"/>
  <c r="L22" i="8"/>
  <c r="K22" i="8"/>
  <c r="J22" i="8"/>
  <c r="I22" i="8"/>
  <c r="H22" i="8"/>
  <c r="G22" i="8"/>
  <c r="F22" i="8"/>
  <c r="E22" i="8"/>
  <c r="D22" i="8"/>
  <c r="C22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O20" i="8"/>
  <c r="N20" i="8"/>
  <c r="M20" i="8"/>
  <c r="L20" i="8"/>
  <c r="K20" i="8"/>
  <c r="J20" i="8"/>
  <c r="I20" i="8"/>
  <c r="H20" i="8"/>
  <c r="G20" i="8"/>
  <c r="F20" i="8"/>
  <c r="E20" i="8"/>
  <c r="D20" i="8"/>
  <c r="C20" i="8"/>
  <c r="O19" i="8"/>
  <c r="N19" i="8"/>
  <c r="M19" i="8"/>
  <c r="L19" i="8"/>
  <c r="K19" i="8"/>
  <c r="J19" i="8"/>
  <c r="I19" i="8"/>
  <c r="H19" i="8"/>
  <c r="G19" i="8"/>
  <c r="F19" i="8"/>
  <c r="E19" i="8"/>
  <c r="D19" i="8"/>
  <c r="C19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O17" i="8"/>
  <c r="N17" i="8"/>
  <c r="M17" i="8"/>
  <c r="L17" i="8"/>
  <c r="K17" i="8"/>
  <c r="J17" i="8"/>
  <c r="I17" i="8"/>
  <c r="H17" i="8"/>
  <c r="G17" i="8"/>
  <c r="F17" i="8"/>
  <c r="E17" i="8"/>
  <c r="D17" i="8"/>
  <c r="C17" i="8"/>
  <c r="O16" i="8"/>
  <c r="N16" i="8"/>
  <c r="M16" i="8"/>
  <c r="L16" i="8"/>
  <c r="K16" i="8"/>
  <c r="J16" i="8"/>
  <c r="I16" i="8"/>
  <c r="H16" i="8"/>
  <c r="G16" i="8"/>
  <c r="F16" i="8"/>
  <c r="E16" i="8"/>
  <c r="D16" i="8"/>
  <c r="C16" i="8"/>
  <c r="O15" i="8"/>
  <c r="N15" i="8"/>
  <c r="M15" i="8"/>
  <c r="L15" i="8"/>
  <c r="K15" i="8"/>
  <c r="J15" i="8"/>
  <c r="I15" i="8"/>
  <c r="H15" i="8"/>
  <c r="G15" i="8"/>
  <c r="F15" i="8"/>
  <c r="E15" i="8"/>
  <c r="D15" i="8"/>
  <c r="C15" i="8"/>
  <c r="O14" i="8"/>
  <c r="N14" i="8"/>
  <c r="M14" i="8"/>
  <c r="L14" i="8"/>
  <c r="K14" i="8"/>
  <c r="J14" i="8"/>
  <c r="I14" i="8"/>
  <c r="H14" i="8"/>
  <c r="G14" i="8"/>
  <c r="F14" i="8"/>
  <c r="E14" i="8"/>
  <c r="D14" i="8"/>
  <c r="C14" i="8"/>
  <c r="O13" i="8"/>
  <c r="N13" i="8"/>
  <c r="M13" i="8"/>
  <c r="L13" i="8"/>
  <c r="K13" i="8"/>
  <c r="J13" i="8"/>
  <c r="I13" i="8"/>
  <c r="H13" i="8"/>
  <c r="G13" i="8"/>
  <c r="F13" i="8"/>
  <c r="E13" i="8"/>
  <c r="D13" i="8"/>
  <c r="C13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O11" i="8"/>
  <c r="N11" i="8"/>
  <c r="M11" i="8"/>
  <c r="L11" i="8"/>
  <c r="K11" i="8"/>
  <c r="J11" i="8"/>
  <c r="I11" i="8"/>
  <c r="H11" i="8"/>
  <c r="G11" i="8"/>
  <c r="F11" i="8"/>
  <c r="E11" i="8"/>
  <c r="D11" i="8"/>
  <c r="C11" i="8"/>
  <c r="O10" i="8"/>
  <c r="N10" i="8"/>
  <c r="M10" i="8"/>
  <c r="L10" i="8"/>
  <c r="K10" i="8"/>
  <c r="J10" i="8"/>
  <c r="I10" i="8"/>
  <c r="H10" i="8"/>
  <c r="G10" i="8"/>
  <c r="F10" i="8"/>
  <c r="E10" i="8"/>
  <c r="D10" i="8"/>
  <c r="C10" i="8"/>
  <c r="O9" i="8"/>
  <c r="N9" i="8"/>
  <c r="M9" i="8"/>
  <c r="L9" i="8"/>
  <c r="K9" i="8"/>
  <c r="J9" i="8"/>
  <c r="I9" i="8"/>
  <c r="H9" i="8"/>
  <c r="G9" i="8"/>
  <c r="F9" i="8"/>
  <c r="E9" i="8"/>
  <c r="D9" i="8"/>
  <c r="C9" i="8"/>
  <c r="A2" i="8"/>
  <c r="A1" i="8"/>
  <c r="I27" i="6"/>
  <c r="I26" i="6"/>
  <c r="I25" i="6"/>
  <c r="I24" i="6"/>
  <c r="I23" i="6"/>
  <c r="I22" i="6"/>
  <c r="I21" i="6"/>
  <c r="I20" i="6"/>
  <c r="N19" i="6"/>
  <c r="I19" i="6"/>
  <c r="Q18" i="6"/>
  <c r="P18" i="6"/>
  <c r="O18" i="6"/>
  <c r="N18" i="6"/>
  <c r="D18" i="6"/>
  <c r="Q17" i="6"/>
  <c r="P17" i="6"/>
  <c r="O17" i="6"/>
  <c r="N17" i="6"/>
  <c r="I17" i="6"/>
  <c r="D17" i="6"/>
  <c r="Q16" i="6"/>
  <c r="P16" i="6"/>
  <c r="O16" i="6"/>
  <c r="N16" i="6"/>
  <c r="I16" i="6"/>
  <c r="D16" i="6"/>
  <c r="Q15" i="6"/>
  <c r="P15" i="6"/>
  <c r="O15" i="6"/>
  <c r="N15" i="6"/>
  <c r="I15" i="6"/>
  <c r="D15" i="6"/>
  <c r="I14" i="6"/>
  <c r="D14" i="6"/>
  <c r="I13" i="6"/>
  <c r="D13" i="6"/>
  <c r="I12" i="6"/>
  <c r="D12" i="6"/>
  <c r="Q11" i="6"/>
  <c r="P11" i="6"/>
  <c r="O11" i="6"/>
  <c r="N11" i="6"/>
  <c r="I11" i="6"/>
  <c r="D11" i="6"/>
  <c r="Q10" i="6"/>
  <c r="P10" i="6"/>
  <c r="O10" i="6"/>
  <c r="N10" i="6"/>
  <c r="I10" i="6"/>
  <c r="D10" i="6"/>
  <c r="Q9" i="6"/>
  <c r="P9" i="6"/>
  <c r="O9" i="6"/>
  <c r="N9" i="6"/>
  <c r="I9" i="6"/>
  <c r="I8" i="6"/>
  <c r="D8" i="6"/>
  <c r="I7" i="6"/>
  <c r="D7" i="6"/>
  <c r="A2" i="6"/>
  <c r="A1" i="6"/>
  <c r="D37" i="1"/>
  <c r="D36" i="1"/>
  <c r="D35" i="1"/>
  <c r="D34" i="1"/>
  <c r="D32" i="1"/>
  <c r="D31" i="1"/>
  <c r="D30" i="1"/>
  <c r="D29" i="1"/>
  <c r="D28" i="1"/>
  <c r="H26" i="1"/>
  <c r="D26" i="1"/>
  <c r="D23" i="1"/>
  <c r="H21" i="1"/>
  <c r="D20" i="1"/>
  <c r="D19" i="1"/>
  <c r="D18" i="1"/>
  <c r="K17" i="1"/>
  <c r="D17" i="1"/>
  <c r="K16" i="1"/>
  <c r="D16" i="1"/>
  <c r="K15" i="1"/>
  <c r="K14" i="1"/>
  <c r="D14" i="1"/>
  <c r="K13" i="1"/>
  <c r="D13" i="1"/>
  <c r="K12" i="1"/>
  <c r="D12" i="1"/>
  <c r="K11" i="1"/>
  <c r="D11" i="1"/>
  <c r="K10" i="1"/>
  <c r="D10" i="1"/>
  <c r="K9" i="1"/>
  <c r="D9" i="1"/>
  <c r="K8" i="1"/>
  <c r="K7" i="1"/>
  <c r="H5" i="1"/>
  <c r="A5" i="9"/>
  <c r="A5" i="4"/>
  <c r="A5" i="3"/>
  <c r="A5" i="2"/>
  <c r="D15" i="1"/>
</calcChain>
</file>

<file path=xl/sharedStrings.xml><?xml version="1.0" encoding="utf-8"?>
<sst xmlns="http://schemas.openxmlformats.org/spreadsheetml/2006/main" count="695" uniqueCount="634">
  <si>
    <t>Volume</t>
  </si>
  <si>
    <t>Close</t>
  </si>
  <si>
    <t>Low</t>
  </si>
  <si>
    <t>High</t>
  </si>
  <si>
    <t>Open</t>
  </si>
  <si>
    <t>Last Trade Date</t>
  </si>
  <si>
    <t>Enterprise Value:</t>
  </si>
  <si>
    <t>Company URL</t>
  </si>
  <si>
    <t>CEO</t>
  </si>
  <si>
    <t>Stock Exchange</t>
  </si>
  <si>
    <t>SIC Industry Code</t>
  </si>
  <si>
    <t>Long Description</t>
  </si>
  <si>
    <t>Legal Name</t>
  </si>
  <si>
    <t>Name</t>
  </si>
  <si>
    <t>Enter Ticker</t>
  </si>
  <si>
    <t>Short Description</t>
  </si>
  <si>
    <t>Control Panel</t>
  </si>
  <si>
    <t>Intrinio Tag</t>
  </si>
  <si>
    <t>Statement</t>
  </si>
  <si>
    <t>income_statement</t>
  </si>
  <si>
    <t>Type</t>
  </si>
  <si>
    <t>FY</t>
  </si>
  <si>
    <t>Sequence</t>
  </si>
  <si>
    <t>Operating Revenue</t>
  </si>
  <si>
    <t>operatingrevenue</t>
  </si>
  <si>
    <t>Other Revenue</t>
  </si>
  <si>
    <t>otherrevenue</t>
  </si>
  <si>
    <t>Total Revenue</t>
  </si>
  <si>
    <t>totalrevenue</t>
  </si>
  <si>
    <t>Operating Cost of Revenue</t>
  </si>
  <si>
    <t>operatingcostofrevenue</t>
  </si>
  <si>
    <t>Other Cost of Revenue</t>
  </si>
  <si>
    <t>othercostofrevenue</t>
  </si>
  <si>
    <t>Total Cost of Revenue</t>
  </si>
  <si>
    <t>totalcostofrevenue</t>
  </si>
  <si>
    <t>Total Gross Profit</t>
  </si>
  <si>
    <t>totalgrossprofit</t>
  </si>
  <si>
    <t>Selling, General &amp; Admin Expense</t>
  </si>
  <si>
    <t>sgaexpense</t>
  </si>
  <si>
    <t>Marketing Expense</t>
  </si>
  <si>
    <t>marketingexpense</t>
  </si>
  <si>
    <t>Research &amp; Development Expense</t>
  </si>
  <si>
    <t>rdexpense</t>
  </si>
  <si>
    <t>Exploration Expense</t>
  </si>
  <si>
    <t>explorationexpense</t>
  </si>
  <si>
    <t>Depreciation Expense</t>
  </si>
  <si>
    <t>depreciationexpense</t>
  </si>
  <si>
    <t>Amortization Expense</t>
  </si>
  <si>
    <t>amortizationexpense</t>
  </si>
  <si>
    <t>Depletion Expense</t>
  </si>
  <si>
    <t>depletionexpense</t>
  </si>
  <si>
    <t>otheroperatingexpenses</t>
  </si>
  <si>
    <t>Impairment Charge</t>
  </si>
  <si>
    <t>impairmentexpense</t>
  </si>
  <si>
    <t>Restructuring Charge</t>
  </si>
  <si>
    <t>restructuringcharge</t>
  </si>
  <si>
    <t>otherspecialcharges</t>
  </si>
  <si>
    <t>Total Operating Expenses</t>
  </si>
  <si>
    <t>totaloperatingexpenses</t>
  </si>
  <si>
    <t>Total Operating Income</t>
  </si>
  <si>
    <t>totaloperatingincome</t>
  </si>
  <si>
    <t>Interest Expense</t>
  </si>
  <si>
    <t>totalinterestexpense</t>
  </si>
  <si>
    <t>totalinterestincome</t>
  </si>
  <si>
    <t>Other Income / (Expense), net</t>
  </si>
  <si>
    <t>otherincome</t>
  </si>
  <si>
    <t>Total Other Income / (Expense), net</t>
  </si>
  <si>
    <t>totalotherincome</t>
  </si>
  <si>
    <t xml:space="preserve">Total Pre-Tax Income </t>
  </si>
  <si>
    <t>totalpretaxincome</t>
  </si>
  <si>
    <t>Income Tax Expense</t>
  </si>
  <si>
    <t>incometaxexpense</t>
  </si>
  <si>
    <t>Other Gains / (Losses), net</t>
  </si>
  <si>
    <t>othergains</t>
  </si>
  <si>
    <t>Net Income / (Loss) Continuing Operations</t>
  </si>
  <si>
    <t>netincomecontinuing</t>
  </si>
  <si>
    <t>Net Income / (Loss) Discontinued Operations</t>
  </si>
  <si>
    <t>netincomediscontinued</t>
  </si>
  <si>
    <t>Extraordinary Income / (Loss), net</t>
  </si>
  <si>
    <t>extraordinaryincome</t>
  </si>
  <si>
    <t>Other Adjustments to Consolidated Net Income / (Loss)</t>
  </si>
  <si>
    <t>otheradjustmentstoconsolidatednetincome</t>
  </si>
  <si>
    <t>Consolidated Net Income / (Loss)</t>
  </si>
  <si>
    <t>netincome</t>
  </si>
  <si>
    <t>Preferred Stock Dividends Declared</t>
  </si>
  <si>
    <t>preferreddividends</t>
  </si>
  <si>
    <t>Net Income / (Loss) Attributable to Noncontrolling Interest</t>
  </si>
  <si>
    <t>netincometononcontrollinginterest</t>
  </si>
  <si>
    <t>Other Adjustments to Net Income / (Loss) Attributable to Common Shareholders)</t>
  </si>
  <si>
    <t>otheradjustmentstonetincometocommon</t>
  </si>
  <si>
    <t>Net Income / (Loss) Attributable to Common Shareholders</t>
  </si>
  <si>
    <t>netincometocommon</t>
  </si>
  <si>
    <t>Basic Earnings per Share</t>
  </si>
  <si>
    <t>Weighted Average Basic Shares Outstanding</t>
  </si>
  <si>
    <t>weightedavebasicsharesos</t>
  </si>
  <si>
    <t>basiceps</t>
  </si>
  <si>
    <t>Diluted Earnings per Share</t>
  </si>
  <si>
    <t>Weighted Average Diluted Shares Outstanding</t>
  </si>
  <si>
    <t>weightedavedilutedsharesos</t>
  </si>
  <si>
    <t>dilutedeps</t>
  </si>
  <si>
    <t>Dividends</t>
  </si>
  <si>
    <t>Cash Dividends to Common per Share</t>
  </si>
  <si>
    <t>cashdividendspershare</t>
  </si>
  <si>
    <t>balance_sheet</t>
  </si>
  <si>
    <t xml:space="preserve">  Assets</t>
  </si>
  <si>
    <t>Current Assets</t>
  </si>
  <si>
    <t>Cash &amp; Equivalents</t>
  </si>
  <si>
    <t>cashandequivalents</t>
  </si>
  <si>
    <t>Restricted Cash</t>
  </si>
  <si>
    <t>restrictedcash</t>
  </si>
  <si>
    <t>Short-Term Investments</t>
  </si>
  <si>
    <t>shortterminvestments</t>
  </si>
  <si>
    <t>notereceivable</t>
  </si>
  <si>
    <t>Accounts Receivable</t>
  </si>
  <si>
    <t>accountsreceivable</t>
  </si>
  <si>
    <t>Inventories, net</t>
  </si>
  <si>
    <t>netinventory</t>
  </si>
  <si>
    <t>Prepaid Expenses</t>
  </si>
  <si>
    <t>prepaidexpenses</t>
  </si>
  <si>
    <t>Other Current Assets</t>
  </si>
  <si>
    <t>othercurrentassets</t>
  </si>
  <si>
    <t>Other Current Non-Operating Assets</t>
  </si>
  <si>
    <t>othercurrentnonoperatingassets</t>
  </si>
  <si>
    <t>Total Current Assets</t>
  </si>
  <si>
    <t>totalcurrentassets</t>
  </si>
  <si>
    <t>Plant, Property &amp; Equipment</t>
  </si>
  <si>
    <t>Plant, Property &amp; Equipment, gross</t>
  </si>
  <si>
    <t>grossppe</t>
  </si>
  <si>
    <t>Accumulated Depreciation</t>
  </si>
  <si>
    <t>accumulateddepreciation</t>
  </si>
  <si>
    <t>Plant, Property, &amp; Equipment, net</t>
  </si>
  <si>
    <t>netppe</t>
  </si>
  <si>
    <t>Other Non-Current Assets</t>
  </si>
  <si>
    <t>Long-Term Investments</t>
  </si>
  <si>
    <t>longterminvestments</t>
  </si>
  <si>
    <t>Goodwill</t>
  </si>
  <si>
    <t>goodwill</t>
  </si>
  <si>
    <t>Intangible Assets</t>
  </si>
  <si>
    <t>intangibleassets</t>
  </si>
  <si>
    <t>Other Noncurrent Operating Assets</t>
  </si>
  <si>
    <t>othernoncurrentassets</t>
  </si>
  <si>
    <t>Other Noncurrent Non-Operating Assets</t>
  </si>
  <si>
    <t>othernoncurrentnonoperatingassets</t>
  </si>
  <si>
    <t>Total Noncurrent Assets</t>
  </si>
  <si>
    <t>totalnoncurrentassets</t>
  </si>
  <si>
    <t>Total Assets</t>
  </si>
  <si>
    <t>totalassets</t>
  </si>
  <si>
    <t>Liabilities</t>
  </si>
  <si>
    <t>Current Liabilities</t>
  </si>
  <si>
    <t>Short-Term Debt</t>
  </si>
  <si>
    <t>shorttermdebt</t>
  </si>
  <si>
    <t>Accounts Payable</t>
  </si>
  <si>
    <t>accountspayable</t>
  </si>
  <si>
    <t>Accrued Expenses</t>
  </si>
  <si>
    <t>accruedexpenses</t>
  </si>
  <si>
    <t>Other Current Liabilities</t>
  </si>
  <si>
    <t>othercurrentliabilities</t>
  </si>
  <si>
    <t>Other Current Non-Operating Liabilities</t>
  </si>
  <si>
    <t>othercurrentnonoperatingliabilities</t>
  </si>
  <si>
    <t>Total Current Liabilities</t>
  </si>
  <si>
    <t>totalcurrentliabilities</t>
  </si>
  <si>
    <t>Long-Term Debt</t>
  </si>
  <si>
    <t>longtermdebt</t>
  </si>
  <si>
    <t>Capital Lease Obligations</t>
  </si>
  <si>
    <t>capitalleaseobligations</t>
  </si>
  <si>
    <t>Other Noncurrent Operating Liabilities</t>
  </si>
  <si>
    <t>othernoncurrentliabilities</t>
  </si>
  <si>
    <t>Other Noncurrent Non-Operating Liabilities</t>
  </si>
  <si>
    <t>othernoncurrentnonoperatingliabilities</t>
  </si>
  <si>
    <t>Total Noncurrent Liabilities</t>
  </si>
  <si>
    <t>totalnoncurrentliabilities</t>
  </si>
  <si>
    <t>Total Liabilities</t>
  </si>
  <si>
    <t>totalliabilities</t>
  </si>
  <si>
    <t>Commitments &amp; Contingencies</t>
  </si>
  <si>
    <t>commitmentsandcontingencies</t>
  </si>
  <si>
    <t>Redeemable Noncontrolling Interest</t>
  </si>
  <si>
    <t>redeemablenoncontrollinginterest</t>
  </si>
  <si>
    <t>Stockholders' Equity</t>
  </si>
  <si>
    <t>Preferred Equity</t>
  </si>
  <si>
    <t>Preferred Stock</t>
  </si>
  <si>
    <t>totalpreferredequity</t>
  </si>
  <si>
    <t>Common Equity</t>
  </si>
  <si>
    <t>Common Stock</t>
  </si>
  <si>
    <t>commonequity</t>
  </si>
  <si>
    <t>Retained Earnings</t>
  </si>
  <si>
    <t>retainedearnings</t>
  </si>
  <si>
    <t>Treasury Stock</t>
  </si>
  <si>
    <t>treasurystock</t>
  </si>
  <si>
    <t>Accumulated Other Comprehensive Income / (Loss)</t>
  </si>
  <si>
    <t>aoci</t>
  </si>
  <si>
    <t>Other Equity Adjustments</t>
  </si>
  <si>
    <t>otherequity</t>
  </si>
  <si>
    <t>Total Common Equity</t>
  </si>
  <si>
    <t>totalcommonequity</t>
  </si>
  <si>
    <t>Total Preferred &amp; Common Equity</t>
  </si>
  <si>
    <t>totalequity</t>
  </si>
  <si>
    <t>Noncontrolling Interest</t>
  </si>
  <si>
    <t>noncontrollinginterests</t>
  </si>
  <si>
    <t>Total Equity &amp; Noncontrolling Interests</t>
  </si>
  <si>
    <t>totalequityandnoncontrollinginterests</t>
  </si>
  <si>
    <t>Total Liabilities &amp; Shareholders' Equity</t>
  </si>
  <si>
    <t>totalliabilitiesandequity</t>
  </si>
  <si>
    <t>cash_flow_statement</t>
  </si>
  <si>
    <t>Net Cash From Operating Activities</t>
  </si>
  <si>
    <t>Non-Cash Adjustments To Reconcile Net Income</t>
  </si>
  <si>
    <t>noncashadjustmentstonetincome</t>
  </si>
  <si>
    <t>Changes in Operating Assets and Liabilities, net</t>
  </si>
  <si>
    <t>increasedecreaseinoperatingcapital</t>
  </si>
  <si>
    <t>Net Cash From Continuing Operating Activities</t>
  </si>
  <si>
    <t>netcashfromcontinuingoperatingactivities</t>
  </si>
  <si>
    <t>Net Cash From Discontinued Operating Activities</t>
  </si>
  <si>
    <t>netcashfromdiscontinuedoperatingactivities</t>
  </si>
  <si>
    <t>netcashfromoperatingactivities</t>
  </si>
  <si>
    <t>Net Cash From Investing Activities</t>
  </si>
  <si>
    <t>Purchase of Property, Plant &amp; Equipment</t>
  </si>
  <si>
    <t>purchaseofplantpropertyandequipment</t>
  </si>
  <si>
    <t>Acquisitions</t>
  </si>
  <si>
    <t>acquisitions</t>
  </si>
  <si>
    <t>Purchase of Investments</t>
  </si>
  <si>
    <t>purchaseofinvestments</t>
  </si>
  <si>
    <t>Sale of Property, Plant &amp; Equipment</t>
  </si>
  <si>
    <t>saleofplantpropertyandequipment</t>
  </si>
  <si>
    <t>Divestitures</t>
  </si>
  <si>
    <t>divestitures</t>
  </si>
  <si>
    <t>Sale and/or Maturity of Investments</t>
  </si>
  <si>
    <t>saleofinvestments</t>
  </si>
  <si>
    <t>Other Investing Activities, net</t>
  </si>
  <si>
    <t>otherinvestingactivitiesnet</t>
  </si>
  <si>
    <t>Net Cash From Continuing Investing Activities</t>
  </si>
  <si>
    <t>netcashfromcontinuinginvestingactivities</t>
  </si>
  <si>
    <t>Net Cash From Discontinued Investing Activities</t>
  </si>
  <si>
    <t>netcashfromdiscontinuedinvestingactivities</t>
  </si>
  <si>
    <t>netcashfrominvestingactivities</t>
  </si>
  <si>
    <t>Net Cash From Financing Activities</t>
  </si>
  <si>
    <t>Repayment of Debt</t>
  </si>
  <si>
    <t>repaymentofdebt</t>
  </si>
  <si>
    <t>Repurchase of Preferred Equity</t>
  </si>
  <si>
    <t>repurchaseofpreferredequity</t>
  </si>
  <si>
    <t>Repurchase of Common Equity</t>
  </si>
  <si>
    <t>repurchaseofcommonequity</t>
  </si>
  <si>
    <t>Payment of Dividends</t>
  </si>
  <si>
    <t>paymentofdividends</t>
  </si>
  <si>
    <t>Issuance of Debt</t>
  </si>
  <si>
    <t>issuanceofdebt</t>
  </si>
  <si>
    <t>Issuance of Preferred Equity</t>
  </si>
  <si>
    <t>issuanceofpreferredequity</t>
  </si>
  <si>
    <t>Issuance of Common Equity</t>
  </si>
  <si>
    <t>issuanceofcommonequity</t>
  </si>
  <si>
    <t>Other Financing Activities, net</t>
  </si>
  <si>
    <t>otherfinancingactivitiesnet</t>
  </si>
  <si>
    <t>Net Cash From Continuing Financing Activities</t>
  </si>
  <si>
    <t>netcashfromcontinuingfinancingactivities</t>
  </si>
  <si>
    <t>Net Cash From Discontinued Financing Activities</t>
  </si>
  <si>
    <t>netcashfromdiscontinuedfinancingactivities</t>
  </si>
  <si>
    <t>netcashfromfinancingactivities</t>
  </si>
  <si>
    <t>Effect of Exchange Rate Changes</t>
  </si>
  <si>
    <t>effectofexchangeratechanges</t>
  </si>
  <si>
    <t>Other Net Changes in Cash</t>
  </si>
  <si>
    <t>othernetchangesincash</t>
  </si>
  <si>
    <t>Net Change in Cash &amp; Equivalents</t>
  </si>
  <si>
    <t>netchangeincash</t>
  </si>
  <si>
    <t>Supplement</t>
  </si>
  <si>
    <t>Cash Interest Paid</t>
  </si>
  <si>
    <t>cashinterestpaid</t>
  </si>
  <si>
    <t>Cash Interest Received</t>
  </si>
  <si>
    <t>cashinterestreceived</t>
  </si>
  <si>
    <t>Cash Income Taxes Paid</t>
  </si>
  <si>
    <t>cashincometaxespaid</t>
  </si>
  <si>
    <t>In Actual USD, except per share values</t>
  </si>
  <si>
    <t>XBRL Tag</t>
  </si>
  <si>
    <t>Domain Tag</t>
  </si>
  <si>
    <t>Other Operating Expenses / (Income)</t>
  </si>
  <si>
    <t>Other Special Charges / (Income)</t>
  </si>
  <si>
    <t>Interest &amp; Investment Income</t>
  </si>
  <si>
    <t>Note &amp; Lease Receivable</t>
  </si>
  <si>
    <t>Current Deferred &amp; Refundable Income Taxes</t>
  </si>
  <si>
    <t>currentdeferredtaxassets</t>
  </si>
  <si>
    <t>Noncurrent Note &amp; Lease Receivables</t>
  </si>
  <si>
    <t>noncurrentnotereceivables</t>
  </si>
  <si>
    <t>Noncurrent Deferred &amp; Refundable Income Taxes</t>
  </si>
  <si>
    <t>noncurrentdeferredtaxassets</t>
  </si>
  <si>
    <t>Employee Benefit Assets</t>
  </si>
  <si>
    <t>employeebenefitassets</t>
  </si>
  <si>
    <t>customerdeposits</t>
  </si>
  <si>
    <t>dividendspayable</t>
  </si>
  <si>
    <t>currentdeferredrevenue</t>
  </si>
  <si>
    <t>currentdeferredtaxliabilities</t>
  </si>
  <si>
    <t>currentemployeebenefitliabilities</t>
  </si>
  <si>
    <t>Customer Deposits</t>
  </si>
  <si>
    <t>Dividends Payable</t>
  </si>
  <si>
    <t>Current Deferred Revenue</t>
  </si>
  <si>
    <t>Current Deferred &amp; Payable Income Tax Liabilities</t>
  </si>
  <si>
    <t>Current Employee Benefit Liabilities</t>
  </si>
  <si>
    <t>Other Taxes Payable</t>
  </si>
  <si>
    <t>othertaxespayable</t>
  </si>
  <si>
    <t>Asset Retirement Reserve &amp; Litigation Obligation</t>
  </si>
  <si>
    <t>assetretirementandlitigationobligation</t>
  </si>
  <si>
    <t>Noncurrent Deferred Revenue</t>
  </si>
  <si>
    <t>noncurrentdeferredrevenue</t>
  </si>
  <si>
    <t>Noncurrent Deferred &amp; Payable Income Tax Liabilities</t>
  </si>
  <si>
    <t>noncurrentdeferredtaxliabilities</t>
  </si>
  <si>
    <t>Noncurrent Employee Benefit Liabilities</t>
  </si>
  <si>
    <t>noncurrentemployeebenefitliabilities</t>
  </si>
  <si>
    <t>SEC CIK ID</t>
  </si>
  <si>
    <t>Next Qtr</t>
  </si>
  <si>
    <t>Next Year</t>
  </si>
  <si>
    <t>Company Metrics</t>
  </si>
  <si>
    <t>Beta</t>
  </si>
  <si>
    <t>Employees</t>
  </si>
  <si>
    <t>Analyst Target Price</t>
  </si>
  <si>
    <t>Trailing Dividend Yield</t>
  </si>
  <si>
    <t>Dividend Ex-Date</t>
  </si>
  <si>
    <t>Dividend Pay Date</t>
  </si>
  <si>
    <t>Company Forecasts</t>
  </si>
  <si>
    <t>This Qtr</t>
  </si>
  <si>
    <t>This Year</t>
  </si>
  <si>
    <t>Next Earnings Date</t>
  </si>
  <si>
    <t>Forward Dividend Yield</t>
  </si>
  <si>
    <t>Forward Dividend Rate</t>
  </si>
  <si>
    <t>Revenue</t>
  </si>
  <si>
    <t>Average Estimate</t>
  </si>
  <si>
    <t>High Estimate</t>
  </si>
  <si>
    <t>Low Estimate</t>
  </si>
  <si>
    <t>EPS</t>
  </si>
  <si>
    <t>Growth Rate</t>
  </si>
  <si>
    <t>Long-Term Growth Estimate</t>
  </si>
  <si>
    <t>Intrinio Metrics and Forecasts</t>
  </si>
  <si>
    <t>Intrinio Historical Stock Prices</t>
  </si>
  <si>
    <t>Date</t>
  </si>
  <si>
    <t>Split Ratio</t>
  </si>
  <si>
    <t>Ex Dividend</t>
  </si>
  <si>
    <t>Adj Open</t>
  </si>
  <si>
    <t>Adj High</t>
  </si>
  <si>
    <t>Adj Low</t>
  </si>
  <si>
    <t>Adj Close</t>
  </si>
  <si>
    <t>Adj Volume</t>
  </si>
  <si>
    <t>Start Date</t>
  </si>
  <si>
    <t>End Date</t>
  </si>
  <si>
    <t>calculations</t>
  </si>
  <si>
    <t>nopat</t>
  </si>
  <si>
    <t>Valuation Metrics</t>
  </si>
  <si>
    <t>Enterprise Value</t>
  </si>
  <si>
    <t>Price to Book</t>
  </si>
  <si>
    <t>Price to Tangible Book</t>
  </si>
  <si>
    <t>Price to Revenue</t>
  </si>
  <si>
    <t>Price to Earnings</t>
  </si>
  <si>
    <t>Dividend Yield</t>
  </si>
  <si>
    <t>Earnings Yield</t>
  </si>
  <si>
    <t>EV to Invested Capital</t>
  </si>
  <si>
    <t>EV to Revenue</t>
  </si>
  <si>
    <t>EV to EBITDA</t>
  </si>
  <si>
    <t>EV to NOPAT</t>
  </si>
  <si>
    <t>EV to EBIT</t>
  </si>
  <si>
    <t>EV to Operating Cash Flow</t>
  </si>
  <si>
    <t>EV to Free Cash Flow to Firm</t>
  </si>
  <si>
    <t xml:space="preserve"> Market Cap ($mm)</t>
  </si>
  <si>
    <t>Enterprise Value ($mm)</t>
  </si>
  <si>
    <t>Profitability Margins</t>
  </si>
  <si>
    <t>EBITDA Margin</t>
  </si>
  <si>
    <t>Operating Margin</t>
  </si>
  <si>
    <t>NOPAT Margin</t>
  </si>
  <si>
    <t>EBIT Margin</t>
  </si>
  <si>
    <t>Profit Margin</t>
  </si>
  <si>
    <t>Growth Rates</t>
  </si>
  <si>
    <t>Gross Margin</t>
  </si>
  <si>
    <t>Operating Expenses to Revenue</t>
  </si>
  <si>
    <t>Inventory Turnover</t>
  </si>
  <si>
    <t>Return on Invested Capital (ROIC)</t>
  </si>
  <si>
    <t>Financial Leverage</t>
  </si>
  <si>
    <t>Net Nonoperating Expense Percent</t>
  </si>
  <si>
    <t>ROIC-NNEP Spread</t>
  </si>
  <si>
    <t>Return on Net Nonoperating Assets (RNNOA)</t>
  </si>
  <si>
    <t>Tax Burden</t>
  </si>
  <si>
    <t>Interest Burden</t>
  </si>
  <si>
    <t>Asset Turnover</t>
  </si>
  <si>
    <t>Leverage Ratio</t>
  </si>
  <si>
    <t>Compound Leverage Factor</t>
  </si>
  <si>
    <t>Leverage</t>
  </si>
  <si>
    <t>Solvency</t>
  </si>
  <si>
    <t>Altman Z-Score</t>
  </si>
  <si>
    <t>Coverage</t>
  </si>
  <si>
    <t>Liquidity</t>
  </si>
  <si>
    <t>Current Ratio</t>
  </si>
  <si>
    <t>Quick Ratio</t>
  </si>
  <si>
    <t>Accounts Receivable Turnover</t>
  </si>
  <si>
    <t>Accounts Payable Turnover</t>
  </si>
  <si>
    <t>Fixed Asset Turnover</t>
  </si>
  <si>
    <t>Invested Capital Turnover</t>
  </si>
  <si>
    <t>Dividend Payout Ratio</t>
  </si>
  <si>
    <t>EBIT</t>
  </si>
  <si>
    <t>Total Debt</t>
  </si>
  <si>
    <t>Net Debt</t>
  </si>
  <si>
    <t>Total Capital</t>
  </si>
  <si>
    <t>Invested Capital</t>
  </si>
  <si>
    <t>Metrics</t>
  </si>
  <si>
    <t>Net Operating Profit After Taxes (NOPAT)</t>
  </si>
  <si>
    <t>netnonopex</t>
  </si>
  <si>
    <t>Net Nonoperating Expense</t>
  </si>
  <si>
    <t>Net Nonoperating Obligations</t>
  </si>
  <si>
    <t>EBITDA</t>
  </si>
  <si>
    <t>Depreciation &amp; Amortization Expense</t>
  </si>
  <si>
    <t>Debt-free, Cash-free Net Working Capital</t>
  </si>
  <si>
    <t>Debt-free Net Working Capital</t>
  </si>
  <si>
    <t>Net Working Capital</t>
  </si>
  <si>
    <t>Long-Term Debt &amp; Capital Leases</t>
  </si>
  <si>
    <t>Book Value per Share</t>
  </si>
  <si>
    <t>Tangible Book Value per Share</t>
  </si>
  <si>
    <t>Capital Expenditures (CapEx)</t>
  </si>
  <si>
    <t>depreciationandamortization</t>
  </si>
  <si>
    <t>ebit</t>
  </si>
  <si>
    <t>ebitda</t>
  </si>
  <si>
    <t>investedcapital</t>
  </si>
  <si>
    <t>netdebt</t>
  </si>
  <si>
    <t>totalcapital</t>
  </si>
  <si>
    <t>bookvaluepershare</t>
  </si>
  <si>
    <t>netnonopobligations</t>
  </si>
  <si>
    <t>dfcfnwc</t>
  </si>
  <si>
    <t>dfnwc</t>
  </si>
  <si>
    <t>nwc</t>
  </si>
  <si>
    <t>debt</t>
  </si>
  <si>
    <t>ltdebtandcapleases</t>
  </si>
  <si>
    <t>tangbookvaluepershare</t>
  </si>
  <si>
    <t>capex</t>
  </si>
  <si>
    <t>Free Cash Flow</t>
  </si>
  <si>
    <t>freecashflow</t>
  </si>
  <si>
    <t>Increase / (Decrease) in Invested Capital</t>
  </si>
  <si>
    <t>investedcapitalincreasedecrease</t>
  </si>
  <si>
    <t>Valuation</t>
  </si>
  <si>
    <t>Market Capitalization</t>
  </si>
  <si>
    <t>marketcap</t>
  </si>
  <si>
    <t>enterprisevalue</t>
  </si>
  <si>
    <t>pricetobook</t>
  </si>
  <si>
    <t>pricetotangiblebook</t>
  </si>
  <si>
    <t>pricetorevenue</t>
  </si>
  <si>
    <t>pricetoearnings</t>
  </si>
  <si>
    <t>dividendyield</t>
  </si>
  <si>
    <t>earningsyield</t>
  </si>
  <si>
    <t>evtoinvestedcapital</t>
  </si>
  <si>
    <t>evtorevenue</t>
  </si>
  <si>
    <t>evtoebitda</t>
  </si>
  <si>
    <t>evtoebit</t>
  </si>
  <si>
    <t>evtonopat</t>
  </si>
  <si>
    <t>evtoocf</t>
  </si>
  <si>
    <t>evtofcff</t>
  </si>
  <si>
    <t>ROIC / ROE Disaggregation</t>
  </si>
  <si>
    <t>Net Operating Profit After Tax Margin (NOPAT Margin)</t>
  </si>
  <si>
    <t>Cost of Revenue to Revenue</t>
  </si>
  <si>
    <t>sgaextorevenue</t>
  </si>
  <si>
    <t>rdextorevenue</t>
  </si>
  <si>
    <t>opextorevenue</t>
  </si>
  <si>
    <t>investedcapitalturnover</t>
  </si>
  <si>
    <t>arturnover</t>
  </si>
  <si>
    <t>apturnover</t>
  </si>
  <si>
    <t>invturnover</t>
  </si>
  <si>
    <t>faturnover</t>
  </si>
  <si>
    <t>roic</t>
  </si>
  <si>
    <t>Revenue Q/Q</t>
  </si>
  <si>
    <t>EBITDA Q/Q</t>
  </si>
  <si>
    <t>NOPAT Q/Q</t>
  </si>
  <si>
    <t>EBIT Q/Q</t>
  </si>
  <si>
    <t>Net Income Q/Q</t>
  </si>
  <si>
    <t>Revenue Y/Y</t>
  </si>
  <si>
    <t>EBITDA Y/Y</t>
  </si>
  <si>
    <t>NOPAT Y/Y</t>
  </si>
  <si>
    <t>EBIT Y/Y</t>
  </si>
  <si>
    <t>Net Income Y/Y</t>
  </si>
  <si>
    <t>EPS Y/Y</t>
  </si>
  <si>
    <t>EPS Q/Q</t>
  </si>
  <si>
    <t>Operating Cash Flow Y/Y</t>
  </si>
  <si>
    <t>Operating Cash Flow Q/Q</t>
  </si>
  <si>
    <t>Free Cash Flow to Firm Y/Y</t>
  </si>
  <si>
    <t>Free Cash Flow to Firm Q/Q</t>
  </si>
  <si>
    <t>Invested Capital Y/Y</t>
  </si>
  <si>
    <t>Invested Capital Q/Q</t>
  </si>
  <si>
    <t>Efficiency</t>
  </si>
  <si>
    <t>grossmargin</t>
  </si>
  <si>
    <t>nopatmargin</t>
  </si>
  <si>
    <t>nnep</t>
  </si>
  <si>
    <t>roicnnepspread</t>
  </si>
  <si>
    <t>rnnoa</t>
  </si>
  <si>
    <t>Return on Equity (ROE)</t>
  </si>
  <si>
    <t>roe</t>
  </si>
  <si>
    <t>Cash Return on Invested Capital (CROIC)</t>
  </si>
  <si>
    <t>croic</t>
  </si>
  <si>
    <t>Operating Return on Assets (OROA)</t>
  </si>
  <si>
    <t>oroa</t>
  </si>
  <si>
    <t>Return on Assets (ROA)</t>
  </si>
  <si>
    <t>roa</t>
  </si>
  <si>
    <t>Noncontrolling Interest Sharing Ratio</t>
  </si>
  <si>
    <t>Return on Common Equity (ROCE)</t>
  </si>
  <si>
    <t>roce</t>
  </si>
  <si>
    <t>divpayoutratio</t>
  </si>
  <si>
    <t>Augmented Payout Ratio</t>
  </si>
  <si>
    <t>augmentedpayoutratio</t>
  </si>
  <si>
    <t>Operating Cash Flow to CapEx</t>
  </si>
  <si>
    <t>ocftocapex</t>
  </si>
  <si>
    <t>finleverage</t>
  </si>
  <si>
    <t>profitmargin</t>
  </si>
  <si>
    <t>ebitmargin</t>
  </si>
  <si>
    <t>assetturnover</t>
  </si>
  <si>
    <t>leverageratio</t>
  </si>
  <si>
    <t>compoundleveragefactor</t>
  </si>
  <si>
    <t>taxburdenpct</t>
  </si>
  <si>
    <t>interestburdenpct</t>
  </si>
  <si>
    <t>Effectiveness</t>
  </si>
  <si>
    <t>Debt to EBITDA</t>
  </si>
  <si>
    <t>debttoebitda</t>
  </si>
  <si>
    <t>Net Debt to EBITDA</t>
  </si>
  <si>
    <t>netdebttoebitda</t>
  </si>
  <si>
    <t>Long-Term Debt to EBITDA</t>
  </si>
  <si>
    <t>ltdebttoebitda</t>
  </si>
  <si>
    <t>Debt to NOPAT</t>
  </si>
  <si>
    <t>debttonopat</t>
  </si>
  <si>
    <t>Net Debt to NOPAT</t>
  </si>
  <si>
    <t>netdebttonopat</t>
  </si>
  <si>
    <t>Long-Term Debt to NOPAT</t>
  </si>
  <si>
    <t>ltdebttonopat</t>
  </si>
  <si>
    <t>altmanzscore</t>
  </si>
  <si>
    <t>ebitdaargin</t>
  </si>
  <si>
    <t>operatingmargin</t>
  </si>
  <si>
    <t>Profit (Net Income) Margin</t>
  </si>
  <si>
    <t>costofrevtorevenue</t>
  </si>
  <si>
    <t>SG&amp;A Expenses to Revenue</t>
  </si>
  <si>
    <t>R&amp;D to Revenue</t>
  </si>
  <si>
    <t>Effective Tax Rate</t>
  </si>
  <si>
    <t>efftaxrate</t>
  </si>
  <si>
    <t>currentratio</t>
  </si>
  <si>
    <t>quickratio</t>
  </si>
  <si>
    <t>Debt-free, Cash-free Net Working Capital to Revenue</t>
  </si>
  <si>
    <t>dfcfnwctorev</t>
  </si>
  <si>
    <t>Debt-free Net Working Capital to Revenue</t>
  </si>
  <si>
    <t>dfnwctorev</t>
  </si>
  <si>
    <t>Net Working Capital to Revenue</t>
  </si>
  <si>
    <t>nwctorev</t>
  </si>
  <si>
    <t>Long-Term Debt to Equity</t>
  </si>
  <si>
    <t>ltdebttoequity</t>
  </si>
  <si>
    <t>Debt to Equity</t>
  </si>
  <si>
    <t>revenuegrowth</t>
  </si>
  <si>
    <t>ebitdagrowth</t>
  </si>
  <si>
    <t>ebitgrowth</t>
  </si>
  <si>
    <t>nopatgrowth</t>
  </si>
  <si>
    <t>netincomegrowth</t>
  </si>
  <si>
    <t>epsgrowth</t>
  </si>
  <si>
    <t>fcffgrowth</t>
  </si>
  <si>
    <t>investedcapitalgrowth</t>
  </si>
  <si>
    <t>revenueqoqgrowth</t>
  </si>
  <si>
    <t>ebitdaqoqgrowth</t>
  </si>
  <si>
    <t>ebitqoqgrowth</t>
  </si>
  <si>
    <t>nopatqoqgrowth</t>
  </si>
  <si>
    <t>epsqoqgrowth</t>
  </si>
  <si>
    <t>fcffqoqgrowth</t>
  </si>
  <si>
    <t>investedcapitalqoqgrowth</t>
  </si>
  <si>
    <t>ocfgrowth</t>
  </si>
  <si>
    <t>ocfqoqgrowth</t>
  </si>
  <si>
    <t>netincomeqoqgrowth</t>
  </si>
  <si>
    <t>Days Sales Outstanding (DSO)</t>
  </si>
  <si>
    <t>dso</t>
  </si>
  <si>
    <t>Days Inventory Outstanding (DIO)</t>
  </si>
  <si>
    <t>dio</t>
  </si>
  <si>
    <t>Days Payable Outstanding (DPO)</t>
  </si>
  <si>
    <t>dpo</t>
  </si>
  <si>
    <t>Cash Conversion Cycle (CCC)</t>
  </si>
  <si>
    <t>ccc</t>
  </si>
  <si>
    <t>EBIT to Interest Expense</t>
  </si>
  <si>
    <t>ebittointerestex</t>
  </si>
  <si>
    <t>NOPAT to Interest Expense</t>
  </si>
  <si>
    <t>nopattointerestex</t>
  </si>
  <si>
    <t>Free Cash Flow to Firm to Interest Expense</t>
  </si>
  <si>
    <t>fcfftointerestex</t>
  </si>
  <si>
    <t>EBIT Less CapEx to Interest Expense</t>
  </si>
  <si>
    <t>ebitlesscapextointerestex</t>
  </si>
  <si>
    <t>NOPAT Less CapEx to Interest Expense</t>
  </si>
  <si>
    <t>nopatlesscapextointex</t>
  </si>
  <si>
    <t>Operating Cash Flow to Interest Expense</t>
  </si>
  <si>
    <t>ocftointerestex</t>
  </si>
  <si>
    <t>Operating Cash Flow Less CapEx to Interest Expense</t>
  </si>
  <si>
    <t>ocflesscapextointerestex</t>
  </si>
  <si>
    <t>Short-Term Debt to Total Capital</t>
  </si>
  <si>
    <t>stdebttocap</t>
  </si>
  <si>
    <t>Long-Term Debt to Total Capital</t>
  </si>
  <si>
    <t>ltdebttocap</t>
  </si>
  <si>
    <t>Debt to Total Capital</t>
  </si>
  <si>
    <t>debttototalcapital</t>
  </si>
  <si>
    <t>Preferred Equity to Total Capital</t>
  </si>
  <si>
    <t>preferredtocap</t>
  </si>
  <si>
    <t>Noncontrolling Interests to Total Capital</t>
  </si>
  <si>
    <t>noncontrolinttocap</t>
  </si>
  <si>
    <t>Common Equity to Total Capital</t>
  </si>
  <si>
    <t>commontocap</t>
  </si>
  <si>
    <t>Capital Structure</t>
  </si>
  <si>
    <t>noncontrollinginterestsharingratio</t>
  </si>
  <si>
    <t>Price to Next Year Earnings</t>
  </si>
  <si>
    <t>Price to Current Year Earnings</t>
  </si>
  <si>
    <t>Price to TTM Earnings</t>
  </si>
  <si>
    <t>Price to TTM Revenue</t>
  </si>
  <si>
    <t>Price to Current Year Revenue</t>
  </si>
  <si>
    <t>Price to Next Year Revenue</t>
  </si>
  <si>
    <t>EV to Current Year Revenue</t>
  </si>
  <si>
    <t>EV to Next Year Revenue</t>
  </si>
  <si>
    <t>EV to TTM Revenue</t>
  </si>
  <si>
    <t>EV to TTM EBITDA</t>
  </si>
  <si>
    <t>EV to TTM EBIT</t>
  </si>
  <si>
    <t>EV to TTM NOPAT</t>
  </si>
  <si>
    <t>TTM Earnings Yield</t>
  </si>
  <si>
    <t>Current Year Earnings Yield</t>
  </si>
  <si>
    <t>Next Year Earnings Yield</t>
  </si>
  <si>
    <t>EV to TTM OCF</t>
  </si>
  <si>
    <t>EV to TTM FCFF</t>
  </si>
  <si>
    <t>debttoequity</t>
  </si>
  <si>
    <t>Incorporated State</t>
  </si>
  <si>
    <t>Incorporated Country</t>
  </si>
  <si>
    <t>HQ State</t>
  </si>
  <si>
    <t>HQ Country</t>
  </si>
  <si>
    <t>Sector</t>
  </si>
  <si>
    <t>Industry Category</t>
  </si>
  <si>
    <t>Industry Group</t>
  </si>
  <si>
    <t>Business Address</t>
  </si>
  <si>
    <t>Mailing Address</t>
  </si>
  <si>
    <t>Business Phone #</t>
  </si>
  <si>
    <t>Company URL Link</t>
  </si>
  <si>
    <t>Intrinio Financials - Industrials Template</t>
  </si>
  <si>
    <t>Security Name</t>
  </si>
  <si>
    <t>Security Type</t>
  </si>
  <si>
    <t>Security Class</t>
  </si>
  <si>
    <t>Security Round Lot Size</t>
  </si>
  <si>
    <t>Exchange Financial Status</t>
  </si>
  <si>
    <t>Change</t>
  </si>
  <si>
    <t>Percent Change</t>
  </si>
  <si>
    <t>52 Week High</t>
  </si>
  <si>
    <t>52 Week Low</t>
  </si>
  <si>
    <t>Frequency</t>
  </si>
  <si>
    <t xml:space="preserve"> YYYY-MM-DD</t>
  </si>
  <si>
    <t>daily</t>
  </si>
  <si>
    <t>Last Trade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</si>
</sst>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_(* #,##0.0_);_(* \(#,##0.0\);_(* &quot;-&quot;?_);_(@_)"/>
    <numFmt numFmtId="166" formatCode="&quot;$&quot;#,##0"/>
    <numFmt numFmtId="167" formatCode="0.0"/>
    <numFmt numFmtId="168" formatCode="_(* #,##0.00_);_(* \(#,##0.00\);_(* &quot;-&quot;?_);_(@_)"/>
    <numFmt numFmtId="169" formatCode="&quot;$&quot;#,##0.00_);[Red]\-&quot;$&quot;#,##0.00"/>
    <numFmt numFmtId="170" formatCode="0.00%;[Red]\-0.00%"/>
    <numFmt numFmtId="171" formatCode="yyyy\-mm\-dd"/>
    <numFmt numFmtId="172" formatCode="[$-409]h:mm\ AM/PM;@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0"/>
      <color theme="4" tint="-0.2499465926084170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4"/>
      <color theme="1"/>
      <name val="Segoe Script"/>
      <family val="2"/>
    </font>
    <font>
      <b/>
      <sz val="2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indexed="9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indexed="9"/>
      <name val="Calibri"/>
      <family val="2"/>
      <scheme val="minor"/>
    </font>
    <font>
      <i/>
      <sz val="12"/>
      <color indexed="8"/>
      <name val="Calibri"/>
      <family val="2"/>
      <scheme val="minor"/>
    </font>
    <font>
      <b/>
      <i/>
      <sz val="12"/>
      <color indexed="8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12"/>
      <color indexed="8"/>
      <name val="Calibri"/>
      <family val="2"/>
      <scheme val="minor"/>
    </font>
    <font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b/>
      <i/>
      <sz val="12"/>
      <name val="Calibri"/>
      <family val="2"/>
      <scheme val="minor"/>
    </font>
    <font>
      <u/>
      <sz val="12"/>
      <name val="Calibri"/>
      <family val="2"/>
      <scheme val="minor"/>
    </font>
    <font>
      <i/>
      <u/>
      <sz val="12"/>
      <name val="Calibri"/>
      <family val="2"/>
      <scheme val="minor"/>
    </font>
    <font>
      <i/>
      <sz val="9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2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14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" fontId="5" fillId="0" borderId="0" applyNumberFormat="0" applyFill="0" applyBorder="0" applyAlignment="0">
      <protection locked="0"/>
    </xf>
    <xf numFmtId="9" fontId="1" fillId="0" borderId="0" applyFont="0" applyFill="0" applyBorder="0" applyAlignment="0" applyProtection="0"/>
  </cellStyleXfs>
  <cellXfs count="222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0" xfId="0" applyBorder="1"/>
    <xf numFmtId="164" fontId="0" fillId="0" borderId="0" xfId="2" applyNumberFormat="1" applyFont="1" applyBorder="1" applyAlignment="1">
      <alignment horizontal="center" vertical="top"/>
    </xf>
    <xf numFmtId="164" fontId="0" fillId="2" borderId="0" xfId="2" applyNumberFormat="1" applyFont="1" applyFill="1" applyBorder="1" applyAlignment="1">
      <alignment vertical="top"/>
    </xf>
    <xf numFmtId="0" fontId="0" fillId="0" borderId="0" xfId="0" applyFont="1"/>
    <xf numFmtId="0" fontId="0" fillId="2" borderId="4" xfId="0" applyNumberFormat="1" applyFont="1" applyFill="1" applyBorder="1" applyAlignment="1"/>
    <xf numFmtId="0" fontId="0" fillId="2" borderId="0" xfId="0" applyNumberFormat="1" applyFont="1" applyFill="1" applyBorder="1" applyAlignment="1"/>
    <xf numFmtId="0" fontId="0" fillId="2" borderId="1" xfId="0" applyFont="1" applyFill="1" applyBorder="1"/>
    <xf numFmtId="0" fontId="0" fillId="2" borderId="2" xfId="0" applyFont="1" applyFill="1" applyBorder="1"/>
    <xf numFmtId="0" fontId="0" fillId="2" borderId="3" xfId="0" applyFont="1" applyFill="1" applyBorder="1"/>
    <xf numFmtId="0" fontId="0" fillId="0" borderId="0" xfId="0" applyFont="1" applyBorder="1" applyAlignment="1">
      <alignment wrapText="1"/>
    </xf>
    <xf numFmtId="0" fontId="2" fillId="0" borderId="0" xfId="0" applyFont="1" applyBorder="1"/>
    <xf numFmtId="0" fontId="0" fillId="0" borderId="0" xfId="0" applyFont="1" applyBorder="1"/>
    <xf numFmtId="0" fontId="3" fillId="0" borderId="0" xfId="0" applyFont="1" applyBorder="1" applyAlignment="1">
      <alignment vertical="top"/>
    </xf>
    <xf numFmtId="0" fontId="6" fillId="0" borderId="0" xfId="0" applyFont="1" applyBorder="1"/>
    <xf numFmtId="0" fontId="0" fillId="2" borderId="4" xfId="0" applyFont="1" applyFill="1" applyBorder="1"/>
    <xf numFmtId="0" fontId="0" fillId="2" borderId="0" xfId="0" applyNumberFormat="1" applyFont="1" applyFill="1" applyBorder="1"/>
    <xf numFmtId="0" fontId="0" fillId="2" borderId="0" xfId="0" applyFont="1" applyFill="1" applyBorder="1" applyAlignment="1">
      <alignment horizontal="right"/>
    </xf>
    <xf numFmtId="0" fontId="0" fillId="2" borderId="5" xfId="0" applyFont="1" applyFill="1" applyBorder="1" applyAlignment="1">
      <alignment horizontal="right"/>
    </xf>
    <xf numFmtId="0" fontId="3" fillId="2" borderId="0" xfId="0" applyFont="1" applyFill="1" applyBorder="1" applyAlignment="1">
      <alignment vertical="center"/>
    </xf>
    <xf numFmtId="0" fontId="3" fillId="2" borderId="4" xfId="0" applyFont="1" applyFill="1" applyBorder="1" applyAlignment="1">
      <alignment vertical="center"/>
    </xf>
    <xf numFmtId="0" fontId="0" fillId="2" borderId="0" xfId="0" applyFont="1" applyFill="1"/>
    <xf numFmtId="0" fontId="0" fillId="0" borderId="2" xfId="0" applyFont="1" applyBorder="1"/>
    <xf numFmtId="0" fontId="3" fillId="0" borderId="2" xfId="0" applyFont="1" applyBorder="1" applyAlignment="1">
      <alignment vertical="center"/>
    </xf>
    <xf numFmtId="0" fontId="2" fillId="0" borderId="2" xfId="0" applyFont="1" applyBorder="1"/>
    <xf numFmtId="0" fontId="8" fillId="2" borderId="0" xfId="0" applyFont="1" applyFill="1" applyAlignment="1">
      <alignment horizontal="center"/>
    </xf>
    <xf numFmtId="0" fontId="9" fillId="0" borderId="0" xfId="0" applyFont="1" applyAlignment="1"/>
    <xf numFmtId="0" fontId="9" fillId="0" borderId="7" xfId="0" applyFont="1" applyBorder="1" applyAlignment="1"/>
    <xf numFmtId="0" fontId="7" fillId="3" borderId="9" xfId="0" applyFont="1" applyFill="1" applyBorder="1" applyAlignment="1" applyProtection="1">
      <alignment horizontal="center"/>
      <protection locked="0"/>
    </xf>
    <xf numFmtId="1" fontId="11" fillId="4" borderId="0" xfId="0" applyNumberFormat="1" applyFont="1" applyFill="1" applyAlignment="1">
      <alignment horizontal="left"/>
    </xf>
    <xf numFmtId="1" fontId="11" fillId="4" borderId="0" xfId="0" applyNumberFormat="1" applyFont="1" applyFill="1" applyAlignment="1">
      <alignment horizontal="center"/>
    </xf>
    <xf numFmtId="0" fontId="13" fillId="4" borderId="0" xfId="0" applyFont="1" applyFill="1" applyAlignment="1">
      <alignment horizontal="left"/>
    </xf>
    <xf numFmtId="0" fontId="13" fillId="4" borderId="0" xfId="0" applyFont="1" applyFill="1" applyAlignment="1">
      <alignment horizontal="center"/>
    </xf>
    <xf numFmtId="1" fontId="14" fillId="4" borderId="0" xfId="0" applyNumberFormat="1" applyFont="1" applyFill="1" applyAlignment="1">
      <alignment horizontal="left"/>
    </xf>
    <xf numFmtId="1" fontId="14" fillId="4" borderId="0" xfId="0" applyNumberFormat="1" applyFont="1" applyFill="1" applyAlignment="1">
      <alignment horizontal="center"/>
    </xf>
    <xf numFmtId="16" fontId="15" fillId="5" borderId="7" xfId="0" applyNumberFormat="1" applyFont="1" applyFill="1" applyBorder="1" applyAlignment="1">
      <alignment horizontal="right"/>
    </xf>
    <xf numFmtId="0" fontId="17" fillId="4" borderId="0" xfId="0" applyFont="1" applyFill="1" applyAlignment="1">
      <alignment horizontal="left"/>
    </xf>
    <xf numFmtId="0" fontId="17" fillId="4" borderId="0" xfId="0" applyFont="1" applyFill="1" applyAlignment="1">
      <alignment horizontal="center"/>
    </xf>
    <xf numFmtId="0" fontId="18" fillId="5" borderId="2" xfId="0" applyFont="1" applyFill="1" applyBorder="1" applyAlignment="1">
      <alignment horizontal="right"/>
    </xf>
    <xf numFmtId="0" fontId="19" fillId="0" borderId="0" xfId="0" applyFont="1" applyFill="1"/>
    <xf numFmtId="0" fontId="19" fillId="0" borderId="0" xfId="0" applyFont="1" applyAlignment="1">
      <alignment horizontal="center"/>
    </xf>
    <xf numFmtId="0" fontId="19" fillId="0" borderId="0" xfId="0" applyFont="1" applyFill="1" applyAlignment="1">
      <alignment horizontal="center"/>
    </xf>
    <xf numFmtId="0" fontId="19" fillId="0" borderId="0" xfId="0" applyFont="1" applyFill="1" applyAlignment="1">
      <alignment horizontal="right" indent="1"/>
    </xf>
    <xf numFmtId="0" fontId="19" fillId="3" borderId="9" xfId="0" applyFont="1" applyFill="1" applyBorder="1" applyAlignment="1">
      <alignment horizontal="center"/>
    </xf>
    <xf numFmtId="0" fontId="20" fillId="0" borderId="0" xfId="0" applyFont="1" applyFill="1"/>
    <xf numFmtId="0" fontId="19" fillId="0" borderId="0" xfId="0" applyFont="1" applyAlignment="1">
      <alignment horizontal="left"/>
    </xf>
    <xf numFmtId="1" fontId="21" fillId="0" borderId="0" xfId="3" applyFont="1" applyFill="1" applyAlignment="1">
      <alignment horizontal="left" wrapText="1" indent="2"/>
      <protection locked="0"/>
    </xf>
    <xf numFmtId="0" fontId="0" fillId="0" borderId="0" xfId="0" applyAlignment="1">
      <alignment horizontal="center"/>
    </xf>
    <xf numFmtId="165" fontId="19" fillId="2" borderId="0" xfId="0" applyNumberFormat="1" applyFont="1" applyFill="1" applyBorder="1" applyProtection="1">
      <protection locked="0"/>
    </xf>
    <xf numFmtId="0" fontId="19" fillId="0" borderId="0" xfId="0" applyFont="1" applyFill="1" applyAlignment="1">
      <alignment horizontal="left"/>
    </xf>
    <xf numFmtId="0" fontId="19" fillId="0" borderId="0" xfId="0" applyFont="1" applyFill="1" applyAlignment="1" applyProtection="1">
      <alignment horizontal="left"/>
      <protection locked="0"/>
    </xf>
    <xf numFmtId="1" fontId="19" fillId="0" borderId="0" xfId="3" applyFont="1" applyFill="1" applyAlignment="1">
      <alignment horizontal="left"/>
      <protection locked="0"/>
    </xf>
    <xf numFmtId="1" fontId="8" fillId="0" borderId="0" xfId="3" applyFont="1" applyFill="1" applyAlignment="1">
      <alignment horizontal="left" wrapText="1" indent="2"/>
      <protection locked="0"/>
    </xf>
    <xf numFmtId="0" fontId="19" fillId="0" borderId="0" xfId="0" applyFont="1" applyFill="1" applyAlignment="1">
      <alignment horizontal="left" wrapText="1"/>
    </xf>
    <xf numFmtId="0" fontId="19" fillId="0" borderId="0" xfId="0" applyFont="1" applyFill="1" applyAlignment="1">
      <alignment horizontal="center" wrapText="1"/>
    </xf>
    <xf numFmtId="1" fontId="19" fillId="0" borderId="0" xfId="3" applyFont="1" applyFill="1" applyAlignment="1">
      <alignment horizontal="left" wrapText="1"/>
      <protection locked="0"/>
    </xf>
    <xf numFmtId="0" fontId="22" fillId="0" borderId="0" xfId="0" applyFont="1" applyFill="1" applyAlignment="1">
      <alignment horizontal="left" wrapText="1"/>
    </xf>
    <xf numFmtId="0" fontId="22" fillId="0" borderId="0" xfId="0" applyFont="1" applyFill="1" applyAlignment="1">
      <alignment horizontal="center" wrapText="1"/>
    </xf>
    <xf numFmtId="1" fontId="19" fillId="0" borderId="0" xfId="3" applyFont="1" applyFill="1" applyAlignment="1">
      <alignment horizontal="center" wrapText="1"/>
      <protection locked="0"/>
    </xf>
    <xf numFmtId="8" fontId="19" fillId="0" borderId="0" xfId="0" applyNumberFormat="1" applyFont="1" applyFill="1" applyBorder="1" applyProtection="1">
      <protection locked="0"/>
    </xf>
    <xf numFmtId="0" fontId="21" fillId="0" borderId="0" xfId="0" applyFont="1" applyFill="1" applyAlignment="1">
      <alignment horizontal="center"/>
    </xf>
    <xf numFmtId="1" fontId="23" fillId="0" borderId="0" xfId="3" applyFont="1" applyFill="1">
      <protection locked="0"/>
    </xf>
    <xf numFmtId="1" fontId="23" fillId="0" borderId="0" xfId="3" applyFont="1" applyFill="1" applyAlignment="1">
      <alignment horizontal="center"/>
      <protection locked="0"/>
    </xf>
    <xf numFmtId="1" fontId="19" fillId="0" borderId="0" xfId="3" applyFont="1" applyFill="1">
      <protection locked="0"/>
    </xf>
    <xf numFmtId="1" fontId="19" fillId="0" borderId="0" xfId="3" applyFont="1" applyFill="1" applyAlignment="1">
      <alignment horizontal="center"/>
      <protection locked="0"/>
    </xf>
    <xf numFmtId="1" fontId="21" fillId="0" borderId="0" xfId="3" applyFont="1" applyFill="1" applyAlignment="1">
      <alignment horizontal="left" indent="1"/>
      <protection locked="0"/>
    </xf>
    <xf numFmtId="1" fontId="22" fillId="0" borderId="0" xfId="3" applyFont="1" applyFill="1">
      <protection locked="0"/>
    </xf>
    <xf numFmtId="1" fontId="22" fillId="0" borderId="0" xfId="3" applyFont="1" applyFill="1" applyAlignment="1">
      <alignment horizontal="center"/>
      <protection locked="0"/>
    </xf>
    <xf numFmtId="0" fontId="19" fillId="0" borderId="0" xfId="0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21" fillId="0" borderId="0" xfId="0" applyFont="1" applyFill="1"/>
    <xf numFmtId="1" fontId="21" fillId="0" borderId="0" xfId="3" applyFont="1" applyFill="1" applyAlignment="1">
      <alignment horizontal="right" indent="1"/>
      <protection locked="0"/>
    </xf>
    <xf numFmtId="0" fontId="21" fillId="0" borderId="0" xfId="0" applyFont="1" applyFill="1" applyAlignment="1">
      <alignment horizontal="right" wrapText="1"/>
    </xf>
    <xf numFmtId="1" fontId="8" fillId="0" borderId="0" xfId="3" applyFont="1" applyFill="1" applyAlignment="1">
      <alignment horizontal="left" indent="1"/>
      <protection locked="0"/>
    </xf>
    <xf numFmtId="0" fontId="19" fillId="0" borderId="0" xfId="0" applyFont="1" applyFill="1" applyBorder="1" applyAlignment="1">
      <alignment horizontal="center"/>
    </xf>
    <xf numFmtId="0" fontId="25" fillId="0" borderId="0" xfId="0" applyFont="1"/>
    <xf numFmtId="0" fontId="26" fillId="0" borderId="0" xfId="0" applyFont="1" applyAlignment="1">
      <alignment horizontal="center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8" fillId="2" borderId="0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64" fontId="0" fillId="2" borderId="0" xfId="0" applyNumberFormat="1" applyFont="1" applyFill="1" applyBorder="1" applyAlignment="1">
      <alignment horizontal="left"/>
    </xf>
    <xf numFmtId="3" fontId="0" fillId="2" borderId="0" xfId="1" applyNumberFormat="1" applyFont="1" applyFill="1" applyBorder="1" applyAlignment="1">
      <alignment horizontal="left"/>
    </xf>
    <xf numFmtId="0" fontId="0" fillId="2" borderId="0" xfId="0" applyFont="1" applyFill="1" applyBorder="1"/>
    <xf numFmtId="0" fontId="4" fillId="0" borderId="5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164" fontId="0" fillId="2" borderId="0" xfId="0" applyNumberFormat="1" applyFont="1" applyFill="1" applyBorder="1" applyAlignment="1">
      <alignment horizontal="center"/>
    </xf>
    <xf numFmtId="166" fontId="0" fillId="2" borderId="0" xfId="0" applyNumberFormat="1" applyFont="1" applyFill="1" applyBorder="1" applyAlignment="1">
      <alignment horizontal="center"/>
    </xf>
    <xf numFmtId="10" fontId="0" fillId="2" borderId="0" xfId="4" applyNumberFormat="1" applyFont="1" applyFill="1" applyBorder="1" applyAlignment="1">
      <alignment horizontal="center"/>
    </xf>
    <xf numFmtId="0" fontId="0" fillId="0" borderId="4" xfId="0" applyFont="1" applyBorder="1"/>
    <xf numFmtId="0" fontId="3" fillId="2" borderId="3" xfId="0" applyFont="1" applyFill="1" applyBorder="1" applyAlignment="1"/>
    <xf numFmtId="0" fontId="3" fillId="2" borderId="2" xfId="0" applyFont="1" applyFill="1" applyBorder="1" applyAlignment="1"/>
    <xf numFmtId="164" fontId="0" fillId="2" borderId="2" xfId="2" applyNumberFormat="1" applyFont="1" applyFill="1" applyBorder="1" applyAlignment="1">
      <alignment vertical="top"/>
    </xf>
    <xf numFmtId="164" fontId="0" fillId="2" borderId="1" xfId="2" applyNumberFormat="1" applyFont="1" applyFill="1" applyBorder="1" applyAlignment="1">
      <alignment vertical="top"/>
    </xf>
    <xf numFmtId="0" fontId="2" fillId="0" borderId="10" xfId="0" applyFont="1" applyBorder="1" applyAlignment="1">
      <alignment horizontal="center"/>
    </xf>
    <xf numFmtId="0" fontId="2" fillId="0" borderId="0" xfId="0" applyFont="1" applyAlignment="1">
      <alignment horizontal="right" indent="1"/>
    </xf>
    <xf numFmtId="4" fontId="0" fillId="0" borderId="0" xfId="0" applyNumberFormat="1"/>
    <xf numFmtId="3" fontId="0" fillId="0" borderId="0" xfId="0" applyNumberFormat="1"/>
    <xf numFmtId="167" fontId="0" fillId="0" borderId="0" xfId="0" applyNumberFormat="1"/>
    <xf numFmtId="0" fontId="10" fillId="4" borderId="7" xfId="0" applyFont="1" applyFill="1" applyBorder="1" applyAlignment="1">
      <alignment vertical="center"/>
    </xf>
    <xf numFmtId="0" fontId="10" fillId="4" borderId="6" xfId="0" applyFont="1" applyFill="1" applyBorder="1" applyAlignment="1">
      <alignment vertical="center"/>
    </xf>
    <xf numFmtId="0" fontId="10" fillId="4" borderId="2" xfId="0" applyFont="1" applyFill="1" applyBorder="1" applyAlignment="1">
      <alignment vertical="center"/>
    </xf>
    <xf numFmtId="0" fontId="10" fillId="4" borderId="1" xfId="0" applyFont="1" applyFill="1" applyBorder="1" applyAlignment="1">
      <alignment vertical="center"/>
    </xf>
    <xf numFmtId="0" fontId="13" fillId="4" borderId="3" xfId="0" applyFont="1" applyFill="1" applyBorder="1" applyAlignment="1">
      <alignment vertical="center"/>
    </xf>
    <xf numFmtId="0" fontId="11" fillId="4" borderId="8" xfId="0" applyFont="1" applyFill="1" applyBorder="1" applyAlignment="1">
      <alignment vertical="center"/>
    </xf>
    <xf numFmtId="0" fontId="9" fillId="0" borderId="0" xfId="0" applyFont="1" applyBorder="1" applyAlignment="1"/>
    <xf numFmtId="164" fontId="2" fillId="2" borderId="13" xfId="0" applyNumberFormat="1" applyFont="1" applyFill="1" applyBorder="1" applyAlignment="1">
      <alignment horizontal="center"/>
    </xf>
    <xf numFmtId="0" fontId="28" fillId="0" borderId="0" xfId="0" applyFont="1"/>
    <xf numFmtId="0" fontId="28" fillId="0" borderId="0" xfId="0" applyFont="1" applyAlignment="1">
      <alignment horizontal="center"/>
    </xf>
    <xf numFmtId="0" fontId="16" fillId="5" borderId="0" xfId="0" applyNumberFormat="1" applyFont="1" applyFill="1" applyBorder="1" applyAlignment="1">
      <alignment horizontal="right"/>
    </xf>
    <xf numFmtId="0" fontId="18" fillId="5" borderId="2" xfId="0" applyNumberFormat="1" applyFont="1" applyFill="1" applyBorder="1" applyAlignment="1">
      <alignment horizontal="right"/>
    </xf>
    <xf numFmtId="10" fontId="0" fillId="2" borderId="0" xfId="4" applyNumberFormat="1" applyFont="1" applyFill="1" applyBorder="1" applyAlignment="1">
      <alignment vertical="top"/>
    </xf>
    <xf numFmtId="0" fontId="3" fillId="2" borderId="5" xfId="0" applyFont="1" applyFill="1" applyBorder="1" applyAlignment="1">
      <alignment horizontal="right" indent="2"/>
    </xf>
    <xf numFmtId="0" fontId="3" fillId="2" borderId="0" xfId="0" applyFont="1" applyFill="1" applyBorder="1" applyAlignment="1">
      <alignment horizontal="right" indent="2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8" fillId="2" borderId="0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3" fontId="0" fillId="2" borderId="0" xfId="0" applyNumberFormat="1" applyFont="1" applyFill="1" applyBorder="1" applyAlignment="1">
      <alignment horizontal="left"/>
    </xf>
    <xf numFmtId="3" fontId="0" fillId="2" borderId="4" xfId="0" applyNumberFormat="1" applyFont="1" applyFill="1" applyBorder="1" applyAlignment="1">
      <alignment horizontal="left"/>
    </xf>
    <xf numFmtId="0" fontId="3" fillId="2" borderId="5" xfId="0" applyFont="1" applyFill="1" applyBorder="1" applyAlignment="1">
      <alignment horizontal="right" indent="2"/>
    </xf>
    <xf numFmtId="0" fontId="3" fillId="2" borderId="0" xfId="0" applyFont="1" applyFill="1" applyBorder="1" applyAlignment="1">
      <alignment horizontal="right" indent="2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0" fillId="0" borderId="0" xfId="0" applyFont="1" applyBorder="1" applyAlignment="1">
      <alignment horizontal="left" vertical="top" wrapText="1"/>
    </xf>
    <xf numFmtId="164" fontId="0" fillId="2" borderId="0" xfId="0" applyNumberFormat="1" applyFont="1" applyFill="1" applyBorder="1" applyAlignment="1">
      <alignment horizontal="left"/>
    </xf>
    <xf numFmtId="0" fontId="3" fillId="2" borderId="3" xfId="0" applyFont="1" applyFill="1" applyBorder="1" applyAlignment="1">
      <alignment horizontal="right" indent="2"/>
    </xf>
    <xf numFmtId="0" fontId="3" fillId="2" borderId="2" xfId="0" applyFont="1" applyFill="1" applyBorder="1" applyAlignment="1">
      <alignment horizontal="right" indent="2"/>
    </xf>
    <xf numFmtId="0" fontId="0" fillId="2" borderId="2" xfId="0" applyNumberFormat="1" applyFont="1" applyFill="1" applyBorder="1" applyAlignment="1">
      <alignment horizontal="left"/>
    </xf>
    <xf numFmtId="0" fontId="0" fillId="2" borderId="1" xfId="0" applyNumberFormat="1" applyFont="1" applyFill="1" applyBorder="1" applyAlignment="1">
      <alignment horizontal="left"/>
    </xf>
    <xf numFmtId="0" fontId="0" fillId="0" borderId="0" xfId="0" applyFont="1" applyBorder="1" applyAlignment="1">
      <alignment vertical="top" wrapText="1"/>
    </xf>
    <xf numFmtId="0" fontId="3" fillId="2" borderId="5" xfId="0" applyFont="1" applyFill="1" applyBorder="1" applyAlignment="1">
      <alignment horizontal="right" indent="2"/>
    </xf>
    <xf numFmtId="0" fontId="3" fillId="2" borderId="0" xfId="0" applyFont="1" applyFill="1" applyBorder="1" applyAlignment="1">
      <alignment horizontal="right" indent="2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0" fillId="0" borderId="0" xfId="0" applyFont="1" applyBorder="1" applyAlignment="1">
      <alignment horizontal="left" vertical="top" wrapText="1"/>
    </xf>
    <xf numFmtId="164" fontId="0" fillId="2" borderId="0" xfId="0" applyNumberFormat="1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left"/>
    </xf>
    <xf numFmtId="169" fontId="0" fillId="2" borderId="0" xfId="0" applyNumberFormat="1" applyFont="1" applyFill="1" applyBorder="1" applyAlignment="1">
      <alignment horizontal="left"/>
    </xf>
    <xf numFmtId="170" fontId="0" fillId="2" borderId="0" xfId="0" applyNumberFormat="1" applyFont="1" applyFill="1" applyBorder="1" applyAlignment="1">
      <alignment horizontal="left"/>
    </xf>
    <xf numFmtId="165" fontId="8" fillId="0" borderId="0" xfId="0" applyNumberFormat="1" applyFont="1" applyFill="1" applyBorder="1" applyProtection="1"/>
    <xf numFmtId="165" fontId="19" fillId="0" borderId="0" xfId="0" applyNumberFormat="1" applyFont="1" applyFill="1" applyBorder="1" applyProtection="1"/>
    <xf numFmtId="165" fontId="19" fillId="0" borderId="10" xfId="0" applyNumberFormat="1" applyFont="1" applyFill="1" applyBorder="1" applyProtection="1"/>
    <xf numFmtId="165" fontId="19" fillId="2" borderId="0" xfId="0" applyNumberFormat="1" applyFont="1" applyFill="1" applyBorder="1" applyProtection="1"/>
    <xf numFmtId="165" fontId="8" fillId="0" borderId="11" xfId="0" applyNumberFormat="1" applyFont="1" applyFill="1" applyBorder="1" applyProtection="1"/>
    <xf numFmtId="165" fontId="8" fillId="0" borderId="12" xfId="0" applyNumberFormat="1" applyFont="1" applyFill="1" applyBorder="1" applyProtection="1"/>
    <xf numFmtId="165" fontId="19" fillId="2" borderId="0" xfId="0" applyNumberFormat="1" applyFont="1" applyFill="1" applyBorder="1" applyAlignment="1" applyProtection="1">
      <alignment vertical="top"/>
    </xf>
    <xf numFmtId="10" fontId="8" fillId="0" borderId="0" xfId="0" applyNumberFormat="1" applyFont="1" applyProtection="1"/>
    <xf numFmtId="8" fontId="19" fillId="0" borderId="0" xfId="0" applyNumberFormat="1" applyFont="1" applyFill="1" applyProtection="1"/>
    <xf numFmtId="37" fontId="8" fillId="0" borderId="0" xfId="0" applyNumberFormat="1" applyFont="1" applyFill="1" applyBorder="1" applyProtection="1"/>
    <xf numFmtId="0" fontId="0" fillId="0" borderId="0" xfId="0" applyProtection="1"/>
    <xf numFmtId="165" fontId="19" fillId="0" borderId="0" xfId="0" applyNumberFormat="1" applyFont="1" applyFill="1" applyProtection="1"/>
    <xf numFmtId="165" fontId="24" fillId="0" borderId="0" xfId="0" applyNumberFormat="1" applyFont="1" applyFill="1" applyBorder="1" applyProtection="1"/>
    <xf numFmtId="165" fontId="8" fillId="0" borderId="0" xfId="0" applyNumberFormat="1" applyFont="1" applyFill="1" applyProtection="1"/>
    <xf numFmtId="165" fontId="8" fillId="0" borderId="13" xfId="0" applyNumberFormat="1" applyFont="1" applyFill="1" applyBorder="1" applyProtection="1"/>
    <xf numFmtId="165" fontId="21" fillId="0" borderId="0" xfId="0" applyNumberFormat="1" applyFont="1" applyFill="1" applyProtection="1"/>
    <xf numFmtId="165" fontId="19" fillId="0" borderId="0" xfId="0" applyNumberFormat="1" applyFont="1" applyFill="1" applyAlignment="1" applyProtection="1">
      <alignment horizontal="right"/>
    </xf>
    <xf numFmtId="0" fontId="28" fillId="0" borderId="0" xfId="0" applyFont="1" applyAlignment="1" applyProtection="1">
      <alignment horizontal="right"/>
    </xf>
    <xf numFmtId="168" fontId="19" fillId="0" borderId="0" xfId="0" applyNumberFormat="1" applyFont="1" applyFill="1" applyAlignment="1" applyProtection="1">
      <alignment horizontal="right"/>
    </xf>
    <xf numFmtId="10" fontId="19" fillId="0" borderId="0" xfId="4" applyNumberFormat="1" applyFont="1" applyFill="1" applyAlignment="1" applyProtection="1">
      <alignment horizontal="right"/>
    </xf>
    <xf numFmtId="0" fontId="7" fillId="3" borderId="9" xfId="0" applyFont="1" applyFill="1" applyBorder="1" applyAlignment="1" applyProtection="1">
      <alignment horizontal="center"/>
    </xf>
    <xf numFmtId="43" fontId="0" fillId="0" borderId="0" xfId="1" applyNumberFormat="1" applyFont="1"/>
    <xf numFmtId="171" fontId="0" fillId="0" borderId="0" xfId="0" applyNumberFormat="1" applyAlignment="1">
      <alignment horizontal="center"/>
    </xf>
    <xf numFmtId="0" fontId="7" fillId="3" borderId="9" xfId="0" applyNumberFormat="1" applyFont="1" applyFill="1" applyBorder="1" applyAlignment="1" applyProtection="1">
      <alignment horizontal="center"/>
    </xf>
    <xf numFmtId="164" fontId="0" fillId="2" borderId="0" xfId="0" applyNumberFormat="1" applyFont="1" applyFill="1" applyBorder="1" applyAlignment="1">
      <alignment horizontal="left"/>
    </xf>
    <xf numFmtId="172" fontId="0" fillId="2" borderId="0" xfId="0" applyNumberFormat="1" applyFont="1" applyFill="1" applyBorder="1" applyAlignment="1">
      <alignment horizontal="left"/>
    </xf>
    <xf numFmtId="0" fontId="0" fillId="0" borderId="8" xfId="0" applyFont="1" applyBorder="1" applyAlignment="1">
      <alignment horizontal="left" vertical="top" wrapText="1"/>
    </xf>
    <xf numFmtId="0" fontId="0" fillId="0" borderId="7" xfId="0" applyFont="1" applyBorder="1" applyAlignment="1">
      <alignment horizontal="left" vertical="top" wrapText="1"/>
    </xf>
    <xf numFmtId="0" fontId="0" fillId="0" borderId="6" xfId="0" applyFont="1" applyBorder="1" applyAlignment="1">
      <alignment horizontal="left" vertical="top" wrapText="1"/>
    </xf>
    <xf numFmtId="0" fontId="0" fillId="0" borderId="5" xfId="0" applyFont="1" applyBorder="1" applyAlignment="1">
      <alignment horizontal="left" vertical="top" wrapText="1"/>
    </xf>
    <xf numFmtId="0" fontId="0" fillId="0" borderId="0" xfId="0" applyFont="1" applyBorder="1" applyAlignment="1">
      <alignment horizontal="left" vertical="top" wrapText="1"/>
    </xf>
    <xf numFmtId="0" fontId="0" fillId="0" borderId="4" xfId="0" applyFont="1" applyBorder="1" applyAlignment="1">
      <alignment horizontal="left" vertical="top" wrapText="1"/>
    </xf>
    <xf numFmtId="0" fontId="0" fillId="0" borderId="3" xfId="0" applyFont="1" applyBorder="1" applyAlignment="1">
      <alignment horizontal="left" vertical="top" wrapText="1"/>
    </xf>
    <xf numFmtId="0" fontId="0" fillId="0" borderId="2" xfId="0" applyFont="1" applyBorder="1" applyAlignment="1">
      <alignment horizontal="left" vertical="top" wrapText="1"/>
    </xf>
    <xf numFmtId="0" fontId="0" fillId="0" borderId="1" xfId="0" applyFont="1" applyBorder="1" applyAlignment="1">
      <alignment horizontal="left" vertical="top" wrapText="1"/>
    </xf>
    <xf numFmtId="0" fontId="3" fillId="2" borderId="5" xfId="0" applyFont="1" applyFill="1" applyBorder="1" applyAlignment="1">
      <alignment horizontal="right" indent="2"/>
    </xf>
    <xf numFmtId="0" fontId="3" fillId="2" borderId="0" xfId="0" applyFont="1" applyFill="1" applyBorder="1" applyAlignment="1">
      <alignment horizontal="right" indent="2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0" fillId="2" borderId="0" xfId="0" applyNumberFormat="1" applyFont="1" applyFill="1" applyBorder="1" applyAlignment="1">
      <alignment horizontal="left" vertical="top" wrapText="1"/>
    </xf>
    <xf numFmtId="0" fontId="0" fillId="2" borderId="4" xfId="0" applyNumberFormat="1" applyFont="1" applyFill="1" applyBorder="1" applyAlignment="1">
      <alignment horizontal="left" vertical="top" wrapText="1"/>
    </xf>
    <xf numFmtId="0" fontId="10" fillId="4" borderId="8" xfId="0" applyFont="1" applyFill="1" applyBorder="1" applyAlignment="1">
      <alignment horizontal="left" vertical="center"/>
    </xf>
    <xf numFmtId="0" fontId="10" fillId="4" borderId="7" xfId="0" applyFont="1" applyFill="1" applyBorder="1" applyAlignment="1">
      <alignment horizontal="left" vertical="center"/>
    </xf>
    <xf numFmtId="0" fontId="10" fillId="4" borderId="6" xfId="0" applyFont="1" applyFill="1" applyBorder="1" applyAlignment="1">
      <alignment horizontal="left" vertical="center"/>
    </xf>
    <xf numFmtId="0" fontId="10" fillId="4" borderId="3" xfId="0" applyFont="1" applyFill="1" applyBorder="1" applyAlignment="1">
      <alignment horizontal="left" vertical="center"/>
    </xf>
    <xf numFmtId="0" fontId="10" fillId="4" borderId="2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horizontal="left" vertical="center"/>
    </xf>
    <xf numFmtId="0" fontId="3" fillId="2" borderId="5" xfId="0" applyFont="1" applyFill="1" applyBorder="1" applyAlignment="1">
      <alignment horizontal="right"/>
    </xf>
    <xf numFmtId="0" fontId="3" fillId="2" borderId="0" xfId="0" applyFont="1" applyFill="1" applyBorder="1" applyAlignment="1">
      <alignment horizontal="right"/>
    </xf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5" fillId="2" borderId="0" xfId="3" applyNumberFormat="1" applyFill="1" applyBorder="1" applyAlignment="1" applyProtection="1">
      <alignment horizontal="left"/>
    </xf>
    <xf numFmtId="0" fontId="1" fillId="2" borderId="0" xfId="0" applyNumberFormat="1" applyFont="1" applyFill="1" applyBorder="1" applyAlignment="1" applyProtection="1">
      <alignment horizontal="left"/>
    </xf>
    <xf numFmtId="0" fontId="1" fillId="2" borderId="4" xfId="0" applyNumberFormat="1" applyFont="1" applyFill="1" applyBorder="1" applyAlignment="1" applyProtection="1">
      <alignment horizontal="left"/>
    </xf>
    <xf numFmtId="0" fontId="8" fillId="2" borderId="8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2" fontId="0" fillId="2" borderId="0" xfId="0" applyNumberFormat="1" applyFont="1" applyFill="1" applyBorder="1" applyAlignment="1">
      <alignment horizontal="left"/>
    </xf>
    <xf numFmtId="2" fontId="0" fillId="2" borderId="4" xfId="0" applyNumberFormat="1" applyFont="1" applyFill="1" applyBorder="1" applyAlignment="1">
      <alignment horizontal="left"/>
    </xf>
    <xf numFmtId="10" fontId="0" fillId="2" borderId="0" xfId="4" applyNumberFormat="1" applyFont="1" applyFill="1" applyBorder="1" applyAlignment="1">
      <alignment horizontal="left"/>
    </xf>
    <xf numFmtId="10" fontId="0" fillId="2" borderId="4" xfId="4" applyNumberFormat="1" applyFont="1" applyFill="1" applyBorder="1" applyAlignment="1">
      <alignment horizontal="left"/>
    </xf>
    <xf numFmtId="3" fontId="0" fillId="2" borderId="0" xfId="0" applyNumberFormat="1" applyFont="1" applyFill="1" applyBorder="1" applyAlignment="1">
      <alignment horizontal="left"/>
    </xf>
    <xf numFmtId="3" fontId="0" fillId="2" borderId="4" xfId="0" applyNumberFormat="1" applyFont="1" applyFill="1" applyBorder="1" applyAlignment="1">
      <alignment horizontal="left"/>
    </xf>
    <xf numFmtId="164" fontId="0" fillId="2" borderId="0" xfId="2" applyNumberFormat="1" applyFont="1" applyFill="1" applyBorder="1" applyAlignment="1">
      <alignment horizontal="left"/>
    </xf>
    <xf numFmtId="164" fontId="0" fillId="2" borderId="4" xfId="2" applyNumberFormat="1" applyFont="1" applyFill="1" applyBorder="1" applyAlignment="1">
      <alignment horizontal="left"/>
    </xf>
    <xf numFmtId="0" fontId="4" fillId="0" borderId="10" xfId="0" applyFont="1" applyBorder="1" applyAlignment="1">
      <alignment horizontal="center" vertical="center"/>
    </xf>
    <xf numFmtId="0" fontId="27" fillId="4" borderId="7" xfId="0" applyFont="1" applyFill="1" applyBorder="1" applyAlignment="1">
      <alignment horizontal="center" vertical="center"/>
    </xf>
    <xf numFmtId="0" fontId="27" fillId="4" borderId="2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64" fontId="0" fillId="2" borderId="0" xfId="0" applyNumberFormat="1" applyFont="1" applyFill="1" applyBorder="1" applyAlignment="1">
      <alignment horizontal="left"/>
    </xf>
    <xf numFmtId="164" fontId="0" fillId="2" borderId="4" xfId="0" applyNumberFormat="1" applyFont="1" applyFill="1" applyBorder="1" applyAlignment="1">
      <alignment horizontal="left"/>
    </xf>
    <xf numFmtId="0" fontId="12" fillId="4" borderId="0" xfId="0" applyFont="1" applyFill="1" applyAlignment="1">
      <alignment horizontal="center" vertical="center" wrapText="1"/>
    </xf>
    <xf numFmtId="0" fontId="12" fillId="4" borderId="2" xfId="0" applyFont="1" applyFill="1" applyBorder="1" applyAlignment="1">
      <alignment horizontal="center" vertical="center" wrapText="1"/>
    </xf>
  </cellXfs>
  <cellStyles count="5">
    <cellStyle name="Comma" xfId="1" builtinId="3"/>
    <cellStyle name="Currency" xfId="2" builtinId="4"/>
    <cellStyle name="Hyperlink" xfId="3" builtinId="8"/>
    <cellStyle name="Normal" xfId="0" builtinId="0"/>
    <cellStyle name="Percent" xfId="4" builtinId="5"/>
  </cellStyles>
  <dxfs count="0"/>
  <tableStyles count="0" defaultTableStyle="TableStyleMedium2" defaultPivotStyle="PivotStyleLight16"/>
  <colors>
    <mruColors>
      <color rgb="FF86B5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6022446</xdr:colOff>
      <xdr:row>0</xdr:row>
      <xdr:rowOff>89957</xdr:rowOff>
    </xdr:from>
    <xdr:to>
      <xdr:col>14</xdr:col>
      <xdr:colOff>132292</xdr:colOff>
      <xdr:row>1</xdr:row>
      <xdr:rowOff>101774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68905" y="89957"/>
          <a:ext cx="1248304" cy="3451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5</xdr:row>
          <xdr:rowOff>171450</xdr:rowOff>
        </xdr:from>
        <xdr:to>
          <xdr:col>5</xdr:col>
          <xdr:colOff>295275</xdr:colOff>
          <xdr:row>6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750093</xdr:colOff>
      <xdr:row>0</xdr:row>
      <xdr:rowOff>117739</xdr:rowOff>
    </xdr:from>
    <xdr:to>
      <xdr:col>18</xdr:col>
      <xdr:colOff>595312</xdr:colOff>
      <xdr:row>1</xdr:row>
      <xdr:rowOff>129556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80343" y="117739"/>
          <a:ext cx="1337469" cy="35048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0</xdr:row>
      <xdr:rowOff>80963</xdr:rowOff>
    </xdr:from>
    <xdr:to>
      <xdr:col>15</xdr:col>
      <xdr:colOff>193940</xdr:colOff>
      <xdr:row>1</xdr:row>
      <xdr:rowOff>92780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80963"/>
          <a:ext cx="1312069" cy="34519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1042458</xdr:colOff>
      <xdr:row>0</xdr:row>
      <xdr:rowOff>52917</xdr:rowOff>
    </xdr:from>
    <xdr:to>
      <xdr:col>7</xdr:col>
      <xdr:colOff>1351032</xdr:colOff>
      <xdr:row>1</xdr:row>
      <xdr:rowOff>137583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28084" y="52917"/>
          <a:ext cx="308574" cy="41804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1031875</xdr:colOff>
      <xdr:row>0</xdr:row>
      <xdr:rowOff>52917</xdr:rowOff>
    </xdr:from>
    <xdr:to>
      <xdr:col>7</xdr:col>
      <xdr:colOff>1340449</xdr:colOff>
      <xdr:row>1</xdr:row>
      <xdr:rowOff>137583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48708" y="52917"/>
          <a:ext cx="308574" cy="41804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1047750</xdr:colOff>
      <xdr:row>0</xdr:row>
      <xdr:rowOff>63501</xdr:rowOff>
    </xdr:from>
    <xdr:to>
      <xdr:col>7</xdr:col>
      <xdr:colOff>1356324</xdr:colOff>
      <xdr:row>1</xdr:row>
      <xdr:rowOff>148167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33376" y="63501"/>
          <a:ext cx="308574" cy="41804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1037166</xdr:colOff>
      <xdr:row>0</xdr:row>
      <xdr:rowOff>52918</xdr:rowOff>
    </xdr:from>
    <xdr:to>
      <xdr:col>7</xdr:col>
      <xdr:colOff>1345740</xdr:colOff>
      <xdr:row>1</xdr:row>
      <xdr:rowOff>137584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39749" y="52918"/>
          <a:ext cx="308574" cy="41804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1217083</xdr:colOff>
      <xdr:row>0</xdr:row>
      <xdr:rowOff>63500</xdr:rowOff>
    </xdr:from>
    <xdr:to>
      <xdr:col>4</xdr:col>
      <xdr:colOff>1525657</xdr:colOff>
      <xdr:row>1</xdr:row>
      <xdr:rowOff>148166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47250" y="63500"/>
          <a:ext cx="308574" cy="41804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ntrinio/Intrinio_Excel_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IntrinioDataPoint"/>
      <definedName name="IntrinioFinancials"/>
      <definedName name="IntrinioFundamentals"/>
      <definedName name="IntrinioHistoricalPrices"/>
      <definedName name="IntrinioReportedFinancials"/>
      <definedName name="IntrinioReportedFundamentals"/>
      <definedName name="IntrinioReportedTag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</sheetPr>
  <dimension ref="A1:P45"/>
  <sheetViews>
    <sheetView showGridLines="0" tabSelected="1" zoomScale="90" zoomScaleNormal="90" workbookViewId="0">
      <selection activeCell="D7" sqref="D7"/>
    </sheetView>
  </sheetViews>
  <sheetFormatPr defaultRowHeight="14.25" x14ac:dyDescent="0.45"/>
  <cols>
    <col min="1" max="1" width="5" customWidth="1"/>
    <col min="2" max="2" width="6.1328125" customWidth="1"/>
    <col min="3" max="3" width="19.265625" customWidth="1"/>
    <col min="4" max="4" width="15.59765625" customWidth="1"/>
    <col min="5" max="5" width="8" customWidth="1"/>
    <col min="6" max="6" width="6.1328125" customWidth="1"/>
    <col min="7" max="7" width="5.1328125" customWidth="1"/>
    <col min="8" max="8" width="3.73046875" customWidth="1"/>
    <col min="9" max="9" width="16.265625" customWidth="1"/>
    <col min="10" max="10" width="2" customWidth="1"/>
    <col min="11" max="11" width="15.1328125" customWidth="1"/>
    <col min="12" max="12" width="4.59765625" customWidth="1"/>
    <col min="13" max="13" width="96.19921875" customWidth="1"/>
    <col min="14" max="14" width="3.73046875" customWidth="1"/>
    <col min="15" max="15" width="3.265625" customWidth="1"/>
  </cols>
  <sheetData>
    <row r="1" spans="1:16" ht="26.25" customHeight="1" x14ac:dyDescent="0.45">
      <c r="A1" s="184" t="s">
        <v>620</v>
      </c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6"/>
    </row>
    <row r="2" spans="1:16" ht="19.5" customHeight="1" thickBot="1" x14ac:dyDescent="0.5">
      <c r="A2" s="187"/>
      <c r="B2" s="188"/>
      <c r="C2" s="188"/>
      <c r="D2" s="188"/>
      <c r="E2" s="188"/>
      <c r="F2" s="188"/>
      <c r="G2" s="188"/>
      <c r="H2" s="188"/>
      <c r="I2" s="188"/>
      <c r="J2" s="188"/>
      <c r="K2" s="188"/>
      <c r="L2" s="188"/>
      <c r="M2" s="188"/>
      <c r="N2" s="188"/>
      <c r="O2" s="189"/>
    </row>
    <row r="3" spans="1:16" ht="15" customHeight="1" x14ac:dyDescent="1.1000000000000001">
      <c r="A3" s="6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</row>
    <row r="4" spans="1:16" ht="15.75" customHeight="1" thickBot="1" x14ac:dyDescent="1.1499999999999999">
      <c r="A4" s="6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</row>
    <row r="5" spans="1:16" ht="15.75" x14ac:dyDescent="0.5">
      <c r="A5" s="6"/>
      <c r="B5" s="199" t="s">
        <v>16</v>
      </c>
      <c r="C5" s="200"/>
      <c r="D5" s="200"/>
      <c r="E5" s="200"/>
      <c r="F5" s="201"/>
      <c r="G5" s="27"/>
      <c r="H5" s="192" t="str">
        <f>IF(ticker="","Last Price Data",ticker &amp; " Last Price Data")</f>
        <v>Last Price Data</v>
      </c>
      <c r="I5" s="193"/>
      <c r="J5" s="193"/>
      <c r="K5" s="193"/>
      <c r="L5" s="193"/>
      <c r="M5" s="87"/>
      <c r="N5" s="88"/>
      <c r="O5" s="88"/>
      <c r="P5" s="88"/>
    </row>
    <row r="6" spans="1:16" ht="15.75" customHeight="1" thickBot="1" x14ac:dyDescent="0.5">
      <c r="A6" s="23"/>
      <c r="B6" s="202"/>
      <c r="C6" s="203"/>
      <c r="D6" s="203"/>
      <c r="E6" s="203"/>
      <c r="F6" s="204"/>
      <c r="G6" s="23"/>
      <c r="H6" s="194"/>
      <c r="I6" s="195"/>
      <c r="J6" s="195"/>
      <c r="K6" s="195"/>
      <c r="L6" s="195"/>
      <c r="M6" s="87"/>
      <c r="N6" s="88"/>
      <c r="O6" s="88"/>
      <c r="P6" s="88"/>
    </row>
    <row r="7" spans="1:16" ht="15.75" customHeight="1" thickBot="1" x14ac:dyDescent="0.5">
      <c r="A7" s="23"/>
      <c r="B7" s="178" t="s">
        <v>14</v>
      </c>
      <c r="C7" s="179"/>
      <c r="D7" s="30"/>
      <c r="E7" s="18"/>
      <c r="F7" s="22"/>
      <c r="G7" s="21"/>
      <c r="H7" s="190" t="s">
        <v>5</v>
      </c>
      <c r="I7" s="191"/>
      <c r="J7" s="139"/>
      <c r="K7" s="128" t="str">
        <f>[1]!IntrinioDataPoint(ticker,"price_date")</f>
        <v/>
      </c>
      <c r="L7" s="128"/>
      <c r="M7" s="87"/>
      <c r="N7" s="88"/>
      <c r="O7" s="88"/>
      <c r="P7" s="88"/>
    </row>
    <row r="8" spans="1:16" ht="15" customHeight="1" x14ac:dyDescent="0.45">
      <c r="A8" s="6"/>
      <c r="B8" s="20"/>
      <c r="C8" s="19"/>
      <c r="D8" s="18"/>
      <c r="E8" s="18"/>
      <c r="F8" s="17"/>
      <c r="G8" s="6"/>
      <c r="H8" s="190" t="s">
        <v>633</v>
      </c>
      <c r="I8" s="191"/>
      <c r="J8" s="167"/>
      <c r="K8" s="168" t="str">
        <f>[1]!IntrinioDataPoint(ticker,"price_time")</f>
        <v/>
      </c>
      <c r="L8" s="167"/>
      <c r="M8" s="87"/>
      <c r="N8" s="88"/>
      <c r="O8" s="88"/>
      <c r="P8" s="88"/>
    </row>
    <row r="9" spans="1:16" ht="15" customHeight="1" x14ac:dyDescent="0.45">
      <c r="A9" s="6"/>
      <c r="B9" s="178" t="s">
        <v>13</v>
      </c>
      <c r="C9" s="179"/>
      <c r="D9" s="180" t="str">
        <f>[1]!IntrinioDataPoint(ticker,"name")</f>
        <v/>
      </c>
      <c r="E9" s="180" t="e">
        <v>#NAME?</v>
      </c>
      <c r="F9" s="181" t="e">
        <v>#NAME?</v>
      </c>
      <c r="G9" s="6"/>
      <c r="H9" s="190" t="s">
        <v>4</v>
      </c>
      <c r="I9" s="191"/>
      <c r="J9" s="139"/>
      <c r="K9" s="128" t="str">
        <f>[1]!IntrinioDataPoint(ticker,"open_price")</f>
        <v/>
      </c>
      <c r="L9" s="128"/>
      <c r="M9" s="87"/>
      <c r="N9" s="88"/>
      <c r="O9" s="88"/>
      <c r="P9" s="88"/>
    </row>
    <row r="10" spans="1:16" ht="15" customHeight="1" x14ac:dyDescent="0.45">
      <c r="A10" s="6"/>
      <c r="B10" s="178" t="s">
        <v>12</v>
      </c>
      <c r="C10" s="179"/>
      <c r="D10" s="180" t="str">
        <f>[1]!IntrinioDataPoint(ticker,"legal_name")</f>
        <v/>
      </c>
      <c r="E10" s="180" t="e">
        <v>#NAME?</v>
      </c>
      <c r="F10" s="181" t="e">
        <v>#NAME?</v>
      </c>
      <c r="G10" s="6"/>
      <c r="H10" s="190" t="s">
        <v>3</v>
      </c>
      <c r="I10" s="191"/>
      <c r="J10" s="139"/>
      <c r="K10" s="128" t="str">
        <f>[1]!IntrinioDataPoint(ticker,"high_price")</f>
        <v/>
      </c>
      <c r="L10" s="128"/>
      <c r="M10" s="87"/>
      <c r="N10" s="88"/>
      <c r="O10" s="88"/>
      <c r="P10" s="88"/>
    </row>
    <row r="11" spans="1:16" ht="15" customHeight="1" x14ac:dyDescent="0.45">
      <c r="A11" s="6"/>
      <c r="B11" s="178" t="s">
        <v>303</v>
      </c>
      <c r="C11" s="179"/>
      <c r="D11" s="180" t="str">
        <f>[1]!IntrinioDataPoint(ticker,"cik")</f>
        <v/>
      </c>
      <c r="E11" s="180" t="e">
        <v>#NAME?</v>
      </c>
      <c r="F11" s="181" t="e">
        <v>#NAME?</v>
      </c>
      <c r="G11" s="6"/>
      <c r="H11" s="190" t="s">
        <v>2</v>
      </c>
      <c r="I11" s="191"/>
      <c r="J11" s="139"/>
      <c r="K11" s="128" t="str">
        <f>[1]!IntrinioDataPoint(ticker,"low_price")</f>
        <v/>
      </c>
      <c r="L11" s="128"/>
      <c r="M11" s="87"/>
      <c r="N11" s="88"/>
      <c r="O11" s="88"/>
      <c r="P11" s="88"/>
    </row>
    <row r="12" spans="1:16" ht="15" customHeight="1" x14ac:dyDescent="0.45">
      <c r="A12" s="6"/>
      <c r="B12" s="178" t="s">
        <v>9</v>
      </c>
      <c r="C12" s="179"/>
      <c r="D12" s="180" t="str">
        <f>[1]!IntrinioDataPoint(ticker,"stock_exchange")</f>
        <v/>
      </c>
      <c r="E12" s="180" t="e">
        <v>#NAME?</v>
      </c>
      <c r="F12" s="181" t="e">
        <v>#NAME?</v>
      </c>
      <c r="G12" s="6"/>
      <c r="H12" s="190" t="s">
        <v>1</v>
      </c>
      <c r="I12" s="191"/>
      <c r="J12" s="139"/>
      <c r="K12" s="128" t="str">
        <f>[1]!IntrinioDataPoint(ticker,"close_price")</f>
        <v/>
      </c>
      <c r="L12" s="128"/>
      <c r="M12" s="87"/>
      <c r="N12" s="88"/>
      <c r="O12" s="88"/>
      <c r="P12" s="88"/>
    </row>
    <row r="13" spans="1:16" ht="15" customHeight="1" x14ac:dyDescent="0.45">
      <c r="A13" s="6"/>
      <c r="B13" s="178" t="s">
        <v>8</v>
      </c>
      <c r="C13" s="179"/>
      <c r="D13" s="180" t="str">
        <f>[1]!IntrinioDataPoint(ticker,"ceo")</f>
        <v/>
      </c>
      <c r="E13" s="180" t="e">
        <v>#NAME?</v>
      </c>
      <c r="F13" s="181" t="e">
        <v>#NAME?</v>
      </c>
      <c r="G13" s="6"/>
      <c r="H13" s="190" t="s">
        <v>626</v>
      </c>
      <c r="I13" s="191"/>
      <c r="J13" s="139"/>
      <c r="K13" s="141" t="str">
        <f>[1]!IntrinioDataPoint(ticker,"change")</f>
        <v/>
      </c>
      <c r="L13" s="139"/>
      <c r="M13" s="87"/>
      <c r="N13" s="88"/>
      <c r="O13" s="88"/>
      <c r="P13" s="88"/>
    </row>
    <row r="14" spans="1:16" ht="15.75" x14ac:dyDescent="0.45">
      <c r="A14" s="6"/>
      <c r="B14" s="123"/>
      <c r="C14" s="124" t="s">
        <v>7</v>
      </c>
      <c r="D14" s="125" t="str">
        <f>[1]!IntrinioDataPoint(ticker,"company_url")</f>
        <v/>
      </c>
      <c r="E14" s="125"/>
      <c r="F14" s="126"/>
      <c r="G14" s="6"/>
      <c r="H14" s="190" t="s">
        <v>627</v>
      </c>
      <c r="I14" s="191"/>
      <c r="J14" s="140"/>
      <c r="K14" s="142" t="str">
        <f>[1]!IntrinioDataPoint(ticker,"percent_change")</f>
        <v/>
      </c>
      <c r="L14" s="139"/>
      <c r="M14" s="87"/>
      <c r="N14" s="88"/>
    </row>
    <row r="15" spans="1:16" ht="15.75" x14ac:dyDescent="0.45">
      <c r="A15" s="6"/>
      <c r="B15" s="178" t="s">
        <v>619</v>
      </c>
      <c r="C15" s="179" t="s">
        <v>6</v>
      </c>
      <c r="D15" s="196" t="str">
        <f>HYPERLINK(D14,D14)</f>
        <v/>
      </c>
      <c r="E15" s="197" t="e">
        <v>#NAME?</v>
      </c>
      <c r="F15" s="198" t="e">
        <v>#NAME?</v>
      </c>
      <c r="G15" s="6"/>
      <c r="H15" s="190" t="s">
        <v>628</v>
      </c>
      <c r="I15" s="191"/>
      <c r="J15" s="139"/>
      <c r="K15" s="139" t="str">
        <f>[1]!IntrinioDataPoint(ticker,"52_week_high")</f>
        <v/>
      </c>
      <c r="L15" s="139"/>
      <c r="M15" s="87"/>
      <c r="N15" s="88"/>
    </row>
    <row r="16" spans="1:16" ht="15.75" x14ac:dyDescent="0.45">
      <c r="A16" s="6"/>
      <c r="B16" s="178" t="s">
        <v>611</v>
      </c>
      <c r="C16" s="179"/>
      <c r="D16" s="180" t="str">
        <f>[1]!IntrinioDataPoint(ticker,"state")</f>
        <v/>
      </c>
      <c r="E16" s="180" t="e">
        <v>#NAME?</v>
      </c>
      <c r="F16" s="181" t="e">
        <v>#NAME?</v>
      </c>
      <c r="G16" s="6"/>
      <c r="H16" s="190" t="s">
        <v>629</v>
      </c>
      <c r="I16" s="191"/>
      <c r="J16" s="139"/>
      <c r="K16" s="139" t="str">
        <f>[1]!IntrinioDataPoint(ticker,"52_week_low")</f>
        <v/>
      </c>
      <c r="L16" s="139"/>
      <c r="M16" s="87"/>
      <c r="N16" s="88"/>
    </row>
    <row r="17" spans="1:16" ht="15.75" x14ac:dyDescent="0.45">
      <c r="A17" s="6"/>
      <c r="B17" s="178" t="s">
        <v>612</v>
      </c>
      <c r="C17" s="179"/>
      <c r="D17" s="180" t="str">
        <f>[1]!IntrinioDataPoint(ticker,"country")</f>
        <v/>
      </c>
      <c r="E17" s="180" t="e">
        <v>#NAME?</v>
      </c>
      <c r="F17" s="181" t="e">
        <v>#NAME?</v>
      </c>
      <c r="G17" s="6"/>
      <c r="H17" s="190" t="s">
        <v>0</v>
      </c>
      <c r="I17" s="191"/>
      <c r="J17" s="85"/>
      <c r="K17" s="85" t="str">
        <f>[1]!IntrinioDataPoint(ticker,"volume")</f>
        <v/>
      </c>
      <c r="L17" s="85"/>
      <c r="M17" s="87"/>
      <c r="N17" s="88"/>
    </row>
    <row r="18" spans="1:16" ht="16.149999999999999" thickBot="1" x14ac:dyDescent="0.5">
      <c r="A18" s="6"/>
      <c r="B18" s="178" t="s">
        <v>609</v>
      </c>
      <c r="C18" s="179"/>
      <c r="D18" s="180" t="str">
        <f>[1]!IntrinioDataPoint(ticker,"inc_state")</f>
        <v/>
      </c>
      <c r="E18" s="180" t="e">
        <v>#NAME?</v>
      </c>
      <c r="F18" s="181" t="e">
        <v>#NAME?</v>
      </c>
      <c r="G18" s="6"/>
      <c r="H18" s="2"/>
      <c r="I18" s="1"/>
      <c r="J18" s="1"/>
      <c r="K18" s="1"/>
      <c r="L18" s="1"/>
      <c r="M18" s="87"/>
      <c r="N18" s="88"/>
    </row>
    <row r="19" spans="1:16" ht="15" customHeight="1" x14ac:dyDescent="0.45">
      <c r="A19" s="6"/>
      <c r="B19" s="178" t="s">
        <v>610</v>
      </c>
      <c r="C19" s="179"/>
      <c r="D19" s="180" t="str">
        <f>[1]!IntrinioDataPoint(ticker,"inc_country")</f>
        <v/>
      </c>
      <c r="E19" s="180" t="e">
        <v>#NAME?</v>
      </c>
      <c r="F19" s="181" t="e">
        <v>#NAME?</v>
      </c>
      <c r="G19" s="6"/>
      <c r="H19" s="3"/>
      <c r="I19" s="3"/>
      <c r="J19" s="3"/>
      <c r="K19" s="3"/>
      <c r="L19" s="3"/>
      <c r="M19" s="3"/>
      <c r="N19" s="3"/>
    </row>
    <row r="20" spans="1:16" ht="15" customHeight="1" thickBot="1" x14ac:dyDescent="0.5">
      <c r="A20" s="6"/>
      <c r="B20" s="178" t="s">
        <v>616</v>
      </c>
      <c r="C20" s="179"/>
      <c r="D20" s="182" t="str">
        <f>[1]!IntrinioDataPoint(ticker,"business_address")</f>
        <v/>
      </c>
      <c r="E20" s="182"/>
      <c r="F20" s="183"/>
      <c r="G20" s="6"/>
      <c r="H20" s="26" t="s">
        <v>15</v>
      </c>
      <c r="I20" s="26"/>
      <c r="J20" s="26"/>
      <c r="K20" s="26"/>
      <c r="L20" s="26"/>
      <c r="M20" s="25"/>
      <c r="N20" s="24"/>
      <c r="P20" s="77"/>
    </row>
    <row r="21" spans="1:16" x14ac:dyDescent="0.45">
      <c r="A21" s="6"/>
      <c r="B21" s="123"/>
      <c r="C21" s="124"/>
      <c r="D21" s="182"/>
      <c r="E21" s="182"/>
      <c r="F21" s="183"/>
      <c r="G21" s="6"/>
      <c r="H21" s="169" t="str">
        <f>[1]!IntrinioDataPoint(ticker,"short_description")</f>
        <v/>
      </c>
      <c r="I21" s="170"/>
      <c r="J21" s="170"/>
      <c r="K21" s="170"/>
      <c r="L21" s="170"/>
      <c r="M21" s="170"/>
      <c r="N21" s="171"/>
    </row>
    <row r="22" spans="1:16" x14ac:dyDescent="0.45">
      <c r="B22" s="123"/>
      <c r="C22" s="124"/>
      <c r="D22" s="182"/>
      <c r="E22" s="182"/>
      <c r="F22" s="183"/>
      <c r="H22" s="172"/>
      <c r="I22" s="173"/>
      <c r="J22" s="173"/>
      <c r="K22" s="173"/>
      <c r="L22" s="173"/>
      <c r="M22" s="173"/>
      <c r="N22" s="174"/>
    </row>
    <row r="23" spans="1:16" ht="14.65" thickBot="1" x14ac:dyDescent="0.5">
      <c r="B23" s="178" t="s">
        <v>617</v>
      </c>
      <c r="C23" s="179"/>
      <c r="D23" s="182" t="str">
        <f>[1]!IntrinioDataPoint(ticker,"mailing_address")</f>
        <v/>
      </c>
      <c r="E23" s="182"/>
      <c r="F23" s="183"/>
      <c r="H23" s="175"/>
      <c r="I23" s="176"/>
      <c r="J23" s="176"/>
      <c r="K23" s="176"/>
      <c r="L23" s="176"/>
      <c r="M23" s="176"/>
      <c r="N23" s="177"/>
    </row>
    <row r="24" spans="1:16" x14ac:dyDescent="0.45">
      <c r="B24" s="123"/>
      <c r="C24" s="124"/>
      <c r="D24" s="182"/>
      <c r="E24" s="182"/>
      <c r="F24" s="183"/>
      <c r="H24" s="16"/>
      <c r="I24" s="16"/>
      <c r="J24" s="16"/>
      <c r="K24" s="16"/>
      <c r="L24" s="16"/>
      <c r="M24" s="15"/>
      <c r="N24" s="14"/>
    </row>
    <row r="25" spans="1:16" ht="15" customHeight="1" thickBot="1" x14ac:dyDescent="0.5">
      <c r="B25" s="123"/>
      <c r="C25" s="124"/>
      <c r="D25" s="182"/>
      <c r="E25" s="182"/>
      <c r="F25" s="183"/>
      <c r="H25" s="13" t="s">
        <v>11</v>
      </c>
      <c r="I25" s="13"/>
      <c r="J25" s="13"/>
      <c r="K25" s="13"/>
      <c r="L25" s="13"/>
      <c r="M25" s="12"/>
      <c r="N25" s="12"/>
    </row>
    <row r="26" spans="1:16" ht="15" customHeight="1" x14ac:dyDescent="0.45">
      <c r="B26" s="178" t="s">
        <v>618</v>
      </c>
      <c r="C26" s="179"/>
      <c r="D26" s="180" t="str">
        <f>[1]!IntrinioDataPoint(ticker,"business_phone_no")</f>
        <v/>
      </c>
      <c r="E26" s="180" t="e">
        <v>#NAME?</v>
      </c>
      <c r="F26" s="181" t="e">
        <v>#NAME?</v>
      </c>
      <c r="H26" s="169" t="str">
        <f>[1]!IntrinioDataPoint(ticker,"long_description")</f>
        <v/>
      </c>
      <c r="I26" s="170"/>
      <c r="J26" s="170"/>
      <c r="K26" s="170"/>
      <c r="L26" s="170"/>
      <c r="M26" s="170"/>
      <c r="N26" s="171"/>
    </row>
    <row r="27" spans="1:16" ht="6" customHeight="1" x14ac:dyDescent="0.45">
      <c r="B27" s="134"/>
      <c r="C27" s="135"/>
      <c r="D27" s="136"/>
      <c r="E27" s="136"/>
      <c r="F27" s="137"/>
      <c r="H27" s="172"/>
      <c r="I27" s="173"/>
      <c r="J27" s="173"/>
      <c r="K27" s="173"/>
      <c r="L27" s="173"/>
      <c r="M27" s="173"/>
      <c r="N27" s="174"/>
    </row>
    <row r="28" spans="1:16" x14ac:dyDescent="0.45">
      <c r="B28" s="134"/>
      <c r="C28" s="135" t="s">
        <v>621</v>
      </c>
      <c r="D28" s="180" t="str">
        <f>[1]!IntrinioDataPoint(ticker,"security_name")</f>
        <v/>
      </c>
      <c r="E28" s="180"/>
      <c r="F28" s="181"/>
      <c r="H28" s="172"/>
      <c r="I28" s="173"/>
      <c r="J28" s="173"/>
      <c r="K28" s="173"/>
      <c r="L28" s="173"/>
      <c r="M28" s="173"/>
      <c r="N28" s="174"/>
    </row>
    <row r="29" spans="1:16" x14ac:dyDescent="0.45">
      <c r="B29" s="134"/>
      <c r="C29" s="135" t="s">
        <v>622</v>
      </c>
      <c r="D29" s="180" t="str">
        <f>[1]!IntrinioDataPoint(ticker,"security_type")</f>
        <v/>
      </c>
      <c r="E29" s="180"/>
      <c r="F29" s="181"/>
      <c r="H29" s="172"/>
      <c r="I29" s="173"/>
      <c r="J29" s="173"/>
      <c r="K29" s="173"/>
      <c r="L29" s="173"/>
      <c r="M29" s="173"/>
      <c r="N29" s="174"/>
    </row>
    <row r="30" spans="1:16" ht="15" customHeight="1" x14ac:dyDescent="0.45">
      <c r="B30" s="134"/>
      <c r="C30" s="135" t="s">
        <v>623</v>
      </c>
      <c r="D30" s="180" t="str">
        <f>[1]!IntrinioDataPoint(ticker,"security_class")</f>
        <v/>
      </c>
      <c r="E30" s="180"/>
      <c r="F30" s="181"/>
      <c r="H30" s="172"/>
      <c r="I30" s="173"/>
      <c r="J30" s="173"/>
      <c r="K30" s="173"/>
      <c r="L30" s="173"/>
      <c r="M30" s="173"/>
      <c r="N30" s="174"/>
    </row>
    <row r="31" spans="1:16" ht="15" customHeight="1" x14ac:dyDescent="0.45">
      <c r="B31" s="134"/>
      <c r="C31" s="135" t="s">
        <v>624</v>
      </c>
      <c r="D31" s="180" t="str">
        <f>[1]!IntrinioDataPoint(ticker,"security_round_lot_size")</f>
        <v/>
      </c>
      <c r="E31" s="180"/>
      <c r="F31" s="181"/>
      <c r="H31" s="172"/>
      <c r="I31" s="173"/>
      <c r="J31" s="173"/>
      <c r="K31" s="173"/>
      <c r="L31" s="173"/>
      <c r="M31" s="173"/>
      <c r="N31" s="174"/>
    </row>
    <row r="32" spans="1:16" ht="15" customHeight="1" x14ac:dyDescent="0.45">
      <c r="B32" s="134"/>
      <c r="C32" s="135" t="s">
        <v>625</v>
      </c>
      <c r="D32" s="180" t="str">
        <f>[1]!IntrinioDataPoint(ticker,"exchange_status")</f>
        <v/>
      </c>
      <c r="E32" s="180"/>
      <c r="F32" s="181"/>
      <c r="H32" s="172"/>
      <c r="I32" s="173"/>
      <c r="J32" s="173"/>
      <c r="K32" s="173"/>
      <c r="L32" s="173"/>
      <c r="M32" s="173"/>
      <c r="N32" s="174"/>
    </row>
    <row r="33" spans="2:14" ht="5.25" customHeight="1" x14ac:dyDescent="0.45">
      <c r="B33" s="123"/>
      <c r="C33" s="124"/>
      <c r="D33" s="125"/>
      <c r="E33" s="125"/>
      <c r="F33" s="126"/>
      <c r="H33" s="172"/>
      <c r="I33" s="173"/>
      <c r="J33" s="173"/>
      <c r="K33" s="173"/>
      <c r="L33" s="173"/>
      <c r="M33" s="173"/>
      <c r="N33" s="174"/>
    </row>
    <row r="34" spans="2:14" x14ac:dyDescent="0.45">
      <c r="B34" s="178" t="s">
        <v>10</v>
      </c>
      <c r="C34" s="179"/>
      <c r="D34" s="180" t="str">
        <f>[1]!IntrinioDataPoint(ticker,"sic")</f>
        <v/>
      </c>
      <c r="E34" s="180" t="e">
        <v>#NAME?</v>
      </c>
      <c r="F34" s="181" t="e">
        <v>#NAME?</v>
      </c>
      <c r="H34" s="172"/>
      <c r="I34" s="173"/>
      <c r="J34" s="173"/>
      <c r="K34" s="173"/>
      <c r="L34" s="173"/>
      <c r="M34" s="173"/>
      <c r="N34" s="174"/>
    </row>
    <row r="35" spans="2:14" x14ac:dyDescent="0.45">
      <c r="B35" s="178" t="s">
        <v>613</v>
      </c>
      <c r="C35" s="179"/>
      <c r="D35" s="180" t="str">
        <f>[1]!IntrinioDataPoint(ticker,"sector")</f>
        <v/>
      </c>
      <c r="E35" s="180" t="e">
        <v>#NAME?</v>
      </c>
      <c r="F35" s="181" t="e">
        <v>#NAME?</v>
      </c>
      <c r="H35" s="172"/>
      <c r="I35" s="173"/>
      <c r="J35" s="173"/>
      <c r="K35" s="173"/>
      <c r="L35" s="173"/>
      <c r="M35" s="173"/>
      <c r="N35" s="174"/>
    </row>
    <row r="36" spans="2:14" x14ac:dyDescent="0.45">
      <c r="B36" s="178" t="s">
        <v>614</v>
      </c>
      <c r="C36" s="179"/>
      <c r="D36" s="180" t="str">
        <f>[1]!IntrinioDataPoint(ticker,"industry_category")</f>
        <v/>
      </c>
      <c r="E36" s="180" t="e">
        <v>#NAME?</v>
      </c>
      <c r="F36" s="181" t="e">
        <v>#NAME?</v>
      </c>
      <c r="H36" s="172"/>
      <c r="I36" s="173"/>
      <c r="J36" s="173"/>
      <c r="K36" s="173"/>
      <c r="L36" s="173"/>
      <c r="M36" s="173"/>
      <c r="N36" s="174"/>
    </row>
    <row r="37" spans="2:14" x14ac:dyDescent="0.45">
      <c r="B37" s="178" t="s">
        <v>615</v>
      </c>
      <c r="C37" s="179"/>
      <c r="D37" s="180" t="str">
        <f>[1]!IntrinioDataPoint(ticker,"industry_group")</f>
        <v/>
      </c>
      <c r="E37" s="180" t="e">
        <v>#NAME?</v>
      </c>
      <c r="F37" s="181" t="e">
        <v>#NAME?</v>
      </c>
      <c r="H37" s="172"/>
      <c r="I37" s="173"/>
      <c r="J37" s="173"/>
      <c r="K37" s="173"/>
      <c r="L37" s="173"/>
      <c r="M37" s="173"/>
      <c r="N37" s="174"/>
    </row>
    <row r="38" spans="2:14" ht="14.65" thickBot="1" x14ac:dyDescent="0.5">
      <c r="B38" s="129"/>
      <c r="C38" s="130"/>
      <c r="D38" s="131"/>
      <c r="E38" s="131"/>
      <c r="F38" s="132"/>
      <c r="H38" s="172"/>
      <c r="I38" s="173"/>
      <c r="J38" s="173"/>
      <c r="K38" s="173"/>
      <c r="L38" s="173"/>
      <c r="M38" s="173"/>
      <c r="N38" s="174"/>
    </row>
    <row r="39" spans="2:14" ht="14.65" thickBot="1" x14ac:dyDescent="0.5">
      <c r="B39" s="6"/>
      <c r="C39" s="6"/>
      <c r="D39" s="6"/>
      <c r="E39" s="6"/>
      <c r="F39" s="6"/>
      <c r="H39" s="175"/>
      <c r="I39" s="176"/>
      <c r="J39" s="176"/>
      <c r="K39" s="176"/>
      <c r="L39" s="176"/>
      <c r="M39" s="176"/>
      <c r="N39" s="177"/>
    </row>
    <row r="40" spans="2:14" x14ac:dyDescent="0.45">
      <c r="H40" s="133"/>
      <c r="I40" s="133"/>
      <c r="J40" s="133"/>
      <c r="K40" s="133"/>
      <c r="L40" s="133"/>
      <c r="M40" s="133"/>
      <c r="N40" s="133"/>
    </row>
    <row r="41" spans="2:14" x14ac:dyDescent="0.45">
      <c r="H41" s="133"/>
      <c r="I41" s="133"/>
      <c r="J41" s="133"/>
      <c r="K41" s="133"/>
      <c r="L41" s="133"/>
      <c r="M41" s="133"/>
      <c r="N41" s="133"/>
    </row>
    <row r="42" spans="2:14" x14ac:dyDescent="0.45">
      <c r="H42" s="133"/>
      <c r="I42" s="133"/>
      <c r="J42" s="133"/>
      <c r="K42" s="133"/>
      <c r="L42" s="133"/>
      <c r="M42" s="133"/>
      <c r="N42" s="133"/>
    </row>
    <row r="43" spans="2:14" x14ac:dyDescent="0.45">
      <c r="H43" s="133"/>
      <c r="I43" s="133"/>
      <c r="J43" s="133"/>
      <c r="K43" s="133"/>
      <c r="L43" s="133"/>
      <c r="M43" s="133"/>
      <c r="N43" s="133"/>
    </row>
    <row r="44" spans="2:14" x14ac:dyDescent="0.45">
      <c r="H44" s="127"/>
      <c r="I44" s="127"/>
      <c r="J44" s="138"/>
      <c r="K44" s="127"/>
      <c r="L44" s="127"/>
      <c r="M44" s="127"/>
      <c r="N44" s="127"/>
    </row>
    <row r="45" spans="2:14" x14ac:dyDescent="0.45">
      <c r="H45" s="127"/>
      <c r="I45" s="127"/>
      <c r="J45" s="138"/>
      <c r="K45" s="127"/>
      <c r="L45" s="127"/>
      <c r="M45" s="127"/>
      <c r="N45" s="127"/>
    </row>
  </sheetData>
  <mergeCells count="56">
    <mergeCell ref="H12:I12"/>
    <mergeCell ref="H17:I17"/>
    <mergeCell ref="H5:L6"/>
    <mergeCell ref="B13:C13"/>
    <mergeCell ref="D13:F13"/>
    <mergeCell ref="B15:C15"/>
    <mergeCell ref="D15:F15"/>
    <mergeCell ref="B5:F6"/>
    <mergeCell ref="B7:C7"/>
    <mergeCell ref="D10:F10"/>
    <mergeCell ref="B11:C11"/>
    <mergeCell ref="D11:F11"/>
    <mergeCell ref="H13:I13"/>
    <mergeCell ref="H14:I14"/>
    <mergeCell ref="H15:I15"/>
    <mergeCell ref="H16:I16"/>
    <mergeCell ref="A1:O2"/>
    <mergeCell ref="H7:I7"/>
    <mergeCell ref="H9:I9"/>
    <mergeCell ref="H10:I10"/>
    <mergeCell ref="H11:I11"/>
    <mergeCell ref="B9:C9"/>
    <mergeCell ref="D9:F9"/>
    <mergeCell ref="B10:C10"/>
    <mergeCell ref="H8:I8"/>
    <mergeCell ref="B16:C16"/>
    <mergeCell ref="D16:F16"/>
    <mergeCell ref="B12:C12"/>
    <mergeCell ref="D12:F12"/>
    <mergeCell ref="B35:C35"/>
    <mergeCell ref="D35:F35"/>
    <mergeCell ref="B34:C34"/>
    <mergeCell ref="D34:F34"/>
    <mergeCell ref="B17:C17"/>
    <mergeCell ref="D17:F17"/>
    <mergeCell ref="D32:F32"/>
    <mergeCell ref="B18:C18"/>
    <mergeCell ref="D18:F18"/>
    <mergeCell ref="B19:C19"/>
    <mergeCell ref="D19:F19"/>
    <mergeCell ref="H26:N39"/>
    <mergeCell ref="H21:N23"/>
    <mergeCell ref="B20:C20"/>
    <mergeCell ref="B23:C23"/>
    <mergeCell ref="B26:C26"/>
    <mergeCell ref="D26:F26"/>
    <mergeCell ref="D20:F22"/>
    <mergeCell ref="D23:F25"/>
    <mergeCell ref="B36:C36"/>
    <mergeCell ref="D36:F36"/>
    <mergeCell ref="B37:C37"/>
    <mergeCell ref="D37:F37"/>
    <mergeCell ref="D28:F28"/>
    <mergeCell ref="D29:F29"/>
    <mergeCell ref="D30:F30"/>
    <mergeCell ref="D31:F31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Update">
                <anchor moveWithCells="1" sizeWithCells="1">
                  <from>
                    <xdr:col>4</xdr:col>
                    <xdr:colOff>123825</xdr:colOff>
                    <xdr:row>5</xdr:row>
                    <xdr:rowOff>171450</xdr:rowOff>
                  </from>
                  <to>
                    <xdr:col>5</xdr:col>
                    <xdr:colOff>295275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X32"/>
  <sheetViews>
    <sheetView showGridLines="0" zoomScale="90" zoomScaleNormal="90" workbookViewId="0"/>
  </sheetViews>
  <sheetFormatPr defaultRowHeight="14.25" x14ac:dyDescent="0.45"/>
  <cols>
    <col min="1" max="1" width="4.59765625" customWidth="1"/>
    <col min="2" max="2" width="6.1328125" customWidth="1"/>
    <col min="3" max="3" width="23.1328125" customWidth="1"/>
    <col min="4" max="4" width="15.59765625" customWidth="1"/>
    <col min="5" max="7" width="6.1328125" customWidth="1"/>
    <col min="8" max="8" width="28" customWidth="1"/>
    <col min="9" max="9" width="15.59765625" customWidth="1"/>
    <col min="10" max="11" width="6.1328125" customWidth="1"/>
    <col min="12" max="12" width="5.86328125" customWidth="1"/>
    <col min="13" max="13" width="23" customWidth="1"/>
    <col min="14" max="17" width="16.1328125" customWidth="1"/>
    <col min="18" max="18" width="6.1328125" customWidth="1"/>
    <col min="19" max="19" width="10.73046875" customWidth="1"/>
  </cols>
  <sheetData>
    <row r="1" spans="1:24" ht="26.25" customHeight="1" x14ac:dyDescent="0.45">
      <c r="A1" s="107" t="str">
        <f>[1]!IntrinioDataPoint(ticker,"name")</f>
        <v/>
      </c>
      <c r="B1" s="102"/>
      <c r="C1" s="102"/>
      <c r="D1" s="102"/>
      <c r="E1" s="214" t="s">
        <v>326</v>
      </c>
      <c r="F1" s="214"/>
      <c r="G1" s="214"/>
      <c r="H1" s="214"/>
      <c r="I1" s="214"/>
      <c r="J1" s="214"/>
      <c r="K1" s="214"/>
      <c r="L1" s="214"/>
      <c r="M1" s="214"/>
      <c r="N1" s="214"/>
      <c r="O1" s="214"/>
      <c r="P1" s="102"/>
      <c r="Q1" s="102"/>
      <c r="R1" s="102"/>
      <c r="S1" s="103"/>
    </row>
    <row r="2" spans="1:24" ht="19.5" customHeight="1" thickBot="1" x14ac:dyDescent="0.5">
      <c r="A2" s="106" t="str">
        <f>IF(ticker="","",[1]!IntrinioDataPoint(ticker,"stock_exchange")&amp;": "&amp;ticker)</f>
        <v/>
      </c>
      <c r="B2" s="104"/>
      <c r="C2" s="104"/>
      <c r="D2" s="104"/>
      <c r="E2" s="215"/>
      <c r="F2" s="215"/>
      <c r="G2" s="215"/>
      <c r="H2" s="215"/>
      <c r="I2" s="215"/>
      <c r="J2" s="215"/>
      <c r="K2" s="215"/>
      <c r="L2" s="215"/>
      <c r="M2" s="215"/>
      <c r="N2" s="215"/>
      <c r="O2" s="215"/>
      <c r="P2" s="104"/>
      <c r="Q2" s="104"/>
      <c r="R2" s="104"/>
      <c r="S2" s="105"/>
    </row>
    <row r="3" spans="1:24" ht="15" customHeight="1" x14ac:dyDescent="1.1000000000000001">
      <c r="A3" s="6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1:24" ht="15.75" customHeight="1" thickBot="1" x14ac:dyDescent="1.1499999999999999">
      <c r="A4" s="6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</row>
    <row r="5" spans="1:24" ht="15.75" x14ac:dyDescent="0.5">
      <c r="A5" s="6"/>
      <c r="B5" s="199" t="s">
        <v>306</v>
      </c>
      <c r="C5" s="200"/>
      <c r="D5" s="200"/>
      <c r="E5" s="201"/>
      <c r="F5" s="81"/>
      <c r="G5" s="199" t="s">
        <v>340</v>
      </c>
      <c r="H5" s="200"/>
      <c r="I5" s="200"/>
      <c r="J5" s="201"/>
      <c r="K5" s="119"/>
      <c r="L5" s="192" t="s">
        <v>313</v>
      </c>
      <c r="M5" s="193"/>
      <c r="N5" s="193"/>
      <c r="O5" s="193"/>
      <c r="P5" s="193"/>
      <c r="Q5" s="193"/>
      <c r="R5" s="216"/>
      <c r="S5" s="27"/>
    </row>
    <row r="6" spans="1:24" ht="15.75" customHeight="1" x14ac:dyDescent="0.45">
      <c r="A6" s="23"/>
      <c r="B6" s="202"/>
      <c r="C6" s="203"/>
      <c r="D6" s="203"/>
      <c r="E6" s="204"/>
      <c r="F6" s="81"/>
      <c r="G6" s="202"/>
      <c r="H6" s="203"/>
      <c r="I6" s="203"/>
      <c r="J6" s="204"/>
      <c r="K6" s="119"/>
      <c r="L6" s="194"/>
      <c r="M6" s="195"/>
      <c r="N6" s="195"/>
      <c r="O6" s="195"/>
      <c r="P6" s="195"/>
      <c r="Q6" s="195"/>
      <c r="R6" s="217"/>
      <c r="S6" s="23"/>
    </row>
    <row r="7" spans="1:24" ht="15.75" x14ac:dyDescent="0.45">
      <c r="A7" s="6"/>
      <c r="B7" s="178" t="s">
        <v>355</v>
      </c>
      <c r="C7" s="179"/>
      <c r="D7" s="209" t="str">
        <f>IFERROR([1]!IntrinioDataPoint(ticker,"marketcap")/1000000,"")</f>
        <v/>
      </c>
      <c r="E7" s="210"/>
      <c r="F7" s="86"/>
      <c r="G7" s="178" t="s">
        <v>342</v>
      </c>
      <c r="H7" s="179"/>
      <c r="I7" s="205" t="str">
        <f>[1]!IntrinioDataPoint(ticker,"pricetobook")</f>
        <v/>
      </c>
      <c r="J7" s="206"/>
      <c r="K7" s="86"/>
      <c r="L7" s="87"/>
      <c r="M7" s="88"/>
      <c r="N7" s="213" t="s">
        <v>319</v>
      </c>
      <c r="O7" s="213"/>
      <c r="P7" s="213"/>
      <c r="Q7" s="213"/>
      <c r="R7" s="17"/>
      <c r="S7" s="6"/>
    </row>
    <row r="8" spans="1:24" x14ac:dyDescent="0.45">
      <c r="A8" s="6"/>
      <c r="B8" s="178" t="s">
        <v>356</v>
      </c>
      <c r="C8" s="179"/>
      <c r="D8" s="209" t="str">
        <f>IFERROR([1]!IntrinioDataPoint(ticker,"enterprisevalue")/1000000,"")</f>
        <v/>
      </c>
      <c r="E8" s="210"/>
      <c r="F8" s="79"/>
      <c r="G8" s="178" t="s">
        <v>343</v>
      </c>
      <c r="H8" s="179"/>
      <c r="I8" s="205" t="str">
        <f>[1]!IntrinioDataPoint(ticker,"pricetotangiblebook")</f>
        <v/>
      </c>
      <c r="J8" s="206"/>
      <c r="K8" s="117"/>
      <c r="L8" s="178"/>
      <c r="M8" s="179"/>
      <c r="N8" s="109" t="s">
        <v>314</v>
      </c>
      <c r="O8" s="109" t="s">
        <v>304</v>
      </c>
      <c r="P8" s="109" t="s">
        <v>315</v>
      </c>
      <c r="Q8" s="109" t="s">
        <v>305</v>
      </c>
      <c r="R8" s="80"/>
      <c r="S8" s="6"/>
    </row>
    <row r="9" spans="1:24" ht="15" customHeight="1" x14ac:dyDescent="0.45">
      <c r="A9" s="6"/>
      <c r="B9" s="115"/>
      <c r="C9" s="116"/>
      <c r="D9" s="121"/>
      <c r="E9" s="122"/>
      <c r="F9" s="79"/>
      <c r="G9" s="178" t="s">
        <v>594</v>
      </c>
      <c r="H9" s="179"/>
      <c r="I9" s="205" t="str">
        <f>[1]!IntrinioDataPoint(ticker,"pricetorevenue")</f>
        <v/>
      </c>
      <c r="J9" s="206"/>
      <c r="K9" s="117"/>
      <c r="L9" s="178" t="s">
        <v>321</v>
      </c>
      <c r="M9" s="179"/>
      <c r="N9" s="90" t="str">
        <f>IFERROR([1]!IntrinioDataPoint(ticker,"current_qtr_high_revenue_est")/1000000,"")</f>
        <v/>
      </c>
      <c r="O9" s="90" t="str">
        <f>IFERROR([1]!IntrinioDataPoint(ticker,"next_qtr_high_revenue_est")/1000000,"")</f>
        <v/>
      </c>
      <c r="P9" s="90" t="str">
        <f>IFERROR([1]!IntrinioDataPoint(ticker,"current_yr_high_revenue_est")/1000000,"")</f>
        <v/>
      </c>
      <c r="Q9" s="90" t="str">
        <f>IFERROR([1]!IntrinioDataPoint(ticker,"next_yr_high_revenue_est")/1000000,"")</f>
        <v/>
      </c>
      <c r="R9" s="80"/>
      <c r="S9" s="6"/>
    </row>
    <row r="10" spans="1:24" x14ac:dyDescent="0.45">
      <c r="A10" s="6"/>
      <c r="B10" s="178" t="s">
        <v>307</v>
      </c>
      <c r="C10" s="179"/>
      <c r="D10" s="205" t="str">
        <f>[1]!IntrinioDataPoint(ticker,"beta")</f>
        <v/>
      </c>
      <c r="E10" s="206"/>
      <c r="F10" s="79"/>
      <c r="G10" s="178" t="s">
        <v>595</v>
      </c>
      <c r="H10" s="179"/>
      <c r="I10" s="205" t="str">
        <f>[1]!IntrinioDataPoint(ticker,"pricetocurrentyearrevenue")</f>
        <v/>
      </c>
      <c r="J10" s="206"/>
      <c r="K10" s="117"/>
      <c r="L10" s="178" t="s">
        <v>320</v>
      </c>
      <c r="M10" s="179"/>
      <c r="N10" s="90" t="str">
        <f>IFERROR([1]!IntrinioDataPoint(ticker,"current_qtr_ave_revenue_est")/1000000,"")</f>
        <v/>
      </c>
      <c r="O10" s="90" t="str">
        <f>IFERROR([1]!IntrinioDataPoint(ticker,"next_qtr_ave_revenue_est")/1000000,"")</f>
        <v/>
      </c>
      <c r="P10" s="90" t="str">
        <f>IFERROR([1]!IntrinioDataPoint(ticker,"current_yr_ave_revenue_est")/1000000,"")</f>
        <v/>
      </c>
      <c r="Q10" s="90" t="str">
        <f>IFERROR([1]!IntrinioDataPoint(ticker,"next_yr_ave_revenue_est")/1000000,"")</f>
        <v/>
      </c>
      <c r="R10" s="80"/>
      <c r="S10" s="6"/>
    </row>
    <row r="11" spans="1:24" ht="15" customHeight="1" x14ac:dyDescent="0.45">
      <c r="A11" s="6"/>
      <c r="B11" s="178" t="s">
        <v>308</v>
      </c>
      <c r="C11" s="179"/>
      <c r="D11" s="209" t="str">
        <f>[1]!IntrinioDataPoint(ticker,"employees")</f>
        <v/>
      </c>
      <c r="E11" s="210"/>
      <c r="F11" s="79"/>
      <c r="G11" s="178" t="s">
        <v>596</v>
      </c>
      <c r="H11" s="179"/>
      <c r="I11" s="205" t="str">
        <f>[1]!IntrinioDataPoint(ticker,"pricetonextyearrevenue")</f>
        <v/>
      </c>
      <c r="J11" s="206"/>
      <c r="K11" s="117"/>
      <c r="L11" s="178" t="s">
        <v>322</v>
      </c>
      <c r="M11" s="179"/>
      <c r="N11" s="90" t="str">
        <f>IFERROR([1]!IntrinioDataPoint(ticker,"current_qtr_low_revenue_est")/1000000,"")</f>
        <v/>
      </c>
      <c r="O11" s="90" t="str">
        <f>IFERROR([1]!IntrinioDataPoint(ticker,"next_qtr_low_revenue_est")/1000000,"")</f>
        <v/>
      </c>
      <c r="P11" s="90" t="str">
        <f>IFERROR([1]!IntrinioDataPoint(ticker,"current_yr_low_revenue_est")/1000000,"")</f>
        <v/>
      </c>
      <c r="Q11" s="90" t="str">
        <f>IFERROR([1]!IntrinioDataPoint(ticker,"next_yr_low_revenue_est")/1000000,"")</f>
        <v/>
      </c>
      <c r="R11" s="80"/>
      <c r="S11" s="6"/>
      <c r="X11" s="77"/>
    </row>
    <row r="12" spans="1:24" ht="15" customHeight="1" x14ac:dyDescent="0.45">
      <c r="A12" s="6"/>
      <c r="B12" s="178" t="s">
        <v>309</v>
      </c>
      <c r="C12" s="179"/>
      <c r="D12" s="218" t="str">
        <f>[1]!IntrinioDataPoint(ticker,"analyst_target_price")</f>
        <v/>
      </c>
      <c r="E12" s="219"/>
      <c r="F12" s="79"/>
      <c r="G12" s="178" t="s">
        <v>593</v>
      </c>
      <c r="H12" s="179"/>
      <c r="I12" s="205" t="str">
        <f>[1]!IntrinioDataPoint(ticker,"pricetoearnings")</f>
        <v/>
      </c>
      <c r="J12" s="206"/>
      <c r="K12" s="117"/>
      <c r="L12" s="178"/>
      <c r="M12" s="179"/>
      <c r="N12" s="84"/>
      <c r="O12" s="84"/>
      <c r="P12" s="84"/>
      <c r="Q12" s="84"/>
      <c r="R12" s="80"/>
      <c r="S12" s="6"/>
    </row>
    <row r="13" spans="1:24" ht="15.75" x14ac:dyDescent="0.45">
      <c r="A13" s="6"/>
      <c r="B13" s="178" t="s">
        <v>310</v>
      </c>
      <c r="C13" s="179"/>
      <c r="D13" s="207" t="str">
        <f>[1]!IntrinioDataPoint(ticker,"trailing_dividend_yield")</f>
        <v/>
      </c>
      <c r="E13" s="208"/>
      <c r="F13" s="79"/>
      <c r="G13" s="178" t="s">
        <v>592</v>
      </c>
      <c r="H13" s="179"/>
      <c r="I13" s="205" t="str">
        <f>[1]!IntrinioDataPoint(ticker,"pricetocurrentyearearnings")</f>
        <v/>
      </c>
      <c r="J13" s="206"/>
      <c r="K13" s="117"/>
      <c r="L13" s="87"/>
      <c r="M13" s="88"/>
      <c r="N13" s="213" t="s">
        <v>323</v>
      </c>
      <c r="O13" s="213"/>
      <c r="P13" s="213"/>
      <c r="Q13" s="213"/>
      <c r="R13" s="80"/>
      <c r="S13" s="6"/>
    </row>
    <row r="14" spans="1:24" x14ac:dyDescent="0.45">
      <c r="A14" s="6"/>
      <c r="B14" s="178" t="s">
        <v>317</v>
      </c>
      <c r="C14" s="179"/>
      <c r="D14" s="207" t="str">
        <f>[1]!IntrinioDataPoint(ticker,"forward_dividend_yield")</f>
        <v/>
      </c>
      <c r="E14" s="208"/>
      <c r="F14" s="79"/>
      <c r="G14" s="178" t="s">
        <v>591</v>
      </c>
      <c r="H14" s="179"/>
      <c r="I14" s="205" t="str">
        <f>[1]!IntrinioDataPoint(ticker,"pricetonextyearearnings")</f>
        <v/>
      </c>
      <c r="J14" s="206"/>
      <c r="K14" s="117"/>
      <c r="L14" s="178"/>
      <c r="M14" s="179"/>
      <c r="N14" s="109" t="s">
        <v>314</v>
      </c>
      <c r="O14" s="109" t="s">
        <v>304</v>
      </c>
      <c r="P14" s="109" t="s">
        <v>315</v>
      </c>
      <c r="Q14" s="109" t="s">
        <v>305</v>
      </c>
      <c r="R14" s="80"/>
      <c r="S14" s="6"/>
    </row>
    <row r="15" spans="1:24" x14ac:dyDescent="0.45">
      <c r="A15" s="6"/>
      <c r="B15" s="178" t="s">
        <v>318</v>
      </c>
      <c r="C15" s="179"/>
      <c r="D15" s="211" t="str">
        <f>[1]!IntrinioDataPoint(ticker,"forward_dividend_rate")</f>
        <v/>
      </c>
      <c r="E15" s="212"/>
      <c r="F15" s="86"/>
      <c r="G15" s="178" t="s">
        <v>603</v>
      </c>
      <c r="H15" s="179"/>
      <c r="I15" s="207" t="str">
        <f>[1]!IntrinioDataPoint(ticker,"earningsyield")</f>
        <v/>
      </c>
      <c r="J15" s="208"/>
      <c r="K15" s="86"/>
      <c r="L15" s="178" t="s">
        <v>321</v>
      </c>
      <c r="M15" s="179"/>
      <c r="N15" s="89" t="str">
        <f>[1]!IntrinioDataPoint(ticker,"current_qtr_high_eps_est")</f>
        <v/>
      </c>
      <c r="O15" s="89" t="str">
        <f>[1]!IntrinioDataPoint(ticker,"next_qtr_high_eps_est")</f>
        <v/>
      </c>
      <c r="P15" s="89" t="str">
        <f>[1]!IntrinioDataPoint(ticker,"current_yr_high_eps_est")</f>
        <v/>
      </c>
      <c r="Q15" s="89" t="str">
        <f>[1]!IntrinioDataPoint(ticker,"next_yr_high_eps_est")</f>
        <v/>
      </c>
      <c r="R15" s="17"/>
      <c r="S15" s="6"/>
    </row>
    <row r="16" spans="1:24" x14ac:dyDescent="0.45">
      <c r="A16" s="6"/>
      <c r="B16" s="178" t="s">
        <v>311</v>
      </c>
      <c r="C16" s="179"/>
      <c r="D16" s="180" t="str">
        <f>IF([1]!IntrinioDataPoint(ticker,"dividend_ex_date")="","",[1]!IntrinioDataPoint(ticker,"dividend_ex_date"))</f>
        <v/>
      </c>
      <c r="E16" s="181"/>
      <c r="F16" s="6"/>
      <c r="G16" s="178" t="s">
        <v>604</v>
      </c>
      <c r="H16" s="179"/>
      <c r="I16" s="207" t="str">
        <f>[1]!IntrinioDataPoint(ticker,"currentyearearningsyield")</f>
        <v/>
      </c>
      <c r="J16" s="208"/>
      <c r="K16" s="6"/>
      <c r="L16" s="178" t="s">
        <v>320</v>
      </c>
      <c r="M16" s="179"/>
      <c r="N16" s="89" t="str">
        <f>[1]!IntrinioDataPoint(ticker,"current_qtr_ave_eps_est")</f>
        <v/>
      </c>
      <c r="O16" s="89" t="str">
        <f>[1]!IntrinioDataPoint(ticker,"next_qtr_ave_eps_est")</f>
        <v/>
      </c>
      <c r="P16" s="89" t="str">
        <f>[1]!IntrinioDataPoint(ticker,"current_yr_ave_eps_est")</f>
        <v/>
      </c>
      <c r="Q16" s="89" t="str">
        <f>[1]!IntrinioDataPoint(ticker,"next_yr_ave_eps_est")</f>
        <v/>
      </c>
      <c r="R16" s="92"/>
      <c r="S16" s="6"/>
    </row>
    <row r="17" spans="1:19" ht="15" customHeight="1" x14ac:dyDescent="0.45">
      <c r="A17" s="6"/>
      <c r="B17" s="178" t="s">
        <v>312</v>
      </c>
      <c r="C17" s="179"/>
      <c r="D17" s="180" t="str">
        <f>IF([1]!IntrinioDataPoint(ticker,"dividend_pay_date")="","",[1]!IntrinioDataPoint(ticker,"dividend_pay_date"))</f>
        <v/>
      </c>
      <c r="E17" s="181"/>
      <c r="F17" s="82"/>
      <c r="G17" s="178" t="s">
        <v>605</v>
      </c>
      <c r="H17" s="179"/>
      <c r="I17" s="207" t="str">
        <f>[1]!IntrinioDataPoint(ticker,"nextyearearningsyield")</f>
        <v/>
      </c>
      <c r="J17" s="208"/>
      <c r="K17" s="120"/>
      <c r="L17" s="178" t="s">
        <v>322</v>
      </c>
      <c r="M17" s="179"/>
      <c r="N17" s="89" t="str">
        <f>[1]!IntrinioDataPoint(ticker,"current_qtr_low_eps_est")</f>
        <v/>
      </c>
      <c r="O17" s="89" t="str">
        <f>[1]!IntrinioDataPoint(ticker,"next_qtr_low_eps_est")</f>
        <v/>
      </c>
      <c r="P17" s="89" t="str">
        <f>[1]!IntrinioDataPoint(ticker,"current_yr_low_eps_est")</f>
        <v/>
      </c>
      <c r="Q17" s="89" t="str">
        <f>[1]!IntrinioDataPoint(ticker,"next_yr_low_eps_est")</f>
        <v/>
      </c>
      <c r="R17" s="83"/>
      <c r="S17" s="6"/>
    </row>
    <row r="18" spans="1:19" ht="15" customHeight="1" x14ac:dyDescent="0.45">
      <c r="A18" s="6"/>
      <c r="B18" s="178" t="s">
        <v>316</v>
      </c>
      <c r="C18" s="179"/>
      <c r="D18" s="180" t="str">
        <f>[1]!IntrinioDataPoint(ticker,"next_earnings_date")</f>
        <v/>
      </c>
      <c r="E18" s="181"/>
      <c r="F18" s="82"/>
      <c r="G18" s="115"/>
      <c r="H18" s="116"/>
      <c r="I18" s="117"/>
      <c r="J18" s="118"/>
      <c r="K18" s="120"/>
      <c r="L18" s="178" t="s">
        <v>324</v>
      </c>
      <c r="M18" s="179"/>
      <c r="N18" s="91" t="str">
        <f>[1]!IntrinioDataPoint(ticker,"current_qtr_ave_eps_growth_est")</f>
        <v/>
      </c>
      <c r="O18" s="91" t="str">
        <f>[1]!IntrinioDataPoint(ticker,"next_qtr_ave_eps_growth_est")</f>
        <v/>
      </c>
      <c r="P18" s="91" t="str">
        <f>[1]!IntrinioDataPoint(ticker,"current_yr_ave_eps_growth_est")</f>
        <v/>
      </c>
      <c r="Q18" s="91" t="str">
        <f>[1]!IntrinioDataPoint(ticker,"next_yr_ave_eps_growth_est")</f>
        <v/>
      </c>
      <c r="R18" s="83"/>
      <c r="S18" s="6"/>
    </row>
    <row r="19" spans="1:19" ht="16.149999999999999" thickBot="1" x14ac:dyDescent="0.5">
      <c r="A19" s="6"/>
      <c r="B19" s="11"/>
      <c r="C19" s="10"/>
      <c r="D19" s="10"/>
      <c r="E19" s="9"/>
      <c r="F19" s="8"/>
      <c r="G19" s="178" t="s">
        <v>348</v>
      </c>
      <c r="H19" s="179"/>
      <c r="I19" s="205" t="str">
        <f>[1]!IntrinioDataPoint(ticker,"evtoinvestedcapital")</f>
        <v/>
      </c>
      <c r="J19" s="206"/>
      <c r="K19" s="8"/>
      <c r="L19" s="178" t="s">
        <v>325</v>
      </c>
      <c r="M19" s="179"/>
      <c r="N19" s="91" t="str">
        <f>[1]!IntrinioDataPoint(ticker,"long_term_growth_rate")</f>
        <v/>
      </c>
      <c r="O19" s="82"/>
      <c r="P19" s="82"/>
      <c r="Q19" s="82"/>
      <c r="R19" s="7"/>
      <c r="S19" s="6"/>
    </row>
    <row r="20" spans="1:19" ht="15.75" customHeight="1" thickBot="1" x14ac:dyDescent="0.5">
      <c r="B20" s="6"/>
      <c r="C20" s="6"/>
      <c r="D20" s="6"/>
      <c r="E20" s="6"/>
      <c r="F20" s="5"/>
      <c r="G20" s="178" t="s">
        <v>599</v>
      </c>
      <c r="H20" s="179"/>
      <c r="I20" s="205" t="str">
        <f>[1]!IntrinioDataPoint(ticker,"evtorevenue")</f>
        <v/>
      </c>
      <c r="J20" s="206"/>
      <c r="K20" s="5"/>
      <c r="L20" s="93"/>
      <c r="M20" s="94"/>
      <c r="N20" s="95"/>
      <c r="O20" s="95"/>
      <c r="P20" s="95"/>
      <c r="Q20" s="95"/>
      <c r="R20" s="96"/>
    </row>
    <row r="21" spans="1:19" x14ac:dyDescent="0.45">
      <c r="F21" s="5"/>
      <c r="G21" s="178" t="s">
        <v>597</v>
      </c>
      <c r="H21" s="179"/>
      <c r="I21" s="205" t="str">
        <f>[1]!IntrinioDataPoint(ticker,"evtocurrentyearrevenue")</f>
        <v/>
      </c>
      <c r="J21" s="206"/>
      <c r="K21" s="5"/>
      <c r="L21" s="5"/>
      <c r="M21" s="5"/>
      <c r="N21" s="5"/>
      <c r="O21" s="5"/>
      <c r="P21" s="114"/>
      <c r="Q21" s="114"/>
      <c r="R21" s="4"/>
    </row>
    <row r="22" spans="1:19" x14ac:dyDescent="0.45">
      <c r="F22" s="4"/>
      <c r="G22" s="178" t="s">
        <v>598</v>
      </c>
      <c r="H22" s="179"/>
      <c r="I22" s="205" t="str">
        <f>[1]!IntrinioDataPoint(ticker,"evtonextyearrevenue")</f>
        <v/>
      </c>
      <c r="J22" s="206"/>
      <c r="K22" s="4"/>
      <c r="L22" s="4"/>
      <c r="M22" s="4"/>
      <c r="N22" s="4"/>
      <c r="O22" s="4"/>
      <c r="P22" s="4"/>
      <c r="Q22" s="4"/>
      <c r="R22" s="4"/>
    </row>
    <row r="23" spans="1:19" x14ac:dyDescent="0.45">
      <c r="F23" s="4"/>
      <c r="G23" s="178" t="s">
        <v>600</v>
      </c>
      <c r="H23" s="179"/>
      <c r="I23" s="205" t="str">
        <f>[1]!IntrinioDataPoint(ticker,"evtoebitda")</f>
        <v/>
      </c>
      <c r="J23" s="206"/>
      <c r="K23" s="4"/>
      <c r="L23" s="4"/>
      <c r="M23" s="4"/>
      <c r="N23" s="4"/>
      <c r="O23" s="4"/>
      <c r="P23" s="4"/>
      <c r="Q23" s="4"/>
      <c r="R23" s="3"/>
    </row>
    <row r="24" spans="1:19" x14ac:dyDescent="0.45">
      <c r="F24" s="3"/>
      <c r="G24" s="178" t="s">
        <v>601</v>
      </c>
      <c r="H24" s="179"/>
      <c r="I24" s="205" t="str">
        <f>[1]!IntrinioDataPoint(ticker,"evtoebit")</f>
        <v/>
      </c>
      <c r="J24" s="206"/>
      <c r="K24" s="3"/>
      <c r="L24" s="3"/>
      <c r="M24" s="3"/>
      <c r="N24" s="3"/>
      <c r="O24" s="3"/>
      <c r="P24" s="3"/>
      <c r="Q24" s="3"/>
      <c r="R24" s="3"/>
    </row>
    <row r="25" spans="1:19" x14ac:dyDescent="0.45">
      <c r="F25" s="3"/>
      <c r="G25" s="178" t="s">
        <v>602</v>
      </c>
      <c r="H25" s="179"/>
      <c r="I25" s="205" t="str">
        <f>[1]!IntrinioDataPoint(ticker,"evtonopat")</f>
        <v/>
      </c>
      <c r="J25" s="206"/>
      <c r="K25" s="3"/>
      <c r="L25" s="3"/>
      <c r="M25" s="3"/>
      <c r="N25" s="3"/>
      <c r="O25" s="3"/>
      <c r="P25" s="3"/>
      <c r="Q25" s="3"/>
    </row>
    <row r="26" spans="1:19" x14ac:dyDescent="0.45">
      <c r="G26" s="178" t="s">
        <v>606</v>
      </c>
      <c r="H26" s="179"/>
      <c r="I26" s="205" t="str">
        <f>[1]!IntrinioDataPoint(ticker,"evtoocf")</f>
        <v/>
      </c>
      <c r="J26" s="206"/>
    </row>
    <row r="27" spans="1:19" x14ac:dyDescent="0.45">
      <c r="G27" s="178" t="s">
        <v>607</v>
      </c>
      <c r="H27" s="179"/>
      <c r="I27" s="205" t="str">
        <f>[1]!IntrinioDataPoint(ticker,"evtofcff")</f>
        <v/>
      </c>
      <c r="J27" s="206"/>
    </row>
    <row r="28" spans="1:19" ht="14.65" thickBot="1" x14ac:dyDescent="0.5">
      <c r="G28" s="11"/>
      <c r="H28" s="10"/>
      <c r="I28" s="10"/>
      <c r="J28" s="9"/>
    </row>
    <row r="29" spans="1:19" ht="15" customHeight="1" x14ac:dyDescent="0.45"/>
    <row r="30" spans="1:19" ht="15" customHeight="1" x14ac:dyDescent="0.45"/>
    <row r="31" spans="1:19" ht="15" customHeight="1" x14ac:dyDescent="0.45"/>
    <row r="32" spans="1:19" ht="15" customHeight="1" x14ac:dyDescent="0.45"/>
  </sheetData>
  <mergeCells count="79">
    <mergeCell ref="L11:M11"/>
    <mergeCell ref="L12:M12"/>
    <mergeCell ref="I12:J12"/>
    <mergeCell ref="B12:C12"/>
    <mergeCell ref="D12:E12"/>
    <mergeCell ref="G11:H11"/>
    <mergeCell ref="I11:J11"/>
    <mergeCell ref="G12:H12"/>
    <mergeCell ref="E1:O2"/>
    <mergeCell ref="B13:C13"/>
    <mergeCell ref="D13:E13"/>
    <mergeCell ref="B5:E6"/>
    <mergeCell ref="B10:C10"/>
    <mergeCell ref="D10:E10"/>
    <mergeCell ref="N7:Q7"/>
    <mergeCell ref="L5:R6"/>
    <mergeCell ref="L10:M10"/>
    <mergeCell ref="L9:M9"/>
    <mergeCell ref="L8:M8"/>
    <mergeCell ref="B11:C11"/>
    <mergeCell ref="D11:E11"/>
    <mergeCell ref="G8:H8"/>
    <mergeCell ref="I8:J8"/>
    <mergeCell ref="G9:H9"/>
    <mergeCell ref="I9:J9"/>
    <mergeCell ref="G10:H10"/>
    <mergeCell ref="I10:J10"/>
    <mergeCell ref="G5:J6"/>
    <mergeCell ref="B7:C7"/>
    <mergeCell ref="D7:E7"/>
    <mergeCell ref="G7:H7"/>
    <mergeCell ref="I7:J7"/>
    <mergeCell ref="L19:M19"/>
    <mergeCell ref="N13:Q13"/>
    <mergeCell ref="L14:M14"/>
    <mergeCell ref="L16:M16"/>
    <mergeCell ref="L15:M15"/>
    <mergeCell ref="L17:M17"/>
    <mergeCell ref="L18:M18"/>
    <mergeCell ref="B18:C18"/>
    <mergeCell ref="D18:E18"/>
    <mergeCell ref="B14:C14"/>
    <mergeCell ref="D14:E14"/>
    <mergeCell ref="B8:C8"/>
    <mergeCell ref="D8:E8"/>
    <mergeCell ref="B17:C17"/>
    <mergeCell ref="D17:E17"/>
    <mergeCell ref="B16:C16"/>
    <mergeCell ref="B15:C15"/>
    <mergeCell ref="D15:E15"/>
    <mergeCell ref="D16:E16"/>
    <mergeCell ref="G13:H13"/>
    <mergeCell ref="I13:J13"/>
    <mergeCell ref="G14:H14"/>
    <mergeCell ref="I14:J14"/>
    <mergeCell ref="G15:H15"/>
    <mergeCell ref="I15:J15"/>
    <mergeCell ref="G19:H19"/>
    <mergeCell ref="I19:J19"/>
    <mergeCell ref="G16:H16"/>
    <mergeCell ref="I16:J16"/>
    <mergeCell ref="G17:H17"/>
    <mergeCell ref="I17:J17"/>
    <mergeCell ref="G20:H20"/>
    <mergeCell ref="I20:J20"/>
    <mergeCell ref="G21:H21"/>
    <mergeCell ref="I21:J21"/>
    <mergeCell ref="G22:H22"/>
    <mergeCell ref="I22:J22"/>
    <mergeCell ref="G26:H26"/>
    <mergeCell ref="I26:J26"/>
    <mergeCell ref="G27:H27"/>
    <mergeCell ref="I27:J27"/>
    <mergeCell ref="G23:H23"/>
    <mergeCell ref="I23:J23"/>
    <mergeCell ref="G24:H24"/>
    <mergeCell ref="I24:J24"/>
    <mergeCell ref="G25:H25"/>
    <mergeCell ref="I25:J25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/>
  </sheetPr>
  <dimension ref="A1:P270"/>
  <sheetViews>
    <sheetView showGridLines="0" zoomScale="90" zoomScaleNormal="90" workbookViewId="0"/>
  </sheetViews>
  <sheetFormatPr defaultRowHeight="14.25" outlineLevelRow="1" outlineLevelCol="1" x14ac:dyDescent="0.45"/>
  <cols>
    <col min="1" max="1" width="4.73046875" customWidth="1"/>
    <col min="2" max="2" width="9.73046875" hidden="1" customWidth="1" outlineLevel="1"/>
    <col min="3" max="3" width="12.86328125" customWidth="1" collapsed="1"/>
    <col min="4" max="7" width="12.86328125" customWidth="1"/>
    <col min="8" max="8" width="16.265625" customWidth="1"/>
    <col min="9" max="14" width="12.86328125" customWidth="1"/>
    <col min="15" max="15" width="17" customWidth="1"/>
    <col min="16" max="16" width="8.1328125" customWidth="1"/>
  </cols>
  <sheetData>
    <row r="1" spans="1:16" ht="26.25" customHeight="1" x14ac:dyDescent="0.45">
      <c r="A1" s="107" t="str">
        <f>[1]!IntrinioDataPoint(ticker,"name")</f>
        <v/>
      </c>
      <c r="B1" s="102"/>
      <c r="C1" s="102"/>
      <c r="D1" s="102"/>
      <c r="E1" s="102"/>
      <c r="F1" s="214" t="s">
        <v>327</v>
      </c>
      <c r="G1" s="214"/>
      <c r="H1" s="214"/>
      <c r="I1" s="214"/>
      <c r="J1" s="214"/>
      <c r="K1" s="214"/>
      <c r="L1" s="102"/>
      <c r="M1" s="102"/>
      <c r="N1" s="102"/>
      <c r="O1" s="102"/>
      <c r="P1" s="103"/>
    </row>
    <row r="2" spans="1:16" ht="19.5" customHeight="1" thickBot="1" x14ac:dyDescent="0.5">
      <c r="A2" s="106" t="str">
        <f>IF(ticker="","",[1]!IntrinioDataPoint(ticker,"stock_exchange")&amp;": "&amp;ticker)</f>
        <v/>
      </c>
      <c r="B2" s="104"/>
      <c r="C2" s="104"/>
      <c r="D2" s="104"/>
      <c r="E2" s="104"/>
      <c r="F2" s="215"/>
      <c r="G2" s="215"/>
      <c r="H2" s="215"/>
      <c r="I2" s="215"/>
      <c r="J2" s="215"/>
      <c r="K2" s="215"/>
      <c r="L2" s="104"/>
      <c r="M2" s="104"/>
      <c r="N2" s="104"/>
      <c r="O2" s="104"/>
      <c r="P2" s="105"/>
    </row>
    <row r="3" spans="1:16" ht="16.149999999999999" thickBot="1" x14ac:dyDescent="0.55000000000000004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7"/>
    </row>
    <row r="4" spans="1:16" ht="16.149999999999999" outlineLevel="1" thickBot="1" x14ac:dyDescent="0.55000000000000004">
      <c r="A4" s="6"/>
      <c r="C4" s="98" t="s">
        <v>336</v>
      </c>
      <c r="D4" s="163" t="str">
        <f ca="1">TEXT(NOW()-365*1,"YYYY-MM-DD")</f>
        <v>2015-08-28</v>
      </c>
      <c r="E4" s="6" t="s">
        <v>631</v>
      </c>
      <c r="F4" s="6"/>
      <c r="G4" s="6"/>
      <c r="H4" s="6"/>
      <c r="I4" s="6"/>
      <c r="J4" s="6"/>
      <c r="K4" s="6"/>
      <c r="L4" s="6"/>
      <c r="M4" s="6"/>
      <c r="N4" s="6"/>
      <c r="O4" s="6"/>
      <c r="P4" s="27"/>
    </row>
    <row r="5" spans="1:16" ht="16.149999999999999" outlineLevel="1" thickBot="1" x14ac:dyDescent="0.55000000000000004">
      <c r="A5" s="6"/>
      <c r="C5" s="98" t="s">
        <v>337</v>
      </c>
      <c r="D5" s="163" t="str">
        <f ca="1">TEXT(NOW(),"YYYY-MM-DD")</f>
        <v>2016-08-27</v>
      </c>
      <c r="E5" s="6" t="s">
        <v>631</v>
      </c>
      <c r="F5" s="6"/>
      <c r="G5" s="6"/>
      <c r="H5" s="6"/>
      <c r="I5" s="6"/>
      <c r="J5" s="6"/>
      <c r="K5" s="6"/>
      <c r="L5" s="6"/>
      <c r="M5" s="6"/>
      <c r="N5" s="6"/>
      <c r="O5" s="6"/>
      <c r="P5" s="27"/>
    </row>
    <row r="6" spans="1:16" ht="16.149999999999999" outlineLevel="1" thickBot="1" x14ac:dyDescent="0.55000000000000004">
      <c r="A6" s="6"/>
      <c r="C6" s="98" t="s">
        <v>630</v>
      </c>
      <c r="D6" s="166" t="s">
        <v>632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7"/>
    </row>
    <row r="7" spans="1:16" ht="15.75" customHeight="1" outlineLevel="1" x14ac:dyDescent="0.45">
      <c r="A7" s="23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</row>
    <row r="8" spans="1:16" x14ac:dyDescent="0.45">
      <c r="B8" s="97" t="s">
        <v>22</v>
      </c>
      <c r="C8" s="97" t="s">
        <v>328</v>
      </c>
      <c r="D8" s="97" t="s">
        <v>4</v>
      </c>
      <c r="E8" s="97" t="s">
        <v>3</v>
      </c>
      <c r="F8" s="97" t="s">
        <v>2</v>
      </c>
      <c r="G8" s="97" t="s">
        <v>1</v>
      </c>
      <c r="H8" s="97" t="s">
        <v>0</v>
      </c>
      <c r="I8" s="97" t="s">
        <v>329</v>
      </c>
      <c r="J8" s="97" t="s">
        <v>330</v>
      </c>
      <c r="K8" s="97" t="s">
        <v>331</v>
      </c>
      <c r="L8" s="97" t="s">
        <v>332</v>
      </c>
      <c r="M8" s="97" t="s">
        <v>333</v>
      </c>
      <c r="N8" s="97" t="s">
        <v>334</v>
      </c>
      <c r="O8" s="97" t="s">
        <v>335</v>
      </c>
    </row>
    <row r="9" spans="1:16" x14ac:dyDescent="0.45">
      <c r="B9" s="49">
        <v>0</v>
      </c>
      <c r="C9" s="165" t="str">
        <f ca="1">IFERROR([1]!IntrinioHistoricalPrices(ticker,"date",$B9,$D$4,$D$5,$D$6),"")</f>
        <v/>
      </c>
      <c r="D9" s="99" t="str">
        <f ca="1">IFERROR([1]!IntrinioHistoricalPrices(ticker,"open",$B9,$D$4,$D$5,$D$6),"")</f>
        <v/>
      </c>
      <c r="E9" s="99" t="str">
        <f ca="1">IFERROR([1]!IntrinioHistoricalPrices(ticker,"high",$B9,$D$4,$D$5,$D$6),"")</f>
        <v/>
      </c>
      <c r="F9" s="99" t="str">
        <f ca="1">IFERROR([1]!IntrinioHistoricalPrices(ticker,"low",$B9,$D$4,$D$5,$D$6),"")</f>
        <v/>
      </c>
      <c r="G9" s="99" t="str">
        <f ca="1">IFERROR([1]!IntrinioHistoricalPrices(ticker,"close",$B9,$D$4,$D$5,$D$6),"")</f>
        <v/>
      </c>
      <c r="H9" s="100" t="str">
        <f ca="1">IFERROR([1]!IntrinioHistoricalPrices(ticker,"volume",$B9,$D$4,$D$5,$D$6),"")</f>
        <v/>
      </c>
      <c r="I9" s="101" t="str">
        <f ca="1">IFERROR([1]!IntrinioHistoricalPrices(ticker,"split_ratio",$B9,$D$4,$D$5,$D$6),"")</f>
        <v/>
      </c>
      <c r="J9" s="99" t="str">
        <f ca="1">IFERROR([1]!IntrinioHistoricalPrices(ticker,"ex_dividend",$B9,$D$4,$D$5,$D$6),"")</f>
        <v/>
      </c>
      <c r="K9" s="99" t="str">
        <f ca="1">IFERROR([1]!IntrinioHistoricalPrices(ticker,"adj_open",$B9,$D$4,$D$5,$D$6),"")</f>
        <v/>
      </c>
      <c r="L9" s="99" t="str">
        <f ca="1">IFERROR([1]!IntrinioHistoricalPrices(ticker,"adj_high",$B9,$D$4,$D$5,$D$6),"")</f>
        <v/>
      </c>
      <c r="M9" s="99" t="str">
        <f ca="1">IFERROR([1]!IntrinioHistoricalPrices(ticker,"adj_low",$B9,$D$4,$D$5,$D$6),"")</f>
        <v/>
      </c>
      <c r="N9" s="99" t="str">
        <f ca="1">IFERROR([1]!IntrinioHistoricalPrices(ticker,"adj_close",$B9,$D$4,$D$5,$D$6),"")</f>
        <v/>
      </c>
      <c r="O9" s="100" t="str">
        <f ca="1">IFERROR([1]!IntrinioHistoricalPrices(ticker,"adj_volume",$B9,$D$4,$D$5,$D$6),"")</f>
        <v/>
      </c>
    </row>
    <row r="10" spans="1:16" x14ac:dyDescent="0.45">
      <c r="B10" s="49">
        <f>+B9+1</f>
        <v>1</v>
      </c>
      <c r="C10" s="165" t="str">
        <f ca="1">IFERROR([1]!IntrinioHistoricalPrices(ticker,"date",$B10,$D$4,$D$5,$D$6),"")</f>
        <v/>
      </c>
      <c r="D10" s="99" t="str">
        <f ca="1">IFERROR([1]!IntrinioHistoricalPrices(ticker,"open",$B10,$D$4,$D$5,$D$6),"")</f>
        <v/>
      </c>
      <c r="E10" s="99" t="str">
        <f ca="1">IFERROR([1]!IntrinioHistoricalPrices(ticker,"high",$B10,$D$4,$D$5,$D$6),"")</f>
        <v/>
      </c>
      <c r="F10" s="99" t="str">
        <f ca="1">IFERROR([1]!IntrinioHistoricalPrices(ticker,"low",$B10,$D$4,$D$5,$D$6),"")</f>
        <v/>
      </c>
      <c r="G10" s="99" t="str">
        <f ca="1">IFERROR([1]!IntrinioHistoricalPrices(ticker,"close",$B10,$D$4,$D$5,$D$6),"")</f>
        <v/>
      </c>
      <c r="H10" s="100" t="str">
        <f ca="1">IFERROR([1]!IntrinioHistoricalPrices(ticker,"volume",$B10,$D$4,$D$5,$D$6),"")</f>
        <v/>
      </c>
      <c r="I10" s="101" t="str">
        <f ca="1">IFERROR([1]!IntrinioHistoricalPrices(ticker,"split_ratio",$B10,$D$4,$D$5,$D$6),"")</f>
        <v/>
      </c>
      <c r="J10" s="99" t="str">
        <f ca="1">IFERROR([1]!IntrinioHistoricalPrices(ticker,"ex_dividend",$B10,$D$4,$D$5,$D$6),"")</f>
        <v/>
      </c>
      <c r="K10" s="99" t="str">
        <f ca="1">IFERROR([1]!IntrinioHistoricalPrices(ticker,"adj_open",$B10,$D$4,$D$5,$D$6),"")</f>
        <v/>
      </c>
      <c r="L10" s="99" t="str">
        <f ca="1">IFERROR([1]!IntrinioHistoricalPrices(ticker,"adj_high",$B10,$D$4,$D$5,$D$6),"")</f>
        <v/>
      </c>
      <c r="M10" s="99" t="str">
        <f ca="1">IFERROR([1]!IntrinioHistoricalPrices(ticker,"adj_low",$B10,$D$4,$D$5,$D$6),"")</f>
        <v/>
      </c>
      <c r="N10" s="99" t="str">
        <f ca="1">IFERROR([1]!IntrinioHistoricalPrices(ticker,"adj_close",$B10,$D$4,$D$5,$D$6),"")</f>
        <v/>
      </c>
      <c r="O10" s="100" t="str">
        <f ca="1">IFERROR([1]!IntrinioHistoricalPrices(ticker,"adj_volume",$B10,$D$4,$D$5,$D$6),"")</f>
        <v/>
      </c>
    </row>
    <row r="11" spans="1:16" x14ac:dyDescent="0.45">
      <c r="B11" s="49">
        <f t="shared" ref="B11:B74" si="0">+B10+1</f>
        <v>2</v>
      </c>
      <c r="C11" s="165" t="str">
        <f ca="1">IFERROR([1]!IntrinioHistoricalPrices(ticker,"date",$B11,$D$4,$D$5,$D$6),"")</f>
        <v/>
      </c>
      <c r="D11" s="99" t="str">
        <f ca="1">IFERROR([1]!IntrinioHistoricalPrices(ticker,"open",$B11,$D$4,$D$5,$D$6),"")</f>
        <v/>
      </c>
      <c r="E11" s="99" t="str">
        <f ca="1">IFERROR([1]!IntrinioHistoricalPrices(ticker,"high",$B11,$D$4,$D$5,$D$6),"")</f>
        <v/>
      </c>
      <c r="F11" s="99" t="str">
        <f ca="1">IFERROR([1]!IntrinioHistoricalPrices(ticker,"low",$B11,$D$4,$D$5,$D$6),"")</f>
        <v/>
      </c>
      <c r="G11" s="99" t="str">
        <f ca="1">IFERROR([1]!IntrinioHistoricalPrices(ticker,"close",$B11,$D$4,$D$5,$D$6),"")</f>
        <v/>
      </c>
      <c r="H11" s="100" t="str">
        <f ca="1">IFERROR([1]!IntrinioHistoricalPrices(ticker,"volume",$B11,$D$4,$D$5,$D$6),"")</f>
        <v/>
      </c>
      <c r="I11" s="101" t="str">
        <f ca="1">IFERROR([1]!IntrinioHistoricalPrices(ticker,"split_ratio",$B11,$D$4,$D$5,$D$6),"")</f>
        <v/>
      </c>
      <c r="J11" s="99" t="str">
        <f ca="1">IFERROR([1]!IntrinioHistoricalPrices(ticker,"ex_dividend",$B11,$D$4,$D$5,$D$6),"")</f>
        <v/>
      </c>
      <c r="K11" s="99" t="str">
        <f ca="1">IFERROR([1]!IntrinioHistoricalPrices(ticker,"adj_open",$B11,$D$4,$D$5,$D$6),"")</f>
        <v/>
      </c>
      <c r="L11" s="99" t="str">
        <f ca="1">IFERROR([1]!IntrinioHistoricalPrices(ticker,"adj_high",$B11,$D$4,$D$5,$D$6),"")</f>
        <v/>
      </c>
      <c r="M11" s="99" t="str">
        <f ca="1">IFERROR([1]!IntrinioHistoricalPrices(ticker,"adj_low",$B11,$D$4,$D$5,$D$6),"")</f>
        <v/>
      </c>
      <c r="N11" s="99" t="str">
        <f ca="1">IFERROR([1]!IntrinioHistoricalPrices(ticker,"adj_close",$B11,$D$4,$D$5,$D$6),"")</f>
        <v/>
      </c>
      <c r="O11" s="100" t="str">
        <f ca="1">IFERROR([1]!IntrinioHistoricalPrices(ticker,"adj_volume",$B11,$D$4,$D$5,$D$6),"")</f>
        <v/>
      </c>
    </row>
    <row r="12" spans="1:16" x14ac:dyDescent="0.45">
      <c r="B12" s="49">
        <f t="shared" si="0"/>
        <v>3</v>
      </c>
      <c r="C12" s="165" t="str">
        <f ca="1">IFERROR([1]!IntrinioHistoricalPrices(ticker,"date",$B12,$D$4,$D$5,$D$6),"")</f>
        <v/>
      </c>
      <c r="D12" s="99" t="str">
        <f ca="1">IFERROR([1]!IntrinioHistoricalPrices(ticker,"open",$B12,$D$4,$D$5,$D$6),"")</f>
        <v/>
      </c>
      <c r="E12" s="99" t="str">
        <f ca="1">IFERROR([1]!IntrinioHistoricalPrices(ticker,"high",$B12,$D$4,$D$5,$D$6),"")</f>
        <v/>
      </c>
      <c r="F12" s="99" t="str">
        <f ca="1">IFERROR([1]!IntrinioHistoricalPrices(ticker,"low",$B12,$D$4,$D$5,$D$6),"")</f>
        <v/>
      </c>
      <c r="G12" s="99" t="str">
        <f ca="1">IFERROR([1]!IntrinioHistoricalPrices(ticker,"close",$B12,$D$4,$D$5,$D$6),"")</f>
        <v/>
      </c>
      <c r="H12" s="100" t="str">
        <f ca="1">IFERROR([1]!IntrinioHistoricalPrices(ticker,"volume",$B12,$D$4,$D$5,$D$6),"")</f>
        <v/>
      </c>
      <c r="I12" s="101" t="str">
        <f ca="1">IFERROR([1]!IntrinioHistoricalPrices(ticker,"split_ratio",$B12,$D$4,$D$5,$D$6),"")</f>
        <v/>
      </c>
      <c r="J12" s="99" t="str">
        <f ca="1">IFERROR([1]!IntrinioHistoricalPrices(ticker,"ex_dividend",$B12,$D$4,$D$5,$D$6),"")</f>
        <v/>
      </c>
      <c r="K12" s="99" t="str">
        <f ca="1">IFERROR([1]!IntrinioHistoricalPrices(ticker,"adj_open",$B12,$D$4,$D$5,$D$6),"")</f>
        <v/>
      </c>
      <c r="L12" s="99" t="str">
        <f ca="1">IFERROR([1]!IntrinioHistoricalPrices(ticker,"adj_high",$B12,$D$4,$D$5,$D$6),"")</f>
        <v/>
      </c>
      <c r="M12" s="99" t="str">
        <f ca="1">IFERROR([1]!IntrinioHistoricalPrices(ticker,"adj_low",$B12,$D$4,$D$5,$D$6),"")</f>
        <v/>
      </c>
      <c r="N12" s="99" t="str">
        <f ca="1">IFERROR([1]!IntrinioHistoricalPrices(ticker,"adj_close",$B12,$D$4,$D$5,$D$6),"")</f>
        <v/>
      </c>
      <c r="O12" s="100" t="str">
        <f ca="1">IFERROR([1]!IntrinioHistoricalPrices(ticker,"adj_volume",$B12,$D$4,$D$5,$D$6),"")</f>
        <v/>
      </c>
    </row>
    <row r="13" spans="1:16" x14ac:dyDescent="0.45">
      <c r="B13" s="49">
        <f t="shared" si="0"/>
        <v>4</v>
      </c>
      <c r="C13" s="165" t="str">
        <f ca="1">IFERROR([1]!IntrinioHistoricalPrices(ticker,"date",$B13,$D$4,$D$5,$D$6),"")</f>
        <v/>
      </c>
      <c r="D13" s="99" t="str">
        <f ca="1">IFERROR([1]!IntrinioHistoricalPrices(ticker,"open",$B13,$D$4,$D$5,$D$6),"")</f>
        <v/>
      </c>
      <c r="E13" s="99" t="str">
        <f ca="1">IFERROR([1]!IntrinioHistoricalPrices(ticker,"high",$B13,$D$4,$D$5,$D$6),"")</f>
        <v/>
      </c>
      <c r="F13" s="99" t="str">
        <f ca="1">IFERROR([1]!IntrinioHistoricalPrices(ticker,"low",$B13,$D$4,$D$5,$D$6),"")</f>
        <v/>
      </c>
      <c r="G13" s="99" t="str">
        <f ca="1">IFERROR([1]!IntrinioHistoricalPrices(ticker,"close",$B13,$D$4,$D$5,$D$6),"")</f>
        <v/>
      </c>
      <c r="H13" s="100" t="str">
        <f ca="1">IFERROR([1]!IntrinioHistoricalPrices(ticker,"volume",$B13,$D$4,$D$5,$D$6),"")</f>
        <v/>
      </c>
      <c r="I13" s="101" t="str">
        <f ca="1">IFERROR([1]!IntrinioHistoricalPrices(ticker,"split_ratio",$B13,$D$4,$D$5,$D$6),"")</f>
        <v/>
      </c>
      <c r="J13" s="99" t="str">
        <f ca="1">IFERROR([1]!IntrinioHistoricalPrices(ticker,"ex_dividend",$B13,$D$4,$D$5,$D$6),"")</f>
        <v/>
      </c>
      <c r="K13" s="99" t="str">
        <f ca="1">IFERROR([1]!IntrinioHistoricalPrices(ticker,"adj_open",$B13,$D$4,$D$5,$D$6),"")</f>
        <v/>
      </c>
      <c r="L13" s="99" t="str">
        <f ca="1">IFERROR([1]!IntrinioHistoricalPrices(ticker,"adj_high",$B13,$D$4,$D$5,$D$6),"")</f>
        <v/>
      </c>
      <c r="M13" s="99" t="str">
        <f ca="1">IFERROR([1]!IntrinioHistoricalPrices(ticker,"adj_low",$B13,$D$4,$D$5,$D$6),"")</f>
        <v/>
      </c>
      <c r="N13" s="99" t="str">
        <f ca="1">IFERROR([1]!IntrinioHistoricalPrices(ticker,"adj_close",$B13,$D$4,$D$5,$D$6),"")</f>
        <v/>
      </c>
      <c r="O13" s="100" t="str">
        <f ca="1">IFERROR([1]!IntrinioHistoricalPrices(ticker,"adj_volume",$B13,$D$4,$D$5,$D$6),"")</f>
        <v/>
      </c>
    </row>
    <row r="14" spans="1:16" x14ac:dyDescent="0.45">
      <c r="B14" s="49">
        <f t="shared" si="0"/>
        <v>5</v>
      </c>
      <c r="C14" s="165" t="str">
        <f ca="1">IFERROR([1]!IntrinioHistoricalPrices(ticker,"date",$B14,$D$4,$D$5,$D$6),"")</f>
        <v/>
      </c>
      <c r="D14" s="99" t="str">
        <f ca="1">IFERROR([1]!IntrinioHistoricalPrices(ticker,"open",$B14,$D$4,$D$5,$D$6),"")</f>
        <v/>
      </c>
      <c r="E14" s="99" t="str">
        <f ca="1">IFERROR([1]!IntrinioHistoricalPrices(ticker,"high",$B14,$D$4,$D$5,$D$6),"")</f>
        <v/>
      </c>
      <c r="F14" s="99" t="str">
        <f ca="1">IFERROR([1]!IntrinioHistoricalPrices(ticker,"low",$B14,$D$4,$D$5,$D$6),"")</f>
        <v/>
      </c>
      <c r="G14" s="99" t="str">
        <f ca="1">IFERROR([1]!IntrinioHistoricalPrices(ticker,"close",$B14,$D$4,$D$5,$D$6),"")</f>
        <v/>
      </c>
      <c r="H14" s="100" t="str">
        <f ca="1">IFERROR([1]!IntrinioHistoricalPrices(ticker,"volume",$B14,$D$4,$D$5,$D$6),"")</f>
        <v/>
      </c>
      <c r="I14" s="101" t="str">
        <f ca="1">IFERROR([1]!IntrinioHistoricalPrices(ticker,"split_ratio",$B14,$D$4,$D$5,$D$6),"")</f>
        <v/>
      </c>
      <c r="J14" s="99" t="str">
        <f ca="1">IFERROR([1]!IntrinioHistoricalPrices(ticker,"ex_dividend",$B14,$D$4,$D$5,$D$6),"")</f>
        <v/>
      </c>
      <c r="K14" s="99" t="str">
        <f ca="1">IFERROR([1]!IntrinioHistoricalPrices(ticker,"adj_open",$B14,$D$4,$D$5,$D$6),"")</f>
        <v/>
      </c>
      <c r="L14" s="99" t="str">
        <f ca="1">IFERROR([1]!IntrinioHistoricalPrices(ticker,"adj_high",$B14,$D$4,$D$5,$D$6),"")</f>
        <v/>
      </c>
      <c r="M14" s="99" t="str">
        <f ca="1">IFERROR([1]!IntrinioHistoricalPrices(ticker,"adj_low",$B14,$D$4,$D$5,$D$6),"")</f>
        <v/>
      </c>
      <c r="N14" s="99" t="str">
        <f ca="1">IFERROR([1]!IntrinioHistoricalPrices(ticker,"adj_close",$B14,$D$4,$D$5,$D$6),"")</f>
        <v/>
      </c>
      <c r="O14" s="100" t="str">
        <f ca="1">IFERROR([1]!IntrinioHistoricalPrices(ticker,"adj_volume",$B14,$D$4,$D$5,$D$6),"")</f>
        <v/>
      </c>
    </row>
    <row r="15" spans="1:16" x14ac:dyDescent="0.45">
      <c r="B15" s="49">
        <f t="shared" si="0"/>
        <v>6</v>
      </c>
      <c r="C15" s="165" t="str">
        <f ca="1">IFERROR([1]!IntrinioHistoricalPrices(ticker,"date",$B15,$D$4,$D$5,$D$6),"")</f>
        <v/>
      </c>
      <c r="D15" s="99" t="str">
        <f ca="1">IFERROR([1]!IntrinioHistoricalPrices(ticker,"open",$B15,$D$4,$D$5,$D$6),"")</f>
        <v/>
      </c>
      <c r="E15" s="99" t="str">
        <f ca="1">IFERROR([1]!IntrinioHistoricalPrices(ticker,"high",$B15,$D$4,$D$5,$D$6),"")</f>
        <v/>
      </c>
      <c r="F15" s="99" t="str">
        <f ca="1">IFERROR([1]!IntrinioHistoricalPrices(ticker,"low",$B15,$D$4,$D$5,$D$6),"")</f>
        <v/>
      </c>
      <c r="G15" s="99" t="str">
        <f ca="1">IFERROR([1]!IntrinioHistoricalPrices(ticker,"close",$B15,$D$4,$D$5,$D$6),"")</f>
        <v/>
      </c>
      <c r="H15" s="100" t="str">
        <f ca="1">IFERROR([1]!IntrinioHistoricalPrices(ticker,"volume",$B15,$D$4,$D$5,$D$6),"")</f>
        <v/>
      </c>
      <c r="I15" s="101" t="str">
        <f ca="1">IFERROR([1]!IntrinioHistoricalPrices(ticker,"split_ratio",$B15,$D$4,$D$5,$D$6),"")</f>
        <v/>
      </c>
      <c r="J15" s="99" t="str">
        <f ca="1">IFERROR([1]!IntrinioHistoricalPrices(ticker,"ex_dividend",$B15,$D$4,$D$5,$D$6),"")</f>
        <v/>
      </c>
      <c r="K15" s="99" t="str">
        <f ca="1">IFERROR([1]!IntrinioHistoricalPrices(ticker,"adj_open",$B15,$D$4,$D$5,$D$6),"")</f>
        <v/>
      </c>
      <c r="L15" s="99" t="str">
        <f ca="1">IFERROR([1]!IntrinioHistoricalPrices(ticker,"adj_high",$B15,$D$4,$D$5,$D$6),"")</f>
        <v/>
      </c>
      <c r="M15" s="99" t="str">
        <f ca="1">IFERROR([1]!IntrinioHistoricalPrices(ticker,"adj_low",$B15,$D$4,$D$5,$D$6),"")</f>
        <v/>
      </c>
      <c r="N15" s="99" t="str">
        <f ca="1">IFERROR([1]!IntrinioHistoricalPrices(ticker,"adj_close",$B15,$D$4,$D$5,$D$6),"")</f>
        <v/>
      </c>
      <c r="O15" s="100" t="str">
        <f ca="1">IFERROR([1]!IntrinioHistoricalPrices(ticker,"adj_volume",$B15,$D$4,$D$5,$D$6),"")</f>
        <v/>
      </c>
    </row>
    <row r="16" spans="1:16" x14ac:dyDescent="0.45">
      <c r="B16" s="49">
        <f t="shared" si="0"/>
        <v>7</v>
      </c>
      <c r="C16" s="165" t="str">
        <f ca="1">IFERROR([1]!IntrinioHistoricalPrices(ticker,"date",$B16,$D$4,$D$5,$D$6),"")</f>
        <v/>
      </c>
      <c r="D16" s="99" t="str">
        <f ca="1">IFERROR([1]!IntrinioHistoricalPrices(ticker,"open",$B16,$D$4,$D$5,$D$6),"")</f>
        <v/>
      </c>
      <c r="E16" s="99" t="str">
        <f ca="1">IFERROR([1]!IntrinioHistoricalPrices(ticker,"high",$B16,$D$4,$D$5,$D$6),"")</f>
        <v/>
      </c>
      <c r="F16" s="99" t="str">
        <f ca="1">IFERROR([1]!IntrinioHistoricalPrices(ticker,"low",$B16,$D$4,$D$5,$D$6),"")</f>
        <v/>
      </c>
      <c r="G16" s="99" t="str">
        <f ca="1">IFERROR([1]!IntrinioHistoricalPrices(ticker,"close",$B16,$D$4,$D$5,$D$6),"")</f>
        <v/>
      </c>
      <c r="H16" s="100" t="str">
        <f ca="1">IFERROR([1]!IntrinioHistoricalPrices(ticker,"volume",$B16,$D$4,$D$5,$D$6),"")</f>
        <v/>
      </c>
      <c r="I16" s="101" t="str">
        <f ca="1">IFERROR([1]!IntrinioHistoricalPrices(ticker,"split_ratio",$B16,$D$4,$D$5,$D$6),"")</f>
        <v/>
      </c>
      <c r="J16" s="99" t="str">
        <f ca="1">IFERROR([1]!IntrinioHistoricalPrices(ticker,"ex_dividend",$B16,$D$4,$D$5,$D$6),"")</f>
        <v/>
      </c>
      <c r="K16" s="99" t="str">
        <f ca="1">IFERROR([1]!IntrinioHistoricalPrices(ticker,"adj_open",$B16,$D$4,$D$5,$D$6),"")</f>
        <v/>
      </c>
      <c r="L16" s="99" t="str">
        <f ca="1">IFERROR([1]!IntrinioHistoricalPrices(ticker,"adj_high",$B16,$D$4,$D$5,$D$6),"")</f>
        <v/>
      </c>
      <c r="M16" s="99" t="str">
        <f ca="1">IFERROR([1]!IntrinioHistoricalPrices(ticker,"adj_low",$B16,$D$4,$D$5,$D$6),"")</f>
        <v/>
      </c>
      <c r="N16" s="99" t="str">
        <f ca="1">IFERROR([1]!IntrinioHistoricalPrices(ticker,"adj_close",$B16,$D$4,$D$5,$D$6),"")</f>
        <v/>
      </c>
      <c r="O16" s="100" t="str">
        <f ca="1">IFERROR([1]!IntrinioHistoricalPrices(ticker,"adj_volume",$B16,$D$4,$D$5,$D$6),"")</f>
        <v/>
      </c>
    </row>
    <row r="17" spans="2:15" x14ac:dyDescent="0.45">
      <c r="B17" s="49">
        <f t="shared" si="0"/>
        <v>8</v>
      </c>
      <c r="C17" s="165" t="str">
        <f ca="1">IFERROR([1]!IntrinioHistoricalPrices(ticker,"date",$B17,$D$4,$D$5,$D$6),"")</f>
        <v/>
      </c>
      <c r="D17" s="99" t="str">
        <f ca="1">IFERROR([1]!IntrinioHistoricalPrices(ticker,"open",$B17,$D$4,$D$5,$D$6),"")</f>
        <v/>
      </c>
      <c r="E17" s="99" t="str">
        <f ca="1">IFERROR([1]!IntrinioHistoricalPrices(ticker,"high",$B17,$D$4,$D$5,$D$6),"")</f>
        <v/>
      </c>
      <c r="F17" s="99" t="str">
        <f ca="1">IFERROR([1]!IntrinioHistoricalPrices(ticker,"low",$B17,$D$4,$D$5,$D$6),"")</f>
        <v/>
      </c>
      <c r="G17" s="99" t="str">
        <f ca="1">IFERROR([1]!IntrinioHistoricalPrices(ticker,"close",$B17,$D$4,$D$5,$D$6),"")</f>
        <v/>
      </c>
      <c r="H17" s="100" t="str">
        <f ca="1">IFERROR([1]!IntrinioHistoricalPrices(ticker,"volume",$B17,$D$4,$D$5,$D$6),"")</f>
        <v/>
      </c>
      <c r="I17" s="101" t="str">
        <f ca="1">IFERROR([1]!IntrinioHistoricalPrices(ticker,"split_ratio",$B17,$D$4,$D$5,$D$6),"")</f>
        <v/>
      </c>
      <c r="J17" s="99" t="str">
        <f ca="1">IFERROR([1]!IntrinioHistoricalPrices(ticker,"ex_dividend",$B17,$D$4,$D$5,$D$6),"")</f>
        <v/>
      </c>
      <c r="K17" s="99" t="str">
        <f ca="1">IFERROR([1]!IntrinioHistoricalPrices(ticker,"adj_open",$B17,$D$4,$D$5,$D$6),"")</f>
        <v/>
      </c>
      <c r="L17" s="99" t="str">
        <f ca="1">IFERROR([1]!IntrinioHistoricalPrices(ticker,"adj_high",$B17,$D$4,$D$5,$D$6),"")</f>
        <v/>
      </c>
      <c r="M17" s="99" t="str">
        <f ca="1">IFERROR([1]!IntrinioHistoricalPrices(ticker,"adj_low",$B17,$D$4,$D$5,$D$6),"")</f>
        <v/>
      </c>
      <c r="N17" s="99" t="str">
        <f ca="1">IFERROR([1]!IntrinioHistoricalPrices(ticker,"adj_close",$B17,$D$4,$D$5,$D$6),"")</f>
        <v/>
      </c>
      <c r="O17" s="100" t="str">
        <f ca="1">IFERROR([1]!IntrinioHistoricalPrices(ticker,"adj_volume",$B17,$D$4,$D$5,$D$6),"")</f>
        <v/>
      </c>
    </row>
    <row r="18" spans="2:15" x14ac:dyDescent="0.45">
      <c r="B18" s="49">
        <f t="shared" si="0"/>
        <v>9</v>
      </c>
      <c r="C18" s="165" t="str">
        <f ca="1">IFERROR([1]!IntrinioHistoricalPrices(ticker,"date",$B18,$D$4,$D$5,$D$6),"")</f>
        <v/>
      </c>
      <c r="D18" s="99" t="str">
        <f ca="1">IFERROR([1]!IntrinioHistoricalPrices(ticker,"open",$B18,$D$4,$D$5,$D$6),"")</f>
        <v/>
      </c>
      <c r="E18" s="99" t="str">
        <f ca="1">IFERROR([1]!IntrinioHistoricalPrices(ticker,"high",$B18,$D$4,$D$5,$D$6),"")</f>
        <v/>
      </c>
      <c r="F18" s="99" t="str">
        <f ca="1">IFERROR([1]!IntrinioHistoricalPrices(ticker,"low",$B18,$D$4,$D$5,$D$6),"")</f>
        <v/>
      </c>
      <c r="G18" s="99" t="str">
        <f ca="1">IFERROR([1]!IntrinioHistoricalPrices(ticker,"close",$B18,$D$4,$D$5,$D$6),"")</f>
        <v/>
      </c>
      <c r="H18" s="100" t="str">
        <f ca="1">IFERROR([1]!IntrinioHistoricalPrices(ticker,"volume",$B18,$D$4,$D$5,$D$6),"")</f>
        <v/>
      </c>
      <c r="I18" s="101" t="str">
        <f ca="1">IFERROR([1]!IntrinioHistoricalPrices(ticker,"split_ratio",$B18,$D$4,$D$5,$D$6),"")</f>
        <v/>
      </c>
      <c r="J18" s="99" t="str">
        <f ca="1">IFERROR([1]!IntrinioHistoricalPrices(ticker,"ex_dividend",$B18,$D$4,$D$5,$D$6),"")</f>
        <v/>
      </c>
      <c r="K18" s="99" t="str">
        <f ca="1">IFERROR([1]!IntrinioHistoricalPrices(ticker,"adj_open",$B18,$D$4,$D$5,$D$6),"")</f>
        <v/>
      </c>
      <c r="L18" s="99" t="str">
        <f ca="1">IFERROR([1]!IntrinioHistoricalPrices(ticker,"adj_high",$B18,$D$4,$D$5,$D$6),"")</f>
        <v/>
      </c>
      <c r="M18" s="99" t="str">
        <f ca="1">IFERROR([1]!IntrinioHistoricalPrices(ticker,"adj_low",$B18,$D$4,$D$5,$D$6),"")</f>
        <v/>
      </c>
      <c r="N18" s="99" t="str">
        <f ca="1">IFERROR([1]!IntrinioHistoricalPrices(ticker,"adj_close",$B18,$D$4,$D$5,$D$6),"")</f>
        <v/>
      </c>
      <c r="O18" s="100" t="str">
        <f ca="1">IFERROR([1]!IntrinioHistoricalPrices(ticker,"adj_volume",$B18,$D$4,$D$5,$D$6),"")</f>
        <v/>
      </c>
    </row>
    <row r="19" spans="2:15" x14ac:dyDescent="0.45">
      <c r="B19" s="49">
        <f t="shared" si="0"/>
        <v>10</v>
      </c>
      <c r="C19" s="165" t="str">
        <f ca="1">IFERROR([1]!IntrinioHistoricalPrices(ticker,"date",$B19,$D$4,$D$5,$D$6),"")</f>
        <v/>
      </c>
      <c r="D19" s="99" t="str">
        <f ca="1">IFERROR([1]!IntrinioHistoricalPrices(ticker,"open",$B19,$D$4,$D$5,$D$6),"")</f>
        <v/>
      </c>
      <c r="E19" s="99" t="str">
        <f ca="1">IFERROR([1]!IntrinioHistoricalPrices(ticker,"high",$B19,$D$4,$D$5,$D$6),"")</f>
        <v/>
      </c>
      <c r="F19" s="99" t="str">
        <f ca="1">IFERROR([1]!IntrinioHistoricalPrices(ticker,"low",$B19,$D$4,$D$5,$D$6),"")</f>
        <v/>
      </c>
      <c r="G19" s="99" t="str">
        <f ca="1">IFERROR([1]!IntrinioHistoricalPrices(ticker,"close",$B19,$D$4,$D$5,$D$6),"")</f>
        <v/>
      </c>
      <c r="H19" s="100" t="str">
        <f ca="1">IFERROR([1]!IntrinioHistoricalPrices(ticker,"volume",$B19,$D$4,$D$5,$D$6),"")</f>
        <v/>
      </c>
      <c r="I19" s="101" t="str">
        <f ca="1">IFERROR([1]!IntrinioHistoricalPrices(ticker,"split_ratio",$B19,$D$4,$D$5,$D$6),"")</f>
        <v/>
      </c>
      <c r="J19" s="99" t="str">
        <f ca="1">IFERROR([1]!IntrinioHistoricalPrices(ticker,"ex_dividend",$B19,$D$4,$D$5,$D$6),"")</f>
        <v/>
      </c>
      <c r="K19" s="99" t="str">
        <f ca="1">IFERROR([1]!IntrinioHistoricalPrices(ticker,"adj_open",$B19,$D$4,$D$5,$D$6),"")</f>
        <v/>
      </c>
      <c r="L19" s="99" t="str">
        <f ca="1">IFERROR([1]!IntrinioHistoricalPrices(ticker,"adj_high",$B19,$D$4,$D$5,$D$6),"")</f>
        <v/>
      </c>
      <c r="M19" s="99" t="str">
        <f ca="1">IFERROR([1]!IntrinioHistoricalPrices(ticker,"adj_low",$B19,$D$4,$D$5,$D$6),"")</f>
        <v/>
      </c>
      <c r="N19" s="99" t="str">
        <f ca="1">IFERROR([1]!IntrinioHistoricalPrices(ticker,"adj_close",$B19,$D$4,$D$5,$D$6),"")</f>
        <v/>
      </c>
      <c r="O19" s="100" t="str">
        <f ca="1">IFERROR([1]!IntrinioHistoricalPrices(ticker,"adj_volume",$B19,$D$4,$D$5,$D$6),"")</f>
        <v/>
      </c>
    </row>
    <row r="20" spans="2:15" x14ac:dyDescent="0.45">
      <c r="B20" s="49">
        <f t="shared" si="0"/>
        <v>11</v>
      </c>
      <c r="C20" s="165" t="str">
        <f ca="1">IFERROR([1]!IntrinioHistoricalPrices(ticker,"date",$B20,$D$4,$D$5,$D$6),"")</f>
        <v/>
      </c>
      <c r="D20" s="99" t="str">
        <f ca="1">IFERROR([1]!IntrinioHistoricalPrices(ticker,"open",$B20,$D$4,$D$5,$D$6),"")</f>
        <v/>
      </c>
      <c r="E20" s="99" t="str">
        <f ca="1">IFERROR([1]!IntrinioHistoricalPrices(ticker,"high",$B20,$D$4,$D$5,$D$6),"")</f>
        <v/>
      </c>
      <c r="F20" s="99" t="str">
        <f ca="1">IFERROR([1]!IntrinioHistoricalPrices(ticker,"low",$B20,$D$4,$D$5,$D$6),"")</f>
        <v/>
      </c>
      <c r="G20" s="99" t="str">
        <f ca="1">IFERROR([1]!IntrinioHistoricalPrices(ticker,"close",$B20,$D$4,$D$5,$D$6),"")</f>
        <v/>
      </c>
      <c r="H20" s="100" t="str">
        <f ca="1">IFERROR([1]!IntrinioHistoricalPrices(ticker,"volume",$B20,$D$4,$D$5,$D$6),"")</f>
        <v/>
      </c>
      <c r="I20" s="101" t="str">
        <f ca="1">IFERROR([1]!IntrinioHistoricalPrices(ticker,"split_ratio",$B20,$D$4,$D$5,$D$6),"")</f>
        <v/>
      </c>
      <c r="J20" s="99" t="str">
        <f ca="1">IFERROR([1]!IntrinioHistoricalPrices(ticker,"ex_dividend",$B20,$D$4,$D$5,$D$6),"")</f>
        <v/>
      </c>
      <c r="K20" s="99" t="str">
        <f ca="1">IFERROR([1]!IntrinioHistoricalPrices(ticker,"adj_open",$B20,$D$4,$D$5,$D$6),"")</f>
        <v/>
      </c>
      <c r="L20" s="99" t="str">
        <f ca="1">IFERROR([1]!IntrinioHistoricalPrices(ticker,"adj_high",$B20,$D$4,$D$5,$D$6),"")</f>
        <v/>
      </c>
      <c r="M20" s="99" t="str">
        <f ca="1">IFERROR([1]!IntrinioHistoricalPrices(ticker,"adj_low",$B20,$D$4,$D$5,$D$6),"")</f>
        <v/>
      </c>
      <c r="N20" s="99" t="str">
        <f ca="1">IFERROR([1]!IntrinioHistoricalPrices(ticker,"adj_close",$B20,$D$4,$D$5,$D$6),"")</f>
        <v/>
      </c>
      <c r="O20" s="100" t="str">
        <f ca="1">IFERROR([1]!IntrinioHistoricalPrices(ticker,"adj_volume",$B20,$D$4,$D$5,$D$6),"")</f>
        <v/>
      </c>
    </row>
    <row r="21" spans="2:15" x14ac:dyDescent="0.45">
      <c r="B21" s="49">
        <f t="shared" si="0"/>
        <v>12</v>
      </c>
      <c r="C21" s="165" t="str">
        <f ca="1">IFERROR([1]!IntrinioHistoricalPrices(ticker,"date",$B21,$D$4,$D$5,$D$6),"")</f>
        <v/>
      </c>
      <c r="D21" s="99" t="str">
        <f ca="1">IFERROR([1]!IntrinioHistoricalPrices(ticker,"open",$B21,$D$4,$D$5,$D$6),"")</f>
        <v/>
      </c>
      <c r="E21" s="99" t="str">
        <f ca="1">IFERROR([1]!IntrinioHistoricalPrices(ticker,"high",$B21,$D$4,$D$5,$D$6),"")</f>
        <v/>
      </c>
      <c r="F21" s="99" t="str">
        <f ca="1">IFERROR([1]!IntrinioHistoricalPrices(ticker,"low",$B21,$D$4,$D$5,$D$6),"")</f>
        <v/>
      </c>
      <c r="G21" s="99" t="str">
        <f ca="1">IFERROR([1]!IntrinioHistoricalPrices(ticker,"close",$B21,$D$4,$D$5,$D$6),"")</f>
        <v/>
      </c>
      <c r="H21" s="100" t="str">
        <f ca="1">IFERROR([1]!IntrinioHistoricalPrices(ticker,"volume",$B21,$D$4,$D$5,$D$6),"")</f>
        <v/>
      </c>
      <c r="I21" s="101" t="str">
        <f ca="1">IFERROR([1]!IntrinioHistoricalPrices(ticker,"split_ratio",$B21,$D$4,$D$5,$D$6),"")</f>
        <v/>
      </c>
      <c r="J21" s="99" t="str">
        <f ca="1">IFERROR([1]!IntrinioHistoricalPrices(ticker,"ex_dividend",$B21,$D$4,$D$5,$D$6),"")</f>
        <v/>
      </c>
      <c r="K21" s="99" t="str">
        <f ca="1">IFERROR([1]!IntrinioHistoricalPrices(ticker,"adj_open",$B21,$D$4,$D$5,$D$6),"")</f>
        <v/>
      </c>
      <c r="L21" s="99" t="str">
        <f ca="1">IFERROR([1]!IntrinioHistoricalPrices(ticker,"adj_high",$B21,$D$4,$D$5,$D$6),"")</f>
        <v/>
      </c>
      <c r="M21" s="99" t="str">
        <f ca="1">IFERROR([1]!IntrinioHistoricalPrices(ticker,"adj_low",$B21,$D$4,$D$5,$D$6),"")</f>
        <v/>
      </c>
      <c r="N21" s="99" t="str">
        <f ca="1">IFERROR([1]!IntrinioHistoricalPrices(ticker,"adj_close",$B21,$D$4,$D$5,$D$6),"")</f>
        <v/>
      </c>
      <c r="O21" s="100" t="str">
        <f ca="1">IFERROR([1]!IntrinioHistoricalPrices(ticker,"adj_volume",$B21,$D$4,$D$5,$D$6),"")</f>
        <v/>
      </c>
    </row>
    <row r="22" spans="2:15" x14ac:dyDescent="0.45">
      <c r="B22" s="49">
        <f t="shared" si="0"/>
        <v>13</v>
      </c>
      <c r="C22" s="165" t="str">
        <f ca="1">IFERROR([1]!IntrinioHistoricalPrices(ticker,"date",$B22,$D$4,$D$5,$D$6),"")</f>
        <v/>
      </c>
      <c r="D22" s="99" t="str">
        <f ca="1">IFERROR([1]!IntrinioHistoricalPrices(ticker,"open",$B22,$D$4,$D$5,$D$6),"")</f>
        <v/>
      </c>
      <c r="E22" s="99" t="str">
        <f ca="1">IFERROR([1]!IntrinioHistoricalPrices(ticker,"high",$B22,$D$4,$D$5,$D$6),"")</f>
        <v/>
      </c>
      <c r="F22" s="99" t="str">
        <f ca="1">IFERROR([1]!IntrinioHistoricalPrices(ticker,"low",$B22,$D$4,$D$5,$D$6),"")</f>
        <v/>
      </c>
      <c r="G22" s="99" t="str">
        <f ca="1">IFERROR([1]!IntrinioHistoricalPrices(ticker,"close",$B22,$D$4,$D$5,$D$6),"")</f>
        <v/>
      </c>
      <c r="H22" s="100" t="str">
        <f ca="1">IFERROR([1]!IntrinioHistoricalPrices(ticker,"volume",$B22,$D$4,$D$5,$D$6),"")</f>
        <v/>
      </c>
      <c r="I22" s="101" t="str">
        <f ca="1">IFERROR([1]!IntrinioHistoricalPrices(ticker,"split_ratio",$B22,$D$4,$D$5,$D$6),"")</f>
        <v/>
      </c>
      <c r="J22" s="99" t="str">
        <f ca="1">IFERROR([1]!IntrinioHistoricalPrices(ticker,"ex_dividend",$B22,$D$4,$D$5,$D$6),"")</f>
        <v/>
      </c>
      <c r="K22" s="99" t="str">
        <f ca="1">IFERROR([1]!IntrinioHistoricalPrices(ticker,"adj_open",$B22,$D$4,$D$5,$D$6),"")</f>
        <v/>
      </c>
      <c r="L22" s="99" t="str">
        <f ca="1">IFERROR([1]!IntrinioHistoricalPrices(ticker,"adj_high",$B22,$D$4,$D$5,$D$6),"")</f>
        <v/>
      </c>
      <c r="M22" s="99" t="str">
        <f ca="1">IFERROR([1]!IntrinioHistoricalPrices(ticker,"adj_low",$B22,$D$4,$D$5,$D$6),"")</f>
        <v/>
      </c>
      <c r="N22" s="99" t="str">
        <f ca="1">IFERROR([1]!IntrinioHistoricalPrices(ticker,"adj_close",$B22,$D$4,$D$5,$D$6),"")</f>
        <v/>
      </c>
      <c r="O22" s="100" t="str">
        <f ca="1">IFERROR([1]!IntrinioHistoricalPrices(ticker,"adj_volume",$B22,$D$4,$D$5,$D$6),"")</f>
        <v/>
      </c>
    </row>
    <row r="23" spans="2:15" x14ac:dyDescent="0.45">
      <c r="B23" s="49">
        <f t="shared" si="0"/>
        <v>14</v>
      </c>
      <c r="C23" s="165" t="str">
        <f ca="1">IFERROR([1]!IntrinioHistoricalPrices(ticker,"date",$B23,$D$4,$D$5,$D$6),"")</f>
        <v/>
      </c>
      <c r="D23" s="99" t="str">
        <f ca="1">IFERROR([1]!IntrinioHistoricalPrices(ticker,"open",$B23,$D$4,$D$5,$D$6),"")</f>
        <v/>
      </c>
      <c r="E23" s="99" t="str">
        <f ca="1">IFERROR([1]!IntrinioHistoricalPrices(ticker,"high",$B23,$D$4,$D$5,$D$6),"")</f>
        <v/>
      </c>
      <c r="F23" s="99" t="str">
        <f ca="1">IFERROR([1]!IntrinioHistoricalPrices(ticker,"low",$B23,$D$4,$D$5,$D$6),"")</f>
        <v/>
      </c>
      <c r="G23" s="99" t="str">
        <f ca="1">IFERROR([1]!IntrinioHistoricalPrices(ticker,"close",$B23,$D$4,$D$5,$D$6),"")</f>
        <v/>
      </c>
      <c r="H23" s="100" t="str">
        <f ca="1">IFERROR([1]!IntrinioHistoricalPrices(ticker,"volume",$B23,$D$4,$D$5,$D$6),"")</f>
        <v/>
      </c>
      <c r="I23" s="101" t="str">
        <f ca="1">IFERROR([1]!IntrinioHistoricalPrices(ticker,"split_ratio",$B23,$D$4,$D$5,$D$6),"")</f>
        <v/>
      </c>
      <c r="J23" s="99" t="str">
        <f ca="1">IFERROR([1]!IntrinioHistoricalPrices(ticker,"ex_dividend",$B23,$D$4,$D$5,$D$6),"")</f>
        <v/>
      </c>
      <c r="K23" s="99" t="str">
        <f ca="1">IFERROR([1]!IntrinioHistoricalPrices(ticker,"adj_open",$B23,$D$4,$D$5,$D$6),"")</f>
        <v/>
      </c>
      <c r="L23" s="99" t="str">
        <f ca="1">IFERROR([1]!IntrinioHistoricalPrices(ticker,"adj_high",$B23,$D$4,$D$5,$D$6),"")</f>
        <v/>
      </c>
      <c r="M23" s="99" t="str">
        <f ca="1">IFERROR([1]!IntrinioHistoricalPrices(ticker,"adj_low",$B23,$D$4,$D$5,$D$6),"")</f>
        <v/>
      </c>
      <c r="N23" s="99" t="str">
        <f ca="1">IFERROR([1]!IntrinioHistoricalPrices(ticker,"adj_close",$B23,$D$4,$D$5,$D$6),"")</f>
        <v/>
      </c>
      <c r="O23" s="100" t="str">
        <f ca="1">IFERROR([1]!IntrinioHistoricalPrices(ticker,"adj_volume",$B23,$D$4,$D$5,$D$6),"")</f>
        <v/>
      </c>
    </row>
    <row r="24" spans="2:15" x14ac:dyDescent="0.45">
      <c r="B24" s="49">
        <f t="shared" si="0"/>
        <v>15</v>
      </c>
      <c r="C24" s="165" t="str">
        <f ca="1">IFERROR([1]!IntrinioHistoricalPrices(ticker,"date",$B24,$D$4,$D$5,$D$6),"")</f>
        <v/>
      </c>
      <c r="D24" s="99" t="str">
        <f ca="1">IFERROR([1]!IntrinioHistoricalPrices(ticker,"open",$B24,$D$4,$D$5,$D$6),"")</f>
        <v/>
      </c>
      <c r="E24" s="99" t="str">
        <f ca="1">IFERROR([1]!IntrinioHistoricalPrices(ticker,"high",$B24,$D$4,$D$5,$D$6),"")</f>
        <v/>
      </c>
      <c r="F24" s="99" t="str">
        <f ca="1">IFERROR([1]!IntrinioHistoricalPrices(ticker,"low",$B24,$D$4,$D$5,$D$6),"")</f>
        <v/>
      </c>
      <c r="G24" s="99" t="str">
        <f ca="1">IFERROR([1]!IntrinioHistoricalPrices(ticker,"close",$B24,$D$4,$D$5,$D$6),"")</f>
        <v/>
      </c>
      <c r="H24" s="100" t="str">
        <f ca="1">IFERROR([1]!IntrinioHistoricalPrices(ticker,"volume",$B24,$D$4,$D$5,$D$6),"")</f>
        <v/>
      </c>
      <c r="I24" s="101" t="str">
        <f ca="1">IFERROR([1]!IntrinioHistoricalPrices(ticker,"split_ratio",$B24,$D$4,$D$5,$D$6),"")</f>
        <v/>
      </c>
      <c r="J24" s="99" t="str">
        <f ca="1">IFERROR([1]!IntrinioHistoricalPrices(ticker,"ex_dividend",$B24,$D$4,$D$5,$D$6),"")</f>
        <v/>
      </c>
      <c r="K24" s="99" t="str">
        <f ca="1">IFERROR([1]!IntrinioHistoricalPrices(ticker,"adj_open",$B24,$D$4,$D$5,$D$6),"")</f>
        <v/>
      </c>
      <c r="L24" s="99" t="str">
        <f ca="1">IFERROR([1]!IntrinioHistoricalPrices(ticker,"adj_high",$B24,$D$4,$D$5,$D$6),"")</f>
        <v/>
      </c>
      <c r="M24" s="99" t="str">
        <f ca="1">IFERROR([1]!IntrinioHistoricalPrices(ticker,"adj_low",$B24,$D$4,$D$5,$D$6),"")</f>
        <v/>
      </c>
      <c r="N24" s="99" t="str">
        <f ca="1">IFERROR([1]!IntrinioHistoricalPrices(ticker,"adj_close",$B24,$D$4,$D$5,$D$6),"")</f>
        <v/>
      </c>
      <c r="O24" s="100" t="str">
        <f ca="1">IFERROR([1]!IntrinioHistoricalPrices(ticker,"adj_volume",$B24,$D$4,$D$5,$D$6),"")</f>
        <v/>
      </c>
    </row>
    <row r="25" spans="2:15" x14ac:dyDescent="0.45">
      <c r="B25" s="49">
        <f t="shared" si="0"/>
        <v>16</v>
      </c>
      <c r="C25" s="165" t="str">
        <f ca="1">IFERROR([1]!IntrinioHistoricalPrices(ticker,"date",$B25,$D$4,$D$5,$D$6),"")</f>
        <v/>
      </c>
      <c r="D25" s="99" t="str">
        <f ca="1">IFERROR([1]!IntrinioHistoricalPrices(ticker,"open",$B25,$D$4,$D$5,$D$6),"")</f>
        <v/>
      </c>
      <c r="E25" s="99" t="str">
        <f ca="1">IFERROR([1]!IntrinioHistoricalPrices(ticker,"high",$B25,$D$4,$D$5,$D$6),"")</f>
        <v/>
      </c>
      <c r="F25" s="99" t="str">
        <f ca="1">IFERROR([1]!IntrinioHistoricalPrices(ticker,"low",$B25,$D$4,$D$5,$D$6),"")</f>
        <v/>
      </c>
      <c r="G25" s="99" t="str">
        <f ca="1">IFERROR([1]!IntrinioHistoricalPrices(ticker,"close",$B25,$D$4,$D$5,$D$6),"")</f>
        <v/>
      </c>
      <c r="H25" s="100" t="str">
        <f ca="1">IFERROR([1]!IntrinioHistoricalPrices(ticker,"volume",$B25,$D$4,$D$5,$D$6),"")</f>
        <v/>
      </c>
      <c r="I25" s="101" t="str">
        <f ca="1">IFERROR([1]!IntrinioHistoricalPrices(ticker,"split_ratio",$B25,$D$4,$D$5,$D$6),"")</f>
        <v/>
      </c>
      <c r="J25" s="99" t="str">
        <f ca="1">IFERROR([1]!IntrinioHistoricalPrices(ticker,"ex_dividend",$B25,$D$4,$D$5,$D$6),"")</f>
        <v/>
      </c>
      <c r="K25" s="99" t="str">
        <f ca="1">IFERROR([1]!IntrinioHistoricalPrices(ticker,"adj_open",$B25,$D$4,$D$5,$D$6),"")</f>
        <v/>
      </c>
      <c r="L25" s="99" t="str">
        <f ca="1">IFERROR([1]!IntrinioHistoricalPrices(ticker,"adj_high",$B25,$D$4,$D$5,$D$6),"")</f>
        <v/>
      </c>
      <c r="M25" s="99" t="str">
        <f ca="1">IFERROR([1]!IntrinioHistoricalPrices(ticker,"adj_low",$B25,$D$4,$D$5,$D$6),"")</f>
        <v/>
      </c>
      <c r="N25" s="99" t="str">
        <f ca="1">IFERROR([1]!IntrinioHistoricalPrices(ticker,"adj_close",$B25,$D$4,$D$5,$D$6),"")</f>
        <v/>
      </c>
      <c r="O25" s="100" t="str">
        <f ca="1">IFERROR([1]!IntrinioHistoricalPrices(ticker,"adj_volume",$B25,$D$4,$D$5,$D$6),"")</f>
        <v/>
      </c>
    </row>
    <row r="26" spans="2:15" x14ac:dyDescent="0.45">
      <c r="B26" s="49">
        <f t="shared" si="0"/>
        <v>17</v>
      </c>
      <c r="C26" s="165" t="str">
        <f ca="1">IFERROR([1]!IntrinioHistoricalPrices(ticker,"date",$B26,$D$4,$D$5,$D$6),"")</f>
        <v/>
      </c>
      <c r="D26" s="99" t="str">
        <f ca="1">IFERROR([1]!IntrinioHistoricalPrices(ticker,"open",$B26,$D$4,$D$5,$D$6),"")</f>
        <v/>
      </c>
      <c r="E26" s="99" t="str">
        <f ca="1">IFERROR([1]!IntrinioHistoricalPrices(ticker,"high",$B26,$D$4,$D$5,$D$6),"")</f>
        <v/>
      </c>
      <c r="F26" s="99" t="str">
        <f ca="1">IFERROR([1]!IntrinioHistoricalPrices(ticker,"low",$B26,$D$4,$D$5,$D$6),"")</f>
        <v/>
      </c>
      <c r="G26" s="99" t="str">
        <f ca="1">IFERROR([1]!IntrinioHistoricalPrices(ticker,"close",$B26,$D$4,$D$5,$D$6),"")</f>
        <v/>
      </c>
      <c r="H26" s="100" t="str">
        <f ca="1">IFERROR([1]!IntrinioHistoricalPrices(ticker,"volume",$B26,$D$4,$D$5,$D$6),"")</f>
        <v/>
      </c>
      <c r="I26" s="101" t="str">
        <f ca="1">IFERROR([1]!IntrinioHistoricalPrices(ticker,"split_ratio",$B26,$D$4,$D$5,$D$6),"")</f>
        <v/>
      </c>
      <c r="J26" s="99" t="str">
        <f ca="1">IFERROR([1]!IntrinioHistoricalPrices(ticker,"ex_dividend",$B26,$D$4,$D$5,$D$6),"")</f>
        <v/>
      </c>
      <c r="K26" s="99" t="str">
        <f ca="1">IFERROR([1]!IntrinioHistoricalPrices(ticker,"adj_open",$B26,$D$4,$D$5,$D$6),"")</f>
        <v/>
      </c>
      <c r="L26" s="99" t="str">
        <f ca="1">IFERROR([1]!IntrinioHistoricalPrices(ticker,"adj_high",$B26,$D$4,$D$5,$D$6),"")</f>
        <v/>
      </c>
      <c r="M26" s="99" t="str">
        <f ca="1">IFERROR([1]!IntrinioHistoricalPrices(ticker,"adj_low",$B26,$D$4,$D$5,$D$6),"")</f>
        <v/>
      </c>
      <c r="N26" s="99" t="str">
        <f ca="1">IFERROR([1]!IntrinioHistoricalPrices(ticker,"adj_close",$B26,$D$4,$D$5,$D$6),"")</f>
        <v/>
      </c>
      <c r="O26" s="100" t="str">
        <f ca="1">IFERROR([1]!IntrinioHistoricalPrices(ticker,"adj_volume",$B26,$D$4,$D$5,$D$6),"")</f>
        <v/>
      </c>
    </row>
    <row r="27" spans="2:15" x14ac:dyDescent="0.45">
      <c r="B27" s="49">
        <f t="shared" si="0"/>
        <v>18</v>
      </c>
      <c r="C27" s="165" t="str">
        <f ca="1">IFERROR([1]!IntrinioHistoricalPrices(ticker,"date",$B27,$D$4,$D$5,$D$6),"")</f>
        <v/>
      </c>
      <c r="D27" s="99" t="str">
        <f ca="1">IFERROR([1]!IntrinioHistoricalPrices(ticker,"open",$B27,$D$4,$D$5,$D$6),"")</f>
        <v/>
      </c>
      <c r="E27" s="99" t="str">
        <f ca="1">IFERROR([1]!IntrinioHistoricalPrices(ticker,"high",$B27,$D$4,$D$5,$D$6),"")</f>
        <v/>
      </c>
      <c r="F27" s="99" t="str">
        <f ca="1">IFERROR([1]!IntrinioHistoricalPrices(ticker,"low",$B27,$D$4,$D$5,$D$6),"")</f>
        <v/>
      </c>
      <c r="G27" s="99" t="str">
        <f ca="1">IFERROR([1]!IntrinioHistoricalPrices(ticker,"close",$B27,$D$4,$D$5,$D$6),"")</f>
        <v/>
      </c>
      <c r="H27" s="100" t="str">
        <f ca="1">IFERROR([1]!IntrinioHistoricalPrices(ticker,"volume",$B27,$D$4,$D$5,$D$6),"")</f>
        <v/>
      </c>
      <c r="I27" s="101" t="str">
        <f ca="1">IFERROR([1]!IntrinioHistoricalPrices(ticker,"split_ratio",$B27,$D$4,$D$5,$D$6),"")</f>
        <v/>
      </c>
      <c r="J27" s="99" t="str">
        <f ca="1">IFERROR([1]!IntrinioHistoricalPrices(ticker,"ex_dividend",$B27,$D$4,$D$5,$D$6),"")</f>
        <v/>
      </c>
      <c r="K27" s="99" t="str">
        <f ca="1">IFERROR([1]!IntrinioHistoricalPrices(ticker,"adj_open",$B27,$D$4,$D$5,$D$6),"")</f>
        <v/>
      </c>
      <c r="L27" s="99" t="str">
        <f ca="1">IFERROR([1]!IntrinioHistoricalPrices(ticker,"adj_high",$B27,$D$4,$D$5,$D$6),"")</f>
        <v/>
      </c>
      <c r="M27" s="99" t="str">
        <f ca="1">IFERROR([1]!IntrinioHistoricalPrices(ticker,"adj_low",$B27,$D$4,$D$5,$D$6),"")</f>
        <v/>
      </c>
      <c r="N27" s="99" t="str">
        <f ca="1">IFERROR([1]!IntrinioHistoricalPrices(ticker,"adj_close",$B27,$D$4,$D$5,$D$6),"")</f>
        <v/>
      </c>
      <c r="O27" s="100" t="str">
        <f ca="1">IFERROR([1]!IntrinioHistoricalPrices(ticker,"adj_volume",$B27,$D$4,$D$5,$D$6),"")</f>
        <v/>
      </c>
    </row>
    <row r="28" spans="2:15" x14ac:dyDescent="0.45">
      <c r="B28" s="49">
        <f t="shared" si="0"/>
        <v>19</v>
      </c>
      <c r="C28" s="165" t="str">
        <f ca="1">IFERROR([1]!IntrinioHistoricalPrices(ticker,"date",$B28,$D$4,$D$5,$D$6),"")</f>
        <v/>
      </c>
      <c r="D28" s="99" t="str">
        <f ca="1">IFERROR([1]!IntrinioHistoricalPrices(ticker,"open",$B28,$D$4,$D$5,$D$6),"")</f>
        <v/>
      </c>
      <c r="E28" s="99" t="str">
        <f ca="1">IFERROR([1]!IntrinioHistoricalPrices(ticker,"high",$B28,$D$4,$D$5,$D$6),"")</f>
        <v/>
      </c>
      <c r="F28" s="99" t="str">
        <f ca="1">IFERROR([1]!IntrinioHistoricalPrices(ticker,"low",$B28,$D$4,$D$5,$D$6),"")</f>
        <v/>
      </c>
      <c r="G28" s="99" t="str">
        <f ca="1">IFERROR([1]!IntrinioHistoricalPrices(ticker,"close",$B28,$D$4,$D$5,$D$6),"")</f>
        <v/>
      </c>
      <c r="H28" s="100" t="str">
        <f ca="1">IFERROR([1]!IntrinioHistoricalPrices(ticker,"volume",$B28,$D$4,$D$5,$D$6),"")</f>
        <v/>
      </c>
      <c r="I28" s="101" t="str">
        <f ca="1">IFERROR([1]!IntrinioHistoricalPrices(ticker,"split_ratio",$B28,$D$4,$D$5,$D$6),"")</f>
        <v/>
      </c>
      <c r="J28" s="99" t="str">
        <f ca="1">IFERROR([1]!IntrinioHistoricalPrices(ticker,"ex_dividend",$B28,$D$4,$D$5,$D$6),"")</f>
        <v/>
      </c>
      <c r="K28" s="99" t="str">
        <f ca="1">IFERROR([1]!IntrinioHistoricalPrices(ticker,"adj_open",$B28,$D$4,$D$5,$D$6),"")</f>
        <v/>
      </c>
      <c r="L28" s="99" t="str">
        <f ca="1">IFERROR([1]!IntrinioHistoricalPrices(ticker,"adj_high",$B28,$D$4,$D$5,$D$6),"")</f>
        <v/>
      </c>
      <c r="M28" s="99" t="str">
        <f ca="1">IFERROR([1]!IntrinioHistoricalPrices(ticker,"adj_low",$B28,$D$4,$D$5,$D$6),"")</f>
        <v/>
      </c>
      <c r="N28" s="99" t="str">
        <f ca="1">IFERROR([1]!IntrinioHistoricalPrices(ticker,"adj_close",$B28,$D$4,$D$5,$D$6),"")</f>
        <v/>
      </c>
      <c r="O28" s="100" t="str">
        <f ca="1">IFERROR([1]!IntrinioHistoricalPrices(ticker,"adj_volume",$B28,$D$4,$D$5,$D$6),"")</f>
        <v/>
      </c>
    </row>
    <row r="29" spans="2:15" x14ac:dyDescent="0.45">
      <c r="B29" s="49">
        <f t="shared" si="0"/>
        <v>20</v>
      </c>
      <c r="C29" s="165" t="str">
        <f ca="1">IFERROR([1]!IntrinioHistoricalPrices(ticker,"date",$B29,$D$4,$D$5,$D$6),"")</f>
        <v/>
      </c>
      <c r="D29" s="99" t="str">
        <f ca="1">IFERROR([1]!IntrinioHistoricalPrices(ticker,"open",$B29,$D$4,$D$5,$D$6),"")</f>
        <v/>
      </c>
      <c r="E29" s="99" t="str">
        <f ca="1">IFERROR([1]!IntrinioHistoricalPrices(ticker,"high",$B29,$D$4,$D$5,$D$6),"")</f>
        <v/>
      </c>
      <c r="F29" s="99" t="str">
        <f ca="1">IFERROR([1]!IntrinioHistoricalPrices(ticker,"low",$B29,$D$4,$D$5,$D$6),"")</f>
        <v/>
      </c>
      <c r="G29" s="99" t="str">
        <f ca="1">IFERROR([1]!IntrinioHistoricalPrices(ticker,"close",$B29,$D$4,$D$5,$D$6),"")</f>
        <v/>
      </c>
      <c r="H29" s="100" t="str">
        <f ca="1">IFERROR([1]!IntrinioHistoricalPrices(ticker,"volume",$B29,$D$4,$D$5,$D$6),"")</f>
        <v/>
      </c>
      <c r="I29" s="101" t="str">
        <f ca="1">IFERROR([1]!IntrinioHistoricalPrices(ticker,"split_ratio",$B29,$D$4,$D$5,$D$6),"")</f>
        <v/>
      </c>
      <c r="J29" s="99" t="str">
        <f ca="1">IFERROR([1]!IntrinioHistoricalPrices(ticker,"ex_dividend",$B29,$D$4,$D$5,$D$6),"")</f>
        <v/>
      </c>
      <c r="K29" s="99" t="str">
        <f ca="1">IFERROR([1]!IntrinioHistoricalPrices(ticker,"adj_open",$B29,$D$4,$D$5,$D$6),"")</f>
        <v/>
      </c>
      <c r="L29" s="99" t="str">
        <f ca="1">IFERROR([1]!IntrinioHistoricalPrices(ticker,"adj_high",$B29,$D$4,$D$5,$D$6),"")</f>
        <v/>
      </c>
      <c r="M29" s="99" t="str">
        <f ca="1">IFERROR([1]!IntrinioHistoricalPrices(ticker,"adj_low",$B29,$D$4,$D$5,$D$6),"")</f>
        <v/>
      </c>
      <c r="N29" s="99" t="str">
        <f ca="1">IFERROR([1]!IntrinioHistoricalPrices(ticker,"adj_close",$B29,$D$4,$D$5,$D$6),"")</f>
        <v/>
      </c>
      <c r="O29" s="100" t="str">
        <f ca="1">IFERROR([1]!IntrinioHistoricalPrices(ticker,"adj_volume",$B29,$D$4,$D$5,$D$6),"")</f>
        <v/>
      </c>
    </row>
    <row r="30" spans="2:15" x14ac:dyDescent="0.45">
      <c r="B30" s="49">
        <f t="shared" si="0"/>
        <v>21</v>
      </c>
      <c r="C30" s="165" t="str">
        <f ca="1">IFERROR([1]!IntrinioHistoricalPrices(ticker,"date",$B30,$D$4,$D$5,$D$6),"")</f>
        <v/>
      </c>
      <c r="D30" s="99" t="str">
        <f ca="1">IFERROR([1]!IntrinioHistoricalPrices(ticker,"open",$B30,$D$4,$D$5,$D$6),"")</f>
        <v/>
      </c>
      <c r="E30" s="99" t="str">
        <f ca="1">IFERROR([1]!IntrinioHistoricalPrices(ticker,"high",$B30,$D$4,$D$5,$D$6),"")</f>
        <v/>
      </c>
      <c r="F30" s="99" t="str">
        <f ca="1">IFERROR([1]!IntrinioHistoricalPrices(ticker,"low",$B30,$D$4,$D$5,$D$6),"")</f>
        <v/>
      </c>
      <c r="G30" s="99" t="str">
        <f ca="1">IFERROR([1]!IntrinioHistoricalPrices(ticker,"close",$B30,$D$4,$D$5,$D$6),"")</f>
        <v/>
      </c>
      <c r="H30" s="100" t="str">
        <f ca="1">IFERROR([1]!IntrinioHistoricalPrices(ticker,"volume",$B30,$D$4,$D$5,$D$6),"")</f>
        <v/>
      </c>
      <c r="I30" s="101" t="str">
        <f ca="1">IFERROR([1]!IntrinioHistoricalPrices(ticker,"split_ratio",$B30,$D$4,$D$5,$D$6),"")</f>
        <v/>
      </c>
      <c r="J30" s="99" t="str">
        <f ca="1">IFERROR([1]!IntrinioHistoricalPrices(ticker,"ex_dividend",$B30,$D$4,$D$5,$D$6),"")</f>
        <v/>
      </c>
      <c r="K30" s="99" t="str">
        <f ca="1">IFERROR([1]!IntrinioHistoricalPrices(ticker,"adj_open",$B30,$D$4,$D$5,$D$6),"")</f>
        <v/>
      </c>
      <c r="L30" s="99" t="str">
        <f ca="1">IFERROR([1]!IntrinioHistoricalPrices(ticker,"adj_high",$B30,$D$4,$D$5,$D$6),"")</f>
        <v/>
      </c>
      <c r="M30" s="99" t="str">
        <f ca="1">IFERROR([1]!IntrinioHistoricalPrices(ticker,"adj_low",$B30,$D$4,$D$5,$D$6),"")</f>
        <v/>
      </c>
      <c r="N30" s="99" t="str">
        <f ca="1">IFERROR([1]!IntrinioHistoricalPrices(ticker,"adj_close",$B30,$D$4,$D$5,$D$6),"")</f>
        <v/>
      </c>
      <c r="O30" s="100" t="str">
        <f ca="1">IFERROR([1]!IntrinioHistoricalPrices(ticker,"adj_volume",$B30,$D$4,$D$5,$D$6),"")</f>
        <v/>
      </c>
    </row>
    <row r="31" spans="2:15" x14ac:dyDescent="0.45">
      <c r="B31" s="49">
        <f t="shared" si="0"/>
        <v>22</v>
      </c>
      <c r="C31" s="165" t="str">
        <f ca="1">IFERROR([1]!IntrinioHistoricalPrices(ticker,"date",$B31,$D$4,$D$5,$D$6),"")</f>
        <v/>
      </c>
      <c r="D31" s="99" t="str">
        <f ca="1">IFERROR([1]!IntrinioHistoricalPrices(ticker,"open",$B31,$D$4,$D$5,$D$6),"")</f>
        <v/>
      </c>
      <c r="E31" s="99" t="str">
        <f ca="1">IFERROR([1]!IntrinioHistoricalPrices(ticker,"high",$B31,$D$4,$D$5,$D$6),"")</f>
        <v/>
      </c>
      <c r="F31" s="99" t="str">
        <f ca="1">IFERROR([1]!IntrinioHistoricalPrices(ticker,"low",$B31,$D$4,$D$5,$D$6),"")</f>
        <v/>
      </c>
      <c r="G31" s="99" t="str">
        <f ca="1">IFERROR([1]!IntrinioHistoricalPrices(ticker,"close",$B31,$D$4,$D$5,$D$6),"")</f>
        <v/>
      </c>
      <c r="H31" s="100" t="str">
        <f ca="1">IFERROR([1]!IntrinioHistoricalPrices(ticker,"volume",$B31,$D$4,$D$5,$D$6),"")</f>
        <v/>
      </c>
      <c r="I31" s="101" t="str">
        <f ca="1">IFERROR([1]!IntrinioHistoricalPrices(ticker,"split_ratio",$B31,$D$4,$D$5,$D$6),"")</f>
        <v/>
      </c>
      <c r="J31" s="99" t="str">
        <f ca="1">IFERROR([1]!IntrinioHistoricalPrices(ticker,"ex_dividend",$B31,$D$4,$D$5,$D$6),"")</f>
        <v/>
      </c>
      <c r="K31" s="99" t="str">
        <f ca="1">IFERROR([1]!IntrinioHistoricalPrices(ticker,"adj_open",$B31,$D$4,$D$5,$D$6),"")</f>
        <v/>
      </c>
      <c r="L31" s="99" t="str">
        <f ca="1">IFERROR([1]!IntrinioHistoricalPrices(ticker,"adj_high",$B31,$D$4,$D$5,$D$6),"")</f>
        <v/>
      </c>
      <c r="M31" s="99" t="str">
        <f ca="1">IFERROR([1]!IntrinioHistoricalPrices(ticker,"adj_low",$B31,$D$4,$D$5,$D$6),"")</f>
        <v/>
      </c>
      <c r="N31" s="99" t="str">
        <f ca="1">IFERROR([1]!IntrinioHistoricalPrices(ticker,"adj_close",$B31,$D$4,$D$5,$D$6),"")</f>
        <v/>
      </c>
      <c r="O31" s="100" t="str">
        <f ca="1">IFERROR([1]!IntrinioHistoricalPrices(ticker,"adj_volume",$B31,$D$4,$D$5,$D$6),"")</f>
        <v/>
      </c>
    </row>
    <row r="32" spans="2:15" x14ac:dyDescent="0.45">
      <c r="B32" s="49">
        <f t="shared" si="0"/>
        <v>23</v>
      </c>
      <c r="C32" s="165" t="str">
        <f ca="1">IFERROR([1]!IntrinioHistoricalPrices(ticker,"date",$B32,$D$4,$D$5,$D$6),"")</f>
        <v/>
      </c>
      <c r="D32" s="99" t="str">
        <f ca="1">IFERROR([1]!IntrinioHistoricalPrices(ticker,"open",$B32,$D$4,$D$5,$D$6),"")</f>
        <v/>
      </c>
      <c r="E32" s="99" t="str">
        <f ca="1">IFERROR([1]!IntrinioHistoricalPrices(ticker,"high",$B32,$D$4,$D$5,$D$6),"")</f>
        <v/>
      </c>
      <c r="F32" s="99" t="str">
        <f ca="1">IFERROR([1]!IntrinioHistoricalPrices(ticker,"low",$B32,$D$4,$D$5,$D$6),"")</f>
        <v/>
      </c>
      <c r="G32" s="99" t="str">
        <f ca="1">IFERROR([1]!IntrinioHistoricalPrices(ticker,"close",$B32,$D$4,$D$5,$D$6),"")</f>
        <v/>
      </c>
      <c r="H32" s="100" t="str">
        <f ca="1">IFERROR([1]!IntrinioHistoricalPrices(ticker,"volume",$B32,$D$4,$D$5,$D$6),"")</f>
        <v/>
      </c>
      <c r="I32" s="101" t="str">
        <f ca="1">IFERROR([1]!IntrinioHistoricalPrices(ticker,"split_ratio",$B32,$D$4,$D$5,$D$6),"")</f>
        <v/>
      </c>
      <c r="J32" s="99" t="str">
        <f ca="1">IFERROR([1]!IntrinioHistoricalPrices(ticker,"ex_dividend",$B32,$D$4,$D$5,$D$6),"")</f>
        <v/>
      </c>
      <c r="K32" s="99" t="str">
        <f ca="1">IFERROR([1]!IntrinioHistoricalPrices(ticker,"adj_open",$B32,$D$4,$D$5,$D$6),"")</f>
        <v/>
      </c>
      <c r="L32" s="99" t="str">
        <f ca="1">IFERROR([1]!IntrinioHistoricalPrices(ticker,"adj_high",$B32,$D$4,$D$5,$D$6),"")</f>
        <v/>
      </c>
      <c r="M32" s="99" t="str">
        <f ca="1">IFERROR([1]!IntrinioHistoricalPrices(ticker,"adj_low",$B32,$D$4,$D$5,$D$6),"")</f>
        <v/>
      </c>
      <c r="N32" s="99" t="str">
        <f ca="1">IFERROR([1]!IntrinioHistoricalPrices(ticker,"adj_close",$B32,$D$4,$D$5,$D$6),"")</f>
        <v/>
      </c>
      <c r="O32" s="100" t="str">
        <f ca="1">IFERROR([1]!IntrinioHistoricalPrices(ticker,"adj_volume",$B32,$D$4,$D$5,$D$6),"")</f>
        <v/>
      </c>
    </row>
    <row r="33" spans="2:15" x14ac:dyDescent="0.45">
      <c r="B33" s="49">
        <f t="shared" si="0"/>
        <v>24</v>
      </c>
      <c r="C33" s="165" t="str">
        <f ca="1">IFERROR([1]!IntrinioHistoricalPrices(ticker,"date",$B33,$D$4,$D$5,$D$6),"")</f>
        <v/>
      </c>
      <c r="D33" s="99" t="str">
        <f ca="1">IFERROR([1]!IntrinioHistoricalPrices(ticker,"open",$B33,$D$4,$D$5,$D$6),"")</f>
        <v/>
      </c>
      <c r="E33" s="99" t="str">
        <f ca="1">IFERROR([1]!IntrinioHistoricalPrices(ticker,"high",$B33,$D$4,$D$5,$D$6),"")</f>
        <v/>
      </c>
      <c r="F33" s="99" t="str">
        <f ca="1">IFERROR([1]!IntrinioHistoricalPrices(ticker,"low",$B33,$D$4,$D$5,$D$6),"")</f>
        <v/>
      </c>
      <c r="G33" s="99" t="str">
        <f ca="1">IFERROR([1]!IntrinioHistoricalPrices(ticker,"close",$B33,$D$4,$D$5,$D$6),"")</f>
        <v/>
      </c>
      <c r="H33" s="100" t="str">
        <f ca="1">IFERROR([1]!IntrinioHistoricalPrices(ticker,"volume",$B33,$D$4,$D$5,$D$6),"")</f>
        <v/>
      </c>
      <c r="I33" s="101" t="str">
        <f ca="1">IFERROR([1]!IntrinioHistoricalPrices(ticker,"split_ratio",$B33,$D$4,$D$5,$D$6),"")</f>
        <v/>
      </c>
      <c r="J33" s="99" t="str">
        <f ca="1">IFERROR([1]!IntrinioHistoricalPrices(ticker,"ex_dividend",$B33,$D$4,$D$5,$D$6),"")</f>
        <v/>
      </c>
      <c r="K33" s="99" t="str">
        <f ca="1">IFERROR([1]!IntrinioHistoricalPrices(ticker,"adj_open",$B33,$D$4,$D$5,$D$6),"")</f>
        <v/>
      </c>
      <c r="L33" s="99" t="str">
        <f ca="1">IFERROR([1]!IntrinioHistoricalPrices(ticker,"adj_high",$B33,$D$4,$D$5,$D$6),"")</f>
        <v/>
      </c>
      <c r="M33" s="99" t="str">
        <f ca="1">IFERROR([1]!IntrinioHistoricalPrices(ticker,"adj_low",$B33,$D$4,$D$5,$D$6),"")</f>
        <v/>
      </c>
      <c r="N33" s="99" t="str">
        <f ca="1">IFERROR([1]!IntrinioHistoricalPrices(ticker,"adj_close",$B33,$D$4,$D$5,$D$6),"")</f>
        <v/>
      </c>
      <c r="O33" s="100" t="str">
        <f ca="1">IFERROR([1]!IntrinioHistoricalPrices(ticker,"adj_volume",$B33,$D$4,$D$5,$D$6),"")</f>
        <v/>
      </c>
    </row>
    <row r="34" spans="2:15" x14ac:dyDescent="0.45">
      <c r="B34" s="49">
        <f t="shared" si="0"/>
        <v>25</v>
      </c>
      <c r="C34" s="165" t="str">
        <f ca="1">IFERROR([1]!IntrinioHistoricalPrices(ticker,"date",$B34,$D$4,$D$5,$D$6),"")</f>
        <v/>
      </c>
      <c r="D34" s="99" t="str">
        <f ca="1">IFERROR([1]!IntrinioHistoricalPrices(ticker,"open",$B34,$D$4,$D$5,$D$6),"")</f>
        <v/>
      </c>
      <c r="E34" s="99" t="str">
        <f ca="1">IFERROR([1]!IntrinioHistoricalPrices(ticker,"high",$B34,$D$4,$D$5,$D$6),"")</f>
        <v/>
      </c>
      <c r="F34" s="99" t="str">
        <f ca="1">IFERROR([1]!IntrinioHistoricalPrices(ticker,"low",$B34,$D$4,$D$5,$D$6),"")</f>
        <v/>
      </c>
      <c r="G34" s="99" t="str">
        <f ca="1">IFERROR([1]!IntrinioHistoricalPrices(ticker,"close",$B34,$D$4,$D$5,$D$6),"")</f>
        <v/>
      </c>
      <c r="H34" s="100" t="str">
        <f ca="1">IFERROR([1]!IntrinioHistoricalPrices(ticker,"volume",$B34,$D$4,$D$5,$D$6),"")</f>
        <v/>
      </c>
      <c r="I34" s="101" t="str">
        <f ca="1">IFERROR([1]!IntrinioHistoricalPrices(ticker,"split_ratio",$B34,$D$4,$D$5,$D$6),"")</f>
        <v/>
      </c>
      <c r="J34" s="99" t="str">
        <f ca="1">IFERROR([1]!IntrinioHistoricalPrices(ticker,"ex_dividend",$B34,$D$4,$D$5,$D$6),"")</f>
        <v/>
      </c>
      <c r="K34" s="99" t="str">
        <f ca="1">IFERROR([1]!IntrinioHistoricalPrices(ticker,"adj_open",$B34,$D$4,$D$5,$D$6),"")</f>
        <v/>
      </c>
      <c r="L34" s="99" t="str">
        <f ca="1">IFERROR([1]!IntrinioHistoricalPrices(ticker,"adj_high",$B34,$D$4,$D$5,$D$6),"")</f>
        <v/>
      </c>
      <c r="M34" s="99" t="str">
        <f ca="1">IFERROR([1]!IntrinioHistoricalPrices(ticker,"adj_low",$B34,$D$4,$D$5,$D$6),"")</f>
        <v/>
      </c>
      <c r="N34" s="99" t="str">
        <f ca="1">IFERROR([1]!IntrinioHistoricalPrices(ticker,"adj_close",$B34,$D$4,$D$5,$D$6),"")</f>
        <v/>
      </c>
      <c r="O34" s="100" t="str">
        <f ca="1">IFERROR([1]!IntrinioHistoricalPrices(ticker,"adj_volume",$B34,$D$4,$D$5,$D$6),"")</f>
        <v/>
      </c>
    </row>
    <row r="35" spans="2:15" x14ac:dyDescent="0.45">
      <c r="B35" s="49">
        <f t="shared" si="0"/>
        <v>26</v>
      </c>
      <c r="C35" s="165" t="str">
        <f ca="1">IFERROR([1]!IntrinioHistoricalPrices(ticker,"date",$B35,$D$4,$D$5,$D$6),"")</f>
        <v/>
      </c>
      <c r="D35" s="99" t="str">
        <f ca="1">IFERROR([1]!IntrinioHistoricalPrices(ticker,"open",$B35,$D$4,$D$5,$D$6),"")</f>
        <v/>
      </c>
      <c r="E35" s="99" t="str">
        <f ca="1">IFERROR([1]!IntrinioHistoricalPrices(ticker,"high",$B35,$D$4,$D$5,$D$6),"")</f>
        <v/>
      </c>
      <c r="F35" s="99" t="str">
        <f ca="1">IFERROR([1]!IntrinioHistoricalPrices(ticker,"low",$B35,$D$4,$D$5,$D$6),"")</f>
        <v/>
      </c>
      <c r="G35" s="99" t="str">
        <f ca="1">IFERROR([1]!IntrinioHistoricalPrices(ticker,"close",$B35,$D$4,$D$5,$D$6),"")</f>
        <v/>
      </c>
      <c r="H35" s="100" t="str">
        <f ca="1">IFERROR([1]!IntrinioHistoricalPrices(ticker,"volume",$B35,$D$4,$D$5,$D$6),"")</f>
        <v/>
      </c>
      <c r="I35" s="101" t="str">
        <f ca="1">IFERROR([1]!IntrinioHistoricalPrices(ticker,"split_ratio",$B35,$D$4,$D$5,$D$6),"")</f>
        <v/>
      </c>
      <c r="J35" s="99" t="str">
        <f ca="1">IFERROR([1]!IntrinioHistoricalPrices(ticker,"ex_dividend",$B35,$D$4,$D$5,$D$6),"")</f>
        <v/>
      </c>
      <c r="K35" s="99" t="str">
        <f ca="1">IFERROR([1]!IntrinioHistoricalPrices(ticker,"adj_open",$B35,$D$4,$D$5,$D$6),"")</f>
        <v/>
      </c>
      <c r="L35" s="99" t="str">
        <f ca="1">IFERROR([1]!IntrinioHistoricalPrices(ticker,"adj_high",$B35,$D$4,$D$5,$D$6),"")</f>
        <v/>
      </c>
      <c r="M35" s="99" t="str">
        <f ca="1">IFERROR([1]!IntrinioHistoricalPrices(ticker,"adj_low",$B35,$D$4,$D$5,$D$6),"")</f>
        <v/>
      </c>
      <c r="N35" s="99" t="str">
        <f ca="1">IFERROR([1]!IntrinioHistoricalPrices(ticker,"adj_close",$B35,$D$4,$D$5,$D$6),"")</f>
        <v/>
      </c>
      <c r="O35" s="100" t="str">
        <f ca="1">IFERROR([1]!IntrinioHistoricalPrices(ticker,"adj_volume",$B35,$D$4,$D$5,$D$6),"")</f>
        <v/>
      </c>
    </row>
    <row r="36" spans="2:15" x14ac:dyDescent="0.45">
      <c r="B36" s="49">
        <f t="shared" si="0"/>
        <v>27</v>
      </c>
      <c r="C36" s="165" t="str">
        <f ca="1">IFERROR([1]!IntrinioHistoricalPrices(ticker,"date",$B36,$D$4,$D$5,$D$6),"")</f>
        <v/>
      </c>
      <c r="D36" s="99" t="str">
        <f ca="1">IFERROR([1]!IntrinioHistoricalPrices(ticker,"open",$B36,$D$4,$D$5,$D$6),"")</f>
        <v/>
      </c>
      <c r="E36" s="99" t="str">
        <f ca="1">IFERROR([1]!IntrinioHistoricalPrices(ticker,"high",$B36,$D$4,$D$5,$D$6),"")</f>
        <v/>
      </c>
      <c r="F36" s="99" t="str">
        <f ca="1">IFERROR([1]!IntrinioHistoricalPrices(ticker,"low",$B36,$D$4,$D$5,$D$6),"")</f>
        <v/>
      </c>
      <c r="G36" s="99" t="str">
        <f ca="1">IFERROR([1]!IntrinioHistoricalPrices(ticker,"close",$B36,$D$4,$D$5,$D$6),"")</f>
        <v/>
      </c>
      <c r="H36" s="100" t="str">
        <f ca="1">IFERROR([1]!IntrinioHistoricalPrices(ticker,"volume",$B36,$D$4,$D$5,$D$6),"")</f>
        <v/>
      </c>
      <c r="I36" s="101" t="str">
        <f ca="1">IFERROR([1]!IntrinioHistoricalPrices(ticker,"split_ratio",$B36,$D$4,$D$5,$D$6),"")</f>
        <v/>
      </c>
      <c r="J36" s="99" t="str">
        <f ca="1">IFERROR([1]!IntrinioHistoricalPrices(ticker,"ex_dividend",$B36,$D$4,$D$5,$D$6),"")</f>
        <v/>
      </c>
      <c r="K36" s="99" t="str">
        <f ca="1">IFERROR([1]!IntrinioHistoricalPrices(ticker,"adj_open",$B36,$D$4,$D$5,$D$6),"")</f>
        <v/>
      </c>
      <c r="L36" s="99" t="str">
        <f ca="1">IFERROR([1]!IntrinioHistoricalPrices(ticker,"adj_high",$B36,$D$4,$D$5,$D$6),"")</f>
        <v/>
      </c>
      <c r="M36" s="99" t="str">
        <f ca="1">IFERROR([1]!IntrinioHistoricalPrices(ticker,"adj_low",$B36,$D$4,$D$5,$D$6),"")</f>
        <v/>
      </c>
      <c r="N36" s="99" t="str">
        <f ca="1">IFERROR([1]!IntrinioHistoricalPrices(ticker,"adj_close",$B36,$D$4,$D$5,$D$6),"")</f>
        <v/>
      </c>
      <c r="O36" s="100" t="str">
        <f ca="1">IFERROR([1]!IntrinioHistoricalPrices(ticker,"adj_volume",$B36,$D$4,$D$5,$D$6),"")</f>
        <v/>
      </c>
    </row>
    <row r="37" spans="2:15" x14ac:dyDescent="0.45">
      <c r="B37" s="49">
        <f t="shared" si="0"/>
        <v>28</v>
      </c>
      <c r="C37" s="165" t="str">
        <f ca="1">IFERROR([1]!IntrinioHistoricalPrices(ticker,"date",$B37,$D$4,$D$5,$D$6),"")</f>
        <v/>
      </c>
      <c r="D37" s="99" t="str">
        <f ca="1">IFERROR([1]!IntrinioHistoricalPrices(ticker,"open",$B37,$D$4,$D$5,$D$6),"")</f>
        <v/>
      </c>
      <c r="E37" s="99" t="str">
        <f ca="1">IFERROR([1]!IntrinioHistoricalPrices(ticker,"high",$B37,$D$4,$D$5,$D$6),"")</f>
        <v/>
      </c>
      <c r="F37" s="99" t="str">
        <f ca="1">IFERROR([1]!IntrinioHistoricalPrices(ticker,"low",$B37,$D$4,$D$5,$D$6),"")</f>
        <v/>
      </c>
      <c r="G37" s="99" t="str">
        <f ca="1">IFERROR([1]!IntrinioHistoricalPrices(ticker,"close",$B37,$D$4,$D$5,$D$6),"")</f>
        <v/>
      </c>
      <c r="H37" s="100" t="str">
        <f ca="1">IFERROR([1]!IntrinioHistoricalPrices(ticker,"volume",$B37,$D$4,$D$5,$D$6),"")</f>
        <v/>
      </c>
      <c r="I37" s="101" t="str">
        <f ca="1">IFERROR([1]!IntrinioHistoricalPrices(ticker,"split_ratio",$B37,$D$4,$D$5,$D$6),"")</f>
        <v/>
      </c>
      <c r="J37" s="99" t="str">
        <f ca="1">IFERROR([1]!IntrinioHistoricalPrices(ticker,"ex_dividend",$B37,$D$4,$D$5,$D$6),"")</f>
        <v/>
      </c>
      <c r="K37" s="99" t="str">
        <f ca="1">IFERROR([1]!IntrinioHistoricalPrices(ticker,"adj_open",$B37,$D$4,$D$5,$D$6),"")</f>
        <v/>
      </c>
      <c r="L37" s="99" t="str">
        <f ca="1">IFERROR([1]!IntrinioHistoricalPrices(ticker,"adj_high",$B37,$D$4,$D$5,$D$6),"")</f>
        <v/>
      </c>
      <c r="M37" s="99" t="str">
        <f ca="1">IFERROR([1]!IntrinioHistoricalPrices(ticker,"adj_low",$B37,$D$4,$D$5,$D$6),"")</f>
        <v/>
      </c>
      <c r="N37" s="99" t="str">
        <f ca="1">IFERROR([1]!IntrinioHistoricalPrices(ticker,"adj_close",$B37,$D$4,$D$5,$D$6),"")</f>
        <v/>
      </c>
      <c r="O37" s="100" t="str">
        <f ca="1">IFERROR([1]!IntrinioHistoricalPrices(ticker,"adj_volume",$B37,$D$4,$D$5,$D$6),"")</f>
        <v/>
      </c>
    </row>
    <row r="38" spans="2:15" x14ac:dyDescent="0.45">
      <c r="B38" s="49">
        <f t="shared" si="0"/>
        <v>29</v>
      </c>
      <c r="C38" s="165" t="str">
        <f ca="1">IFERROR([1]!IntrinioHistoricalPrices(ticker,"date",$B38,$D$4,$D$5,$D$6),"")</f>
        <v/>
      </c>
      <c r="D38" s="99" t="str">
        <f ca="1">IFERROR([1]!IntrinioHistoricalPrices(ticker,"open",$B38,$D$4,$D$5,$D$6),"")</f>
        <v/>
      </c>
      <c r="E38" s="99" t="str">
        <f ca="1">IFERROR([1]!IntrinioHistoricalPrices(ticker,"high",$B38,$D$4,$D$5,$D$6),"")</f>
        <v/>
      </c>
      <c r="F38" s="99" t="str">
        <f ca="1">IFERROR([1]!IntrinioHistoricalPrices(ticker,"low",$B38,$D$4,$D$5,$D$6),"")</f>
        <v/>
      </c>
      <c r="G38" s="99" t="str">
        <f ca="1">IFERROR([1]!IntrinioHistoricalPrices(ticker,"close",$B38,$D$4,$D$5,$D$6),"")</f>
        <v/>
      </c>
      <c r="H38" s="100" t="str">
        <f ca="1">IFERROR([1]!IntrinioHistoricalPrices(ticker,"volume",$B38,$D$4,$D$5,$D$6),"")</f>
        <v/>
      </c>
      <c r="I38" s="101" t="str">
        <f ca="1">IFERROR([1]!IntrinioHistoricalPrices(ticker,"split_ratio",$B38,$D$4,$D$5,$D$6),"")</f>
        <v/>
      </c>
      <c r="J38" s="99" t="str">
        <f ca="1">IFERROR([1]!IntrinioHistoricalPrices(ticker,"ex_dividend",$B38,$D$4,$D$5,$D$6),"")</f>
        <v/>
      </c>
      <c r="K38" s="99" t="str">
        <f ca="1">IFERROR([1]!IntrinioHistoricalPrices(ticker,"adj_open",$B38,$D$4,$D$5,$D$6),"")</f>
        <v/>
      </c>
      <c r="L38" s="99" t="str">
        <f ca="1">IFERROR([1]!IntrinioHistoricalPrices(ticker,"adj_high",$B38,$D$4,$D$5,$D$6),"")</f>
        <v/>
      </c>
      <c r="M38" s="99" t="str">
        <f ca="1">IFERROR([1]!IntrinioHistoricalPrices(ticker,"adj_low",$B38,$D$4,$D$5,$D$6),"")</f>
        <v/>
      </c>
      <c r="N38" s="99" t="str">
        <f ca="1">IFERROR([1]!IntrinioHistoricalPrices(ticker,"adj_close",$B38,$D$4,$D$5,$D$6),"")</f>
        <v/>
      </c>
      <c r="O38" s="100" t="str">
        <f ca="1">IFERROR([1]!IntrinioHistoricalPrices(ticker,"adj_volume",$B38,$D$4,$D$5,$D$6),"")</f>
        <v/>
      </c>
    </row>
    <row r="39" spans="2:15" x14ac:dyDescent="0.45">
      <c r="B39" s="49">
        <f t="shared" si="0"/>
        <v>30</v>
      </c>
      <c r="C39" s="165" t="str">
        <f ca="1">IFERROR([1]!IntrinioHistoricalPrices(ticker,"date",$B39,$D$4,$D$5,$D$6),"")</f>
        <v/>
      </c>
      <c r="D39" s="99" t="str">
        <f ca="1">IFERROR([1]!IntrinioHistoricalPrices(ticker,"open",$B39,$D$4,$D$5,$D$6),"")</f>
        <v/>
      </c>
      <c r="E39" s="99" t="str">
        <f ca="1">IFERROR([1]!IntrinioHistoricalPrices(ticker,"high",$B39,$D$4,$D$5,$D$6),"")</f>
        <v/>
      </c>
      <c r="F39" s="99" t="str">
        <f ca="1">IFERROR([1]!IntrinioHistoricalPrices(ticker,"low",$B39,$D$4,$D$5,$D$6),"")</f>
        <v/>
      </c>
      <c r="G39" s="99" t="str">
        <f ca="1">IFERROR([1]!IntrinioHistoricalPrices(ticker,"close",$B39,$D$4,$D$5,$D$6),"")</f>
        <v/>
      </c>
      <c r="H39" s="100" t="str">
        <f ca="1">IFERROR([1]!IntrinioHistoricalPrices(ticker,"volume",$B39,$D$4,$D$5,$D$6),"")</f>
        <v/>
      </c>
      <c r="I39" s="101" t="str">
        <f ca="1">IFERROR([1]!IntrinioHistoricalPrices(ticker,"split_ratio",$B39,$D$4,$D$5,$D$6),"")</f>
        <v/>
      </c>
      <c r="J39" s="99" t="str">
        <f ca="1">IFERROR([1]!IntrinioHistoricalPrices(ticker,"ex_dividend",$B39,$D$4,$D$5,$D$6),"")</f>
        <v/>
      </c>
      <c r="K39" s="99" t="str">
        <f ca="1">IFERROR([1]!IntrinioHistoricalPrices(ticker,"adj_open",$B39,$D$4,$D$5,$D$6),"")</f>
        <v/>
      </c>
      <c r="L39" s="99" t="str">
        <f ca="1">IFERROR([1]!IntrinioHistoricalPrices(ticker,"adj_high",$B39,$D$4,$D$5,$D$6),"")</f>
        <v/>
      </c>
      <c r="M39" s="99" t="str">
        <f ca="1">IFERROR([1]!IntrinioHistoricalPrices(ticker,"adj_low",$B39,$D$4,$D$5,$D$6),"")</f>
        <v/>
      </c>
      <c r="N39" s="99" t="str">
        <f ca="1">IFERROR([1]!IntrinioHistoricalPrices(ticker,"adj_close",$B39,$D$4,$D$5,$D$6),"")</f>
        <v/>
      </c>
      <c r="O39" s="100" t="str">
        <f ca="1">IFERROR([1]!IntrinioHistoricalPrices(ticker,"adj_volume",$B39,$D$4,$D$5,$D$6),"")</f>
        <v/>
      </c>
    </row>
    <row r="40" spans="2:15" x14ac:dyDescent="0.45">
      <c r="B40" s="49">
        <f t="shared" si="0"/>
        <v>31</v>
      </c>
      <c r="C40" s="165" t="str">
        <f ca="1">IFERROR([1]!IntrinioHistoricalPrices(ticker,"date",$B40,$D$4,$D$5,$D$6),"")</f>
        <v/>
      </c>
      <c r="D40" s="99" t="str">
        <f ca="1">IFERROR([1]!IntrinioHistoricalPrices(ticker,"open",$B40,$D$4,$D$5,$D$6),"")</f>
        <v/>
      </c>
      <c r="E40" s="99" t="str">
        <f ca="1">IFERROR([1]!IntrinioHistoricalPrices(ticker,"high",$B40,$D$4,$D$5,$D$6),"")</f>
        <v/>
      </c>
      <c r="F40" s="99" t="str">
        <f ca="1">IFERROR([1]!IntrinioHistoricalPrices(ticker,"low",$B40,$D$4,$D$5,$D$6),"")</f>
        <v/>
      </c>
      <c r="G40" s="99" t="str">
        <f ca="1">IFERROR([1]!IntrinioHistoricalPrices(ticker,"close",$B40,$D$4,$D$5,$D$6),"")</f>
        <v/>
      </c>
      <c r="H40" s="100" t="str">
        <f ca="1">IFERROR([1]!IntrinioHistoricalPrices(ticker,"volume",$B40,$D$4,$D$5,$D$6),"")</f>
        <v/>
      </c>
      <c r="I40" s="101" t="str">
        <f ca="1">IFERROR([1]!IntrinioHistoricalPrices(ticker,"split_ratio",$B40,$D$4,$D$5,$D$6),"")</f>
        <v/>
      </c>
      <c r="J40" s="99" t="str">
        <f ca="1">IFERROR([1]!IntrinioHistoricalPrices(ticker,"ex_dividend",$B40,$D$4,$D$5,$D$6),"")</f>
        <v/>
      </c>
      <c r="K40" s="99" t="str">
        <f ca="1">IFERROR([1]!IntrinioHistoricalPrices(ticker,"adj_open",$B40,$D$4,$D$5,$D$6),"")</f>
        <v/>
      </c>
      <c r="L40" s="99" t="str">
        <f ca="1">IFERROR([1]!IntrinioHistoricalPrices(ticker,"adj_high",$B40,$D$4,$D$5,$D$6),"")</f>
        <v/>
      </c>
      <c r="M40" s="99" t="str">
        <f ca="1">IFERROR([1]!IntrinioHistoricalPrices(ticker,"adj_low",$B40,$D$4,$D$5,$D$6),"")</f>
        <v/>
      </c>
      <c r="N40" s="99" t="str">
        <f ca="1">IFERROR([1]!IntrinioHistoricalPrices(ticker,"adj_close",$B40,$D$4,$D$5,$D$6),"")</f>
        <v/>
      </c>
      <c r="O40" s="100" t="str">
        <f ca="1">IFERROR([1]!IntrinioHistoricalPrices(ticker,"adj_volume",$B40,$D$4,$D$5,$D$6),"")</f>
        <v/>
      </c>
    </row>
    <row r="41" spans="2:15" x14ac:dyDescent="0.45">
      <c r="B41" s="49">
        <f t="shared" si="0"/>
        <v>32</v>
      </c>
      <c r="C41" s="165" t="str">
        <f ca="1">IFERROR([1]!IntrinioHistoricalPrices(ticker,"date",$B41,$D$4,$D$5,$D$6),"")</f>
        <v/>
      </c>
      <c r="D41" s="99" t="str">
        <f ca="1">IFERROR([1]!IntrinioHistoricalPrices(ticker,"open",$B41,$D$4,$D$5,$D$6),"")</f>
        <v/>
      </c>
      <c r="E41" s="99" t="str">
        <f ca="1">IFERROR([1]!IntrinioHistoricalPrices(ticker,"high",$B41,$D$4,$D$5,$D$6),"")</f>
        <v/>
      </c>
      <c r="F41" s="99" t="str">
        <f ca="1">IFERROR([1]!IntrinioHistoricalPrices(ticker,"low",$B41,$D$4,$D$5,$D$6),"")</f>
        <v/>
      </c>
      <c r="G41" s="99" t="str">
        <f ca="1">IFERROR([1]!IntrinioHistoricalPrices(ticker,"close",$B41,$D$4,$D$5,$D$6),"")</f>
        <v/>
      </c>
      <c r="H41" s="100" t="str">
        <f ca="1">IFERROR([1]!IntrinioHistoricalPrices(ticker,"volume",$B41,$D$4,$D$5,$D$6),"")</f>
        <v/>
      </c>
      <c r="I41" s="101" t="str">
        <f ca="1">IFERROR([1]!IntrinioHistoricalPrices(ticker,"split_ratio",$B41,$D$4,$D$5,$D$6),"")</f>
        <v/>
      </c>
      <c r="J41" s="99" t="str">
        <f ca="1">IFERROR([1]!IntrinioHistoricalPrices(ticker,"ex_dividend",$B41,$D$4,$D$5,$D$6),"")</f>
        <v/>
      </c>
      <c r="K41" s="99" t="str">
        <f ca="1">IFERROR([1]!IntrinioHistoricalPrices(ticker,"adj_open",$B41,$D$4,$D$5,$D$6),"")</f>
        <v/>
      </c>
      <c r="L41" s="99" t="str">
        <f ca="1">IFERROR([1]!IntrinioHistoricalPrices(ticker,"adj_high",$B41,$D$4,$D$5,$D$6),"")</f>
        <v/>
      </c>
      <c r="M41" s="99" t="str">
        <f ca="1">IFERROR([1]!IntrinioHistoricalPrices(ticker,"adj_low",$B41,$D$4,$D$5,$D$6),"")</f>
        <v/>
      </c>
      <c r="N41" s="99" t="str">
        <f ca="1">IFERROR([1]!IntrinioHistoricalPrices(ticker,"adj_close",$B41,$D$4,$D$5,$D$6),"")</f>
        <v/>
      </c>
      <c r="O41" s="100" t="str">
        <f ca="1">IFERROR([1]!IntrinioHistoricalPrices(ticker,"adj_volume",$B41,$D$4,$D$5,$D$6),"")</f>
        <v/>
      </c>
    </row>
    <row r="42" spans="2:15" x14ac:dyDescent="0.45">
      <c r="B42" s="49">
        <f t="shared" si="0"/>
        <v>33</v>
      </c>
      <c r="C42" s="165" t="str">
        <f ca="1">IFERROR([1]!IntrinioHistoricalPrices(ticker,"date",$B42,$D$4,$D$5,$D$6),"")</f>
        <v/>
      </c>
      <c r="D42" s="99" t="str">
        <f ca="1">IFERROR([1]!IntrinioHistoricalPrices(ticker,"open",$B42,$D$4,$D$5,$D$6),"")</f>
        <v/>
      </c>
      <c r="E42" s="99" t="str">
        <f ca="1">IFERROR([1]!IntrinioHistoricalPrices(ticker,"high",$B42,$D$4,$D$5,$D$6),"")</f>
        <v/>
      </c>
      <c r="F42" s="99" t="str">
        <f ca="1">IFERROR([1]!IntrinioHistoricalPrices(ticker,"low",$B42,$D$4,$D$5,$D$6),"")</f>
        <v/>
      </c>
      <c r="G42" s="99" t="str">
        <f ca="1">IFERROR([1]!IntrinioHistoricalPrices(ticker,"close",$B42,$D$4,$D$5,$D$6),"")</f>
        <v/>
      </c>
      <c r="H42" s="100" t="str">
        <f ca="1">IFERROR([1]!IntrinioHistoricalPrices(ticker,"volume",$B42,$D$4,$D$5,$D$6),"")</f>
        <v/>
      </c>
      <c r="I42" s="101" t="str">
        <f ca="1">IFERROR([1]!IntrinioHistoricalPrices(ticker,"split_ratio",$B42,$D$4,$D$5,$D$6),"")</f>
        <v/>
      </c>
      <c r="J42" s="99" t="str">
        <f ca="1">IFERROR([1]!IntrinioHistoricalPrices(ticker,"ex_dividend",$B42,$D$4,$D$5,$D$6),"")</f>
        <v/>
      </c>
      <c r="K42" s="99" t="str">
        <f ca="1">IFERROR([1]!IntrinioHistoricalPrices(ticker,"adj_open",$B42,$D$4,$D$5,$D$6),"")</f>
        <v/>
      </c>
      <c r="L42" s="99" t="str">
        <f ca="1">IFERROR([1]!IntrinioHistoricalPrices(ticker,"adj_high",$B42,$D$4,$D$5,$D$6),"")</f>
        <v/>
      </c>
      <c r="M42" s="99" t="str">
        <f ca="1">IFERROR([1]!IntrinioHistoricalPrices(ticker,"adj_low",$B42,$D$4,$D$5,$D$6),"")</f>
        <v/>
      </c>
      <c r="N42" s="99" t="str">
        <f ca="1">IFERROR([1]!IntrinioHistoricalPrices(ticker,"adj_close",$B42,$D$4,$D$5,$D$6),"")</f>
        <v/>
      </c>
      <c r="O42" s="100" t="str">
        <f ca="1">IFERROR([1]!IntrinioHistoricalPrices(ticker,"adj_volume",$B42,$D$4,$D$5,$D$6),"")</f>
        <v/>
      </c>
    </row>
    <row r="43" spans="2:15" x14ac:dyDescent="0.45">
      <c r="B43" s="49">
        <f t="shared" si="0"/>
        <v>34</v>
      </c>
      <c r="C43" s="165" t="str">
        <f ca="1">IFERROR([1]!IntrinioHistoricalPrices(ticker,"date",$B43,$D$4,$D$5,$D$6),"")</f>
        <v/>
      </c>
      <c r="D43" s="99" t="str">
        <f ca="1">IFERROR([1]!IntrinioHistoricalPrices(ticker,"open",$B43,$D$4,$D$5,$D$6),"")</f>
        <v/>
      </c>
      <c r="E43" s="99" t="str">
        <f ca="1">IFERROR([1]!IntrinioHistoricalPrices(ticker,"high",$B43,$D$4,$D$5,$D$6),"")</f>
        <v/>
      </c>
      <c r="F43" s="99" t="str">
        <f ca="1">IFERROR([1]!IntrinioHistoricalPrices(ticker,"low",$B43,$D$4,$D$5,$D$6),"")</f>
        <v/>
      </c>
      <c r="G43" s="99" t="str">
        <f ca="1">IFERROR([1]!IntrinioHistoricalPrices(ticker,"close",$B43,$D$4,$D$5,$D$6),"")</f>
        <v/>
      </c>
      <c r="H43" s="100" t="str">
        <f ca="1">IFERROR([1]!IntrinioHistoricalPrices(ticker,"volume",$B43,$D$4,$D$5,$D$6),"")</f>
        <v/>
      </c>
      <c r="I43" s="101" t="str">
        <f ca="1">IFERROR([1]!IntrinioHistoricalPrices(ticker,"split_ratio",$B43,$D$4,$D$5,$D$6),"")</f>
        <v/>
      </c>
      <c r="J43" s="99" t="str">
        <f ca="1">IFERROR([1]!IntrinioHistoricalPrices(ticker,"ex_dividend",$B43,$D$4,$D$5,$D$6),"")</f>
        <v/>
      </c>
      <c r="K43" s="99" t="str">
        <f ca="1">IFERROR([1]!IntrinioHistoricalPrices(ticker,"adj_open",$B43,$D$4,$D$5,$D$6),"")</f>
        <v/>
      </c>
      <c r="L43" s="99" t="str">
        <f ca="1">IFERROR([1]!IntrinioHistoricalPrices(ticker,"adj_high",$B43,$D$4,$D$5,$D$6),"")</f>
        <v/>
      </c>
      <c r="M43" s="99" t="str">
        <f ca="1">IFERROR([1]!IntrinioHistoricalPrices(ticker,"adj_low",$B43,$D$4,$D$5,$D$6),"")</f>
        <v/>
      </c>
      <c r="N43" s="99" t="str">
        <f ca="1">IFERROR([1]!IntrinioHistoricalPrices(ticker,"adj_close",$B43,$D$4,$D$5,$D$6),"")</f>
        <v/>
      </c>
      <c r="O43" s="100" t="str">
        <f ca="1">IFERROR([1]!IntrinioHistoricalPrices(ticker,"adj_volume",$B43,$D$4,$D$5,$D$6),"")</f>
        <v/>
      </c>
    </row>
    <row r="44" spans="2:15" x14ac:dyDescent="0.45">
      <c r="B44" s="49">
        <f t="shared" si="0"/>
        <v>35</v>
      </c>
      <c r="C44" s="165" t="str">
        <f ca="1">IFERROR([1]!IntrinioHistoricalPrices(ticker,"date",$B44,$D$4,$D$5,$D$6),"")</f>
        <v/>
      </c>
      <c r="D44" s="99" t="str">
        <f ca="1">IFERROR([1]!IntrinioHistoricalPrices(ticker,"open",$B44,$D$4,$D$5,$D$6),"")</f>
        <v/>
      </c>
      <c r="E44" s="99" t="str">
        <f ca="1">IFERROR([1]!IntrinioHistoricalPrices(ticker,"high",$B44,$D$4,$D$5,$D$6),"")</f>
        <v/>
      </c>
      <c r="F44" s="99" t="str">
        <f ca="1">IFERROR([1]!IntrinioHistoricalPrices(ticker,"low",$B44,$D$4,$D$5,$D$6),"")</f>
        <v/>
      </c>
      <c r="G44" s="99" t="str">
        <f ca="1">IFERROR([1]!IntrinioHistoricalPrices(ticker,"close",$B44,$D$4,$D$5,$D$6),"")</f>
        <v/>
      </c>
      <c r="H44" s="100" t="str">
        <f ca="1">IFERROR([1]!IntrinioHistoricalPrices(ticker,"volume",$B44,$D$4,$D$5,$D$6),"")</f>
        <v/>
      </c>
      <c r="I44" s="101" t="str">
        <f ca="1">IFERROR([1]!IntrinioHistoricalPrices(ticker,"split_ratio",$B44,$D$4,$D$5,$D$6),"")</f>
        <v/>
      </c>
      <c r="J44" s="99" t="str">
        <f ca="1">IFERROR([1]!IntrinioHistoricalPrices(ticker,"ex_dividend",$B44,$D$4,$D$5,$D$6),"")</f>
        <v/>
      </c>
      <c r="K44" s="99" t="str">
        <f ca="1">IFERROR([1]!IntrinioHistoricalPrices(ticker,"adj_open",$B44,$D$4,$D$5,$D$6),"")</f>
        <v/>
      </c>
      <c r="L44" s="99" t="str">
        <f ca="1">IFERROR([1]!IntrinioHistoricalPrices(ticker,"adj_high",$B44,$D$4,$D$5,$D$6),"")</f>
        <v/>
      </c>
      <c r="M44" s="99" t="str">
        <f ca="1">IFERROR([1]!IntrinioHistoricalPrices(ticker,"adj_low",$B44,$D$4,$D$5,$D$6),"")</f>
        <v/>
      </c>
      <c r="N44" s="99" t="str">
        <f ca="1">IFERROR([1]!IntrinioHistoricalPrices(ticker,"adj_close",$B44,$D$4,$D$5,$D$6),"")</f>
        <v/>
      </c>
      <c r="O44" s="100" t="str">
        <f ca="1">IFERROR([1]!IntrinioHistoricalPrices(ticker,"adj_volume",$B44,$D$4,$D$5,$D$6),"")</f>
        <v/>
      </c>
    </row>
    <row r="45" spans="2:15" x14ac:dyDescent="0.45">
      <c r="B45" s="49">
        <f t="shared" si="0"/>
        <v>36</v>
      </c>
      <c r="C45" s="165" t="str">
        <f ca="1">IFERROR([1]!IntrinioHistoricalPrices(ticker,"date",$B45,$D$4,$D$5,$D$6),"")</f>
        <v/>
      </c>
      <c r="D45" s="99" t="str">
        <f ca="1">IFERROR([1]!IntrinioHistoricalPrices(ticker,"open",$B45,$D$4,$D$5,$D$6),"")</f>
        <v/>
      </c>
      <c r="E45" s="99" t="str">
        <f ca="1">IFERROR([1]!IntrinioHistoricalPrices(ticker,"high",$B45,$D$4,$D$5,$D$6),"")</f>
        <v/>
      </c>
      <c r="F45" s="99" t="str">
        <f ca="1">IFERROR([1]!IntrinioHistoricalPrices(ticker,"low",$B45,$D$4,$D$5,$D$6),"")</f>
        <v/>
      </c>
      <c r="G45" s="99" t="str">
        <f ca="1">IFERROR([1]!IntrinioHistoricalPrices(ticker,"close",$B45,$D$4,$D$5,$D$6),"")</f>
        <v/>
      </c>
      <c r="H45" s="100" t="str">
        <f ca="1">IFERROR([1]!IntrinioHistoricalPrices(ticker,"volume",$B45,$D$4,$D$5,$D$6),"")</f>
        <v/>
      </c>
      <c r="I45" s="101" t="str">
        <f ca="1">IFERROR([1]!IntrinioHistoricalPrices(ticker,"split_ratio",$B45,$D$4,$D$5,$D$6),"")</f>
        <v/>
      </c>
      <c r="J45" s="99" t="str">
        <f ca="1">IFERROR([1]!IntrinioHistoricalPrices(ticker,"ex_dividend",$B45,$D$4,$D$5,$D$6),"")</f>
        <v/>
      </c>
      <c r="K45" s="99" t="str">
        <f ca="1">IFERROR([1]!IntrinioHistoricalPrices(ticker,"adj_open",$B45,$D$4,$D$5,$D$6),"")</f>
        <v/>
      </c>
      <c r="L45" s="99" t="str">
        <f ca="1">IFERROR([1]!IntrinioHistoricalPrices(ticker,"adj_high",$B45,$D$4,$D$5,$D$6),"")</f>
        <v/>
      </c>
      <c r="M45" s="99" t="str">
        <f ca="1">IFERROR([1]!IntrinioHistoricalPrices(ticker,"adj_low",$B45,$D$4,$D$5,$D$6),"")</f>
        <v/>
      </c>
      <c r="N45" s="99" t="str">
        <f ca="1">IFERROR([1]!IntrinioHistoricalPrices(ticker,"adj_close",$B45,$D$4,$D$5,$D$6),"")</f>
        <v/>
      </c>
      <c r="O45" s="100" t="str">
        <f ca="1">IFERROR([1]!IntrinioHistoricalPrices(ticker,"adj_volume",$B45,$D$4,$D$5,$D$6),"")</f>
        <v/>
      </c>
    </row>
    <row r="46" spans="2:15" x14ac:dyDescent="0.45">
      <c r="B46" s="49">
        <f t="shared" si="0"/>
        <v>37</v>
      </c>
      <c r="C46" s="165" t="str">
        <f ca="1">IFERROR([1]!IntrinioHistoricalPrices(ticker,"date",$B46,$D$4,$D$5,$D$6),"")</f>
        <v/>
      </c>
      <c r="D46" s="99" t="str">
        <f ca="1">IFERROR([1]!IntrinioHistoricalPrices(ticker,"open",$B46,$D$4,$D$5,$D$6),"")</f>
        <v/>
      </c>
      <c r="E46" s="99" t="str">
        <f ca="1">IFERROR([1]!IntrinioHistoricalPrices(ticker,"high",$B46,$D$4,$D$5,$D$6),"")</f>
        <v/>
      </c>
      <c r="F46" s="99" t="str">
        <f ca="1">IFERROR([1]!IntrinioHistoricalPrices(ticker,"low",$B46,$D$4,$D$5,$D$6),"")</f>
        <v/>
      </c>
      <c r="G46" s="99" t="str">
        <f ca="1">IFERROR([1]!IntrinioHistoricalPrices(ticker,"close",$B46,$D$4,$D$5,$D$6),"")</f>
        <v/>
      </c>
      <c r="H46" s="100" t="str">
        <f ca="1">IFERROR([1]!IntrinioHistoricalPrices(ticker,"volume",$B46,$D$4,$D$5,$D$6),"")</f>
        <v/>
      </c>
      <c r="I46" s="101" t="str">
        <f ca="1">IFERROR([1]!IntrinioHistoricalPrices(ticker,"split_ratio",$B46,$D$4,$D$5,$D$6),"")</f>
        <v/>
      </c>
      <c r="J46" s="99" t="str">
        <f ca="1">IFERROR([1]!IntrinioHistoricalPrices(ticker,"ex_dividend",$B46,$D$4,$D$5,$D$6),"")</f>
        <v/>
      </c>
      <c r="K46" s="99" t="str">
        <f ca="1">IFERROR([1]!IntrinioHistoricalPrices(ticker,"adj_open",$B46,$D$4,$D$5,$D$6),"")</f>
        <v/>
      </c>
      <c r="L46" s="99" t="str">
        <f ca="1">IFERROR([1]!IntrinioHistoricalPrices(ticker,"adj_high",$B46,$D$4,$D$5,$D$6),"")</f>
        <v/>
      </c>
      <c r="M46" s="99" t="str">
        <f ca="1">IFERROR([1]!IntrinioHistoricalPrices(ticker,"adj_low",$B46,$D$4,$D$5,$D$6),"")</f>
        <v/>
      </c>
      <c r="N46" s="99" t="str">
        <f ca="1">IFERROR([1]!IntrinioHistoricalPrices(ticker,"adj_close",$B46,$D$4,$D$5,$D$6),"")</f>
        <v/>
      </c>
      <c r="O46" s="100" t="str">
        <f ca="1">IFERROR([1]!IntrinioHistoricalPrices(ticker,"adj_volume",$B46,$D$4,$D$5,$D$6),"")</f>
        <v/>
      </c>
    </row>
    <row r="47" spans="2:15" x14ac:dyDescent="0.45">
      <c r="B47" s="49">
        <f t="shared" si="0"/>
        <v>38</v>
      </c>
      <c r="C47" s="165" t="str">
        <f ca="1">IFERROR([1]!IntrinioHistoricalPrices(ticker,"date",$B47,$D$4,$D$5,$D$6),"")</f>
        <v/>
      </c>
      <c r="D47" s="99" t="str">
        <f ca="1">IFERROR([1]!IntrinioHistoricalPrices(ticker,"open",$B47,$D$4,$D$5,$D$6),"")</f>
        <v/>
      </c>
      <c r="E47" s="99" t="str">
        <f ca="1">IFERROR([1]!IntrinioHistoricalPrices(ticker,"high",$B47,$D$4,$D$5,$D$6),"")</f>
        <v/>
      </c>
      <c r="F47" s="99" t="str">
        <f ca="1">IFERROR([1]!IntrinioHistoricalPrices(ticker,"low",$B47,$D$4,$D$5,$D$6),"")</f>
        <v/>
      </c>
      <c r="G47" s="99" t="str">
        <f ca="1">IFERROR([1]!IntrinioHistoricalPrices(ticker,"close",$B47,$D$4,$D$5,$D$6),"")</f>
        <v/>
      </c>
      <c r="H47" s="100" t="str">
        <f ca="1">IFERROR([1]!IntrinioHistoricalPrices(ticker,"volume",$B47,$D$4,$D$5,$D$6),"")</f>
        <v/>
      </c>
      <c r="I47" s="101" t="str">
        <f ca="1">IFERROR([1]!IntrinioHistoricalPrices(ticker,"split_ratio",$B47,$D$4,$D$5,$D$6),"")</f>
        <v/>
      </c>
      <c r="J47" s="99" t="str">
        <f ca="1">IFERROR([1]!IntrinioHistoricalPrices(ticker,"ex_dividend",$B47,$D$4,$D$5,$D$6),"")</f>
        <v/>
      </c>
      <c r="K47" s="99" t="str">
        <f ca="1">IFERROR([1]!IntrinioHistoricalPrices(ticker,"adj_open",$B47,$D$4,$D$5,$D$6),"")</f>
        <v/>
      </c>
      <c r="L47" s="99" t="str">
        <f ca="1">IFERROR([1]!IntrinioHistoricalPrices(ticker,"adj_high",$B47,$D$4,$D$5,$D$6),"")</f>
        <v/>
      </c>
      <c r="M47" s="99" t="str">
        <f ca="1">IFERROR([1]!IntrinioHistoricalPrices(ticker,"adj_low",$B47,$D$4,$D$5,$D$6),"")</f>
        <v/>
      </c>
      <c r="N47" s="99" t="str">
        <f ca="1">IFERROR([1]!IntrinioHistoricalPrices(ticker,"adj_close",$B47,$D$4,$D$5,$D$6),"")</f>
        <v/>
      </c>
      <c r="O47" s="100" t="str">
        <f ca="1">IFERROR([1]!IntrinioHistoricalPrices(ticker,"adj_volume",$B47,$D$4,$D$5,$D$6),"")</f>
        <v/>
      </c>
    </row>
    <row r="48" spans="2:15" x14ac:dyDescent="0.45">
      <c r="B48" s="49">
        <f t="shared" si="0"/>
        <v>39</v>
      </c>
      <c r="C48" s="165" t="str">
        <f ca="1">IFERROR([1]!IntrinioHistoricalPrices(ticker,"date",$B48,$D$4,$D$5,$D$6),"")</f>
        <v/>
      </c>
      <c r="D48" s="99" t="str">
        <f ca="1">IFERROR([1]!IntrinioHistoricalPrices(ticker,"open",$B48,$D$4,$D$5,$D$6),"")</f>
        <v/>
      </c>
      <c r="E48" s="99" t="str">
        <f ca="1">IFERROR([1]!IntrinioHistoricalPrices(ticker,"high",$B48,$D$4,$D$5,$D$6),"")</f>
        <v/>
      </c>
      <c r="F48" s="99" t="str">
        <f ca="1">IFERROR([1]!IntrinioHistoricalPrices(ticker,"low",$B48,$D$4,$D$5,$D$6),"")</f>
        <v/>
      </c>
      <c r="G48" s="99" t="str">
        <f ca="1">IFERROR([1]!IntrinioHistoricalPrices(ticker,"close",$B48,$D$4,$D$5,$D$6),"")</f>
        <v/>
      </c>
      <c r="H48" s="100" t="str">
        <f ca="1">IFERROR([1]!IntrinioHistoricalPrices(ticker,"volume",$B48,$D$4,$D$5,$D$6),"")</f>
        <v/>
      </c>
      <c r="I48" s="101" t="str">
        <f ca="1">IFERROR([1]!IntrinioHistoricalPrices(ticker,"split_ratio",$B48,$D$4,$D$5,$D$6),"")</f>
        <v/>
      </c>
      <c r="J48" s="99" t="str">
        <f ca="1">IFERROR([1]!IntrinioHistoricalPrices(ticker,"ex_dividend",$B48,$D$4,$D$5,$D$6),"")</f>
        <v/>
      </c>
      <c r="K48" s="100" t="str">
        <f ca="1">IFERROR([1]!IntrinioHistoricalPrices(ticker,"adj_open",$B48,$D$4,$D$5,$D$6),"")</f>
        <v/>
      </c>
      <c r="L48" s="99" t="str">
        <f ca="1">IFERROR([1]!IntrinioHistoricalPrices(ticker,"adj_high",$B48,$D$4,$D$5,$D$6),"")</f>
        <v/>
      </c>
      <c r="M48" s="99" t="str">
        <f ca="1">IFERROR([1]!IntrinioHistoricalPrices(ticker,"adj_low",$B48,$D$4,$D$5,$D$6),"")</f>
        <v/>
      </c>
      <c r="N48" s="99" t="str">
        <f ca="1">IFERROR([1]!IntrinioHistoricalPrices(ticker,"adj_close",$B48,$D$4,$D$5,$D$6),"")</f>
        <v/>
      </c>
      <c r="O48" s="100" t="str">
        <f ca="1">IFERROR([1]!IntrinioHistoricalPrices(ticker,"adj_volume",$B48,$D$4,$D$5,$D$6),"")</f>
        <v/>
      </c>
    </row>
    <row r="49" spans="2:15" x14ac:dyDescent="0.45">
      <c r="B49" s="49">
        <f t="shared" si="0"/>
        <v>40</v>
      </c>
      <c r="C49" s="165" t="str">
        <f ca="1">IFERROR([1]!IntrinioHistoricalPrices(ticker,"date",$B49,$D$4,$D$5,$D$6),"")</f>
        <v/>
      </c>
      <c r="D49" s="99" t="str">
        <f ca="1">IFERROR([1]!IntrinioHistoricalPrices(ticker,"open",$B49,$D$4,$D$5,$D$6),"")</f>
        <v/>
      </c>
      <c r="E49" s="99" t="str">
        <f ca="1">IFERROR([1]!IntrinioHistoricalPrices(ticker,"high",$B49,$D$4,$D$5,$D$6),"")</f>
        <v/>
      </c>
      <c r="F49" s="99" t="str">
        <f ca="1">IFERROR([1]!IntrinioHistoricalPrices(ticker,"low",$B49,$D$4,$D$5,$D$6),"")</f>
        <v/>
      </c>
      <c r="G49" s="99" t="str">
        <f ca="1">IFERROR([1]!IntrinioHistoricalPrices(ticker,"close",$B49,$D$4,$D$5,$D$6),"")</f>
        <v/>
      </c>
      <c r="H49" s="100" t="str">
        <f ca="1">IFERROR([1]!IntrinioHistoricalPrices(ticker,"volume",$B49,$D$4,$D$5,$D$6),"")</f>
        <v/>
      </c>
      <c r="I49" s="101" t="str">
        <f ca="1">IFERROR([1]!IntrinioHistoricalPrices(ticker,"split_ratio",$B49,$D$4,$D$5,$D$6),"")</f>
        <v/>
      </c>
      <c r="J49" s="99" t="str">
        <f ca="1">IFERROR([1]!IntrinioHistoricalPrices(ticker,"ex_dividend",$B49,$D$4,$D$5,$D$6),"")</f>
        <v/>
      </c>
      <c r="K49" s="99" t="str">
        <f ca="1">IFERROR([1]!IntrinioHistoricalPrices(ticker,"adj_open",$B49,$D$4,$D$5,$D$6),"")</f>
        <v/>
      </c>
      <c r="L49" s="99" t="str">
        <f ca="1">IFERROR([1]!IntrinioHistoricalPrices(ticker,"adj_high",$B49,$D$4,$D$5,$D$6),"")</f>
        <v/>
      </c>
      <c r="M49" s="99" t="str">
        <f ca="1">IFERROR([1]!IntrinioHistoricalPrices(ticker,"adj_low",$B49,$D$4,$D$5,$D$6),"")</f>
        <v/>
      </c>
      <c r="N49" s="99" t="str">
        <f ca="1">IFERROR([1]!IntrinioHistoricalPrices(ticker,"adj_close",$B49,$D$4,$D$5,$D$6),"")</f>
        <v/>
      </c>
      <c r="O49" s="100" t="str">
        <f ca="1">IFERROR([1]!IntrinioHistoricalPrices(ticker,"adj_volume",$B49,$D$4,$D$5,$D$6),"")</f>
        <v/>
      </c>
    </row>
    <row r="50" spans="2:15" x14ac:dyDescent="0.45">
      <c r="B50" s="49">
        <f t="shared" si="0"/>
        <v>41</v>
      </c>
      <c r="C50" s="165" t="str">
        <f ca="1">IFERROR([1]!IntrinioHistoricalPrices(ticker,"date",$B50,$D$4,$D$5,$D$6),"")</f>
        <v/>
      </c>
      <c r="D50" s="99" t="str">
        <f ca="1">IFERROR([1]!IntrinioHistoricalPrices(ticker,"open",$B50,$D$4,$D$5,$D$6),"")</f>
        <v/>
      </c>
      <c r="E50" s="99" t="str">
        <f ca="1">IFERROR([1]!IntrinioHistoricalPrices(ticker,"high",$B50,$D$4,$D$5,$D$6),"")</f>
        <v/>
      </c>
      <c r="F50" s="99" t="str">
        <f ca="1">IFERROR([1]!IntrinioHistoricalPrices(ticker,"low",$B50,$D$4,$D$5,$D$6),"")</f>
        <v/>
      </c>
      <c r="G50" s="99" t="str">
        <f ca="1">IFERROR([1]!IntrinioHistoricalPrices(ticker,"close",$B50,$D$4,$D$5,$D$6),"")</f>
        <v/>
      </c>
      <c r="H50" s="100" t="str">
        <f ca="1">IFERROR([1]!IntrinioHistoricalPrices(ticker,"volume",$B50,$D$4,$D$5,$D$6),"")</f>
        <v/>
      </c>
      <c r="I50" s="101" t="str">
        <f ca="1">IFERROR([1]!IntrinioHistoricalPrices(ticker,"split_ratio",$B50,$D$4,$D$5,$D$6),"")</f>
        <v/>
      </c>
      <c r="J50" s="99" t="str">
        <f ca="1">IFERROR([1]!IntrinioHistoricalPrices(ticker,"ex_dividend",$B50,$D$4,$D$5,$D$6),"")</f>
        <v/>
      </c>
      <c r="K50" s="99" t="str">
        <f ca="1">IFERROR([1]!IntrinioHistoricalPrices(ticker,"adj_open",$B50,$D$4,$D$5,$D$6),"")</f>
        <v/>
      </c>
      <c r="L50" s="99" t="str">
        <f ca="1">IFERROR([1]!IntrinioHistoricalPrices(ticker,"adj_high",$B50,$D$4,$D$5,$D$6),"")</f>
        <v/>
      </c>
      <c r="M50" s="99" t="str">
        <f ca="1">IFERROR([1]!IntrinioHistoricalPrices(ticker,"adj_low",$B50,$D$4,$D$5,$D$6),"")</f>
        <v/>
      </c>
      <c r="N50" s="99" t="str">
        <f ca="1">IFERROR([1]!IntrinioHistoricalPrices(ticker,"adj_close",$B50,$D$4,$D$5,$D$6),"")</f>
        <v/>
      </c>
      <c r="O50" s="100" t="str">
        <f ca="1">IFERROR([1]!IntrinioHistoricalPrices(ticker,"adj_volume",$B50,$D$4,$D$5,$D$6),"")</f>
        <v/>
      </c>
    </row>
    <row r="51" spans="2:15" x14ac:dyDescent="0.45">
      <c r="B51" s="49">
        <f t="shared" si="0"/>
        <v>42</v>
      </c>
      <c r="C51" s="165" t="str">
        <f ca="1">IFERROR([1]!IntrinioHistoricalPrices(ticker,"date",$B51,$D$4,$D$5,$D$6),"")</f>
        <v/>
      </c>
      <c r="D51" s="99" t="str">
        <f ca="1">IFERROR([1]!IntrinioHistoricalPrices(ticker,"open",$B51,$D$4,$D$5,$D$6),"")</f>
        <v/>
      </c>
      <c r="E51" s="99" t="str">
        <f ca="1">IFERROR([1]!IntrinioHistoricalPrices(ticker,"high",$B51,$D$4,$D$5,$D$6),"")</f>
        <v/>
      </c>
      <c r="F51" s="99" t="str">
        <f ca="1">IFERROR([1]!IntrinioHistoricalPrices(ticker,"low",$B51,$D$4,$D$5,$D$6),"")</f>
        <v/>
      </c>
      <c r="G51" s="99" t="str">
        <f ca="1">IFERROR([1]!IntrinioHistoricalPrices(ticker,"close",$B51,$D$4,$D$5,$D$6),"")</f>
        <v/>
      </c>
      <c r="H51" s="100" t="str">
        <f ca="1">IFERROR([1]!IntrinioHistoricalPrices(ticker,"volume",$B51,$D$4,$D$5,$D$6),"")</f>
        <v/>
      </c>
      <c r="I51" s="101" t="str">
        <f ca="1">IFERROR([1]!IntrinioHistoricalPrices(ticker,"split_ratio",$B51,$D$4,$D$5,$D$6),"")</f>
        <v/>
      </c>
      <c r="J51" s="99" t="str">
        <f ca="1">IFERROR([1]!IntrinioHistoricalPrices(ticker,"ex_dividend",$B51,$D$4,$D$5,$D$6),"")</f>
        <v/>
      </c>
      <c r="K51" s="99" t="str">
        <f ca="1">IFERROR([1]!IntrinioHistoricalPrices(ticker,"adj_open",$B51,$D$4,$D$5,$D$6),"")</f>
        <v/>
      </c>
      <c r="L51" s="99" t="str">
        <f ca="1">IFERROR([1]!IntrinioHistoricalPrices(ticker,"adj_high",$B51,$D$4,$D$5,$D$6),"")</f>
        <v/>
      </c>
      <c r="M51" s="99" t="str">
        <f ca="1">IFERROR([1]!IntrinioHistoricalPrices(ticker,"adj_low",$B51,$D$4,$D$5,$D$6),"")</f>
        <v/>
      </c>
      <c r="N51" s="99" t="str">
        <f ca="1">IFERROR([1]!IntrinioHistoricalPrices(ticker,"adj_close",$B51,$D$4,$D$5,$D$6),"")</f>
        <v/>
      </c>
      <c r="O51" s="100" t="str">
        <f ca="1">IFERROR([1]!IntrinioHistoricalPrices(ticker,"adj_volume",$B51,$D$4,$D$5,$D$6),"")</f>
        <v/>
      </c>
    </row>
    <row r="52" spans="2:15" x14ac:dyDescent="0.45">
      <c r="B52" s="49">
        <f t="shared" si="0"/>
        <v>43</v>
      </c>
      <c r="C52" s="165" t="str">
        <f ca="1">IFERROR([1]!IntrinioHistoricalPrices(ticker,"date",$B52,$D$4,$D$5,$D$6),"")</f>
        <v/>
      </c>
      <c r="D52" s="99" t="str">
        <f ca="1">IFERROR([1]!IntrinioHistoricalPrices(ticker,"open",$B52,$D$4,$D$5,$D$6),"")</f>
        <v/>
      </c>
      <c r="E52" s="99" t="str">
        <f ca="1">IFERROR([1]!IntrinioHistoricalPrices(ticker,"high",$B52,$D$4,$D$5,$D$6),"")</f>
        <v/>
      </c>
      <c r="F52" s="99" t="str">
        <f ca="1">IFERROR([1]!IntrinioHistoricalPrices(ticker,"low",$B52,$D$4,$D$5,$D$6),"")</f>
        <v/>
      </c>
      <c r="G52" s="99" t="str">
        <f ca="1">IFERROR([1]!IntrinioHistoricalPrices(ticker,"close",$B52,$D$4,$D$5,$D$6),"")</f>
        <v/>
      </c>
      <c r="H52" s="100" t="str">
        <f ca="1">IFERROR([1]!IntrinioHistoricalPrices(ticker,"volume",$B52,$D$4,$D$5,$D$6),"")</f>
        <v/>
      </c>
      <c r="I52" s="101" t="str">
        <f ca="1">IFERROR([1]!IntrinioHistoricalPrices(ticker,"split_ratio",$B52,$D$4,$D$5,$D$6),"")</f>
        <v/>
      </c>
      <c r="J52" s="99" t="str">
        <f ca="1">IFERROR([1]!IntrinioHistoricalPrices(ticker,"ex_dividend",$B52,$D$4,$D$5,$D$6),"")</f>
        <v/>
      </c>
      <c r="K52" s="99" t="str">
        <f ca="1">IFERROR([1]!IntrinioHistoricalPrices(ticker,"adj_open",$B52,$D$4,$D$5,$D$6),"")</f>
        <v/>
      </c>
      <c r="L52" s="99" t="str">
        <f ca="1">IFERROR([1]!IntrinioHistoricalPrices(ticker,"adj_high",$B52,$D$4,$D$5,$D$6),"")</f>
        <v/>
      </c>
      <c r="M52" s="99" t="str">
        <f ca="1">IFERROR([1]!IntrinioHistoricalPrices(ticker,"adj_low",$B52,$D$4,$D$5,$D$6),"")</f>
        <v/>
      </c>
      <c r="N52" s="99" t="str">
        <f ca="1">IFERROR([1]!IntrinioHistoricalPrices(ticker,"adj_close",$B52,$D$4,$D$5,$D$6),"")</f>
        <v/>
      </c>
      <c r="O52" s="100" t="str">
        <f ca="1">IFERROR([1]!IntrinioHistoricalPrices(ticker,"adj_volume",$B52,$D$4,$D$5,$D$6),"")</f>
        <v/>
      </c>
    </row>
    <row r="53" spans="2:15" x14ac:dyDescent="0.45">
      <c r="B53" s="49">
        <f t="shared" si="0"/>
        <v>44</v>
      </c>
      <c r="C53" s="165" t="str">
        <f ca="1">IFERROR([1]!IntrinioHistoricalPrices(ticker,"date",$B53,$D$4,$D$5,$D$6),"")</f>
        <v/>
      </c>
      <c r="D53" s="99" t="str">
        <f ca="1">IFERROR([1]!IntrinioHistoricalPrices(ticker,"open",$B53,$D$4,$D$5,$D$6),"")</f>
        <v/>
      </c>
      <c r="E53" s="99" t="str">
        <f ca="1">IFERROR([1]!IntrinioHistoricalPrices(ticker,"high",$B53,$D$4,$D$5,$D$6),"")</f>
        <v/>
      </c>
      <c r="F53" s="99" t="str">
        <f ca="1">IFERROR([1]!IntrinioHistoricalPrices(ticker,"low",$B53,$D$4,$D$5,$D$6),"")</f>
        <v/>
      </c>
      <c r="G53" s="99" t="str">
        <f ca="1">IFERROR([1]!IntrinioHistoricalPrices(ticker,"close",$B53,$D$4,$D$5,$D$6),"")</f>
        <v/>
      </c>
      <c r="H53" s="100" t="str">
        <f ca="1">IFERROR([1]!IntrinioHistoricalPrices(ticker,"volume",$B53,$D$4,$D$5,$D$6),"")</f>
        <v/>
      </c>
      <c r="I53" s="101" t="str">
        <f ca="1">IFERROR([1]!IntrinioHistoricalPrices(ticker,"split_ratio",$B53,$D$4,$D$5,$D$6),"")</f>
        <v/>
      </c>
      <c r="J53" s="99" t="str">
        <f ca="1">IFERROR([1]!IntrinioHistoricalPrices(ticker,"ex_dividend",$B53,$D$4,$D$5,$D$6),"")</f>
        <v/>
      </c>
      <c r="K53" s="99" t="str">
        <f ca="1">IFERROR([1]!IntrinioHistoricalPrices(ticker,"adj_open",$B53,$D$4,$D$5,$D$6),"")</f>
        <v/>
      </c>
      <c r="L53" s="99" t="str">
        <f ca="1">IFERROR([1]!IntrinioHistoricalPrices(ticker,"adj_high",$B53,$D$4,$D$5,$D$6),"")</f>
        <v/>
      </c>
      <c r="M53" s="99" t="str">
        <f ca="1">IFERROR([1]!IntrinioHistoricalPrices(ticker,"adj_low",$B53,$D$4,$D$5,$D$6),"")</f>
        <v/>
      </c>
      <c r="N53" s="99" t="str">
        <f ca="1">IFERROR([1]!IntrinioHistoricalPrices(ticker,"adj_close",$B53,$D$4,$D$5,$D$6),"")</f>
        <v/>
      </c>
      <c r="O53" s="100" t="str">
        <f ca="1">IFERROR([1]!IntrinioHistoricalPrices(ticker,"adj_volume",$B53,$D$4,$D$5,$D$6),"")</f>
        <v/>
      </c>
    </row>
    <row r="54" spans="2:15" x14ac:dyDescent="0.45">
      <c r="B54" s="49">
        <f t="shared" si="0"/>
        <v>45</v>
      </c>
      <c r="C54" s="165" t="str">
        <f ca="1">IFERROR([1]!IntrinioHistoricalPrices(ticker,"date",$B54,$D$4,$D$5,$D$6),"")</f>
        <v/>
      </c>
      <c r="D54" s="99" t="str">
        <f ca="1">IFERROR([1]!IntrinioHistoricalPrices(ticker,"open",$B54,$D$4,$D$5,$D$6),"")</f>
        <v/>
      </c>
      <c r="E54" s="99" t="str">
        <f ca="1">IFERROR([1]!IntrinioHistoricalPrices(ticker,"high",$B54,$D$4,$D$5,$D$6),"")</f>
        <v/>
      </c>
      <c r="F54" s="99" t="str">
        <f ca="1">IFERROR([1]!IntrinioHistoricalPrices(ticker,"low",$B54,$D$4,$D$5,$D$6),"")</f>
        <v/>
      </c>
      <c r="G54" s="99" t="str">
        <f ca="1">IFERROR([1]!IntrinioHistoricalPrices(ticker,"close",$B54,$D$4,$D$5,$D$6),"")</f>
        <v/>
      </c>
      <c r="H54" s="100" t="str">
        <f ca="1">IFERROR([1]!IntrinioHistoricalPrices(ticker,"volume",$B54,$D$4,$D$5,$D$6),"")</f>
        <v/>
      </c>
      <c r="I54" s="101" t="str">
        <f ca="1">IFERROR([1]!IntrinioHistoricalPrices(ticker,"split_ratio",$B54,$D$4,$D$5,$D$6),"")</f>
        <v/>
      </c>
      <c r="J54" s="99" t="str">
        <f ca="1">IFERROR([1]!IntrinioHistoricalPrices(ticker,"ex_dividend",$B54,$D$4,$D$5,$D$6),"")</f>
        <v/>
      </c>
      <c r="K54" s="99" t="str">
        <f ca="1">IFERROR([1]!IntrinioHistoricalPrices(ticker,"adj_open",$B54,$D$4,$D$5,$D$6),"")</f>
        <v/>
      </c>
      <c r="L54" s="99" t="str">
        <f ca="1">IFERROR([1]!IntrinioHistoricalPrices(ticker,"adj_high",$B54,$D$4,$D$5,$D$6),"")</f>
        <v/>
      </c>
      <c r="M54" s="99" t="str">
        <f ca="1">IFERROR([1]!IntrinioHistoricalPrices(ticker,"adj_low",$B54,$D$4,$D$5,$D$6),"")</f>
        <v/>
      </c>
      <c r="N54" s="99" t="str">
        <f ca="1">IFERROR([1]!IntrinioHistoricalPrices(ticker,"adj_close",$B54,$D$4,$D$5,$D$6),"")</f>
        <v/>
      </c>
      <c r="O54" s="100" t="str">
        <f ca="1">IFERROR([1]!IntrinioHistoricalPrices(ticker,"adj_volume",$B54,$D$4,$D$5,$D$6),"")</f>
        <v/>
      </c>
    </row>
    <row r="55" spans="2:15" x14ac:dyDescent="0.45">
      <c r="B55" s="49">
        <f t="shared" si="0"/>
        <v>46</v>
      </c>
      <c r="C55" s="165" t="str">
        <f ca="1">IFERROR([1]!IntrinioHistoricalPrices(ticker,"date",$B55,$D$4,$D$5,$D$6),"")</f>
        <v/>
      </c>
      <c r="D55" s="99" t="str">
        <f ca="1">IFERROR([1]!IntrinioHistoricalPrices(ticker,"open",$B55,$D$4,$D$5,$D$6),"")</f>
        <v/>
      </c>
      <c r="E55" s="99" t="str">
        <f ca="1">IFERROR([1]!IntrinioHistoricalPrices(ticker,"high",$B55,$D$4,$D$5,$D$6),"")</f>
        <v/>
      </c>
      <c r="F55" s="99" t="str">
        <f ca="1">IFERROR([1]!IntrinioHistoricalPrices(ticker,"low",$B55,$D$4,$D$5,$D$6),"")</f>
        <v/>
      </c>
      <c r="G55" s="99" t="str">
        <f ca="1">IFERROR([1]!IntrinioHistoricalPrices(ticker,"close",$B55,$D$4,$D$5,$D$6),"")</f>
        <v/>
      </c>
      <c r="H55" s="100" t="str">
        <f ca="1">IFERROR([1]!IntrinioHistoricalPrices(ticker,"volume",$B55,$D$4,$D$5,$D$6),"")</f>
        <v/>
      </c>
      <c r="I55" s="101" t="str">
        <f ca="1">IFERROR([1]!IntrinioHistoricalPrices(ticker,"split_ratio",$B55,$D$4,$D$5,$D$6),"")</f>
        <v/>
      </c>
      <c r="J55" s="99" t="str">
        <f ca="1">IFERROR([1]!IntrinioHistoricalPrices(ticker,"ex_dividend",$B55,$D$4,$D$5,$D$6),"")</f>
        <v/>
      </c>
      <c r="K55" s="99" t="str">
        <f ca="1">IFERROR([1]!IntrinioHistoricalPrices(ticker,"adj_open",$B55,$D$4,$D$5,$D$6),"")</f>
        <v/>
      </c>
      <c r="L55" s="99" t="str">
        <f ca="1">IFERROR([1]!IntrinioHistoricalPrices(ticker,"adj_high",$B55,$D$4,$D$5,$D$6),"")</f>
        <v/>
      </c>
      <c r="M55" s="99" t="str">
        <f ca="1">IFERROR([1]!IntrinioHistoricalPrices(ticker,"adj_low",$B55,$D$4,$D$5,$D$6),"")</f>
        <v/>
      </c>
      <c r="N55" s="99" t="str">
        <f ca="1">IFERROR([1]!IntrinioHistoricalPrices(ticker,"adj_close",$B55,$D$4,$D$5,$D$6),"")</f>
        <v/>
      </c>
      <c r="O55" s="100" t="str">
        <f ca="1">IFERROR([1]!IntrinioHistoricalPrices(ticker,"adj_volume",$B55,$D$4,$D$5,$D$6),"")</f>
        <v/>
      </c>
    </row>
    <row r="56" spans="2:15" x14ac:dyDescent="0.45">
      <c r="B56" s="49">
        <f t="shared" si="0"/>
        <v>47</v>
      </c>
      <c r="C56" s="165" t="str">
        <f ca="1">IFERROR([1]!IntrinioHistoricalPrices(ticker,"date",$B56,$D$4,$D$5,$D$6),"")</f>
        <v/>
      </c>
      <c r="D56" s="99" t="str">
        <f ca="1">IFERROR([1]!IntrinioHistoricalPrices(ticker,"open",$B56,$D$4,$D$5,$D$6),"")</f>
        <v/>
      </c>
      <c r="E56" s="99" t="str">
        <f ca="1">IFERROR([1]!IntrinioHistoricalPrices(ticker,"high",$B56,$D$4,$D$5,$D$6),"")</f>
        <v/>
      </c>
      <c r="F56" s="99" t="str">
        <f ca="1">IFERROR([1]!IntrinioHistoricalPrices(ticker,"low",$B56,$D$4,$D$5,$D$6),"")</f>
        <v/>
      </c>
      <c r="G56" s="99" t="str">
        <f ca="1">IFERROR([1]!IntrinioHistoricalPrices(ticker,"close",$B56,$D$4,$D$5,$D$6),"")</f>
        <v/>
      </c>
      <c r="H56" s="100" t="str">
        <f ca="1">IFERROR([1]!IntrinioHistoricalPrices(ticker,"volume",$B56,$D$4,$D$5,$D$6),"")</f>
        <v/>
      </c>
      <c r="I56" s="101" t="str">
        <f ca="1">IFERROR([1]!IntrinioHistoricalPrices(ticker,"split_ratio",$B56,$D$4,$D$5,$D$6),"")</f>
        <v/>
      </c>
      <c r="J56" s="99" t="str">
        <f ca="1">IFERROR([1]!IntrinioHistoricalPrices(ticker,"ex_dividend",$B56,$D$4,$D$5,$D$6),"")</f>
        <v/>
      </c>
      <c r="K56" s="99" t="str">
        <f ca="1">IFERROR([1]!IntrinioHistoricalPrices(ticker,"adj_open",$B56,$D$4,$D$5,$D$6),"")</f>
        <v/>
      </c>
      <c r="L56" s="99" t="str">
        <f ca="1">IFERROR([1]!IntrinioHistoricalPrices(ticker,"adj_high",$B56,$D$4,$D$5,$D$6),"")</f>
        <v/>
      </c>
      <c r="M56" s="99" t="str">
        <f ca="1">IFERROR([1]!IntrinioHistoricalPrices(ticker,"adj_low",$B56,$D$4,$D$5,$D$6),"")</f>
        <v/>
      </c>
      <c r="N56" s="99" t="str">
        <f ca="1">IFERROR([1]!IntrinioHistoricalPrices(ticker,"adj_close",$B56,$D$4,$D$5,$D$6),"")</f>
        <v/>
      </c>
      <c r="O56" s="100" t="str">
        <f ca="1">IFERROR([1]!IntrinioHistoricalPrices(ticker,"adj_volume",$B56,$D$4,$D$5,$D$6),"")</f>
        <v/>
      </c>
    </row>
    <row r="57" spans="2:15" x14ac:dyDescent="0.45">
      <c r="B57" s="49">
        <f t="shared" si="0"/>
        <v>48</v>
      </c>
      <c r="C57" s="165" t="str">
        <f ca="1">IFERROR([1]!IntrinioHistoricalPrices(ticker,"date",$B57,$D$4,$D$5,$D$6),"")</f>
        <v/>
      </c>
      <c r="D57" s="99" t="str">
        <f ca="1">IFERROR([1]!IntrinioHistoricalPrices(ticker,"open",$B57,$D$4,$D$5,$D$6),"")</f>
        <v/>
      </c>
      <c r="E57" s="99" t="str">
        <f ca="1">IFERROR([1]!IntrinioHistoricalPrices(ticker,"high",$B57,$D$4,$D$5,$D$6),"")</f>
        <v/>
      </c>
      <c r="F57" s="99" t="str">
        <f ca="1">IFERROR([1]!IntrinioHistoricalPrices(ticker,"low",$B57,$D$4,$D$5,$D$6),"")</f>
        <v/>
      </c>
      <c r="G57" s="99" t="str">
        <f ca="1">IFERROR([1]!IntrinioHistoricalPrices(ticker,"close",$B57,$D$4,$D$5,$D$6),"")</f>
        <v/>
      </c>
      <c r="H57" s="100" t="str">
        <f ca="1">IFERROR([1]!IntrinioHistoricalPrices(ticker,"volume",$B57,$D$4,$D$5,$D$6),"")</f>
        <v/>
      </c>
      <c r="I57" s="101" t="str">
        <f ca="1">IFERROR([1]!IntrinioHistoricalPrices(ticker,"split_ratio",$B57,$D$4,$D$5,$D$6),"")</f>
        <v/>
      </c>
      <c r="J57" s="99" t="str">
        <f ca="1">IFERROR([1]!IntrinioHistoricalPrices(ticker,"ex_dividend",$B57,$D$4,$D$5,$D$6),"")</f>
        <v/>
      </c>
      <c r="K57" s="99" t="str">
        <f ca="1">IFERROR([1]!IntrinioHistoricalPrices(ticker,"adj_open",$B57,$D$4,$D$5,$D$6),"")</f>
        <v/>
      </c>
      <c r="L57" s="99" t="str">
        <f ca="1">IFERROR([1]!IntrinioHistoricalPrices(ticker,"adj_high",$B57,$D$4,$D$5,$D$6),"")</f>
        <v/>
      </c>
      <c r="M57" s="99" t="str">
        <f ca="1">IFERROR([1]!IntrinioHistoricalPrices(ticker,"adj_low",$B57,$D$4,$D$5,$D$6),"")</f>
        <v/>
      </c>
      <c r="N57" s="99" t="str">
        <f ca="1">IFERROR([1]!IntrinioHistoricalPrices(ticker,"adj_close",$B57,$D$4,$D$5,$D$6),"")</f>
        <v/>
      </c>
      <c r="O57" s="100" t="str">
        <f ca="1">IFERROR([1]!IntrinioHistoricalPrices(ticker,"adj_volume",$B57,$D$4,$D$5,$D$6),"")</f>
        <v/>
      </c>
    </row>
    <row r="58" spans="2:15" x14ac:dyDescent="0.45">
      <c r="B58" s="49">
        <f t="shared" si="0"/>
        <v>49</v>
      </c>
      <c r="C58" s="165" t="str">
        <f ca="1">IFERROR([1]!IntrinioHistoricalPrices(ticker,"date",$B58,$D$4,$D$5,$D$6),"")</f>
        <v/>
      </c>
      <c r="D58" s="99" t="str">
        <f ca="1">IFERROR([1]!IntrinioHistoricalPrices(ticker,"open",$B58,$D$4,$D$5,$D$6),"")</f>
        <v/>
      </c>
      <c r="E58" s="99" t="str">
        <f ca="1">IFERROR([1]!IntrinioHistoricalPrices(ticker,"high",$B58,$D$4,$D$5,$D$6),"")</f>
        <v/>
      </c>
      <c r="F58" s="99" t="str">
        <f ca="1">IFERROR([1]!IntrinioHistoricalPrices(ticker,"low",$B58,$D$4,$D$5,$D$6),"")</f>
        <v/>
      </c>
      <c r="G58" s="99" t="str">
        <f ca="1">IFERROR([1]!IntrinioHistoricalPrices(ticker,"close",$B58,$D$4,$D$5,$D$6),"")</f>
        <v/>
      </c>
      <c r="H58" s="100" t="str">
        <f ca="1">IFERROR([1]!IntrinioHistoricalPrices(ticker,"volume",$B58,$D$4,$D$5,$D$6),"")</f>
        <v/>
      </c>
      <c r="I58" s="101" t="str">
        <f ca="1">IFERROR([1]!IntrinioHistoricalPrices(ticker,"split_ratio",$B58,$D$4,$D$5,$D$6),"")</f>
        <v/>
      </c>
      <c r="J58" s="99" t="str">
        <f ca="1">IFERROR([1]!IntrinioHistoricalPrices(ticker,"ex_dividend",$B58,$D$4,$D$5,$D$6),"")</f>
        <v/>
      </c>
      <c r="K58" s="99" t="str">
        <f ca="1">IFERROR([1]!IntrinioHistoricalPrices(ticker,"adj_open",$B58,$D$4,$D$5,$D$6),"")</f>
        <v/>
      </c>
      <c r="L58" s="99" t="str">
        <f ca="1">IFERROR([1]!IntrinioHistoricalPrices(ticker,"adj_high",$B58,$D$4,$D$5,$D$6),"")</f>
        <v/>
      </c>
      <c r="M58" s="99" t="str">
        <f ca="1">IFERROR([1]!IntrinioHistoricalPrices(ticker,"adj_low",$B58,$D$4,$D$5,$D$6),"")</f>
        <v/>
      </c>
      <c r="N58" s="99" t="str">
        <f ca="1">IFERROR([1]!IntrinioHistoricalPrices(ticker,"adj_close",$B58,$D$4,$D$5,$D$6),"")</f>
        <v/>
      </c>
      <c r="O58" s="100" t="str">
        <f ca="1">IFERROR([1]!IntrinioHistoricalPrices(ticker,"adj_volume",$B58,$D$4,$D$5,$D$6),"")</f>
        <v/>
      </c>
    </row>
    <row r="59" spans="2:15" x14ac:dyDescent="0.45">
      <c r="B59" s="49">
        <f t="shared" si="0"/>
        <v>50</v>
      </c>
      <c r="C59" s="165" t="str">
        <f ca="1">IFERROR([1]!IntrinioHistoricalPrices(ticker,"date",$B59,$D$4,$D$5,$D$6),"")</f>
        <v/>
      </c>
      <c r="D59" s="99" t="str">
        <f ca="1">IFERROR([1]!IntrinioHistoricalPrices(ticker,"open",$B59,$D$4,$D$5,$D$6),"")</f>
        <v/>
      </c>
      <c r="E59" s="99" t="str">
        <f ca="1">IFERROR([1]!IntrinioHistoricalPrices(ticker,"high",$B59,$D$4,$D$5,$D$6),"")</f>
        <v/>
      </c>
      <c r="F59" s="99" t="str">
        <f ca="1">IFERROR([1]!IntrinioHistoricalPrices(ticker,"low",$B59,$D$4,$D$5,$D$6),"")</f>
        <v/>
      </c>
      <c r="G59" s="99" t="str">
        <f ca="1">IFERROR([1]!IntrinioHistoricalPrices(ticker,"close",$B59,$D$4,$D$5,$D$6),"")</f>
        <v/>
      </c>
      <c r="H59" s="100" t="str">
        <f ca="1">IFERROR([1]!IntrinioHistoricalPrices(ticker,"volume",$B59,$D$4,$D$5,$D$6),"")</f>
        <v/>
      </c>
      <c r="I59" s="101" t="str">
        <f ca="1">IFERROR([1]!IntrinioHistoricalPrices(ticker,"split_ratio",$B59,$D$4,$D$5,$D$6),"")</f>
        <v/>
      </c>
      <c r="J59" s="99" t="str">
        <f ca="1">IFERROR([1]!IntrinioHistoricalPrices(ticker,"ex_dividend",$B59,$D$4,$D$5,$D$6),"")</f>
        <v/>
      </c>
      <c r="K59" s="99" t="str">
        <f ca="1">IFERROR([1]!IntrinioHistoricalPrices(ticker,"adj_open",$B59,$D$4,$D$5,$D$6),"")</f>
        <v/>
      </c>
      <c r="L59" s="99" t="str">
        <f ca="1">IFERROR([1]!IntrinioHistoricalPrices(ticker,"adj_high",$B59,$D$4,$D$5,$D$6),"")</f>
        <v/>
      </c>
      <c r="M59" s="99" t="str">
        <f ca="1">IFERROR([1]!IntrinioHistoricalPrices(ticker,"adj_low",$B59,$D$4,$D$5,$D$6),"")</f>
        <v/>
      </c>
      <c r="N59" s="99" t="str">
        <f ca="1">IFERROR([1]!IntrinioHistoricalPrices(ticker,"adj_close",$B59,$D$4,$D$5,$D$6),"")</f>
        <v/>
      </c>
      <c r="O59" s="100" t="str">
        <f ca="1">IFERROR([1]!IntrinioHistoricalPrices(ticker,"adj_volume",$B59,$D$4,$D$5,$D$6),"")</f>
        <v/>
      </c>
    </row>
    <row r="60" spans="2:15" x14ac:dyDescent="0.45">
      <c r="B60" s="49">
        <f t="shared" si="0"/>
        <v>51</v>
      </c>
      <c r="C60" s="165" t="str">
        <f ca="1">IFERROR([1]!IntrinioHistoricalPrices(ticker,"date",$B60,$D$4,$D$5,$D$6),"")</f>
        <v/>
      </c>
      <c r="D60" s="99" t="str">
        <f ca="1">IFERROR([1]!IntrinioHistoricalPrices(ticker,"open",$B60,$D$4,$D$5,$D$6),"")</f>
        <v/>
      </c>
      <c r="E60" s="99" t="str">
        <f ca="1">IFERROR([1]!IntrinioHistoricalPrices(ticker,"high",$B60,$D$4,$D$5,$D$6),"")</f>
        <v/>
      </c>
      <c r="F60" s="99" t="str">
        <f ca="1">IFERROR([1]!IntrinioHistoricalPrices(ticker,"low",$B60,$D$4,$D$5,$D$6),"")</f>
        <v/>
      </c>
      <c r="G60" s="99" t="str">
        <f ca="1">IFERROR([1]!IntrinioHistoricalPrices(ticker,"close",$B60,$D$4,$D$5,$D$6),"")</f>
        <v/>
      </c>
      <c r="H60" s="100" t="str">
        <f ca="1">IFERROR([1]!IntrinioHistoricalPrices(ticker,"volume",$B60,$D$4,$D$5,$D$6),"")</f>
        <v/>
      </c>
      <c r="I60" s="101" t="str">
        <f ca="1">IFERROR([1]!IntrinioHistoricalPrices(ticker,"split_ratio",$B60,$D$4,$D$5,$D$6),"")</f>
        <v/>
      </c>
      <c r="J60" s="99" t="str">
        <f ca="1">IFERROR([1]!IntrinioHistoricalPrices(ticker,"ex_dividend",$B60,$D$4,$D$5,$D$6),"")</f>
        <v/>
      </c>
      <c r="K60" s="99" t="str">
        <f ca="1">IFERROR([1]!IntrinioHistoricalPrices(ticker,"adj_open",$B60,$D$4,$D$5,$D$6),"")</f>
        <v/>
      </c>
      <c r="L60" s="99" t="str">
        <f ca="1">IFERROR([1]!IntrinioHistoricalPrices(ticker,"adj_high",$B60,$D$4,$D$5,$D$6),"")</f>
        <v/>
      </c>
      <c r="M60" s="99" t="str">
        <f ca="1">IFERROR([1]!IntrinioHistoricalPrices(ticker,"adj_low",$B60,$D$4,$D$5,$D$6),"")</f>
        <v/>
      </c>
      <c r="N60" s="99" t="str">
        <f ca="1">IFERROR([1]!IntrinioHistoricalPrices(ticker,"adj_close",$B60,$D$4,$D$5,$D$6),"")</f>
        <v/>
      </c>
      <c r="O60" s="100" t="str">
        <f ca="1">IFERROR([1]!IntrinioHistoricalPrices(ticker,"adj_volume",$B60,$D$4,$D$5,$D$6),"")</f>
        <v/>
      </c>
    </row>
    <row r="61" spans="2:15" x14ac:dyDescent="0.45">
      <c r="B61" s="49">
        <f t="shared" si="0"/>
        <v>52</v>
      </c>
      <c r="C61" s="165" t="str">
        <f ca="1">IFERROR([1]!IntrinioHistoricalPrices(ticker,"date",$B61,$D$4,$D$5,$D$6),"")</f>
        <v/>
      </c>
      <c r="D61" s="99" t="str">
        <f ca="1">IFERROR([1]!IntrinioHistoricalPrices(ticker,"open",$B61,$D$4,$D$5,$D$6),"")</f>
        <v/>
      </c>
      <c r="E61" s="99" t="str">
        <f ca="1">IFERROR([1]!IntrinioHistoricalPrices(ticker,"high",$B61,$D$4,$D$5,$D$6),"")</f>
        <v/>
      </c>
      <c r="F61" s="99" t="str">
        <f ca="1">IFERROR([1]!IntrinioHistoricalPrices(ticker,"low",$B61,$D$4,$D$5,$D$6),"")</f>
        <v/>
      </c>
      <c r="G61" s="99" t="str">
        <f ca="1">IFERROR([1]!IntrinioHistoricalPrices(ticker,"close",$B61,$D$4,$D$5,$D$6),"")</f>
        <v/>
      </c>
      <c r="H61" s="100" t="str">
        <f ca="1">IFERROR([1]!IntrinioHistoricalPrices(ticker,"volume",$B61,$D$4,$D$5,$D$6),"")</f>
        <v/>
      </c>
      <c r="I61" s="101" t="str">
        <f ca="1">IFERROR([1]!IntrinioHistoricalPrices(ticker,"split_ratio",$B61,$D$4,$D$5,$D$6),"")</f>
        <v/>
      </c>
      <c r="J61" s="99" t="str">
        <f ca="1">IFERROR([1]!IntrinioHistoricalPrices(ticker,"ex_dividend",$B61,$D$4,$D$5,$D$6),"")</f>
        <v/>
      </c>
      <c r="K61" s="99" t="str">
        <f ca="1">IFERROR([1]!IntrinioHistoricalPrices(ticker,"adj_open",$B61,$D$4,$D$5,$D$6),"")</f>
        <v/>
      </c>
      <c r="L61" s="99" t="str">
        <f ca="1">IFERROR([1]!IntrinioHistoricalPrices(ticker,"adj_high",$B61,$D$4,$D$5,$D$6),"")</f>
        <v/>
      </c>
      <c r="M61" s="99" t="str">
        <f ca="1">IFERROR([1]!IntrinioHistoricalPrices(ticker,"adj_low",$B61,$D$4,$D$5,$D$6),"")</f>
        <v/>
      </c>
      <c r="N61" s="99" t="str">
        <f ca="1">IFERROR([1]!IntrinioHistoricalPrices(ticker,"adj_close",$B61,$D$4,$D$5,$D$6),"")</f>
        <v/>
      </c>
      <c r="O61" s="100" t="str">
        <f ca="1">IFERROR([1]!IntrinioHistoricalPrices(ticker,"adj_volume",$B61,$D$4,$D$5,$D$6),"")</f>
        <v/>
      </c>
    </row>
    <row r="62" spans="2:15" x14ac:dyDescent="0.45">
      <c r="B62" s="49">
        <f t="shared" si="0"/>
        <v>53</v>
      </c>
      <c r="C62" s="165" t="str">
        <f ca="1">IFERROR([1]!IntrinioHistoricalPrices(ticker,"date",$B62,$D$4,$D$5,$D$6),"")</f>
        <v/>
      </c>
      <c r="D62" s="99" t="str">
        <f ca="1">IFERROR([1]!IntrinioHistoricalPrices(ticker,"open",$B62,$D$4,$D$5,$D$6),"")</f>
        <v/>
      </c>
      <c r="E62" s="99" t="str">
        <f ca="1">IFERROR([1]!IntrinioHistoricalPrices(ticker,"high",$B62,$D$4,$D$5,$D$6),"")</f>
        <v/>
      </c>
      <c r="F62" s="99" t="str">
        <f ca="1">IFERROR([1]!IntrinioHistoricalPrices(ticker,"low",$B62,$D$4,$D$5,$D$6),"")</f>
        <v/>
      </c>
      <c r="G62" s="99" t="str">
        <f ca="1">IFERROR([1]!IntrinioHistoricalPrices(ticker,"close",$B62,$D$4,$D$5,$D$6),"")</f>
        <v/>
      </c>
      <c r="H62" s="100" t="str">
        <f ca="1">IFERROR([1]!IntrinioHistoricalPrices(ticker,"volume",$B62,$D$4,$D$5,$D$6),"")</f>
        <v/>
      </c>
      <c r="I62" s="101" t="str">
        <f ca="1">IFERROR([1]!IntrinioHistoricalPrices(ticker,"split_ratio",$B62,$D$4,$D$5,$D$6),"")</f>
        <v/>
      </c>
      <c r="J62" s="99" t="str">
        <f ca="1">IFERROR([1]!IntrinioHistoricalPrices(ticker,"ex_dividend",$B62,$D$4,$D$5,$D$6),"")</f>
        <v/>
      </c>
      <c r="K62" s="99" t="str">
        <f ca="1">IFERROR([1]!IntrinioHistoricalPrices(ticker,"adj_open",$B62,$D$4,$D$5,$D$6),"")</f>
        <v/>
      </c>
      <c r="L62" s="99" t="str">
        <f ca="1">IFERROR([1]!IntrinioHistoricalPrices(ticker,"adj_high",$B62,$D$4,$D$5,$D$6),"")</f>
        <v/>
      </c>
      <c r="M62" s="99" t="str">
        <f ca="1">IFERROR([1]!IntrinioHistoricalPrices(ticker,"adj_low",$B62,$D$4,$D$5,$D$6),"")</f>
        <v/>
      </c>
      <c r="N62" s="99" t="str">
        <f ca="1">IFERROR([1]!IntrinioHistoricalPrices(ticker,"adj_close",$B62,$D$4,$D$5,$D$6),"")</f>
        <v/>
      </c>
      <c r="O62" s="100" t="str">
        <f ca="1">IFERROR([1]!IntrinioHistoricalPrices(ticker,"adj_volume",$B62,$D$4,$D$5,$D$6),"")</f>
        <v/>
      </c>
    </row>
    <row r="63" spans="2:15" x14ac:dyDescent="0.45">
      <c r="B63" s="49">
        <f t="shared" si="0"/>
        <v>54</v>
      </c>
      <c r="C63" s="165" t="str">
        <f ca="1">IFERROR([1]!IntrinioHistoricalPrices(ticker,"date",$B63,$D$4,$D$5,$D$6),"")</f>
        <v/>
      </c>
      <c r="D63" s="99" t="str">
        <f ca="1">IFERROR([1]!IntrinioHistoricalPrices(ticker,"open",$B63,$D$4,$D$5,$D$6),"")</f>
        <v/>
      </c>
      <c r="E63" s="99" t="str">
        <f ca="1">IFERROR([1]!IntrinioHistoricalPrices(ticker,"high",$B63,$D$4,$D$5,$D$6),"")</f>
        <v/>
      </c>
      <c r="F63" s="99" t="str">
        <f ca="1">IFERROR([1]!IntrinioHistoricalPrices(ticker,"low",$B63,$D$4,$D$5,$D$6),"")</f>
        <v/>
      </c>
      <c r="G63" s="99" t="str">
        <f ca="1">IFERROR([1]!IntrinioHistoricalPrices(ticker,"close",$B63,$D$4,$D$5,$D$6),"")</f>
        <v/>
      </c>
      <c r="H63" s="100" t="str">
        <f ca="1">IFERROR([1]!IntrinioHistoricalPrices(ticker,"volume",$B63,$D$4,$D$5,$D$6),"")</f>
        <v/>
      </c>
      <c r="I63" s="101" t="str">
        <f ca="1">IFERROR([1]!IntrinioHistoricalPrices(ticker,"split_ratio",$B63,$D$4,$D$5,$D$6),"")</f>
        <v/>
      </c>
      <c r="J63" s="99" t="str">
        <f ca="1">IFERROR([1]!IntrinioHistoricalPrices(ticker,"ex_dividend",$B63,$D$4,$D$5,$D$6),"")</f>
        <v/>
      </c>
      <c r="K63" s="99" t="str">
        <f ca="1">IFERROR([1]!IntrinioHistoricalPrices(ticker,"adj_open",$B63,$D$4,$D$5,$D$6),"")</f>
        <v/>
      </c>
      <c r="L63" s="99" t="str">
        <f ca="1">IFERROR([1]!IntrinioHistoricalPrices(ticker,"adj_high",$B63,$D$4,$D$5,$D$6),"")</f>
        <v/>
      </c>
      <c r="M63" s="99" t="str">
        <f ca="1">IFERROR([1]!IntrinioHistoricalPrices(ticker,"adj_low",$B63,$D$4,$D$5,$D$6),"")</f>
        <v/>
      </c>
      <c r="N63" s="99" t="str">
        <f ca="1">IFERROR([1]!IntrinioHistoricalPrices(ticker,"adj_close",$B63,$D$4,$D$5,$D$6),"")</f>
        <v/>
      </c>
      <c r="O63" s="100" t="str">
        <f ca="1">IFERROR([1]!IntrinioHistoricalPrices(ticker,"adj_volume",$B63,$D$4,$D$5,$D$6),"")</f>
        <v/>
      </c>
    </row>
    <row r="64" spans="2:15" x14ac:dyDescent="0.45">
      <c r="B64" s="49">
        <f t="shared" si="0"/>
        <v>55</v>
      </c>
      <c r="C64" s="165" t="str">
        <f ca="1">IFERROR([1]!IntrinioHistoricalPrices(ticker,"date",$B64,$D$4,$D$5,$D$6),"")</f>
        <v/>
      </c>
      <c r="D64" s="99" t="str">
        <f ca="1">IFERROR([1]!IntrinioHistoricalPrices(ticker,"open",$B64,$D$4,$D$5,$D$6),"")</f>
        <v/>
      </c>
      <c r="E64" s="99" t="str">
        <f ca="1">IFERROR([1]!IntrinioHistoricalPrices(ticker,"high",$B64,$D$4,$D$5,$D$6),"")</f>
        <v/>
      </c>
      <c r="F64" s="99" t="str">
        <f ca="1">IFERROR([1]!IntrinioHistoricalPrices(ticker,"low",$B64,$D$4,$D$5,$D$6),"")</f>
        <v/>
      </c>
      <c r="G64" s="99" t="str">
        <f ca="1">IFERROR([1]!IntrinioHistoricalPrices(ticker,"close",$B64,$D$4,$D$5,$D$6),"")</f>
        <v/>
      </c>
      <c r="H64" s="100" t="str">
        <f ca="1">IFERROR([1]!IntrinioHistoricalPrices(ticker,"volume",$B64,$D$4,$D$5,$D$6),"")</f>
        <v/>
      </c>
      <c r="I64" s="101" t="str">
        <f ca="1">IFERROR([1]!IntrinioHistoricalPrices(ticker,"split_ratio",$B64,$D$4,$D$5,$D$6),"")</f>
        <v/>
      </c>
      <c r="J64" s="99" t="str">
        <f ca="1">IFERROR([1]!IntrinioHistoricalPrices(ticker,"ex_dividend",$B64,$D$4,$D$5,$D$6),"")</f>
        <v/>
      </c>
      <c r="K64" s="99" t="str">
        <f ca="1">IFERROR([1]!IntrinioHistoricalPrices(ticker,"adj_open",$B64,$D$4,$D$5,$D$6),"")</f>
        <v/>
      </c>
      <c r="L64" s="99" t="str">
        <f ca="1">IFERROR([1]!IntrinioHistoricalPrices(ticker,"adj_high",$B64,$D$4,$D$5,$D$6),"")</f>
        <v/>
      </c>
      <c r="M64" s="99" t="str">
        <f ca="1">IFERROR([1]!IntrinioHistoricalPrices(ticker,"adj_low",$B64,$D$4,$D$5,$D$6),"")</f>
        <v/>
      </c>
      <c r="N64" s="99" t="str">
        <f ca="1">IFERROR([1]!IntrinioHistoricalPrices(ticker,"adj_close",$B64,$D$4,$D$5,$D$6),"")</f>
        <v/>
      </c>
      <c r="O64" s="100" t="str">
        <f ca="1">IFERROR([1]!IntrinioHistoricalPrices(ticker,"adj_volume",$B64,$D$4,$D$5,$D$6),"")</f>
        <v/>
      </c>
    </row>
    <row r="65" spans="2:15" x14ac:dyDescent="0.45">
      <c r="B65" s="49">
        <f t="shared" si="0"/>
        <v>56</v>
      </c>
      <c r="C65" s="165" t="str">
        <f ca="1">IFERROR([1]!IntrinioHistoricalPrices(ticker,"date",$B65,$D$4,$D$5,$D$6),"")</f>
        <v/>
      </c>
      <c r="D65" s="99" t="str">
        <f ca="1">IFERROR([1]!IntrinioHistoricalPrices(ticker,"open",$B65,$D$4,$D$5,$D$6),"")</f>
        <v/>
      </c>
      <c r="E65" s="99" t="str">
        <f ca="1">IFERROR([1]!IntrinioHistoricalPrices(ticker,"high",$B65,$D$4,$D$5,$D$6),"")</f>
        <v/>
      </c>
      <c r="F65" s="99" t="str">
        <f ca="1">IFERROR([1]!IntrinioHistoricalPrices(ticker,"low",$B65,$D$4,$D$5,$D$6),"")</f>
        <v/>
      </c>
      <c r="G65" s="99" t="str">
        <f ca="1">IFERROR([1]!IntrinioHistoricalPrices(ticker,"close",$B65,$D$4,$D$5,$D$6),"")</f>
        <v/>
      </c>
      <c r="H65" s="100" t="str">
        <f ca="1">IFERROR([1]!IntrinioHistoricalPrices(ticker,"volume",$B65,$D$4,$D$5,$D$6),"")</f>
        <v/>
      </c>
      <c r="I65" s="101" t="str">
        <f ca="1">IFERROR([1]!IntrinioHistoricalPrices(ticker,"split_ratio",$B65,$D$4,$D$5,$D$6),"")</f>
        <v/>
      </c>
      <c r="J65" s="99" t="str">
        <f ca="1">IFERROR([1]!IntrinioHistoricalPrices(ticker,"ex_dividend",$B65,$D$4,$D$5,$D$6),"")</f>
        <v/>
      </c>
      <c r="K65" s="99" t="str">
        <f ca="1">IFERROR([1]!IntrinioHistoricalPrices(ticker,"adj_open",$B65,$D$4,$D$5,$D$6),"")</f>
        <v/>
      </c>
      <c r="L65" s="99" t="str">
        <f ca="1">IFERROR([1]!IntrinioHistoricalPrices(ticker,"adj_high",$B65,$D$4,$D$5,$D$6),"")</f>
        <v/>
      </c>
      <c r="M65" s="99" t="str">
        <f ca="1">IFERROR([1]!IntrinioHistoricalPrices(ticker,"adj_low",$B65,$D$4,$D$5,$D$6),"")</f>
        <v/>
      </c>
      <c r="N65" s="99" t="str">
        <f ca="1">IFERROR([1]!IntrinioHistoricalPrices(ticker,"adj_close",$B65,$D$4,$D$5,$D$6),"")</f>
        <v/>
      </c>
      <c r="O65" s="100" t="str">
        <f ca="1">IFERROR([1]!IntrinioHistoricalPrices(ticker,"adj_volume",$B65,$D$4,$D$5,$D$6),"")</f>
        <v/>
      </c>
    </row>
    <row r="66" spans="2:15" x14ac:dyDescent="0.45">
      <c r="B66" s="49">
        <f t="shared" si="0"/>
        <v>57</v>
      </c>
      <c r="C66" s="165" t="str">
        <f ca="1">IFERROR([1]!IntrinioHistoricalPrices(ticker,"date",$B66,$D$4,$D$5,$D$6),"")</f>
        <v/>
      </c>
      <c r="D66" s="99" t="str">
        <f ca="1">IFERROR([1]!IntrinioHistoricalPrices(ticker,"open",$B66,$D$4,$D$5,$D$6),"")</f>
        <v/>
      </c>
      <c r="E66" s="99" t="str">
        <f ca="1">IFERROR([1]!IntrinioHistoricalPrices(ticker,"high",$B66,$D$4,$D$5,$D$6),"")</f>
        <v/>
      </c>
      <c r="F66" s="99" t="str">
        <f ca="1">IFERROR([1]!IntrinioHistoricalPrices(ticker,"low",$B66,$D$4,$D$5,$D$6),"")</f>
        <v/>
      </c>
      <c r="G66" s="99" t="str">
        <f ca="1">IFERROR([1]!IntrinioHistoricalPrices(ticker,"close",$B66,$D$4,$D$5,$D$6),"")</f>
        <v/>
      </c>
      <c r="H66" s="100" t="str">
        <f ca="1">IFERROR([1]!IntrinioHistoricalPrices(ticker,"volume",$B66,$D$4,$D$5,$D$6),"")</f>
        <v/>
      </c>
      <c r="I66" s="101" t="str">
        <f ca="1">IFERROR([1]!IntrinioHistoricalPrices(ticker,"split_ratio",$B66,$D$4,$D$5,$D$6),"")</f>
        <v/>
      </c>
      <c r="J66" s="99" t="str">
        <f ca="1">IFERROR([1]!IntrinioHistoricalPrices(ticker,"ex_dividend",$B66,$D$4,$D$5,$D$6),"")</f>
        <v/>
      </c>
      <c r="K66" s="99" t="str">
        <f ca="1">IFERROR([1]!IntrinioHistoricalPrices(ticker,"adj_open",$B66,$D$4,$D$5,$D$6),"")</f>
        <v/>
      </c>
      <c r="L66" s="99" t="str">
        <f ca="1">IFERROR([1]!IntrinioHistoricalPrices(ticker,"adj_high",$B66,$D$4,$D$5,$D$6),"")</f>
        <v/>
      </c>
      <c r="M66" s="99" t="str">
        <f ca="1">IFERROR([1]!IntrinioHistoricalPrices(ticker,"adj_low",$B66,$D$4,$D$5,$D$6),"")</f>
        <v/>
      </c>
      <c r="N66" s="99" t="str">
        <f ca="1">IFERROR([1]!IntrinioHistoricalPrices(ticker,"adj_close",$B66,$D$4,$D$5,$D$6),"")</f>
        <v/>
      </c>
      <c r="O66" s="100" t="str">
        <f ca="1">IFERROR([1]!IntrinioHistoricalPrices(ticker,"adj_volume",$B66,$D$4,$D$5,$D$6),"")</f>
        <v/>
      </c>
    </row>
    <row r="67" spans="2:15" x14ac:dyDescent="0.45">
      <c r="B67" s="49">
        <f t="shared" si="0"/>
        <v>58</v>
      </c>
      <c r="C67" s="165" t="str">
        <f ca="1">IFERROR([1]!IntrinioHistoricalPrices(ticker,"date",$B67,$D$4,$D$5,$D$6),"")</f>
        <v/>
      </c>
      <c r="D67" s="99" t="str">
        <f ca="1">IFERROR([1]!IntrinioHistoricalPrices(ticker,"open",$B67,$D$4,$D$5,$D$6),"")</f>
        <v/>
      </c>
      <c r="E67" s="99" t="str">
        <f ca="1">IFERROR([1]!IntrinioHistoricalPrices(ticker,"high",$B67,$D$4,$D$5,$D$6),"")</f>
        <v/>
      </c>
      <c r="F67" s="99" t="str">
        <f ca="1">IFERROR([1]!IntrinioHistoricalPrices(ticker,"low",$B67,$D$4,$D$5,$D$6),"")</f>
        <v/>
      </c>
      <c r="G67" s="99" t="str">
        <f ca="1">IFERROR([1]!IntrinioHistoricalPrices(ticker,"close",$B67,$D$4,$D$5,$D$6),"")</f>
        <v/>
      </c>
      <c r="H67" s="100" t="str">
        <f ca="1">IFERROR([1]!IntrinioHistoricalPrices(ticker,"volume",$B67,$D$4,$D$5,$D$6),"")</f>
        <v/>
      </c>
      <c r="I67" s="101" t="str">
        <f ca="1">IFERROR([1]!IntrinioHistoricalPrices(ticker,"split_ratio",$B67,$D$4,$D$5,$D$6),"")</f>
        <v/>
      </c>
      <c r="J67" s="99" t="str">
        <f ca="1">IFERROR([1]!IntrinioHistoricalPrices(ticker,"ex_dividend",$B67,$D$4,$D$5,$D$6),"")</f>
        <v/>
      </c>
      <c r="K67" s="99" t="str">
        <f ca="1">IFERROR([1]!IntrinioHistoricalPrices(ticker,"adj_open",$B67,$D$4,$D$5,$D$6),"")</f>
        <v/>
      </c>
      <c r="L67" s="99" t="str">
        <f ca="1">IFERROR([1]!IntrinioHistoricalPrices(ticker,"adj_high",$B67,$D$4,$D$5,$D$6),"")</f>
        <v/>
      </c>
      <c r="M67" s="99" t="str">
        <f ca="1">IFERROR([1]!IntrinioHistoricalPrices(ticker,"adj_low",$B67,$D$4,$D$5,$D$6),"")</f>
        <v/>
      </c>
      <c r="N67" s="99" t="str">
        <f ca="1">IFERROR([1]!IntrinioHistoricalPrices(ticker,"adj_close",$B67,$D$4,$D$5,$D$6),"")</f>
        <v/>
      </c>
      <c r="O67" s="100" t="str">
        <f ca="1">IFERROR([1]!IntrinioHistoricalPrices(ticker,"adj_volume",$B67,$D$4,$D$5,$D$6),"")</f>
        <v/>
      </c>
    </row>
    <row r="68" spans="2:15" x14ac:dyDescent="0.45">
      <c r="B68" s="49">
        <f t="shared" si="0"/>
        <v>59</v>
      </c>
      <c r="C68" s="165" t="str">
        <f ca="1">IFERROR([1]!IntrinioHistoricalPrices(ticker,"date",$B68,$D$4,$D$5,$D$6),"")</f>
        <v/>
      </c>
      <c r="D68" s="99" t="str">
        <f ca="1">IFERROR([1]!IntrinioHistoricalPrices(ticker,"open",$B68,$D$4,$D$5,$D$6),"")</f>
        <v/>
      </c>
      <c r="E68" s="99" t="str">
        <f ca="1">IFERROR([1]!IntrinioHistoricalPrices(ticker,"high",$B68,$D$4,$D$5,$D$6),"")</f>
        <v/>
      </c>
      <c r="F68" s="99" t="str">
        <f ca="1">IFERROR([1]!IntrinioHistoricalPrices(ticker,"low",$B68,$D$4,$D$5,$D$6),"")</f>
        <v/>
      </c>
      <c r="G68" s="99" t="str">
        <f ca="1">IFERROR([1]!IntrinioHistoricalPrices(ticker,"close",$B68,$D$4,$D$5,$D$6),"")</f>
        <v/>
      </c>
      <c r="H68" s="100" t="str">
        <f ca="1">IFERROR([1]!IntrinioHistoricalPrices(ticker,"volume",$B68,$D$4,$D$5,$D$6),"")</f>
        <v/>
      </c>
      <c r="I68" s="101" t="str">
        <f ca="1">IFERROR([1]!IntrinioHistoricalPrices(ticker,"split_ratio",$B68,$D$4,$D$5,$D$6),"")</f>
        <v/>
      </c>
      <c r="J68" s="99" t="str">
        <f ca="1">IFERROR([1]!IntrinioHistoricalPrices(ticker,"ex_dividend",$B68,$D$4,$D$5,$D$6),"")</f>
        <v/>
      </c>
      <c r="K68" s="99" t="str">
        <f ca="1">IFERROR([1]!IntrinioHistoricalPrices(ticker,"adj_open",$B68,$D$4,$D$5,$D$6),"")</f>
        <v/>
      </c>
      <c r="L68" s="99" t="str">
        <f ca="1">IFERROR([1]!IntrinioHistoricalPrices(ticker,"adj_high",$B68,$D$4,$D$5,$D$6),"")</f>
        <v/>
      </c>
      <c r="M68" s="99" t="str">
        <f ca="1">IFERROR([1]!IntrinioHistoricalPrices(ticker,"adj_low",$B68,$D$4,$D$5,$D$6),"")</f>
        <v/>
      </c>
      <c r="N68" s="99" t="str">
        <f ca="1">IFERROR([1]!IntrinioHistoricalPrices(ticker,"adj_close",$B68,$D$4,$D$5,$D$6),"")</f>
        <v/>
      </c>
      <c r="O68" s="100" t="str">
        <f ca="1">IFERROR([1]!IntrinioHistoricalPrices(ticker,"adj_volume",$B68,$D$4,$D$5,$D$6),"")</f>
        <v/>
      </c>
    </row>
    <row r="69" spans="2:15" x14ac:dyDescent="0.45">
      <c r="B69" s="49">
        <f t="shared" si="0"/>
        <v>60</v>
      </c>
      <c r="C69" s="165" t="str">
        <f ca="1">IFERROR([1]!IntrinioHistoricalPrices(ticker,"date",$B69,$D$4,$D$5,$D$6),"")</f>
        <v/>
      </c>
      <c r="D69" s="99" t="str">
        <f ca="1">IFERROR([1]!IntrinioHistoricalPrices(ticker,"open",$B69,$D$4,$D$5,$D$6),"")</f>
        <v/>
      </c>
      <c r="E69" s="99" t="str">
        <f ca="1">IFERROR([1]!IntrinioHistoricalPrices(ticker,"high",$B69,$D$4,$D$5,$D$6),"")</f>
        <v/>
      </c>
      <c r="F69" s="99" t="str">
        <f ca="1">IFERROR([1]!IntrinioHistoricalPrices(ticker,"low",$B69,$D$4,$D$5,$D$6),"")</f>
        <v/>
      </c>
      <c r="G69" s="99" t="str">
        <f ca="1">IFERROR([1]!IntrinioHistoricalPrices(ticker,"close",$B69,$D$4,$D$5,$D$6),"")</f>
        <v/>
      </c>
      <c r="H69" s="100" t="str">
        <f ca="1">IFERROR([1]!IntrinioHistoricalPrices(ticker,"volume",$B69,$D$4,$D$5,$D$6),"")</f>
        <v/>
      </c>
      <c r="I69" s="101" t="str">
        <f ca="1">IFERROR([1]!IntrinioHistoricalPrices(ticker,"split_ratio",$B69,$D$4,$D$5,$D$6),"")</f>
        <v/>
      </c>
      <c r="J69" s="99" t="str">
        <f ca="1">IFERROR([1]!IntrinioHistoricalPrices(ticker,"ex_dividend",$B69,$D$4,$D$5,$D$6),"")</f>
        <v/>
      </c>
      <c r="K69" s="99" t="str">
        <f ca="1">IFERROR([1]!IntrinioHistoricalPrices(ticker,"adj_open",$B69,$D$4,$D$5,$D$6),"")</f>
        <v/>
      </c>
      <c r="L69" s="99" t="str">
        <f ca="1">IFERROR([1]!IntrinioHistoricalPrices(ticker,"adj_high",$B69,$D$4,$D$5,$D$6),"")</f>
        <v/>
      </c>
      <c r="M69" s="99" t="str">
        <f ca="1">IFERROR([1]!IntrinioHistoricalPrices(ticker,"adj_low",$B69,$D$4,$D$5,$D$6),"")</f>
        <v/>
      </c>
      <c r="N69" s="99" t="str">
        <f ca="1">IFERROR([1]!IntrinioHistoricalPrices(ticker,"adj_close",$B69,$D$4,$D$5,$D$6),"")</f>
        <v/>
      </c>
      <c r="O69" s="100" t="str">
        <f ca="1">IFERROR([1]!IntrinioHistoricalPrices(ticker,"adj_volume",$B69,$D$4,$D$5,$D$6),"")</f>
        <v/>
      </c>
    </row>
    <row r="70" spans="2:15" x14ac:dyDescent="0.45">
      <c r="B70" s="49">
        <f t="shared" si="0"/>
        <v>61</v>
      </c>
      <c r="C70" s="165" t="str">
        <f ca="1">IFERROR([1]!IntrinioHistoricalPrices(ticker,"date",$B70,$D$4,$D$5,$D$6),"")</f>
        <v/>
      </c>
      <c r="D70" s="99" t="str">
        <f ca="1">IFERROR([1]!IntrinioHistoricalPrices(ticker,"open",$B70,$D$4,$D$5,$D$6),"")</f>
        <v/>
      </c>
      <c r="E70" s="99" t="str">
        <f ca="1">IFERROR([1]!IntrinioHistoricalPrices(ticker,"high",$B70,$D$4,$D$5,$D$6),"")</f>
        <v/>
      </c>
      <c r="F70" s="99" t="str">
        <f ca="1">IFERROR([1]!IntrinioHistoricalPrices(ticker,"low",$B70,$D$4,$D$5,$D$6),"")</f>
        <v/>
      </c>
      <c r="G70" s="99" t="str">
        <f ca="1">IFERROR([1]!IntrinioHistoricalPrices(ticker,"close",$B70,$D$4,$D$5,$D$6),"")</f>
        <v/>
      </c>
      <c r="H70" s="100" t="str">
        <f ca="1">IFERROR([1]!IntrinioHistoricalPrices(ticker,"volume",$B70,$D$4,$D$5,$D$6),"")</f>
        <v/>
      </c>
      <c r="I70" s="101" t="str">
        <f ca="1">IFERROR([1]!IntrinioHistoricalPrices(ticker,"split_ratio",$B70,$D$4,$D$5,$D$6),"")</f>
        <v/>
      </c>
      <c r="J70" s="99" t="str">
        <f ca="1">IFERROR([1]!IntrinioHistoricalPrices(ticker,"ex_dividend",$B70,$D$4,$D$5,$D$6),"")</f>
        <v/>
      </c>
      <c r="K70" s="99" t="str">
        <f ca="1">IFERROR([1]!IntrinioHistoricalPrices(ticker,"adj_open",$B70,$D$4,$D$5,$D$6),"")</f>
        <v/>
      </c>
      <c r="L70" s="99" t="str">
        <f ca="1">IFERROR([1]!IntrinioHistoricalPrices(ticker,"adj_high",$B70,$D$4,$D$5,$D$6),"")</f>
        <v/>
      </c>
      <c r="M70" s="99" t="str">
        <f ca="1">IFERROR([1]!IntrinioHistoricalPrices(ticker,"adj_low",$B70,$D$4,$D$5,$D$6),"")</f>
        <v/>
      </c>
      <c r="N70" s="99" t="str">
        <f ca="1">IFERROR([1]!IntrinioHistoricalPrices(ticker,"adj_close",$B70,$D$4,$D$5,$D$6),"")</f>
        <v/>
      </c>
      <c r="O70" s="100" t="str">
        <f ca="1">IFERROR([1]!IntrinioHistoricalPrices(ticker,"adj_volume",$B70,$D$4,$D$5,$D$6),"")</f>
        <v/>
      </c>
    </row>
    <row r="71" spans="2:15" x14ac:dyDescent="0.45">
      <c r="B71" s="49">
        <f t="shared" si="0"/>
        <v>62</v>
      </c>
      <c r="C71" s="165" t="str">
        <f ca="1">IFERROR([1]!IntrinioHistoricalPrices(ticker,"date",$B71,$D$4,$D$5,$D$6),"")</f>
        <v/>
      </c>
      <c r="D71" s="99" t="str">
        <f ca="1">IFERROR([1]!IntrinioHistoricalPrices(ticker,"open",$B71,$D$4,$D$5,$D$6),"")</f>
        <v/>
      </c>
      <c r="E71" s="99" t="str">
        <f ca="1">IFERROR([1]!IntrinioHistoricalPrices(ticker,"high",$B71,$D$4,$D$5,$D$6),"")</f>
        <v/>
      </c>
      <c r="F71" s="99" t="str">
        <f ca="1">IFERROR([1]!IntrinioHistoricalPrices(ticker,"low",$B71,$D$4,$D$5,$D$6),"")</f>
        <v/>
      </c>
      <c r="G71" s="99" t="str">
        <f ca="1">IFERROR([1]!IntrinioHistoricalPrices(ticker,"close",$B71,$D$4,$D$5,$D$6),"")</f>
        <v/>
      </c>
      <c r="H71" s="100" t="str">
        <f ca="1">IFERROR([1]!IntrinioHistoricalPrices(ticker,"volume",$B71,$D$4,$D$5,$D$6),"")</f>
        <v/>
      </c>
      <c r="I71" s="101" t="str">
        <f ca="1">IFERROR([1]!IntrinioHistoricalPrices(ticker,"split_ratio",$B71,$D$4,$D$5,$D$6),"")</f>
        <v/>
      </c>
      <c r="J71" s="99" t="str">
        <f ca="1">IFERROR([1]!IntrinioHistoricalPrices(ticker,"ex_dividend",$B71,$D$4,$D$5,$D$6),"")</f>
        <v/>
      </c>
      <c r="K71" s="99" t="str">
        <f ca="1">IFERROR([1]!IntrinioHistoricalPrices(ticker,"adj_open",$B71,$D$4,$D$5,$D$6),"")</f>
        <v/>
      </c>
      <c r="L71" s="99" t="str">
        <f ca="1">IFERROR([1]!IntrinioHistoricalPrices(ticker,"adj_high",$B71,$D$4,$D$5,$D$6),"")</f>
        <v/>
      </c>
      <c r="M71" s="99" t="str">
        <f ca="1">IFERROR([1]!IntrinioHistoricalPrices(ticker,"adj_low",$B71,$D$4,$D$5,$D$6),"")</f>
        <v/>
      </c>
      <c r="N71" s="99" t="str">
        <f ca="1">IFERROR([1]!IntrinioHistoricalPrices(ticker,"adj_close",$B71,$D$4,$D$5,$D$6),"")</f>
        <v/>
      </c>
      <c r="O71" s="100" t="str">
        <f ca="1">IFERROR([1]!IntrinioHistoricalPrices(ticker,"adj_volume",$B71,$D$4,$D$5,$D$6),"")</f>
        <v/>
      </c>
    </row>
    <row r="72" spans="2:15" x14ac:dyDescent="0.45">
      <c r="B72" s="49">
        <f t="shared" si="0"/>
        <v>63</v>
      </c>
      <c r="C72" s="165" t="str">
        <f ca="1">IFERROR([1]!IntrinioHistoricalPrices(ticker,"date",$B72,$D$4,$D$5,$D$6),"")</f>
        <v/>
      </c>
      <c r="D72" s="99" t="str">
        <f ca="1">IFERROR([1]!IntrinioHistoricalPrices(ticker,"open",$B72,$D$4,$D$5,$D$6),"")</f>
        <v/>
      </c>
      <c r="E72" s="99" t="str">
        <f ca="1">IFERROR([1]!IntrinioHistoricalPrices(ticker,"high",$B72,$D$4,$D$5,$D$6),"")</f>
        <v/>
      </c>
      <c r="F72" s="99" t="str">
        <f ca="1">IFERROR([1]!IntrinioHistoricalPrices(ticker,"low",$B72,$D$4,$D$5,$D$6),"")</f>
        <v/>
      </c>
      <c r="G72" s="99" t="str">
        <f ca="1">IFERROR([1]!IntrinioHistoricalPrices(ticker,"close",$B72,$D$4,$D$5,$D$6),"")</f>
        <v/>
      </c>
      <c r="H72" s="100" t="str">
        <f ca="1">IFERROR([1]!IntrinioHistoricalPrices(ticker,"volume",$B72,$D$4,$D$5,$D$6),"")</f>
        <v/>
      </c>
      <c r="I72" s="101" t="str">
        <f ca="1">IFERROR([1]!IntrinioHistoricalPrices(ticker,"split_ratio",$B72,$D$4,$D$5,$D$6),"")</f>
        <v/>
      </c>
      <c r="J72" s="99" t="str">
        <f ca="1">IFERROR([1]!IntrinioHistoricalPrices(ticker,"ex_dividend",$B72,$D$4,$D$5,$D$6),"")</f>
        <v/>
      </c>
      <c r="K72" s="99" t="str">
        <f ca="1">IFERROR([1]!IntrinioHistoricalPrices(ticker,"adj_open",$B72,$D$4,$D$5,$D$6),"")</f>
        <v/>
      </c>
      <c r="L72" s="99" t="str">
        <f ca="1">IFERROR([1]!IntrinioHistoricalPrices(ticker,"adj_high",$B72,$D$4,$D$5,$D$6),"")</f>
        <v/>
      </c>
      <c r="M72" s="99" t="str">
        <f ca="1">IFERROR([1]!IntrinioHistoricalPrices(ticker,"adj_low",$B72,$D$4,$D$5,$D$6),"")</f>
        <v/>
      </c>
      <c r="N72" s="99" t="str">
        <f ca="1">IFERROR([1]!IntrinioHistoricalPrices(ticker,"adj_close",$B72,$D$4,$D$5,$D$6),"")</f>
        <v/>
      </c>
      <c r="O72" s="100" t="str">
        <f ca="1">IFERROR([1]!IntrinioHistoricalPrices(ticker,"adj_volume",$B72,$D$4,$D$5,$D$6),"")</f>
        <v/>
      </c>
    </row>
    <row r="73" spans="2:15" x14ac:dyDescent="0.45">
      <c r="B73" s="49">
        <f t="shared" si="0"/>
        <v>64</v>
      </c>
      <c r="C73" s="165" t="str">
        <f ca="1">IFERROR([1]!IntrinioHistoricalPrices(ticker,"date",$B73,$D$4,$D$5,$D$6),"")</f>
        <v/>
      </c>
      <c r="D73" s="99" t="str">
        <f ca="1">IFERROR([1]!IntrinioHistoricalPrices(ticker,"open",$B73,$D$4,$D$5,$D$6),"")</f>
        <v/>
      </c>
      <c r="E73" s="99" t="str">
        <f ca="1">IFERROR([1]!IntrinioHistoricalPrices(ticker,"high",$B73,$D$4,$D$5,$D$6),"")</f>
        <v/>
      </c>
      <c r="F73" s="99" t="str">
        <f ca="1">IFERROR([1]!IntrinioHistoricalPrices(ticker,"low",$B73,$D$4,$D$5,$D$6),"")</f>
        <v/>
      </c>
      <c r="G73" s="99" t="str">
        <f ca="1">IFERROR([1]!IntrinioHistoricalPrices(ticker,"close",$B73,$D$4,$D$5,$D$6),"")</f>
        <v/>
      </c>
      <c r="H73" s="100" t="str">
        <f ca="1">IFERROR([1]!IntrinioHistoricalPrices(ticker,"volume",$B73,$D$4,$D$5,$D$6),"")</f>
        <v/>
      </c>
      <c r="I73" s="101" t="str">
        <f ca="1">IFERROR([1]!IntrinioHistoricalPrices(ticker,"split_ratio",$B73,$D$4,$D$5,$D$6),"")</f>
        <v/>
      </c>
      <c r="J73" s="99" t="str">
        <f ca="1">IFERROR([1]!IntrinioHistoricalPrices(ticker,"ex_dividend",$B73,$D$4,$D$5,$D$6),"")</f>
        <v/>
      </c>
      <c r="K73" s="99" t="str">
        <f ca="1">IFERROR([1]!IntrinioHistoricalPrices(ticker,"adj_open",$B73,$D$4,$D$5,$D$6),"")</f>
        <v/>
      </c>
      <c r="L73" s="99" t="str">
        <f ca="1">IFERROR([1]!IntrinioHistoricalPrices(ticker,"adj_high",$B73,$D$4,$D$5,$D$6),"")</f>
        <v/>
      </c>
      <c r="M73" s="99" t="str">
        <f ca="1">IFERROR([1]!IntrinioHistoricalPrices(ticker,"adj_low",$B73,$D$4,$D$5,$D$6),"")</f>
        <v/>
      </c>
      <c r="N73" s="99" t="str">
        <f ca="1">IFERROR([1]!IntrinioHistoricalPrices(ticker,"adj_close",$B73,$D$4,$D$5,$D$6),"")</f>
        <v/>
      </c>
      <c r="O73" s="100" t="str">
        <f ca="1">IFERROR([1]!IntrinioHistoricalPrices(ticker,"adj_volume",$B73,$D$4,$D$5,$D$6),"")</f>
        <v/>
      </c>
    </row>
    <row r="74" spans="2:15" x14ac:dyDescent="0.45">
      <c r="B74" s="49">
        <f t="shared" si="0"/>
        <v>65</v>
      </c>
      <c r="C74" s="165" t="str">
        <f ca="1">IFERROR([1]!IntrinioHistoricalPrices(ticker,"date",$B74,$D$4,$D$5,$D$6),"")</f>
        <v/>
      </c>
      <c r="D74" s="99" t="str">
        <f ca="1">IFERROR([1]!IntrinioHistoricalPrices(ticker,"open",$B74,$D$4,$D$5,$D$6),"")</f>
        <v/>
      </c>
      <c r="E74" s="99" t="str">
        <f ca="1">IFERROR([1]!IntrinioHistoricalPrices(ticker,"high",$B74,$D$4,$D$5,$D$6),"")</f>
        <v/>
      </c>
      <c r="F74" s="99" t="str">
        <f ca="1">IFERROR([1]!IntrinioHistoricalPrices(ticker,"low",$B74,$D$4,$D$5,$D$6),"")</f>
        <v/>
      </c>
      <c r="G74" s="99" t="str">
        <f ca="1">IFERROR([1]!IntrinioHistoricalPrices(ticker,"close",$B74,$D$4,$D$5,$D$6),"")</f>
        <v/>
      </c>
      <c r="H74" s="100" t="str">
        <f ca="1">IFERROR([1]!IntrinioHistoricalPrices(ticker,"volume",$B74,$D$4,$D$5,$D$6),"")</f>
        <v/>
      </c>
      <c r="I74" s="101" t="str">
        <f ca="1">IFERROR([1]!IntrinioHistoricalPrices(ticker,"split_ratio",$B74,$D$4,$D$5,$D$6),"")</f>
        <v/>
      </c>
      <c r="J74" s="99" t="str">
        <f ca="1">IFERROR([1]!IntrinioHistoricalPrices(ticker,"ex_dividend",$B74,$D$4,$D$5,$D$6),"")</f>
        <v/>
      </c>
      <c r="K74" s="99" t="str">
        <f ca="1">IFERROR([1]!IntrinioHistoricalPrices(ticker,"adj_open",$B74,$D$4,$D$5,$D$6),"")</f>
        <v/>
      </c>
      <c r="L74" s="99" t="str">
        <f ca="1">IFERROR([1]!IntrinioHistoricalPrices(ticker,"adj_high",$B74,$D$4,$D$5,$D$6),"")</f>
        <v/>
      </c>
      <c r="M74" s="99" t="str">
        <f ca="1">IFERROR([1]!IntrinioHistoricalPrices(ticker,"adj_low",$B74,$D$4,$D$5,$D$6),"")</f>
        <v/>
      </c>
      <c r="N74" s="99" t="str">
        <f ca="1">IFERROR([1]!IntrinioHistoricalPrices(ticker,"adj_close",$B74,$D$4,$D$5,$D$6),"")</f>
        <v/>
      </c>
      <c r="O74" s="100" t="str">
        <f ca="1">IFERROR([1]!IntrinioHistoricalPrices(ticker,"adj_volume",$B74,$D$4,$D$5,$D$6),"")</f>
        <v/>
      </c>
    </row>
    <row r="75" spans="2:15" x14ac:dyDescent="0.45">
      <c r="B75" s="49">
        <f t="shared" ref="B75:B138" si="1">+B74+1</f>
        <v>66</v>
      </c>
      <c r="C75" s="165" t="str">
        <f ca="1">IFERROR([1]!IntrinioHistoricalPrices(ticker,"date",$B75,$D$4,$D$5,$D$6),"")</f>
        <v/>
      </c>
      <c r="D75" s="99" t="str">
        <f ca="1">IFERROR([1]!IntrinioHistoricalPrices(ticker,"open",$B75,$D$4,$D$5,$D$6),"")</f>
        <v/>
      </c>
      <c r="E75" s="99" t="str">
        <f ca="1">IFERROR([1]!IntrinioHistoricalPrices(ticker,"high",$B75,$D$4,$D$5,$D$6),"")</f>
        <v/>
      </c>
      <c r="F75" s="99" t="str">
        <f ca="1">IFERROR([1]!IntrinioHistoricalPrices(ticker,"low",$B75,$D$4,$D$5,$D$6),"")</f>
        <v/>
      </c>
      <c r="G75" s="99" t="str">
        <f ca="1">IFERROR([1]!IntrinioHistoricalPrices(ticker,"close",$B75,$D$4,$D$5,$D$6),"")</f>
        <v/>
      </c>
      <c r="H75" s="100" t="str">
        <f ca="1">IFERROR([1]!IntrinioHistoricalPrices(ticker,"volume",$B75,$D$4,$D$5,$D$6),"")</f>
        <v/>
      </c>
      <c r="I75" s="101" t="str">
        <f ca="1">IFERROR([1]!IntrinioHistoricalPrices(ticker,"split_ratio",$B75,$D$4,$D$5,$D$6),"")</f>
        <v/>
      </c>
      <c r="J75" s="99" t="str">
        <f ca="1">IFERROR([1]!IntrinioHistoricalPrices(ticker,"ex_dividend",$B75,$D$4,$D$5,$D$6),"")</f>
        <v/>
      </c>
      <c r="K75" s="99" t="str">
        <f ca="1">IFERROR([1]!IntrinioHistoricalPrices(ticker,"adj_open",$B75,$D$4,$D$5,$D$6),"")</f>
        <v/>
      </c>
      <c r="L75" s="99" t="str">
        <f ca="1">IFERROR([1]!IntrinioHistoricalPrices(ticker,"adj_high",$B75,$D$4,$D$5,$D$6),"")</f>
        <v/>
      </c>
      <c r="M75" s="99" t="str">
        <f ca="1">IFERROR([1]!IntrinioHistoricalPrices(ticker,"adj_low",$B75,$D$4,$D$5,$D$6),"")</f>
        <v/>
      </c>
      <c r="N75" s="99" t="str">
        <f ca="1">IFERROR([1]!IntrinioHistoricalPrices(ticker,"adj_close",$B75,$D$4,$D$5,$D$6),"")</f>
        <v/>
      </c>
      <c r="O75" s="100" t="str">
        <f ca="1">IFERROR([1]!IntrinioHistoricalPrices(ticker,"adj_volume",$B75,$D$4,$D$5,$D$6),"")</f>
        <v/>
      </c>
    </row>
    <row r="76" spans="2:15" x14ac:dyDescent="0.45">
      <c r="B76" s="49">
        <f t="shared" si="1"/>
        <v>67</v>
      </c>
      <c r="C76" s="165" t="str">
        <f ca="1">IFERROR([1]!IntrinioHistoricalPrices(ticker,"date",$B76,$D$4,$D$5,$D$6),"")</f>
        <v/>
      </c>
      <c r="D76" s="99" t="str">
        <f ca="1">IFERROR([1]!IntrinioHistoricalPrices(ticker,"open",$B76,$D$4,$D$5,$D$6),"")</f>
        <v/>
      </c>
      <c r="E76" s="99" t="str">
        <f ca="1">IFERROR([1]!IntrinioHistoricalPrices(ticker,"high",$B76,$D$4,$D$5,$D$6),"")</f>
        <v/>
      </c>
      <c r="F76" s="99" t="str">
        <f ca="1">IFERROR([1]!IntrinioHistoricalPrices(ticker,"low",$B76,$D$4,$D$5,$D$6),"")</f>
        <v/>
      </c>
      <c r="G76" s="99" t="str">
        <f ca="1">IFERROR([1]!IntrinioHistoricalPrices(ticker,"close",$B76,$D$4,$D$5,$D$6),"")</f>
        <v/>
      </c>
      <c r="H76" s="100" t="str">
        <f ca="1">IFERROR([1]!IntrinioHistoricalPrices(ticker,"volume",$B76,$D$4,$D$5,$D$6),"")</f>
        <v/>
      </c>
      <c r="I76" s="101" t="str">
        <f ca="1">IFERROR([1]!IntrinioHistoricalPrices(ticker,"split_ratio",$B76,$D$4,$D$5,$D$6),"")</f>
        <v/>
      </c>
      <c r="J76" s="99" t="str">
        <f ca="1">IFERROR([1]!IntrinioHistoricalPrices(ticker,"ex_dividend",$B76,$D$4,$D$5,$D$6),"")</f>
        <v/>
      </c>
      <c r="K76" s="99" t="str">
        <f ca="1">IFERROR([1]!IntrinioHistoricalPrices(ticker,"adj_open",$B76,$D$4,$D$5,$D$6),"")</f>
        <v/>
      </c>
      <c r="L76" s="99" t="str">
        <f ca="1">IFERROR([1]!IntrinioHistoricalPrices(ticker,"adj_high",$B76,$D$4,$D$5,$D$6),"")</f>
        <v/>
      </c>
      <c r="M76" s="99" t="str">
        <f ca="1">IFERROR([1]!IntrinioHistoricalPrices(ticker,"adj_low",$B76,$D$4,$D$5,$D$6),"")</f>
        <v/>
      </c>
      <c r="N76" s="99" t="str">
        <f ca="1">IFERROR([1]!IntrinioHistoricalPrices(ticker,"adj_close",$B76,$D$4,$D$5,$D$6),"")</f>
        <v/>
      </c>
      <c r="O76" s="100" t="str">
        <f ca="1">IFERROR([1]!IntrinioHistoricalPrices(ticker,"adj_volume",$B76,$D$4,$D$5,$D$6),"")</f>
        <v/>
      </c>
    </row>
    <row r="77" spans="2:15" x14ac:dyDescent="0.45">
      <c r="B77" s="49">
        <f t="shared" si="1"/>
        <v>68</v>
      </c>
      <c r="C77" s="165" t="str">
        <f ca="1">IFERROR([1]!IntrinioHistoricalPrices(ticker,"date",$B77,$D$4,$D$5,$D$6),"")</f>
        <v/>
      </c>
      <c r="D77" s="99" t="str">
        <f ca="1">IFERROR([1]!IntrinioHistoricalPrices(ticker,"open",$B77,$D$4,$D$5,$D$6),"")</f>
        <v/>
      </c>
      <c r="E77" s="99" t="str">
        <f ca="1">IFERROR([1]!IntrinioHistoricalPrices(ticker,"high",$B77,$D$4,$D$5,$D$6),"")</f>
        <v/>
      </c>
      <c r="F77" s="99" t="str">
        <f ca="1">IFERROR([1]!IntrinioHistoricalPrices(ticker,"low",$B77,$D$4,$D$5,$D$6),"")</f>
        <v/>
      </c>
      <c r="G77" s="99" t="str">
        <f ca="1">IFERROR([1]!IntrinioHistoricalPrices(ticker,"close",$B77,$D$4,$D$5,$D$6),"")</f>
        <v/>
      </c>
      <c r="H77" s="100" t="str">
        <f ca="1">IFERROR([1]!IntrinioHistoricalPrices(ticker,"volume",$B77,$D$4,$D$5,$D$6),"")</f>
        <v/>
      </c>
      <c r="I77" s="101" t="str">
        <f ca="1">IFERROR([1]!IntrinioHistoricalPrices(ticker,"split_ratio",$B77,$D$4,$D$5,$D$6),"")</f>
        <v/>
      </c>
      <c r="J77" s="99" t="str">
        <f ca="1">IFERROR([1]!IntrinioHistoricalPrices(ticker,"ex_dividend",$B77,$D$4,$D$5,$D$6),"")</f>
        <v/>
      </c>
      <c r="K77" s="99" t="str">
        <f ca="1">IFERROR([1]!IntrinioHistoricalPrices(ticker,"adj_open",$B77,$D$4,$D$5,$D$6),"")</f>
        <v/>
      </c>
      <c r="L77" s="99" t="str">
        <f ca="1">IFERROR([1]!IntrinioHistoricalPrices(ticker,"adj_high",$B77,$D$4,$D$5,$D$6),"")</f>
        <v/>
      </c>
      <c r="M77" s="99" t="str">
        <f ca="1">IFERROR([1]!IntrinioHistoricalPrices(ticker,"adj_low",$B77,$D$4,$D$5,$D$6),"")</f>
        <v/>
      </c>
      <c r="N77" s="99" t="str">
        <f ca="1">IFERROR([1]!IntrinioHistoricalPrices(ticker,"adj_close",$B77,$D$4,$D$5,$D$6),"")</f>
        <v/>
      </c>
      <c r="O77" s="100" t="str">
        <f ca="1">IFERROR([1]!IntrinioHistoricalPrices(ticker,"adj_volume",$B77,$D$4,$D$5,$D$6),"")</f>
        <v/>
      </c>
    </row>
    <row r="78" spans="2:15" x14ac:dyDescent="0.45">
      <c r="B78" s="49">
        <f t="shared" si="1"/>
        <v>69</v>
      </c>
      <c r="C78" s="165" t="str">
        <f ca="1">IFERROR([1]!IntrinioHistoricalPrices(ticker,"date",$B78,$D$4,$D$5,$D$6),"")</f>
        <v/>
      </c>
      <c r="D78" s="99" t="str">
        <f ca="1">IFERROR([1]!IntrinioHistoricalPrices(ticker,"open",$B78,$D$4,$D$5,$D$6),"")</f>
        <v/>
      </c>
      <c r="E78" s="99" t="str">
        <f ca="1">IFERROR([1]!IntrinioHistoricalPrices(ticker,"high",$B78,$D$4,$D$5,$D$6),"")</f>
        <v/>
      </c>
      <c r="F78" s="99" t="str">
        <f ca="1">IFERROR([1]!IntrinioHistoricalPrices(ticker,"low",$B78,$D$4,$D$5,$D$6),"")</f>
        <v/>
      </c>
      <c r="G78" s="99" t="str">
        <f ca="1">IFERROR([1]!IntrinioHistoricalPrices(ticker,"close",$B78,$D$4,$D$5,$D$6),"")</f>
        <v/>
      </c>
      <c r="H78" s="100" t="str">
        <f ca="1">IFERROR([1]!IntrinioHistoricalPrices(ticker,"volume",$B78,$D$4,$D$5,$D$6),"")</f>
        <v/>
      </c>
      <c r="I78" s="101" t="str">
        <f ca="1">IFERROR([1]!IntrinioHistoricalPrices(ticker,"split_ratio",$B78,$D$4,$D$5,$D$6),"")</f>
        <v/>
      </c>
      <c r="J78" s="99" t="str">
        <f ca="1">IFERROR([1]!IntrinioHistoricalPrices(ticker,"ex_dividend",$B78,$D$4,$D$5,$D$6),"")</f>
        <v/>
      </c>
      <c r="K78" s="99" t="str">
        <f ca="1">IFERROR([1]!IntrinioHistoricalPrices(ticker,"adj_open",$B78,$D$4,$D$5,$D$6),"")</f>
        <v/>
      </c>
      <c r="L78" s="99" t="str">
        <f ca="1">IFERROR([1]!IntrinioHistoricalPrices(ticker,"adj_high",$B78,$D$4,$D$5,$D$6),"")</f>
        <v/>
      </c>
      <c r="M78" s="99" t="str">
        <f ca="1">IFERROR([1]!IntrinioHistoricalPrices(ticker,"adj_low",$B78,$D$4,$D$5,$D$6),"")</f>
        <v/>
      </c>
      <c r="N78" s="99" t="str">
        <f ca="1">IFERROR([1]!IntrinioHistoricalPrices(ticker,"adj_close",$B78,$D$4,$D$5,$D$6),"")</f>
        <v/>
      </c>
      <c r="O78" s="100" t="str">
        <f ca="1">IFERROR([1]!IntrinioHistoricalPrices(ticker,"adj_volume",$B78,$D$4,$D$5,$D$6),"")</f>
        <v/>
      </c>
    </row>
    <row r="79" spans="2:15" x14ac:dyDescent="0.45">
      <c r="B79" s="49">
        <f t="shared" si="1"/>
        <v>70</v>
      </c>
      <c r="C79" s="165" t="str">
        <f ca="1">IFERROR([1]!IntrinioHistoricalPrices(ticker,"date",$B79,$D$4,$D$5,$D$6),"")</f>
        <v/>
      </c>
      <c r="D79" s="99" t="str">
        <f ca="1">IFERROR([1]!IntrinioHistoricalPrices(ticker,"open",$B79,$D$4,$D$5,$D$6),"")</f>
        <v/>
      </c>
      <c r="E79" s="99" t="str">
        <f ca="1">IFERROR([1]!IntrinioHistoricalPrices(ticker,"high",$B79,$D$4,$D$5,$D$6),"")</f>
        <v/>
      </c>
      <c r="F79" s="99" t="str">
        <f ca="1">IFERROR([1]!IntrinioHistoricalPrices(ticker,"low",$B79,$D$4,$D$5,$D$6),"")</f>
        <v/>
      </c>
      <c r="G79" s="99" t="str">
        <f ca="1">IFERROR([1]!IntrinioHistoricalPrices(ticker,"close",$B79,$D$4,$D$5,$D$6),"")</f>
        <v/>
      </c>
      <c r="H79" s="100" t="str">
        <f ca="1">IFERROR([1]!IntrinioHistoricalPrices(ticker,"volume",$B79,$D$4,$D$5,$D$6),"")</f>
        <v/>
      </c>
      <c r="I79" s="101" t="str">
        <f ca="1">IFERROR([1]!IntrinioHistoricalPrices(ticker,"split_ratio",$B79,$D$4,$D$5,$D$6),"")</f>
        <v/>
      </c>
      <c r="J79" s="99" t="str">
        <f ca="1">IFERROR([1]!IntrinioHistoricalPrices(ticker,"ex_dividend",$B79,$D$4,$D$5,$D$6),"")</f>
        <v/>
      </c>
      <c r="K79" s="99" t="str">
        <f ca="1">IFERROR([1]!IntrinioHistoricalPrices(ticker,"adj_open",$B79,$D$4,$D$5,$D$6),"")</f>
        <v/>
      </c>
      <c r="L79" s="99" t="str">
        <f ca="1">IFERROR([1]!IntrinioHistoricalPrices(ticker,"adj_high",$B79,$D$4,$D$5,$D$6),"")</f>
        <v/>
      </c>
      <c r="M79" s="99" t="str">
        <f ca="1">IFERROR([1]!IntrinioHistoricalPrices(ticker,"adj_low",$B79,$D$4,$D$5,$D$6),"")</f>
        <v/>
      </c>
      <c r="N79" s="99" t="str">
        <f ca="1">IFERROR([1]!IntrinioHistoricalPrices(ticker,"adj_close",$B79,$D$4,$D$5,$D$6),"")</f>
        <v/>
      </c>
      <c r="O79" s="100" t="str">
        <f ca="1">IFERROR([1]!IntrinioHistoricalPrices(ticker,"adj_volume",$B79,$D$4,$D$5,$D$6),"")</f>
        <v/>
      </c>
    </row>
    <row r="80" spans="2:15" x14ac:dyDescent="0.45">
      <c r="B80" s="49">
        <f t="shared" si="1"/>
        <v>71</v>
      </c>
      <c r="C80" s="165" t="str">
        <f ca="1">IFERROR([1]!IntrinioHistoricalPrices(ticker,"date",$B80,$D$4,$D$5,$D$6),"")</f>
        <v/>
      </c>
      <c r="D80" s="99" t="str">
        <f ca="1">IFERROR([1]!IntrinioHistoricalPrices(ticker,"open",$B80,$D$4,$D$5,$D$6),"")</f>
        <v/>
      </c>
      <c r="E80" s="99" t="str">
        <f ca="1">IFERROR([1]!IntrinioHistoricalPrices(ticker,"high",$B80,$D$4,$D$5,$D$6),"")</f>
        <v/>
      </c>
      <c r="F80" s="99" t="str">
        <f ca="1">IFERROR([1]!IntrinioHistoricalPrices(ticker,"low",$B80,$D$4,$D$5,$D$6),"")</f>
        <v/>
      </c>
      <c r="G80" s="99" t="str">
        <f ca="1">IFERROR([1]!IntrinioHistoricalPrices(ticker,"close",$B80,$D$4,$D$5,$D$6),"")</f>
        <v/>
      </c>
      <c r="H80" s="100" t="str">
        <f ca="1">IFERROR([1]!IntrinioHistoricalPrices(ticker,"volume",$B80,$D$4,$D$5,$D$6),"")</f>
        <v/>
      </c>
      <c r="I80" s="101" t="str">
        <f ca="1">IFERROR([1]!IntrinioHistoricalPrices(ticker,"split_ratio",$B80,$D$4,$D$5,$D$6),"")</f>
        <v/>
      </c>
      <c r="J80" s="99" t="str">
        <f ca="1">IFERROR([1]!IntrinioHistoricalPrices(ticker,"ex_dividend",$B80,$D$4,$D$5,$D$6),"")</f>
        <v/>
      </c>
      <c r="K80" s="99" t="str">
        <f ca="1">IFERROR([1]!IntrinioHistoricalPrices(ticker,"adj_open",$B80,$D$4,$D$5,$D$6),"")</f>
        <v/>
      </c>
      <c r="L80" s="99" t="str">
        <f ca="1">IFERROR([1]!IntrinioHistoricalPrices(ticker,"adj_high",$B80,$D$4,$D$5,$D$6),"")</f>
        <v/>
      </c>
      <c r="M80" s="99" t="str">
        <f ca="1">IFERROR([1]!IntrinioHistoricalPrices(ticker,"adj_low",$B80,$D$4,$D$5,$D$6),"")</f>
        <v/>
      </c>
      <c r="N80" s="99" t="str">
        <f ca="1">IFERROR([1]!IntrinioHistoricalPrices(ticker,"adj_close",$B80,$D$4,$D$5,$D$6),"")</f>
        <v/>
      </c>
      <c r="O80" s="100" t="str">
        <f ca="1">IFERROR([1]!IntrinioHistoricalPrices(ticker,"adj_volume",$B80,$D$4,$D$5,$D$6),"")</f>
        <v/>
      </c>
    </row>
    <row r="81" spans="2:15" x14ac:dyDescent="0.45">
      <c r="B81" s="49">
        <f t="shared" si="1"/>
        <v>72</v>
      </c>
      <c r="C81" s="165" t="str">
        <f ca="1">IFERROR([1]!IntrinioHistoricalPrices(ticker,"date",$B81,$D$4,$D$5,$D$6),"")</f>
        <v/>
      </c>
      <c r="D81" s="99" t="str">
        <f ca="1">IFERROR([1]!IntrinioHistoricalPrices(ticker,"open",$B81,$D$4,$D$5,$D$6),"")</f>
        <v/>
      </c>
      <c r="E81" s="99" t="str">
        <f ca="1">IFERROR([1]!IntrinioHistoricalPrices(ticker,"high",$B81,$D$4,$D$5,$D$6),"")</f>
        <v/>
      </c>
      <c r="F81" s="99" t="str">
        <f ca="1">IFERROR([1]!IntrinioHistoricalPrices(ticker,"low",$B81,$D$4,$D$5,$D$6),"")</f>
        <v/>
      </c>
      <c r="G81" s="99" t="str">
        <f ca="1">IFERROR([1]!IntrinioHistoricalPrices(ticker,"close",$B81,$D$4,$D$5,$D$6),"")</f>
        <v/>
      </c>
      <c r="H81" s="100" t="str">
        <f ca="1">IFERROR([1]!IntrinioHistoricalPrices(ticker,"volume",$B81,$D$4,$D$5,$D$6),"")</f>
        <v/>
      </c>
      <c r="I81" s="101" t="str">
        <f ca="1">IFERROR([1]!IntrinioHistoricalPrices(ticker,"split_ratio",$B81,$D$4,$D$5,$D$6),"")</f>
        <v/>
      </c>
      <c r="J81" s="99" t="str">
        <f ca="1">IFERROR([1]!IntrinioHistoricalPrices(ticker,"ex_dividend",$B81,$D$4,$D$5,$D$6),"")</f>
        <v/>
      </c>
      <c r="K81" s="99" t="str">
        <f ca="1">IFERROR([1]!IntrinioHistoricalPrices(ticker,"adj_open",$B81,$D$4,$D$5,$D$6),"")</f>
        <v/>
      </c>
      <c r="L81" s="99" t="str">
        <f ca="1">IFERROR([1]!IntrinioHistoricalPrices(ticker,"adj_high",$B81,$D$4,$D$5,$D$6),"")</f>
        <v/>
      </c>
      <c r="M81" s="99" t="str">
        <f ca="1">IFERROR([1]!IntrinioHistoricalPrices(ticker,"adj_low",$B81,$D$4,$D$5,$D$6),"")</f>
        <v/>
      </c>
      <c r="N81" s="99" t="str">
        <f ca="1">IFERROR([1]!IntrinioHistoricalPrices(ticker,"adj_close",$B81,$D$4,$D$5,$D$6),"")</f>
        <v/>
      </c>
      <c r="O81" s="100" t="str">
        <f ca="1">IFERROR([1]!IntrinioHistoricalPrices(ticker,"adj_volume",$B81,$D$4,$D$5,$D$6),"")</f>
        <v/>
      </c>
    </row>
    <row r="82" spans="2:15" x14ac:dyDescent="0.45">
      <c r="B82" s="49">
        <f t="shared" si="1"/>
        <v>73</v>
      </c>
      <c r="C82" s="165" t="str">
        <f ca="1">IFERROR([1]!IntrinioHistoricalPrices(ticker,"date",$B82,$D$4,$D$5,$D$6),"")</f>
        <v/>
      </c>
      <c r="D82" s="99" t="str">
        <f ca="1">IFERROR([1]!IntrinioHistoricalPrices(ticker,"open",$B82,$D$4,$D$5,$D$6),"")</f>
        <v/>
      </c>
      <c r="E82" s="99" t="str">
        <f ca="1">IFERROR([1]!IntrinioHistoricalPrices(ticker,"high",$B82,$D$4,$D$5,$D$6),"")</f>
        <v/>
      </c>
      <c r="F82" s="99" t="str">
        <f ca="1">IFERROR([1]!IntrinioHistoricalPrices(ticker,"low",$B82,$D$4,$D$5,$D$6),"")</f>
        <v/>
      </c>
      <c r="G82" s="99" t="str">
        <f ca="1">IFERROR([1]!IntrinioHistoricalPrices(ticker,"close",$B82,$D$4,$D$5,$D$6),"")</f>
        <v/>
      </c>
      <c r="H82" s="100" t="str">
        <f ca="1">IFERROR([1]!IntrinioHistoricalPrices(ticker,"volume",$B82,$D$4,$D$5,$D$6),"")</f>
        <v/>
      </c>
      <c r="I82" s="101" t="str">
        <f ca="1">IFERROR([1]!IntrinioHistoricalPrices(ticker,"split_ratio",$B82,$D$4,$D$5,$D$6),"")</f>
        <v/>
      </c>
      <c r="J82" s="99" t="str">
        <f ca="1">IFERROR([1]!IntrinioHistoricalPrices(ticker,"ex_dividend",$B82,$D$4,$D$5,$D$6),"")</f>
        <v/>
      </c>
      <c r="K82" s="99" t="str">
        <f ca="1">IFERROR([1]!IntrinioHistoricalPrices(ticker,"adj_open",$B82,$D$4,$D$5,$D$6),"")</f>
        <v/>
      </c>
      <c r="L82" s="99" t="str">
        <f ca="1">IFERROR([1]!IntrinioHistoricalPrices(ticker,"adj_high",$B82,$D$4,$D$5,$D$6),"")</f>
        <v/>
      </c>
      <c r="M82" s="99" t="str">
        <f ca="1">IFERROR([1]!IntrinioHistoricalPrices(ticker,"adj_low",$B82,$D$4,$D$5,$D$6),"")</f>
        <v/>
      </c>
      <c r="N82" s="99" t="str">
        <f ca="1">IFERROR([1]!IntrinioHistoricalPrices(ticker,"adj_close",$B82,$D$4,$D$5,$D$6),"")</f>
        <v/>
      </c>
      <c r="O82" s="100" t="str">
        <f ca="1">IFERROR([1]!IntrinioHistoricalPrices(ticker,"adj_volume",$B82,$D$4,$D$5,$D$6),"")</f>
        <v/>
      </c>
    </row>
    <row r="83" spans="2:15" x14ac:dyDescent="0.45">
      <c r="B83" s="49">
        <f t="shared" si="1"/>
        <v>74</v>
      </c>
      <c r="C83" s="165" t="str">
        <f ca="1">IFERROR([1]!IntrinioHistoricalPrices(ticker,"date",$B83,$D$4,$D$5,$D$6),"")</f>
        <v/>
      </c>
      <c r="D83" s="99" t="str">
        <f ca="1">IFERROR([1]!IntrinioHistoricalPrices(ticker,"open",$B83,$D$4,$D$5,$D$6),"")</f>
        <v/>
      </c>
      <c r="E83" s="99" t="str">
        <f ca="1">IFERROR([1]!IntrinioHistoricalPrices(ticker,"high",$B83,$D$4,$D$5,$D$6),"")</f>
        <v/>
      </c>
      <c r="F83" s="99" t="str">
        <f ca="1">IFERROR([1]!IntrinioHistoricalPrices(ticker,"low",$B83,$D$4,$D$5,$D$6),"")</f>
        <v/>
      </c>
      <c r="G83" s="99" t="str">
        <f ca="1">IFERROR([1]!IntrinioHistoricalPrices(ticker,"close",$B83,$D$4,$D$5,$D$6),"")</f>
        <v/>
      </c>
      <c r="H83" s="100" t="str">
        <f ca="1">IFERROR([1]!IntrinioHistoricalPrices(ticker,"volume",$B83,$D$4,$D$5,$D$6),"")</f>
        <v/>
      </c>
      <c r="I83" s="101" t="str">
        <f ca="1">IFERROR([1]!IntrinioHistoricalPrices(ticker,"split_ratio",$B83,$D$4,$D$5,$D$6),"")</f>
        <v/>
      </c>
      <c r="J83" s="99" t="str">
        <f ca="1">IFERROR([1]!IntrinioHistoricalPrices(ticker,"ex_dividend",$B83,$D$4,$D$5,$D$6),"")</f>
        <v/>
      </c>
      <c r="K83" s="99" t="str">
        <f ca="1">IFERROR([1]!IntrinioHistoricalPrices(ticker,"adj_open",$B83,$D$4,$D$5,$D$6),"")</f>
        <v/>
      </c>
      <c r="L83" s="99" t="str">
        <f ca="1">IFERROR([1]!IntrinioHistoricalPrices(ticker,"adj_high",$B83,$D$4,$D$5,$D$6),"")</f>
        <v/>
      </c>
      <c r="M83" s="99" t="str">
        <f ca="1">IFERROR([1]!IntrinioHistoricalPrices(ticker,"adj_low",$B83,$D$4,$D$5,$D$6),"")</f>
        <v/>
      </c>
      <c r="N83" s="99" t="str">
        <f ca="1">IFERROR([1]!IntrinioHistoricalPrices(ticker,"adj_close",$B83,$D$4,$D$5,$D$6),"")</f>
        <v/>
      </c>
      <c r="O83" s="100" t="str">
        <f ca="1">IFERROR([1]!IntrinioHistoricalPrices(ticker,"adj_volume",$B83,$D$4,$D$5,$D$6),"")</f>
        <v/>
      </c>
    </row>
    <row r="84" spans="2:15" x14ac:dyDescent="0.45">
      <c r="B84" s="49">
        <f t="shared" si="1"/>
        <v>75</v>
      </c>
      <c r="C84" s="165" t="str">
        <f ca="1">IFERROR([1]!IntrinioHistoricalPrices(ticker,"date",$B84,$D$4,$D$5,$D$6),"")</f>
        <v/>
      </c>
      <c r="D84" s="99" t="str">
        <f ca="1">IFERROR([1]!IntrinioHistoricalPrices(ticker,"open",$B84,$D$4,$D$5,$D$6),"")</f>
        <v/>
      </c>
      <c r="E84" s="99" t="str">
        <f ca="1">IFERROR([1]!IntrinioHistoricalPrices(ticker,"high",$B84,$D$4,$D$5,$D$6),"")</f>
        <v/>
      </c>
      <c r="F84" s="99" t="str">
        <f ca="1">IFERROR([1]!IntrinioHistoricalPrices(ticker,"low",$B84,$D$4,$D$5,$D$6),"")</f>
        <v/>
      </c>
      <c r="G84" s="99" t="str">
        <f ca="1">IFERROR([1]!IntrinioHistoricalPrices(ticker,"close",$B84,$D$4,$D$5,$D$6),"")</f>
        <v/>
      </c>
      <c r="H84" s="100" t="str">
        <f ca="1">IFERROR([1]!IntrinioHistoricalPrices(ticker,"volume",$B84,$D$4,$D$5,$D$6),"")</f>
        <v/>
      </c>
      <c r="I84" s="101" t="str">
        <f ca="1">IFERROR([1]!IntrinioHistoricalPrices(ticker,"split_ratio",$B84,$D$4,$D$5,$D$6),"")</f>
        <v/>
      </c>
      <c r="J84" s="99" t="str">
        <f ca="1">IFERROR([1]!IntrinioHistoricalPrices(ticker,"ex_dividend",$B84,$D$4,$D$5,$D$6),"")</f>
        <v/>
      </c>
      <c r="K84" s="99" t="str">
        <f ca="1">IFERROR([1]!IntrinioHistoricalPrices(ticker,"adj_open",$B84,$D$4,$D$5,$D$6),"")</f>
        <v/>
      </c>
      <c r="L84" s="99" t="str">
        <f ca="1">IFERROR([1]!IntrinioHistoricalPrices(ticker,"adj_high",$B84,$D$4,$D$5,$D$6),"")</f>
        <v/>
      </c>
      <c r="M84" s="99" t="str">
        <f ca="1">IFERROR([1]!IntrinioHistoricalPrices(ticker,"adj_low",$B84,$D$4,$D$5,$D$6),"")</f>
        <v/>
      </c>
      <c r="N84" s="99" t="str">
        <f ca="1">IFERROR([1]!IntrinioHistoricalPrices(ticker,"adj_close",$B84,$D$4,$D$5,$D$6),"")</f>
        <v/>
      </c>
      <c r="O84" s="100" t="str">
        <f ca="1">IFERROR([1]!IntrinioHistoricalPrices(ticker,"adj_volume",$B84,$D$4,$D$5,$D$6),"")</f>
        <v/>
      </c>
    </row>
    <row r="85" spans="2:15" x14ac:dyDescent="0.45">
      <c r="B85" s="49">
        <f t="shared" si="1"/>
        <v>76</v>
      </c>
      <c r="C85" s="165" t="str">
        <f ca="1">IFERROR([1]!IntrinioHistoricalPrices(ticker,"date",$B85,$D$4,$D$5,$D$6),"")</f>
        <v/>
      </c>
      <c r="D85" s="99" t="str">
        <f ca="1">IFERROR([1]!IntrinioHistoricalPrices(ticker,"open",$B85,$D$4,$D$5,$D$6),"")</f>
        <v/>
      </c>
      <c r="E85" s="99" t="str">
        <f ca="1">IFERROR([1]!IntrinioHistoricalPrices(ticker,"high",$B85,$D$4,$D$5,$D$6),"")</f>
        <v/>
      </c>
      <c r="F85" s="99" t="str">
        <f ca="1">IFERROR([1]!IntrinioHistoricalPrices(ticker,"low",$B85,$D$4,$D$5,$D$6),"")</f>
        <v/>
      </c>
      <c r="G85" s="99" t="str">
        <f ca="1">IFERROR([1]!IntrinioHistoricalPrices(ticker,"close",$B85,$D$4,$D$5,$D$6),"")</f>
        <v/>
      </c>
      <c r="H85" s="100" t="str">
        <f ca="1">IFERROR([1]!IntrinioHistoricalPrices(ticker,"volume",$B85,$D$4,$D$5,$D$6),"")</f>
        <v/>
      </c>
      <c r="I85" s="101" t="str">
        <f ca="1">IFERROR([1]!IntrinioHistoricalPrices(ticker,"split_ratio",$B85,$D$4,$D$5,$D$6),"")</f>
        <v/>
      </c>
      <c r="J85" s="99" t="str">
        <f ca="1">IFERROR([1]!IntrinioHistoricalPrices(ticker,"ex_dividend",$B85,$D$4,$D$5,$D$6),"")</f>
        <v/>
      </c>
      <c r="K85" s="99" t="str">
        <f ca="1">IFERROR([1]!IntrinioHistoricalPrices(ticker,"adj_open",$B85,$D$4,$D$5,$D$6),"")</f>
        <v/>
      </c>
      <c r="L85" s="99" t="str">
        <f ca="1">IFERROR([1]!IntrinioHistoricalPrices(ticker,"adj_high",$B85,$D$4,$D$5,$D$6),"")</f>
        <v/>
      </c>
      <c r="M85" s="99" t="str">
        <f ca="1">IFERROR([1]!IntrinioHistoricalPrices(ticker,"adj_low",$B85,$D$4,$D$5,$D$6),"")</f>
        <v/>
      </c>
      <c r="N85" s="99" t="str">
        <f ca="1">IFERROR([1]!IntrinioHistoricalPrices(ticker,"adj_close",$B85,$D$4,$D$5,$D$6),"")</f>
        <v/>
      </c>
      <c r="O85" s="100" t="str">
        <f ca="1">IFERROR([1]!IntrinioHistoricalPrices(ticker,"adj_volume",$B85,$D$4,$D$5,$D$6),"")</f>
        <v/>
      </c>
    </row>
    <row r="86" spans="2:15" x14ac:dyDescent="0.45">
      <c r="B86" s="49">
        <f t="shared" si="1"/>
        <v>77</v>
      </c>
      <c r="C86" s="165" t="str">
        <f ca="1">IFERROR([1]!IntrinioHistoricalPrices(ticker,"date",$B86,$D$4,$D$5,$D$6),"")</f>
        <v/>
      </c>
      <c r="D86" s="99" t="str">
        <f ca="1">IFERROR([1]!IntrinioHistoricalPrices(ticker,"open",$B86,$D$4,$D$5,$D$6),"")</f>
        <v/>
      </c>
      <c r="E86" s="99" t="str">
        <f ca="1">IFERROR([1]!IntrinioHistoricalPrices(ticker,"high",$B86,$D$4,$D$5,$D$6),"")</f>
        <v/>
      </c>
      <c r="F86" s="99" t="str">
        <f ca="1">IFERROR([1]!IntrinioHistoricalPrices(ticker,"low",$B86,$D$4,$D$5,$D$6),"")</f>
        <v/>
      </c>
      <c r="G86" s="99" t="str">
        <f ca="1">IFERROR([1]!IntrinioHistoricalPrices(ticker,"close",$B86,$D$4,$D$5,$D$6),"")</f>
        <v/>
      </c>
      <c r="H86" s="100" t="str">
        <f ca="1">IFERROR([1]!IntrinioHistoricalPrices(ticker,"volume",$B86,$D$4,$D$5,$D$6),"")</f>
        <v/>
      </c>
      <c r="I86" s="101" t="str">
        <f ca="1">IFERROR([1]!IntrinioHistoricalPrices(ticker,"split_ratio",$B86,$D$4,$D$5,$D$6),"")</f>
        <v/>
      </c>
      <c r="J86" s="99" t="str">
        <f ca="1">IFERROR([1]!IntrinioHistoricalPrices(ticker,"ex_dividend",$B86,$D$4,$D$5,$D$6),"")</f>
        <v/>
      </c>
      <c r="K86" s="99" t="str">
        <f ca="1">IFERROR([1]!IntrinioHistoricalPrices(ticker,"adj_open",$B86,$D$4,$D$5,$D$6),"")</f>
        <v/>
      </c>
      <c r="L86" s="99" t="str">
        <f ca="1">IFERROR([1]!IntrinioHistoricalPrices(ticker,"adj_high",$B86,$D$4,$D$5,$D$6),"")</f>
        <v/>
      </c>
      <c r="M86" s="99" t="str">
        <f ca="1">IFERROR([1]!IntrinioHistoricalPrices(ticker,"adj_low",$B86,$D$4,$D$5,$D$6),"")</f>
        <v/>
      </c>
      <c r="N86" s="99" t="str">
        <f ca="1">IFERROR([1]!IntrinioHistoricalPrices(ticker,"adj_close",$B86,$D$4,$D$5,$D$6),"")</f>
        <v/>
      </c>
      <c r="O86" s="100" t="str">
        <f ca="1">IFERROR([1]!IntrinioHistoricalPrices(ticker,"adj_volume",$B86,$D$4,$D$5,$D$6),"")</f>
        <v/>
      </c>
    </row>
    <row r="87" spans="2:15" x14ac:dyDescent="0.45">
      <c r="B87" s="49">
        <f t="shared" si="1"/>
        <v>78</v>
      </c>
      <c r="C87" s="165" t="str">
        <f ca="1">IFERROR([1]!IntrinioHistoricalPrices(ticker,"date",$B87,$D$4,$D$5,$D$6),"")</f>
        <v/>
      </c>
      <c r="D87" s="99" t="str">
        <f ca="1">IFERROR([1]!IntrinioHistoricalPrices(ticker,"open",$B87,$D$4,$D$5,$D$6),"")</f>
        <v/>
      </c>
      <c r="E87" s="99" t="str">
        <f ca="1">IFERROR([1]!IntrinioHistoricalPrices(ticker,"high",$B87,$D$4,$D$5,$D$6),"")</f>
        <v/>
      </c>
      <c r="F87" s="99" t="str">
        <f ca="1">IFERROR([1]!IntrinioHistoricalPrices(ticker,"low",$B87,$D$4,$D$5,$D$6),"")</f>
        <v/>
      </c>
      <c r="G87" s="99" t="str">
        <f ca="1">IFERROR([1]!IntrinioHistoricalPrices(ticker,"close",$B87,$D$4,$D$5,$D$6),"")</f>
        <v/>
      </c>
      <c r="H87" s="100" t="str">
        <f ca="1">IFERROR([1]!IntrinioHistoricalPrices(ticker,"volume",$B87,$D$4,$D$5,$D$6),"")</f>
        <v/>
      </c>
      <c r="I87" s="101" t="str">
        <f ca="1">IFERROR([1]!IntrinioHistoricalPrices(ticker,"split_ratio",$B87,$D$4,$D$5,$D$6),"")</f>
        <v/>
      </c>
      <c r="J87" s="99" t="str">
        <f ca="1">IFERROR([1]!IntrinioHistoricalPrices(ticker,"ex_dividend",$B87,$D$4,$D$5,$D$6),"")</f>
        <v/>
      </c>
      <c r="K87" s="99" t="str">
        <f ca="1">IFERROR([1]!IntrinioHistoricalPrices(ticker,"adj_open",$B87,$D$4,$D$5,$D$6),"")</f>
        <v/>
      </c>
      <c r="L87" s="99" t="str">
        <f ca="1">IFERROR([1]!IntrinioHistoricalPrices(ticker,"adj_high",$B87,$D$4,$D$5,$D$6),"")</f>
        <v/>
      </c>
      <c r="M87" s="99" t="str">
        <f ca="1">IFERROR([1]!IntrinioHistoricalPrices(ticker,"adj_low",$B87,$D$4,$D$5,$D$6),"")</f>
        <v/>
      </c>
      <c r="N87" s="99" t="str">
        <f ca="1">IFERROR([1]!IntrinioHistoricalPrices(ticker,"adj_close",$B87,$D$4,$D$5,$D$6),"")</f>
        <v/>
      </c>
      <c r="O87" s="100" t="str">
        <f ca="1">IFERROR([1]!IntrinioHistoricalPrices(ticker,"adj_volume",$B87,$D$4,$D$5,$D$6),"")</f>
        <v/>
      </c>
    </row>
    <row r="88" spans="2:15" x14ac:dyDescent="0.45">
      <c r="B88" s="49">
        <f t="shared" si="1"/>
        <v>79</v>
      </c>
      <c r="C88" s="165" t="str">
        <f ca="1">IFERROR([1]!IntrinioHistoricalPrices(ticker,"date",$B88,$D$4,$D$5,$D$6),"")</f>
        <v/>
      </c>
      <c r="D88" s="99" t="str">
        <f ca="1">IFERROR([1]!IntrinioHistoricalPrices(ticker,"open",$B88,$D$4,$D$5,$D$6),"")</f>
        <v/>
      </c>
      <c r="E88" s="99" t="str">
        <f ca="1">IFERROR([1]!IntrinioHistoricalPrices(ticker,"high",$B88,$D$4,$D$5,$D$6),"")</f>
        <v/>
      </c>
      <c r="F88" s="99" t="str">
        <f ca="1">IFERROR([1]!IntrinioHistoricalPrices(ticker,"low",$B88,$D$4,$D$5,$D$6),"")</f>
        <v/>
      </c>
      <c r="G88" s="99" t="str">
        <f ca="1">IFERROR([1]!IntrinioHistoricalPrices(ticker,"close",$B88,$D$4,$D$5,$D$6),"")</f>
        <v/>
      </c>
      <c r="H88" s="100" t="str">
        <f ca="1">IFERROR([1]!IntrinioHistoricalPrices(ticker,"volume",$B88,$D$4,$D$5,$D$6),"")</f>
        <v/>
      </c>
      <c r="I88" s="101" t="str">
        <f ca="1">IFERROR([1]!IntrinioHistoricalPrices(ticker,"split_ratio",$B88,$D$4,$D$5,$D$6),"")</f>
        <v/>
      </c>
      <c r="J88" s="99" t="str">
        <f ca="1">IFERROR([1]!IntrinioHistoricalPrices(ticker,"ex_dividend",$B88,$D$4,$D$5,$D$6),"")</f>
        <v/>
      </c>
      <c r="K88" s="99" t="str">
        <f ca="1">IFERROR([1]!IntrinioHistoricalPrices(ticker,"adj_open",$B88,$D$4,$D$5,$D$6),"")</f>
        <v/>
      </c>
      <c r="L88" s="99" t="str">
        <f ca="1">IFERROR([1]!IntrinioHistoricalPrices(ticker,"adj_high",$B88,$D$4,$D$5,$D$6),"")</f>
        <v/>
      </c>
      <c r="M88" s="99" t="str">
        <f ca="1">IFERROR([1]!IntrinioHistoricalPrices(ticker,"adj_low",$B88,$D$4,$D$5,$D$6),"")</f>
        <v/>
      </c>
      <c r="N88" s="99" t="str">
        <f ca="1">IFERROR([1]!IntrinioHistoricalPrices(ticker,"adj_close",$B88,$D$4,$D$5,$D$6),"")</f>
        <v/>
      </c>
      <c r="O88" s="100" t="str">
        <f ca="1">IFERROR([1]!IntrinioHistoricalPrices(ticker,"adj_volume",$B88,$D$4,$D$5,$D$6),"")</f>
        <v/>
      </c>
    </row>
    <row r="89" spans="2:15" x14ac:dyDescent="0.45">
      <c r="B89" s="49">
        <f t="shared" si="1"/>
        <v>80</v>
      </c>
      <c r="C89" s="165" t="str">
        <f ca="1">IFERROR([1]!IntrinioHistoricalPrices(ticker,"date",$B89,$D$4,$D$5,$D$6),"")</f>
        <v/>
      </c>
      <c r="D89" s="99" t="str">
        <f ca="1">IFERROR([1]!IntrinioHistoricalPrices(ticker,"open",$B89,$D$4,$D$5,$D$6),"")</f>
        <v/>
      </c>
      <c r="E89" s="99" t="str">
        <f ca="1">IFERROR([1]!IntrinioHistoricalPrices(ticker,"high",$B89,$D$4,$D$5,$D$6),"")</f>
        <v/>
      </c>
      <c r="F89" s="99" t="str">
        <f ca="1">IFERROR([1]!IntrinioHistoricalPrices(ticker,"low",$B89,$D$4,$D$5,$D$6),"")</f>
        <v/>
      </c>
      <c r="G89" s="99" t="str">
        <f ca="1">IFERROR([1]!IntrinioHistoricalPrices(ticker,"close",$B89,$D$4,$D$5,$D$6),"")</f>
        <v/>
      </c>
      <c r="H89" s="100" t="str">
        <f ca="1">IFERROR([1]!IntrinioHistoricalPrices(ticker,"volume",$B89,$D$4,$D$5,$D$6),"")</f>
        <v/>
      </c>
      <c r="I89" s="101" t="str">
        <f ca="1">IFERROR([1]!IntrinioHistoricalPrices(ticker,"split_ratio",$B89,$D$4,$D$5,$D$6),"")</f>
        <v/>
      </c>
      <c r="J89" s="99" t="str">
        <f ca="1">IFERROR([1]!IntrinioHistoricalPrices(ticker,"ex_dividend",$B89,$D$4,$D$5,$D$6),"")</f>
        <v/>
      </c>
      <c r="K89" s="99" t="str">
        <f ca="1">IFERROR([1]!IntrinioHistoricalPrices(ticker,"adj_open",$B89,$D$4,$D$5,$D$6),"")</f>
        <v/>
      </c>
      <c r="L89" s="99" t="str">
        <f ca="1">IFERROR([1]!IntrinioHistoricalPrices(ticker,"adj_high",$B89,$D$4,$D$5,$D$6),"")</f>
        <v/>
      </c>
      <c r="M89" s="99" t="str">
        <f ca="1">IFERROR([1]!IntrinioHistoricalPrices(ticker,"adj_low",$B89,$D$4,$D$5,$D$6),"")</f>
        <v/>
      </c>
      <c r="N89" s="99" t="str">
        <f ca="1">IFERROR([1]!IntrinioHistoricalPrices(ticker,"adj_close",$B89,$D$4,$D$5,$D$6),"")</f>
        <v/>
      </c>
      <c r="O89" s="100" t="str">
        <f ca="1">IFERROR([1]!IntrinioHistoricalPrices(ticker,"adj_volume",$B89,$D$4,$D$5,$D$6),"")</f>
        <v/>
      </c>
    </row>
    <row r="90" spans="2:15" x14ac:dyDescent="0.45">
      <c r="B90" s="49">
        <f t="shared" si="1"/>
        <v>81</v>
      </c>
      <c r="C90" s="165" t="str">
        <f ca="1">IFERROR([1]!IntrinioHistoricalPrices(ticker,"date",$B90,$D$4,$D$5,$D$6),"")</f>
        <v/>
      </c>
      <c r="D90" s="99" t="str">
        <f ca="1">IFERROR([1]!IntrinioHistoricalPrices(ticker,"open",$B90,$D$4,$D$5,$D$6),"")</f>
        <v/>
      </c>
      <c r="E90" s="99" t="str">
        <f ca="1">IFERROR([1]!IntrinioHistoricalPrices(ticker,"high",$B90,$D$4,$D$5,$D$6),"")</f>
        <v/>
      </c>
      <c r="F90" s="99" t="str">
        <f ca="1">IFERROR([1]!IntrinioHistoricalPrices(ticker,"low",$B90,$D$4,$D$5,$D$6),"")</f>
        <v/>
      </c>
      <c r="G90" s="99" t="str">
        <f ca="1">IFERROR([1]!IntrinioHistoricalPrices(ticker,"close",$B90,$D$4,$D$5,$D$6),"")</f>
        <v/>
      </c>
      <c r="H90" s="100" t="str">
        <f ca="1">IFERROR([1]!IntrinioHistoricalPrices(ticker,"volume",$B90,$D$4,$D$5,$D$6),"")</f>
        <v/>
      </c>
      <c r="I90" s="101" t="str">
        <f ca="1">IFERROR([1]!IntrinioHistoricalPrices(ticker,"split_ratio",$B90,$D$4,$D$5,$D$6),"")</f>
        <v/>
      </c>
      <c r="J90" s="99" t="str">
        <f ca="1">IFERROR([1]!IntrinioHistoricalPrices(ticker,"ex_dividend",$B90,$D$4,$D$5,$D$6),"")</f>
        <v/>
      </c>
      <c r="K90" s="99" t="str">
        <f ca="1">IFERROR([1]!IntrinioHistoricalPrices(ticker,"adj_open",$B90,$D$4,$D$5,$D$6),"")</f>
        <v/>
      </c>
      <c r="L90" s="99" t="str">
        <f ca="1">IFERROR([1]!IntrinioHistoricalPrices(ticker,"adj_high",$B90,$D$4,$D$5,$D$6),"")</f>
        <v/>
      </c>
      <c r="M90" s="99" t="str">
        <f ca="1">IFERROR([1]!IntrinioHistoricalPrices(ticker,"adj_low",$B90,$D$4,$D$5,$D$6),"")</f>
        <v/>
      </c>
      <c r="N90" s="99" t="str">
        <f ca="1">IFERROR([1]!IntrinioHistoricalPrices(ticker,"adj_close",$B90,$D$4,$D$5,$D$6),"")</f>
        <v/>
      </c>
      <c r="O90" s="100" t="str">
        <f ca="1">IFERROR([1]!IntrinioHistoricalPrices(ticker,"adj_volume",$B90,$D$4,$D$5,$D$6),"")</f>
        <v/>
      </c>
    </row>
    <row r="91" spans="2:15" x14ac:dyDescent="0.45">
      <c r="B91" s="49">
        <f t="shared" si="1"/>
        <v>82</v>
      </c>
      <c r="C91" s="165" t="str">
        <f ca="1">IFERROR([1]!IntrinioHistoricalPrices(ticker,"date",$B91,$D$4,$D$5,$D$6),"")</f>
        <v/>
      </c>
      <c r="D91" s="99" t="str">
        <f ca="1">IFERROR([1]!IntrinioHistoricalPrices(ticker,"open",$B91,$D$4,$D$5,$D$6),"")</f>
        <v/>
      </c>
      <c r="E91" s="99" t="str">
        <f ca="1">IFERROR([1]!IntrinioHistoricalPrices(ticker,"high",$B91,$D$4,$D$5,$D$6),"")</f>
        <v/>
      </c>
      <c r="F91" s="99" t="str">
        <f ca="1">IFERROR([1]!IntrinioHistoricalPrices(ticker,"low",$B91,$D$4,$D$5,$D$6),"")</f>
        <v/>
      </c>
      <c r="G91" s="99" t="str">
        <f ca="1">IFERROR([1]!IntrinioHistoricalPrices(ticker,"close",$B91,$D$4,$D$5,$D$6),"")</f>
        <v/>
      </c>
      <c r="H91" s="100" t="str">
        <f ca="1">IFERROR([1]!IntrinioHistoricalPrices(ticker,"volume",$B91,$D$4,$D$5,$D$6),"")</f>
        <v/>
      </c>
      <c r="I91" s="101" t="str">
        <f ca="1">IFERROR([1]!IntrinioHistoricalPrices(ticker,"split_ratio",$B91,$D$4,$D$5,$D$6),"")</f>
        <v/>
      </c>
      <c r="J91" s="99" t="str">
        <f ca="1">IFERROR([1]!IntrinioHistoricalPrices(ticker,"ex_dividend",$B91,$D$4,$D$5,$D$6),"")</f>
        <v/>
      </c>
      <c r="K91" s="99" t="str">
        <f ca="1">IFERROR([1]!IntrinioHistoricalPrices(ticker,"adj_open",$B91,$D$4,$D$5,$D$6),"")</f>
        <v/>
      </c>
      <c r="L91" s="99" t="str">
        <f ca="1">IFERROR([1]!IntrinioHistoricalPrices(ticker,"adj_high",$B91,$D$4,$D$5,$D$6),"")</f>
        <v/>
      </c>
      <c r="M91" s="99" t="str">
        <f ca="1">IFERROR([1]!IntrinioHistoricalPrices(ticker,"adj_low",$B91,$D$4,$D$5,$D$6),"")</f>
        <v/>
      </c>
      <c r="N91" s="99" t="str">
        <f ca="1">IFERROR([1]!IntrinioHistoricalPrices(ticker,"adj_close",$B91,$D$4,$D$5,$D$6),"")</f>
        <v/>
      </c>
      <c r="O91" s="100" t="str">
        <f ca="1">IFERROR([1]!IntrinioHistoricalPrices(ticker,"adj_volume",$B91,$D$4,$D$5,$D$6),"")</f>
        <v/>
      </c>
    </row>
    <row r="92" spans="2:15" x14ac:dyDescent="0.45">
      <c r="B92" s="49">
        <f t="shared" si="1"/>
        <v>83</v>
      </c>
      <c r="C92" s="165" t="str">
        <f ca="1">IFERROR([1]!IntrinioHistoricalPrices(ticker,"date",$B92,$D$4,$D$5,$D$6),"")</f>
        <v/>
      </c>
      <c r="D92" s="99" t="str">
        <f ca="1">IFERROR([1]!IntrinioHistoricalPrices(ticker,"open",$B92,$D$4,$D$5,$D$6),"")</f>
        <v/>
      </c>
      <c r="E92" s="99" t="str">
        <f ca="1">IFERROR([1]!IntrinioHistoricalPrices(ticker,"high",$B92,$D$4,$D$5,$D$6),"")</f>
        <v/>
      </c>
      <c r="F92" s="99" t="str">
        <f ca="1">IFERROR([1]!IntrinioHistoricalPrices(ticker,"low",$B92,$D$4,$D$5,$D$6),"")</f>
        <v/>
      </c>
      <c r="G92" s="99" t="str">
        <f ca="1">IFERROR([1]!IntrinioHistoricalPrices(ticker,"close",$B92,$D$4,$D$5,$D$6),"")</f>
        <v/>
      </c>
      <c r="H92" s="100" t="str">
        <f ca="1">IFERROR([1]!IntrinioHistoricalPrices(ticker,"volume",$B92,$D$4,$D$5,$D$6),"")</f>
        <v/>
      </c>
      <c r="I92" s="101" t="str">
        <f ca="1">IFERROR([1]!IntrinioHistoricalPrices(ticker,"split_ratio",$B92,$D$4,$D$5,$D$6),"")</f>
        <v/>
      </c>
      <c r="J92" s="99" t="str">
        <f ca="1">IFERROR([1]!IntrinioHistoricalPrices(ticker,"ex_dividend",$B92,$D$4,$D$5,$D$6),"")</f>
        <v/>
      </c>
      <c r="K92" s="99" t="str">
        <f ca="1">IFERROR([1]!IntrinioHistoricalPrices(ticker,"adj_open",$B92,$D$4,$D$5,$D$6),"")</f>
        <v/>
      </c>
      <c r="L92" s="99" t="str">
        <f ca="1">IFERROR([1]!IntrinioHistoricalPrices(ticker,"adj_high",$B92,$D$4,$D$5,$D$6),"")</f>
        <v/>
      </c>
      <c r="M92" s="99" t="str">
        <f ca="1">IFERROR([1]!IntrinioHistoricalPrices(ticker,"adj_low",$B92,$D$4,$D$5,$D$6),"")</f>
        <v/>
      </c>
      <c r="N92" s="99" t="str">
        <f ca="1">IFERROR([1]!IntrinioHistoricalPrices(ticker,"adj_close",$B92,$D$4,$D$5,$D$6),"")</f>
        <v/>
      </c>
      <c r="O92" s="100" t="str">
        <f ca="1">IFERROR([1]!IntrinioHistoricalPrices(ticker,"adj_volume",$B92,$D$4,$D$5,$D$6),"")</f>
        <v/>
      </c>
    </row>
    <row r="93" spans="2:15" x14ac:dyDescent="0.45">
      <c r="B93" s="49">
        <f t="shared" si="1"/>
        <v>84</v>
      </c>
      <c r="C93" s="165" t="str">
        <f ca="1">IFERROR([1]!IntrinioHistoricalPrices(ticker,"date",$B93,$D$4,$D$5,$D$6),"")</f>
        <v/>
      </c>
      <c r="D93" s="99" t="str">
        <f ca="1">IFERROR([1]!IntrinioHistoricalPrices(ticker,"open",$B93,$D$4,$D$5,$D$6),"")</f>
        <v/>
      </c>
      <c r="E93" s="99" t="str">
        <f ca="1">IFERROR([1]!IntrinioHistoricalPrices(ticker,"high",$B93,$D$4,$D$5,$D$6),"")</f>
        <v/>
      </c>
      <c r="F93" s="99" t="str">
        <f ca="1">IFERROR([1]!IntrinioHistoricalPrices(ticker,"low",$B93,$D$4,$D$5,$D$6),"")</f>
        <v/>
      </c>
      <c r="G93" s="99" t="str">
        <f ca="1">IFERROR([1]!IntrinioHistoricalPrices(ticker,"close",$B93,$D$4,$D$5,$D$6),"")</f>
        <v/>
      </c>
      <c r="H93" s="100" t="str">
        <f ca="1">IFERROR([1]!IntrinioHistoricalPrices(ticker,"volume",$B93,$D$4,$D$5,$D$6),"")</f>
        <v/>
      </c>
      <c r="I93" s="101" t="str">
        <f ca="1">IFERROR([1]!IntrinioHistoricalPrices(ticker,"split_ratio",$B93,$D$4,$D$5,$D$6),"")</f>
        <v/>
      </c>
      <c r="J93" s="99" t="str">
        <f ca="1">IFERROR([1]!IntrinioHistoricalPrices(ticker,"ex_dividend",$B93,$D$4,$D$5,$D$6),"")</f>
        <v/>
      </c>
      <c r="K93" s="99" t="str">
        <f ca="1">IFERROR([1]!IntrinioHistoricalPrices(ticker,"adj_open",$B93,$D$4,$D$5,$D$6),"")</f>
        <v/>
      </c>
      <c r="L93" s="99" t="str">
        <f ca="1">IFERROR([1]!IntrinioHistoricalPrices(ticker,"adj_high",$B93,$D$4,$D$5,$D$6),"")</f>
        <v/>
      </c>
      <c r="M93" s="99" t="str">
        <f ca="1">IFERROR([1]!IntrinioHistoricalPrices(ticker,"adj_low",$B93,$D$4,$D$5,$D$6),"")</f>
        <v/>
      </c>
      <c r="N93" s="99" t="str">
        <f ca="1">IFERROR([1]!IntrinioHistoricalPrices(ticker,"adj_close",$B93,$D$4,$D$5,$D$6),"")</f>
        <v/>
      </c>
      <c r="O93" s="100" t="str">
        <f ca="1">IFERROR([1]!IntrinioHistoricalPrices(ticker,"adj_volume",$B93,$D$4,$D$5,$D$6),"")</f>
        <v/>
      </c>
    </row>
    <row r="94" spans="2:15" x14ac:dyDescent="0.45">
      <c r="B94" s="49">
        <f t="shared" si="1"/>
        <v>85</v>
      </c>
      <c r="C94" s="165" t="str">
        <f ca="1">IFERROR([1]!IntrinioHistoricalPrices(ticker,"date",$B94,$D$4,$D$5,$D$6),"")</f>
        <v/>
      </c>
      <c r="D94" s="99" t="str">
        <f ca="1">IFERROR([1]!IntrinioHistoricalPrices(ticker,"open",$B94,$D$4,$D$5,$D$6),"")</f>
        <v/>
      </c>
      <c r="E94" s="99" t="str">
        <f ca="1">IFERROR([1]!IntrinioHistoricalPrices(ticker,"high",$B94,$D$4,$D$5,$D$6),"")</f>
        <v/>
      </c>
      <c r="F94" s="99" t="str">
        <f ca="1">IFERROR([1]!IntrinioHistoricalPrices(ticker,"low",$B94,$D$4,$D$5,$D$6),"")</f>
        <v/>
      </c>
      <c r="G94" s="99" t="str">
        <f ca="1">IFERROR([1]!IntrinioHistoricalPrices(ticker,"close",$B94,$D$4,$D$5,$D$6),"")</f>
        <v/>
      </c>
      <c r="H94" s="100" t="str">
        <f ca="1">IFERROR([1]!IntrinioHistoricalPrices(ticker,"volume",$B94,$D$4,$D$5,$D$6),"")</f>
        <v/>
      </c>
      <c r="I94" s="101" t="str">
        <f ca="1">IFERROR([1]!IntrinioHistoricalPrices(ticker,"split_ratio",$B94,$D$4,$D$5,$D$6),"")</f>
        <v/>
      </c>
      <c r="J94" s="99" t="str">
        <f ca="1">IFERROR([1]!IntrinioHistoricalPrices(ticker,"ex_dividend",$B94,$D$4,$D$5,$D$6),"")</f>
        <v/>
      </c>
      <c r="K94" s="99" t="str">
        <f ca="1">IFERROR([1]!IntrinioHistoricalPrices(ticker,"adj_open",$B94,$D$4,$D$5,$D$6),"")</f>
        <v/>
      </c>
      <c r="L94" s="99" t="str">
        <f ca="1">IFERROR([1]!IntrinioHistoricalPrices(ticker,"adj_high",$B94,$D$4,$D$5,$D$6),"")</f>
        <v/>
      </c>
      <c r="M94" s="99" t="str">
        <f ca="1">IFERROR([1]!IntrinioHistoricalPrices(ticker,"adj_low",$B94,$D$4,$D$5,$D$6),"")</f>
        <v/>
      </c>
      <c r="N94" s="99" t="str">
        <f ca="1">IFERROR([1]!IntrinioHistoricalPrices(ticker,"adj_close",$B94,$D$4,$D$5,$D$6),"")</f>
        <v/>
      </c>
      <c r="O94" s="100" t="str">
        <f ca="1">IFERROR([1]!IntrinioHistoricalPrices(ticker,"adj_volume",$B94,$D$4,$D$5,$D$6),"")</f>
        <v/>
      </c>
    </row>
    <row r="95" spans="2:15" x14ac:dyDescent="0.45">
      <c r="B95" s="49">
        <f t="shared" si="1"/>
        <v>86</v>
      </c>
      <c r="C95" s="165" t="str">
        <f ca="1">IFERROR([1]!IntrinioHistoricalPrices(ticker,"date",$B95,$D$4,$D$5,$D$6),"")</f>
        <v/>
      </c>
      <c r="D95" s="99" t="str">
        <f ca="1">IFERROR([1]!IntrinioHistoricalPrices(ticker,"open",$B95,$D$4,$D$5,$D$6),"")</f>
        <v/>
      </c>
      <c r="E95" s="99" t="str">
        <f ca="1">IFERROR([1]!IntrinioHistoricalPrices(ticker,"high",$B95,$D$4,$D$5,$D$6),"")</f>
        <v/>
      </c>
      <c r="F95" s="99" t="str">
        <f ca="1">IFERROR([1]!IntrinioHistoricalPrices(ticker,"low",$B95,$D$4,$D$5,$D$6),"")</f>
        <v/>
      </c>
      <c r="G95" s="99" t="str">
        <f ca="1">IFERROR([1]!IntrinioHistoricalPrices(ticker,"close",$B95,$D$4,$D$5,$D$6),"")</f>
        <v/>
      </c>
      <c r="H95" s="100" t="str">
        <f ca="1">IFERROR([1]!IntrinioHistoricalPrices(ticker,"volume",$B95,$D$4,$D$5,$D$6),"")</f>
        <v/>
      </c>
      <c r="I95" s="101" t="str">
        <f ca="1">IFERROR([1]!IntrinioHistoricalPrices(ticker,"split_ratio",$B95,$D$4,$D$5,$D$6),"")</f>
        <v/>
      </c>
      <c r="J95" s="99" t="str">
        <f ca="1">IFERROR([1]!IntrinioHistoricalPrices(ticker,"ex_dividend",$B95,$D$4,$D$5,$D$6),"")</f>
        <v/>
      </c>
      <c r="K95" s="99" t="str">
        <f ca="1">IFERROR([1]!IntrinioHistoricalPrices(ticker,"adj_open",$B95,$D$4,$D$5,$D$6),"")</f>
        <v/>
      </c>
      <c r="L95" s="99" t="str">
        <f ca="1">IFERROR([1]!IntrinioHistoricalPrices(ticker,"adj_high",$B95,$D$4,$D$5,$D$6),"")</f>
        <v/>
      </c>
      <c r="M95" s="99" t="str">
        <f ca="1">IFERROR([1]!IntrinioHistoricalPrices(ticker,"adj_low",$B95,$D$4,$D$5,$D$6),"")</f>
        <v/>
      </c>
      <c r="N95" s="99" t="str">
        <f ca="1">IFERROR([1]!IntrinioHistoricalPrices(ticker,"adj_close",$B95,$D$4,$D$5,$D$6),"")</f>
        <v/>
      </c>
      <c r="O95" s="100" t="str">
        <f ca="1">IFERROR([1]!IntrinioHistoricalPrices(ticker,"adj_volume",$B95,$D$4,$D$5,$D$6),"")</f>
        <v/>
      </c>
    </row>
    <row r="96" spans="2:15" x14ac:dyDescent="0.45">
      <c r="B96" s="49">
        <f t="shared" si="1"/>
        <v>87</v>
      </c>
      <c r="C96" s="165" t="str">
        <f ca="1">IFERROR([1]!IntrinioHistoricalPrices(ticker,"date",$B96,$D$4,$D$5,$D$6),"")</f>
        <v/>
      </c>
      <c r="D96" s="99" t="str">
        <f ca="1">IFERROR([1]!IntrinioHistoricalPrices(ticker,"open",$B96,$D$4,$D$5,$D$6),"")</f>
        <v/>
      </c>
      <c r="E96" s="99" t="str">
        <f ca="1">IFERROR([1]!IntrinioHistoricalPrices(ticker,"high",$B96,$D$4,$D$5,$D$6),"")</f>
        <v/>
      </c>
      <c r="F96" s="99" t="str">
        <f ca="1">IFERROR([1]!IntrinioHistoricalPrices(ticker,"low",$B96,$D$4,$D$5,$D$6),"")</f>
        <v/>
      </c>
      <c r="G96" s="99" t="str">
        <f ca="1">IFERROR([1]!IntrinioHistoricalPrices(ticker,"close",$B96,$D$4,$D$5,$D$6),"")</f>
        <v/>
      </c>
      <c r="H96" s="100" t="str">
        <f ca="1">IFERROR([1]!IntrinioHistoricalPrices(ticker,"volume",$B96,$D$4,$D$5,$D$6),"")</f>
        <v/>
      </c>
      <c r="I96" s="101" t="str">
        <f ca="1">IFERROR([1]!IntrinioHistoricalPrices(ticker,"split_ratio",$B96,$D$4,$D$5,$D$6),"")</f>
        <v/>
      </c>
      <c r="J96" s="99" t="str">
        <f ca="1">IFERROR([1]!IntrinioHistoricalPrices(ticker,"ex_dividend",$B96,$D$4,$D$5,$D$6),"")</f>
        <v/>
      </c>
      <c r="K96" s="99" t="str">
        <f ca="1">IFERROR([1]!IntrinioHistoricalPrices(ticker,"adj_open",$B96,$D$4,$D$5,$D$6),"")</f>
        <v/>
      </c>
      <c r="L96" s="99" t="str">
        <f ca="1">IFERROR([1]!IntrinioHistoricalPrices(ticker,"adj_high",$B96,$D$4,$D$5,$D$6),"")</f>
        <v/>
      </c>
      <c r="M96" s="99" t="str">
        <f ca="1">IFERROR([1]!IntrinioHistoricalPrices(ticker,"adj_low",$B96,$D$4,$D$5,$D$6),"")</f>
        <v/>
      </c>
      <c r="N96" s="99" t="str">
        <f ca="1">IFERROR([1]!IntrinioHistoricalPrices(ticker,"adj_close",$B96,$D$4,$D$5,$D$6),"")</f>
        <v/>
      </c>
      <c r="O96" s="100" t="str">
        <f ca="1">IFERROR([1]!IntrinioHistoricalPrices(ticker,"adj_volume",$B96,$D$4,$D$5,$D$6),"")</f>
        <v/>
      </c>
    </row>
    <row r="97" spans="2:15" x14ac:dyDescent="0.45">
      <c r="B97" s="49">
        <f t="shared" si="1"/>
        <v>88</v>
      </c>
      <c r="C97" s="165" t="str">
        <f ca="1">IFERROR([1]!IntrinioHistoricalPrices(ticker,"date",$B97,$D$4,$D$5,$D$6),"")</f>
        <v/>
      </c>
      <c r="D97" s="99" t="str">
        <f ca="1">IFERROR([1]!IntrinioHistoricalPrices(ticker,"open",$B97,$D$4,$D$5,$D$6),"")</f>
        <v/>
      </c>
      <c r="E97" s="99" t="str">
        <f ca="1">IFERROR([1]!IntrinioHistoricalPrices(ticker,"high",$B97,$D$4,$D$5,$D$6),"")</f>
        <v/>
      </c>
      <c r="F97" s="99" t="str">
        <f ca="1">IFERROR([1]!IntrinioHistoricalPrices(ticker,"low",$B97,$D$4,$D$5,$D$6),"")</f>
        <v/>
      </c>
      <c r="G97" s="99" t="str">
        <f ca="1">IFERROR([1]!IntrinioHistoricalPrices(ticker,"close",$B97,$D$4,$D$5,$D$6),"")</f>
        <v/>
      </c>
      <c r="H97" s="100" t="str">
        <f ca="1">IFERROR([1]!IntrinioHistoricalPrices(ticker,"volume",$B97,$D$4,$D$5,$D$6),"")</f>
        <v/>
      </c>
      <c r="I97" s="101" t="str">
        <f ca="1">IFERROR([1]!IntrinioHistoricalPrices(ticker,"split_ratio",$B97,$D$4,$D$5,$D$6),"")</f>
        <v/>
      </c>
      <c r="J97" s="99" t="str">
        <f ca="1">IFERROR([1]!IntrinioHistoricalPrices(ticker,"ex_dividend",$B97,$D$4,$D$5,$D$6),"")</f>
        <v/>
      </c>
      <c r="K97" s="99" t="str">
        <f ca="1">IFERROR([1]!IntrinioHistoricalPrices(ticker,"adj_open",$B97,$D$4,$D$5,$D$6),"")</f>
        <v/>
      </c>
      <c r="L97" s="99" t="str">
        <f ca="1">IFERROR([1]!IntrinioHistoricalPrices(ticker,"adj_high",$B97,$D$4,$D$5,$D$6),"")</f>
        <v/>
      </c>
      <c r="M97" s="99" t="str">
        <f ca="1">IFERROR([1]!IntrinioHistoricalPrices(ticker,"adj_low",$B97,$D$4,$D$5,$D$6),"")</f>
        <v/>
      </c>
      <c r="N97" s="99" t="str">
        <f ca="1">IFERROR([1]!IntrinioHistoricalPrices(ticker,"adj_close",$B97,$D$4,$D$5,$D$6),"")</f>
        <v/>
      </c>
      <c r="O97" s="100" t="str">
        <f ca="1">IFERROR([1]!IntrinioHistoricalPrices(ticker,"adj_volume",$B97,$D$4,$D$5,$D$6),"")</f>
        <v/>
      </c>
    </row>
    <row r="98" spans="2:15" x14ac:dyDescent="0.45">
      <c r="B98" s="49">
        <f t="shared" si="1"/>
        <v>89</v>
      </c>
      <c r="C98" s="165" t="str">
        <f ca="1">IFERROR([1]!IntrinioHistoricalPrices(ticker,"date",$B98,$D$4,$D$5,$D$6),"")</f>
        <v/>
      </c>
      <c r="D98" s="99" t="str">
        <f ca="1">IFERROR([1]!IntrinioHistoricalPrices(ticker,"open",$B98,$D$4,$D$5,$D$6),"")</f>
        <v/>
      </c>
      <c r="E98" s="99" t="str">
        <f ca="1">IFERROR([1]!IntrinioHistoricalPrices(ticker,"high",$B98,$D$4,$D$5,$D$6),"")</f>
        <v/>
      </c>
      <c r="F98" s="99" t="str">
        <f ca="1">IFERROR([1]!IntrinioHistoricalPrices(ticker,"low",$B98,$D$4,$D$5,$D$6),"")</f>
        <v/>
      </c>
      <c r="G98" s="99" t="str">
        <f ca="1">IFERROR([1]!IntrinioHistoricalPrices(ticker,"close",$B98,$D$4,$D$5,$D$6),"")</f>
        <v/>
      </c>
      <c r="H98" s="100" t="str">
        <f ca="1">IFERROR([1]!IntrinioHistoricalPrices(ticker,"volume",$B98,$D$4,$D$5,$D$6),"")</f>
        <v/>
      </c>
      <c r="I98" s="101" t="str">
        <f ca="1">IFERROR([1]!IntrinioHistoricalPrices(ticker,"split_ratio",$B98,$D$4,$D$5,$D$6),"")</f>
        <v/>
      </c>
      <c r="J98" s="99" t="str">
        <f ca="1">IFERROR([1]!IntrinioHistoricalPrices(ticker,"ex_dividend",$B98,$D$4,$D$5,$D$6),"")</f>
        <v/>
      </c>
      <c r="K98" s="99" t="str">
        <f ca="1">IFERROR([1]!IntrinioHistoricalPrices(ticker,"adj_open",$B98,$D$4,$D$5,$D$6),"")</f>
        <v/>
      </c>
      <c r="L98" s="99" t="str">
        <f ca="1">IFERROR([1]!IntrinioHistoricalPrices(ticker,"adj_high",$B98,$D$4,$D$5,$D$6),"")</f>
        <v/>
      </c>
      <c r="M98" s="99" t="str">
        <f ca="1">IFERROR([1]!IntrinioHistoricalPrices(ticker,"adj_low",$B98,$D$4,$D$5,$D$6),"")</f>
        <v/>
      </c>
      <c r="N98" s="99" t="str">
        <f ca="1">IFERROR([1]!IntrinioHistoricalPrices(ticker,"adj_close",$B98,$D$4,$D$5,$D$6),"")</f>
        <v/>
      </c>
      <c r="O98" s="100" t="str">
        <f ca="1">IFERROR([1]!IntrinioHistoricalPrices(ticker,"adj_volume",$B98,$D$4,$D$5,$D$6),"")</f>
        <v/>
      </c>
    </row>
    <row r="99" spans="2:15" x14ac:dyDescent="0.45">
      <c r="B99" s="49">
        <f t="shared" si="1"/>
        <v>90</v>
      </c>
      <c r="C99" s="165" t="str">
        <f ca="1">IFERROR([1]!IntrinioHistoricalPrices(ticker,"date",$B99,$D$4,$D$5,$D$6),"")</f>
        <v/>
      </c>
      <c r="D99" s="99" t="str">
        <f ca="1">IFERROR([1]!IntrinioHistoricalPrices(ticker,"open",$B99,$D$4,$D$5,$D$6),"")</f>
        <v/>
      </c>
      <c r="E99" s="99" t="str">
        <f ca="1">IFERROR([1]!IntrinioHistoricalPrices(ticker,"high",$B99,$D$4,$D$5,$D$6),"")</f>
        <v/>
      </c>
      <c r="F99" s="99" t="str">
        <f ca="1">IFERROR([1]!IntrinioHistoricalPrices(ticker,"low",$B99,$D$4,$D$5,$D$6),"")</f>
        <v/>
      </c>
      <c r="G99" s="99" t="str">
        <f ca="1">IFERROR([1]!IntrinioHistoricalPrices(ticker,"close",$B99,$D$4,$D$5,$D$6),"")</f>
        <v/>
      </c>
      <c r="H99" s="100" t="str">
        <f ca="1">IFERROR([1]!IntrinioHistoricalPrices(ticker,"volume",$B99,$D$4,$D$5,$D$6),"")</f>
        <v/>
      </c>
      <c r="I99" s="101" t="str">
        <f ca="1">IFERROR([1]!IntrinioHistoricalPrices(ticker,"split_ratio",$B99,$D$4,$D$5,$D$6),"")</f>
        <v/>
      </c>
      <c r="J99" s="99" t="str">
        <f ca="1">IFERROR([1]!IntrinioHistoricalPrices(ticker,"ex_dividend",$B99,$D$4,$D$5,$D$6),"")</f>
        <v/>
      </c>
      <c r="K99" s="99" t="str">
        <f ca="1">IFERROR([1]!IntrinioHistoricalPrices(ticker,"adj_open",$B99,$D$4,$D$5,$D$6),"")</f>
        <v/>
      </c>
      <c r="L99" s="99" t="str">
        <f ca="1">IFERROR([1]!IntrinioHistoricalPrices(ticker,"adj_high",$B99,$D$4,$D$5,$D$6),"")</f>
        <v/>
      </c>
      <c r="M99" s="99" t="str">
        <f ca="1">IFERROR([1]!IntrinioHistoricalPrices(ticker,"adj_low",$B99,$D$4,$D$5,$D$6),"")</f>
        <v/>
      </c>
      <c r="N99" s="99" t="str">
        <f ca="1">IFERROR([1]!IntrinioHistoricalPrices(ticker,"adj_close",$B99,$D$4,$D$5,$D$6),"")</f>
        <v/>
      </c>
      <c r="O99" s="100" t="str">
        <f ca="1">IFERROR([1]!IntrinioHistoricalPrices(ticker,"adj_volume",$B99,$D$4,$D$5,$D$6),"")</f>
        <v/>
      </c>
    </row>
    <row r="100" spans="2:15" x14ac:dyDescent="0.45">
      <c r="B100" s="49">
        <f t="shared" si="1"/>
        <v>91</v>
      </c>
      <c r="C100" s="165" t="str">
        <f ca="1">IFERROR([1]!IntrinioHistoricalPrices(ticker,"date",$B100,$D$4,$D$5,$D$6),"")</f>
        <v/>
      </c>
      <c r="D100" s="99" t="str">
        <f ca="1">IFERROR([1]!IntrinioHistoricalPrices(ticker,"open",$B100,$D$4,$D$5,$D$6),"")</f>
        <v/>
      </c>
      <c r="E100" s="99" t="str">
        <f ca="1">IFERROR([1]!IntrinioHistoricalPrices(ticker,"high",$B100,$D$4,$D$5,$D$6),"")</f>
        <v/>
      </c>
      <c r="F100" s="99" t="str">
        <f ca="1">IFERROR([1]!IntrinioHistoricalPrices(ticker,"low",$B100,$D$4,$D$5,$D$6),"")</f>
        <v/>
      </c>
      <c r="G100" s="99" t="str">
        <f ca="1">IFERROR([1]!IntrinioHistoricalPrices(ticker,"close",$B100,$D$4,$D$5,$D$6),"")</f>
        <v/>
      </c>
      <c r="H100" s="100" t="str">
        <f ca="1">IFERROR([1]!IntrinioHistoricalPrices(ticker,"volume",$B100,$D$4,$D$5,$D$6),"")</f>
        <v/>
      </c>
      <c r="I100" s="101" t="str">
        <f ca="1">IFERROR([1]!IntrinioHistoricalPrices(ticker,"split_ratio",$B100,$D$4,$D$5,$D$6),"")</f>
        <v/>
      </c>
      <c r="J100" s="99" t="str">
        <f ca="1">IFERROR([1]!IntrinioHistoricalPrices(ticker,"ex_dividend",$B100,$D$4,$D$5,$D$6),"")</f>
        <v/>
      </c>
      <c r="K100" s="99" t="str">
        <f ca="1">IFERROR([1]!IntrinioHistoricalPrices(ticker,"adj_open",$B100,$D$4,$D$5,$D$6),"")</f>
        <v/>
      </c>
      <c r="L100" s="99" t="str">
        <f ca="1">IFERROR([1]!IntrinioHistoricalPrices(ticker,"adj_high",$B100,$D$4,$D$5,$D$6),"")</f>
        <v/>
      </c>
      <c r="M100" s="99" t="str">
        <f ca="1">IFERROR([1]!IntrinioHistoricalPrices(ticker,"adj_low",$B100,$D$4,$D$5,$D$6),"")</f>
        <v/>
      </c>
      <c r="N100" s="99" t="str">
        <f ca="1">IFERROR([1]!IntrinioHistoricalPrices(ticker,"adj_close",$B100,$D$4,$D$5,$D$6),"")</f>
        <v/>
      </c>
      <c r="O100" s="100" t="str">
        <f ca="1">IFERROR([1]!IntrinioHistoricalPrices(ticker,"adj_volume",$B100,$D$4,$D$5,$D$6),"")</f>
        <v/>
      </c>
    </row>
    <row r="101" spans="2:15" x14ac:dyDescent="0.45">
      <c r="B101" s="49">
        <f t="shared" si="1"/>
        <v>92</v>
      </c>
      <c r="C101" s="165" t="str">
        <f ca="1">IFERROR([1]!IntrinioHistoricalPrices(ticker,"date",$B101,$D$4,$D$5,$D$6),"")</f>
        <v/>
      </c>
      <c r="D101" s="99" t="str">
        <f ca="1">IFERROR([1]!IntrinioHistoricalPrices(ticker,"open",$B101,$D$4,$D$5,$D$6),"")</f>
        <v/>
      </c>
      <c r="E101" s="99" t="str">
        <f ca="1">IFERROR([1]!IntrinioHistoricalPrices(ticker,"high",$B101,$D$4,$D$5,$D$6),"")</f>
        <v/>
      </c>
      <c r="F101" s="99" t="str">
        <f ca="1">IFERROR([1]!IntrinioHistoricalPrices(ticker,"low",$B101,$D$4,$D$5,$D$6),"")</f>
        <v/>
      </c>
      <c r="G101" s="99" t="str">
        <f ca="1">IFERROR([1]!IntrinioHistoricalPrices(ticker,"close",$B101,$D$4,$D$5,$D$6),"")</f>
        <v/>
      </c>
      <c r="H101" s="100" t="str">
        <f ca="1">IFERROR([1]!IntrinioHistoricalPrices(ticker,"volume",$B101,$D$4,$D$5,$D$6),"")</f>
        <v/>
      </c>
      <c r="I101" s="101" t="str">
        <f ca="1">IFERROR([1]!IntrinioHistoricalPrices(ticker,"split_ratio",$B101,$D$4,$D$5,$D$6),"")</f>
        <v/>
      </c>
      <c r="J101" s="99" t="str">
        <f ca="1">IFERROR([1]!IntrinioHistoricalPrices(ticker,"ex_dividend",$B101,$D$4,$D$5,$D$6),"")</f>
        <v/>
      </c>
      <c r="K101" s="99" t="str">
        <f ca="1">IFERROR([1]!IntrinioHistoricalPrices(ticker,"adj_open",$B101,$D$4,$D$5,$D$6),"")</f>
        <v/>
      </c>
      <c r="L101" s="99" t="str">
        <f ca="1">IFERROR([1]!IntrinioHistoricalPrices(ticker,"adj_high",$B101,$D$4,$D$5,$D$6),"")</f>
        <v/>
      </c>
      <c r="M101" s="99" t="str">
        <f ca="1">IFERROR([1]!IntrinioHistoricalPrices(ticker,"adj_low",$B101,$D$4,$D$5,$D$6),"")</f>
        <v/>
      </c>
      <c r="N101" s="99" t="str">
        <f ca="1">IFERROR([1]!IntrinioHistoricalPrices(ticker,"adj_close",$B101,$D$4,$D$5,$D$6),"")</f>
        <v/>
      </c>
      <c r="O101" s="100" t="str">
        <f ca="1">IFERROR([1]!IntrinioHistoricalPrices(ticker,"adj_volume",$B101,$D$4,$D$5,$D$6),"")</f>
        <v/>
      </c>
    </row>
    <row r="102" spans="2:15" x14ac:dyDescent="0.45">
      <c r="B102" s="49">
        <f t="shared" si="1"/>
        <v>93</v>
      </c>
      <c r="C102" s="165" t="str">
        <f ca="1">IFERROR([1]!IntrinioHistoricalPrices(ticker,"date",$B102,$D$4,$D$5,$D$6),"")</f>
        <v/>
      </c>
      <c r="D102" s="99" t="str">
        <f ca="1">IFERROR([1]!IntrinioHistoricalPrices(ticker,"open",$B102,$D$4,$D$5,$D$6),"")</f>
        <v/>
      </c>
      <c r="E102" s="99" t="str">
        <f ca="1">IFERROR([1]!IntrinioHistoricalPrices(ticker,"high",$B102,$D$4,$D$5,$D$6),"")</f>
        <v/>
      </c>
      <c r="F102" s="99" t="str">
        <f ca="1">IFERROR([1]!IntrinioHistoricalPrices(ticker,"low",$B102,$D$4,$D$5,$D$6),"")</f>
        <v/>
      </c>
      <c r="G102" s="99" t="str">
        <f ca="1">IFERROR([1]!IntrinioHistoricalPrices(ticker,"close",$B102,$D$4,$D$5,$D$6),"")</f>
        <v/>
      </c>
      <c r="H102" s="100" t="str">
        <f ca="1">IFERROR([1]!IntrinioHistoricalPrices(ticker,"volume",$B102,$D$4,$D$5,$D$6),"")</f>
        <v/>
      </c>
      <c r="I102" s="101" t="str">
        <f ca="1">IFERROR([1]!IntrinioHistoricalPrices(ticker,"split_ratio",$B102,$D$4,$D$5,$D$6),"")</f>
        <v/>
      </c>
      <c r="J102" s="99" t="str">
        <f ca="1">IFERROR([1]!IntrinioHistoricalPrices(ticker,"ex_dividend",$B102,$D$4,$D$5,$D$6),"")</f>
        <v/>
      </c>
      <c r="K102" s="99" t="str">
        <f ca="1">IFERROR([1]!IntrinioHistoricalPrices(ticker,"adj_open",$B102,$D$4,$D$5,$D$6),"")</f>
        <v/>
      </c>
      <c r="L102" s="99" t="str">
        <f ca="1">IFERROR([1]!IntrinioHistoricalPrices(ticker,"adj_high",$B102,$D$4,$D$5,$D$6),"")</f>
        <v/>
      </c>
      <c r="M102" s="99" t="str">
        <f ca="1">IFERROR([1]!IntrinioHistoricalPrices(ticker,"adj_low",$B102,$D$4,$D$5,$D$6),"")</f>
        <v/>
      </c>
      <c r="N102" s="99" t="str">
        <f ca="1">IFERROR([1]!IntrinioHistoricalPrices(ticker,"adj_close",$B102,$D$4,$D$5,$D$6),"")</f>
        <v/>
      </c>
      <c r="O102" s="100" t="str">
        <f ca="1">IFERROR([1]!IntrinioHistoricalPrices(ticker,"adj_volume",$B102,$D$4,$D$5,$D$6),"")</f>
        <v/>
      </c>
    </row>
    <row r="103" spans="2:15" x14ac:dyDescent="0.45">
      <c r="B103" s="49">
        <f t="shared" si="1"/>
        <v>94</v>
      </c>
      <c r="C103" s="165" t="str">
        <f ca="1">IFERROR([1]!IntrinioHistoricalPrices(ticker,"date",$B103,$D$4,$D$5,$D$6),"")</f>
        <v/>
      </c>
      <c r="D103" s="99" t="str">
        <f ca="1">IFERROR([1]!IntrinioHistoricalPrices(ticker,"open",$B103,$D$4,$D$5,$D$6),"")</f>
        <v/>
      </c>
      <c r="E103" s="99" t="str">
        <f ca="1">IFERROR([1]!IntrinioHistoricalPrices(ticker,"high",$B103,$D$4,$D$5,$D$6),"")</f>
        <v/>
      </c>
      <c r="F103" s="99" t="str">
        <f ca="1">IFERROR([1]!IntrinioHistoricalPrices(ticker,"low",$B103,$D$4,$D$5,$D$6),"")</f>
        <v/>
      </c>
      <c r="G103" s="99" t="str">
        <f ca="1">IFERROR([1]!IntrinioHistoricalPrices(ticker,"close",$B103,$D$4,$D$5,$D$6),"")</f>
        <v/>
      </c>
      <c r="H103" s="100" t="str">
        <f ca="1">IFERROR([1]!IntrinioHistoricalPrices(ticker,"volume",$B103,$D$4,$D$5,$D$6),"")</f>
        <v/>
      </c>
      <c r="I103" s="101" t="str">
        <f ca="1">IFERROR([1]!IntrinioHistoricalPrices(ticker,"split_ratio",$B103,$D$4,$D$5,$D$6),"")</f>
        <v/>
      </c>
      <c r="J103" s="99" t="str">
        <f ca="1">IFERROR([1]!IntrinioHistoricalPrices(ticker,"ex_dividend",$B103,$D$4,$D$5,$D$6),"")</f>
        <v/>
      </c>
      <c r="K103" s="99" t="str">
        <f ca="1">IFERROR([1]!IntrinioHistoricalPrices(ticker,"adj_open",$B103,$D$4,$D$5,$D$6),"")</f>
        <v/>
      </c>
      <c r="L103" s="99" t="str">
        <f ca="1">IFERROR([1]!IntrinioHistoricalPrices(ticker,"adj_high",$B103,$D$4,$D$5,$D$6),"")</f>
        <v/>
      </c>
      <c r="M103" s="99" t="str">
        <f ca="1">IFERROR([1]!IntrinioHistoricalPrices(ticker,"adj_low",$B103,$D$4,$D$5,$D$6),"")</f>
        <v/>
      </c>
      <c r="N103" s="99" t="str">
        <f ca="1">IFERROR([1]!IntrinioHistoricalPrices(ticker,"adj_close",$B103,$D$4,$D$5,$D$6),"")</f>
        <v/>
      </c>
      <c r="O103" s="100" t="str">
        <f ca="1">IFERROR([1]!IntrinioHistoricalPrices(ticker,"adj_volume",$B103,$D$4,$D$5,$D$6),"")</f>
        <v/>
      </c>
    </row>
    <row r="104" spans="2:15" x14ac:dyDescent="0.45">
      <c r="B104" s="49">
        <f t="shared" si="1"/>
        <v>95</v>
      </c>
      <c r="C104" s="165" t="str">
        <f ca="1">IFERROR([1]!IntrinioHistoricalPrices(ticker,"date",$B104,$D$4,$D$5,$D$6),"")</f>
        <v/>
      </c>
      <c r="D104" s="99" t="str">
        <f ca="1">IFERROR([1]!IntrinioHistoricalPrices(ticker,"open",$B104,$D$4,$D$5,$D$6),"")</f>
        <v/>
      </c>
      <c r="E104" s="99" t="str">
        <f ca="1">IFERROR([1]!IntrinioHistoricalPrices(ticker,"high",$B104,$D$4,$D$5,$D$6),"")</f>
        <v/>
      </c>
      <c r="F104" s="99" t="str">
        <f ca="1">IFERROR([1]!IntrinioHistoricalPrices(ticker,"low",$B104,$D$4,$D$5,$D$6),"")</f>
        <v/>
      </c>
      <c r="G104" s="99" t="str">
        <f ca="1">IFERROR([1]!IntrinioHistoricalPrices(ticker,"close",$B104,$D$4,$D$5,$D$6),"")</f>
        <v/>
      </c>
      <c r="H104" s="100" t="str">
        <f ca="1">IFERROR([1]!IntrinioHistoricalPrices(ticker,"volume",$B104,$D$4,$D$5,$D$6),"")</f>
        <v/>
      </c>
      <c r="I104" s="101" t="str">
        <f ca="1">IFERROR([1]!IntrinioHistoricalPrices(ticker,"split_ratio",$B104,$D$4,$D$5,$D$6),"")</f>
        <v/>
      </c>
      <c r="J104" s="99" t="str">
        <f ca="1">IFERROR([1]!IntrinioHistoricalPrices(ticker,"ex_dividend",$B104,$D$4,$D$5,$D$6),"")</f>
        <v/>
      </c>
      <c r="K104" s="99" t="str">
        <f ca="1">IFERROR([1]!IntrinioHistoricalPrices(ticker,"adj_open",$B104,$D$4,$D$5,$D$6),"")</f>
        <v/>
      </c>
      <c r="L104" s="99" t="str">
        <f ca="1">IFERROR([1]!IntrinioHistoricalPrices(ticker,"adj_high",$B104,$D$4,$D$5,$D$6),"")</f>
        <v/>
      </c>
      <c r="M104" s="99" t="str">
        <f ca="1">IFERROR([1]!IntrinioHistoricalPrices(ticker,"adj_low",$B104,$D$4,$D$5,$D$6),"")</f>
        <v/>
      </c>
      <c r="N104" s="99" t="str">
        <f ca="1">IFERROR([1]!IntrinioHistoricalPrices(ticker,"adj_close",$B104,$D$4,$D$5,$D$6),"")</f>
        <v/>
      </c>
      <c r="O104" s="100" t="str">
        <f ca="1">IFERROR([1]!IntrinioHistoricalPrices(ticker,"adj_volume",$B104,$D$4,$D$5,$D$6),"")</f>
        <v/>
      </c>
    </row>
    <row r="105" spans="2:15" x14ac:dyDescent="0.45">
      <c r="B105" s="49">
        <f t="shared" si="1"/>
        <v>96</v>
      </c>
      <c r="C105" s="165" t="str">
        <f ca="1">IFERROR([1]!IntrinioHistoricalPrices(ticker,"date",$B105,$D$4,$D$5,$D$6),"")</f>
        <v/>
      </c>
      <c r="D105" s="99" t="str">
        <f ca="1">IFERROR([1]!IntrinioHistoricalPrices(ticker,"open",$B105,$D$4,$D$5,$D$6),"")</f>
        <v/>
      </c>
      <c r="E105" s="99" t="str">
        <f ca="1">IFERROR([1]!IntrinioHistoricalPrices(ticker,"high",$B105,$D$4,$D$5,$D$6),"")</f>
        <v/>
      </c>
      <c r="F105" s="99" t="str">
        <f ca="1">IFERROR([1]!IntrinioHistoricalPrices(ticker,"low",$B105,$D$4,$D$5,$D$6),"")</f>
        <v/>
      </c>
      <c r="G105" s="99" t="str">
        <f ca="1">IFERROR([1]!IntrinioHistoricalPrices(ticker,"close",$B105,$D$4,$D$5,$D$6),"")</f>
        <v/>
      </c>
      <c r="H105" s="100" t="str">
        <f ca="1">IFERROR([1]!IntrinioHistoricalPrices(ticker,"volume",$B105,$D$4,$D$5,$D$6),"")</f>
        <v/>
      </c>
      <c r="I105" s="101" t="str">
        <f ca="1">IFERROR([1]!IntrinioHistoricalPrices(ticker,"split_ratio",$B105,$D$4,$D$5,$D$6),"")</f>
        <v/>
      </c>
      <c r="J105" s="99" t="str">
        <f ca="1">IFERROR([1]!IntrinioHistoricalPrices(ticker,"ex_dividend",$B105,$D$4,$D$5,$D$6),"")</f>
        <v/>
      </c>
      <c r="K105" s="99" t="str">
        <f ca="1">IFERROR([1]!IntrinioHistoricalPrices(ticker,"adj_open",$B105,$D$4,$D$5,$D$6),"")</f>
        <v/>
      </c>
      <c r="L105" s="99" t="str">
        <f ca="1">IFERROR([1]!IntrinioHistoricalPrices(ticker,"adj_high",$B105,$D$4,$D$5,$D$6),"")</f>
        <v/>
      </c>
      <c r="M105" s="99" t="str">
        <f ca="1">IFERROR([1]!IntrinioHistoricalPrices(ticker,"adj_low",$B105,$D$4,$D$5,$D$6),"")</f>
        <v/>
      </c>
      <c r="N105" s="99" t="str">
        <f ca="1">IFERROR([1]!IntrinioHistoricalPrices(ticker,"adj_close",$B105,$D$4,$D$5,$D$6),"")</f>
        <v/>
      </c>
      <c r="O105" s="100" t="str">
        <f ca="1">IFERROR([1]!IntrinioHistoricalPrices(ticker,"adj_volume",$B105,$D$4,$D$5,$D$6),"")</f>
        <v/>
      </c>
    </row>
    <row r="106" spans="2:15" x14ac:dyDescent="0.45">
      <c r="B106" s="49">
        <f t="shared" si="1"/>
        <v>97</v>
      </c>
      <c r="C106" s="165" t="str">
        <f ca="1">IFERROR([1]!IntrinioHistoricalPrices(ticker,"date",$B106,$D$4,$D$5,$D$6),"")</f>
        <v/>
      </c>
      <c r="D106" s="99" t="str">
        <f ca="1">IFERROR([1]!IntrinioHistoricalPrices(ticker,"open",$B106,$D$4,$D$5,$D$6),"")</f>
        <v/>
      </c>
      <c r="E106" s="99" t="str">
        <f ca="1">IFERROR([1]!IntrinioHistoricalPrices(ticker,"high",$B106,$D$4,$D$5,$D$6),"")</f>
        <v/>
      </c>
      <c r="F106" s="99" t="str">
        <f ca="1">IFERROR([1]!IntrinioHistoricalPrices(ticker,"low",$B106,$D$4,$D$5,$D$6),"")</f>
        <v/>
      </c>
      <c r="G106" s="99" t="str">
        <f ca="1">IFERROR([1]!IntrinioHistoricalPrices(ticker,"close",$B106,$D$4,$D$5,$D$6),"")</f>
        <v/>
      </c>
      <c r="H106" s="100" t="str">
        <f ca="1">IFERROR([1]!IntrinioHistoricalPrices(ticker,"volume",$B106,$D$4,$D$5,$D$6),"")</f>
        <v/>
      </c>
      <c r="I106" s="101" t="str">
        <f ca="1">IFERROR([1]!IntrinioHistoricalPrices(ticker,"split_ratio",$B106,$D$4,$D$5,$D$6),"")</f>
        <v/>
      </c>
      <c r="J106" s="99" t="str">
        <f ca="1">IFERROR([1]!IntrinioHistoricalPrices(ticker,"ex_dividend",$B106,$D$4,$D$5,$D$6),"")</f>
        <v/>
      </c>
      <c r="K106" s="99" t="str">
        <f ca="1">IFERROR([1]!IntrinioHistoricalPrices(ticker,"adj_open",$B106,$D$4,$D$5,$D$6),"")</f>
        <v/>
      </c>
      <c r="L106" s="99" t="str">
        <f ca="1">IFERROR([1]!IntrinioHistoricalPrices(ticker,"adj_high",$B106,$D$4,$D$5,$D$6),"")</f>
        <v/>
      </c>
      <c r="M106" s="99" t="str">
        <f ca="1">IFERROR([1]!IntrinioHistoricalPrices(ticker,"adj_low",$B106,$D$4,$D$5,$D$6),"")</f>
        <v/>
      </c>
      <c r="N106" s="99" t="str">
        <f ca="1">IFERROR([1]!IntrinioHistoricalPrices(ticker,"adj_close",$B106,$D$4,$D$5,$D$6),"")</f>
        <v/>
      </c>
      <c r="O106" s="100" t="str">
        <f ca="1">IFERROR([1]!IntrinioHistoricalPrices(ticker,"adj_volume",$B106,$D$4,$D$5,$D$6),"")</f>
        <v/>
      </c>
    </row>
    <row r="107" spans="2:15" x14ac:dyDescent="0.45">
      <c r="B107" s="49">
        <f t="shared" si="1"/>
        <v>98</v>
      </c>
      <c r="C107" s="165" t="str">
        <f ca="1">IFERROR([1]!IntrinioHistoricalPrices(ticker,"date",$B107,$D$4,$D$5,$D$6),"")</f>
        <v/>
      </c>
      <c r="D107" s="99" t="str">
        <f ca="1">IFERROR([1]!IntrinioHistoricalPrices(ticker,"open",$B107,$D$4,$D$5,$D$6),"")</f>
        <v/>
      </c>
      <c r="E107" s="99" t="str">
        <f ca="1">IFERROR([1]!IntrinioHistoricalPrices(ticker,"high",$B107,$D$4,$D$5,$D$6),"")</f>
        <v/>
      </c>
      <c r="F107" s="99" t="str">
        <f ca="1">IFERROR([1]!IntrinioHistoricalPrices(ticker,"low",$B107,$D$4,$D$5,$D$6),"")</f>
        <v/>
      </c>
      <c r="G107" s="99" t="str">
        <f ca="1">IFERROR([1]!IntrinioHistoricalPrices(ticker,"close",$B107,$D$4,$D$5,$D$6),"")</f>
        <v/>
      </c>
      <c r="H107" s="100" t="str">
        <f ca="1">IFERROR([1]!IntrinioHistoricalPrices(ticker,"volume",$B107,$D$4,$D$5,$D$6),"")</f>
        <v/>
      </c>
      <c r="I107" s="101" t="str">
        <f ca="1">IFERROR([1]!IntrinioHistoricalPrices(ticker,"split_ratio",$B107,$D$4,$D$5,$D$6),"")</f>
        <v/>
      </c>
      <c r="J107" s="99" t="str">
        <f ca="1">IFERROR([1]!IntrinioHistoricalPrices(ticker,"ex_dividend",$B107,$D$4,$D$5,$D$6),"")</f>
        <v/>
      </c>
      <c r="K107" s="99" t="str">
        <f ca="1">IFERROR([1]!IntrinioHistoricalPrices(ticker,"adj_open",$B107,$D$4,$D$5,$D$6),"")</f>
        <v/>
      </c>
      <c r="L107" s="99" t="str">
        <f ca="1">IFERROR([1]!IntrinioHistoricalPrices(ticker,"adj_high",$B107,$D$4,$D$5,$D$6),"")</f>
        <v/>
      </c>
      <c r="M107" s="99" t="str">
        <f ca="1">IFERROR([1]!IntrinioHistoricalPrices(ticker,"adj_low",$B107,$D$4,$D$5,$D$6),"")</f>
        <v/>
      </c>
      <c r="N107" s="99" t="str">
        <f ca="1">IFERROR([1]!IntrinioHistoricalPrices(ticker,"adj_close",$B107,$D$4,$D$5,$D$6),"")</f>
        <v/>
      </c>
      <c r="O107" s="100" t="str">
        <f ca="1">IFERROR([1]!IntrinioHistoricalPrices(ticker,"adj_volume",$B107,$D$4,$D$5,$D$6),"")</f>
        <v/>
      </c>
    </row>
    <row r="108" spans="2:15" x14ac:dyDescent="0.45">
      <c r="B108" s="49">
        <f t="shared" si="1"/>
        <v>99</v>
      </c>
      <c r="C108" s="165" t="str">
        <f ca="1">IFERROR([1]!IntrinioHistoricalPrices(ticker,"date",$B108,$D$4,$D$5,$D$6),"")</f>
        <v/>
      </c>
      <c r="D108" s="99" t="str">
        <f ca="1">IFERROR([1]!IntrinioHistoricalPrices(ticker,"open",$B108,$D$4,$D$5,$D$6),"")</f>
        <v/>
      </c>
      <c r="E108" s="99" t="str">
        <f ca="1">IFERROR([1]!IntrinioHistoricalPrices(ticker,"high",$B108,$D$4,$D$5,$D$6),"")</f>
        <v/>
      </c>
      <c r="F108" s="99" t="str">
        <f ca="1">IFERROR([1]!IntrinioHistoricalPrices(ticker,"low",$B108,$D$4,$D$5,$D$6),"")</f>
        <v/>
      </c>
      <c r="G108" s="99" t="str">
        <f ca="1">IFERROR([1]!IntrinioHistoricalPrices(ticker,"close",$B108,$D$4,$D$5,$D$6),"")</f>
        <v/>
      </c>
      <c r="H108" s="100" t="str">
        <f ca="1">IFERROR([1]!IntrinioHistoricalPrices(ticker,"volume",$B108,$D$4,$D$5,$D$6),"")</f>
        <v/>
      </c>
      <c r="I108" s="101" t="str">
        <f ca="1">IFERROR([1]!IntrinioHistoricalPrices(ticker,"split_ratio",$B108,$D$4,$D$5,$D$6),"")</f>
        <v/>
      </c>
      <c r="J108" s="99" t="str">
        <f ca="1">IFERROR([1]!IntrinioHistoricalPrices(ticker,"ex_dividend",$B108,$D$4,$D$5,$D$6),"")</f>
        <v/>
      </c>
      <c r="K108" s="99" t="str">
        <f ca="1">IFERROR([1]!IntrinioHistoricalPrices(ticker,"adj_open",$B108,$D$4,$D$5,$D$6),"")</f>
        <v/>
      </c>
      <c r="L108" s="99" t="str">
        <f ca="1">IFERROR([1]!IntrinioHistoricalPrices(ticker,"adj_high",$B108,$D$4,$D$5,$D$6),"")</f>
        <v/>
      </c>
      <c r="M108" s="99" t="str">
        <f ca="1">IFERROR([1]!IntrinioHistoricalPrices(ticker,"adj_low",$B108,$D$4,$D$5,$D$6),"")</f>
        <v/>
      </c>
      <c r="N108" s="99" t="str">
        <f ca="1">IFERROR([1]!IntrinioHistoricalPrices(ticker,"adj_close",$B108,$D$4,$D$5,$D$6),"")</f>
        <v/>
      </c>
      <c r="O108" s="100" t="str">
        <f ca="1">IFERROR([1]!IntrinioHistoricalPrices(ticker,"adj_volume",$B108,$D$4,$D$5,$D$6),"")</f>
        <v/>
      </c>
    </row>
    <row r="109" spans="2:15" x14ac:dyDescent="0.45">
      <c r="B109" s="49">
        <f t="shared" si="1"/>
        <v>100</v>
      </c>
      <c r="C109" s="165" t="str">
        <f ca="1">IFERROR([1]!IntrinioHistoricalPrices(ticker,"date",$B109,$D$4,$D$5,$D$6),"")</f>
        <v/>
      </c>
      <c r="D109" s="99" t="str">
        <f ca="1">IFERROR([1]!IntrinioHistoricalPrices(ticker,"open",$B109,$D$4,$D$5,$D$6),"")</f>
        <v/>
      </c>
      <c r="E109" s="99" t="str">
        <f ca="1">IFERROR([1]!IntrinioHistoricalPrices(ticker,"high",$B109,$D$4,$D$5,$D$6),"")</f>
        <v/>
      </c>
      <c r="F109" s="99" t="str">
        <f ca="1">IFERROR([1]!IntrinioHistoricalPrices(ticker,"low",$B109,$D$4,$D$5,$D$6),"")</f>
        <v/>
      </c>
      <c r="G109" s="99" t="str">
        <f ca="1">IFERROR([1]!IntrinioHistoricalPrices(ticker,"close",$B109,$D$4,$D$5,$D$6),"")</f>
        <v/>
      </c>
      <c r="H109" s="100" t="str">
        <f ca="1">IFERROR([1]!IntrinioHistoricalPrices(ticker,"volume",$B109,$D$4,$D$5,$D$6),"")</f>
        <v/>
      </c>
      <c r="I109" s="101" t="str">
        <f ca="1">IFERROR([1]!IntrinioHistoricalPrices(ticker,"split_ratio",$B109,$D$4,$D$5,$D$6),"")</f>
        <v/>
      </c>
      <c r="J109" s="99" t="str">
        <f ca="1">IFERROR([1]!IntrinioHistoricalPrices(ticker,"ex_dividend",$B109,$D$4,$D$5,$D$6),"")</f>
        <v/>
      </c>
      <c r="K109" s="99" t="str">
        <f ca="1">IFERROR([1]!IntrinioHistoricalPrices(ticker,"adj_open",$B109,$D$4,$D$5,$D$6),"")</f>
        <v/>
      </c>
      <c r="L109" s="99" t="str">
        <f ca="1">IFERROR([1]!IntrinioHistoricalPrices(ticker,"adj_high",$B109,$D$4,$D$5,$D$6),"")</f>
        <v/>
      </c>
      <c r="M109" s="99" t="str">
        <f ca="1">IFERROR([1]!IntrinioHistoricalPrices(ticker,"adj_low",$B109,$D$4,$D$5,$D$6),"")</f>
        <v/>
      </c>
      <c r="N109" s="99" t="str">
        <f ca="1">IFERROR([1]!IntrinioHistoricalPrices(ticker,"adj_close",$B109,$D$4,$D$5,$D$6),"")</f>
        <v/>
      </c>
      <c r="O109" s="100" t="str">
        <f ca="1">IFERROR([1]!IntrinioHistoricalPrices(ticker,"adj_volume",$B109,$D$4,$D$5,$D$6),"")</f>
        <v/>
      </c>
    </row>
    <row r="110" spans="2:15" x14ac:dyDescent="0.45">
      <c r="B110" s="49">
        <f t="shared" si="1"/>
        <v>101</v>
      </c>
      <c r="C110" s="165" t="str">
        <f ca="1">IFERROR([1]!IntrinioHistoricalPrices(ticker,"date",$B110,$D$4,$D$5,$D$6),"")</f>
        <v/>
      </c>
      <c r="D110" s="99" t="str">
        <f ca="1">IFERROR([1]!IntrinioHistoricalPrices(ticker,"open",$B110,$D$4,$D$5,$D$6),"")</f>
        <v/>
      </c>
      <c r="E110" s="99" t="str">
        <f ca="1">IFERROR([1]!IntrinioHistoricalPrices(ticker,"high",$B110,$D$4,$D$5,$D$6),"")</f>
        <v/>
      </c>
      <c r="F110" s="99" t="str">
        <f ca="1">IFERROR([1]!IntrinioHistoricalPrices(ticker,"low",$B110,$D$4,$D$5,$D$6),"")</f>
        <v/>
      </c>
      <c r="G110" s="99" t="str">
        <f ca="1">IFERROR([1]!IntrinioHistoricalPrices(ticker,"close",$B110,$D$4,$D$5,$D$6),"")</f>
        <v/>
      </c>
      <c r="H110" s="100" t="str">
        <f ca="1">IFERROR([1]!IntrinioHistoricalPrices(ticker,"volume",$B110,$D$4,$D$5,$D$6),"")</f>
        <v/>
      </c>
      <c r="I110" s="101" t="str">
        <f ca="1">IFERROR([1]!IntrinioHistoricalPrices(ticker,"split_ratio",$B110,$D$4,$D$5,$D$6),"")</f>
        <v/>
      </c>
      <c r="J110" s="99" t="str">
        <f ca="1">IFERROR([1]!IntrinioHistoricalPrices(ticker,"ex_dividend",$B110,$D$4,$D$5,$D$6),"")</f>
        <v/>
      </c>
      <c r="K110" s="99" t="str">
        <f ca="1">IFERROR([1]!IntrinioHistoricalPrices(ticker,"adj_open",$B110,$D$4,$D$5,$D$6),"")</f>
        <v/>
      </c>
      <c r="L110" s="99" t="str">
        <f ca="1">IFERROR([1]!IntrinioHistoricalPrices(ticker,"adj_high",$B110,$D$4,$D$5,$D$6),"")</f>
        <v/>
      </c>
      <c r="M110" s="99" t="str">
        <f ca="1">IFERROR([1]!IntrinioHistoricalPrices(ticker,"adj_low",$B110,$D$4,$D$5,$D$6),"")</f>
        <v/>
      </c>
      <c r="N110" s="99" t="str">
        <f ca="1">IFERROR([1]!IntrinioHistoricalPrices(ticker,"adj_close",$B110,$D$4,$D$5,$D$6),"")</f>
        <v/>
      </c>
      <c r="O110" s="100" t="str">
        <f ca="1">IFERROR([1]!IntrinioHistoricalPrices(ticker,"adj_volume",$B110,$D$4,$D$5,$D$6),"")</f>
        <v/>
      </c>
    </row>
    <row r="111" spans="2:15" x14ac:dyDescent="0.45">
      <c r="B111" s="49">
        <f t="shared" si="1"/>
        <v>102</v>
      </c>
      <c r="C111" s="165" t="str">
        <f ca="1">IFERROR([1]!IntrinioHistoricalPrices(ticker,"date",$B111,$D$4,$D$5,$D$6),"")</f>
        <v/>
      </c>
      <c r="D111" s="99" t="str">
        <f ca="1">IFERROR([1]!IntrinioHistoricalPrices(ticker,"open",$B111,$D$4,$D$5,$D$6),"")</f>
        <v/>
      </c>
      <c r="E111" s="99" t="str">
        <f ca="1">IFERROR([1]!IntrinioHistoricalPrices(ticker,"high",$B111,$D$4,$D$5,$D$6),"")</f>
        <v/>
      </c>
      <c r="F111" s="99" t="str">
        <f ca="1">IFERROR([1]!IntrinioHistoricalPrices(ticker,"low",$B111,$D$4,$D$5,$D$6),"")</f>
        <v/>
      </c>
      <c r="G111" s="99" t="str">
        <f ca="1">IFERROR([1]!IntrinioHistoricalPrices(ticker,"close",$B111,$D$4,$D$5,$D$6),"")</f>
        <v/>
      </c>
      <c r="H111" s="100" t="str">
        <f ca="1">IFERROR([1]!IntrinioHistoricalPrices(ticker,"volume",$B111,$D$4,$D$5,$D$6),"")</f>
        <v/>
      </c>
      <c r="I111" s="101" t="str">
        <f ca="1">IFERROR([1]!IntrinioHistoricalPrices(ticker,"split_ratio",$B111,$D$4,$D$5,$D$6),"")</f>
        <v/>
      </c>
      <c r="J111" s="99" t="str">
        <f ca="1">IFERROR([1]!IntrinioHistoricalPrices(ticker,"ex_dividend",$B111,$D$4,$D$5,$D$6),"")</f>
        <v/>
      </c>
      <c r="K111" s="99" t="str">
        <f ca="1">IFERROR([1]!IntrinioHistoricalPrices(ticker,"adj_open",$B111,$D$4,$D$5,$D$6),"")</f>
        <v/>
      </c>
      <c r="L111" s="99" t="str">
        <f ca="1">IFERROR([1]!IntrinioHistoricalPrices(ticker,"adj_high",$B111,$D$4,$D$5,$D$6),"")</f>
        <v/>
      </c>
      <c r="M111" s="99" t="str">
        <f ca="1">IFERROR([1]!IntrinioHistoricalPrices(ticker,"adj_low",$B111,$D$4,$D$5,$D$6),"")</f>
        <v/>
      </c>
      <c r="N111" s="99" t="str">
        <f ca="1">IFERROR([1]!IntrinioHistoricalPrices(ticker,"adj_close",$B111,$D$4,$D$5,$D$6),"")</f>
        <v/>
      </c>
      <c r="O111" s="100" t="str">
        <f ca="1">IFERROR([1]!IntrinioHistoricalPrices(ticker,"adj_volume",$B111,$D$4,$D$5,$D$6),"")</f>
        <v/>
      </c>
    </row>
    <row r="112" spans="2:15" x14ac:dyDescent="0.45">
      <c r="B112" s="49">
        <f t="shared" si="1"/>
        <v>103</v>
      </c>
      <c r="C112" s="165" t="str">
        <f ca="1">IFERROR([1]!IntrinioHistoricalPrices(ticker,"date",$B112,$D$4,$D$5,$D$6),"")</f>
        <v/>
      </c>
      <c r="D112" s="99" t="str">
        <f ca="1">IFERROR([1]!IntrinioHistoricalPrices(ticker,"open",$B112,$D$4,$D$5,$D$6),"")</f>
        <v/>
      </c>
      <c r="E112" s="99" t="str">
        <f ca="1">IFERROR([1]!IntrinioHistoricalPrices(ticker,"high",$B112,$D$4,$D$5,$D$6),"")</f>
        <v/>
      </c>
      <c r="F112" s="99" t="str">
        <f ca="1">IFERROR([1]!IntrinioHistoricalPrices(ticker,"low",$B112,$D$4,$D$5,$D$6),"")</f>
        <v/>
      </c>
      <c r="G112" s="99" t="str">
        <f ca="1">IFERROR([1]!IntrinioHistoricalPrices(ticker,"close",$B112,$D$4,$D$5,$D$6),"")</f>
        <v/>
      </c>
      <c r="H112" s="100" t="str">
        <f ca="1">IFERROR([1]!IntrinioHistoricalPrices(ticker,"volume",$B112,$D$4,$D$5,$D$6),"")</f>
        <v/>
      </c>
      <c r="I112" s="101" t="str">
        <f ca="1">IFERROR([1]!IntrinioHistoricalPrices(ticker,"split_ratio",$B112,$D$4,$D$5,$D$6),"")</f>
        <v/>
      </c>
      <c r="J112" s="99" t="str">
        <f ca="1">IFERROR([1]!IntrinioHistoricalPrices(ticker,"ex_dividend",$B112,$D$4,$D$5,$D$6),"")</f>
        <v/>
      </c>
      <c r="K112" s="99" t="str">
        <f ca="1">IFERROR([1]!IntrinioHistoricalPrices(ticker,"adj_open",$B112,$D$4,$D$5,$D$6),"")</f>
        <v/>
      </c>
      <c r="L112" s="99" t="str">
        <f ca="1">IFERROR([1]!IntrinioHistoricalPrices(ticker,"adj_high",$B112,$D$4,$D$5,$D$6),"")</f>
        <v/>
      </c>
      <c r="M112" s="99" t="str">
        <f ca="1">IFERROR([1]!IntrinioHistoricalPrices(ticker,"adj_low",$B112,$D$4,$D$5,$D$6),"")</f>
        <v/>
      </c>
      <c r="N112" s="99" t="str">
        <f ca="1">IFERROR([1]!IntrinioHistoricalPrices(ticker,"adj_close",$B112,$D$4,$D$5,$D$6),"")</f>
        <v/>
      </c>
      <c r="O112" s="100" t="str">
        <f ca="1">IFERROR([1]!IntrinioHistoricalPrices(ticker,"adj_volume",$B112,$D$4,$D$5,$D$6),"")</f>
        <v/>
      </c>
    </row>
    <row r="113" spans="2:15" x14ac:dyDescent="0.45">
      <c r="B113" s="49">
        <f t="shared" si="1"/>
        <v>104</v>
      </c>
      <c r="C113" s="165" t="str">
        <f ca="1">IFERROR([1]!IntrinioHistoricalPrices(ticker,"date",$B113,$D$4,$D$5,$D$6),"")</f>
        <v/>
      </c>
      <c r="D113" s="99" t="str">
        <f ca="1">IFERROR([1]!IntrinioHistoricalPrices(ticker,"open",$B113,$D$4,$D$5,$D$6),"")</f>
        <v/>
      </c>
      <c r="E113" s="99" t="str">
        <f ca="1">IFERROR([1]!IntrinioHistoricalPrices(ticker,"high",$B113,$D$4,$D$5,$D$6),"")</f>
        <v/>
      </c>
      <c r="F113" s="99" t="str">
        <f ca="1">IFERROR([1]!IntrinioHistoricalPrices(ticker,"low",$B113,$D$4,$D$5,$D$6),"")</f>
        <v/>
      </c>
      <c r="G113" s="99" t="str">
        <f ca="1">IFERROR([1]!IntrinioHistoricalPrices(ticker,"close",$B113,$D$4,$D$5,$D$6),"")</f>
        <v/>
      </c>
      <c r="H113" s="100" t="str">
        <f ca="1">IFERROR([1]!IntrinioHistoricalPrices(ticker,"volume",$B113,$D$4,$D$5,$D$6),"")</f>
        <v/>
      </c>
      <c r="I113" s="101" t="str">
        <f ca="1">IFERROR([1]!IntrinioHistoricalPrices(ticker,"split_ratio",$B113,$D$4,$D$5,$D$6),"")</f>
        <v/>
      </c>
      <c r="J113" s="99" t="str">
        <f ca="1">IFERROR([1]!IntrinioHistoricalPrices(ticker,"ex_dividend",$B113,$D$4,$D$5,$D$6),"")</f>
        <v/>
      </c>
      <c r="K113" s="99" t="str">
        <f ca="1">IFERROR([1]!IntrinioHistoricalPrices(ticker,"adj_open",$B113,$D$4,$D$5,$D$6),"")</f>
        <v/>
      </c>
      <c r="L113" s="99" t="str">
        <f ca="1">IFERROR([1]!IntrinioHistoricalPrices(ticker,"adj_high",$B113,$D$4,$D$5,$D$6),"")</f>
        <v/>
      </c>
      <c r="M113" s="99" t="str">
        <f ca="1">IFERROR([1]!IntrinioHistoricalPrices(ticker,"adj_low",$B113,$D$4,$D$5,$D$6),"")</f>
        <v/>
      </c>
      <c r="N113" s="99" t="str">
        <f ca="1">IFERROR([1]!IntrinioHistoricalPrices(ticker,"adj_close",$B113,$D$4,$D$5,$D$6),"")</f>
        <v/>
      </c>
      <c r="O113" s="100" t="str">
        <f ca="1">IFERROR([1]!IntrinioHistoricalPrices(ticker,"adj_volume",$B113,$D$4,$D$5,$D$6),"")</f>
        <v/>
      </c>
    </row>
    <row r="114" spans="2:15" x14ac:dyDescent="0.45">
      <c r="B114" s="49">
        <f t="shared" si="1"/>
        <v>105</v>
      </c>
      <c r="C114" s="165" t="str">
        <f ca="1">IFERROR([1]!IntrinioHistoricalPrices(ticker,"date",$B114,$D$4,$D$5,$D$6),"")</f>
        <v/>
      </c>
      <c r="D114" s="99" t="str">
        <f ca="1">IFERROR([1]!IntrinioHistoricalPrices(ticker,"open",$B114,$D$4,$D$5,$D$6),"")</f>
        <v/>
      </c>
      <c r="E114" s="99" t="str">
        <f ca="1">IFERROR([1]!IntrinioHistoricalPrices(ticker,"high",$B114,$D$4,$D$5,$D$6),"")</f>
        <v/>
      </c>
      <c r="F114" s="99" t="str">
        <f ca="1">IFERROR([1]!IntrinioHistoricalPrices(ticker,"low",$B114,$D$4,$D$5,$D$6),"")</f>
        <v/>
      </c>
      <c r="G114" s="99" t="str">
        <f ca="1">IFERROR([1]!IntrinioHistoricalPrices(ticker,"close",$B114,$D$4,$D$5,$D$6),"")</f>
        <v/>
      </c>
      <c r="H114" s="100" t="str">
        <f ca="1">IFERROR([1]!IntrinioHistoricalPrices(ticker,"volume",$B114,$D$4,$D$5,$D$6),"")</f>
        <v/>
      </c>
      <c r="I114" s="101" t="str">
        <f ca="1">IFERROR([1]!IntrinioHistoricalPrices(ticker,"split_ratio",$B114,$D$4,$D$5,$D$6),"")</f>
        <v/>
      </c>
      <c r="J114" s="99" t="str">
        <f ca="1">IFERROR([1]!IntrinioHistoricalPrices(ticker,"ex_dividend",$B114,$D$4,$D$5,$D$6),"")</f>
        <v/>
      </c>
      <c r="K114" s="99" t="str">
        <f ca="1">IFERROR([1]!IntrinioHistoricalPrices(ticker,"adj_open",$B114,$D$4,$D$5,$D$6),"")</f>
        <v/>
      </c>
      <c r="L114" s="99" t="str">
        <f ca="1">IFERROR([1]!IntrinioHistoricalPrices(ticker,"adj_high",$B114,$D$4,$D$5,$D$6),"")</f>
        <v/>
      </c>
      <c r="M114" s="99" t="str">
        <f ca="1">IFERROR([1]!IntrinioHistoricalPrices(ticker,"adj_low",$B114,$D$4,$D$5,$D$6),"")</f>
        <v/>
      </c>
      <c r="N114" s="99" t="str">
        <f ca="1">IFERROR([1]!IntrinioHistoricalPrices(ticker,"adj_close",$B114,$D$4,$D$5,$D$6),"")</f>
        <v/>
      </c>
      <c r="O114" s="100" t="str">
        <f ca="1">IFERROR([1]!IntrinioHistoricalPrices(ticker,"adj_volume",$B114,$D$4,$D$5,$D$6),"")</f>
        <v/>
      </c>
    </row>
    <row r="115" spans="2:15" x14ac:dyDescent="0.45">
      <c r="B115" s="49">
        <f t="shared" si="1"/>
        <v>106</v>
      </c>
      <c r="C115" s="165" t="str">
        <f ca="1">IFERROR([1]!IntrinioHistoricalPrices(ticker,"date",$B115,$D$4,$D$5,$D$6),"")</f>
        <v/>
      </c>
      <c r="D115" s="99" t="str">
        <f ca="1">IFERROR([1]!IntrinioHistoricalPrices(ticker,"open",$B115,$D$4,$D$5,$D$6),"")</f>
        <v/>
      </c>
      <c r="E115" s="99" t="str">
        <f ca="1">IFERROR([1]!IntrinioHistoricalPrices(ticker,"high",$B115,$D$4,$D$5,$D$6),"")</f>
        <v/>
      </c>
      <c r="F115" s="99" t="str">
        <f ca="1">IFERROR([1]!IntrinioHistoricalPrices(ticker,"low",$B115,$D$4,$D$5,$D$6),"")</f>
        <v/>
      </c>
      <c r="G115" s="99" t="str">
        <f ca="1">IFERROR([1]!IntrinioHistoricalPrices(ticker,"close",$B115,$D$4,$D$5,$D$6),"")</f>
        <v/>
      </c>
      <c r="H115" s="100" t="str">
        <f ca="1">IFERROR([1]!IntrinioHistoricalPrices(ticker,"volume",$B115,$D$4,$D$5,$D$6),"")</f>
        <v/>
      </c>
      <c r="I115" s="101" t="str">
        <f ca="1">IFERROR([1]!IntrinioHistoricalPrices(ticker,"split_ratio",$B115,$D$4,$D$5,$D$6),"")</f>
        <v/>
      </c>
      <c r="J115" s="99" t="str">
        <f ca="1">IFERROR([1]!IntrinioHistoricalPrices(ticker,"ex_dividend",$B115,$D$4,$D$5,$D$6),"")</f>
        <v/>
      </c>
      <c r="K115" s="99" t="str">
        <f ca="1">IFERROR([1]!IntrinioHistoricalPrices(ticker,"adj_open",$B115,$D$4,$D$5,$D$6),"")</f>
        <v/>
      </c>
      <c r="L115" s="99" t="str">
        <f ca="1">IFERROR([1]!IntrinioHistoricalPrices(ticker,"adj_high",$B115,$D$4,$D$5,$D$6),"")</f>
        <v/>
      </c>
      <c r="M115" s="99" t="str">
        <f ca="1">IFERROR([1]!IntrinioHistoricalPrices(ticker,"adj_low",$B115,$D$4,$D$5,$D$6),"")</f>
        <v/>
      </c>
      <c r="N115" s="99" t="str">
        <f ca="1">IFERROR([1]!IntrinioHistoricalPrices(ticker,"adj_close",$B115,$D$4,$D$5,$D$6),"")</f>
        <v/>
      </c>
      <c r="O115" s="100" t="str">
        <f ca="1">IFERROR([1]!IntrinioHistoricalPrices(ticker,"adj_volume",$B115,$D$4,$D$5,$D$6),"")</f>
        <v/>
      </c>
    </row>
    <row r="116" spans="2:15" x14ac:dyDescent="0.45">
      <c r="B116" s="49">
        <f t="shared" si="1"/>
        <v>107</v>
      </c>
      <c r="C116" s="165" t="str">
        <f ca="1">IFERROR([1]!IntrinioHistoricalPrices(ticker,"date",$B116,$D$4,$D$5,$D$6),"")</f>
        <v/>
      </c>
      <c r="D116" s="99" t="str">
        <f ca="1">IFERROR([1]!IntrinioHistoricalPrices(ticker,"open",$B116,$D$4,$D$5,$D$6),"")</f>
        <v/>
      </c>
      <c r="E116" s="99" t="str">
        <f ca="1">IFERROR([1]!IntrinioHistoricalPrices(ticker,"high",$B116,$D$4,$D$5,$D$6),"")</f>
        <v/>
      </c>
      <c r="F116" s="99" t="str">
        <f ca="1">IFERROR([1]!IntrinioHistoricalPrices(ticker,"low",$B116,$D$4,$D$5,$D$6),"")</f>
        <v/>
      </c>
      <c r="G116" s="99" t="str">
        <f ca="1">IFERROR([1]!IntrinioHistoricalPrices(ticker,"close",$B116,$D$4,$D$5,$D$6),"")</f>
        <v/>
      </c>
      <c r="H116" s="100" t="str">
        <f ca="1">IFERROR([1]!IntrinioHistoricalPrices(ticker,"volume",$B116,$D$4,$D$5,$D$6),"")</f>
        <v/>
      </c>
      <c r="I116" s="101" t="str">
        <f ca="1">IFERROR([1]!IntrinioHistoricalPrices(ticker,"split_ratio",$B116,$D$4,$D$5,$D$6),"")</f>
        <v/>
      </c>
      <c r="J116" s="99" t="str">
        <f ca="1">IFERROR([1]!IntrinioHistoricalPrices(ticker,"ex_dividend",$B116,$D$4,$D$5,$D$6),"")</f>
        <v/>
      </c>
      <c r="K116" s="99" t="str">
        <f ca="1">IFERROR([1]!IntrinioHistoricalPrices(ticker,"adj_open",$B116,$D$4,$D$5,$D$6),"")</f>
        <v/>
      </c>
      <c r="L116" s="99" t="str">
        <f ca="1">IFERROR([1]!IntrinioHistoricalPrices(ticker,"adj_high",$B116,$D$4,$D$5,$D$6),"")</f>
        <v/>
      </c>
      <c r="M116" s="99" t="str">
        <f ca="1">IFERROR([1]!IntrinioHistoricalPrices(ticker,"adj_low",$B116,$D$4,$D$5,$D$6),"")</f>
        <v/>
      </c>
      <c r="N116" s="99" t="str">
        <f ca="1">IFERROR([1]!IntrinioHistoricalPrices(ticker,"adj_close",$B116,$D$4,$D$5,$D$6),"")</f>
        <v/>
      </c>
      <c r="O116" s="100" t="str">
        <f ca="1">IFERROR([1]!IntrinioHistoricalPrices(ticker,"adj_volume",$B116,$D$4,$D$5,$D$6),"")</f>
        <v/>
      </c>
    </row>
    <row r="117" spans="2:15" x14ac:dyDescent="0.45">
      <c r="B117" s="49">
        <f t="shared" si="1"/>
        <v>108</v>
      </c>
      <c r="C117" s="165" t="str">
        <f ca="1">IFERROR([1]!IntrinioHistoricalPrices(ticker,"date",$B117,$D$4,$D$5,$D$6),"")</f>
        <v/>
      </c>
      <c r="D117" s="99" t="str">
        <f ca="1">IFERROR([1]!IntrinioHistoricalPrices(ticker,"open",$B117,$D$4,$D$5,$D$6),"")</f>
        <v/>
      </c>
      <c r="E117" s="99" t="str">
        <f ca="1">IFERROR([1]!IntrinioHistoricalPrices(ticker,"high",$B117,$D$4,$D$5,$D$6),"")</f>
        <v/>
      </c>
      <c r="F117" s="99" t="str">
        <f ca="1">IFERROR([1]!IntrinioHistoricalPrices(ticker,"low",$B117,$D$4,$D$5,$D$6),"")</f>
        <v/>
      </c>
      <c r="G117" s="99" t="str">
        <f ca="1">IFERROR([1]!IntrinioHistoricalPrices(ticker,"close",$B117,$D$4,$D$5,$D$6),"")</f>
        <v/>
      </c>
      <c r="H117" s="100" t="str">
        <f ca="1">IFERROR([1]!IntrinioHistoricalPrices(ticker,"volume",$B117,$D$4,$D$5,$D$6),"")</f>
        <v/>
      </c>
      <c r="I117" s="101" t="str">
        <f ca="1">IFERROR([1]!IntrinioHistoricalPrices(ticker,"split_ratio",$B117,$D$4,$D$5,$D$6),"")</f>
        <v/>
      </c>
      <c r="J117" s="99" t="str">
        <f ca="1">IFERROR([1]!IntrinioHistoricalPrices(ticker,"ex_dividend",$B117,$D$4,$D$5,$D$6),"")</f>
        <v/>
      </c>
      <c r="K117" s="99" t="str">
        <f ca="1">IFERROR([1]!IntrinioHistoricalPrices(ticker,"adj_open",$B117,$D$4,$D$5,$D$6),"")</f>
        <v/>
      </c>
      <c r="L117" s="99" t="str">
        <f ca="1">IFERROR([1]!IntrinioHistoricalPrices(ticker,"adj_high",$B117,$D$4,$D$5,$D$6),"")</f>
        <v/>
      </c>
      <c r="M117" s="99" t="str">
        <f ca="1">IFERROR([1]!IntrinioHistoricalPrices(ticker,"adj_low",$B117,$D$4,$D$5,$D$6),"")</f>
        <v/>
      </c>
      <c r="N117" s="99" t="str">
        <f ca="1">IFERROR([1]!IntrinioHistoricalPrices(ticker,"adj_close",$B117,$D$4,$D$5,$D$6),"")</f>
        <v/>
      </c>
      <c r="O117" s="100" t="str">
        <f ca="1">IFERROR([1]!IntrinioHistoricalPrices(ticker,"adj_volume",$B117,$D$4,$D$5,$D$6),"")</f>
        <v/>
      </c>
    </row>
    <row r="118" spans="2:15" x14ac:dyDescent="0.45">
      <c r="B118" s="49">
        <f t="shared" si="1"/>
        <v>109</v>
      </c>
      <c r="C118" s="165" t="str">
        <f ca="1">IFERROR([1]!IntrinioHistoricalPrices(ticker,"date",$B118,$D$4,$D$5,$D$6),"")</f>
        <v/>
      </c>
      <c r="D118" s="99" t="str">
        <f ca="1">IFERROR([1]!IntrinioHistoricalPrices(ticker,"open",$B118,$D$4,$D$5,$D$6),"")</f>
        <v/>
      </c>
      <c r="E118" s="99" t="str">
        <f ca="1">IFERROR([1]!IntrinioHistoricalPrices(ticker,"high",$B118,$D$4,$D$5,$D$6),"")</f>
        <v/>
      </c>
      <c r="F118" s="99" t="str">
        <f ca="1">IFERROR([1]!IntrinioHistoricalPrices(ticker,"low",$B118,$D$4,$D$5,$D$6),"")</f>
        <v/>
      </c>
      <c r="G118" s="99" t="str">
        <f ca="1">IFERROR([1]!IntrinioHistoricalPrices(ticker,"close",$B118,$D$4,$D$5,$D$6),"")</f>
        <v/>
      </c>
      <c r="H118" s="100" t="str">
        <f ca="1">IFERROR([1]!IntrinioHistoricalPrices(ticker,"volume",$B118,$D$4,$D$5,$D$6),"")</f>
        <v/>
      </c>
      <c r="I118" s="101" t="str">
        <f ca="1">IFERROR([1]!IntrinioHistoricalPrices(ticker,"split_ratio",$B118,$D$4,$D$5,$D$6),"")</f>
        <v/>
      </c>
      <c r="J118" s="99" t="str">
        <f ca="1">IFERROR([1]!IntrinioHistoricalPrices(ticker,"ex_dividend",$B118,$D$4,$D$5,$D$6),"")</f>
        <v/>
      </c>
      <c r="K118" s="99" t="str">
        <f ca="1">IFERROR([1]!IntrinioHistoricalPrices(ticker,"adj_open",$B118,$D$4,$D$5,$D$6),"")</f>
        <v/>
      </c>
      <c r="L118" s="99" t="str">
        <f ca="1">IFERROR([1]!IntrinioHistoricalPrices(ticker,"adj_high",$B118,$D$4,$D$5,$D$6),"")</f>
        <v/>
      </c>
      <c r="M118" s="99" t="str">
        <f ca="1">IFERROR([1]!IntrinioHistoricalPrices(ticker,"adj_low",$B118,$D$4,$D$5,$D$6),"")</f>
        <v/>
      </c>
      <c r="N118" s="99" t="str">
        <f ca="1">IFERROR([1]!IntrinioHistoricalPrices(ticker,"adj_close",$B118,$D$4,$D$5,$D$6),"")</f>
        <v/>
      </c>
      <c r="O118" s="100" t="str">
        <f ca="1">IFERROR([1]!IntrinioHistoricalPrices(ticker,"adj_volume",$B118,$D$4,$D$5,$D$6),"")</f>
        <v/>
      </c>
    </row>
    <row r="119" spans="2:15" x14ac:dyDescent="0.45">
      <c r="B119" s="49">
        <f t="shared" si="1"/>
        <v>110</v>
      </c>
      <c r="C119" s="165" t="str">
        <f ca="1">IFERROR([1]!IntrinioHistoricalPrices(ticker,"date",$B119,$D$4,$D$5,$D$6),"")</f>
        <v/>
      </c>
      <c r="D119" s="99" t="str">
        <f ca="1">IFERROR([1]!IntrinioHistoricalPrices(ticker,"open",$B119,$D$4,$D$5,$D$6),"")</f>
        <v/>
      </c>
      <c r="E119" s="99" t="str">
        <f ca="1">IFERROR([1]!IntrinioHistoricalPrices(ticker,"high",$B119,$D$4,$D$5,$D$6),"")</f>
        <v/>
      </c>
      <c r="F119" s="99" t="str">
        <f ca="1">IFERROR([1]!IntrinioHistoricalPrices(ticker,"low",$B119,$D$4,$D$5,$D$6),"")</f>
        <v/>
      </c>
      <c r="G119" s="99" t="str">
        <f ca="1">IFERROR([1]!IntrinioHistoricalPrices(ticker,"close",$B119,$D$4,$D$5,$D$6),"")</f>
        <v/>
      </c>
      <c r="H119" s="100" t="str">
        <f ca="1">IFERROR([1]!IntrinioHistoricalPrices(ticker,"volume",$B119,$D$4,$D$5,$D$6),"")</f>
        <v/>
      </c>
      <c r="I119" s="101" t="str">
        <f ca="1">IFERROR([1]!IntrinioHistoricalPrices(ticker,"split_ratio",$B119,$D$4,$D$5,$D$6),"")</f>
        <v/>
      </c>
      <c r="J119" s="99" t="str">
        <f ca="1">IFERROR([1]!IntrinioHistoricalPrices(ticker,"ex_dividend",$B119,$D$4,$D$5,$D$6),"")</f>
        <v/>
      </c>
      <c r="K119" s="99" t="str">
        <f ca="1">IFERROR([1]!IntrinioHistoricalPrices(ticker,"adj_open",$B119,$D$4,$D$5,$D$6),"")</f>
        <v/>
      </c>
      <c r="L119" s="99" t="str">
        <f ca="1">IFERROR([1]!IntrinioHistoricalPrices(ticker,"adj_high",$B119,$D$4,$D$5,$D$6),"")</f>
        <v/>
      </c>
      <c r="M119" s="99" t="str">
        <f ca="1">IFERROR([1]!IntrinioHistoricalPrices(ticker,"adj_low",$B119,$D$4,$D$5,$D$6),"")</f>
        <v/>
      </c>
      <c r="N119" s="99" t="str">
        <f ca="1">IFERROR([1]!IntrinioHistoricalPrices(ticker,"adj_close",$B119,$D$4,$D$5,$D$6),"")</f>
        <v/>
      </c>
      <c r="O119" s="100" t="str">
        <f ca="1">IFERROR([1]!IntrinioHistoricalPrices(ticker,"adj_volume",$B119,$D$4,$D$5,$D$6),"")</f>
        <v/>
      </c>
    </row>
    <row r="120" spans="2:15" x14ac:dyDescent="0.45">
      <c r="B120" s="49">
        <f t="shared" si="1"/>
        <v>111</v>
      </c>
      <c r="C120" s="165" t="str">
        <f ca="1">IFERROR([1]!IntrinioHistoricalPrices(ticker,"date",$B120,$D$4,$D$5,$D$6),"")</f>
        <v/>
      </c>
      <c r="D120" s="99" t="str">
        <f ca="1">IFERROR([1]!IntrinioHistoricalPrices(ticker,"open",$B120,$D$4,$D$5,$D$6),"")</f>
        <v/>
      </c>
      <c r="E120" s="99" t="str">
        <f ca="1">IFERROR([1]!IntrinioHistoricalPrices(ticker,"high",$B120,$D$4,$D$5,$D$6),"")</f>
        <v/>
      </c>
      <c r="F120" s="99" t="str">
        <f ca="1">IFERROR([1]!IntrinioHistoricalPrices(ticker,"low",$B120,$D$4,$D$5,$D$6),"")</f>
        <v/>
      </c>
      <c r="G120" s="99" t="str">
        <f ca="1">IFERROR([1]!IntrinioHistoricalPrices(ticker,"close",$B120,$D$4,$D$5,$D$6),"")</f>
        <v/>
      </c>
      <c r="H120" s="100" t="str">
        <f ca="1">IFERROR([1]!IntrinioHistoricalPrices(ticker,"volume",$B120,$D$4,$D$5,$D$6),"")</f>
        <v/>
      </c>
      <c r="I120" s="101" t="str">
        <f ca="1">IFERROR([1]!IntrinioHistoricalPrices(ticker,"split_ratio",$B120,$D$4,$D$5,$D$6),"")</f>
        <v/>
      </c>
      <c r="J120" s="99" t="str">
        <f ca="1">IFERROR([1]!IntrinioHistoricalPrices(ticker,"ex_dividend",$B120,$D$4,$D$5,$D$6),"")</f>
        <v/>
      </c>
      <c r="K120" s="99" t="str">
        <f ca="1">IFERROR([1]!IntrinioHistoricalPrices(ticker,"adj_open",$B120,$D$4,$D$5,$D$6),"")</f>
        <v/>
      </c>
      <c r="L120" s="99" t="str">
        <f ca="1">IFERROR([1]!IntrinioHistoricalPrices(ticker,"adj_high",$B120,$D$4,$D$5,$D$6),"")</f>
        <v/>
      </c>
      <c r="M120" s="99" t="str">
        <f ca="1">IFERROR([1]!IntrinioHistoricalPrices(ticker,"adj_low",$B120,$D$4,$D$5,$D$6),"")</f>
        <v/>
      </c>
      <c r="N120" s="99" t="str">
        <f ca="1">IFERROR([1]!IntrinioHistoricalPrices(ticker,"adj_close",$B120,$D$4,$D$5,$D$6),"")</f>
        <v/>
      </c>
      <c r="O120" s="100" t="str">
        <f ca="1">IFERROR([1]!IntrinioHistoricalPrices(ticker,"adj_volume",$B120,$D$4,$D$5,$D$6),"")</f>
        <v/>
      </c>
    </row>
    <row r="121" spans="2:15" x14ac:dyDescent="0.45">
      <c r="B121" s="49">
        <f t="shared" si="1"/>
        <v>112</v>
      </c>
      <c r="C121" s="165" t="str">
        <f ca="1">IFERROR([1]!IntrinioHistoricalPrices(ticker,"date",$B121,$D$4,$D$5,$D$6),"")</f>
        <v/>
      </c>
      <c r="D121" s="99" t="str">
        <f ca="1">IFERROR([1]!IntrinioHistoricalPrices(ticker,"open",$B121,$D$4,$D$5,$D$6),"")</f>
        <v/>
      </c>
      <c r="E121" s="99" t="str">
        <f ca="1">IFERROR([1]!IntrinioHistoricalPrices(ticker,"high",$B121,$D$4,$D$5,$D$6),"")</f>
        <v/>
      </c>
      <c r="F121" s="99" t="str">
        <f ca="1">IFERROR([1]!IntrinioHistoricalPrices(ticker,"low",$B121,$D$4,$D$5,$D$6),"")</f>
        <v/>
      </c>
      <c r="G121" s="99" t="str">
        <f ca="1">IFERROR([1]!IntrinioHistoricalPrices(ticker,"close",$B121,$D$4,$D$5,$D$6),"")</f>
        <v/>
      </c>
      <c r="H121" s="100" t="str">
        <f ca="1">IFERROR([1]!IntrinioHistoricalPrices(ticker,"volume",$B121,$D$4,$D$5,$D$6),"")</f>
        <v/>
      </c>
      <c r="I121" s="101" t="str">
        <f ca="1">IFERROR([1]!IntrinioHistoricalPrices(ticker,"split_ratio",$B121,$D$4,$D$5,$D$6),"")</f>
        <v/>
      </c>
      <c r="J121" s="99" t="str">
        <f ca="1">IFERROR([1]!IntrinioHistoricalPrices(ticker,"ex_dividend",$B121,$D$4,$D$5,$D$6),"")</f>
        <v/>
      </c>
      <c r="K121" s="99" t="str">
        <f ca="1">IFERROR([1]!IntrinioHistoricalPrices(ticker,"adj_open",$B121,$D$4,$D$5,$D$6),"")</f>
        <v/>
      </c>
      <c r="L121" s="99" t="str">
        <f ca="1">IFERROR([1]!IntrinioHistoricalPrices(ticker,"adj_high",$B121,$D$4,$D$5,$D$6),"")</f>
        <v/>
      </c>
      <c r="M121" s="99" t="str">
        <f ca="1">IFERROR([1]!IntrinioHistoricalPrices(ticker,"adj_low",$B121,$D$4,$D$5,$D$6),"")</f>
        <v/>
      </c>
      <c r="N121" s="99" t="str">
        <f ca="1">IFERROR([1]!IntrinioHistoricalPrices(ticker,"adj_close",$B121,$D$4,$D$5,$D$6),"")</f>
        <v/>
      </c>
      <c r="O121" s="100" t="str">
        <f ca="1">IFERROR([1]!IntrinioHistoricalPrices(ticker,"adj_volume",$B121,$D$4,$D$5,$D$6),"")</f>
        <v/>
      </c>
    </row>
    <row r="122" spans="2:15" x14ac:dyDescent="0.45">
      <c r="B122" s="49">
        <f t="shared" si="1"/>
        <v>113</v>
      </c>
      <c r="C122" s="165" t="str">
        <f ca="1">IFERROR([1]!IntrinioHistoricalPrices(ticker,"date",$B122,$D$4,$D$5,$D$6),"")</f>
        <v/>
      </c>
      <c r="D122" s="99" t="str">
        <f ca="1">IFERROR([1]!IntrinioHistoricalPrices(ticker,"open",$B122,$D$4,$D$5,$D$6),"")</f>
        <v/>
      </c>
      <c r="E122" s="99" t="str">
        <f ca="1">IFERROR([1]!IntrinioHistoricalPrices(ticker,"high",$B122,$D$4,$D$5,$D$6),"")</f>
        <v/>
      </c>
      <c r="F122" s="99" t="str">
        <f ca="1">IFERROR([1]!IntrinioHistoricalPrices(ticker,"low",$B122,$D$4,$D$5,$D$6),"")</f>
        <v/>
      </c>
      <c r="G122" s="99" t="str">
        <f ca="1">IFERROR([1]!IntrinioHistoricalPrices(ticker,"close",$B122,$D$4,$D$5,$D$6),"")</f>
        <v/>
      </c>
      <c r="H122" s="100" t="str">
        <f ca="1">IFERROR([1]!IntrinioHistoricalPrices(ticker,"volume",$B122,$D$4,$D$5,$D$6),"")</f>
        <v/>
      </c>
      <c r="I122" s="101" t="str">
        <f ca="1">IFERROR([1]!IntrinioHistoricalPrices(ticker,"split_ratio",$B122,$D$4,$D$5,$D$6),"")</f>
        <v/>
      </c>
      <c r="J122" s="99" t="str">
        <f ca="1">IFERROR([1]!IntrinioHistoricalPrices(ticker,"ex_dividend",$B122,$D$4,$D$5,$D$6),"")</f>
        <v/>
      </c>
      <c r="K122" s="99" t="str">
        <f ca="1">IFERROR([1]!IntrinioHistoricalPrices(ticker,"adj_open",$B122,$D$4,$D$5,$D$6),"")</f>
        <v/>
      </c>
      <c r="L122" s="99" t="str">
        <f ca="1">IFERROR([1]!IntrinioHistoricalPrices(ticker,"adj_high",$B122,$D$4,$D$5,$D$6),"")</f>
        <v/>
      </c>
      <c r="M122" s="99" t="str">
        <f ca="1">IFERROR([1]!IntrinioHistoricalPrices(ticker,"adj_low",$B122,$D$4,$D$5,$D$6),"")</f>
        <v/>
      </c>
      <c r="N122" s="99" t="str">
        <f ca="1">IFERROR([1]!IntrinioHistoricalPrices(ticker,"adj_close",$B122,$D$4,$D$5,$D$6),"")</f>
        <v/>
      </c>
      <c r="O122" s="100" t="str">
        <f ca="1">IFERROR([1]!IntrinioHistoricalPrices(ticker,"adj_volume",$B122,$D$4,$D$5,$D$6),"")</f>
        <v/>
      </c>
    </row>
    <row r="123" spans="2:15" x14ac:dyDescent="0.45">
      <c r="B123" s="49">
        <f t="shared" si="1"/>
        <v>114</v>
      </c>
      <c r="C123" s="165" t="str">
        <f ca="1">IFERROR([1]!IntrinioHistoricalPrices(ticker,"date",$B123,$D$4,$D$5,$D$6),"")</f>
        <v/>
      </c>
      <c r="D123" s="99" t="str">
        <f ca="1">IFERROR([1]!IntrinioHistoricalPrices(ticker,"open",$B123,$D$4,$D$5,$D$6),"")</f>
        <v/>
      </c>
      <c r="E123" s="99" t="str">
        <f ca="1">IFERROR([1]!IntrinioHistoricalPrices(ticker,"high",$B123,$D$4,$D$5,$D$6),"")</f>
        <v/>
      </c>
      <c r="F123" s="99" t="str">
        <f ca="1">IFERROR([1]!IntrinioHistoricalPrices(ticker,"low",$B123,$D$4,$D$5,$D$6),"")</f>
        <v/>
      </c>
      <c r="G123" s="99" t="str">
        <f ca="1">IFERROR([1]!IntrinioHistoricalPrices(ticker,"close",$B123,$D$4,$D$5,$D$6),"")</f>
        <v/>
      </c>
      <c r="H123" s="100" t="str">
        <f ca="1">IFERROR([1]!IntrinioHistoricalPrices(ticker,"volume",$B123,$D$4,$D$5,$D$6),"")</f>
        <v/>
      </c>
      <c r="I123" s="101" t="str">
        <f ca="1">IFERROR([1]!IntrinioHistoricalPrices(ticker,"split_ratio",$B123,$D$4,$D$5,$D$6),"")</f>
        <v/>
      </c>
      <c r="J123" s="99" t="str">
        <f ca="1">IFERROR([1]!IntrinioHistoricalPrices(ticker,"ex_dividend",$B123,$D$4,$D$5,$D$6),"")</f>
        <v/>
      </c>
      <c r="K123" s="99" t="str">
        <f ca="1">IFERROR([1]!IntrinioHistoricalPrices(ticker,"adj_open",$B123,$D$4,$D$5,$D$6),"")</f>
        <v/>
      </c>
      <c r="L123" s="99" t="str">
        <f ca="1">IFERROR([1]!IntrinioHistoricalPrices(ticker,"adj_high",$B123,$D$4,$D$5,$D$6),"")</f>
        <v/>
      </c>
      <c r="M123" s="99" t="str">
        <f ca="1">IFERROR([1]!IntrinioHistoricalPrices(ticker,"adj_low",$B123,$D$4,$D$5,$D$6),"")</f>
        <v/>
      </c>
      <c r="N123" s="99" t="str">
        <f ca="1">IFERROR([1]!IntrinioHistoricalPrices(ticker,"adj_close",$B123,$D$4,$D$5,$D$6),"")</f>
        <v/>
      </c>
      <c r="O123" s="100" t="str">
        <f ca="1">IFERROR([1]!IntrinioHistoricalPrices(ticker,"adj_volume",$B123,$D$4,$D$5,$D$6),"")</f>
        <v/>
      </c>
    </row>
    <row r="124" spans="2:15" x14ac:dyDescent="0.45">
      <c r="B124" s="49">
        <f t="shared" si="1"/>
        <v>115</v>
      </c>
      <c r="C124" s="165" t="str">
        <f ca="1">IFERROR([1]!IntrinioHistoricalPrices(ticker,"date",$B124,$D$4,$D$5,$D$6),"")</f>
        <v/>
      </c>
      <c r="D124" s="99" t="str">
        <f ca="1">IFERROR([1]!IntrinioHistoricalPrices(ticker,"open",$B124,$D$4,$D$5,$D$6),"")</f>
        <v/>
      </c>
      <c r="E124" s="99" t="str">
        <f ca="1">IFERROR([1]!IntrinioHistoricalPrices(ticker,"high",$B124,$D$4,$D$5,$D$6),"")</f>
        <v/>
      </c>
      <c r="F124" s="99" t="str">
        <f ca="1">IFERROR([1]!IntrinioHistoricalPrices(ticker,"low",$B124,$D$4,$D$5,$D$6),"")</f>
        <v/>
      </c>
      <c r="G124" s="99" t="str">
        <f ca="1">IFERROR([1]!IntrinioHistoricalPrices(ticker,"close",$B124,$D$4,$D$5,$D$6),"")</f>
        <v/>
      </c>
      <c r="H124" s="100" t="str">
        <f ca="1">IFERROR([1]!IntrinioHistoricalPrices(ticker,"volume",$B124,$D$4,$D$5,$D$6),"")</f>
        <v/>
      </c>
      <c r="I124" s="101" t="str">
        <f ca="1">IFERROR([1]!IntrinioHistoricalPrices(ticker,"split_ratio",$B124,$D$4,$D$5,$D$6),"")</f>
        <v/>
      </c>
      <c r="J124" s="99" t="str">
        <f ca="1">IFERROR([1]!IntrinioHistoricalPrices(ticker,"ex_dividend",$B124,$D$4,$D$5,$D$6),"")</f>
        <v/>
      </c>
      <c r="K124" s="99" t="str">
        <f ca="1">IFERROR([1]!IntrinioHistoricalPrices(ticker,"adj_open",$B124,$D$4,$D$5,$D$6),"")</f>
        <v/>
      </c>
      <c r="L124" s="99" t="str">
        <f ca="1">IFERROR([1]!IntrinioHistoricalPrices(ticker,"adj_high",$B124,$D$4,$D$5,$D$6),"")</f>
        <v/>
      </c>
      <c r="M124" s="99" t="str">
        <f ca="1">IFERROR([1]!IntrinioHistoricalPrices(ticker,"adj_low",$B124,$D$4,$D$5,$D$6),"")</f>
        <v/>
      </c>
      <c r="N124" s="99" t="str">
        <f ca="1">IFERROR([1]!IntrinioHistoricalPrices(ticker,"adj_close",$B124,$D$4,$D$5,$D$6),"")</f>
        <v/>
      </c>
      <c r="O124" s="100" t="str">
        <f ca="1">IFERROR([1]!IntrinioHistoricalPrices(ticker,"adj_volume",$B124,$D$4,$D$5,$D$6),"")</f>
        <v/>
      </c>
    </row>
    <row r="125" spans="2:15" x14ac:dyDescent="0.45">
      <c r="B125" s="49">
        <f t="shared" si="1"/>
        <v>116</v>
      </c>
      <c r="C125" s="165" t="str">
        <f ca="1">IFERROR([1]!IntrinioHistoricalPrices(ticker,"date",$B125,$D$4,$D$5,$D$6),"")</f>
        <v/>
      </c>
      <c r="D125" s="99" t="str">
        <f ca="1">IFERROR([1]!IntrinioHistoricalPrices(ticker,"open",$B125,$D$4,$D$5,$D$6),"")</f>
        <v/>
      </c>
      <c r="E125" s="99" t="str">
        <f ca="1">IFERROR([1]!IntrinioHistoricalPrices(ticker,"high",$B125,$D$4,$D$5,$D$6),"")</f>
        <v/>
      </c>
      <c r="F125" s="99" t="str">
        <f ca="1">IFERROR([1]!IntrinioHistoricalPrices(ticker,"low",$B125,$D$4,$D$5,$D$6),"")</f>
        <v/>
      </c>
      <c r="G125" s="99" t="str">
        <f ca="1">IFERROR([1]!IntrinioHistoricalPrices(ticker,"close",$B125,$D$4,$D$5,$D$6),"")</f>
        <v/>
      </c>
      <c r="H125" s="100" t="str">
        <f ca="1">IFERROR([1]!IntrinioHistoricalPrices(ticker,"volume",$B125,$D$4,$D$5,$D$6),"")</f>
        <v/>
      </c>
      <c r="I125" s="101" t="str">
        <f ca="1">IFERROR([1]!IntrinioHistoricalPrices(ticker,"split_ratio",$B125,$D$4,$D$5,$D$6),"")</f>
        <v/>
      </c>
      <c r="J125" s="99" t="str">
        <f ca="1">IFERROR([1]!IntrinioHistoricalPrices(ticker,"ex_dividend",$B125,$D$4,$D$5,$D$6),"")</f>
        <v/>
      </c>
      <c r="K125" s="99" t="str">
        <f ca="1">IFERROR([1]!IntrinioHistoricalPrices(ticker,"adj_open",$B125,$D$4,$D$5,$D$6),"")</f>
        <v/>
      </c>
      <c r="L125" s="99" t="str">
        <f ca="1">IFERROR([1]!IntrinioHistoricalPrices(ticker,"adj_high",$B125,$D$4,$D$5,$D$6),"")</f>
        <v/>
      </c>
      <c r="M125" s="99" t="str">
        <f ca="1">IFERROR([1]!IntrinioHistoricalPrices(ticker,"adj_low",$B125,$D$4,$D$5,$D$6),"")</f>
        <v/>
      </c>
      <c r="N125" s="99" t="str">
        <f ca="1">IFERROR([1]!IntrinioHistoricalPrices(ticker,"adj_close",$B125,$D$4,$D$5,$D$6),"")</f>
        <v/>
      </c>
      <c r="O125" s="100" t="str">
        <f ca="1">IFERROR([1]!IntrinioHistoricalPrices(ticker,"adj_volume",$B125,$D$4,$D$5,$D$6),"")</f>
        <v/>
      </c>
    </row>
    <row r="126" spans="2:15" x14ac:dyDescent="0.45">
      <c r="B126" s="49">
        <f t="shared" si="1"/>
        <v>117</v>
      </c>
      <c r="C126" s="165" t="str">
        <f ca="1">IFERROR([1]!IntrinioHistoricalPrices(ticker,"date",$B126,$D$4,$D$5,$D$6),"")</f>
        <v/>
      </c>
      <c r="D126" s="99" t="str">
        <f ca="1">IFERROR([1]!IntrinioHistoricalPrices(ticker,"open",$B126,$D$4,$D$5,$D$6),"")</f>
        <v/>
      </c>
      <c r="E126" s="99" t="str">
        <f ca="1">IFERROR([1]!IntrinioHistoricalPrices(ticker,"high",$B126,$D$4,$D$5,$D$6),"")</f>
        <v/>
      </c>
      <c r="F126" s="99" t="str">
        <f ca="1">IFERROR([1]!IntrinioHistoricalPrices(ticker,"low",$B126,$D$4,$D$5,$D$6),"")</f>
        <v/>
      </c>
      <c r="G126" s="99" t="str">
        <f ca="1">IFERROR([1]!IntrinioHistoricalPrices(ticker,"close",$B126,$D$4,$D$5,$D$6),"")</f>
        <v/>
      </c>
      <c r="H126" s="100" t="str">
        <f ca="1">IFERROR([1]!IntrinioHistoricalPrices(ticker,"volume",$B126,$D$4,$D$5,$D$6),"")</f>
        <v/>
      </c>
      <c r="I126" s="101" t="str">
        <f ca="1">IFERROR([1]!IntrinioHistoricalPrices(ticker,"split_ratio",$B126,$D$4,$D$5,$D$6),"")</f>
        <v/>
      </c>
      <c r="J126" s="99" t="str">
        <f ca="1">IFERROR([1]!IntrinioHistoricalPrices(ticker,"ex_dividend",$B126,$D$4,$D$5,$D$6),"")</f>
        <v/>
      </c>
      <c r="K126" s="99" t="str">
        <f ca="1">IFERROR([1]!IntrinioHistoricalPrices(ticker,"adj_open",$B126,$D$4,$D$5,$D$6),"")</f>
        <v/>
      </c>
      <c r="L126" s="99" t="str">
        <f ca="1">IFERROR([1]!IntrinioHistoricalPrices(ticker,"adj_high",$B126,$D$4,$D$5,$D$6),"")</f>
        <v/>
      </c>
      <c r="M126" s="99" t="str">
        <f ca="1">IFERROR([1]!IntrinioHistoricalPrices(ticker,"adj_low",$B126,$D$4,$D$5,$D$6),"")</f>
        <v/>
      </c>
      <c r="N126" s="99" t="str">
        <f ca="1">IFERROR([1]!IntrinioHistoricalPrices(ticker,"adj_close",$B126,$D$4,$D$5,$D$6),"")</f>
        <v/>
      </c>
      <c r="O126" s="100" t="str">
        <f ca="1">IFERROR([1]!IntrinioHistoricalPrices(ticker,"adj_volume",$B126,$D$4,$D$5,$D$6),"")</f>
        <v/>
      </c>
    </row>
    <row r="127" spans="2:15" x14ac:dyDescent="0.45">
      <c r="B127" s="49">
        <f t="shared" si="1"/>
        <v>118</v>
      </c>
      <c r="C127" s="165" t="str">
        <f ca="1">IFERROR([1]!IntrinioHistoricalPrices(ticker,"date",$B127,$D$4,$D$5,$D$6),"")</f>
        <v/>
      </c>
      <c r="D127" s="99" t="str">
        <f ca="1">IFERROR([1]!IntrinioHistoricalPrices(ticker,"open",$B127,$D$4,$D$5,$D$6),"")</f>
        <v/>
      </c>
      <c r="E127" s="99" t="str">
        <f ca="1">IFERROR([1]!IntrinioHistoricalPrices(ticker,"high",$B127,$D$4,$D$5,$D$6),"")</f>
        <v/>
      </c>
      <c r="F127" s="99" t="str">
        <f ca="1">IFERROR([1]!IntrinioHistoricalPrices(ticker,"low",$B127,$D$4,$D$5,$D$6),"")</f>
        <v/>
      </c>
      <c r="G127" s="99" t="str">
        <f ca="1">IFERROR([1]!IntrinioHistoricalPrices(ticker,"close",$B127,$D$4,$D$5,$D$6),"")</f>
        <v/>
      </c>
      <c r="H127" s="100" t="str">
        <f ca="1">IFERROR([1]!IntrinioHistoricalPrices(ticker,"volume",$B127,$D$4,$D$5,$D$6),"")</f>
        <v/>
      </c>
      <c r="I127" s="101" t="str">
        <f ca="1">IFERROR([1]!IntrinioHistoricalPrices(ticker,"split_ratio",$B127,$D$4,$D$5,$D$6),"")</f>
        <v/>
      </c>
      <c r="J127" s="99" t="str">
        <f ca="1">IFERROR([1]!IntrinioHistoricalPrices(ticker,"ex_dividend",$B127,$D$4,$D$5,$D$6),"")</f>
        <v/>
      </c>
      <c r="K127" s="99" t="str">
        <f ca="1">IFERROR([1]!IntrinioHistoricalPrices(ticker,"adj_open",$B127,$D$4,$D$5,$D$6),"")</f>
        <v/>
      </c>
      <c r="L127" s="99" t="str">
        <f ca="1">IFERROR([1]!IntrinioHistoricalPrices(ticker,"adj_high",$B127,$D$4,$D$5,$D$6),"")</f>
        <v/>
      </c>
      <c r="M127" s="99" t="str">
        <f ca="1">IFERROR([1]!IntrinioHistoricalPrices(ticker,"adj_low",$B127,$D$4,$D$5,$D$6),"")</f>
        <v/>
      </c>
      <c r="N127" s="99" t="str">
        <f ca="1">IFERROR([1]!IntrinioHistoricalPrices(ticker,"adj_close",$B127,$D$4,$D$5,$D$6),"")</f>
        <v/>
      </c>
      <c r="O127" s="100" t="str">
        <f ca="1">IFERROR([1]!IntrinioHistoricalPrices(ticker,"adj_volume",$B127,$D$4,$D$5,$D$6),"")</f>
        <v/>
      </c>
    </row>
    <row r="128" spans="2:15" x14ac:dyDescent="0.45">
      <c r="B128" s="49">
        <f t="shared" si="1"/>
        <v>119</v>
      </c>
      <c r="C128" s="165" t="str">
        <f ca="1">IFERROR([1]!IntrinioHistoricalPrices(ticker,"date",$B128,$D$4,$D$5,$D$6),"")</f>
        <v/>
      </c>
      <c r="D128" s="99" t="str">
        <f ca="1">IFERROR([1]!IntrinioHistoricalPrices(ticker,"open",$B128,$D$4,$D$5,$D$6),"")</f>
        <v/>
      </c>
      <c r="E128" s="99" t="str">
        <f ca="1">IFERROR([1]!IntrinioHistoricalPrices(ticker,"high",$B128,$D$4,$D$5,$D$6),"")</f>
        <v/>
      </c>
      <c r="F128" s="99" t="str">
        <f ca="1">IFERROR([1]!IntrinioHistoricalPrices(ticker,"low",$B128,$D$4,$D$5,$D$6),"")</f>
        <v/>
      </c>
      <c r="G128" s="99" t="str">
        <f ca="1">IFERROR([1]!IntrinioHistoricalPrices(ticker,"close",$B128,$D$4,$D$5,$D$6),"")</f>
        <v/>
      </c>
      <c r="H128" s="100" t="str">
        <f ca="1">IFERROR([1]!IntrinioHistoricalPrices(ticker,"volume",$B128,$D$4,$D$5,$D$6),"")</f>
        <v/>
      </c>
      <c r="I128" s="101" t="str">
        <f ca="1">IFERROR([1]!IntrinioHistoricalPrices(ticker,"split_ratio",$B128,$D$4,$D$5,$D$6),"")</f>
        <v/>
      </c>
      <c r="J128" s="99" t="str">
        <f ca="1">IFERROR([1]!IntrinioHistoricalPrices(ticker,"ex_dividend",$B128,$D$4,$D$5,$D$6),"")</f>
        <v/>
      </c>
      <c r="K128" s="99" t="str">
        <f ca="1">IFERROR([1]!IntrinioHistoricalPrices(ticker,"adj_open",$B128,$D$4,$D$5,$D$6),"")</f>
        <v/>
      </c>
      <c r="L128" s="99" t="str">
        <f ca="1">IFERROR([1]!IntrinioHistoricalPrices(ticker,"adj_high",$B128,$D$4,$D$5,$D$6),"")</f>
        <v/>
      </c>
      <c r="M128" s="99" t="str">
        <f ca="1">IFERROR([1]!IntrinioHistoricalPrices(ticker,"adj_low",$B128,$D$4,$D$5,$D$6),"")</f>
        <v/>
      </c>
      <c r="N128" s="99" t="str">
        <f ca="1">IFERROR([1]!IntrinioHistoricalPrices(ticker,"adj_close",$B128,$D$4,$D$5,$D$6),"")</f>
        <v/>
      </c>
      <c r="O128" s="100" t="str">
        <f ca="1">IFERROR([1]!IntrinioHistoricalPrices(ticker,"adj_volume",$B128,$D$4,$D$5,$D$6),"")</f>
        <v/>
      </c>
    </row>
    <row r="129" spans="2:15" x14ac:dyDescent="0.45">
      <c r="B129" s="49">
        <f t="shared" si="1"/>
        <v>120</v>
      </c>
      <c r="C129" s="165" t="str">
        <f ca="1">IFERROR([1]!IntrinioHistoricalPrices(ticker,"date",$B129,$D$4,$D$5,$D$6),"")</f>
        <v/>
      </c>
      <c r="D129" s="99" t="str">
        <f ca="1">IFERROR([1]!IntrinioHistoricalPrices(ticker,"open",$B129,$D$4,$D$5,$D$6),"")</f>
        <v/>
      </c>
      <c r="E129" s="99" t="str">
        <f ca="1">IFERROR([1]!IntrinioHistoricalPrices(ticker,"high",$B129,$D$4,$D$5,$D$6),"")</f>
        <v/>
      </c>
      <c r="F129" s="99" t="str">
        <f ca="1">IFERROR([1]!IntrinioHistoricalPrices(ticker,"low",$B129,$D$4,$D$5,$D$6),"")</f>
        <v/>
      </c>
      <c r="G129" s="99" t="str">
        <f ca="1">IFERROR([1]!IntrinioHistoricalPrices(ticker,"close",$B129,$D$4,$D$5,$D$6),"")</f>
        <v/>
      </c>
      <c r="H129" s="100" t="str">
        <f ca="1">IFERROR([1]!IntrinioHistoricalPrices(ticker,"volume",$B129,$D$4,$D$5,$D$6),"")</f>
        <v/>
      </c>
      <c r="I129" s="101" t="str">
        <f ca="1">IFERROR([1]!IntrinioHistoricalPrices(ticker,"split_ratio",$B129,$D$4,$D$5,$D$6),"")</f>
        <v/>
      </c>
      <c r="J129" s="99" t="str">
        <f ca="1">IFERROR([1]!IntrinioHistoricalPrices(ticker,"ex_dividend",$B129,$D$4,$D$5,$D$6),"")</f>
        <v/>
      </c>
      <c r="K129" s="99" t="str">
        <f ca="1">IFERROR([1]!IntrinioHistoricalPrices(ticker,"adj_open",$B129,$D$4,$D$5,$D$6),"")</f>
        <v/>
      </c>
      <c r="L129" s="99" t="str">
        <f ca="1">IFERROR([1]!IntrinioHistoricalPrices(ticker,"adj_high",$B129,$D$4,$D$5,$D$6),"")</f>
        <v/>
      </c>
      <c r="M129" s="99" t="str">
        <f ca="1">IFERROR([1]!IntrinioHistoricalPrices(ticker,"adj_low",$B129,$D$4,$D$5,$D$6),"")</f>
        <v/>
      </c>
      <c r="N129" s="99" t="str">
        <f ca="1">IFERROR([1]!IntrinioHistoricalPrices(ticker,"adj_close",$B129,$D$4,$D$5,$D$6),"")</f>
        <v/>
      </c>
      <c r="O129" s="100" t="str">
        <f ca="1">IFERROR([1]!IntrinioHistoricalPrices(ticker,"adj_volume",$B129,$D$4,$D$5,$D$6),"")</f>
        <v/>
      </c>
    </row>
    <row r="130" spans="2:15" x14ac:dyDescent="0.45">
      <c r="B130" s="49">
        <f t="shared" si="1"/>
        <v>121</v>
      </c>
      <c r="C130" s="165" t="str">
        <f ca="1">IFERROR([1]!IntrinioHistoricalPrices(ticker,"date",$B130,$D$4,$D$5,$D$6),"")</f>
        <v/>
      </c>
      <c r="D130" s="99" t="str">
        <f ca="1">IFERROR([1]!IntrinioHistoricalPrices(ticker,"open",$B130,$D$4,$D$5,$D$6),"")</f>
        <v/>
      </c>
      <c r="E130" s="99" t="str">
        <f ca="1">IFERROR([1]!IntrinioHistoricalPrices(ticker,"high",$B130,$D$4,$D$5,$D$6),"")</f>
        <v/>
      </c>
      <c r="F130" s="99" t="str">
        <f ca="1">IFERROR([1]!IntrinioHistoricalPrices(ticker,"low",$B130,$D$4,$D$5,$D$6),"")</f>
        <v/>
      </c>
      <c r="G130" s="99" t="str">
        <f ca="1">IFERROR([1]!IntrinioHistoricalPrices(ticker,"close",$B130,$D$4,$D$5,$D$6),"")</f>
        <v/>
      </c>
      <c r="H130" s="100" t="str">
        <f ca="1">IFERROR([1]!IntrinioHistoricalPrices(ticker,"volume",$B130,$D$4,$D$5,$D$6),"")</f>
        <v/>
      </c>
      <c r="I130" s="101" t="str">
        <f ca="1">IFERROR([1]!IntrinioHistoricalPrices(ticker,"split_ratio",$B130,$D$4,$D$5,$D$6),"")</f>
        <v/>
      </c>
      <c r="J130" s="99" t="str">
        <f ca="1">IFERROR([1]!IntrinioHistoricalPrices(ticker,"ex_dividend",$B130,$D$4,$D$5,$D$6),"")</f>
        <v/>
      </c>
      <c r="K130" s="99" t="str">
        <f ca="1">IFERROR([1]!IntrinioHistoricalPrices(ticker,"adj_open",$B130,$D$4,$D$5,$D$6),"")</f>
        <v/>
      </c>
      <c r="L130" s="99" t="str">
        <f ca="1">IFERROR([1]!IntrinioHistoricalPrices(ticker,"adj_high",$B130,$D$4,$D$5,$D$6),"")</f>
        <v/>
      </c>
      <c r="M130" s="99" t="str">
        <f ca="1">IFERROR([1]!IntrinioHistoricalPrices(ticker,"adj_low",$B130,$D$4,$D$5,$D$6),"")</f>
        <v/>
      </c>
      <c r="N130" s="99" t="str">
        <f ca="1">IFERROR([1]!IntrinioHistoricalPrices(ticker,"adj_close",$B130,$D$4,$D$5,$D$6),"")</f>
        <v/>
      </c>
      <c r="O130" s="100" t="str">
        <f ca="1">IFERROR([1]!IntrinioHistoricalPrices(ticker,"adj_volume",$B130,$D$4,$D$5,$D$6),"")</f>
        <v/>
      </c>
    </row>
    <row r="131" spans="2:15" x14ac:dyDescent="0.45">
      <c r="B131" s="49">
        <f t="shared" si="1"/>
        <v>122</v>
      </c>
      <c r="C131" s="165" t="str">
        <f ca="1">IFERROR([1]!IntrinioHistoricalPrices(ticker,"date",$B131,$D$4,$D$5,$D$6),"")</f>
        <v/>
      </c>
      <c r="D131" s="99" t="str">
        <f ca="1">IFERROR([1]!IntrinioHistoricalPrices(ticker,"open",$B131,$D$4,$D$5,$D$6),"")</f>
        <v/>
      </c>
      <c r="E131" s="99" t="str">
        <f ca="1">IFERROR([1]!IntrinioHistoricalPrices(ticker,"high",$B131,$D$4,$D$5,$D$6),"")</f>
        <v/>
      </c>
      <c r="F131" s="99" t="str">
        <f ca="1">IFERROR([1]!IntrinioHistoricalPrices(ticker,"low",$B131,$D$4,$D$5,$D$6),"")</f>
        <v/>
      </c>
      <c r="G131" s="99" t="str">
        <f ca="1">IFERROR([1]!IntrinioHistoricalPrices(ticker,"close",$B131,$D$4,$D$5,$D$6),"")</f>
        <v/>
      </c>
      <c r="H131" s="100" t="str">
        <f ca="1">IFERROR([1]!IntrinioHistoricalPrices(ticker,"volume",$B131,$D$4,$D$5,$D$6),"")</f>
        <v/>
      </c>
      <c r="I131" s="101" t="str">
        <f ca="1">IFERROR([1]!IntrinioHistoricalPrices(ticker,"split_ratio",$B131,$D$4,$D$5,$D$6),"")</f>
        <v/>
      </c>
      <c r="J131" s="99" t="str">
        <f ca="1">IFERROR([1]!IntrinioHistoricalPrices(ticker,"ex_dividend",$B131,$D$4,$D$5,$D$6),"")</f>
        <v/>
      </c>
      <c r="K131" s="99" t="str">
        <f ca="1">IFERROR([1]!IntrinioHistoricalPrices(ticker,"adj_open",$B131,$D$4,$D$5,$D$6),"")</f>
        <v/>
      </c>
      <c r="L131" s="99" t="str">
        <f ca="1">IFERROR([1]!IntrinioHistoricalPrices(ticker,"adj_high",$B131,$D$4,$D$5,$D$6),"")</f>
        <v/>
      </c>
      <c r="M131" s="99" t="str">
        <f ca="1">IFERROR([1]!IntrinioHistoricalPrices(ticker,"adj_low",$B131,$D$4,$D$5,$D$6),"")</f>
        <v/>
      </c>
      <c r="N131" s="99" t="str">
        <f ca="1">IFERROR([1]!IntrinioHistoricalPrices(ticker,"adj_close",$B131,$D$4,$D$5,$D$6),"")</f>
        <v/>
      </c>
      <c r="O131" s="100" t="str">
        <f ca="1">IFERROR([1]!IntrinioHistoricalPrices(ticker,"adj_volume",$B131,$D$4,$D$5,$D$6),"")</f>
        <v/>
      </c>
    </row>
    <row r="132" spans="2:15" x14ac:dyDescent="0.45">
      <c r="B132" s="49">
        <f t="shared" si="1"/>
        <v>123</v>
      </c>
      <c r="C132" s="165" t="str">
        <f ca="1">IFERROR([1]!IntrinioHistoricalPrices(ticker,"date",$B132,$D$4,$D$5,$D$6),"")</f>
        <v/>
      </c>
      <c r="D132" s="99" t="str">
        <f ca="1">IFERROR([1]!IntrinioHistoricalPrices(ticker,"open",$B132,$D$4,$D$5,$D$6),"")</f>
        <v/>
      </c>
      <c r="E132" s="99" t="str">
        <f ca="1">IFERROR([1]!IntrinioHistoricalPrices(ticker,"high",$B132,$D$4,$D$5,$D$6),"")</f>
        <v/>
      </c>
      <c r="F132" s="99" t="str">
        <f ca="1">IFERROR([1]!IntrinioHistoricalPrices(ticker,"low",$B132,$D$4,$D$5,$D$6),"")</f>
        <v/>
      </c>
      <c r="G132" s="99" t="str">
        <f ca="1">IFERROR([1]!IntrinioHistoricalPrices(ticker,"close",$B132,$D$4,$D$5,$D$6),"")</f>
        <v/>
      </c>
      <c r="H132" s="100" t="str">
        <f ca="1">IFERROR([1]!IntrinioHistoricalPrices(ticker,"volume",$B132,$D$4,$D$5,$D$6),"")</f>
        <v/>
      </c>
      <c r="I132" s="101" t="str">
        <f ca="1">IFERROR([1]!IntrinioHistoricalPrices(ticker,"split_ratio",$B132,$D$4,$D$5,$D$6),"")</f>
        <v/>
      </c>
      <c r="J132" s="99" t="str">
        <f ca="1">IFERROR([1]!IntrinioHistoricalPrices(ticker,"ex_dividend",$B132,$D$4,$D$5,$D$6),"")</f>
        <v/>
      </c>
      <c r="K132" s="99" t="str">
        <f ca="1">IFERROR([1]!IntrinioHistoricalPrices(ticker,"adj_open",$B132,$D$4,$D$5,$D$6),"")</f>
        <v/>
      </c>
      <c r="L132" s="99" t="str">
        <f ca="1">IFERROR([1]!IntrinioHistoricalPrices(ticker,"adj_high",$B132,$D$4,$D$5,$D$6),"")</f>
        <v/>
      </c>
      <c r="M132" s="99" t="str">
        <f ca="1">IFERROR([1]!IntrinioHistoricalPrices(ticker,"adj_low",$B132,$D$4,$D$5,$D$6),"")</f>
        <v/>
      </c>
      <c r="N132" s="99" t="str">
        <f ca="1">IFERROR([1]!IntrinioHistoricalPrices(ticker,"adj_close",$B132,$D$4,$D$5,$D$6),"")</f>
        <v/>
      </c>
      <c r="O132" s="100" t="str">
        <f ca="1">IFERROR([1]!IntrinioHistoricalPrices(ticker,"adj_volume",$B132,$D$4,$D$5,$D$6),"")</f>
        <v/>
      </c>
    </row>
    <row r="133" spans="2:15" x14ac:dyDescent="0.45">
      <c r="B133" s="49">
        <f t="shared" si="1"/>
        <v>124</v>
      </c>
      <c r="C133" s="165" t="str">
        <f ca="1">IFERROR([1]!IntrinioHistoricalPrices(ticker,"date",$B133,$D$4,$D$5,$D$6),"")</f>
        <v/>
      </c>
      <c r="D133" s="99" t="str">
        <f ca="1">IFERROR([1]!IntrinioHistoricalPrices(ticker,"open",$B133,$D$4,$D$5,$D$6),"")</f>
        <v/>
      </c>
      <c r="E133" s="99" t="str">
        <f ca="1">IFERROR([1]!IntrinioHistoricalPrices(ticker,"high",$B133,$D$4,$D$5,$D$6),"")</f>
        <v/>
      </c>
      <c r="F133" s="99" t="str">
        <f ca="1">IFERROR([1]!IntrinioHistoricalPrices(ticker,"low",$B133,$D$4,$D$5,$D$6),"")</f>
        <v/>
      </c>
      <c r="G133" s="99" t="str">
        <f ca="1">IFERROR([1]!IntrinioHistoricalPrices(ticker,"close",$B133,$D$4,$D$5,$D$6),"")</f>
        <v/>
      </c>
      <c r="H133" s="100" t="str">
        <f ca="1">IFERROR([1]!IntrinioHistoricalPrices(ticker,"volume",$B133,$D$4,$D$5,$D$6),"")</f>
        <v/>
      </c>
      <c r="I133" s="101" t="str">
        <f ca="1">IFERROR([1]!IntrinioHistoricalPrices(ticker,"split_ratio",$B133,$D$4,$D$5,$D$6),"")</f>
        <v/>
      </c>
      <c r="J133" s="99" t="str">
        <f ca="1">IFERROR([1]!IntrinioHistoricalPrices(ticker,"ex_dividend",$B133,$D$4,$D$5,$D$6),"")</f>
        <v/>
      </c>
      <c r="K133" s="99" t="str">
        <f ca="1">IFERROR([1]!IntrinioHistoricalPrices(ticker,"adj_open",$B133,$D$4,$D$5,$D$6),"")</f>
        <v/>
      </c>
      <c r="L133" s="99" t="str">
        <f ca="1">IFERROR([1]!IntrinioHistoricalPrices(ticker,"adj_high",$B133,$D$4,$D$5,$D$6),"")</f>
        <v/>
      </c>
      <c r="M133" s="99" t="str">
        <f ca="1">IFERROR([1]!IntrinioHistoricalPrices(ticker,"adj_low",$B133,$D$4,$D$5,$D$6),"")</f>
        <v/>
      </c>
      <c r="N133" s="99" t="str">
        <f ca="1">IFERROR([1]!IntrinioHistoricalPrices(ticker,"adj_close",$B133,$D$4,$D$5,$D$6),"")</f>
        <v/>
      </c>
      <c r="O133" s="100" t="str">
        <f ca="1">IFERROR([1]!IntrinioHistoricalPrices(ticker,"adj_volume",$B133,$D$4,$D$5,$D$6),"")</f>
        <v/>
      </c>
    </row>
    <row r="134" spans="2:15" x14ac:dyDescent="0.45">
      <c r="B134" s="49">
        <f t="shared" si="1"/>
        <v>125</v>
      </c>
      <c r="C134" s="165" t="str">
        <f ca="1">IFERROR([1]!IntrinioHistoricalPrices(ticker,"date",$B134,$D$4,$D$5,$D$6),"")</f>
        <v/>
      </c>
      <c r="D134" s="99" t="str">
        <f ca="1">IFERROR([1]!IntrinioHistoricalPrices(ticker,"open",$B134,$D$4,$D$5,$D$6),"")</f>
        <v/>
      </c>
      <c r="E134" s="99" t="str">
        <f ca="1">IFERROR([1]!IntrinioHistoricalPrices(ticker,"high",$B134,$D$4,$D$5,$D$6),"")</f>
        <v/>
      </c>
      <c r="F134" s="99" t="str">
        <f ca="1">IFERROR([1]!IntrinioHistoricalPrices(ticker,"low",$B134,$D$4,$D$5,$D$6),"")</f>
        <v/>
      </c>
      <c r="G134" s="99" t="str">
        <f ca="1">IFERROR([1]!IntrinioHistoricalPrices(ticker,"close",$B134,$D$4,$D$5,$D$6),"")</f>
        <v/>
      </c>
      <c r="H134" s="100" t="str">
        <f ca="1">IFERROR([1]!IntrinioHistoricalPrices(ticker,"volume",$B134,$D$4,$D$5,$D$6),"")</f>
        <v/>
      </c>
      <c r="I134" s="101" t="str">
        <f ca="1">IFERROR([1]!IntrinioHistoricalPrices(ticker,"split_ratio",$B134,$D$4,$D$5,$D$6),"")</f>
        <v/>
      </c>
      <c r="J134" s="99" t="str">
        <f ca="1">IFERROR([1]!IntrinioHistoricalPrices(ticker,"ex_dividend",$B134,$D$4,$D$5,$D$6),"")</f>
        <v/>
      </c>
      <c r="K134" s="99" t="str">
        <f ca="1">IFERROR([1]!IntrinioHistoricalPrices(ticker,"adj_open",$B134,$D$4,$D$5,$D$6),"")</f>
        <v/>
      </c>
      <c r="L134" s="99" t="str">
        <f ca="1">IFERROR([1]!IntrinioHistoricalPrices(ticker,"adj_high",$B134,$D$4,$D$5,$D$6),"")</f>
        <v/>
      </c>
      <c r="M134" s="99" t="str">
        <f ca="1">IFERROR([1]!IntrinioHistoricalPrices(ticker,"adj_low",$B134,$D$4,$D$5,$D$6),"")</f>
        <v/>
      </c>
      <c r="N134" s="99" t="str">
        <f ca="1">IFERROR([1]!IntrinioHistoricalPrices(ticker,"adj_close",$B134,$D$4,$D$5,$D$6),"")</f>
        <v/>
      </c>
      <c r="O134" s="100" t="str">
        <f ca="1">IFERROR([1]!IntrinioHistoricalPrices(ticker,"adj_volume",$B134,$D$4,$D$5,$D$6),"")</f>
        <v/>
      </c>
    </row>
    <row r="135" spans="2:15" x14ac:dyDescent="0.45">
      <c r="B135" s="49">
        <f t="shared" si="1"/>
        <v>126</v>
      </c>
      <c r="C135" s="165" t="str">
        <f ca="1">IFERROR([1]!IntrinioHistoricalPrices(ticker,"date",$B135,$D$4,$D$5,$D$6),"")</f>
        <v/>
      </c>
      <c r="D135" s="99" t="str">
        <f ca="1">IFERROR([1]!IntrinioHistoricalPrices(ticker,"open",$B135,$D$4,$D$5,$D$6),"")</f>
        <v/>
      </c>
      <c r="E135" s="99" t="str">
        <f ca="1">IFERROR([1]!IntrinioHistoricalPrices(ticker,"high",$B135,$D$4,$D$5,$D$6),"")</f>
        <v/>
      </c>
      <c r="F135" s="99" t="str">
        <f ca="1">IFERROR([1]!IntrinioHistoricalPrices(ticker,"low",$B135,$D$4,$D$5,$D$6),"")</f>
        <v/>
      </c>
      <c r="G135" s="99" t="str">
        <f ca="1">IFERROR([1]!IntrinioHistoricalPrices(ticker,"close",$B135,$D$4,$D$5,$D$6),"")</f>
        <v/>
      </c>
      <c r="H135" s="100" t="str">
        <f ca="1">IFERROR([1]!IntrinioHistoricalPrices(ticker,"volume",$B135,$D$4,$D$5,$D$6),"")</f>
        <v/>
      </c>
      <c r="I135" s="101" t="str">
        <f ca="1">IFERROR([1]!IntrinioHistoricalPrices(ticker,"split_ratio",$B135,$D$4,$D$5,$D$6),"")</f>
        <v/>
      </c>
      <c r="J135" s="99" t="str">
        <f ca="1">IFERROR([1]!IntrinioHistoricalPrices(ticker,"ex_dividend",$B135,$D$4,$D$5,$D$6),"")</f>
        <v/>
      </c>
      <c r="K135" s="99" t="str">
        <f ca="1">IFERROR([1]!IntrinioHistoricalPrices(ticker,"adj_open",$B135,$D$4,$D$5,$D$6),"")</f>
        <v/>
      </c>
      <c r="L135" s="99" t="str">
        <f ca="1">IFERROR([1]!IntrinioHistoricalPrices(ticker,"adj_high",$B135,$D$4,$D$5,$D$6),"")</f>
        <v/>
      </c>
      <c r="M135" s="99" t="str">
        <f ca="1">IFERROR([1]!IntrinioHistoricalPrices(ticker,"adj_low",$B135,$D$4,$D$5,$D$6),"")</f>
        <v/>
      </c>
      <c r="N135" s="99" t="str">
        <f ca="1">IFERROR([1]!IntrinioHistoricalPrices(ticker,"adj_close",$B135,$D$4,$D$5,$D$6),"")</f>
        <v/>
      </c>
      <c r="O135" s="100" t="str">
        <f ca="1">IFERROR([1]!IntrinioHistoricalPrices(ticker,"adj_volume",$B135,$D$4,$D$5,$D$6),"")</f>
        <v/>
      </c>
    </row>
    <row r="136" spans="2:15" x14ac:dyDescent="0.45">
      <c r="B136" s="49">
        <f t="shared" si="1"/>
        <v>127</v>
      </c>
      <c r="C136" s="165" t="str">
        <f ca="1">IFERROR([1]!IntrinioHistoricalPrices(ticker,"date",$B136,$D$4,$D$5,$D$6),"")</f>
        <v/>
      </c>
      <c r="D136" s="99" t="str">
        <f ca="1">IFERROR([1]!IntrinioHistoricalPrices(ticker,"open",$B136,$D$4,$D$5,$D$6),"")</f>
        <v/>
      </c>
      <c r="E136" s="99" t="str">
        <f ca="1">IFERROR([1]!IntrinioHistoricalPrices(ticker,"high",$B136,$D$4,$D$5,$D$6),"")</f>
        <v/>
      </c>
      <c r="F136" s="99" t="str">
        <f ca="1">IFERROR([1]!IntrinioHistoricalPrices(ticker,"low",$B136,$D$4,$D$5,$D$6),"")</f>
        <v/>
      </c>
      <c r="G136" s="99" t="str">
        <f ca="1">IFERROR([1]!IntrinioHistoricalPrices(ticker,"close",$B136,$D$4,$D$5,$D$6),"")</f>
        <v/>
      </c>
      <c r="H136" s="100" t="str">
        <f ca="1">IFERROR([1]!IntrinioHistoricalPrices(ticker,"volume",$B136,$D$4,$D$5,$D$6),"")</f>
        <v/>
      </c>
      <c r="I136" s="101" t="str">
        <f ca="1">IFERROR([1]!IntrinioHistoricalPrices(ticker,"split_ratio",$B136,$D$4,$D$5,$D$6),"")</f>
        <v/>
      </c>
      <c r="J136" s="99" t="str">
        <f ca="1">IFERROR([1]!IntrinioHistoricalPrices(ticker,"ex_dividend",$B136,$D$4,$D$5,$D$6),"")</f>
        <v/>
      </c>
      <c r="K136" s="99" t="str">
        <f ca="1">IFERROR([1]!IntrinioHistoricalPrices(ticker,"adj_open",$B136,$D$4,$D$5,$D$6),"")</f>
        <v/>
      </c>
      <c r="L136" s="99" t="str">
        <f ca="1">IFERROR([1]!IntrinioHistoricalPrices(ticker,"adj_high",$B136,$D$4,$D$5,$D$6),"")</f>
        <v/>
      </c>
      <c r="M136" s="99" t="str">
        <f ca="1">IFERROR([1]!IntrinioHistoricalPrices(ticker,"adj_low",$B136,$D$4,$D$5,$D$6),"")</f>
        <v/>
      </c>
      <c r="N136" s="99" t="str">
        <f ca="1">IFERROR([1]!IntrinioHistoricalPrices(ticker,"adj_close",$B136,$D$4,$D$5,$D$6),"")</f>
        <v/>
      </c>
      <c r="O136" s="100" t="str">
        <f ca="1">IFERROR([1]!IntrinioHistoricalPrices(ticker,"adj_volume",$B136,$D$4,$D$5,$D$6),"")</f>
        <v/>
      </c>
    </row>
    <row r="137" spans="2:15" x14ac:dyDescent="0.45">
      <c r="B137" s="49">
        <f t="shared" si="1"/>
        <v>128</v>
      </c>
      <c r="C137" s="165" t="str">
        <f ca="1">IFERROR([1]!IntrinioHistoricalPrices(ticker,"date",$B137,$D$4,$D$5,$D$6),"")</f>
        <v/>
      </c>
      <c r="D137" s="99" t="str">
        <f ca="1">IFERROR([1]!IntrinioHistoricalPrices(ticker,"open",$B137,$D$4,$D$5,$D$6),"")</f>
        <v/>
      </c>
      <c r="E137" s="99" t="str">
        <f ca="1">IFERROR([1]!IntrinioHistoricalPrices(ticker,"high",$B137,$D$4,$D$5,$D$6),"")</f>
        <v/>
      </c>
      <c r="F137" s="99" t="str">
        <f ca="1">IFERROR([1]!IntrinioHistoricalPrices(ticker,"low",$B137,$D$4,$D$5,$D$6),"")</f>
        <v/>
      </c>
      <c r="G137" s="99" t="str">
        <f ca="1">IFERROR([1]!IntrinioHistoricalPrices(ticker,"close",$B137,$D$4,$D$5,$D$6),"")</f>
        <v/>
      </c>
      <c r="H137" s="100" t="str">
        <f ca="1">IFERROR([1]!IntrinioHistoricalPrices(ticker,"volume",$B137,$D$4,$D$5,$D$6),"")</f>
        <v/>
      </c>
      <c r="I137" s="101" t="str">
        <f ca="1">IFERROR([1]!IntrinioHistoricalPrices(ticker,"split_ratio",$B137,$D$4,$D$5,$D$6),"")</f>
        <v/>
      </c>
      <c r="J137" s="99" t="str">
        <f ca="1">IFERROR([1]!IntrinioHistoricalPrices(ticker,"ex_dividend",$B137,$D$4,$D$5,$D$6),"")</f>
        <v/>
      </c>
      <c r="K137" s="99" t="str">
        <f ca="1">IFERROR([1]!IntrinioHistoricalPrices(ticker,"adj_open",$B137,$D$4,$D$5,$D$6),"")</f>
        <v/>
      </c>
      <c r="L137" s="99" t="str">
        <f ca="1">IFERROR([1]!IntrinioHistoricalPrices(ticker,"adj_high",$B137,$D$4,$D$5,$D$6),"")</f>
        <v/>
      </c>
      <c r="M137" s="99" t="str">
        <f ca="1">IFERROR([1]!IntrinioHistoricalPrices(ticker,"adj_low",$B137,$D$4,$D$5,$D$6),"")</f>
        <v/>
      </c>
      <c r="N137" s="99" t="str">
        <f ca="1">IFERROR([1]!IntrinioHistoricalPrices(ticker,"adj_close",$B137,$D$4,$D$5,$D$6),"")</f>
        <v/>
      </c>
      <c r="O137" s="100" t="str">
        <f ca="1">IFERROR([1]!IntrinioHistoricalPrices(ticker,"adj_volume",$B137,$D$4,$D$5,$D$6),"")</f>
        <v/>
      </c>
    </row>
    <row r="138" spans="2:15" x14ac:dyDescent="0.45">
      <c r="B138" s="49">
        <f t="shared" si="1"/>
        <v>129</v>
      </c>
      <c r="C138" s="165" t="str">
        <f ca="1">IFERROR([1]!IntrinioHistoricalPrices(ticker,"date",$B138,$D$4,$D$5,$D$6),"")</f>
        <v/>
      </c>
      <c r="D138" s="99" t="str">
        <f ca="1">IFERROR([1]!IntrinioHistoricalPrices(ticker,"open",$B138,$D$4,$D$5,$D$6),"")</f>
        <v/>
      </c>
      <c r="E138" s="99" t="str">
        <f ca="1">IFERROR([1]!IntrinioHistoricalPrices(ticker,"high",$B138,$D$4,$D$5,$D$6),"")</f>
        <v/>
      </c>
      <c r="F138" s="99" t="str">
        <f ca="1">IFERROR([1]!IntrinioHistoricalPrices(ticker,"low",$B138,$D$4,$D$5,$D$6),"")</f>
        <v/>
      </c>
      <c r="G138" s="99" t="str">
        <f ca="1">IFERROR([1]!IntrinioHistoricalPrices(ticker,"close",$B138,$D$4,$D$5,$D$6),"")</f>
        <v/>
      </c>
      <c r="H138" s="100" t="str">
        <f ca="1">IFERROR([1]!IntrinioHistoricalPrices(ticker,"volume",$B138,$D$4,$D$5,$D$6),"")</f>
        <v/>
      </c>
      <c r="I138" s="101" t="str">
        <f ca="1">IFERROR([1]!IntrinioHistoricalPrices(ticker,"split_ratio",$B138,$D$4,$D$5,$D$6),"")</f>
        <v/>
      </c>
      <c r="J138" s="99" t="str">
        <f ca="1">IFERROR([1]!IntrinioHistoricalPrices(ticker,"ex_dividend",$B138,$D$4,$D$5,$D$6),"")</f>
        <v/>
      </c>
      <c r="K138" s="99" t="str">
        <f ca="1">IFERROR([1]!IntrinioHistoricalPrices(ticker,"adj_open",$B138,$D$4,$D$5,$D$6),"")</f>
        <v/>
      </c>
      <c r="L138" s="99" t="str">
        <f ca="1">IFERROR([1]!IntrinioHistoricalPrices(ticker,"adj_high",$B138,$D$4,$D$5,$D$6),"")</f>
        <v/>
      </c>
      <c r="M138" s="99" t="str">
        <f ca="1">IFERROR([1]!IntrinioHistoricalPrices(ticker,"adj_low",$B138,$D$4,$D$5,$D$6),"")</f>
        <v/>
      </c>
      <c r="N138" s="99" t="str">
        <f ca="1">IFERROR([1]!IntrinioHistoricalPrices(ticker,"adj_close",$B138,$D$4,$D$5,$D$6),"")</f>
        <v/>
      </c>
      <c r="O138" s="100" t="str">
        <f ca="1">IFERROR([1]!IntrinioHistoricalPrices(ticker,"adj_volume",$B138,$D$4,$D$5,$D$6),"")</f>
        <v/>
      </c>
    </row>
    <row r="139" spans="2:15" x14ac:dyDescent="0.45">
      <c r="B139" s="49">
        <f t="shared" ref="B139:B202" si="2">+B138+1</f>
        <v>130</v>
      </c>
      <c r="C139" s="165" t="str">
        <f ca="1">IFERROR([1]!IntrinioHistoricalPrices(ticker,"date",$B139,$D$4,$D$5,$D$6),"")</f>
        <v/>
      </c>
      <c r="D139" s="99" t="str">
        <f ca="1">IFERROR([1]!IntrinioHistoricalPrices(ticker,"open",$B139,$D$4,$D$5,$D$6),"")</f>
        <v/>
      </c>
      <c r="E139" s="99" t="str">
        <f ca="1">IFERROR([1]!IntrinioHistoricalPrices(ticker,"high",$B139,$D$4,$D$5,$D$6),"")</f>
        <v/>
      </c>
      <c r="F139" s="99" t="str">
        <f ca="1">IFERROR([1]!IntrinioHistoricalPrices(ticker,"low",$B139,$D$4,$D$5,$D$6),"")</f>
        <v/>
      </c>
      <c r="G139" s="99" t="str">
        <f ca="1">IFERROR([1]!IntrinioHistoricalPrices(ticker,"close",$B139,$D$4,$D$5,$D$6),"")</f>
        <v/>
      </c>
      <c r="H139" s="100" t="str">
        <f ca="1">IFERROR([1]!IntrinioHistoricalPrices(ticker,"volume",$B139,$D$4,$D$5,$D$6),"")</f>
        <v/>
      </c>
      <c r="I139" s="101" t="str">
        <f ca="1">IFERROR([1]!IntrinioHistoricalPrices(ticker,"split_ratio",$B139,$D$4,$D$5,$D$6),"")</f>
        <v/>
      </c>
      <c r="J139" s="99" t="str">
        <f ca="1">IFERROR([1]!IntrinioHistoricalPrices(ticker,"ex_dividend",$B139,$D$4,$D$5,$D$6),"")</f>
        <v/>
      </c>
      <c r="K139" s="99" t="str">
        <f ca="1">IFERROR([1]!IntrinioHistoricalPrices(ticker,"adj_open",$B139,$D$4,$D$5,$D$6),"")</f>
        <v/>
      </c>
      <c r="L139" s="99" t="str">
        <f ca="1">IFERROR([1]!IntrinioHistoricalPrices(ticker,"adj_high",$B139,$D$4,$D$5,$D$6),"")</f>
        <v/>
      </c>
      <c r="M139" s="99" t="str">
        <f ca="1">IFERROR([1]!IntrinioHistoricalPrices(ticker,"adj_low",$B139,$D$4,$D$5,$D$6),"")</f>
        <v/>
      </c>
      <c r="N139" s="99" t="str">
        <f ca="1">IFERROR([1]!IntrinioHistoricalPrices(ticker,"adj_close",$B139,$D$4,$D$5,$D$6),"")</f>
        <v/>
      </c>
      <c r="O139" s="100" t="str">
        <f ca="1">IFERROR([1]!IntrinioHistoricalPrices(ticker,"adj_volume",$B139,$D$4,$D$5,$D$6),"")</f>
        <v/>
      </c>
    </row>
    <row r="140" spans="2:15" x14ac:dyDescent="0.45">
      <c r="B140" s="49">
        <f t="shared" si="2"/>
        <v>131</v>
      </c>
      <c r="C140" s="165" t="str">
        <f ca="1">IFERROR([1]!IntrinioHistoricalPrices(ticker,"date",$B140,$D$4,$D$5,$D$6),"")</f>
        <v/>
      </c>
      <c r="D140" s="99" t="str">
        <f ca="1">IFERROR([1]!IntrinioHistoricalPrices(ticker,"open",$B140,$D$4,$D$5,$D$6),"")</f>
        <v/>
      </c>
      <c r="E140" s="99" t="str">
        <f ca="1">IFERROR([1]!IntrinioHistoricalPrices(ticker,"high",$B140,$D$4,$D$5,$D$6),"")</f>
        <v/>
      </c>
      <c r="F140" s="99" t="str">
        <f ca="1">IFERROR([1]!IntrinioHistoricalPrices(ticker,"low",$B140,$D$4,$D$5,$D$6),"")</f>
        <v/>
      </c>
      <c r="G140" s="99" t="str">
        <f ca="1">IFERROR([1]!IntrinioHistoricalPrices(ticker,"close",$B140,$D$4,$D$5,$D$6),"")</f>
        <v/>
      </c>
      <c r="H140" s="100" t="str">
        <f ca="1">IFERROR([1]!IntrinioHistoricalPrices(ticker,"volume",$B140,$D$4,$D$5,$D$6),"")</f>
        <v/>
      </c>
      <c r="I140" s="101" t="str">
        <f ca="1">IFERROR([1]!IntrinioHistoricalPrices(ticker,"split_ratio",$B140,$D$4,$D$5,$D$6),"")</f>
        <v/>
      </c>
      <c r="J140" s="99" t="str">
        <f ca="1">IFERROR([1]!IntrinioHistoricalPrices(ticker,"ex_dividend",$B140,$D$4,$D$5,$D$6),"")</f>
        <v/>
      </c>
      <c r="K140" s="99" t="str">
        <f ca="1">IFERROR([1]!IntrinioHistoricalPrices(ticker,"adj_open",$B140,$D$4,$D$5,$D$6),"")</f>
        <v/>
      </c>
      <c r="L140" s="99" t="str">
        <f ca="1">IFERROR([1]!IntrinioHistoricalPrices(ticker,"adj_high",$B140,$D$4,$D$5,$D$6),"")</f>
        <v/>
      </c>
      <c r="M140" s="99" t="str">
        <f ca="1">IFERROR([1]!IntrinioHistoricalPrices(ticker,"adj_low",$B140,$D$4,$D$5,$D$6),"")</f>
        <v/>
      </c>
      <c r="N140" s="99" t="str">
        <f ca="1">IFERROR([1]!IntrinioHistoricalPrices(ticker,"adj_close",$B140,$D$4,$D$5,$D$6),"")</f>
        <v/>
      </c>
      <c r="O140" s="100" t="str">
        <f ca="1">IFERROR([1]!IntrinioHistoricalPrices(ticker,"adj_volume",$B140,$D$4,$D$5,$D$6),"")</f>
        <v/>
      </c>
    </row>
    <row r="141" spans="2:15" x14ac:dyDescent="0.45">
      <c r="B141" s="49">
        <f t="shared" si="2"/>
        <v>132</v>
      </c>
      <c r="C141" s="165" t="str">
        <f ca="1">IFERROR([1]!IntrinioHistoricalPrices(ticker,"date",$B141,$D$4,$D$5,$D$6),"")</f>
        <v/>
      </c>
      <c r="D141" s="99" t="str">
        <f ca="1">IFERROR([1]!IntrinioHistoricalPrices(ticker,"open",$B141,$D$4,$D$5,$D$6),"")</f>
        <v/>
      </c>
      <c r="E141" s="99" t="str">
        <f ca="1">IFERROR([1]!IntrinioHistoricalPrices(ticker,"high",$B141,$D$4,$D$5,$D$6),"")</f>
        <v/>
      </c>
      <c r="F141" s="99" t="str">
        <f ca="1">IFERROR([1]!IntrinioHistoricalPrices(ticker,"low",$B141,$D$4,$D$5,$D$6),"")</f>
        <v/>
      </c>
      <c r="G141" s="99" t="str">
        <f ca="1">IFERROR([1]!IntrinioHistoricalPrices(ticker,"close",$B141,$D$4,$D$5,$D$6),"")</f>
        <v/>
      </c>
      <c r="H141" s="100" t="str">
        <f ca="1">IFERROR([1]!IntrinioHistoricalPrices(ticker,"volume",$B141,$D$4,$D$5,$D$6),"")</f>
        <v/>
      </c>
      <c r="I141" s="101" t="str">
        <f ca="1">IFERROR([1]!IntrinioHistoricalPrices(ticker,"split_ratio",$B141,$D$4,$D$5,$D$6),"")</f>
        <v/>
      </c>
      <c r="J141" s="99" t="str">
        <f ca="1">IFERROR([1]!IntrinioHistoricalPrices(ticker,"ex_dividend",$B141,$D$4,$D$5,$D$6),"")</f>
        <v/>
      </c>
      <c r="K141" s="99" t="str">
        <f ca="1">IFERROR([1]!IntrinioHistoricalPrices(ticker,"adj_open",$B141,$D$4,$D$5,$D$6),"")</f>
        <v/>
      </c>
      <c r="L141" s="99" t="str">
        <f ca="1">IFERROR([1]!IntrinioHistoricalPrices(ticker,"adj_high",$B141,$D$4,$D$5,$D$6),"")</f>
        <v/>
      </c>
      <c r="M141" s="99" t="str">
        <f ca="1">IFERROR([1]!IntrinioHistoricalPrices(ticker,"adj_low",$B141,$D$4,$D$5,$D$6),"")</f>
        <v/>
      </c>
      <c r="N141" s="99" t="str">
        <f ca="1">IFERROR([1]!IntrinioHistoricalPrices(ticker,"adj_close",$B141,$D$4,$D$5,$D$6),"")</f>
        <v/>
      </c>
      <c r="O141" s="100" t="str">
        <f ca="1">IFERROR([1]!IntrinioHistoricalPrices(ticker,"adj_volume",$B141,$D$4,$D$5,$D$6),"")</f>
        <v/>
      </c>
    </row>
    <row r="142" spans="2:15" x14ac:dyDescent="0.45">
      <c r="B142" s="49">
        <f t="shared" si="2"/>
        <v>133</v>
      </c>
      <c r="C142" s="165" t="str">
        <f ca="1">IFERROR([1]!IntrinioHistoricalPrices(ticker,"date",$B142,$D$4,$D$5,$D$6),"")</f>
        <v/>
      </c>
      <c r="D142" s="99" t="str">
        <f ca="1">IFERROR([1]!IntrinioHistoricalPrices(ticker,"open",$B142,$D$4,$D$5,$D$6),"")</f>
        <v/>
      </c>
      <c r="E142" s="99" t="str">
        <f ca="1">IFERROR([1]!IntrinioHistoricalPrices(ticker,"high",$B142,$D$4,$D$5,$D$6),"")</f>
        <v/>
      </c>
      <c r="F142" s="99" t="str">
        <f ca="1">IFERROR([1]!IntrinioHistoricalPrices(ticker,"low",$B142,$D$4,$D$5,$D$6),"")</f>
        <v/>
      </c>
      <c r="G142" s="99" t="str">
        <f ca="1">IFERROR([1]!IntrinioHistoricalPrices(ticker,"close",$B142,$D$4,$D$5,$D$6),"")</f>
        <v/>
      </c>
      <c r="H142" s="100" t="str">
        <f ca="1">IFERROR([1]!IntrinioHistoricalPrices(ticker,"volume",$B142,$D$4,$D$5,$D$6),"")</f>
        <v/>
      </c>
      <c r="I142" s="101" t="str">
        <f ca="1">IFERROR([1]!IntrinioHistoricalPrices(ticker,"split_ratio",$B142,$D$4,$D$5,$D$6),"")</f>
        <v/>
      </c>
      <c r="J142" s="99" t="str">
        <f ca="1">IFERROR([1]!IntrinioHistoricalPrices(ticker,"ex_dividend",$B142,$D$4,$D$5,$D$6),"")</f>
        <v/>
      </c>
      <c r="K142" s="99" t="str">
        <f ca="1">IFERROR([1]!IntrinioHistoricalPrices(ticker,"adj_open",$B142,$D$4,$D$5,$D$6),"")</f>
        <v/>
      </c>
      <c r="L142" s="99" t="str">
        <f ca="1">IFERROR([1]!IntrinioHistoricalPrices(ticker,"adj_high",$B142,$D$4,$D$5,$D$6),"")</f>
        <v/>
      </c>
      <c r="M142" s="99" t="str">
        <f ca="1">IFERROR([1]!IntrinioHistoricalPrices(ticker,"adj_low",$B142,$D$4,$D$5,$D$6),"")</f>
        <v/>
      </c>
      <c r="N142" s="99" t="str">
        <f ca="1">IFERROR([1]!IntrinioHistoricalPrices(ticker,"adj_close",$B142,$D$4,$D$5,$D$6),"")</f>
        <v/>
      </c>
      <c r="O142" s="100" t="str">
        <f ca="1">IFERROR([1]!IntrinioHistoricalPrices(ticker,"adj_volume",$B142,$D$4,$D$5,$D$6),"")</f>
        <v/>
      </c>
    </row>
    <row r="143" spans="2:15" x14ac:dyDescent="0.45">
      <c r="B143" s="49">
        <f t="shared" si="2"/>
        <v>134</v>
      </c>
      <c r="C143" s="165" t="str">
        <f ca="1">IFERROR([1]!IntrinioHistoricalPrices(ticker,"date",$B143,$D$4,$D$5,$D$6),"")</f>
        <v/>
      </c>
      <c r="D143" s="99" t="str">
        <f ca="1">IFERROR([1]!IntrinioHistoricalPrices(ticker,"open",$B143,$D$4,$D$5,$D$6),"")</f>
        <v/>
      </c>
      <c r="E143" s="99" t="str">
        <f ca="1">IFERROR([1]!IntrinioHistoricalPrices(ticker,"high",$B143,$D$4,$D$5,$D$6),"")</f>
        <v/>
      </c>
      <c r="F143" s="99" t="str">
        <f ca="1">IFERROR([1]!IntrinioHistoricalPrices(ticker,"low",$B143,$D$4,$D$5,$D$6),"")</f>
        <v/>
      </c>
      <c r="G143" s="99" t="str">
        <f ca="1">IFERROR([1]!IntrinioHistoricalPrices(ticker,"close",$B143,$D$4,$D$5,$D$6),"")</f>
        <v/>
      </c>
      <c r="H143" s="100" t="str">
        <f ca="1">IFERROR([1]!IntrinioHistoricalPrices(ticker,"volume",$B143,$D$4,$D$5,$D$6),"")</f>
        <v/>
      </c>
      <c r="I143" s="101" t="str">
        <f ca="1">IFERROR([1]!IntrinioHistoricalPrices(ticker,"split_ratio",$B143,$D$4,$D$5,$D$6),"")</f>
        <v/>
      </c>
      <c r="J143" s="99" t="str">
        <f ca="1">IFERROR([1]!IntrinioHistoricalPrices(ticker,"ex_dividend",$B143,$D$4,$D$5,$D$6),"")</f>
        <v/>
      </c>
      <c r="K143" s="99" t="str">
        <f ca="1">IFERROR([1]!IntrinioHistoricalPrices(ticker,"adj_open",$B143,$D$4,$D$5,$D$6),"")</f>
        <v/>
      </c>
      <c r="L143" s="99" t="str">
        <f ca="1">IFERROR([1]!IntrinioHistoricalPrices(ticker,"adj_high",$B143,$D$4,$D$5,$D$6),"")</f>
        <v/>
      </c>
      <c r="M143" s="99" t="str">
        <f ca="1">IFERROR([1]!IntrinioHistoricalPrices(ticker,"adj_low",$B143,$D$4,$D$5,$D$6),"")</f>
        <v/>
      </c>
      <c r="N143" s="99" t="str">
        <f ca="1">IFERROR([1]!IntrinioHistoricalPrices(ticker,"adj_close",$B143,$D$4,$D$5,$D$6),"")</f>
        <v/>
      </c>
      <c r="O143" s="100" t="str">
        <f ca="1">IFERROR([1]!IntrinioHistoricalPrices(ticker,"adj_volume",$B143,$D$4,$D$5,$D$6),"")</f>
        <v/>
      </c>
    </row>
    <row r="144" spans="2:15" x14ac:dyDescent="0.45">
      <c r="B144" s="49">
        <f t="shared" si="2"/>
        <v>135</v>
      </c>
      <c r="C144" s="165" t="str">
        <f ca="1">IFERROR([1]!IntrinioHistoricalPrices(ticker,"date",$B144,$D$4,$D$5,$D$6),"")</f>
        <v/>
      </c>
      <c r="D144" s="99" t="str">
        <f ca="1">IFERROR([1]!IntrinioHistoricalPrices(ticker,"open",$B144,$D$4,$D$5,$D$6),"")</f>
        <v/>
      </c>
      <c r="E144" s="99" t="str">
        <f ca="1">IFERROR([1]!IntrinioHistoricalPrices(ticker,"high",$B144,$D$4,$D$5,$D$6),"")</f>
        <v/>
      </c>
      <c r="F144" s="99" t="str">
        <f ca="1">IFERROR([1]!IntrinioHistoricalPrices(ticker,"low",$B144,$D$4,$D$5,$D$6),"")</f>
        <v/>
      </c>
      <c r="G144" s="99" t="str">
        <f ca="1">IFERROR([1]!IntrinioHistoricalPrices(ticker,"close",$B144,$D$4,$D$5,$D$6),"")</f>
        <v/>
      </c>
      <c r="H144" s="100" t="str">
        <f ca="1">IFERROR([1]!IntrinioHistoricalPrices(ticker,"volume",$B144,$D$4,$D$5,$D$6),"")</f>
        <v/>
      </c>
      <c r="I144" s="101" t="str">
        <f ca="1">IFERROR([1]!IntrinioHistoricalPrices(ticker,"split_ratio",$B144,$D$4,$D$5,$D$6),"")</f>
        <v/>
      </c>
      <c r="J144" s="99" t="str">
        <f ca="1">IFERROR([1]!IntrinioHistoricalPrices(ticker,"ex_dividend",$B144,$D$4,$D$5,$D$6),"")</f>
        <v/>
      </c>
      <c r="K144" s="99" t="str">
        <f ca="1">IFERROR([1]!IntrinioHistoricalPrices(ticker,"adj_open",$B144,$D$4,$D$5,$D$6),"")</f>
        <v/>
      </c>
      <c r="L144" s="99" t="str">
        <f ca="1">IFERROR([1]!IntrinioHistoricalPrices(ticker,"adj_high",$B144,$D$4,$D$5,$D$6),"")</f>
        <v/>
      </c>
      <c r="M144" s="99" t="str">
        <f ca="1">IFERROR([1]!IntrinioHistoricalPrices(ticker,"adj_low",$B144,$D$4,$D$5,$D$6),"")</f>
        <v/>
      </c>
      <c r="N144" s="99" t="str">
        <f ca="1">IFERROR([1]!IntrinioHistoricalPrices(ticker,"adj_close",$B144,$D$4,$D$5,$D$6),"")</f>
        <v/>
      </c>
      <c r="O144" s="100" t="str">
        <f ca="1">IFERROR([1]!IntrinioHistoricalPrices(ticker,"adj_volume",$B144,$D$4,$D$5,$D$6),"")</f>
        <v/>
      </c>
    </row>
    <row r="145" spans="2:15" x14ac:dyDescent="0.45">
      <c r="B145" s="49">
        <f t="shared" si="2"/>
        <v>136</v>
      </c>
      <c r="C145" s="165" t="str">
        <f ca="1">IFERROR([1]!IntrinioHistoricalPrices(ticker,"date",$B145,$D$4,$D$5,$D$6),"")</f>
        <v/>
      </c>
      <c r="D145" s="99" t="str">
        <f ca="1">IFERROR([1]!IntrinioHistoricalPrices(ticker,"open",$B145,$D$4,$D$5,$D$6),"")</f>
        <v/>
      </c>
      <c r="E145" s="99" t="str">
        <f ca="1">IFERROR([1]!IntrinioHistoricalPrices(ticker,"high",$B145,$D$4,$D$5,$D$6),"")</f>
        <v/>
      </c>
      <c r="F145" s="99" t="str">
        <f ca="1">IFERROR([1]!IntrinioHistoricalPrices(ticker,"low",$B145,$D$4,$D$5,$D$6),"")</f>
        <v/>
      </c>
      <c r="G145" s="99" t="str">
        <f ca="1">IFERROR([1]!IntrinioHistoricalPrices(ticker,"close",$B145,$D$4,$D$5,$D$6),"")</f>
        <v/>
      </c>
      <c r="H145" s="100" t="str">
        <f ca="1">IFERROR([1]!IntrinioHistoricalPrices(ticker,"volume",$B145,$D$4,$D$5,$D$6),"")</f>
        <v/>
      </c>
      <c r="I145" s="101" t="str">
        <f ca="1">IFERROR([1]!IntrinioHistoricalPrices(ticker,"split_ratio",$B145,$D$4,$D$5,$D$6),"")</f>
        <v/>
      </c>
      <c r="J145" s="99" t="str">
        <f ca="1">IFERROR([1]!IntrinioHistoricalPrices(ticker,"ex_dividend",$B145,$D$4,$D$5,$D$6),"")</f>
        <v/>
      </c>
      <c r="K145" s="99" t="str">
        <f ca="1">IFERROR([1]!IntrinioHistoricalPrices(ticker,"adj_open",$B145,$D$4,$D$5,$D$6),"")</f>
        <v/>
      </c>
      <c r="L145" s="99" t="str">
        <f ca="1">IFERROR([1]!IntrinioHistoricalPrices(ticker,"adj_high",$B145,$D$4,$D$5,$D$6),"")</f>
        <v/>
      </c>
      <c r="M145" s="99" t="str">
        <f ca="1">IFERROR([1]!IntrinioHistoricalPrices(ticker,"adj_low",$B145,$D$4,$D$5,$D$6),"")</f>
        <v/>
      </c>
      <c r="N145" s="99" t="str">
        <f ca="1">IFERROR([1]!IntrinioHistoricalPrices(ticker,"adj_close",$B145,$D$4,$D$5,$D$6),"")</f>
        <v/>
      </c>
      <c r="O145" s="100" t="str">
        <f ca="1">IFERROR([1]!IntrinioHistoricalPrices(ticker,"adj_volume",$B145,$D$4,$D$5,$D$6),"")</f>
        <v/>
      </c>
    </row>
    <row r="146" spans="2:15" x14ac:dyDescent="0.45">
      <c r="B146" s="49">
        <f t="shared" si="2"/>
        <v>137</v>
      </c>
      <c r="C146" s="165" t="str">
        <f ca="1">IFERROR([1]!IntrinioHistoricalPrices(ticker,"date",$B146,$D$4,$D$5,$D$6),"")</f>
        <v/>
      </c>
      <c r="D146" s="99" t="str">
        <f ca="1">IFERROR([1]!IntrinioHistoricalPrices(ticker,"open",$B146,$D$4,$D$5,$D$6),"")</f>
        <v/>
      </c>
      <c r="E146" s="99" t="str">
        <f ca="1">IFERROR([1]!IntrinioHistoricalPrices(ticker,"high",$B146,$D$4,$D$5,$D$6),"")</f>
        <v/>
      </c>
      <c r="F146" s="99" t="str">
        <f ca="1">IFERROR([1]!IntrinioHistoricalPrices(ticker,"low",$B146,$D$4,$D$5,$D$6),"")</f>
        <v/>
      </c>
      <c r="G146" s="99" t="str">
        <f ca="1">IFERROR([1]!IntrinioHistoricalPrices(ticker,"close",$B146,$D$4,$D$5,$D$6),"")</f>
        <v/>
      </c>
      <c r="H146" s="100" t="str">
        <f ca="1">IFERROR([1]!IntrinioHistoricalPrices(ticker,"volume",$B146,$D$4,$D$5,$D$6),"")</f>
        <v/>
      </c>
      <c r="I146" s="101" t="str">
        <f ca="1">IFERROR([1]!IntrinioHistoricalPrices(ticker,"split_ratio",$B146,$D$4,$D$5,$D$6),"")</f>
        <v/>
      </c>
      <c r="J146" s="99" t="str">
        <f ca="1">IFERROR([1]!IntrinioHistoricalPrices(ticker,"ex_dividend",$B146,$D$4,$D$5,$D$6),"")</f>
        <v/>
      </c>
      <c r="K146" s="99" t="str">
        <f ca="1">IFERROR([1]!IntrinioHistoricalPrices(ticker,"adj_open",$B146,$D$4,$D$5,$D$6),"")</f>
        <v/>
      </c>
      <c r="L146" s="99" t="str">
        <f ca="1">IFERROR([1]!IntrinioHistoricalPrices(ticker,"adj_high",$B146,$D$4,$D$5,$D$6),"")</f>
        <v/>
      </c>
      <c r="M146" s="99" t="str">
        <f ca="1">IFERROR([1]!IntrinioHistoricalPrices(ticker,"adj_low",$B146,$D$4,$D$5,$D$6),"")</f>
        <v/>
      </c>
      <c r="N146" s="99" t="str">
        <f ca="1">IFERROR([1]!IntrinioHistoricalPrices(ticker,"adj_close",$B146,$D$4,$D$5,$D$6),"")</f>
        <v/>
      </c>
      <c r="O146" s="100" t="str">
        <f ca="1">IFERROR([1]!IntrinioHistoricalPrices(ticker,"adj_volume",$B146,$D$4,$D$5,$D$6),"")</f>
        <v/>
      </c>
    </row>
    <row r="147" spans="2:15" x14ac:dyDescent="0.45">
      <c r="B147" s="49">
        <f t="shared" si="2"/>
        <v>138</v>
      </c>
      <c r="C147" s="165" t="str">
        <f ca="1">IFERROR([1]!IntrinioHistoricalPrices(ticker,"date",$B147,$D$4,$D$5,$D$6),"")</f>
        <v/>
      </c>
      <c r="D147" s="99" t="str">
        <f ca="1">IFERROR([1]!IntrinioHistoricalPrices(ticker,"open",$B147,$D$4,$D$5,$D$6),"")</f>
        <v/>
      </c>
      <c r="E147" s="99" t="str">
        <f ca="1">IFERROR([1]!IntrinioHistoricalPrices(ticker,"high",$B147,$D$4,$D$5,$D$6),"")</f>
        <v/>
      </c>
      <c r="F147" s="99" t="str">
        <f ca="1">IFERROR([1]!IntrinioHistoricalPrices(ticker,"low",$B147,$D$4,$D$5,$D$6),"")</f>
        <v/>
      </c>
      <c r="G147" s="99" t="str">
        <f ca="1">IFERROR([1]!IntrinioHistoricalPrices(ticker,"close",$B147,$D$4,$D$5,$D$6),"")</f>
        <v/>
      </c>
      <c r="H147" s="100" t="str">
        <f ca="1">IFERROR([1]!IntrinioHistoricalPrices(ticker,"volume",$B147,$D$4,$D$5,$D$6),"")</f>
        <v/>
      </c>
      <c r="I147" s="101" t="str">
        <f ca="1">IFERROR([1]!IntrinioHistoricalPrices(ticker,"split_ratio",$B147,$D$4,$D$5,$D$6),"")</f>
        <v/>
      </c>
      <c r="J147" s="99" t="str">
        <f ca="1">IFERROR([1]!IntrinioHistoricalPrices(ticker,"ex_dividend",$B147,$D$4,$D$5,$D$6),"")</f>
        <v/>
      </c>
      <c r="K147" s="99" t="str">
        <f ca="1">IFERROR([1]!IntrinioHistoricalPrices(ticker,"adj_open",$B147,$D$4,$D$5,$D$6),"")</f>
        <v/>
      </c>
      <c r="L147" s="99" t="str">
        <f ca="1">IFERROR([1]!IntrinioHistoricalPrices(ticker,"adj_high",$B147,$D$4,$D$5,$D$6),"")</f>
        <v/>
      </c>
      <c r="M147" s="99" t="str">
        <f ca="1">IFERROR([1]!IntrinioHistoricalPrices(ticker,"adj_low",$B147,$D$4,$D$5,$D$6),"")</f>
        <v/>
      </c>
      <c r="N147" s="99" t="str">
        <f ca="1">IFERROR([1]!IntrinioHistoricalPrices(ticker,"adj_close",$B147,$D$4,$D$5,$D$6),"")</f>
        <v/>
      </c>
      <c r="O147" s="100" t="str">
        <f ca="1">IFERROR([1]!IntrinioHistoricalPrices(ticker,"adj_volume",$B147,$D$4,$D$5,$D$6),"")</f>
        <v/>
      </c>
    </row>
    <row r="148" spans="2:15" x14ac:dyDescent="0.45">
      <c r="B148" s="49">
        <f t="shared" si="2"/>
        <v>139</v>
      </c>
      <c r="C148" s="165" t="str">
        <f ca="1">IFERROR([1]!IntrinioHistoricalPrices(ticker,"date",$B148,$D$4,$D$5,$D$6),"")</f>
        <v/>
      </c>
      <c r="D148" s="99" t="str">
        <f ca="1">IFERROR([1]!IntrinioHistoricalPrices(ticker,"open",$B148,$D$4,$D$5,$D$6),"")</f>
        <v/>
      </c>
      <c r="E148" s="99" t="str">
        <f ca="1">IFERROR([1]!IntrinioHistoricalPrices(ticker,"high",$B148,$D$4,$D$5,$D$6),"")</f>
        <v/>
      </c>
      <c r="F148" s="99" t="str">
        <f ca="1">IFERROR([1]!IntrinioHistoricalPrices(ticker,"low",$B148,$D$4,$D$5,$D$6),"")</f>
        <v/>
      </c>
      <c r="G148" s="99" t="str">
        <f ca="1">IFERROR([1]!IntrinioHistoricalPrices(ticker,"close",$B148,$D$4,$D$5,$D$6),"")</f>
        <v/>
      </c>
      <c r="H148" s="100" t="str">
        <f ca="1">IFERROR([1]!IntrinioHistoricalPrices(ticker,"volume",$B148,$D$4,$D$5,$D$6),"")</f>
        <v/>
      </c>
      <c r="I148" s="101" t="str">
        <f ca="1">IFERROR([1]!IntrinioHistoricalPrices(ticker,"split_ratio",$B148,$D$4,$D$5,$D$6),"")</f>
        <v/>
      </c>
      <c r="J148" s="99" t="str">
        <f ca="1">IFERROR([1]!IntrinioHistoricalPrices(ticker,"ex_dividend",$B148,$D$4,$D$5,$D$6),"")</f>
        <v/>
      </c>
      <c r="K148" s="99" t="str">
        <f ca="1">IFERROR([1]!IntrinioHistoricalPrices(ticker,"adj_open",$B148,$D$4,$D$5,$D$6),"")</f>
        <v/>
      </c>
      <c r="L148" s="99" t="str">
        <f ca="1">IFERROR([1]!IntrinioHistoricalPrices(ticker,"adj_high",$B148,$D$4,$D$5,$D$6),"")</f>
        <v/>
      </c>
      <c r="M148" s="99" t="str">
        <f ca="1">IFERROR([1]!IntrinioHistoricalPrices(ticker,"adj_low",$B148,$D$4,$D$5,$D$6),"")</f>
        <v/>
      </c>
      <c r="N148" s="99" t="str">
        <f ca="1">IFERROR([1]!IntrinioHistoricalPrices(ticker,"adj_close",$B148,$D$4,$D$5,$D$6),"")</f>
        <v/>
      </c>
      <c r="O148" s="100" t="str">
        <f ca="1">IFERROR([1]!IntrinioHistoricalPrices(ticker,"adj_volume",$B148,$D$4,$D$5,$D$6),"")</f>
        <v/>
      </c>
    </row>
    <row r="149" spans="2:15" x14ac:dyDescent="0.45">
      <c r="B149" s="49">
        <f t="shared" si="2"/>
        <v>140</v>
      </c>
      <c r="C149" s="165" t="str">
        <f ca="1">IFERROR([1]!IntrinioHistoricalPrices(ticker,"date",$B149,$D$4,$D$5,$D$6),"")</f>
        <v/>
      </c>
      <c r="D149" s="99" t="str">
        <f ca="1">IFERROR([1]!IntrinioHistoricalPrices(ticker,"open",$B149,$D$4,$D$5,$D$6),"")</f>
        <v/>
      </c>
      <c r="E149" s="99" t="str">
        <f ca="1">IFERROR([1]!IntrinioHistoricalPrices(ticker,"high",$B149,$D$4,$D$5,$D$6),"")</f>
        <v/>
      </c>
      <c r="F149" s="99" t="str">
        <f ca="1">IFERROR([1]!IntrinioHistoricalPrices(ticker,"low",$B149,$D$4,$D$5,$D$6),"")</f>
        <v/>
      </c>
      <c r="G149" s="99" t="str">
        <f ca="1">IFERROR([1]!IntrinioHistoricalPrices(ticker,"close",$B149,$D$4,$D$5,$D$6),"")</f>
        <v/>
      </c>
      <c r="H149" s="100" t="str">
        <f ca="1">IFERROR([1]!IntrinioHistoricalPrices(ticker,"volume",$B149,$D$4,$D$5,$D$6),"")</f>
        <v/>
      </c>
      <c r="I149" s="101" t="str">
        <f ca="1">IFERROR([1]!IntrinioHistoricalPrices(ticker,"split_ratio",$B149,$D$4,$D$5,$D$6),"")</f>
        <v/>
      </c>
      <c r="J149" s="99" t="str">
        <f ca="1">IFERROR([1]!IntrinioHistoricalPrices(ticker,"ex_dividend",$B149,$D$4,$D$5,$D$6),"")</f>
        <v/>
      </c>
      <c r="K149" s="99" t="str">
        <f ca="1">IFERROR([1]!IntrinioHistoricalPrices(ticker,"adj_open",$B149,$D$4,$D$5,$D$6),"")</f>
        <v/>
      </c>
      <c r="L149" s="99" t="str">
        <f ca="1">IFERROR([1]!IntrinioHistoricalPrices(ticker,"adj_high",$B149,$D$4,$D$5,$D$6),"")</f>
        <v/>
      </c>
      <c r="M149" s="99" t="str">
        <f ca="1">IFERROR([1]!IntrinioHistoricalPrices(ticker,"adj_low",$B149,$D$4,$D$5,$D$6),"")</f>
        <v/>
      </c>
      <c r="N149" s="99" t="str">
        <f ca="1">IFERROR([1]!IntrinioHistoricalPrices(ticker,"adj_close",$B149,$D$4,$D$5,$D$6),"")</f>
        <v/>
      </c>
      <c r="O149" s="100" t="str">
        <f ca="1">IFERROR([1]!IntrinioHistoricalPrices(ticker,"adj_volume",$B149,$D$4,$D$5,$D$6),"")</f>
        <v/>
      </c>
    </row>
    <row r="150" spans="2:15" x14ac:dyDescent="0.45">
      <c r="B150" s="49">
        <f t="shared" si="2"/>
        <v>141</v>
      </c>
      <c r="C150" s="165" t="str">
        <f ca="1">IFERROR([1]!IntrinioHistoricalPrices(ticker,"date",$B150,$D$4,$D$5,$D$6),"")</f>
        <v/>
      </c>
      <c r="D150" s="99" t="str">
        <f ca="1">IFERROR([1]!IntrinioHistoricalPrices(ticker,"open",$B150,$D$4,$D$5,$D$6),"")</f>
        <v/>
      </c>
      <c r="E150" s="99" t="str">
        <f ca="1">IFERROR([1]!IntrinioHistoricalPrices(ticker,"high",$B150,$D$4,$D$5,$D$6),"")</f>
        <v/>
      </c>
      <c r="F150" s="99" t="str">
        <f ca="1">IFERROR([1]!IntrinioHistoricalPrices(ticker,"low",$B150,$D$4,$D$5,$D$6),"")</f>
        <v/>
      </c>
      <c r="G150" s="99" t="str">
        <f ca="1">IFERROR([1]!IntrinioHistoricalPrices(ticker,"close",$B150,$D$4,$D$5,$D$6),"")</f>
        <v/>
      </c>
      <c r="H150" s="100" t="str">
        <f ca="1">IFERROR([1]!IntrinioHistoricalPrices(ticker,"volume",$B150,$D$4,$D$5,$D$6),"")</f>
        <v/>
      </c>
      <c r="I150" s="101" t="str">
        <f ca="1">IFERROR([1]!IntrinioHistoricalPrices(ticker,"split_ratio",$B150,$D$4,$D$5,$D$6),"")</f>
        <v/>
      </c>
      <c r="J150" s="99" t="str">
        <f ca="1">IFERROR([1]!IntrinioHistoricalPrices(ticker,"ex_dividend",$B150,$D$4,$D$5,$D$6),"")</f>
        <v/>
      </c>
      <c r="K150" s="99" t="str">
        <f ca="1">IFERROR([1]!IntrinioHistoricalPrices(ticker,"adj_open",$B150,$D$4,$D$5,$D$6),"")</f>
        <v/>
      </c>
      <c r="L150" s="99" t="str">
        <f ca="1">IFERROR([1]!IntrinioHistoricalPrices(ticker,"adj_high",$B150,$D$4,$D$5,$D$6),"")</f>
        <v/>
      </c>
      <c r="M150" s="99" t="str">
        <f ca="1">IFERROR([1]!IntrinioHistoricalPrices(ticker,"adj_low",$B150,$D$4,$D$5,$D$6),"")</f>
        <v/>
      </c>
      <c r="N150" s="99" t="str">
        <f ca="1">IFERROR([1]!IntrinioHistoricalPrices(ticker,"adj_close",$B150,$D$4,$D$5,$D$6),"")</f>
        <v/>
      </c>
      <c r="O150" s="100" t="str">
        <f ca="1">IFERROR([1]!IntrinioHistoricalPrices(ticker,"adj_volume",$B150,$D$4,$D$5,$D$6),"")</f>
        <v/>
      </c>
    </row>
    <row r="151" spans="2:15" x14ac:dyDescent="0.45">
      <c r="B151" s="49">
        <f t="shared" si="2"/>
        <v>142</v>
      </c>
      <c r="C151" s="165" t="str">
        <f ca="1">IFERROR([1]!IntrinioHistoricalPrices(ticker,"date",$B151,$D$4,$D$5,$D$6),"")</f>
        <v/>
      </c>
      <c r="D151" s="99" t="str">
        <f ca="1">IFERROR([1]!IntrinioHistoricalPrices(ticker,"open",$B151,$D$4,$D$5,$D$6),"")</f>
        <v/>
      </c>
      <c r="E151" s="99" t="str">
        <f ca="1">IFERROR([1]!IntrinioHistoricalPrices(ticker,"high",$B151,$D$4,$D$5,$D$6),"")</f>
        <v/>
      </c>
      <c r="F151" s="99" t="str">
        <f ca="1">IFERROR([1]!IntrinioHistoricalPrices(ticker,"low",$B151,$D$4,$D$5,$D$6),"")</f>
        <v/>
      </c>
      <c r="G151" s="99" t="str">
        <f ca="1">IFERROR([1]!IntrinioHistoricalPrices(ticker,"close",$B151,$D$4,$D$5,$D$6),"")</f>
        <v/>
      </c>
      <c r="H151" s="100" t="str">
        <f ca="1">IFERROR([1]!IntrinioHistoricalPrices(ticker,"volume",$B151,$D$4,$D$5,$D$6),"")</f>
        <v/>
      </c>
      <c r="I151" s="101" t="str">
        <f ca="1">IFERROR([1]!IntrinioHistoricalPrices(ticker,"split_ratio",$B151,$D$4,$D$5,$D$6),"")</f>
        <v/>
      </c>
      <c r="J151" s="99" t="str">
        <f ca="1">IFERROR([1]!IntrinioHistoricalPrices(ticker,"ex_dividend",$B151,$D$4,$D$5,$D$6),"")</f>
        <v/>
      </c>
      <c r="K151" s="99" t="str">
        <f ca="1">IFERROR([1]!IntrinioHistoricalPrices(ticker,"adj_open",$B151,$D$4,$D$5,$D$6),"")</f>
        <v/>
      </c>
      <c r="L151" s="99" t="str">
        <f ca="1">IFERROR([1]!IntrinioHistoricalPrices(ticker,"adj_high",$B151,$D$4,$D$5,$D$6),"")</f>
        <v/>
      </c>
      <c r="M151" s="99" t="str">
        <f ca="1">IFERROR([1]!IntrinioHistoricalPrices(ticker,"adj_low",$B151,$D$4,$D$5,$D$6),"")</f>
        <v/>
      </c>
      <c r="N151" s="99" t="str">
        <f ca="1">IFERROR([1]!IntrinioHistoricalPrices(ticker,"adj_close",$B151,$D$4,$D$5,$D$6),"")</f>
        <v/>
      </c>
      <c r="O151" s="100" t="str">
        <f ca="1">IFERROR([1]!IntrinioHistoricalPrices(ticker,"adj_volume",$B151,$D$4,$D$5,$D$6),"")</f>
        <v/>
      </c>
    </row>
    <row r="152" spans="2:15" x14ac:dyDescent="0.45">
      <c r="B152" s="49">
        <f t="shared" si="2"/>
        <v>143</v>
      </c>
      <c r="C152" s="165" t="str">
        <f ca="1">IFERROR([1]!IntrinioHistoricalPrices(ticker,"date",$B152,$D$4,$D$5,$D$6),"")</f>
        <v/>
      </c>
      <c r="D152" s="99" t="str">
        <f ca="1">IFERROR([1]!IntrinioHistoricalPrices(ticker,"open",$B152,$D$4,$D$5,$D$6),"")</f>
        <v/>
      </c>
      <c r="E152" s="99" t="str">
        <f ca="1">IFERROR([1]!IntrinioHistoricalPrices(ticker,"high",$B152,$D$4,$D$5,$D$6),"")</f>
        <v/>
      </c>
      <c r="F152" s="99" t="str">
        <f ca="1">IFERROR([1]!IntrinioHistoricalPrices(ticker,"low",$B152,$D$4,$D$5,$D$6),"")</f>
        <v/>
      </c>
      <c r="G152" s="99" t="str">
        <f ca="1">IFERROR([1]!IntrinioHistoricalPrices(ticker,"close",$B152,$D$4,$D$5,$D$6),"")</f>
        <v/>
      </c>
      <c r="H152" s="100" t="str">
        <f ca="1">IFERROR([1]!IntrinioHistoricalPrices(ticker,"volume",$B152,$D$4,$D$5,$D$6),"")</f>
        <v/>
      </c>
      <c r="I152" s="101" t="str">
        <f ca="1">IFERROR([1]!IntrinioHistoricalPrices(ticker,"split_ratio",$B152,$D$4,$D$5,$D$6),"")</f>
        <v/>
      </c>
      <c r="J152" s="99" t="str">
        <f ca="1">IFERROR([1]!IntrinioHistoricalPrices(ticker,"ex_dividend",$B152,$D$4,$D$5,$D$6),"")</f>
        <v/>
      </c>
      <c r="K152" s="99" t="str">
        <f ca="1">IFERROR([1]!IntrinioHistoricalPrices(ticker,"adj_open",$B152,$D$4,$D$5,$D$6),"")</f>
        <v/>
      </c>
      <c r="L152" s="99" t="str">
        <f ca="1">IFERROR([1]!IntrinioHistoricalPrices(ticker,"adj_high",$B152,$D$4,$D$5,$D$6),"")</f>
        <v/>
      </c>
      <c r="M152" s="99" t="str">
        <f ca="1">IFERROR([1]!IntrinioHistoricalPrices(ticker,"adj_low",$B152,$D$4,$D$5,$D$6),"")</f>
        <v/>
      </c>
      <c r="N152" s="99" t="str">
        <f ca="1">IFERROR([1]!IntrinioHistoricalPrices(ticker,"adj_close",$B152,$D$4,$D$5,$D$6),"")</f>
        <v/>
      </c>
      <c r="O152" s="100" t="str">
        <f ca="1">IFERROR([1]!IntrinioHistoricalPrices(ticker,"adj_volume",$B152,$D$4,$D$5,$D$6),"")</f>
        <v/>
      </c>
    </row>
    <row r="153" spans="2:15" x14ac:dyDescent="0.45">
      <c r="B153" s="49">
        <f t="shared" si="2"/>
        <v>144</v>
      </c>
      <c r="C153" s="165" t="str">
        <f ca="1">IFERROR([1]!IntrinioHistoricalPrices(ticker,"date",$B153,$D$4,$D$5,$D$6),"")</f>
        <v/>
      </c>
      <c r="D153" s="99" t="str">
        <f ca="1">IFERROR([1]!IntrinioHistoricalPrices(ticker,"open",$B153,$D$4,$D$5,$D$6),"")</f>
        <v/>
      </c>
      <c r="E153" s="99" t="str">
        <f ca="1">IFERROR([1]!IntrinioHistoricalPrices(ticker,"high",$B153,$D$4,$D$5,$D$6),"")</f>
        <v/>
      </c>
      <c r="F153" s="99" t="str">
        <f ca="1">IFERROR([1]!IntrinioHistoricalPrices(ticker,"low",$B153,$D$4,$D$5,$D$6),"")</f>
        <v/>
      </c>
      <c r="G153" s="99" t="str">
        <f ca="1">IFERROR([1]!IntrinioHistoricalPrices(ticker,"close",$B153,$D$4,$D$5,$D$6),"")</f>
        <v/>
      </c>
      <c r="H153" s="100" t="str">
        <f ca="1">IFERROR([1]!IntrinioHistoricalPrices(ticker,"volume",$B153,$D$4,$D$5,$D$6),"")</f>
        <v/>
      </c>
      <c r="I153" s="101" t="str">
        <f ca="1">IFERROR([1]!IntrinioHistoricalPrices(ticker,"split_ratio",$B153,$D$4,$D$5,$D$6),"")</f>
        <v/>
      </c>
      <c r="J153" s="99" t="str">
        <f ca="1">IFERROR([1]!IntrinioHistoricalPrices(ticker,"ex_dividend",$B153,$D$4,$D$5,$D$6),"")</f>
        <v/>
      </c>
      <c r="K153" s="99" t="str">
        <f ca="1">IFERROR([1]!IntrinioHistoricalPrices(ticker,"adj_open",$B153,$D$4,$D$5,$D$6),"")</f>
        <v/>
      </c>
      <c r="L153" s="99" t="str">
        <f ca="1">IFERROR([1]!IntrinioHistoricalPrices(ticker,"adj_high",$B153,$D$4,$D$5,$D$6),"")</f>
        <v/>
      </c>
      <c r="M153" s="99" t="str">
        <f ca="1">IFERROR([1]!IntrinioHistoricalPrices(ticker,"adj_low",$B153,$D$4,$D$5,$D$6),"")</f>
        <v/>
      </c>
      <c r="N153" s="99" t="str">
        <f ca="1">IFERROR([1]!IntrinioHistoricalPrices(ticker,"adj_close",$B153,$D$4,$D$5,$D$6),"")</f>
        <v/>
      </c>
      <c r="O153" s="100" t="str">
        <f ca="1">IFERROR([1]!IntrinioHistoricalPrices(ticker,"adj_volume",$B153,$D$4,$D$5,$D$6),"")</f>
        <v/>
      </c>
    </row>
    <row r="154" spans="2:15" x14ac:dyDescent="0.45">
      <c r="B154" s="49">
        <f t="shared" si="2"/>
        <v>145</v>
      </c>
      <c r="C154" s="165" t="str">
        <f ca="1">IFERROR([1]!IntrinioHistoricalPrices(ticker,"date",$B154,$D$4,$D$5,$D$6),"")</f>
        <v/>
      </c>
      <c r="D154" s="99" t="str">
        <f ca="1">IFERROR([1]!IntrinioHistoricalPrices(ticker,"open",$B154,$D$4,$D$5,$D$6),"")</f>
        <v/>
      </c>
      <c r="E154" s="99" t="str">
        <f ca="1">IFERROR([1]!IntrinioHistoricalPrices(ticker,"high",$B154,$D$4,$D$5,$D$6),"")</f>
        <v/>
      </c>
      <c r="F154" s="99" t="str">
        <f ca="1">IFERROR([1]!IntrinioHistoricalPrices(ticker,"low",$B154,$D$4,$D$5,$D$6),"")</f>
        <v/>
      </c>
      <c r="G154" s="99" t="str">
        <f ca="1">IFERROR([1]!IntrinioHistoricalPrices(ticker,"close",$B154,$D$4,$D$5,$D$6),"")</f>
        <v/>
      </c>
      <c r="H154" s="100" t="str">
        <f ca="1">IFERROR([1]!IntrinioHistoricalPrices(ticker,"volume",$B154,$D$4,$D$5,$D$6),"")</f>
        <v/>
      </c>
      <c r="I154" s="101" t="str">
        <f ca="1">IFERROR([1]!IntrinioHistoricalPrices(ticker,"split_ratio",$B154,$D$4,$D$5,$D$6),"")</f>
        <v/>
      </c>
      <c r="J154" s="99" t="str">
        <f ca="1">IFERROR([1]!IntrinioHistoricalPrices(ticker,"ex_dividend",$B154,$D$4,$D$5,$D$6),"")</f>
        <v/>
      </c>
      <c r="K154" s="99" t="str">
        <f ca="1">IFERROR([1]!IntrinioHistoricalPrices(ticker,"adj_open",$B154,$D$4,$D$5,$D$6),"")</f>
        <v/>
      </c>
      <c r="L154" s="99" t="str">
        <f ca="1">IFERROR([1]!IntrinioHistoricalPrices(ticker,"adj_high",$B154,$D$4,$D$5,$D$6),"")</f>
        <v/>
      </c>
      <c r="M154" s="99" t="str">
        <f ca="1">IFERROR([1]!IntrinioHistoricalPrices(ticker,"adj_low",$B154,$D$4,$D$5,$D$6),"")</f>
        <v/>
      </c>
      <c r="N154" s="99" t="str">
        <f ca="1">IFERROR([1]!IntrinioHistoricalPrices(ticker,"adj_close",$B154,$D$4,$D$5,$D$6),"")</f>
        <v/>
      </c>
      <c r="O154" s="100" t="str">
        <f ca="1">IFERROR([1]!IntrinioHistoricalPrices(ticker,"adj_volume",$B154,$D$4,$D$5,$D$6),"")</f>
        <v/>
      </c>
    </row>
    <row r="155" spans="2:15" x14ac:dyDescent="0.45">
      <c r="B155" s="49">
        <f t="shared" si="2"/>
        <v>146</v>
      </c>
      <c r="C155" s="165" t="str">
        <f ca="1">IFERROR([1]!IntrinioHistoricalPrices(ticker,"date",$B155,$D$4,$D$5,$D$6),"")</f>
        <v/>
      </c>
      <c r="D155" s="99" t="str">
        <f ca="1">IFERROR([1]!IntrinioHistoricalPrices(ticker,"open",$B155,$D$4,$D$5,$D$6),"")</f>
        <v/>
      </c>
      <c r="E155" s="99" t="str">
        <f ca="1">IFERROR([1]!IntrinioHistoricalPrices(ticker,"high",$B155,$D$4,$D$5,$D$6),"")</f>
        <v/>
      </c>
      <c r="F155" s="99" t="str">
        <f ca="1">IFERROR([1]!IntrinioHistoricalPrices(ticker,"low",$B155,$D$4,$D$5,$D$6),"")</f>
        <v/>
      </c>
      <c r="G155" s="99" t="str">
        <f ca="1">IFERROR([1]!IntrinioHistoricalPrices(ticker,"close",$B155,$D$4,$D$5,$D$6),"")</f>
        <v/>
      </c>
      <c r="H155" s="100" t="str">
        <f ca="1">IFERROR([1]!IntrinioHistoricalPrices(ticker,"volume",$B155,$D$4,$D$5,$D$6),"")</f>
        <v/>
      </c>
      <c r="I155" s="101" t="str">
        <f ca="1">IFERROR([1]!IntrinioHistoricalPrices(ticker,"split_ratio",$B155,$D$4,$D$5,$D$6),"")</f>
        <v/>
      </c>
      <c r="J155" s="99" t="str">
        <f ca="1">IFERROR([1]!IntrinioHistoricalPrices(ticker,"ex_dividend",$B155,$D$4,$D$5,$D$6),"")</f>
        <v/>
      </c>
      <c r="K155" s="99" t="str">
        <f ca="1">IFERROR([1]!IntrinioHistoricalPrices(ticker,"adj_open",$B155,$D$4,$D$5,$D$6),"")</f>
        <v/>
      </c>
      <c r="L155" s="99" t="str">
        <f ca="1">IFERROR([1]!IntrinioHistoricalPrices(ticker,"adj_high",$B155,$D$4,$D$5,$D$6),"")</f>
        <v/>
      </c>
      <c r="M155" s="99" t="str">
        <f ca="1">IFERROR([1]!IntrinioHistoricalPrices(ticker,"adj_low",$B155,$D$4,$D$5,$D$6),"")</f>
        <v/>
      </c>
      <c r="N155" s="99" t="str">
        <f ca="1">IFERROR([1]!IntrinioHistoricalPrices(ticker,"adj_close",$B155,$D$4,$D$5,$D$6),"")</f>
        <v/>
      </c>
      <c r="O155" s="100" t="str">
        <f ca="1">IFERROR([1]!IntrinioHistoricalPrices(ticker,"adj_volume",$B155,$D$4,$D$5,$D$6),"")</f>
        <v/>
      </c>
    </row>
    <row r="156" spans="2:15" x14ac:dyDescent="0.45">
      <c r="B156" s="49">
        <f t="shared" si="2"/>
        <v>147</v>
      </c>
      <c r="C156" s="165" t="str">
        <f ca="1">IFERROR([1]!IntrinioHistoricalPrices(ticker,"date",$B156,$D$4,$D$5,$D$6),"")</f>
        <v/>
      </c>
      <c r="D156" s="99" t="str">
        <f ca="1">IFERROR([1]!IntrinioHistoricalPrices(ticker,"open",$B156,$D$4,$D$5,$D$6),"")</f>
        <v/>
      </c>
      <c r="E156" s="99" t="str">
        <f ca="1">IFERROR([1]!IntrinioHistoricalPrices(ticker,"high",$B156,$D$4,$D$5,$D$6),"")</f>
        <v/>
      </c>
      <c r="F156" s="99" t="str">
        <f ca="1">IFERROR([1]!IntrinioHistoricalPrices(ticker,"low",$B156,$D$4,$D$5,$D$6),"")</f>
        <v/>
      </c>
      <c r="G156" s="99" t="str">
        <f ca="1">IFERROR([1]!IntrinioHistoricalPrices(ticker,"close",$B156,$D$4,$D$5,$D$6),"")</f>
        <v/>
      </c>
      <c r="H156" s="100" t="str">
        <f ca="1">IFERROR([1]!IntrinioHistoricalPrices(ticker,"volume",$B156,$D$4,$D$5,$D$6),"")</f>
        <v/>
      </c>
      <c r="I156" s="101" t="str">
        <f ca="1">IFERROR([1]!IntrinioHistoricalPrices(ticker,"split_ratio",$B156,$D$4,$D$5,$D$6),"")</f>
        <v/>
      </c>
      <c r="J156" s="99" t="str">
        <f ca="1">IFERROR([1]!IntrinioHistoricalPrices(ticker,"ex_dividend",$B156,$D$4,$D$5,$D$6),"")</f>
        <v/>
      </c>
      <c r="K156" s="99" t="str">
        <f ca="1">IFERROR([1]!IntrinioHistoricalPrices(ticker,"adj_open",$B156,$D$4,$D$5,$D$6),"")</f>
        <v/>
      </c>
      <c r="L156" s="99" t="str">
        <f ca="1">IFERROR([1]!IntrinioHistoricalPrices(ticker,"adj_high",$B156,$D$4,$D$5,$D$6),"")</f>
        <v/>
      </c>
      <c r="M156" s="99" t="str">
        <f ca="1">IFERROR([1]!IntrinioHistoricalPrices(ticker,"adj_low",$B156,$D$4,$D$5,$D$6),"")</f>
        <v/>
      </c>
      <c r="N156" s="99" t="str">
        <f ca="1">IFERROR([1]!IntrinioHistoricalPrices(ticker,"adj_close",$B156,$D$4,$D$5,$D$6),"")</f>
        <v/>
      </c>
      <c r="O156" s="100" t="str">
        <f ca="1">IFERROR([1]!IntrinioHistoricalPrices(ticker,"adj_volume",$B156,$D$4,$D$5,$D$6),"")</f>
        <v/>
      </c>
    </row>
    <row r="157" spans="2:15" x14ac:dyDescent="0.45">
      <c r="B157" s="49">
        <f t="shared" si="2"/>
        <v>148</v>
      </c>
      <c r="C157" s="165" t="str">
        <f ca="1">IFERROR([1]!IntrinioHistoricalPrices(ticker,"date",$B157,$D$4,$D$5,$D$6),"")</f>
        <v/>
      </c>
      <c r="D157" s="99" t="str">
        <f ca="1">IFERROR([1]!IntrinioHistoricalPrices(ticker,"open",$B157,$D$4,$D$5,$D$6),"")</f>
        <v/>
      </c>
      <c r="E157" s="99" t="str">
        <f ca="1">IFERROR([1]!IntrinioHistoricalPrices(ticker,"high",$B157,$D$4,$D$5,$D$6),"")</f>
        <v/>
      </c>
      <c r="F157" s="99" t="str">
        <f ca="1">IFERROR([1]!IntrinioHistoricalPrices(ticker,"low",$B157,$D$4,$D$5,$D$6),"")</f>
        <v/>
      </c>
      <c r="G157" s="99" t="str">
        <f ca="1">IFERROR([1]!IntrinioHistoricalPrices(ticker,"close",$B157,$D$4,$D$5,$D$6),"")</f>
        <v/>
      </c>
      <c r="H157" s="100" t="str">
        <f ca="1">IFERROR([1]!IntrinioHistoricalPrices(ticker,"volume",$B157,$D$4,$D$5,$D$6),"")</f>
        <v/>
      </c>
      <c r="I157" s="101" t="str">
        <f ca="1">IFERROR([1]!IntrinioHistoricalPrices(ticker,"split_ratio",$B157,$D$4,$D$5,$D$6),"")</f>
        <v/>
      </c>
      <c r="J157" s="99" t="str">
        <f ca="1">IFERROR([1]!IntrinioHistoricalPrices(ticker,"ex_dividend",$B157,$D$4,$D$5,$D$6),"")</f>
        <v/>
      </c>
      <c r="K157" s="99" t="str">
        <f ca="1">IFERROR([1]!IntrinioHistoricalPrices(ticker,"adj_open",$B157,$D$4,$D$5,$D$6),"")</f>
        <v/>
      </c>
      <c r="L157" s="99" t="str">
        <f ca="1">IFERROR([1]!IntrinioHistoricalPrices(ticker,"adj_high",$B157,$D$4,$D$5,$D$6),"")</f>
        <v/>
      </c>
      <c r="M157" s="99" t="str">
        <f ca="1">IFERROR([1]!IntrinioHistoricalPrices(ticker,"adj_low",$B157,$D$4,$D$5,$D$6),"")</f>
        <v/>
      </c>
      <c r="N157" s="99" t="str">
        <f ca="1">IFERROR([1]!IntrinioHistoricalPrices(ticker,"adj_close",$B157,$D$4,$D$5,$D$6),"")</f>
        <v/>
      </c>
      <c r="O157" s="100" t="str">
        <f ca="1">IFERROR([1]!IntrinioHistoricalPrices(ticker,"adj_volume",$B157,$D$4,$D$5,$D$6),"")</f>
        <v/>
      </c>
    </row>
    <row r="158" spans="2:15" x14ac:dyDescent="0.45">
      <c r="B158" s="49">
        <f t="shared" si="2"/>
        <v>149</v>
      </c>
      <c r="C158" s="165" t="str">
        <f ca="1">IFERROR([1]!IntrinioHistoricalPrices(ticker,"date",$B158,$D$4,$D$5,$D$6),"")</f>
        <v/>
      </c>
      <c r="D158" s="99" t="str">
        <f ca="1">IFERROR([1]!IntrinioHistoricalPrices(ticker,"open",$B158,$D$4,$D$5,$D$6),"")</f>
        <v/>
      </c>
      <c r="E158" s="99" t="str">
        <f ca="1">IFERROR([1]!IntrinioHistoricalPrices(ticker,"high",$B158,$D$4,$D$5,$D$6),"")</f>
        <v/>
      </c>
      <c r="F158" s="99" t="str">
        <f ca="1">IFERROR([1]!IntrinioHistoricalPrices(ticker,"low",$B158,$D$4,$D$5,$D$6),"")</f>
        <v/>
      </c>
      <c r="G158" s="99" t="str">
        <f ca="1">IFERROR([1]!IntrinioHistoricalPrices(ticker,"close",$B158,$D$4,$D$5,$D$6),"")</f>
        <v/>
      </c>
      <c r="H158" s="100" t="str">
        <f ca="1">IFERROR([1]!IntrinioHistoricalPrices(ticker,"volume",$B158,$D$4,$D$5,$D$6),"")</f>
        <v/>
      </c>
      <c r="I158" s="101" t="str">
        <f ca="1">IFERROR([1]!IntrinioHistoricalPrices(ticker,"split_ratio",$B158,$D$4,$D$5,$D$6),"")</f>
        <v/>
      </c>
      <c r="J158" s="99" t="str">
        <f ca="1">IFERROR([1]!IntrinioHistoricalPrices(ticker,"ex_dividend",$B158,$D$4,$D$5,$D$6),"")</f>
        <v/>
      </c>
      <c r="K158" s="99" t="str">
        <f ca="1">IFERROR([1]!IntrinioHistoricalPrices(ticker,"adj_open",$B158,$D$4,$D$5,$D$6),"")</f>
        <v/>
      </c>
      <c r="L158" s="99" t="str">
        <f ca="1">IFERROR([1]!IntrinioHistoricalPrices(ticker,"adj_high",$B158,$D$4,$D$5,$D$6),"")</f>
        <v/>
      </c>
      <c r="M158" s="99" t="str">
        <f ca="1">IFERROR([1]!IntrinioHistoricalPrices(ticker,"adj_low",$B158,$D$4,$D$5,$D$6),"")</f>
        <v/>
      </c>
      <c r="N158" s="99" t="str">
        <f ca="1">IFERROR([1]!IntrinioHistoricalPrices(ticker,"adj_close",$B158,$D$4,$D$5,$D$6),"")</f>
        <v/>
      </c>
      <c r="O158" s="100" t="str">
        <f ca="1">IFERROR([1]!IntrinioHistoricalPrices(ticker,"adj_volume",$B158,$D$4,$D$5,$D$6),"")</f>
        <v/>
      </c>
    </row>
    <row r="159" spans="2:15" x14ac:dyDescent="0.45">
      <c r="B159" s="49">
        <f t="shared" si="2"/>
        <v>150</v>
      </c>
      <c r="C159" s="165" t="str">
        <f ca="1">IFERROR([1]!IntrinioHistoricalPrices(ticker,"date",$B159,$D$4,$D$5,$D$6),"")</f>
        <v/>
      </c>
      <c r="D159" s="99" t="str">
        <f ca="1">IFERROR([1]!IntrinioHistoricalPrices(ticker,"open",$B159,$D$4,$D$5,$D$6),"")</f>
        <v/>
      </c>
      <c r="E159" s="99" t="str">
        <f ca="1">IFERROR([1]!IntrinioHistoricalPrices(ticker,"high",$B159,$D$4,$D$5,$D$6),"")</f>
        <v/>
      </c>
      <c r="F159" s="99" t="str">
        <f ca="1">IFERROR([1]!IntrinioHistoricalPrices(ticker,"low",$B159,$D$4,$D$5,$D$6),"")</f>
        <v/>
      </c>
      <c r="G159" s="99" t="str">
        <f ca="1">IFERROR([1]!IntrinioHistoricalPrices(ticker,"close",$B159,$D$4,$D$5,$D$6),"")</f>
        <v/>
      </c>
      <c r="H159" s="100" t="str">
        <f ca="1">IFERROR([1]!IntrinioHistoricalPrices(ticker,"volume",$B159,$D$4,$D$5,$D$6),"")</f>
        <v/>
      </c>
      <c r="I159" s="101" t="str">
        <f ca="1">IFERROR([1]!IntrinioHistoricalPrices(ticker,"split_ratio",$B159,$D$4,$D$5,$D$6),"")</f>
        <v/>
      </c>
      <c r="J159" s="99" t="str">
        <f ca="1">IFERROR([1]!IntrinioHistoricalPrices(ticker,"ex_dividend",$B159,$D$4,$D$5,$D$6),"")</f>
        <v/>
      </c>
      <c r="K159" s="99" t="str">
        <f ca="1">IFERROR([1]!IntrinioHistoricalPrices(ticker,"adj_open",$B159,$D$4,$D$5,$D$6),"")</f>
        <v/>
      </c>
      <c r="L159" s="99" t="str">
        <f ca="1">IFERROR([1]!IntrinioHistoricalPrices(ticker,"adj_high",$B159,$D$4,$D$5,$D$6),"")</f>
        <v/>
      </c>
      <c r="M159" s="99" t="str">
        <f ca="1">IFERROR([1]!IntrinioHistoricalPrices(ticker,"adj_low",$B159,$D$4,$D$5,$D$6),"")</f>
        <v/>
      </c>
      <c r="N159" s="99" t="str">
        <f ca="1">IFERROR([1]!IntrinioHistoricalPrices(ticker,"adj_close",$B159,$D$4,$D$5,$D$6),"")</f>
        <v/>
      </c>
      <c r="O159" s="100" t="str">
        <f ca="1">IFERROR([1]!IntrinioHistoricalPrices(ticker,"adj_volume",$B159,$D$4,$D$5,$D$6),"")</f>
        <v/>
      </c>
    </row>
    <row r="160" spans="2:15" x14ac:dyDescent="0.45">
      <c r="B160" s="49">
        <f t="shared" si="2"/>
        <v>151</v>
      </c>
      <c r="C160" s="165" t="str">
        <f ca="1">IFERROR([1]!IntrinioHistoricalPrices(ticker,"date",$B160,$D$4,$D$5,$D$6),"")</f>
        <v/>
      </c>
      <c r="D160" s="99" t="str">
        <f ca="1">IFERROR([1]!IntrinioHistoricalPrices(ticker,"open",$B160,$D$4,$D$5,$D$6),"")</f>
        <v/>
      </c>
      <c r="E160" s="99" t="str">
        <f ca="1">IFERROR([1]!IntrinioHistoricalPrices(ticker,"high",$B160,$D$4,$D$5,$D$6),"")</f>
        <v/>
      </c>
      <c r="F160" s="99" t="str">
        <f ca="1">IFERROR([1]!IntrinioHistoricalPrices(ticker,"low",$B160,$D$4,$D$5,$D$6),"")</f>
        <v/>
      </c>
      <c r="G160" s="99" t="str">
        <f ca="1">IFERROR([1]!IntrinioHistoricalPrices(ticker,"close",$B160,$D$4,$D$5,$D$6),"")</f>
        <v/>
      </c>
      <c r="H160" s="100" t="str">
        <f ca="1">IFERROR([1]!IntrinioHistoricalPrices(ticker,"volume",$B160,$D$4,$D$5,$D$6),"")</f>
        <v/>
      </c>
      <c r="I160" s="101" t="str">
        <f ca="1">IFERROR([1]!IntrinioHistoricalPrices(ticker,"split_ratio",$B160,$D$4,$D$5,$D$6),"")</f>
        <v/>
      </c>
      <c r="J160" s="99" t="str">
        <f ca="1">IFERROR([1]!IntrinioHistoricalPrices(ticker,"ex_dividend",$B160,$D$4,$D$5,$D$6),"")</f>
        <v/>
      </c>
      <c r="K160" s="99" t="str">
        <f ca="1">IFERROR([1]!IntrinioHistoricalPrices(ticker,"adj_open",$B160,$D$4,$D$5,$D$6),"")</f>
        <v/>
      </c>
      <c r="L160" s="99" t="str">
        <f ca="1">IFERROR([1]!IntrinioHistoricalPrices(ticker,"adj_high",$B160,$D$4,$D$5,$D$6),"")</f>
        <v/>
      </c>
      <c r="M160" s="99" t="str">
        <f ca="1">IFERROR([1]!IntrinioHistoricalPrices(ticker,"adj_low",$B160,$D$4,$D$5,$D$6),"")</f>
        <v/>
      </c>
      <c r="N160" s="99" t="str">
        <f ca="1">IFERROR([1]!IntrinioHistoricalPrices(ticker,"adj_close",$B160,$D$4,$D$5,$D$6),"")</f>
        <v/>
      </c>
      <c r="O160" s="100" t="str">
        <f ca="1">IFERROR([1]!IntrinioHistoricalPrices(ticker,"adj_volume",$B160,$D$4,$D$5,$D$6),"")</f>
        <v/>
      </c>
    </row>
    <row r="161" spans="2:15" x14ac:dyDescent="0.45">
      <c r="B161" s="49">
        <f t="shared" si="2"/>
        <v>152</v>
      </c>
      <c r="C161" s="165" t="str">
        <f ca="1">IFERROR([1]!IntrinioHistoricalPrices(ticker,"date",$B161,$D$4,$D$5,$D$6),"")</f>
        <v/>
      </c>
      <c r="D161" s="99" t="str">
        <f ca="1">IFERROR([1]!IntrinioHistoricalPrices(ticker,"open",$B161,$D$4,$D$5,$D$6),"")</f>
        <v/>
      </c>
      <c r="E161" s="99" t="str">
        <f ca="1">IFERROR([1]!IntrinioHistoricalPrices(ticker,"high",$B161,$D$4,$D$5,$D$6),"")</f>
        <v/>
      </c>
      <c r="F161" s="99" t="str">
        <f ca="1">IFERROR([1]!IntrinioHistoricalPrices(ticker,"low",$B161,$D$4,$D$5,$D$6),"")</f>
        <v/>
      </c>
      <c r="G161" s="99" t="str">
        <f ca="1">IFERROR([1]!IntrinioHistoricalPrices(ticker,"close",$B161,$D$4,$D$5,$D$6),"")</f>
        <v/>
      </c>
      <c r="H161" s="100" t="str">
        <f ca="1">IFERROR([1]!IntrinioHistoricalPrices(ticker,"volume",$B161,$D$4,$D$5,$D$6),"")</f>
        <v/>
      </c>
      <c r="I161" s="101" t="str">
        <f ca="1">IFERROR([1]!IntrinioHistoricalPrices(ticker,"split_ratio",$B161,$D$4,$D$5,$D$6),"")</f>
        <v/>
      </c>
      <c r="J161" s="99" t="str">
        <f ca="1">IFERROR([1]!IntrinioHistoricalPrices(ticker,"ex_dividend",$B161,$D$4,$D$5,$D$6),"")</f>
        <v/>
      </c>
      <c r="K161" s="99" t="str">
        <f ca="1">IFERROR([1]!IntrinioHistoricalPrices(ticker,"adj_open",$B161,$D$4,$D$5,$D$6),"")</f>
        <v/>
      </c>
      <c r="L161" s="99" t="str">
        <f ca="1">IFERROR([1]!IntrinioHistoricalPrices(ticker,"adj_high",$B161,$D$4,$D$5,$D$6),"")</f>
        <v/>
      </c>
      <c r="M161" s="99" t="str">
        <f ca="1">IFERROR([1]!IntrinioHistoricalPrices(ticker,"adj_low",$B161,$D$4,$D$5,$D$6),"")</f>
        <v/>
      </c>
      <c r="N161" s="99" t="str">
        <f ca="1">IFERROR([1]!IntrinioHistoricalPrices(ticker,"adj_close",$B161,$D$4,$D$5,$D$6),"")</f>
        <v/>
      </c>
      <c r="O161" s="100" t="str">
        <f ca="1">IFERROR([1]!IntrinioHistoricalPrices(ticker,"adj_volume",$B161,$D$4,$D$5,$D$6),"")</f>
        <v/>
      </c>
    </row>
    <row r="162" spans="2:15" x14ac:dyDescent="0.45">
      <c r="B162" s="49">
        <f t="shared" si="2"/>
        <v>153</v>
      </c>
      <c r="C162" s="165" t="str">
        <f ca="1">IFERROR([1]!IntrinioHistoricalPrices(ticker,"date",$B162,$D$4,$D$5,$D$6),"")</f>
        <v/>
      </c>
      <c r="D162" s="99" t="str">
        <f ca="1">IFERROR([1]!IntrinioHistoricalPrices(ticker,"open",$B162,$D$4,$D$5,$D$6),"")</f>
        <v/>
      </c>
      <c r="E162" s="99" t="str">
        <f ca="1">IFERROR([1]!IntrinioHistoricalPrices(ticker,"high",$B162,$D$4,$D$5,$D$6),"")</f>
        <v/>
      </c>
      <c r="F162" s="99" t="str">
        <f ca="1">IFERROR([1]!IntrinioHistoricalPrices(ticker,"low",$B162,$D$4,$D$5,$D$6),"")</f>
        <v/>
      </c>
      <c r="G162" s="99" t="str">
        <f ca="1">IFERROR([1]!IntrinioHistoricalPrices(ticker,"close",$B162,$D$4,$D$5,$D$6),"")</f>
        <v/>
      </c>
      <c r="H162" s="100" t="str">
        <f ca="1">IFERROR([1]!IntrinioHistoricalPrices(ticker,"volume",$B162,$D$4,$D$5,$D$6),"")</f>
        <v/>
      </c>
      <c r="I162" s="101" t="str">
        <f ca="1">IFERROR([1]!IntrinioHistoricalPrices(ticker,"split_ratio",$B162,$D$4,$D$5,$D$6),"")</f>
        <v/>
      </c>
      <c r="J162" s="99" t="str">
        <f ca="1">IFERROR([1]!IntrinioHistoricalPrices(ticker,"ex_dividend",$B162,$D$4,$D$5,$D$6),"")</f>
        <v/>
      </c>
      <c r="K162" s="99" t="str">
        <f ca="1">IFERROR([1]!IntrinioHistoricalPrices(ticker,"adj_open",$B162,$D$4,$D$5,$D$6),"")</f>
        <v/>
      </c>
      <c r="L162" s="99" t="str">
        <f ca="1">IFERROR([1]!IntrinioHistoricalPrices(ticker,"adj_high",$B162,$D$4,$D$5,$D$6),"")</f>
        <v/>
      </c>
      <c r="M162" s="99" t="str">
        <f ca="1">IFERROR([1]!IntrinioHistoricalPrices(ticker,"adj_low",$B162,$D$4,$D$5,$D$6),"")</f>
        <v/>
      </c>
      <c r="N162" s="99" t="str">
        <f ca="1">IFERROR([1]!IntrinioHistoricalPrices(ticker,"adj_close",$B162,$D$4,$D$5,$D$6),"")</f>
        <v/>
      </c>
      <c r="O162" s="100" t="str">
        <f ca="1">IFERROR([1]!IntrinioHistoricalPrices(ticker,"adj_volume",$B162,$D$4,$D$5,$D$6),"")</f>
        <v/>
      </c>
    </row>
    <row r="163" spans="2:15" x14ac:dyDescent="0.45">
      <c r="B163" s="49">
        <f t="shared" si="2"/>
        <v>154</v>
      </c>
      <c r="C163" s="165" t="str">
        <f ca="1">IFERROR([1]!IntrinioHistoricalPrices(ticker,"date",$B163,$D$4,$D$5,$D$6),"")</f>
        <v/>
      </c>
      <c r="D163" s="99" t="str">
        <f ca="1">IFERROR([1]!IntrinioHistoricalPrices(ticker,"open",$B163,$D$4,$D$5,$D$6),"")</f>
        <v/>
      </c>
      <c r="E163" s="99" t="str">
        <f ca="1">IFERROR([1]!IntrinioHistoricalPrices(ticker,"high",$B163,$D$4,$D$5,$D$6),"")</f>
        <v/>
      </c>
      <c r="F163" s="99" t="str">
        <f ca="1">IFERROR([1]!IntrinioHistoricalPrices(ticker,"low",$B163,$D$4,$D$5,$D$6),"")</f>
        <v/>
      </c>
      <c r="G163" s="99" t="str">
        <f ca="1">IFERROR([1]!IntrinioHistoricalPrices(ticker,"close",$B163,$D$4,$D$5,$D$6),"")</f>
        <v/>
      </c>
      <c r="H163" s="100" t="str">
        <f ca="1">IFERROR([1]!IntrinioHistoricalPrices(ticker,"volume",$B163,$D$4,$D$5,$D$6),"")</f>
        <v/>
      </c>
      <c r="I163" s="101" t="str">
        <f ca="1">IFERROR([1]!IntrinioHistoricalPrices(ticker,"split_ratio",$B163,$D$4,$D$5,$D$6),"")</f>
        <v/>
      </c>
      <c r="J163" s="99" t="str">
        <f ca="1">IFERROR([1]!IntrinioHistoricalPrices(ticker,"ex_dividend",$B163,$D$4,$D$5,$D$6),"")</f>
        <v/>
      </c>
      <c r="K163" s="99" t="str">
        <f ca="1">IFERROR([1]!IntrinioHistoricalPrices(ticker,"adj_open",$B163,$D$4,$D$5,$D$6),"")</f>
        <v/>
      </c>
      <c r="L163" s="99" t="str">
        <f ca="1">IFERROR([1]!IntrinioHistoricalPrices(ticker,"adj_high",$B163,$D$4,$D$5,$D$6),"")</f>
        <v/>
      </c>
      <c r="M163" s="99" t="str">
        <f ca="1">IFERROR([1]!IntrinioHistoricalPrices(ticker,"adj_low",$B163,$D$4,$D$5,$D$6),"")</f>
        <v/>
      </c>
      <c r="N163" s="99" t="str">
        <f ca="1">IFERROR([1]!IntrinioHistoricalPrices(ticker,"adj_close",$B163,$D$4,$D$5,$D$6),"")</f>
        <v/>
      </c>
      <c r="O163" s="100" t="str">
        <f ca="1">IFERROR([1]!IntrinioHistoricalPrices(ticker,"adj_volume",$B163,$D$4,$D$5,$D$6),"")</f>
        <v/>
      </c>
    </row>
    <row r="164" spans="2:15" x14ac:dyDescent="0.45">
      <c r="B164" s="49">
        <f t="shared" si="2"/>
        <v>155</v>
      </c>
      <c r="C164" s="165" t="str">
        <f ca="1">IFERROR([1]!IntrinioHistoricalPrices(ticker,"date",$B164,$D$4,$D$5,$D$6),"")</f>
        <v/>
      </c>
      <c r="D164" s="99" t="str">
        <f ca="1">IFERROR([1]!IntrinioHistoricalPrices(ticker,"open",$B164,$D$4,$D$5,$D$6),"")</f>
        <v/>
      </c>
      <c r="E164" s="99" t="str">
        <f ca="1">IFERROR([1]!IntrinioHistoricalPrices(ticker,"high",$B164,$D$4,$D$5,$D$6),"")</f>
        <v/>
      </c>
      <c r="F164" s="99" t="str">
        <f ca="1">IFERROR([1]!IntrinioHistoricalPrices(ticker,"low",$B164,$D$4,$D$5,$D$6),"")</f>
        <v/>
      </c>
      <c r="G164" s="99" t="str">
        <f ca="1">IFERROR([1]!IntrinioHistoricalPrices(ticker,"close",$B164,$D$4,$D$5,$D$6),"")</f>
        <v/>
      </c>
      <c r="H164" s="100" t="str">
        <f ca="1">IFERROR([1]!IntrinioHistoricalPrices(ticker,"volume",$B164,$D$4,$D$5,$D$6),"")</f>
        <v/>
      </c>
      <c r="I164" s="101" t="str">
        <f ca="1">IFERROR([1]!IntrinioHistoricalPrices(ticker,"split_ratio",$B164,$D$4,$D$5,$D$6),"")</f>
        <v/>
      </c>
      <c r="J164" s="99" t="str">
        <f ca="1">IFERROR([1]!IntrinioHistoricalPrices(ticker,"ex_dividend",$B164,$D$4,$D$5,$D$6),"")</f>
        <v/>
      </c>
      <c r="K164" s="99" t="str">
        <f ca="1">IFERROR([1]!IntrinioHistoricalPrices(ticker,"adj_open",$B164,$D$4,$D$5,$D$6),"")</f>
        <v/>
      </c>
      <c r="L164" s="99" t="str">
        <f ca="1">IFERROR([1]!IntrinioHistoricalPrices(ticker,"adj_high",$B164,$D$4,$D$5,$D$6),"")</f>
        <v/>
      </c>
      <c r="M164" s="99" t="str">
        <f ca="1">IFERROR([1]!IntrinioHistoricalPrices(ticker,"adj_low",$B164,$D$4,$D$5,$D$6),"")</f>
        <v/>
      </c>
      <c r="N164" s="99" t="str">
        <f ca="1">IFERROR([1]!IntrinioHistoricalPrices(ticker,"adj_close",$B164,$D$4,$D$5,$D$6),"")</f>
        <v/>
      </c>
      <c r="O164" s="100" t="str">
        <f ca="1">IFERROR([1]!IntrinioHistoricalPrices(ticker,"adj_volume",$B164,$D$4,$D$5,$D$6),"")</f>
        <v/>
      </c>
    </row>
    <row r="165" spans="2:15" x14ac:dyDescent="0.45">
      <c r="B165" s="49">
        <f t="shared" si="2"/>
        <v>156</v>
      </c>
      <c r="C165" s="165" t="str">
        <f ca="1">IFERROR([1]!IntrinioHistoricalPrices(ticker,"date",$B165,$D$4,$D$5,$D$6),"")</f>
        <v/>
      </c>
      <c r="D165" s="99" t="str">
        <f ca="1">IFERROR([1]!IntrinioHistoricalPrices(ticker,"open",$B165,$D$4,$D$5,$D$6),"")</f>
        <v/>
      </c>
      <c r="E165" s="99" t="str">
        <f ca="1">IFERROR([1]!IntrinioHistoricalPrices(ticker,"high",$B165,$D$4,$D$5,$D$6),"")</f>
        <v/>
      </c>
      <c r="F165" s="99" t="str">
        <f ca="1">IFERROR([1]!IntrinioHistoricalPrices(ticker,"low",$B165,$D$4,$D$5,$D$6),"")</f>
        <v/>
      </c>
      <c r="G165" s="99" t="str">
        <f ca="1">IFERROR([1]!IntrinioHistoricalPrices(ticker,"close",$B165,$D$4,$D$5,$D$6),"")</f>
        <v/>
      </c>
      <c r="H165" s="100" t="str">
        <f ca="1">IFERROR([1]!IntrinioHistoricalPrices(ticker,"volume",$B165,$D$4,$D$5,$D$6),"")</f>
        <v/>
      </c>
      <c r="I165" s="101" t="str">
        <f ca="1">IFERROR([1]!IntrinioHistoricalPrices(ticker,"split_ratio",$B165,$D$4,$D$5,$D$6),"")</f>
        <v/>
      </c>
      <c r="J165" s="99" t="str">
        <f ca="1">IFERROR([1]!IntrinioHistoricalPrices(ticker,"ex_dividend",$B165,$D$4,$D$5,$D$6),"")</f>
        <v/>
      </c>
      <c r="K165" s="99" t="str">
        <f ca="1">IFERROR([1]!IntrinioHistoricalPrices(ticker,"adj_open",$B165,$D$4,$D$5,$D$6),"")</f>
        <v/>
      </c>
      <c r="L165" s="99" t="str">
        <f ca="1">IFERROR([1]!IntrinioHistoricalPrices(ticker,"adj_high",$B165,$D$4,$D$5,$D$6),"")</f>
        <v/>
      </c>
      <c r="M165" s="99" t="str">
        <f ca="1">IFERROR([1]!IntrinioHistoricalPrices(ticker,"adj_low",$B165,$D$4,$D$5,$D$6),"")</f>
        <v/>
      </c>
      <c r="N165" s="99" t="str">
        <f ca="1">IFERROR([1]!IntrinioHistoricalPrices(ticker,"adj_close",$B165,$D$4,$D$5,$D$6),"")</f>
        <v/>
      </c>
      <c r="O165" s="100" t="str">
        <f ca="1">IFERROR([1]!IntrinioHistoricalPrices(ticker,"adj_volume",$B165,$D$4,$D$5,$D$6),"")</f>
        <v/>
      </c>
    </row>
    <row r="166" spans="2:15" x14ac:dyDescent="0.45">
      <c r="B166" s="49">
        <f t="shared" si="2"/>
        <v>157</v>
      </c>
      <c r="C166" s="165" t="str">
        <f ca="1">IFERROR([1]!IntrinioHistoricalPrices(ticker,"date",$B166,$D$4,$D$5,$D$6),"")</f>
        <v/>
      </c>
      <c r="D166" s="99" t="str">
        <f ca="1">IFERROR([1]!IntrinioHistoricalPrices(ticker,"open",$B166,$D$4,$D$5,$D$6),"")</f>
        <v/>
      </c>
      <c r="E166" s="99" t="str">
        <f ca="1">IFERROR([1]!IntrinioHistoricalPrices(ticker,"high",$B166,$D$4,$D$5,$D$6),"")</f>
        <v/>
      </c>
      <c r="F166" s="99" t="str">
        <f ca="1">IFERROR([1]!IntrinioHistoricalPrices(ticker,"low",$B166,$D$4,$D$5,$D$6),"")</f>
        <v/>
      </c>
      <c r="G166" s="99" t="str">
        <f ca="1">IFERROR([1]!IntrinioHistoricalPrices(ticker,"close",$B166,$D$4,$D$5,$D$6),"")</f>
        <v/>
      </c>
      <c r="H166" s="100" t="str">
        <f ca="1">IFERROR([1]!IntrinioHistoricalPrices(ticker,"volume",$B166,$D$4,$D$5,$D$6),"")</f>
        <v/>
      </c>
      <c r="I166" s="101" t="str">
        <f ca="1">IFERROR([1]!IntrinioHistoricalPrices(ticker,"split_ratio",$B166,$D$4,$D$5,$D$6),"")</f>
        <v/>
      </c>
      <c r="J166" s="99" t="str">
        <f ca="1">IFERROR([1]!IntrinioHistoricalPrices(ticker,"ex_dividend",$B166,$D$4,$D$5,$D$6),"")</f>
        <v/>
      </c>
      <c r="K166" s="99" t="str">
        <f ca="1">IFERROR([1]!IntrinioHistoricalPrices(ticker,"adj_open",$B166,$D$4,$D$5,$D$6),"")</f>
        <v/>
      </c>
      <c r="L166" s="99" t="str">
        <f ca="1">IFERROR([1]!IntrinioHistoricalPrices(ticker,"adj_high",$B166,$D$4,$D$5,$D$6),"")</f>
        <v/>
      </c>
      <c r="M166" s="99" t="str">
        <f ca="1">IFERROR([1]!IntrinioHistoricalPrices(ticker,"adj_low",$B166,$D$4,$D$5,$D$6),"")</f>
        <v/>
      </c>
      <c r="N166" s="99" t="str">
        <f ca="1">IFERROR([1]!IntrinioHistoricalPrices(ticker,"adj_close",$B166,$D$4,$D$5,$D$6),"")</f>
        <v/>
      </c>
      <c r="O166" s="100" t="str">
        <f ca="1">IFERROR([1]!IntrinioHistoricalPrices(ticker,"adj_volume",$B166,$D$4,$D$5,$D$6),"")</f>
        <v/>
      </c>
    </row>
    <row r="167" spans="2:15" x14ac:dyDescent="0.45">
      <c r="B167" s="49">
        <f t="shared" si="2"/>
        <v>158</v>
      </c>
      <c r="C167" s="165" t="str">
        <f ca="1">IFERROR([1]!IntrinioHistoricalPrices(ticker,"date",$B167,$D$4,$D$5,$D$6),"")</f>
        <v/>
      </c>
      <c r="D167" s="99" t="str">
        <f ca="1">IFERROR([1]!IntrinioHistoricalPrices(ticker,"open",$B167,$D$4,$D$5,$D$6),"")</f>
        <v/>
      </c>
      <c r="E167" s="99" t="str">
        <f ca="1">IFERROR([1]!IntrinioHistoricalPrices(ticker,"high",$B167,$D$4,$D$5,$D$6),"")</f>
        <v/>
      </c>
      <c r="F167" s="99" t="str">
        <f ca="1">IFERROR([1]!IntrinioHistoricalPrices(ticker,"low",$B167,$D$4,$D$5,$D$6),"")</f>
        <v/>
      </c>
      <c r="G167" s="99" t="str">
        <f ca="1">IFERROR([1]!IntrinioHistoricalPrices(ticker,"close",$B167,$D$4,$D$5,$D$6),"")</f>
        <v/>
      </c>
      <c r="H167" s="100" t="str">
        <f ca="1">IFERROR([1]!IntrinioHistoricalPrices(ticker,"volume",$B167,$D$4,$D$5,$D$6),"")</f>
        <v/>
      </c>
      <c r="I167" s="101" t="str">
        <f ca="1">IFERROR([1]!IntrinioHistoricalPrices(ticker,"split_ratio",$B167,$D$4,$D$5,$D$6),"")</f>
        <v/>
      </c>
      <c r="J167" s="99" t="str">
        <f ca="1">IFERROR([1]!IntrinioHistoricalPrices(ticker,"ex_dividend",$B167,$D$4,$D$5,$D$6),"")</f>
        <v/>
      </c>
      <c r="K167" s="99" t="str">
        <f ca="1">IFERROR([1]!IntrinioHistoricalPrices(ticker,"adj_open",$B167,$D$4,$D$5,$D$6),"")</f>
        <v/>
      </c>
      <c r="L167" s="99" t="str">
        <f ca="1">IFERROR([1]!IntrinioHistoricalPrices(ticker,"adj_high",$B167,$D$4,$D$5,$D$6),"")</f>
        <v/>
      </c>
      <c r="M167" s="99" t="str">
        <f ca="1">IFERROR([1]!IntrinioHistoricalPrices(ticker,"adj_low",$B167,$D$4,$D$5,$D$6),"")</f>
        <v/>
      </c>
      <c r="N167" s="99" t="str">
        <f ca="1">IFERROR([1]!IntrinioHistoricalPrices(ticker,"adj_close",$B167,$D$4,$D$5,$D$6),"")</f>
        <v/>
      </c>
      <c r="O167" s="100" t="str">
        <f ca="1">IFERROR([1]!IntrinioHistoricalPrices(ticker,"adj_volume",$B167,$D$4,$D$5,$D$6),"")</f>
        <v/>
      </c>
    </row>
    <row r="168" spans="2:15" x14ac:dyDescent="0.45">
      <c r="B168" s="49">
        <f t="shared" si="2"/>
        <v>159</v>
      </c>
      <c r="C168" s="165" t="str">
        <f ca="1">IFERROR([1]!IntrinioHistoricalPrices(ticker,"date",$B168,$D$4,$D$5,$D$6),"")</f>
        <v/>
      </c>
      <c r="D168" s="99" t="str">
        <f ca="1">IFERROR([1]!IntrinioHistoricalPrices(ticker,"open",$B168,$D$4,$D$5,$D$6),"")</f>
        <v/>
      </c>
      <c r="E168" s="99" t="str">
        <f ca="1">IFERROR([1]!IntrinioHistoricalPrices(ticker,"high",$B168,$D$4,$D$5,$D$6),"")</f>
        <v/>
      </c>
      <c r="F168" s="99" t="str">
        <f ca="1">IFERROR([1]!IntrinioHistoricalPrices(ticker,"low",$B168,$D$4,$D$5,$D$6),"")</f>
        <v/>
      </c>
      <c r="G168" s="99" t="str">
        <f ca="1">IFERROR([1]!IntrinioHistoricalPrices(ticker,"close",$B168,$D$4,$D$5,$D$6),"")</f>
        <v/>
      </c>
      <c r="H168" s="100" t="str">
        <f ca="1">IFERROR([1]!IntrinioHistoricalPrices(ticker,"volume",$B168,$D$4,$D$5,$D$6),"")</f>
        <v/>
      </c>
      <c r="I168" s="101" t="str">
        <f ca="1">IFERROR([1]!IntrinioHistoricalPrices(ticker,"split_ratio",$B168,$D$4,$D$5,$D$6),"")</f>
        <v/>
      </c>
      <c r="J168" s="99" t="str">
        <f ca="1">IFERROR([1]!IntrinioHistoricalPrices(ticker,"ex_dividend",$B168,$D$4,$D$5,$D$6),"")</f>
        <v/>
      </c>
      <c r="K168" s="99" t="str">
        <f ca="1">IFERROR([1]!IntrinioHistoricalPrices(ticker,"adj_open",$B168,$D$4,$D$5,$D$6),"")</f>
        <v/>
      </c>
      <c r="L168" s="99" t="str">
        <f ca="1">IFERROR([1]!IntrinioHistoricalPrices(ticker,"adj_high",$B168,$D$4,$D$5,$D$6),"")</f>
        <v/>
      </c>
      <c r="M168" s="99" t="str">
        <f ca="1">IFERROR([1]!IntrinioHistoricalPrices(ticker,"adj_low",$B168,$D$4,$D$5,$D$6),"")</f>
        <v/>
      </c>
      <c r="N168" s="99" t="str">
        <f ca="1">IFERROR([1]!IntrinioHistoricalPrices(ticker,"adj_close",$B168,$D$4,$D$5,$D$6),"")</f>
        <v/>
      </c>
      <c r="O168" s="100" t="str">
        <f ca="1">IFERROR([1]!IntrinioHistoricalPrices(ticker,"adj_volume",$B168,$D$4,$D$5,$D$6),"")</f>
        <v/>
      </c>
    </row>
    <row r="169" spans="2:15" x14ac:dyDescent="0.45">
      <c r="B169" s="49">
        <f t="shared" si="2"/>
        <v>160</v>
      </c>
      <c r="C169" s="165" t="str">
        <f ca="1">IFERROR([1]!IntrinioHistoricalPrices(ticker,"date",$B169,$D$4,$D$5,$D$6),"")</f>
        <v/>
      </c>
      <c r="D169" s="99" t="str">
        <f ca="1">IFERROR([1]!IntrinioHistoricalPrices(ticker,"open",$B169,$D$4,$D$5,$D$6),"")</f>
        <v/>
      </c>
      <c r="E169" s="99" t="str">
        <f ca="1">IFERROR([1]!IntrinioHistoricalPrices(ticker,"high",$B169,$D$4,$D$5,$D$6),"")</f>
        <v/>
      </c>
      <c r="F169" s="99" t="str">
        <f ca="1">IFERROR([1]!IntrinioHistoricalPrices(ticker,"low",$B169,$D$4,$D$5,$D$6),"")</f>
        <v/>
      </c>
      <c r="G169" s="99" t="str">
        <f ca="1">IFERROR([1]!IntrinioHistoricalPrices(ticker,"close",$B169,$D$4,$D$5,$D$6),"")</f>
        <v/>
      </c>
      <c r="H169" s="100" t="str">
        <f ca="1">IFERROR([1]!IntrinioHistoricalPrices(ticker,"volume",$B169,$D$4,$D$5,$D$6),"")</f>
        <v/>
      </c>
      <c r="I169" s="101" t="str">
        <f ca="1">IFERROR([1]!IntrinioHistoricalPrices(ticker,"split_ratio",$B169,$D$4,$D$5,$D$6),"")</f>
        <v/>
      </c>
      <c r="J169" s="99" t="str">
        <f ca="1">IFERROR([1]!IntrinioHistoricalPrices(ticker,"ex_dividend",$B169,$D$4,$D$5,$D$6),"")</f>
        <v/>
      </c>
      <c r="K169" s="99" t="str">
        <f ca="1">IFERROR([1]!IntrinioHistoricalPrices(ticker,"adj_open",$B169,$D$4,$D$5,$D$6),"")</f>
        <v/>
      </c>
      <c r="L169" s="99" t="str">
        <f ca="1">IFERROR([1]!IntrinioHistoricalPrices(ticker,"adj_high",$B169,$D$4,$D$5,$D$6),"")</f>
        <v/>
      </c>
      <c r="M169" s="99" t="str">
        <f ca="1">IFERROR([1]!IntrinioHistoricalPrices(ticker,"adj_low",$B169,$D$4,$D$5,$D$6),"")</f>
        <v/>
      </c>
      <c r="N169" s="99" t="str">
        <f ca="1">IFERROR([1]!IntrinioHistoricalPrices(ticker,"adj_close",$B169,$D$4,$D$5,$D$6),"")</f>
        <v/>
      </c>
      <c r="O169" s="100" t="str">
        <f ca="1">IFERROR([1]!IntrinioHistoricalPrices(ticker,"adj_volume",$B169,$D$4,$D$5,$D$6),"")</f>
        <v/>
      </c>
    </row>
    <row r="170" spans="2:15" x14ac:dyDescent="0.45">
      <c r="B170" s="49">
        <f t="shared" si="2"/>
        <v>161</v>
      </c>
      <c r="C170" s="165" t="str">
        <f ca="1">IFERROR([1]!IntrinioHistoricalPrices(ticker,"date",$B170,$D$4,$D$5,$D$6),"")</f>
        <v/>
      </c>
      <c r="D170" s="99" t="str">
        <f ca="1">IFERROR([1]!IntrinioHistoricalPrices(ticker,"open",$B170,$D$4,$D$5,$D$6),"")</f>
        <v/>
      </c>
      <c r="E170" s="99" t="str">
        <f ca="1">IFERROR([1]!IntrinioHistoricalPrices(ticker,"high",$B170,$D$4,$D$5,$D$6),"")</f>
        <v/>
      </c>
      <c r="F170" s="99" t="str">
        <f ca="1">IFERROR([1]!IntrinioHistoricalPrices(ticker,"low",$B170,$D$4,$D$5,$D$6),"")</f>
        <v/>
      </c>
      <c r="G170" s="99" t="str">
        <f ca="1">IFERROR([1]!IntrinioHistoricalPrices(ticker,"close",$B170,$D$4,$D$5,$D$6),"")</f>
        <v/>
      </c>
      <c r="H170" s="100" t="str">
        <f ca="1">IFERROR([1]!IntrinioHistoricalPrices(ticker,"volume",$B170,$D$4,$D$5,$D$6),"")</f>
        <v/>
      </c>
      <c r="I170" s="101" t="str">
        <f ca="1">IFERROR([1]!IntrinioHistoricalPrices(ticker,"split_ratio",$B170,$D$4,$D$5,$D$6),"")</f>
        <v/>
      </c>
      <c r="J170" s="99" t="str">
        <f ca="1">IFERROR([1]!IntrinioHistoricalPrices(ticker,"ex_dividend",$B170,$D$4,$D$5,$D$6),"")</f>
        <v/>
      </c>
      <c r="K170" s="99" t="str">
        <f ca="1">IFERROR([1]!IntrinioHistoricalPrices(ticker,"adj_open",$B170,$D$4,$D$5,$D$6),"")</f>
        <v/>
      </c>
      <c r="L170" s="99" t="str">
        <f ca="1">IFERROR([1]!IntrinioHistoricalPrices(ticker,"adj_high",$B170,$D$4,$D$5,$D$6),"")</f>
        <v/>
      </c>
      <c r="M170" s="99" t="str">
        <f ca="1">IFERROR([1]!IntrinioHistoricalPrices(ticker,"adj_low",$B170,$D$4,$D$5,$D$6),"")</f>
        <v/>
      </c>
      <c r="N170" s="99" t="str">
        <f ca="1">IFERROR([1]!IntrinioHistoricalPrices(ticker,"adj_close",$B170,$D$4,$D$5,$D$6),"")</f>
        <v/>
      </c>
      <c r="O170" s="100" t="str">
        <f ca="1">IFERROR([1]!IntrinioHistoricalPrices(ticker,"adj_volume",$B170,$D$4,$D$5,$D$6),"")</f>
        <v/>
      </c>
    </row>
    <row r="171" spans="2:15" x14ac:dyDescent="0.45">
      <c r="B171" s="49">
        <f t="shared" si="2"/>
        <v>162</v>
      </c>
      <c r="C171" s="165" t="str">
        <f ca="1">IFERROR([1]!IntrinioHistoricalPrices(ticker,"date",$B171,$D$4,$D$5,$D$6),"")</f>
        <v/>
      </c>
      <c r="D171" s="99" t="str">
        <f ca="1">IFERROR([1]!IntrinioHistoricalPrices(ticker,"open",$B171,$D$4,$D$5,$D$6),"")</f>
        <v/>
      </c>
      <c r="E171" s="99" t="str">
        <f ca="1">IFERROR([1]!IntrinioHistoricalPrices(ticker,"high",$B171,$D$4,$D$5,$D$6),"")</f>
        <v/>
      </c>
      <c r="F171" s="99" t="str">
        <f ca="1">IFERROR([1]!IntrinioHistoricalPrices(ticker,"low",$B171,$D$4,$D$5,$D$6),"")</f>
        <v/>
      </c>
      <c r="G171" s="99" t="str">
        <f ca="1">IFERROR([1]!IntrinioHistoricalPrices(ticker,"close",$B171,$D$4,$D$5,$D$6),"")</f>
        <v/>
      </c>
      <c r="H171" s="100" t="str">
        <f ca="1">IFERROR([1]!IntrinioHistoricalPrices(ticker,"volume",$B171,$D$4,$D$5,$D$6),"")</f>
        <v/>
      </c>
      <c r="I171" s="101" t="str">
        <f ca="1">IFERROR([1]!IntrinioHistoricalPrices(ticker,"split_ratio",$B171,$D$4,$D$5,$D$6),"")</f>
        <v/>
      </c>
      <c r="J171" s="99" t="str">
        <f ca="1">IFERROR([1]!IntrinioHistoricalPrices(ticker,"ex_dividend",$B171,$D$4,$D$5,$D$6),"")</f>
        <v/>
      </c>
      <c r="K171" s="99" t="str">
        <f ca="1">IFERROR([1]!IntrinioHistoricalPrices(ticker,"adj_open",$B171,$D$4,$D$5,$D$6),"")</f>
        <v/>
      </c>
      <c r="L171" s="99" t="str">
        <f ca="1">IFERROR([1]!IntrinioHistoricalPrices(ticker,"adj_high",$B171,$D$4,$D$5,$D$6),"")</f>
        <v/>
      </c>
      <c r="M171" s="99" t="str">
        <f ca="1">IFERROR([1]!IntrinioHistoricalPrices(ticker,"adj_low",$B171,$D$4,$D$5,$D$6),"")</f>
        <v/>
      </c>
      <c r="N171" s="99" t="str">
        <f ca="1">IFERROR([1]!IntrinioHistoricalPrices(ticker,"adj_close",$B171,$D$4,$D$5,$D$6),"")</f>
        <v/>
      </c>
      <c r="O171" s="100" t="str">
        <f ca="1">IFERROR([1]!IntrinioHistoricalPrices(ticker,"adj_volume",$B171,$D$4,$D$5,$D$6),"")</f>
        <v/>
      </c>
    </row>
    <row r="172" spans="2:15" x14ac:dyDescent="0.45">
      <c r="B172" s="49">
        <f t="shared" si="2"/>
        <v>163</v>
      </c>
      <c r="C172" s="165" t="str">
        <f ca="1">IFERROR([1]!IntrinioHistoricalPrices(ticker,"date",$B172,$D$4,$D$5,$D$6),"")</f>
        <v/>
      </c>
      <c r="D172" s="99" t="str">
        <f ca="1">IFERROR([1]!IntrinioHistoricalPrices(ticker,"open",$B172,$D$4,$D$5,$D$6),"")</f>
        <v/>
      </c>
      <c r="E172" s="99" t="str">
        <f ca="1">IFERROR([1]!IntrinioHistoricalPrices(ticker,"high",$B172,$D$4,$D$5,$D$6),"")</f>
        <v/>
      </c>
      <c r="F172" s="99" t="str">
        <f ca="1">IFERROR([1]!IntrinioHistoricalPrices(ticker,"low",$B172,$D$4,$D$5,$D$6),"")</f>
        <v/>
      </c>
      <c r="G172" s="99" t="str">
        <f ca="1">IFERROR([1]!IntrinioHistoricalPrices(ticker,"close",$B172,$D$4,$D$5,$D$6),"")</f>
        <v/>
      </c>
      <c r="H172" s="100" t="str">
        <f ca="1">IFERROR([1]!IntrinioHistoricalPrices(ticker,"volume",$B172,$D$4,$D$5,$D$6),"")</f>
        <v/>
      </c>
      <c r="I172" s="101" t="str">
        <f ca="1">IFERROR([1]!IntrinioHistoricalPrices(ticker,"split_ratio",$B172,$D$4,$D$5,$D$6),"")</f>
        <v/>
      </c>
      <c r="J172" s="99" t="str">
        <f ca="1">IFERROR([1]!IntrinioHistoricalPrices(ticker,"ex_dividend",$B172,$D$4,$D$5,$D$6),"")</f>
        <v/>
      </c>
      <c r="K172" s="99" t="str">
        <f ca="1">IFERROR([1]!IntrinioHistoricalPrices(ticker,"adj_open",$B172,$D$4,$D$5,$D$6),"")</f>
        <v/>
      </c>
      <c r="L172" s="99" t="str">
        <f ca="1">IFERROR([1]!IntrinioHistoricalPrices(ticker,"adj_high",$B172,$D$4,$D$5,$D$6),"")</f>
        <v/>
      </c>
      <c r="M172" s="99" t="str">
        <f ca="1">IFERROR([1]!IntrinioHistoricalPrices(ticker,"adj_low",$B172,$D$4,$D$5,$D$6),"")</f>
        <v/>
      </c>
      <c r="N172" s="99" t="str">
        <f ca="1">IFERROR([1]!IntrinioHistoricalPrices(ticker,"adj_close",$B172,$D$4,$D$5,$D$6),"")</f>
        <v/>
      </c>
      <c r="O172" s="100" t="str">
        <f ca="1">IFERROR([1]!IntrinioHistoricalPrices(ticker,"adj_volume",$B172,$D$4,$D$5,$D$6),"")</f>
        <v/>
      </c>
    </row>
    <row r="173" spans="2:15" x14ac:dyDescent="0.45">
      <c r="B173" s="49">
        <f t="shared" si="2"/>
        <v>164</v>
      </c>
      <c r="C173" s="165" t="str">
        <f ca="1">IFERROR([1]!IntrinioHistoricalPrices(ticker,"date",$B173,$D$4,$D$5,$D$6),"")</f>
        <v/>
      </c>
      <c r="D173" s="99" t="str">
        <f ca="1">IFERROR([1]!IntrinioHistoricalPrices(ticker,"open",$B173,$D$4,$D$5,$D$6),"")</f>
        <v/>
      </c>
      <c r="E173" s="99" t="str">
        <f ca="1">IFERROR([1]!IntrinioHistoricalPrices(ticker,"high",$B173,$D$4,$D$5,$D$6),"")</f>
        <v/>
      </c>
      <c r="F173" s="99" t="str">
        <f ca="1">IFERROR([1]!IntrinioHistoricalPrices(ticker,"low",$B173,$D$4,$D$5,$D$6),"")</f>
        <v/>
      </c>
      <c r="G173" s="99" t="str">
        <f ca="1">IFERROR([1]!IntrinioHistoricalPrices(ticker,"close",$B173,$D$4,$D$5,$D$6),"")</f>
        <v/>
      </c>
      <c r="H173" s="100" t="str">
        <f ca="1">IFERROR([1]!IntrinioHistoricalPrices(ticker,"volume",$B173,$D$4,$D$5,$D$6),"")</f>
        <v/>
      </c>
      <c r="I173" s="101" t="str">
        <f ca="1">IFERROR([1]!IntrinioHistoricalPrices(ticker,"split_ratio",$B173,$D$4,$D$5,$D$6),"")</f>
        <v/>
      </c>
      <c r="J173" s="99" t="str">
        <f ca="1">IFERROR([1]!IntrinioHistoricalPrices(ticker,"ex_dividend",$B173,$D$4,$D$5,$D$6),"")</f>
        <v/>
      </c>
      <c r="K173" s="99" t="str">
        <f ca="1">IFERROR([1]!IntrinioHistoricalPrices(ticker,"adj_open",$B173,$D$4,$D$5,$D$6),"")</f>
        <v/>
      </c>
      <c r="L173" s="99" t="str">
        <f ca="1">IFERROR([1]!IntrinioHistoricalPrices(ticker,"adj_high",$B173,$D$4,$D$5,$D$6),"")</f>
        <v/>
      </c>
      <c r="M173" s="99" t="str">
        <f ca="1">IFERROR([1]!IntrinioHistoricalPrices(ticker,"adj_low",$B173,$D$4,$D$5,$D$6),"")</f>
        <v/>
      </c>
      <c r="N173" s="99" t="str">
        <f ca="1">IFERROR([1]!IntrinioHistoricalPrices(ticker,"adj_close",$B173,$D$4,$D$5,$D$6),"")</f>
        <v/>
      </c>
      <c r="O173" s="100" t="str">
        <f ca="1">IFERROR([1]!IntrinioHistoricalPrices(ticker,"adj_volume",$B173,$D$4,$D$5,$D$6),"")</f>
        <v/>
      </c>
    </row>
    <row r="174" spans="2:15" x14ac:dyDescent="0.45">
      <c r="B174" s="49">
        <f t="shared" si="2"/>
        <v>165</v>
      </c>
      <c r="C174" s="165" t="str">
        <f ca="1">IFERROR([1]!IntrinioHistoricalPrices(ticker,"date",$B174,$D$4,$D$5,$D$6),"")</f>
        <v/>
      </c>
      <c r="D174" s="99" t="str">
        <f ca="1">IFERROR([1]!IntrinioHistoricalPrices(ticker,"open",$B174,$D$4,$D$5,$D$6),"")</f>
        <v/>
      </c>
      <c r="E174" s="99" t="str">
        <f ca="1">IFERROR([1]!IntrinioHistoricalPrices(ticker,"high",$B174,$D$4,$D$5,$D$6),"")</f>
        <v/>
      </c>
      <c r="F174" s="99" t="str">
        <f ca="1">IFERROR([1]!IntrinioHistoricalPrices(ticker,"low",$B174,$D$4,$D$5,$D$6),"")</f>
        <v/>
      </c>
      <c r="G174" s="99" t="str">
        <f ca="1">IFERROR([1]!IntrinioHistoricalPrices(ticker,"close",$B174,$D$4,$D$5,$D$6),"")</f>
        <v/>
      </c>
      <c r="H174" s="100" t="str">
        <f ca="1">IFERROR([1]!IntrinioHistoricalPrices(ticker,"volume",$B174,$D$4,$D$5,$D$6),"")</f>
        <v/>
      </c>
      <c r="I174" s="101" t="str">
        <f ca="1">IFERROR([1]!IntrinioHistoricalPrices(ticker,"split_ratio",$B174,$D$4,$D$5,$D$6),"")</f>
        <v/>
      </c>
      <c r="J174" s="99" t="str">
        <f ca="1">IFERROR([1]!IntrinioHistoricalPrices(ticker,"ex_dividend",$B174,$D$4,$D$5,$D$6),"")</f>
        <v/>
      </c>
      <c r="K174" s="99" t="str">
        <f ca="1">IFERROR([1]!IntrinioHistoricalPrices(ticker,"adj_open",$B174,$D$4,$D$5,$D$6),"")</f>
        <v/>
      </c>
      <c r="L174" s="99" t="str">
        <f ca="1">IFERROR([1]!IntrinioHistoricalPrices(ticker,"adj_high",$B174,$D$4,$D$5,$D$6),"")</f>
        <v/>
      </c>
      <c r="M174" s="99" t="str">
        <f ca="1">IFERROR([1]!IntrinioHistoricalPrices(ticker,"adj_low",$B174,$D$4,$D$5,$D$6),"")</f>
        <v/>
      </c>
      <c r="N174" s="99" t="str">
        <f ca="1">IFERROR([1]!IntrinioHistoricalPrices(ticker,"adj_close",$B174,$D$4,$D$5,$D$6),"")</f>
        <v/>
      </c>
      <c r="O174" s="100" t="str">
        <f ca="1">IFERROR([1]!IntrinioHistoricalPrices(ticker,"adj_volume",$B174,$D$4,$D$5,$D$6),"")</f>
        <v/>
      </c>
    </row>
    <row r="175" spans="2:15" x14ac:dyDescent="0.45">
      <c r="B175" s="49">
        <f t="shared" si="2"/>
        <v>166</v>
      </c>
      <c r="C175" s="165" t="str">
        <f ca="1">IFERROR([1]!IntrinioHistoricalPrices(ticker,"date",$B175,$D$4,$D$5,$D$6),"")</f>
        <v/>
      </c>
      <c r="D175" s="99" t="str">
        <f ca="1">IFERROR([1]!IntrinioHistoricalPrices(ticker,"open",$B175,$D$4,$D$5,$D$6),"")</f>
        <v/>
      </c>
      <c r="E175" s="99" t="str">
        <f ca="1">IFERROR([1]!IntrinioHistoricalPrices(ticker,"high",$B175,$D$4,$D$5,$D$6),"")</f>
        <v/>
      </c>
      <c r="F175" s="99" t="str">
        <f ca="1">IFERROR([1]!IntrinioHistoricalPrices(ticker,"low",$B175,$D$4,$D$5,$D$6),"")</f>
        <v/>
      </c>
      <c r="G175" s="99" t="str">
        <f ca="1">IFERROR([1]!IntrinioHistoricalPrices(ticker,"close",$B175,$D$4,$D$5,$D$6),"")</f>
        <v/>
      </c>
      <c r="H175" s="100" t="str">
        <f ca="1">IFERROR([1]!IntrinioHistoricalPrices(ticker,"volume",$B175,$D$4,$D$5,$D$6),"")</f>
        <v/>
      </c>
      <c r="I175" s="101" t="str">
        <f ca="1">IFERROR([1]!IntrinioHistoricalPrices(ticker,"split_ratio",$B175,$D$4,$D$5,$D$6),"")</f>
        <v/>
      </c>
      <c r="J175" s="99" t="str">
        <f ca="1">IFERROR([1]!IntrinioHistoricalPrices(ticker,"ex_dividend",$B175,$D$4,$D$5,$D$6),"")</f>
        <v/>
      </c>
      <c r="K175" s="99" t="str">
        <f ca="1">IFERROR([1]!IntrinioHistoricalPrices(ticker,"adj_open",$B175,$D$4,$D$5,$D$6),"")</f>
        <v/>
      </c>
      <c r="L175" s="99" t="str">
        <f ca="1">IFERROR([1]!IntrinioHistoricalPrices(ticker,"adj_high",$B175,$D$4,$D$5,$D$6),"")</f>
        <v/>
      </c>
      <c r="M175" s="99" t="str">
        <f ca="1">IFERROR([1]!IntrinioHistoricalPrices(ticker,"adj_low",$B175,$D$4,$D$5,$D$6),"")</f>
        <v/>
      </c>
      <c r="N175" s="99" t="str">
        <f ca="1">IFERROR([1]!IntrinioHistoricalPrices(ticker,"adj_close",$B175,$D$4,$D$5,$D$6),"")</f>
        <v/>
      </c>
      <c r="O175" s="100" t="str">
        <f ca="1">IFERROR([1]!IntrinioHistoricalPrices(ticker,"adj_volume",$B175,$D$4,$D$5,$D$6),"")</f>
        <v/>
      </c>
    </row>
    <row r="176" spans="2:15" x14ac:dyDescent="0.45">
      <c r="B176" s="49">
        <f t="shared" si="2"/>
        <v>167</v>
      </c>
      <c r="C176" s="165" t="str">
        <f ca="1">IFERROR([1]!IntrinioHistoricalPrices(ticker,"date",$B176,$D$4,$D$5,$D$6),"")</f>
        <v/>
      </c>
      <c r="D176" s="99" t="str">
        <f ca="1">IFERROR([1]!IntrinioHistoricalPrices(ticker,"open",$B176,$D$4,$D$5,$D$6),"")</f>
        <v/>
      </c>
      <c r="E176" s="99" t="str">
        <f ca="1">IFERROR([1]!IntrinioHistoricalPrices(ticker,"high",$B176,$D$4,$D$5,$D$6),"")</f>
        <v/>
      </c>
      <c r="F176" s="99" t="str">
        <f ca="1">IFERROR([1]!IntrinioHistoricalPrices(ticker,"low",$B176,$D$4,$D$5,$D$6),"")</f>
        <v/>
      </c>
      <c r="G176" s="99" t="str">
        <f ca="1">IFERROR([1]!IntrinioHistoricalPrices(ticker,"close",$B176,$D$4,$D$5,$D$6),"")</f>
        <v/>
      </c>
      <c r="H176" s="100" t="str">
        <f ca="1">IFERROR([1]!IntrinioHistoricalPrices(ticker,"volume",$B176,$D$4,$D$5,$D$6),"")</f>
        <v/>
      </c>
      <c r="I176" s="101" t="str">
        <f ca="1">IFERROR([1]!IntrinioHistoricalPrices(ticker,"split_ratio",$B176,$D$4,$D$5,$D$6),"")</f>
        <v/>
      </c>
      <c r="J176" s="99" t="str">
        <f ca="1">IFERROR([1]!IntrinioHistoricalPrices(ticker,"ex_dividend",$B176,$D$4,$D$5,$D$6),"")</f>
        <v/>
      </c>
      <c r="K176" s="99" t="str">
        <f ca="1">IFERROR([1]!IntrinioHistoricalPrices(ticker,"adj_open",$B176,$D$4,$D$5,$D$6),"")</f>
        <v/>
      </c>
      <c r="L176" s="99" t="str">
        <f ca="1">IFERROR([1]!IntrinioHistoricalPrices(ticker,"adj_high",$B176,$D$4,$D$5,$D$6),"")</f>
        <v/>
      </c>
      <c r="M176" s="99" t="str">
        <f ca="1">IFERROR([1]!IntrinioHistoricalPrices(ticker,"adj_low",$B176,$D$4,$D$5,$D$6),"")</f>
        <v/>
      </c>
      <c r="N176" s="99" t="str">
        <f ca="1">IFERROR([1]!IntrinioHistoricalPrices(ticker,"adj_close",$B176,$D$4,$D$5,$D$6),"")</f>
        <v/>
      </c>
      <c r="O176" s="100" t="str">
        <f ca="1">IFERROR([1]!IntrinioHistoricalPrices(ticker,"adj_volume",$B176,$D$4,$D$5,$D$6),"")</f>
        <v/>
      </c>
    </row>
    <row r="177" spans="2:15" x14ac:dyDescent="0.45">
      <c r="B177" s="49">
        <f t="shared" si="2"/>
        <v>168</v>
      </c>
      <c r="C177" s="165" t="str">
        <f ca="1">IFERROR([1]!IntrinioHistoricalPrices(ticker,"date",$B177,$D$4,$D$5,$D$6),"")</f>
        <v/>
      </c>
      <c r="D177" s="99" t="str">
        <f ca="1">IFERROR([1]!IntrinioHistoricalPrices(ticker,"open",$B177,$D$4,$D$5,$D$6),"")</f>
        <v/>
      </c>
      <c r="E177" s="99" t="str">
        <f ca="1">IFERROR([1]!IntrinioHistoricalPrices(ticker,"high",$B177,$D$4,$D$5,$D$6),"")</f>
        <v/>
      </c>
      <c r="F177" s="99" t="str">
        <f ca="1">IFERROR([1]!IntrinioHistoricalPrices(ticker,"low",$B177,$D$4,$D$5,$D$6),"")</f>
        <v/>
      </c>
      <c r="G177" s="99" t="str">
        <f ca="1">IFERROR([1]!IntrinioHistoricalPrices(ticker,"close",$B177,$D$4,$D$5,$D$6),"")</f>
        <v/>
      </c>
      <c r="H177" s="100" t="str">
        <f ca="1">IFERROR([1]!IntrinioHistoricalPrices(ticker,"volume",$B177,$D$4,$D$5,$D$6),"")</f>
        <v/>
      </c>
      <c r="I177" s="101" t="str">
        <f ca="1">IFERROR([1]!IntrinioHistoricalPrices(ticker,"split_ratio",$B177,$D$4,$D$5,$D$6),"")</f>
        <v/>
      </c>
      <c r="J177" s="99" t="str">
        <f ca="1">IFERROR([1]!IntrinioHistoricalPrices(ticker,"ex_dividend",$B177,$D$4,$D$5,$D$6),"")</f>
        <v/>
      </c>
      <c r="K177" s="99" t="str">
        <f ca="1">IFERROR([1]!IntrinioHistoricalPrices(ticker,"adj_open",$B177,$D$4,$D$5,$D$6),"")</f>
        <v/>
      </c>
      <c r="L177" s="99" t="str">
        <f ca="1">IFERROR([1]!IntrinioHistoricalPrices(ticker,"adj_high",$B177,$D$4,$D$5,$D$6),"")</f>
        <v/>
      </c>
      <c r="M177" s="99" t="str">
        <f ca="1">IFERROR([1]!IntrinioHistoricalPrices(ticker,"adj_low",$B177,$D$4,$D$5,$D$6),"")</f>
        <v/>
      </c>
      <c r="N177" s="99" t="str">
        <f ca="1">IFERROR([1]!IntrinioHistoricalPrices(ticker,"adj_close",$B177,$D$4,$D$5,$D$6),"")</f>
        <v/>
      </c>
      <c r="O177" s="100" t="str">
        <f ca="1">IFERROR([1]!IntrinioHistoricalPrices(ticker,"adj_volume",$B177,$D$4,$D$5,$D$6),"")</f>
        <v/>
      </c>
    </row>
    <row r="178" spans="2:15" x14ac:dyDescent="0.45">
      <c r="B178" s="49">
        <f t="shared" si="2"/>
        <v>169</v>
      </c>
      <c r="C178" s="165" t="str">
        <f ca="1">IFERROR([1]!IntrinioHistoricalPrices(ticker,"date",$B178,$D$4,$D$5,$D$6),"")</f>
        <v/>
      </c>
      <c r="D178" s="99" t="str">
        <f ca="1">IFERROR([1]!IntrinioHistoricalPrices(ticker,"open",$B178,$D$4,$D$5,$D$6),"")</f>
        <v/>
      </c>
      <c r="E178" s="99" t="str">
        <f ca="1">IFERROR([1]!IntrinioHistoricalPrices(ticker,"high",$B178,$D$4,$D$5,$D$6),"")</f>
        <v/>
      </c>
      <c r="F178" s="99" t="str">
        <f ca="1">IFERROR([1]!IntrinioHistoricalPrices(ticker,"low",$B178,$D$4,$D$5,$D$6),"")</f>
        <v/>
      </c>
      <c r="G178" s="99" t="str">
        <f ca="1">IFERROR([1]!IntrinioHistoricalPrices(ticker,"close",$B178,$D$4,$D$5,$D$6),"")</f>
        <v/>
      </c>
      <c r="H178" s="100" t="str">
        <f ca="1">IFERROR([1]!IntrinioHistoricalPrices(ticker,"volume",$B178,$D$4,$D$5,$D$6),"")</f>
        <v/>
      </c>
      <c r="I178" s="101" t="str">
        <f ca="1">IFERROR([1]!IntrinioHistoricalPrices(ticker,"split_ratio",$B178,$D$4,$D$5,$D$6),"")</f>
        <v/>
      </c>
      <c r="J178" s="99" t="str">
        <f ca="1">IFERROR([1]!IntrinioHistoricalPrices(ticker,"ex_dividend",$B178,$D$4,$D$5,$D$6),"")</f>
        <v/>
      </c>
      <c r="K178" s="99" t="str">
        <f ca="1">IFERROR([1]!IntrinioHistoricalPrices(ticker,"adj_open",$B178,$D$4,$D$5,$D$6),"")</f>
        <v/>
      </c>
      <c r="L178" s="99" t="str">
        <f ca="1">IFERROR([1]!IntrinioHistoricalPrices(ticker,"adj_high",$B178,$D$4,$D$5,$D$6),"")</f>
        <v/>
      </c>
      <c r="M178" s="99" t="str">
        <f ca="1">IFERROR([1]!IntrinioHistoricalPrices(ticker,"adj_low",$B178,$D$4,$D$5,$D$6),"")</f>
        <v/>
      </c>
      <c r="N178" s="99" t="str">
        <f ca="1">IFERROR([1]!IntrinioHistoricalPrices(ticker,"adj_close",$B178,$D$4,$D$5,$D$6),"")</f>
        <v/>
      </c>
      <c r="O178" s="100" t="str">
        <f ca="1">IFERROR([1]!IntrinioHistoricalPrices(ticker,"adj_volume",$B178,$D$4,$D$5,$D$6),"")</f>
        <v/>
      </c>
    </row>
    <row r="179" spans="2:15" x14ac:dyDescent="0.45">
      <c r="B179" s="49">
        <f t="shared" si="2"/>
        <v>170</v>
      </c>
      <c r="C179" s="165" t="str">
        <f ca="1">IFERROR([1]!IntrinioHistoricalPrices(ticker,"date",$B179,$D$4,$D$5,$D$6),"")</f>
        <v/>
      </c>
      <c r="D179" s="99" t="str">
        <f ca="1">IFERROR([1]!IntrinioHistoricalPrices(ticker,"open",$B179,$D$4,$D$5,$D$6),"")</f>
        <v/>
      </c>
      <c r="E179" s="99" t="str">
        <f ca="1">IFERROR([1]!IntrinioHistoricalPrices(ticker,"high",$B179,$D$4,$D$5,$D$6),"")</f>
        <v/>
      </c>
      <c r="F179" s="99" t="str">
        <f ca="1">IFERROR([1]!IntrinioHistoricalPrices(ticker,"low",$B179,$D$4,$D$5,$D$6),"")</f>
        <v/>
      </c>
      <c r="G179" s="99" t="str">
        <f ca="1">IFERROR([1]!IntrinioHistoricalPrices(ticker,"close",$B179,$D$4,$D$5,$D$6),"")</f>
        <v/>
      </c>
      <c r="H179" s="100" t="str">
        <f ca="1">IFERROR([1]!IntrinioHistoricalPrices(ticker,"volume",$B179,$D$4,$D$5,$D$6),"")</f>
        <v/>
      </c>
      <c r="I179" s="101" t="str">
        <f ca="1">IFERROR([1]!IntrinioHistoricalPrices(ticker,"split_ratio",$B179,$D$4,$D$5,$D$6),"")</f>
        <v/>
      </c>
      <c r="J179" s="99" t="str">
        <f ca="1">IFERROR([1]!IntrinioHistoricalPrices(ticker,"ex_dividend",$B179,$D$4,$D$5,$D$6),"")</f>
        <v/>
      </c>
      <c r="K179" s="99" t="str">
        <f ca="1">IFERROR([1]!IntrinioHistoricalPrices(ticker,"adj_open",$B179,$D$4,$D$5,$D$6),"")</f>
        <v/>
      </c>
      <c r="L179" s="99" t="str">
        <f ca="1">IFERROR([1]!IntrinioHistoricalPrices(ticker,"adj_high",$B179,$D$4,$D$5,$D$6),"")</f>
        <v/>
      </c>
      <c r="M179" s="99" t="str">
        <f ca="1">IFERROR([1]!IntrinioHistoricalPrices(ticker,"adj_low",$B179,$D$4,$D$5,$D$6),"")</f>
        <v/>
      </c>
      <c r="N179" s="99" t="str">
        <f ca="1">IFERROR([1]!IntrinioHistoricalPrices(ticker,"adj_close",$B179,$D$4,$D$5,$D$6),"")</f>
        <v/>
      </c>
      <c r="O179" s="100" t="str">
        <f ca="1">IFERROR([1]!IntrinioHistoricalPrices(ticker,"adj_volume",$B179,$D$4,$D$5,$D$6),"")</f>
        <v/>
      </c>
    </row>
    <row r="180" spans="2:15" x14ac:dyDescent="0.45">
      <c r="B180" s="49">
        <f t="shared" si="2"/>
        <v>171</v>
      </c>
      <c r="C180" s="165" t="str">
        <f ca="1">IFERROR([1]!IntrinioHistoricalPrices(ticker,"date",$B180,$D$4,$D$5,$D$6),"")</f>
        <v/>
      </c>
      <c r="D180" s="99" t="str">
        <f ca="1">IFERROR([1]!IntrinioHistoricalPrices(ticker,"open",$B180,$D$4,$D$5,$D$6),"")</f>
        <v/>
      </c>
      <c r="E180" s="99" t="str">
        <f ca="1">IFERROR([1]!IntrinioHistoricalPrices(ticker,"high",$B180,$D$4,$D$5,$D$6),"")</f>
        <v/>
      </c>
      <c r="F180" s="99" t="str">
        <f ca="1">IFERROR([1]!IntrinioHistoricalPrices(ticker,"low",$B180,$D$4,$D$5,$D$6),"")</f>
        <v/>
      </c>
      <c r="G180" s="99" t="str">
        <f ca="1">IFERROR([1]!IntrinioHistoricalPrices(ticker,"close",$B180,$D$4,$D$5,$D$6),"")</f>
        <v/>
      </c>
      <c r="H180" s="100" t="str">
        <f ca="1">IFERROR([1]!IntrinioHistoricalPrices(ticker,"volume",$B180,$D$4,$D$5,$D$6),"")</f>
        <v/>
      </c>
      <c r="I180" s="101" t="str">
        <f ca="1">IFERROR([1]!IntrinioHistoricalPrices(ticker,"split_ratio",$B180,$D$4,$D$5,$D$6),"")</f>
        <v/>
      </c>
      <c r="J180" s="99" t="str">
        <f ca="1">IFERROR([1]!IntrinioHistoricalPrices(ticker,"ex_dividend",$B180,$D$4,$D$5,$D$6),"")</f>
        <v/>
      </c>
      <c r="K180" s="99" t="str">
        <f ca="1">IFERROR([1]!IntrinioHistoricalPrices(ticker,"adj_open",$B180,$D$4,$D$5,$D$6),"")</f>
        <v/>
      </c>
      <c r="L180" s="99" t="str">
        <f ca="1">IFERROR([1]!IntrinioHistoricalPrices(ticker,"adj_high",$B180,$D$4,$D$5,$D$6),"")</f>
        <v/>
      </c>
      <c r="M180" s="99" t="str">
        <f ca="1">IFERROR([1]!IntrinioHistoricalPrices(ticker,"adj_low",$B180,$D$4,$D$5,$D$6),"")</f>
        <v/>
      </c>
      <c r="N180" s="99" t="str">
        <f ca="1">IFERROR([1]!IntrinioHistoricalPrices(ticker,"adj_close",$B180,$D$4,$D$5,$D$6),"")</f>
        <v/>
      </c>
      <c r="O180" s="100" t="str">
        <f ca="1">IFERROR([1]!IntrinioHistoricalPrices(ticker,"adj_volume",$B180,$D$4,$D$5,$D$6),"")</f>
        <v/>
      </c>
    </row>
    <row r="181" spans="2:15" x14ac:dyDescent="0.45">
      <c r="B181" s="49">
        <f t="shared" si="2"/>
        <v>172</v>
      </c>
      <c r="C181" s="165" t="str">
        <f ca="1">IFERROR([1]!IntrinioHistoricalPrices(ticker,"date",$B181,$D$4,$D$5,$D$6),"")</f>
        <v/>
      </c>
      <c r="D181" s="99" t="str">
        <f ca="1">IFERROR([1]!IntrinioHistoricalPrices(ticker,"open",$B181,$D$4,$D$5,$D$6),"")</f>
        <v/>
      </c>
      <c r="E181" s="99" t="str">
        <f ca="1">IFERROR([1]!IntrinioHistoricalPrices(ticker,"high",$B181,$D$4,$D$5,$D$6),"")</f>
        <v/>
      </c>
      <c r="F181" s="99" t="str">
        <f ca="1">IFERROR([1]!IntrinioHistoricalPrices(ticker,"low",$B181,$D$4,$D$5,$D$6),"")</f>
        <v/>
      </c>
      <c r="G181" s="99" t="str">
        <f ca="1">IFERROR([1]!IntrinioHistoricalPrices(ticker,"close",$B181,$D$4,$D$5,$D$6),"")</f>
        <v/>
      </c>
      <c r="H181" s="100" t="str">
        <f ca="1">IFERROR([1]!IntrinioHistoricalPrices(ticker,"volume",$B181,$D$4,$D$5,$D$6),"")</f>
        <v/>
      </c>
      <c r="I181" s="101" t="str">
        <f ca="1">IFERROR([1]!IntrinioHistoricalPrices(ticker,"split_ratio",$B181,$D$4,$D$5,$D$6),"")</f>
        <v/>
      </c>
      <c r="J181" s="99" t="str">
        <f ca="1">IFERROR([1]!IntrinioHistoricalPrices(ticker,"ex_dividend",$B181,$D$4,$D$5,$D$6),"")</f>
        <v/>
      </c>
      <c r="K181" s="99" t="str">
        <f ca="1">IFERROR([1]!IntrinioHistoricalPrices(ticker,"adj_open",$B181,$D$4,$D$5,$D$6),"")</f>
        <v/>
      </c>
      <c r="L181" s="99" t="str">
        <f ca="1">IFERROR([1]!IntrinioHistoricalPrices(ticker,"adj_high",$B181,$D$4,$D$5,$D$6),"")</f>
        <v/>
      </c>
      <c r="M181" s="99" t="str">
        <f ca="1">IFERROR([1]!IntrinioHistoricalPrices(ticker,"adj_low",$B181,$D$4,$D$5,$D$6),"")</f>
        <v/>
      </c>
      <c r="N181" s="99" t="str">
        <f ca="1">IFERROR([1]!IntrinioHistoricalPrices(ticker,"adj_close",$B181,$D$4,$D$5,$D$6),"")</f>
        <v/>
      </c>
      <c r="O181" s="100" t="str">
        <f ca="1">IFERROR([1]!IntrinioHistoricalPrices(ticker,"adj_volume",$B181,$D$4,$D$5,$D$6),"")</f>
        <v/>
      </c>
    </row>
    <row r="182" spans="2:15" x14ac:dyDescent="0.45">
      <c r="B182" s="49">
        <f t="shared" si="2"/>
        <v>173</v>
      </c>
      <c r="C182" s="165" t="str">
        <f ca="1">IFERROR([1]!IntrinioHistoricalPrices(ticker,"date",$B182,$D$4,$D$5,$D$6),"")</f>
        <v/>
      </c>
      <c r="D182" s="99" t="str">
        <f ca="1">IFERROR([1]!IntrinioHistoricalPrices(ticker,"open",$B182,$D$4,$D$5,$D$6),"")</f>
        <v/>
      </c>
      <c r="E182" s="99" t="str">
        <f ca="1">IFERROR([1]!IntrinioHistoricalPrices(ticker,"high",$B182,$D$4,$D$5,$D$6),"")</f>
        <v/>
      </c>
      <c r="F182" s="99" t="str">
        <f ca="1">IFERROR([1]!IntrinioHistoricalPrices(ticker,"low",$B182,$D$4,$D$5,$D$6),"")</f>
        <v/>
      </c>
      <c r="G182" s="99" t="str">
        <f ca="1">IFERROR([1]!IntrinioHistoricalPrices(ticker,"close",$B182,$D$4,$D$5,$D$6),"")</f>
        <v/>
      </c>
      <c r="H182" s="100" t="str">
        <f ca="1">IFERROR([1]!IntrinioHistoricalPrices(ticker,"volume",$B182,$D$4,$D$5,$D$6),"")</f>
        <v/>
      </c>
      <c r="I182" s="101" t="str">
        <f ca="1">IFERROR([1]!IntrinioHistoricalPrices(ticker,"split_ratio",$B182,$D$4,$D$5,$D$6),"")</f>
        <v/>
      </c>
      <c r="J182" s="99" t="str">
        <f ca="1">IFERROR([1]!IntrinioHistoricalPrices(ticker,"ex_dividend",$B182,$D$4,$D$5,$D$6),"")</f>
        <v/>
      </c>
      <c r="K182" s="99" t="str">
        <f ca="1">IFERROR([1]!IntrinioHistoricalPrices(ticker,"adj_open",$B182,$D$4,$D$5,$D$6),"")</f>
        <v/>
      </c>
      <c r="L182" s="99" t="str">
        <f ca="1">IFERROR([1]!IntrinioHistoricalPrices(ticker,"adj_high",$B182,$D$4,$D$5,$D$6),"")</f>
        <v/>
      </c>
      <c r="M182" s="99" t="str">
        <f ca="1">IFERROR([1]!IntrinioHistoricalPrices(ticker,"adj_low",$B182,$D$4,$D$5,$D$6),"")</f>
        <v/>
      </c>
      <c r="N182" s="99" t="str">
        <f ca="1">IFERROR([1]!IntrinioHistoricalPrices(ticker,"adj_close",$B182,$D$4,$D$5,$D$6),"")</f>
        <v/>
      </c>
      <c r="O182" s="100" t="str">
        <f ca="1">IFERROR([1]!IntrinioHistoricalPrices(ticker,"adj_volume",$B182,$D$4,$D$5,$D$6),"")</f>
        <v/>
      </c>
    </row>
    <row r="183" spans="2:15" x14ac:dyDescent="0.45">
      <c r="B183" s="49">
        <f t="shared" si="2"/>
        <v>174</v>
      </c>
      <c r="C183" s="165" t="str">
        <f ca="1">IFERROR([1]!IntrinioHistoricalPrices(ticker,"date",$B183,$D$4,$D$5,$D$6),"")</f>
        <v/>
      </c>
      <c r="D183" s="99" t="str">
        <f ca="1">IFERROR([1]!IntrinioHistoricalPrices(ticker,"open",$B183,$D$4,$D$5,$D$6),"")</f>
        <v/>
      </c>
      <c r="E183" s="99" t="str">
        <f ca="1">IFERROR([1]!IntrinioHistoricalPrices(ticker,"high",$B183,$D$4,$D$5,$D$6),"")</f>
        <v/>
      </c>
      <c r="F183" s="99" t="str">
        <f ca="1">IFERROR([1]!IntrinioHistoricalPrices(ticker,"low",$B183,$D$4,$D$5,$D$6),"")</f>
        <v/>
      </c>
      <c r="G183" s="99" t="str">
        <f ca="1">IFERROR([1]!IntrinioHistoricalPrices(ticker,"close",$B183,$D$4,$D$5,$D$6),"")</f>
        <v/>
      </c>
      <c r="H183" s="100" t="str">
        <f ca="1">IFERROR([1]!IntrinioHistoricalPrices(ticker,"volume",$B183,$D$4,$D$5,$D$6),"")</f>
        <v/>
      </c>
      <c r="I183" s="101" t="str">
        <f ca="1">IFERROR([1]!IntrinioHistoricalPrices(ticker,"split_ratio",$B183,$D$4,$D$5,$D$6),"")</f>
        <v/>
      </c>
      <c r="J183" s="99" t="str">
        <f ca="1">IFERROR([1]!IntrinioHistoricalPrices(ticker,"ex_dividend",$B183,$D$4,$D$5,$D$6),"")</f>
        <v/>
      </c>
      <c r="K183" s="99" t="str">
        <f ca="1">IFERROR([1]!IntrinioHistoricalPrices(ticker,"adj_open",$B183,$D$4,$D$5,$D$6),"")</f>
        <v/>
      </c>
      <c r="L183" s="99" t="str">
        <f ca="1">IFERROR([1]!IntrinioHistoricalPrices(ticker,"adj_high",$B183,$D$4,$D$5,$D$6),"")</f>
        <v/>
      </c>
      <c r="M183" s="99" t="str">
        <f ca="1">IFERROR([1]!IntrinioHistoricalPrices(ticker,"adj_low",$B183,$D$4,$D$5,$D$6),"")</f>
        <v/>
      </c>
      <c r="N183" s="99" t="str">
        <f ca="1">IFERROR([1]!IntrinioHistoricalPrices(ticker,"adj_close",$B183,$D$4,$D$5,$D$6),"")</f>
        <v/>
      </c>
      <c r="O183" s="100" t="str">
        <f ca="1">IFERROR([1]!IntrinioHistoricalPrices(ticker,"adj_volume",$B183,$D$4,$D$5,$D$6),"")</f>
        <v/>
      </c>
    </row>
    <row r="184" spans="2:15" x14ac:dyDescent="0.45">
      <c r="B184" s="49">
        <f t="shared" si="2"/>
        <v>175</v>
      </c>
      <c r="C184" s="165" t="str">
        <f ca="1">IFERROR([1]!IntrinioHistoricalPrices(ticker,"date",$B184,$D$4,$D$5,$D$6),"")</f>
        <v/>
      </c>
      <c r="D184" s="99" t="str">
        <f ca="1">IFERROR([1]!IntrinioHistoricalPrices(ticker,"open",$B184,$D$4,$D$5,$D$6),"")</f>
        <v/>
      </c>
      <c r="E184" s="99" t="str">
        <f ca="1">IFERROR([1]!IntrinioHistoricalPrices(ticker,"high",$B184,$D$4,$D$5,$D$6),"")</f>
        <v/>
      </c>
      <c r="F184" s="99" t="str">
        <f ca="1">IFERROR([1]!IntrinioHistoricalPrices(ticker,"low",$B184,$D$4,$D$5,$D$6),"")</f>
        <v/>
      </c>
      <c r="G184" s="99" t="str">
        <f ca="1">IFERROR([1]!IntrinioHistoricalPrices(ticker,"close",$B184,$D$4,$D$5,$D$6),"")</f>
        <v/>
      </c>
      <c r="H184" s="100" t="str">
        <f ca="1">IFERROR([1]!IntrinioHistoricalPrices(ticker,"volume",$B184,$D$4,$D$5,$D$6),"")</f>
        <v/>
      </c>
      <c r="I184" s="101" t="str">
        <f ca="1">IFERROR([1]!IntrinioHistoricalPrices(ticker,"split_ratio",$B184,$D$4,$D$5,$D$6),"")</f>
        <v/>
      </c>
      <c r="J184" s="99" t="str">
        <f ca="1">IFERROR([1]!IntrinioHistoricalPrices(ticker,"ex_dividend",$B184,$D$4,$D$5,$D$6),"")</f>
        <v/>
      </c>
      <c r="K184" s="99" t="str">
        <f ca="1">IFERROR([1]!IntrinioHistoricalPrices(ticker,"adj_open",$B184,$D$4,$D$5,$D$6),"")</f>
        <v/>
      </c>
      <c r="L184" s="99" t="str">
        <f ca="1">IFERROR([1]!IntrinioHistoricalPrices(ticker,"adj_high",$B184,$D$4,$D$5,$D$6),"")</f>
        <v/>
      </c>
      <c r="M184" s="99" t="str">
        <f ca="1">IFERROR([1]!IntrinioHistoricalPrices(ticker,"adj_low",$B184,$D$4,$D$5,$D$6),"")</f>
        <v/>
      </c>
      <c r="N184" s="99" t="str">
        <f ca="1">IFERROR([1]!IntrinioHistoricalPrices(ticker,"adj_close",$B184,$D$4,$D$5,$D$6),"")</f>
        <v/>
      </c>
      <c r="O184" s="100" t="str">
        <f ca="1">IFERROR([1]!IntrinioHistoricalPrices(ticker,"adj_volume",$B184,$D$4,$D$5,$D$6),"")</f>
        <v/>
      </c>
    </row>
    <row r="185" spans="2:15" x14ac:dyDescent="0.45">
      <c r="B185" s="49">
        <f t="shared" si="2"/>
        <v>176</v>
      </c>
      <c r="C185" s="165" t="str">
        <f ca="1">IFERROR([1]!IntrinioHistoricalPrices(ticker,"date",$B185,$D$4,$D$5,$D$6),"")</f>
        <v/>
      </c>
      <c r="D185" s="99" t="str">
        <f ca="1">IFERROR([1]!IntrinioHistoricalPrices(ticker,"open",$B185,$D$4,$D$5,$D$6),"")</f>
        <v/>
      </c>
      <c r="E185" s="99" t="str">
        <f ca="1">IFERROR([1]!IntrinioHistoricalPrices(ticker,"high",$B185,$D$4,$D$5,$D$6),"")</f>
        <v/>
      </c>
      <c r="F185" s="99" t="str">
        <f ca="1">IFERROR([1]!IntrinioHistoricalPrices(ticker,"low",$B185,$D$4,$D$5,$D$6),"")</f>
        <v/>
      </c>
      <c r="G185" s="99" t="str">
        <f ca="1">IFERROR([1]!IntrinioHistoricalPrices(ticker,"close",$B185,$D$4,$D$5,$D$6),"")</f>
        <v/>
      </c>
      <c r="H185" s="100" t="str">
        <f ca="1">IFERROR([1]!IntrinioHistoricalPrices(ticker,"volume",$B185,$D$4,$D$5,$D$6),"")</f>
        <v/>
      </c>
      <c r="I185" s="101" t="str">
        <f ca="1">IFERROR([1]!IntrinioHistoricalPrices(ticker,"split_ratio",$B185,$D$4,$D$5,$D$6),"")</f>
        <v/>
      </c>
      <c r="J185" s="99" t="str">
        <f ca="1">IFERROR([1]!IntrinioHistoricalPrices(ticker,"ex_dividend",$B185,$D$4,$D$5,$D$6),"")</f>
        <v/>
      </c>
      <c r="K185" s="99" t="str">
        <f ca="1">IFERROR([1]!IntrinioHistoricalPrices(ticker,"adj_open",$B185,$D$4,$D$5,$D$6),"")</f>
        <v/>
      </c>
      <c r="L185" s="99" t="str">
        <f ca="1">IFERROR([1]!IntrinioHistoricalPrices(ticker,"adj_high",$B185,$D$4,$D$5,$D$6),"")</f>
        <v/>
      </c>
      <c r="M185" s="99" t="str">
        <f ca="1">IFERROR([1]!IntrinioHistoricalPrices(ticker,"adj_low",$B185,$D$4,$D$5,$D$6),"")</f>
        <v/>
      </c>
      <c r="N185" s="99" t="str">
        <f ca="1">IFERROR([1]!IntrinioHistoricalPrices(ticker,"adj_close",$B185,$D$4,$D$5,$D$6),"")</f>
        <v/>
      </c>
      <c r="O185" s="100" t="str">
        <f ca="1">IFERROR([1]!IntrinioHistoricalPrices(ticker,"adj_volume",$B185,$D$4,$D$5,$D$6),"")</f>
        <v/>
      </c>
    </row>
    <row r="186" spans="2:15" x14ac:dyDescent="0.45">
      <c r="B186" s="49">
        <f t="shared" si="2"/>
        <v>177</v>
      </c>
      <c r="C186" s="165" t="str">
        <f ca="1">IFERROR([1]!IntrinioHistoricalPrices(ticker,"date",$B186,$D$4,$D$5,$D$6),"")</f>
        <v/>
      </c>
      <c r="D186" s="99" t="str">
        <f ca="1">IFERROR([1]!IntrinioHistoricalPrices(ticker,"open",$B186,$D$4,$D$5,$D$6),"")</f>
        <v/>
      </c>
      <c r="E186" s="99" t="str">
        <f ca="1">IFERROR([1]!IntrinioHistoricalPrices(ticker,"high",$B186,$D$4,$D$5,$D$6),"")</f>
        <v/>
      </c>
      <c r="F186" s="99" t="str">
        <f ca="1">IFERROR([1]!IntrinioHistoricalPrices(ticker,"low",$B186,$D$4,$D$5,$D$6),"")</f>
        <v/>
      </c>
      <c r="G186" s="99" t="str">
        <f ca="1">IFERROR([1]!IntrinioHistoricalPrices(ticker,"close",$B186,$D$4,$D$5,$D$6),"")</f>
        <v/>
      </c>
      <c r="H186" s="100" t="str">
        <f ca="1">IFERROR([1]!IntrinioHistoricalPrices(ticker,"volume",$B186,$D$4,$D$5,$D$6),"")</f>
        <v/>
      </c>
      <c r="I186" s="101" t="str">
        <f ca="1">IFERROR([1]!IntrinioHistoricalPrices(ticker,"split_ratio",$B186,$D$4,$D$5,$D$6),"")</f>
        <v/>
      </c>
      <c r="J186" s="99" t="str">
        <f ca="1">IFERROR([1]!IntrinioHistoricalPrices(ticker,"ex_dividend",$B186,$D$4,$D$5,$D$6),"")</f>
        <v/>
      </c>
      <c r="K186" s="99" t="str">
        <f ca="1">IFERROR([1]!IntrinioHistoricalPrices(ticker,"adj_open",$B186,$D$4,$D$5,$D$6),"")</f>
        <v/>
      </c>
      <c r="L186" s="99" t="str">
        <f ca="1">IFERROR([1]!IntrinioHistoricalPrices(ticker,"adj_high",$B186,$D$4,$D$5,$D$6),"")</f>
        <v/>
      </c>
      <c r="M186" s="99" t="str">
        <f ca="1">IFERROR([1]!IntrinioHistoricalPrices(ticker,"adj_low",$B186,$D$4,$D$5,$D$6),"")</f>
        <v/>
      </c>
      <c r="N186" s="99" t="str">
        <f ca="1">IFERROR([1]!IntrinioHistoricalPrices(ticker,"adj_close",$B186,$D$4,$D$5,$D$6),"")</f>
        <v/>
      </c>
      <c r="O186" s="100" t="str">
        <f ca="1">IFERROR([1]!IntrinioHistoricalPrices(ticker,"adj_volume",$B186,$D$4,$D$5,$D$6),"")</f>
        <v/>
      </c>
    </row>
    <row r="187" spans="2:15" x14ac:dyDescent="0.45">
      <c r="B187" s="49">
        <f t="shared" si="2"/>
        <v>178</v>
      </c>
      <c r="C187" s="165" t="str">
        <f ca="1">IFERROR([1]!IntrinioHistoricalPrices(ticker,"date",$B187,$D$4,$D$5,$D$6),"")</f>
        <v/>
      </c>
      <c r="D187" s="99" t="str">
        <f ca="1">IFERROR([1]!IntrinioHistoricalPrices(ticker,"open",$B187,$D$4,$D$5,$D$6),"")</f>
        <v/>
      </c>
      <c r="E187" s="99" t="str">
        <f ca="1">IFERROR([1]!IntrinioHistoricalPrices(ticker,"high",$B187,$D$4,$D$5,$D$6),"")</f>
        <v/>
      </c>
      <c r="F187" s="99" t="str">
        <f ca="1">IFERROR([1]!IntrinioHistoricalPrices(ticker,"low",$B187,$D$4,$D$5,$D$6),"")</f>
        <v/>
      </c>
      <c r="G187" s="99" t="str">
        <f ca="1">IFERROR([1]!IntrinioHistoricalPrices(ticker,"close",$B187,$D$4,$D$5,$D$6),"")</f>
        <v/>
      </c>
      <c r="H187" s="100" t="str">
        <f ca="1">IFERROR([1]!IntrinioHistoricalPrices(ticker,"volume",$B187,$D$4,$D$5,$D$6),"")</f>
        <v/>
      </c>
      <c r="I187" s="101" t="str">
        <f ca="1">IFERROR([1]!IntrinioHistoricalPrices(ticker,"split_ratio",$B187,$D$4,$D$5,$D$6),"")</f>
        <v/>
      </c>
      <c r="J187" s="99" t="str">
        <f ca="1">IFERROR([1]!IntrinioHistoricalPrices(ticker,"ex_dividend",$B187,$D$4,$D$5,$D$6),"")</f>
        <v/>
      </c>
      <c r="K187" s="99" t="str">
        <f ca="1">IFERROR([1]!IntrinioHistoricalPrices(ticker,"adj_open",$B187,$D$4,$D$5,$D$6),"")</f>
        <v/>
      </c>
      <c r="L187" s="99" t="str">
        <f ca="1">IFERROR([1]!IntrinioHistoricalPrices(ticker,"adj_high",$B187,$D$4,$D$5,$D$6),"")</f>
        <v/>
      </c>
      <c r="M187" s="99" t="str">
        <f ca="1">IFERROR([1]!IntrinioHistoricalPrices(ticker,"adj_low",$B187,$D$4,$D$5,$D$6),"")</f>
        <v/>
      </c>
      <c r="N187" s="99" t="str">
        <f ca="1">IFERROR([1]!IntrinioHistoricalPrices(ticker,"adj_close",$B187,$D$4,$D$5,$D$6),"")</f>
        <v/>
      </c>
      <c r="O187" s="100" t="str">
        <f ca="1">IFERROR([1]!IntrinioHistoricalPrices(ticker,"adj_volume",$B187,$D$4,$D$5,$D$6),"")</f>
        <v/>
      </c>
    </row>
    <row r="188" spans="2:15" x14ac:dyDescent="0.45">
      <c r="B188" s="49">
        <f t="shared" si="2"/>
        <v>179</v>
      </c>
      <c r="C188" s="165" t="str">
        <f ca="1">IFERROR([1]!IntrinioHistoricalPrices(ticker,"date",$B188,$D$4,$D$5,$D$6),"")</f>
        <v/>
      </c>
      <c r="D188" s="99" t="str">
        <f ca="1">IFERROR([1]!IntrinioHistoricalPrices(ticker,"open",$B188,$D$4,$D$5,$D$6),"")</f>
        <v/>
      </c>
      <c r="E188" s="99" t="str">
        <f ca="1">IFERROR([1]!IntrinioHistoricalPrices(ticker,"high",$B188,$D$4,$D$5,$D$6),"")</f>
        <v/>
      </c>
      <c r="F188" s="99" t="str">
        <f ca="1">IFERROR([1]!IntrinioHistoricalPrices(ticker,"low",$B188,$D$4,$D$5,$D$6),"")</f>
        <v/>
      </c>
      <c r="G188" s="99" t="str">
        <f ca="1">IFERROR([1]!IntrinioHistoricalPrices(ticker,"close",$B188,$D$4,$D$5,$D$6),"")</f>
        <v/>
      </c>
      <c r="H188" s="100" t="str">
        <f ca="1">IFERROR([1]!IntrinioHistoricalPrices(ticker,"volume",$B188,$D$4,$D$5,$D$6),"")</f>
        <v/>
      </c>
      <c r="I188" s="101" t="str">
        <f ca="1">IFERROR([1]!IntrinioHistoricalPrices(ticker,"split_ratio",$B188,$D$4,$D$5,$D$6),"")</f>
        <v/>
      </c>
      <c r="J188" s="99" t="str">
        <f ca="1">IFERROR([1]!IntrinioHistoricalPrices(ticker,"ex_dividend",$B188,$D$4,$D$5,$D$6),"")</f>
        <v/>
      </c>
      <c r="K188" s="99" t="str">
        <f ca="1">IFERROR([1]!IntrinioHistoricalPrices(ticker,"adj_open",$B188,$D$4,$D$5,$D$6),"")</f>
        <v/>
      </c>
      <c r="L188" s="99" t="str">
        <f ca="1">IFERROR([1]!IntrinioHistoricalPrices(ticker,"adj_high",$B188,$D$4,$D$5,$D$6),"")</f>
        <v/>
      </c>
      <c r="M188" s="99" t="str">
        <f ca="1">IFERROR([1]!IntrinioHistoricalPrices(ticker,"adj_low",$B188,$D$4,$D$5,$D$6),"")</f>
        <v/>
      </c>
      <c r="N188" s="99" t="str">
        <f ca="1">IFERROR([1]!IntrinioHistoricalPrices(ticker,"adj_close",$B188,$D$4,$D$5,$D$6),"")</f>
        <v/>
      </c>
      <c r="O188" s="100" t="str">
        <f ca="1">IFERROR([1]!IntrinioHistoricalPrices(ticker,"adj_volume",$B188,$D$4,$D$5,$D$6),"")</f>
        <v/>
      </c>
    </row>
    <row r="189" spans="2:15" x14ac:dyDescent="0.45">
      <c r="B189" s="49">
        <f t="shared" si="2"/>
        <v>180</v>
      </c>
      <c r="C189" s="165" t="str">
        <f ca="1">IFERROR([1]!IntrinioHistoricalPrices(ticker,"date",$B189,$D$4,$D$5,$D$6),"")</f>
        <v/>
      </c>
      <c r="D189" s="99" t="str">
        <f ca="1">IFERROR([1]!IntrinioHistoricalPrices(ticker,"open",$B189,$D$4,$D$5,$D$6),"")</f>
        <v/>
      </c>
      <c r="E189" s="99" t="str">
        <f ca="1">IFERROR([1]!IntrinioHistoricalPrices(ticker,"high",$B189,$D$4,$D$5,$D$6),"")</f>
        <v/>
      </c>
      <c r="F189" s="99" t="str">
        <f ca="1">IFERROR([1]!IntrinioHistoricalPrices(ticker,"low",$B189,$D$4,$D$5,$D$6),"")</f>
        <v/>
      </c>
      <c r="G189" s="99" t="str">
        <f ca="1">IFERROR([1]!IntrinioHistoricalPrices(ticker,"close",$B189,$D$4,$D$5,$D$6),"")</f>
        <v/>
      </c>
      <c r="H189" s="100" t="str">
        <f ca="1">IFERROR([1]!IntrinioHistoricalPrices(ticker,"volume",$B189,$D$4,$D$5,$D$6),"")</f>
        <v/>
      </c>
      <c r="I189" s="101" t="str">
        <f ca="1">IFERROR([1]!IntrinioHistoricalPrices(ticker,"split_ratio",$B189,$D$4,$D$5,$D$6),"")</f>
        <v/>
      </c>
      <c r="J189" s="99" t="str">
        <f ca="1">IFERROR([1]!IntrinioHistoricalPrices(ticker,"ex_dividend",$B189,$D$4,$D$5,$D$6),"")</f>
        <v/>
      </c>
      <c r="K189" s="99" t="str">
        <f ca="1">IFERROR([1]!IntrinioHistoricalPrices(ticker,"adj_open",$B189,$D$4,$D$5,$D$6),"")</f>
        <v/>
      </c>
      <c r="L189" s="99" t="str">
        <f ca="1">IFERROR([1]!IntrinioHistoricalPrices(ticker,"adj_high",$B189,$D$4,$D$5,$D$6),"")</f>
        <v/>
      </c>
      <c r="M189" s="99" t="str">
        <f ca="1">IFERROR([1]!IntrinioHistoricalPrices(ticker,"adj_low",$B189,$D$4,$D$5,$D$6),"")</f>
        <v/>
      </c>
      <c r="N189" s="99" t="str">
        <f ca="1">IFERROR([1]!IntrinioHistoricalPrices(ticker,"adj_close",$B189,$D$4,$D$5,$D$6),"")</f>
        <v/>
      </c>
      <c r="O189" s="100" t="str">
        <f ca="1">IFERROR([1]!IntrinioHistoricalPrices(ticker,"adj_volume",$B189,$D$4,$D$5,$D$6),"")</f>
        <v/>
      </c>
    </row>
    <row r="190" spans="2:15" x14ac:dyDescent="0.45">
      <c r="B190" s="49">
        <f t="shared" si="2"/>
        <v>181</v>
      </c>
      <c r="C190" s="165" t="str">
        <f ca="1">IFERROR([1]!IntrinioHistoricalPrices(ticker,"date",$B190,$D$4,$D$5,$D$6),"")</f>
        <v/>
      </c>
      <c r="D190" s="99" t="str">
        <f ca="1">IFERROR([1]!IntrinioHistoricalPrices(ticker,"open",$B190,$D$4,$D$5,$D$6),"")</f>
        <v/>
      </c>
      <c r="E190" s="99" t="str">
        <f ca="1">IFERROR([1]!IntrinioHistoricalPrices(ticker,"high",$B190,$D$4,$D$5,$D$6),"")</f>
        <v/>
      </c>
      <c r="F190" s="99" t="str">
        <f ca="1">IFERROR([1]!IntrinioHistoricalPrices(ticker,"low",$B190,$D$4,$D$5,$D$6),"")</f>
        <v/>
      </c>
      <c r="G190" s="99" t="str">
        <f ca="1">IFERROR([1]!IntrinioHistoricalPrices(ticker,"close",$B190,$D$4,$D$5,$D$6),"")</f>
        <v/>
      </c>
      <c r="H190" s="100" t="str">
        <f ca="1">IFERROR([1]!IntrinioHistoricalPrices(ticker,"volume",$B190,$D$4,$D$5,$D$6),"")</f>
        <v/>
      </c>
      <c r="I190" s="101" t="str">
        <f ca="1">IFERROR([1]!IntrinioHistoricalPrices(ticker,"split_ratio",$B190,$D$4,$D$5,$D$6),"")</f>
        <v/>
      </c>
      <c r="J190" s="99" t="str">
        <f ca="1">IFERROR([1]!IntrinioHistoricalPrices(ticker,"ex_dividend",$B190,$D$4,$D$5,$D$6),"")</f>
        <v/>
      </c>
      <c r="K190" s="99" t="str">
        <f ca="1">IFERROR([1]!IntrinioHistoricalPrices(ticker,"adj_open",$B190,$D$4,$D$5,$D$6),"")</f>
        <v/>
      </c>
      <c r="L190" s="99" t="str">
        <f ca="1">IFERROR([1]!IntrinioHistoricalPrices(ticker,"adj_high",$B190,$D$4,$D$5,$D$6),"")</f>
        <v/>
      </c>
      <c r="M190" s="99" t="str">
        <f ca="1">IFERROR([1]!IntrinioHistoricalPrices(ticker,"adj_low",$B190,$D$4,$D$5,$D$6),"")</f>
        <v/>
      </c>
      <c r="N190" s="99" t="str">
        <f ca="1">IFERROR([1]!IntrinioHistoricalPrices(ticker,"adj_close",$B190,$D$4,$D$5,$D$6),"")</f>
        <v/>
      </c>
      <c r="O190" s="100" t="str">
        <f ca="1">IFERROR([1]!IntrinioHistoricalPrices(ticker,"adj_volume",$B190,$D$4,$D$5,$D$6),"")</f>
        <v/>
      </c>
    </row>
    <row r="191" spans="2:15" x14ac:dyDescent="0.45">
      <c r="B191" s="49">
        <f t="shared" si="2"/>
        <v>182</v>
      </c>
      <c r="C191" s="165" t="str">
        <f ca="1">IFERROR([1]!IntrinioHistoricalPrices(ticker,"date",$B191,$D$4,$D$5,$D$6),"")</f>
        <v/>
      </c>
      <c r="D191" s="99" t="str">
        <f ca="1">IFERROR([1]!IntrinioHistoricalPrices(ticker,"open",$B191,$D$4,$D$5,$D$6),"")</f>
        <v/>
      </c>
      <c r="E191" s="99" t="str">
        <f ca="1">IFERROR([1]!IntrinioHistoricalPrices(ticker,"high",$B191,$D$4,$D$5,$D$6),"")</f>
        <v/>
      </c>
      <c r="F191" s="99" t="str">
        <f ca="1">IFERROR([1]!IntrinioHistoricalPrices(ticker,"low",$B191,$D$4,$D$5,$D$6),"")</f>
        <v/>
      </c>
      <c r="G191" s="99" t="str">
        <f ca="1">IFERROR([1]!IntrinioHistoricalPrices(ticker,"close",$B191,$D$4,$D$5,$D$6),"")</f>
        <v/>
      </c>
      <c r="H191" s="100" t="str">
        <f ca="1">IFERROR([1]!IntrinioHistoricalPrices(ticker,"volume",$B191,$D$4,$D$5,$D$6),"")</f>
        <v/>
      </c>
      <c r="I191" s="101" t="str">
        <f ca="1">IFERROR([1]!IntrinioHistoricalPrices(ticker,"split_ratio",$B191,$D$4,$D$5,$D$6),"")</f>
        <v/>
      </c>
      <c r="J191" s="99" t="str">
        <f ca="1">IFERROR([1]!IntrinioHistoricalPrices(ticker,"ex_dividend",$B191,$D$4,$D$5,$D$6),"")</f>
        <v/>
      </c>
      <c r="K191" s="99" t="str">
        <f ca="1">IFERROR([1]!IntrinioHistoricalPrices(ticker,"adj_open",$B191,$D$4,$D$5,$D$6),"")</f>
        <v/>
      </c>
      <c r="L191" s="99" t="str">
        <f ca="1">IFERROR([1]!IntrinioHistoricalPrices(ticker,"adj_high",$B191,$D$4,$D$5,$D$6),"")</f>
        <v/>
      </c>
      <c r="M191" s="99" t="str">
        <f ca="1">IFERROR([1]!IntrinioHistoricalPrices(ticker,"adj_low",$B191,$D$4,$D$5,$D$6),"")</f>
        <v/>
      </c>
      <c r="N191" s="99" t="str">
        <f ca="1">IFERROR([1]!IntrinioHistoricalPrices(ticker,"adj_close",$B191,$D$4,$D$5,$D$6),"")</f>
        <v/>
      </c>
      <c r="O191" s="100" t="str">
        <f ca="1">IFERROR([1]!IntrinioHistoricalPrices(ticker,"adj_volume",$B191,$D$4,$D$5,$D$6),"")</f>
        <v/>
      </c>
    </row>
    <row r="192" spans="2:15" x14ac:dyDescent="0.45">
      <c r="B192" s="49">
        <f t="shared" si="2"/>
        <v>183</v>
      </c>
      <c r="C192" s="165" t="str">
        <f ca="1">IFERROR([1]!IntrinioHistoricalPrices(ticker,"date",$B192,$D$4,$D$5,$D$6),"")</f>
        <v/>
      </c>
      <c r="D192" s="99" t="str">
        <f ca="1">IFERROR([1]!IntrinioHistoricalPrices(ticker,"open",$B192,$D$4,$D$5,$D$6),"")</f>
        <v/>
      </c>
      <c r="E192" s="99" t="str">
        <f ca="1">IFERROR([1]!IntrinioHistoricalPrices(ticker,"high",$B192,$D$4,$D$5,$D$6),"")</f>
        <v/>
      </c>
      <c r="F192" s="99" t="str">
        <f ca="1">IFERROR([1]!IntrinioHistoricalPrices(ticker,"low",$B192,$D$4,$D$5,$D$6),"")</f>
        <v/>
      </c>
      <c r="G192" s="99" t="str">
        <f ca="1">IFERROR([1]!IntrinioHistoricalPrices(ticker,"close",$B192,$D$4,$D$5,$D$6),"")</f>
        <v/>
      </c>
      <c r="H192" s="100" t="str">
        <f ca="1">IFERROR([1]!IntrinioHistoricalPrices(ticker,"volume",$B192,$D$4,$D$5,$D$6),"")</f>
        <v/>
      </c>
      <c r="I192" s="101" t="str">
        <f ca="1">IFERROR([1]!IntrinioHistoricalPrices(ticker,"split_ratio",$B192,$D$4,$D$5,$D$6),"")</f>
        <v/>
      </c>
      <c r="J192" s="99" t="str">
        <f ca="1">IFERROR([1]!IntrinioHistoricalPrices(ticker,"ex_dividend",$B192,$D$4,$D$5,$D$6),"")</f>
        <v/>
      </c>
      <c r="K192" s="99" t="str">
        <f ca="1">IFERROR([1]!IntrinioHistoricalPrices(ticker,"adj_open",$B192,$D$4,$D$5,$D$6),"")</f>
        <v/>
      </c>
      <c r="L192" s="99" t="str">
        <f ca="1">IFERROR([1]!IntrinioHistoricalPrices(ticker,"adj_high",$B192,$D$4,$D$5,$D$6),"")</f>
        <v/>
      </c>
      <c r="M192" s="99" t="str">
        <f ca="1">IFERROR([1]!IntrinioHistoricalPrices(ticker,"adj_low",$B192,$D$4,$D$5,$D$6),"")</f>
        <v/>
      </c>
      <c r="N192" s="99" t="str">
        <f ca="1">IFERROR([1]!IntrinioHistoricalPrices(ticker,"adj_close",$B192,$D$4,$D$5,$D$6),"")</f>
        <v/>
      </c>
      <c r="O192" s="100" t="str">
        <f ca="1">IFERROR([1]!IntrinioHistoricalPrices(ticker,"adj_volume",$B192,$D$4,$D$5,$D$6),"")</f>
        <v/>
      </c>
    </row>
    <row r="193" spans="2:15" x14ac:dyDescent="0.45">
      <c r="B193" s="49">
        <f t="shared" si="2"/>
        <v>184</v>
      </c>
      <c r="C193" s="165" t="str">
        <f ca="1">IFERROR([1]!IntrinioHistoricalPrices(ticker,"date",$B193,$D$4,$D$5,$D$6),"")</f>
        <v/>
      </c>
      <c r="D193" s="99" t="str">
        <f ca="1">IFERROR([1]!IntrinioHistoricalPrices(ticker,"open",$B193,$D$4,$D$5,$D$6),"")</f>
        <v/>
      </c>
      <c r="E193" s="99" t="str">
        <f ca="1">IFERROR([1]!IntrinioHistoricalPrices(ticker,"high",$B193,$D$4,$D$5,$D$6),"")</f>
        <v/>
      </c>
      <c r="F193" s="99" t="str">
        <f ca="1">IFERROR([1]!IntrinioHistoricalPrices(ticker,"low",$B193,$D$4,$D$5,$D$6),"")</f>
        <v/>
      </c>
      <c r="G193" s="99" t="str">
        <f ca="1">IFERROR([1]!IntrinioHistoricalPrices(ticker,"close",$B193,$D$4,$D$5,$D$6),"")</f>
        <v/>
      </c>
      <c r="H193" s="100" t="str">
        <f ca="1">IFERROR([1]!IntrinioHistoricalPrices(ticker,"volume",$B193,$D$4,$D$5,$D$6),"")</f>
        <v/>
      </c>
      <c r="I193" s="101" t="str">
        <f ca="1">IFERROR([1]!IntrinioHistoricalPrices(ticker,"split_ratio",$B193,$D$4,$D$5,$D$6),"")</f>
        <v/>
      </c>
      <c r="J193" s="99" t="str">
        <f ca="1">IFERROR([1]!IntrinioHistoricalPrices(ticker,"ex_dividend",$B193,$D$4,$D$5,$D$6),"")</f>
        <v/>
      </c>
      <c r="K193" s="99" t="str">
        <f ca="1">IFERROR([1]!IntrinioHistoricalPrices(ticker,"adj_open",$B193,$D$4,$D$5,$D$6),"")</f>
        <v/>
      </c>
      <c r="L193" s="99" t="str">
        <f ca="1">IFERROR([1]!IntrinioHistoricalPrices(ticker,"adj_high",$B193,$D$4,$D$5,$D$6),"")</f>
        <v/>
      </c>
      <c r="M193" s="99" t="str">
        <f ca="1">IFERROR([1]!IntrinioHistoricalPrices(ticker,"adj_low",$B193,$D$4,$D$5,$D$6),"")</f>
        <v/>
      </c>
      <c r="N193" s="99" t="str">
        <f ca="1">IFERROR([1]!IntrinioHistoricalPrices(ticker,"adj_close",$B193,$D$4,$D$5,$D$6),"")</f>
        <v/>
      </c>
      <c r="O193" s="100" t="str">
        <f ca="1">IFERROR([1]!IntrinioHistoricalPrices(ticker,"adj_volume",$B193,$D$4,$D$5,$D$6),"")</f>
        <v/>
      </c>
    </row>
    <row r="194" spans="2:15" x14ac:dyDescent="0.45">
      <c r="B194" s="49">
        <f t="shared" si="2"/>
        <v>185</v>
      </c>
      <c r="C194" s="165" t="str">
        <f ca="1">IFERROR([1]!IntrinioHistoricalPrices(ticker,"date",$B194,$D$4,$D$5,$D$6),"")</f>
        <v/>
      </c>
      <c r="D194" s="99" t="str">
        <f ca="1">IFERROR([1]!IntrinioHistoricalPrices(ticker,"open",$B194,$D$4,$D$5,$D$6),"")</f>
        <v/>
      </c>
      <c r="E194" s="99" t="str">
        <f ca="1">IFERROR([1]!IntrinioHistoricalPrices(ticker,"high",$B194,$D$4,$D$5,$D$6),"")</f>
        <v/>
      </c>
      <c r="F194" s="99" t="str">
        <f ca="1">IFERROR([1]!IntrinioHistoricalPrices(ticker,"low",$B194,$D$4,$D$5,$D$6),"")</f>
        <v/>
      </c>
      <c r="G194" s="99" t="str">
        <f ca="1">IFERROR([1]!IntrinioHistoricalPrices(ticker,"close",$B194,$D$4,$D$5,$D$6),"")</f>
        <v/>
      </c>
      <c r="H194" s="100" t="str">
        <f ca="1">IFERROR([1]!IntrinioHistoricalPrices(ticker,"volume",$B194,$D$4,$D$5,$D$6),"")</f>
        <v/>
      </c>
      <c r="I194" s="101" t="str">
        <f ca="1">IFERROR([1]!IntrinioHistoricalPrices(ticker,"split_ratio",$B194,$D$4,$D$5,$D$6),"")</f>
        <v/>
      </c>
      <c r="J194" s="99" t="str">
        <f ca="1">IFERROR([1]!IntrinioHistoricalPrices(ticker,"ex_dividend",$B194,$D$4,$D$5,$D$6),"")</f>
        <v/>
      </c>
      <c r="K194" s="99" t="str">
        <f ca="1">IFERROR([1]!IntrinioHistoricalPrices(ticker,"adj_open",$B194,$D$4,$D$5,$D$6),"")</f>
        <v/>
      </c>
      <c r="L194" s="99" t="str">
        <f ca="1">IFERROR([1]!IntrinioHistoricalPrices(ticker,"adj_high",$B194,$D$4,$D$5,$D$6),"")</f>
        <v/>
      </c>
      <c r="M194" s="99" t="str">
        <f ca="1">IFERROR([1]!IntrinioHistoricalPrices(ticker,"adj_low",$B194,$D$4,$D$5,$D$6),"")</f>
        <v/>
      </c>
      <c r="N194" s="99" t="str">
        <f ca="1">IFERROR([1]!IntrinioHistoricalPrices(ticker,"adj_close",$B194,$D$4,$D$5,$D$6),"")</f>
        <v/>
      </c>
      <c r="O194" s="100" t="str">
        <f ca="1">IFERROR([1]!IntrinioHistoricalPrices(ticker,"adj_volume",$B194,$D$4,$D$5,$D$6),"")</f>
        <v/>
      </c>
    </row>
    <row r="195" spans="2:15" x14ac:dyDescent="0.45">
      <c r="B195" s="49">
        <f t="shared" si="2"/>
        <v>186</v>
      </c>
      <c r="C195" s="165" t="str">
        <f ca="1">IFERROR([1]!IntrinioHistoricalPrices(ticker,"date",$B195,$D$4,$D$5,$D$6),"")</f>
        <v/>
      </c>
      <c r="D195" s="99" t="str">
        <f ca="1">IFERROR([1]!IntrinioHistoricalPrices(ticker,"open",$B195,$D$4,$D$5,$D$6),"")</f>
        <v/>
      </c>
      <c r="E195" s="99" t="str">
        <f ca="1">IFERROR([1]!IntrinioHistoricalPrices(ticker,"high",$B195,$D$4,$D$5,$D$6),"")</f>
        <v/>
      </c>
      <c r="F195" s="99" t="str">
        <f ca="1">IFERROR([1]!IntrinioHistoricalPrices(ticker,"low",$B195,$D$4,$D$5,$D$6),"")</f>
        <v/>
      </c>
      <c r="G195" s="99" t="str">
        <f ca="1">IFERROR([1]!IntrinioHistoricalPrices(ticker,"close",$B195,$D$4,$D$5,$D$6),"")</f>
        <v/>
      </c>
      <c r="H195" s="100" t="str">
        <f ca="1">IFERROR([1]!IntrinioHistoricalPrices(ticker,"volume",$B195,$D$4,$D$5,$D$6),"")</f>
        <v/>
      </c>
      <c r="I195" s="101" t="str">
        <f ca="1">IFERROR([1]!IntrinioHistoricalPrices(ticker,"split_ratio",$B195,$D$4,$D$5,$D$6),"")</f>
        <v/>
      </c>
      <c r="J195" s="99" t="str">
        <f ca="1">IFERROR([1]!IntrinioHistoricalPrices(ticker,"ex_dividend",$B195,$D$4,$D$5,$D$6),"")</f>
        <v/>
      </c>
      <c r="K195" s="99" t="str">
        <f ca="1">IFERROR([1]!IntrinioHistoricalPrices(ticker,"adj_open",$B195,$D$4,$D$5,$D$6),"")</f>
        <v/>
      </c>
      <c r="L195" s="99" t="str">
        <f ca="1">IFERROR([1]!IntrinioHistoricalPrices(ticker,"adj_high",$B195,$D$4,$D$5,$D$6),"")</f>
        <v/>
      </c>
      <c r="M195" s="99" t="str">
        <f ca="1">IFERROR([1]!IntrinioHistoricalPrices(ticker,"adj_low",$B195,$D$4,$D$5,$D$6),"")</f>
        <v/>
      </c>
      <c r="N195" s="99" t="str">
        <f ca="1">IFERROR([1]!IntrinioHistoricalPrices(ticker,"adj_close",$B195,$D$4,$D$5,$D$6),"")</f>
        <v/>
      </c>
      <c r="O195" s="100" t="str">
        <f ca="1">IFERROR([1]!IntrinioHistoricalPrices(ticker,"adj_volume",$B195,$D$4,$D$5,$D$6),"")</f>
        <v/>
      </c>
    </row>
    <row r="196" spans="2:15" x14ac:dyDescent="0.45">
      <c r="B196" s="49">
        <f t="shared" si="2"/>
        <v>187</v>
      </c>
      <c r="C196" s="165" t="str">
        <f ca="1">IFERROR([1]!IntrinioHistoricalPrices(ticker,"date",$B196,$D$4,$D$5,$D$6),"")</f>
        <v/>
      </c>
      <c r="D196" s="99" t="str">
        <f ca="1">IFERROR([1]!IntrinioHistoricalPrices(ticker,"open",$B196,$D$4,$D$5,$D$6),"")</f>
        <v/>
      </c>
      <c r="E196" s="99" t="str">
        <f ca="1">IFERROR([1]!IntrinioHistoricalPrices(ticker,"high",$B196,$D$4,$D$5,$D$6),"")</f>
        <v/>
      </c>
      <c r="F196" s="99" t="str">
        <f ca="1">IFERROR([1]!IntrinioHistoricalPrices(ticker,"low",$B196,$D$4,$D$5,$D$6),"")</f>
        <v/>
      </c>
      <c r="G196" s="99" t="str">
        <f ca="1">IFERROR([1]!IntrinioHistoricalPrices(ticker,"close",$B196,$D$4,$D$5,$D$6),"")</f>
        <v/>
      </c>
      <c r="H196" s="100" t="str">
        <f ca="1">IFERROR([1]!IntrinioHistoricalPrices(ticker,"volume",$B196,$D$4,$D$5,$D$6),"")</f>
        <v/>
      </c>
      <c r="I196" s="101" t="str">
        <f ca="1">IFERROR([1]!IntrinioHistoricalPrices(ticker,"split_ratio",$B196,$D$4,$D$5,$D$6),"")</f>
        <v/>
      </c>
      <c r="J196" s="99" t="str">
        <f ca="1">IFERROR([1]!IntrinioHistoricalPrices(ticker,"ex_dividend",$B196,$D$4,$D$5,$D$6),"")</f>
        <v/>
      </c>
      <c r="K196" s="99" t="str">
        <f ca="1">IFERROR([1]!IntrinioHistoricalPrices(ticker,"adj_open",$B196,$D$4,$D$5,$D$6),"")</f>
        <v/>
      </c>
      <c r="L196" s="99" t="str">
        <f ca="1">IFERROR([1]!IntrinioHistoricalPrices(ticker,"adj_high",$B196,$D$4,$D$5,$D$6),"")</f>
        <v/>
      </c>
      <c r="M196" s="99" t="str">
        <f ca="1">IFERROR([1]!IntrinioHistoricalPrices(ticker,"adj_low",$B196,$D$4,$D$5,$D$6),"")</f>
        <v/>
      </c>
      <c r="N196" s="99" t="str">
        <f ca="1">IFERROR([1]!IntrinioHistoricalPrices(ticker,"adj_close",$B196,$D$4,$D$5,$D$6),"")</f>
        <v/>
      </c>
      <c r="O196" s="100" t="str">
        <f ca="1">IFERROR([1]!IntrinioHistoricalPrices(ticker,"adj_volume",$B196,$D$4,$D$5,$D$6),"")</f>
        <v/>
      </c>
    </row>
    <row r="197" spans="2:15" x14ac:dyDescent="0.45">
      <c r="B197" s="49">
        <f t="shared" si="2"/>
        <v>188</v>
      </c>
      <c r="C197" s="165" t="str">
        <f ca="1">IFERROR([1]!IntrinioHistoricalPrices(ticker,"date",$B197,$D$4,$D$5,$D$6),"")</f>
        <v/>
      </c>
      <c r="D197" s="99" t="str">
        <f ca="1">IFERROR([1]!IntrinioHistoricalPrices(ticker,"open",$B197,$D$4,$D$5,$D$6),"")</f>
        <v/>
      </c>
      <c r="E197" s="99" t="str">
        <f ca="1">IFERROR([1]!IntrinioHistoricalPrices(ticker,"high",$B197,$D$4,$D$5,$D$6),"")</f>
        <v/>
      </c>
      <c r="F197" s="99" t="str">
        <f ca="1">IFERROR([1]!IntrinioHistoricalPrices(ticker,"low",$B197,$D$4,$D$5,$D$6),"")</f>
        <v/>
      </c>
      <c r="G197" s="99" t="str">
        <f ca="1">IFERROR([1]!IntrinioHistoricalPrices(ticker,"close",$B197,$D$4,$D$5,$D$6),"")</f>
        <v/>
      </c>
      <c r="H197" s="100" t="str">
        <f ca="1">IFERROR([1]!IntrinioHistoricalPrices(ticker,"volume",$B197,$D$4,$D$5,$D$6),"")</f>
        <v/>
      </c>
      <c r="I197" s="101" t="str">
        <f ca="1">IFERROR([1]!IntrinioHistoricalPrices(ticker,"split_ratio",$B197,$D$4,$D$5,$D$6),"")</f>
        <v/>
      </c>
      <c r="J197" s="99" t="str">
        <f ca="1">IFERROR([1]!IntrinioHistoricalPrices(ticker,"ex_dividend",$B197,$D$4,$D$5,$D$6),"")</f>
        <v/>
      </c>
      <c r="K197" s="99" t="str">
        <f ca="1">IFERROR([1]!IntrinioHistoricalPrices(ticker,"adj_open",$B197,$D$4,$D$5,$D$6),"")</f>
        <v/>
      </c>
      <c r="L197" s="99" t="str">
        <f ca="1">IFERROR([1]!IntrinioHistoricalPrices(ticker,"adj_high",$B197,$D$4,$D$5,$D$6),"")</f>
        <v/>
      </c>
      <c r="M197" s="99" t="str">
        <f ca="1">IFERROR([1]!IntrinioHistoricalPrices(ticker,"adj_low",$B197,$D$4,$D$5,$D$6),"")</f>
        <v/>
      </c>
      <c r="N197" s="99" t="str">
        <f ca="1">IFERROR([1]!IntrinioHistoricalPrices(ticker,"adj_close",$B197,$D$4,$D$5,$D$6),"")</f>
        <v/>
      </c>
      <c r="O197" s="100" t="str">
        <f ca="1">IFERROR([1]!IntrinioHistoricalPrices(ticker,"adj_volume",$B197,$D$4,$D$5,$D$6),"")</f>
        <v/>
      </c>
    </row>
    <row r="198" spans="2:15" x14ac:dyDescent="0.45">
      <c r="B198" s="49">
        <f t="shared" si="2"/>
        <v>189</v>
      </c>
      <c r="C198" s="165" t="str">
        <f ca="1">IFERROR([1]!IntrinioHistoricalPrices(ticker,"date",$B198,$D$4,$D$5,$D$6),"")</f>
        <v/>
      </c>
      <c r="D198" s="99" t="str">
        <f ca="1">IFERROR([1]!IntrinioHistoricalPrices(ticker,"open",$B198,$D$4,$D$5,$D$6),"")</f>
        <v/>
      </c>
      <c r="E198" s="99" t="str">
        <f ca="1">IFERROR([1]!IntrinioHistoricalPrices(ticker,"high",$B198,$D$4,$D$5,$D$6),"")</f>
        <v/>
      </c>
      <c r="F198" s="99" t="str">
        <f ca="1">IFERROR([1]!IntrinioHistoricalPrices(ticker,"low",$B198,$D$4,$D$5,$D$6),"")</f>
        <v/>
      </c>
      <c r="G198" s="99" t="str">
        <f ca="1">IFERROR([1]!IntrinioHistoricalPrices(ticker,"close",$B198,$D$4,$D$5,$D$6),"")</f>
        <v/>
      </c>
      <c r="H198" s="100" t="str">
        <f ca="1">IFERROR([1]!IntrinioHistoricalPrices(ticker,"volume",$B198,$D$4,$D$5,$D$6),"")</f>
        <v/>
      </c>
      <c r="I198" s="101" t="str">
        <f ca="1">IFERROR([1]!IntrinioHistoricalPrices(ticker,"split_ratio",$B198,$D$4,$D$5,$D$6),"")</f>
        <v/>
      </c>
      <c r="J198" s="99" t="str">
        <f ca="1">IFERROR([1]!IntrinioHistoricalPrices(ticker,"ex_dividend",$B198,$D$4,$D$5,$D$6),"")</f>
        <v/>
      </c>
      <c r="K198" s="99" t="str">
        <f ca="1">IFERROR([1]!IntrinioHistoricalPrices(ticker,"adj_open",$B198,$D$4,$D$5,$D$6),"")</f>
        <v/>
      </c>
      <c r="L198" s="99" t="str">
        <f ca="1">IFERROR([1]!IntrinioHistoricalPrices(ticker,"adj_high",$B198,$D$4,$D$5,$D$6),"")</f>
        <v/>
      </c>
      <c r="M198" s="99" t="str">
        <f ca="1">IFERROR([1]!IntrinioHistoricalPrices(ticker,"adj_low",$B198,$D$4,$D$5,$D$6),"")</f>
        <v/>
      </c>
      <c r="N198" s="99" t="str">
        <f ca="1">IFERROR([1]!IntrinioHistoricalPrices(ticker,"adj_close",$B198,$D$4,$D$5,$D$6),"")</f>
        <v/>
      </c>
      <c r="O198" s="100" t="str">
        <f ca="1">IFERROR([1]!IntrinioHistoricalPrices(ticker,"adj_volume",$B198,$D$4,$D$5,$D$6),"")</f>
        <v/>
      </c>
    </row>
    <row r="199" spans="2:15" x14ac:dyDescent="0.45">
      <c r="B199" s="49">
        <f t="shared" si="2"/>
        <v>190</v>
      </c>
      <c r="C199" s="165" t="str">
        <f ca="1">IFERROR([1]!IntrinioHistoricalPrices(ticker,"date",$B199,$D$4,$D$5,$D$6),"")</f>
        <v/>
      </c>
      <c r="D199" s="99" t="str">
        <f ca="1">IFERROR([1]!IntrinioHistoricalPrices(ticker,"open",$B199,$D$4,$D$5,$D$6),"")</f>
        <v/>
      </c>
      <c r="E199" s="99" t="str">
        <f ca="1">IFERROR([1]!IntrinioHistoricalPrices(ticker,"high",$B199,$D$4,$D$5,$D$6),"")</f>
        <v/>
      </c>
      <c r="F199" s="99" t="str">
        <f ca="1">IFERROR([1]!IntrinioHistoricalPrices(ticker,"low",$B199,$D$4,$D$5,$D$6),"")</f>
        <v/>
      </c>
      <c r="G199" s="99" t="str">
        <f ca="1">IFERROR([1]!IntrinioHistoricalPrices(ticker,"close",$B199,$D$4,$D$5,$D$6),"")</f>
        <v/>
      </c>
      <c r="H199" s="100" t="str">
        <f ca="1">IFERROR([1]!IntrinioHistoricalPrices(ticker,"volume",$B199,$D$4,$D$5,$D$6),"")</f>
        <v/>
      </c>
      <c r="I199" s="101" t="str">
        <f ca="1">IFERROR([1]!IntrinioHistoricalPrices(ticker,"split_ratio",$B199,$D$4,$D$5,$D$6),"")</f>
        <v/>
      </c>
      <c r="J199" s="99" t="str">
        <f ca="1">IFERROR([1]!IntrinioHistoricalPrices(ticker,"ex_dividend",$B199,$D$4,$D$5,$D$6),"")</f>
        <v/>
      </c>
      <c r="K199" s="99" t="str">
        <f ca="1">IFERROR([1]!IntrinioHistoricalPrices(ticker,"adj_open",$B199,$D$4,$D$5,$D$6),"")</f>
        <v/>
      </c>
      <c r="L199" s="99" t="str">
        <f ca="1">IFERROR([1]!IntrinioHistoricalPrices(ticker,"adj_high",$B199,$D$4,$D$5,$D$6),"")</f>
        <v/>
      </c>
      <c r="M199" s="99" t="str">
        <f ca="1">IFERROR([1]!IntrinioHistoricalPrices(ticker,"adj_low",$B199,$D$4,$D$5,$D$6),"")</f>
        <v/>
      </c>
      <c r="N199" s="99" t="str">
        <f ca="1">IFERROR([1]!IntrinioHistoricalPrices(ticker,"adj_close",$B199,$D$4,$D$5,$D$6),"")</f>
        <v/>
      </c>
      <c r="O199" s="100" t="str">
        <f ca="1">IFERROR([1]!IntrinioHistoricalPrices(ticker,"adj_volume",$B199,$D$4,$D$5,$D$6),"")</f>
        <v/>
      </c>
    </row>
    <row r="200" spans="2:15" x14ac:dyDescent="0.45">
      <c r="B200" s="49">
        <f t="shared" si="2"/>
        <v>191</v>
      </c>
      <c r="C200" s="165" t="str">
        <f ca="1">IFERROR([1]!IntrinioHistoricalPrices(ticker,"date",$B200,$D$4,$D$5,$D$6),"")</f>
        <v/>
      </c>
      <c r="D200" s="99" t="str">
        <f ca="1">IFERROR([1]!IntrinioHistoricalPrices(ticker,"open",$B200,$D$4,$D$5,$D$6),"")</f>
        <v/>
      </c>
      <c r="E200" s="99" t="str">
        <f ca="1">IFERROR([1]!IntrinioHistoricalPrices(ticker,"high",$B200,$D$4,$D$5,$D$6),"")</f>
        <v/>
      </c>
      <c r="F200" s="99" t="str">
        <f ca="1">IFERROR([1]!IntrinioHistoricalPrices(ticker,"low",$B200,$D$4,$D$5,$D$6),"")</f>
        <v/>
      </c>
      <c r="G200" s="99" t="str">
        <f ca="1">IFERROR([1]!IntrinioHistoricalPrices(ticker,"close",$B200,$D$4,$D$5,$D$6),"")</f>
        <v/>
      </c>
      <c r="H200" s="100" t="str">
        <f ca="1">IFERROR([1]!IntrinioHistoricalPrices(ticker,"volume",$B200,$D$4,$D$5,$D$6),"")</f>
        <v/>
      </c>
      <c r="I200" s="101" t="str">
        <f ca="1">IFERROR([1]!IntrinioHistoricalPrices(ticker,"split_ratio",$B200,$D$4,$D$5,$D$6),"")</f>
        <v/>
      </c>
      <c r="J200" s="99" t="str">
        <f ca="1">IFERROR([1]!IntrinioHistoricalPrices(ticker,"ex_dividend",$B200,$D$4,$D$5,$D$6),"")</f>
        <v/>
      </c>
      <c r="K200" s="99" t="str">
        <f ca="1">IFERROR([1]!IntrinioHistoricalPrices(ticker,"adj_open",$B200,$D$4,$D$5,$D$6),"")</f>
        <v/>
      </c>
      <c r="L200" s="99" t="str">
        <f ca="1">IFERROR([1]!IntrinioHistoricalPrices(ticker,"adj_high",$B200,$D$4,$D$5,$D$6),"")</f>
        <v/>
      </c>
      <c r="M200" s="99" t="str">
        <f ca="1">IFERROR([1]!IntrinioHistoricalPrices(ticker,"adj_low",$B200,$D$4,$D$5,$D$6),"")</f>
        <v/>
      </c>
      <c r="N200" s="99" t="str">
        <f ca="1">IFERROR([1]!IntrinioHistoricalPrices(ticker,"adj_close",$B200,$D$4,$D$5,$D$6),"")</f>
        <v/>
      </c>
      <c r="O200" s="100" t="str">
        <f ca="1">IFERROR([1]!IntrinioHistoricalPrices(ticker,"adj_volume",$B200,$D$4,$D$5,$D$6),"")</f>
        <v/>
      </c>
    </row>
    <row r="201" spans="2:15" x14ac:dyDescent="0.45">
      <c r="B201" s="49">
        <f t="shared" si="2"/>
        <v>192</v>
      </c>
      <c r="C201" s="165" t="str">
        <f ca="1">IFERROR([1]!IntrinioHistoricalPrices(ticker,"date",$B201,$D$4,$D$5,$D$6),"")</f>
        <v/>
      </c>
      <c r="D201" s="99" t="str">
        <f ca="1">IFERROR([1]!IntrinioHistoricalPrices(ticker,"open",$B201,$D$4,$D$5,$D$6),"")</f>
        <v/>
      </c>
      <c r="E201" s="99" t="str">
        <f ca="1">IFERROR([1]!IntrinioHistoricalPrices(ticker,"high",$B201,$D$4,$D$5,$D$6),"")</f>
        <v/>
      </c>
      <c r="F201" s="99" t="str">
        <f ca="1">IFERROR([1]!IntrinioHistoricalPrices(ticker,"low",$B201,$D$4,$D$5,$D$6),"")</f>
        <v/>
      </c>
      <c r="G201" s="99" t="str">
        <f ca="1">IFERROR([1]!IntrinioHistoricalPrices(ticker,"close",$B201,$D$4,$D$5,$D$6),"")</f>
        <v/>
      </c>
      <c r="H201" s="100" t="str">
        <f ca="1">IFERROR([1]!IntrinioHistoricalPrices(ticker,"volume",$B201,$D$4,$D$5,$D$6),"")</f>
        <v/>
      </c>
      <c r="I201" s="101" t="str">
        <f ca="1">IFERROR([1]!IntrinioHistoricalPrices(ticker,"split_ratio",$B201,$D$4,$D$5,$D$6),"")</f>
        <v/>
      </c>
      <c r="J201" s="99" t="str">
        <f ca="1">IFERROR([1]!IntrinioHistoricalPrices(ticker,"ex_dividend",$B201,$D$4,$D$5,$D$6),"")</f>
        <v/>
      </c>
      <c r="K201" s="99" t="str">
        <f ca="1">IFERROR([1]!IntrinioHistoricalPrices(ticker,"adj_open",$B201,$D$4,$D$5,$D$6),"")</f>
        <v/>
      </c>
      <c r="L201" s="99" t="str">
        <f ca="1">IFERROR([1]!IntrinioHistoricalPrices(ticker,"adj_high",$B201,$D$4,$D$5,$D$6),"")</f>
        <v/>
      </c>
      <c r="M201" s="99" t="str">
        <f ca="1">IFERROR([1]!IntrinioHistoricalPrices(ticker,"adj_low",$B201,$D$4,$D$5,$D$6),"")</f>
        <v/>
      </c>
      <c r="N201" s="99" t="str">
        <f ca="1">IFERROR([1]!IntrinioHistoricalPrices(ticker,"adj_close",$B201,$D$4,$D$5,$D$6),"")</f>
        <v/>
      </c>
      <c r="O201" s="100" t="str">
        <f ca="1">IFERROR([1]!IntrinioHistoricalPrices(ticker,"adj_volume",$B201,$D$4,$D$5,$D$6),"")</f>
        <v/>
      </c>
    </row>
    <row r="202" spans="2:15" x14ac:dyDescent="0.45">
      <c r="B202" s="49">
        <f t="shared" si="2"/>
        <v>193</v>
      </c>
      <c r="C202" s="165" t="str">
        <f ca="1">IFERROR([1]!IntrinioHistoricalPrices(ticker,"date",$B202,$D$4,$D$5,$D$6),"")</f>
        <v/>
      </c>
      <c r="D202" s="99" t="str">
        <f ca="1">IFERROR([1]!IntrinioHistoricalPrices(ticker,"open",$B202,$D$4,$D$5,$D$6),"")</f>
        <v/>
      </c>
      <c r="E202" s="99" t="str">
        <f ca="1">IFERROR([1]!IntrinioHistoricalPrices(ticker,"high",$B202,$D$4,$D$5,$D$6),"")</f>
        <v/>
      </c>
      <c r="F202" s="99" t="str">
        <f ca="1">IFERROR([1]!IntrinioHistoricalPrices(ticker,"low",$B202,$D$4,$D$5,$D$6),"")</f>
        <v/>
      </c>
      <c r="G202" s="99" t="str">
        <f ca="1">IFERROR([1]!IntrinioHistoricalPrices(ticker,"close",$B202,$D$4,$D$5,$D$6),"")</f>
        <v/>
      </c>
      <c r="H202" s="100" t="str">
        <f ca="1">IFERROR([1]!IntrinioHistoricalPrices(ticker,"volume",$B202,$D$4,$D$5,$D$6),"")</f>
        <v/>
      </c>
      <c r="I202" s="101" t="str">
        <f ca="1">IFERROR([1]!IntrinioHistoricalPrices(ticker,"split_ratio",$B202,$D$4,$D$5,$D$6),"")</f>
        <v/>
      </c>
      <c r="J202" s="99" t="str">
        <f ca="1">IFERROR([1]!IntrinioHistoricalPrices(ticker,"ex_dividend",$B202,$D$4,$D$5,$D$6),"")</f>
        <v/>
      </c>
      <c r="K202" s="99" t="str">
        <f ca="1">IFERROR([1]!IntrinioHistoricalPrices(ticker,"adj_open",$B202,$D$4,$D$5,$D$6),"")</f>
        <v/>
      </c>
      <c r="L202" s="99" t="str">
        <f ca="1">IFERROR([1]!IntrinioHistoricalPrices(ticker,"adj_high",$B202,$D$4,$D$5,$D$6),"")</f>
        <v/>
      </c>
      <c r="M202" s="99" t="str">
        <f ca="1">IFERROR([1]!IntrinioHistoricalPrices(ticker,"adj_low",$B202,$D$4,$D$5,$D$6),"")</f>
        <v/>
      </c>
      <c r="N202" s="99" t="str">
        <f ca="1">IFERROR([1]!IntrinioHistoricalPrices(ticker,"adj_close",$B202,$D$4,$D$5,$D$6),"")</f>
        <v/>
      </c>
      <c r="O202" s="100" t="str">
        <f ca="1">IFERROR([1]!IntrinioHistoricalPrices(ticker,"adj_volume",$B202,$D$4,$D$5,$D$6),"")</f>
        <v/>
      </c>
    </row>
    <row r="203" spans="2:15" x14ac:dyDescent="0.45">
      <c r="B203" s="49">
        <f t="shared" ref="B203:B266" si="3">+B202+1</f>
        <v>194</v>
      </c>
      <c r="C203" s="165" t="str">
        <f ca="1">IFERROR([1]!IntrinioHistoricalPrices(ticker,"date",$B203,$D$4,$D$5,$D$6),"")</f>
        <v/>
      </c>
      <c r="D203" s="99" t="str">
        <f ca="1">IFERROR([1]!IntrinioHistoricalPrices(ticker,"open",$B203,$D$4,$D$5,$D$6),"")</f>
        <v/>
      </c>
      <c r="E203" s="99" t="str">
        <f ca="1">IFERROR([1]!IntrinioHistoricalPrices(ticker,"high",$B203,$D$4,$D$5,$D$6),"")</f>
        <v/>
      </c>
      <c r="F203" s="99" t="str">
        <f ca="1">IFERROR([1]!IntrinioHistoricalPrices(ticker,"low",$B203,$D$4,$D$5,$D$6),"")</f>
        <v/>
      </c>
      <c r="G203" s="99" t="str">
        <f ca="1">IFERROR([1]!IntrinioHistoricalPrices(ticker,"close",$B203,$D$4,$D$5,$D$6),"")</f>
        <v/>
      </c>
      <c r="H203" s="100" t="str">
        <f ca="1">IFERROR([1]!IntrinioHistoricalPrices(ticker,"volume",$B203,$D$4,$D$5,$D$6),"")</f>
        <v/>
      </c>
      <c r="I203" s="101" t="str">
        <f ca="1">IFERROR([1]!IntrinioHistoricalPrices(ticker,"split_ratio",$B203,$D$4,$D$5,$D$6),"")</f>
        <v/>
      </c>
      <c r="J203" s="99" t="str">
        <f ca="1">IFERROR([1]!IntrinioHistoricalPrices(ticker,"ex_dividend",$B203,$D$4,$D$5,$D$6),"")</f>
        <v/>
      </c>
      <c r="K203" s="99" t="str">
        <f ca="1">IFERROR([1]!IntrinioHistoricalPrices(ticker,"adj_open",$B203,$D$4,$D$5,$D$6),"")</f>
        <v/>
      </c>
      <c r="L203" s="99" t="str">
        <f ca="1">IFERROR([1]!IntrinioHistoricalPrices(ticker,"adj_high",$B203,$D$4,$D$5,$D$6),"")</f>
        <v/>
      </c>
      <c r="M203" s="99" t="str">
        <f ca="1">IFERROR([1]!IntrinioHistoricalPrices(ticker,"adj_low",$B203,$D$4,$D$5,$D$6),"")</f>
        <v/>
      </c>
      <c r="N203" s="99" t="str">
        <f ca="1">IFERROR([1]!IntrinioHistoricalPrices(ticker,"adj_close",$B203,$D$4,$D$5,$D$6),"")</f>
        <v/>
      </c>
      <c r="O203" s="100" t="str">
        <f ca="1">IFERROR([1]!IntrinioHistoricalPrices(ticker,"adj_volume",$B203,$D$4,$D$5,$D$6),"")</f>
        <v/>
      </c>
    </row>
    <row r="204" spans="2:15" x14ac:dyDescent="0.45">
      <c r="B204" s="49">
        <f t="shared" si="3"/>
        <v>195</v>
      </c>
      <c r="C204" s="165" t="str">
        <f ca="1">IFERROR([1]!IntrinioHistoricalPrices(ticker,"date",$B204,$D$4,$D$5,$D$6),"")</f>
        <v/>
      </c>
      <c r="D204" s="99" t="str">
        <f ca="1">IFERROR([1]!IntrinioHistoricalPrices(ticker,"open",$B204,$D$4,$D$5,$D$6),"")</f>
        <v/>
      </c>
      <c r="E204" s="99" t="str">
        <f ca="1">IFERROR([1]!IntrinioHistoricalPrices(ticker,"high",$B204,$D$4,$D$5,$D$6),"")</f>
        <v/>
      </c>
      <c r="F204" s="99" t="str">
        <f ca="1">IFERROR([1]!IntrinioHistoricalPrices(ticker,"low",$B204,$D$4,$D$5,$D$6),"")</f>
        <v/>
      </c>
      <c r="G204" s="99" t="str">
        <f ca="1">IFERROR([1]!IntrinioHistoricalPrices(ticker,"close",$B204,$D$4,$D$5,$D$6),"")</f>
        <v/>
      </c>
      <c r="H204" s="100" t="str">
        <f ca="1">IFERROR([1]!IntrinioHistoricalPrices(ticker,"volume",$B204,$D$4,$D$5,$D$6),"")</f>
        <v/>
      </c>
      <c r="I204" s="101" t="str">
        <f ca="1">IFERROR([1]!IntrinioHistoricalPrices(ticker,"split_ratio",$B204,$D$4,$D$5,$D$6),"")</f>
        <v/>
      </c>
      <c r="J204" s="99" t="str">
        <f ca="1">IFERROR([1]!IntrinioHistoricalPrices(ticker,"ex_dividend",$B204,$D$4,$D$5,$D$6),"")</f>
        <v/>
      </c>
      <c r="K204" s="99" t="str">
        <f ca="1">IFERROR([1]!IntrinioHistoricalPrices(ticker,"adj_open",$B204,$D$4,$D$5,$D$6),"")</f>
        <v/>
      </c>
      <c r="L204" s="99" t="str">
        <f ca="1">IFERROR([1]!IntrinioHistoricalPrices(ticker,"adj_high",$B204,$D$4,$D$5,$D$6),"")</f>
        <v/>
      </c>
      <c r="M204" s="99" t="str">
        <f ca="1">IFERROR([1]!IntrinioHistoricalPrices(ticker,"adj_low",$B204,$D$4,$D$5,$D$6),"")</f>
        <v/>
      </c>
      <c r="N204" s="99" t="str">
        <f ca="1">IFERROR([1]!IntrinioHistoricalPrices(ticker,"adj_close",$B204,$D$4,$D$5,$D$6),"")</f>
        <v/>
      </c>
      <c r="O204" s="100" t="str">
        <f ca="1">IFERROR([1]!IntrinioHistoricalPrices(ticker,"adj_volume",$B204,$D$4,$D$5,$D$6),"")</f>
        <v/>
      </c>
    </row>
    <row r="205" spans="2:15" x14ac:dyDescent="0.45">
      <c r="B205" s="49">
        <f t="shared" si="3"/>
        <v>196</v>
      </c>
      <c r="C205" s="165" t="str">
        <f ca="1">IFERROR([1]!IntrinioHistoricalPrices(ticker,"date",$B205,$D$4,$D$5,$D$6),"")</f>
        <v/>
      </c>
      <c r="D205" s="99" t="str">
        <f ca="1">IFERROR([1]!IntrinioHistoricalPrices(ticker,"open",$B205,$D$4,$D$5,$D$6),"")</f>
        <v/>
      </c>
      <c r="E205" s="99" t="str">
        <f ca="1">IFERROR([1]!IntrinioHistoricalPrices(ticker,"high",$B205,$D$4,$D$5,$D$6),"")</f>
        <v/>
      </c>
      <c r="F205" s="99" t="str">
        <f ca="1">IFERROR([1]!IntrinioHistoricalPrices(ticker,"low",$B205,$D$4,$D$5,$D$6),"")</f>
        <v/>
      </c>
      <c r="G205" s="99" t="str">
        <f ca="1">IFERROR([1]!IntrinioHistoricalPrices(ticker,"close",$B205,$D$4,$D$5,$D$6),"")</f>
        <v/>
      </c>
      <c r="H205" s="100" t="str">
        <f ca="1">IFERROR([1]!IntrinioHistoricalPrices(ticker,"volume",$B205,$D$4,$D$5,$D$6),"")</f>
        <v/>
      </c>
      <c r="I205" s="101" t="str">
        <f ca="1">IFERROR([1]!IntrinioHistoricalPrices(ticker,"split_ratio",$B205,$D$4,$D$5,$D$6),"")</f>
        <v/>
      </c>
      <c r="J205" s="99" t="str">
        <f ca="1">IFERROR([1]!IntrinioHistoricalPrices(ticker,"ex_dividend",$B205,$D$4,$D$5,$D$6),"")</f>
        <v/>
      </c>
      <c r="K205" s="99" t="str">
        <f ca="1">IFERROR([1]!IntrinioHistoricalPrices(ticker,"adj_open",$B205,$D$4,$D$5,$D$6),"")</f>
        <v/>
      </c>
      <c r="L205" s="99" t="str">
        <f ca="1">IFERROR([1]!IntrinioHistoricalPrices(ticker,"adj_high",$B205,$D$4,$D$5,$D$6),"")</f>
        <v/>
      </c>
      <c r="M205" s="99" t="str">
        <f ca="1">IFERROR([1]!IntrinioHistoricalPrices(ticker,"adj_low",$B205,$D$4,$D$5,$D$6),"")</f>
        <v/>
      </c>
      <c r="N205" s="99" t="str">
        <f ca="1">IFERROR([1]!IntrinioHistoricalPrices(ticker,"adj_close",$B205,$D$4,$D$5,$D$6),"")</f>
        <v/>
      </c>
      <c r="O205" s="100" t="str">
        <f ca="1">IFERROR([1]!IntrinioHistoricalPrices(ticker,"adj_volume",$B205,$D$4,$D$5,$D$6),"")</f>
        <v/>
      </c>
    </row>
    <row r="206" spans="2:15" x14ac:dyDescent="0.45">
      <c r="B206" s="49">
        <f t="shared" si="3"/>
        <v>197</v>
      </c>
      <c r="C206" s="165" t="str">
        <f ca="1">IFERROR([1]!IntrinioHistoricalPrices(ticker,"date",$B206,$D$4,$D$5,$D$6),"")</f>
        <v/>
      </c>
      <c r="D206" s="99" t="str">
        <f ca="1">IFERROR([1]!IntrinioHistoricalPrices(ticker,"open",$B206,$D$4,$D$5,$D$6),"")</f>
        <v/>
      </c>
      <c r="E206" s="99" t="str">
        <f ca="1">IFERROR([1]!IntrinioHistoricalPrices(ticker,"high",$B206,$D$4,$D$5,$D$6),"")</f>
        <v/>
      </c>
      <c r="F206" s="99" t="str">
        <f ca="1">IFERROR([1]!IntrinioHistoricalPrices(ticker,"low",$B206,$D$4,$D$5,$D$6),"")</f>
        <v/>
      </c>
      <c r="G206" s="99" t="str">
        <f ca="1">IFERROR([1]!IntrinioHistoricalPrices(ticker,"close",$B206,$D$4,$D$5,$D$6),"")</f>
        <v/>
      </c>
      <c r="H206" s="100" t="str">
        <f ca="1">IFERROR([1]!IntrinioHistoricalPrices(ticker,"volume",$B206,$D$4,$D$5,$D$6),"")</f>
        <v/>
      </c>
      <c r="I206" s="101" t="str">
        <f ca="1">IFERROR([1]!IntrinioHistoricalPrices(ticker,"split_ratio",$B206,$D$4,$D$5,$D$6),"")</f>
        <v/>
      </c>
      <c r="J206" s="99" t="str">
        <f ca="1">IFERROR([1]!IntrinioHistoricalPrices(ticker,"ex_dividend",$B206,$D$4,$D$5,$D$6),"")</f>
        <v/>
      </c>
      <c r="K206" s="99" t="str">
        <f ca="1">IFERROR([1]!IntrinioHistoricalPrices(ticker,"adj_open",$B206,$D$4,$D$5,$D$6),"")</f>
        <v/>
      </c>
      <c r="L206" s="99" t="str">
        <f ca="1">IFERROR([1]!IntrinioHistoricalPrices(ticker,"adj_high",$B206,$D$4,$D$5,$D$6),"")</f>
        <v/>
      </c>
      <c r="M206" s="99" t="str">
        <f ca="1">IFERROR([1]!IntrinioHistoricalPrices(ticker,"adj_low",$B206,$D$4,$D$5,$D$6),"")</f>
        <v/>
      </c>
      <c r="N206" s="99" t="str">
        <f ca="1">IFERROR([1]!IntrinioHistoricalPrices(ticker,"adj_close",$B206,$D$4,$D$5,$D$6),"")</f>
        <v/>
      </c>
      <c r="O206" s="100" t="str">
        <f ca="1">IFERROR([1]!IntrinioHistoricalPrices(ticker,"adj_volume",$B206,$D$4,$D$5,$D$6),"")</f>
        <v/>
      </c>
    </row>
    <row r="207" spans="2:15" x14ac:dyDescent="0.45">
      <c r="B207" s="49">
        <f t="shared" si="3"/>
        <v>198</v>
      </c>
      <c r="C207" s="165" t="str">
        <f ca="1">IFERROR([1]!IntrinioHistoricalPrices(ticker,"date",$B207,$D$4,$D$5,$D$6),"")</f>
        <v/>
      </c>
      <c r="D207" s="99" t="str">
        <f ca="1">IFERROR([1]!IntrinioHistoricalPrices(ticker,"open",$B207,$D$4,$D$5,$D$6),"")</f>
        <v/>
      </c>
      <c r="E207" s="99" t="str">
        <f ca="1">IFERROR([1]!IntrinioHistoricalPrices(ticker,"high",$B207,$D$4,$D$5,$D$6),"")</f>
        <v/>
      </c>
      <c r="F207" s="99" t="str">
        <f ca="1">IFERROR([1]!IntrinioHistoricalPrices(ticker,"low",$B207,$D$4,$D$5,$D$6),"")</f>
        <v/>
      </c>
      <c r="G207" s="99" t="str">
        <f ca="1">IFERROR([1]!IntrinioHistoricalPrices(ticker,"close",$B207,$D$4,$D$5,$D$6),"")</f>
        <v/>
      </c>
      <c r="H207" s="100" t="str">
        <f ca="1">IFERROR([1]!IntrinioHistoricalPrices(ticker,"volume",$B207,$D$4,$D$5,$D$6),"")</f>
        <v/>
      </c>
      <c r="I207" s="101" t="str">
        <f ca="1">IFERROR([1]!IntrinioHistoricalPrices(ticker,"split_ratio",$B207,$D$4,$D$5,$D$6),"")</f>
        <v/>
      </c>
      <c r="J207" s="99" t="str">
        <f ca="1">IFERROR([1]!IntrinioHistoricalPrices(ticker,"ex_dividend",$B207,$D$4,$D$5,$D$6),"")</f>
        <v/>
      </c>
      <c r="K207" s="99" t="str">
        <f ca="1">IFERROR([1]!IntrinioHistoricalPrices(ticker,"adj_open",$B207,$D$4,$D$5,$D$6),"")</f>
        <v/>
      </c>
      <c r="L207" s="99" t="str">
        <f ca="1">IFERROR([1]!IntrinioHistoricalPrices(ticker,"adj_high",$B207,$D$4,$D$5,$D$6),"")</f>
        <v/>
      </c>
      <c r="M207" s="99" t="str">
        <f ca="1">IFERROR([1]!IntrinioHistoricalPrices(ticker,"adj_low",$B207,$D$4,$D$5,$D$6),"")</f>
        <v/>
      </c>
      <c r="N207" s="99" t="str">
        <f ca="1">IFERROR([1]!IntrinioHistoricalPrices(ticker,"adj_close",$B207,$D$4,$D$5,$D$6),"")</f>
        <v/>
      </c>
      <c r="O207" s="100" t="str">
        <f ca="1">IFERROR([1]!IntrinioHistoricalPrices(ticker,"adj_volume",$B207,$D$4,$D$5,$D$6),"")</f>
        <v/>
      </c>
    </row>
    <row r="208" spans="2:15" x14ac:dyDescent="0.45">
      <c r="B208" s="49">
        <f t="shared" si="3"/>
        <v>199</v>
      </c>
      <c r="C208" s="165" t="str">
        <f ca="1">IFERROR([1]!IntrinioHistoricalPrices(ticker,"date",$B208,$D$4,$D$5,$D$6),"")</f>
        <v/>
      </c>
      <c r="D208" s="99" t="str">
        <f ca="1">IFERROR([1]!IntrinioHistoricalPrices(ticker,"open",$B208,$D$4,$D$5,$D$6),"")</f>
        <v/>
      </c>
      <c r="E208" s="99" t="str">
        <f ca="1">IFERROR([1]!IntrinioHistoricalPrices(ticker,"high",$B208,$D$4,$D$5,$D$6),"")</f>
        <v/>
      </c>
      <c r="F208" s="99" t="str">
        <f ca="1">IFERROR([1]!IntrinioHistoricalPrices(ticker,"low",$B208,$D$4,$D$5,$D$6),"")</f>
        <v/>
      </c>
      <c r="G208" s="99" t="str">
        <f ca="1">IFERROR([1]!IntrinioHistoricalPrices(ticker,"close",$B208,$D$4,$D$5,$D$6),"")</f>
        <v/>
      </c>
      <c r="H208" s="100" t="str">
        <f ca="1">IFERROR([1]!IntrinioHistoricalPrices(ticker,"volume",$B208,$D$4,$D$5,$D$6),"")</f>
        <v/>
      </c>
      <c r="I208" s="101" t="str">
        <f ca="1">IFERROR([1]!IntrinioHistoricalPrices(ticker,"split_ratio",$B208,$D$4,$D$5,$D$6),"")</f>
        <v/>
      </c>
      <c r="J208" s="99" t="str">
        <f ca="1">IFERROR([1]!IntrinioHistoricalPrices(ticker,"ex_dividend",$B208,$D$4,$D$5,$D$6),"")</f>
        <v/>
      </c>
      <c r="K208" s="99" t="str">
        <f ca="1">IFERROR([1]!IntrinioHistoricalPrices(ticker,"adj_open",$B208,$D$4,$D$5,$D$6),"")</f>
        <v/>
      </c>
      <c r="L208" s="99" t="str">
        <f ca="1">IFERROR([1]!IntrinioHistoricalPrices(ticker,"adj_high",$B208,$D$4,$D$5,$D$6),"")</f>
        <v/>
      </c>
      <c r="M208" s="99" t="str">
        <f ca="1">IFERROR([1]!IntrinioHistoricalPrices(ticker,"adj_low",$B208,$D$4,$D$5,$D$6),"")</f>
        <v/>
      </c>
      <c r="N208" s="99" t="str">
        <f ca="1">IFERROR([1]!IntrinioHistoricalPrices(ticker,"adj_close",$B208,$D$4,$D$5,$D$6),"")</f>
        <v/>
      </c>
      <c r="O208" s="100" t="str">
        <f ca="1">IFERROR([1]!IntrinioHistoricalPrices(ticker,"adj_volume",$B208,$D$4,$D$5,$D$6),"")</f>
        <v/>
      </c>
    </row>
    <row r="209" spans="2:15" x14ac:dyDescent="0.45">
      <c r="B209" s="49">
        <f t="shared" si="3"/>
        <v>200</v>
      </c>
      <c r="C209" s="165" t="str">
        <f ca="1">IFERROR([1]!IntrinioHistoricalPrices(ticker,"date",$B209,$D$4,$D$5,$D$6),"")</f>
        <v/>
      </c>
      <c r="D209" s="99" t="str">
        <f ca="1">IFERROR([1]!IntrinioHistoricalPrices(ticker,"open",$B209,$D$4,$D$5,$D$6),"")</f>
        <v/>
      </c>
      <c r="E209" s="99" t="str">
        <f ca="1">IFERROR([1]!IntrinioHistoricalPrices(ticker,"high",$B209,$D$4,$D$5,$D$6),"")</f>
        <v/>
      </c>
      <c r="F209" s="99" t="str">
        <f ca="1">IFERROR([1]!IntrinioHistoricalPrices(ticker,"low",$B209,$D$4,$D$5,$D$6),"")</f>
        <v/>
      </c>
      <c r="G209" s="99" t="str">
        <f ca="1">IFERROR([1]!IntrinioHistoricalPrices(ticker,"close",$B209,$D$4,$D$5,$D$6),"")</f>
        <v/>
      </c>
      <c r="H209" s="100" t="str">
        <f ca="1">IFERROR([1]!IntrinioHistoricalPrices(ticker,"volume",$B209,$D$4,$D$5,$D$6),"")</f>
        <v/>
      </c>
      <c r="I209" s="101" t="str">
        <f ca="1">IFERROR([1]!IntrinioHistoricalPrices(ticker,"split_ratio",$B209,$D$4,$D$5,$D$6),"")</f>
        <v/>
      </c>
      <c r="J209" s="99" t="str">
        <f ca="1">IFERROR([1]!IntrinioHistoricalPrices(ticker,"ex_dividend",$B209,$D$4,$D$5,$D$6),"")</f>
        <v/>
      </c>
      <c r="K209" s="99" t="str">
        <f ca="1">IFERROR([1]!IntrinioHistoricalPrices(ticker,"adj_open",$B209,$D$4,$D$5,$D$6),"")</f>
        <v/>
      </c>
      <c r="L209" s="99" t="str">
        <f ca="1">IFERROR([1]!IntrinioHistoricalPrices(ticker,"adj_high",$B209,$D$4,$D$5,$D$6),"")</f>
        <v/>
      </c>
      <c r="M209" s="99" t="str">
        <f ca="1">IFERROR([1]!IntrinioHistoricalPrices(ticker,"adj_low",$B209,$D$4,$D$5,$D$6),"")</f>
        <v/>
      </c>
      <c r="N209" s="99" t="str">
        <f ca="1">IFERROR([1]!IntrinioHistoricalPrices(ticker,"adj_close",$B209,$D$4,$D$5,$D$6),"")</f>
        <v/>
      </c>
      <c r="O209" s="100" t="str">
        <f ca="1">IFERROR([1]!IntrinioHistoricalPrices(ticker,"adj_volume",$B209,$D$4,$D$5,$D$6),"")</f>
        <v/>
      </c>
    </row>
    <row r="210" spans="2:15" x14ac:dyDescent="0.45">
      <c r="B210" s="49">
        <f t="shared" si="3"/>
        <v>201</v>
      </c>
      <c r="C210" s="165" t="str">
        <f ca="1">IFERROR([1]!IntrinioHistoricalPrices(ticker,"date",$B210,$D$4,$D$5,$D$6),"")</f>
        <v/>
      </c>
      <c r="D210" s="99" t="str">
        <f ca="1">IFERROR([1]!IntrinioHistoricalPrices(ticker,"open",$B210,$D$4,$D$5,$D$6),"")</f>
        <v/>
      </c>
      <c r="E210" s="99" t="str">
        <f ca="1">IFERROR([1]!IntrinioHistoricalPrices(ticker,"high",$B210,$D$4,$D$5,$D$6),"")</f>
        <v/>
      </c>
      <c r="F210" s="99" t="str">
        <f ca="1">IFERROR([1]!IntrinioHistoricalPrices(ticker,"low",$B210,$D$4,$D$5,$D$6),"")</f>
        <v/>
      </c>
      <c r="G210" s="99" t="str">
        <f ca="1">IFERROR([1]!IntrinioHistoricalPrices(ticker,"close",$B210,$D$4,$D$5,$D$6),"")</f>
        <v/>
      </c>
      <c r="H210" s="100" t="str">
        <f ca="1">IFERROR([1]!IntrinioHistoricalPrices(ticker,"volume",$B210,$D$4,$D$5,$D$6),"")</f>
        <v/>
      </c>
      <c r="I210" s="101" t="str">
        <f ca="1">IFERROR([1]!IntrinioHistoricalPrices(ticker,"split_ratio",$B210,$D$4,$D$5,$D$6),"")</f>
        <v/>
      </c>
      <c r="J210" s="99" t="str">
        <f ca="1">IFERROR([1]!IntrinioHistoricalPrices(ticker,"ex_dividend",$B210,$D$4,$D$5,$D$6),"")</f>
        <v/>
      </c>
      <c r="K210" s="99" t="str">
        <f ca="1">IFERROR([1]!IntrinioHistoricalPrices(ticker,"adj_open",$B210,$D$4,$D$5,$D$6),"")</f>
        <v/>
      </c>
      <c r="L210" s="99" t="str">
        <f ca="1">IFERROR([1]!IntrinioHistoricalPrices(ticker,"adj_high",$B210,$D$4,$D$5,$D$6),"")</f>
        <v/>
      </c>
      <c r="M210" s="99" t="str">
        <f ca="1">IFERROR([1]!IntrinioHistoricalPrices(ticker,"adj_low",$B210,$D$4,$D$5,$D$6),"")</f>
        <v/>
      </c>
      <c r="N210" s="99" t="str">
        <f ca="1">IFERROR([1]!IntrinioHistoricalPrices(ticker,"adj_close",$B210,$D$4,$D$5,$D$6),"")</f>
        <v/>
      </c>
      <c r="O210" s="100" t="str">
        <f ca="1">IFERROR([1]!IntrinioHistoricalPrices(ticker,"adj_volume",$B210,$D$4,$D$5,$D$6),"")</f>
        <v/>
      </c>
    </row>
    <row r="211" spans="2:15" x14ac:dyDescent="0.45">
      <c r="B211" s="49">
        <f t="shared" si="3"/>
        <v>202</v>
      </c>
      <c r="C211" s="165" t="str">
        <f ca="1">IFERROR([1]!IntrinioHistoricalPrices(ticker,"date",$B211,$D$4,$D$5,$D$6),"")</f>
        <v/>
      </c>
      <c r="D211" s="99" t="str">
        <f ca="1">IFERROR([1]!IntrinioHistoricalPrices(ticker,"open",$B211,$D$4,$D$5,$D$6),"")</f>
        <v/>
      </c>
      <c r="E211" s="99" t="str">
        <f ca="1">IFERROR([1]!IntrinioHistoricalPrices(ticker,"high",$B211,$D$4,$D$5,$D$6),"")</f>
        <v/>
      </c>
      <c r="F211" s="99" t="str">
        <f ca="1">IFERROR([1]!IntrinioHistoricalPrices(ticker,"low",$B211,$D$4,$D$5,$D$6),"")</f>
        <v/>
      </c>
      <c r="G211" s="99" t="str">
        <f ca="1">IFERROR([1]!IntrinioHistoricalPrices(ticker,"close",$B211,$D$4,$D$5,$D$6),"")</f>
        <v/>
      </c>
      <c r="H211" s="100" t="str">
        <f ca="1">IFERROR([1]!IntrinioHistoricalPrices(ticker,"volume",$B211,$D$4,$D$5,$D$6),"")</f>
        <v/>
      </c>
      <c r="I211" s="101" t="str">
        <f ca="1">IFERROR([1]!IntrinioHistoricalPrices(ticker,"split_ratio",$B211,$D$4,$D$5,$D$6),"")</f>
        <v/>
      </c>
      <c r="J211" s="99" t="str">
        <f ca="1">IFERROR([1]!IntrinioHistoricalPrices(ticker,"ex_dividend",$B211,$D$4,$D$5,$D$6),"")</f>
        <v/>
      </c>
      <c r="K211" s="99" t="str">
        <f ca="1">IFERROR([1]!IntrinioHistoricalPrices(ticker,"adj_open",$B211,$D$4,$D$5,$D$6),"")</f>
        <v/>
      </c>
      <c r="L211" s="99" t="str">
        <f ca="1">IFERROR([1]!IntrinioHistoricalPrices(ticker,"adj_high",$B211,$D$4,$D$5,$D$6),"")</f>
        <v/>
      </c>
      <c r="M211" s="99" t="str">
        <f ca="1">IFERROR([1]!IntrinioHistoricalPrices(ticker,"adj_low",$B211,$D$4,$D$5,$D$6),"")</f>
        <v/>
      </c>
      <c r="N211" s="99" t="str">
        <f ca="1">IFERROR([1]!IntrinioHistoricalPrices(ticker,"adj_close",$B211,$D$4,$D$5,$D$6),"")</f>
        <v/>
      </c>
      <c r="O211" s="100" t="str">
        <f ca="1">IFERROR([1]!IntrinioHistoricalPrices(ticker,"adj_volume",$B211,$D$4,$D$5,$D$6),"")</f>
        <v/>
      </c>
    </row>
    <row r="212" spans="2:15" x14ac:dyDescent="0.45">
      <c r="B212" s="49">
        <f t="shared" si="3"/>
        <v>203</v>
      </c>
      <c r="C212" s="165" t="str">
        <f ca="1">IFERROR([1]!IntrinioHistoricalPrices(ticker,"date",$B212,$D$4,$D$5,$D$6),"")</f>
        <v/>
      </c>
      <c r="D212" s="99" t="str">
        <f ca="1">IFERROR([1]!IntrinioHistoricalPrices(ticker,"open",$B212,$D$4,$D$5,$D$6),"")</f>
        <v/>
      </c>
      <c r="E212" s="99" t="str">
        <f ca="1">IFERROR([1]!IntrinioHistoricalPrices(ticker,"high",$B212,$D$4,$D$5,$D$6),"")</f>
        <v/>
      </c>
      <c r="F212" s="99" t="str">
        <f ca="1">IFERROR([1]!IntrinioHistoricalPrices(ticker,"low",$B212,$D$4,$D$5,$D$6),"")</f>
        <v/>
      </c>
      <c r="G212" s="99" t="str">
        <f ca="1">IFERROR([1]!IntrinioHistoricalPrices(ticker,"close",$B212,$D$4,$D$5,$D$6),"")</f>
        <v/>
      </c>
      <c r="H212" s="100" t="str">
        <f ca="1">IFERROR([1]!IntrinioHistoricalPrices(ticker,"volume",$B212,$D$4,$D$5,$D$6),"")</f>
        <v/>
      </c>
      <c r="I212" s="101" t="str">
        <f ca="1">IFERROR([1]!IntrinioHistoricalPrices(ticker,"split_ratio",$B212,$D$4,$D$5,$D$6),"")</f>
        <v/>
      </c>
      <c r="J212" s="99" t="str">
        <f ca="1">IFERROR([1]!IntrinioHistoricalPrices(ticker,"ex_dividend",$B212,$D$4,$D$5,$D$6),"")</f>
        <v/>
      </c>
      <c r="K212" s="99" t="str">
        <f ca="1">IFERROR([1]!IntrinioHistoricalPrices(ticker,"adj_open",$B212,$D$4,$D$5,$D$6),"")</f>
        <v/>
      </c>
      <c r="L212" s="99" t="str">
        <f ca="1">IFERROR([1]!IntrinioHistoricalPrices(ticker,"adj_high",$B212,$D$4,$D$5,$D$6),"")</f>
        <v/>
      </c>
      <c r="M212" s="99" t="str">
        <f ca="1">IFERROR([1]!IntrinioHistoricalPrices(ticker,"adj_low",$B212,$D$4,$D$5,$D$6),"")</f>
        <v/>
      </c>
      <c r="N212" s="99" t="str">
        <f ca="1">IFERROR([1]!IntrinioHistoricalPrices(ticker,"adj_close",$B212,$D$4,$D$5,$D$6),"")</f>
        <v/>
      </c>
      <c r="O212" s="100" t="str">
        <f ca="1">IFERROR([1]!IntrinioHistoricalPrices(ticker,"adj_volume",$B212,$D$4,$D$5,$D$6),"")</f>
        <v/>
      </c>
    </row>
    <row r="213" spans="2:15" x14ac:dyDescent="0.45">
      <c r="B213" s="49">
        <f t="shared" si="3"/>
        <v>204</v>
      </c>
      <c r="C213" s="165" t="str">
        <f ca="1">IFERROR([1]!IntrinioHistoricalPrices(ticker,"date",$B213,$D$4,$D$5,$D$6),"")</f>
        <v/>
      </c>
      <c r="D213" s="99" t="str">
        <f ca="1">IFERROR([1]!IntrinioHistoricalPrices(ticker,"open",$B213,$D$4,$D$5,$D$6),"")</f>
        <v/>
      </c>
      <c r="E213" s="99" t="str">
        <f ca="1">IFERROR([1]!IntrinioHistoricalPrices(ticker,"high",$B213,$D$4,$D$5,$D$6),"")</f>
        <v/>
      </c>
      <c r="F213" s="99" t="str">
        <f ca="1">IFERROR([1]!IntrinioHistoricalPrices(ticker,"low",$B213,$D$4,$D$5,$D$6),"")</f>
        <v/>
      </c>
      <c r="G213" s="99" t="str">
        <f ca="1">IFERROR([1]!IntrinioHistoricalPrices(ticker,"close",$B213,$D$4,$D$5,$D$6),"")</f>
        <v/>
      </c>
      <c r="H213" s="100" t="str">
        <f ca="1">IFERROR([1]!IntrinioHistoricalPrices(ticker,"volume",$B213,$D$4,$D$5,$D$6),"")</f>
        <v/>
      </c>
      <c r="I213" s="101" t="str">
        <f ca="1">IFERROR([1]!IntrinioHistoricalPrices(ticker,"split_ratio",$B213,$D$4,$D$5,$D$6),"")</f>
        <v/>
      </c>
      <c r="J213" s="99" t="str">
        <f ca="1">IFERROR([1]!IntrinioHistoricalPrices(ticker,"ex_dividend",$B213,$D$4,$D$5,$D$6),"")</f>
        <v/>
      </c>
      <c r="K213" s="99" t="str">
        <f ca="1">IFERROR([1]!IntrinioHistoricalPrices(ticker,"adj_open",$B213,$D$4,$D$5,$D$6),"")</f>
        <v/>
      </c>
      <c r="L213" s="99" t="str">
        <f ca="1">IFERROR([1]!IntrinioHistoricalPrices(ticker,"adj_high",$B213,$D$4,$D$5,$D$6),"")</f>
        <v/>
      </c>
      <c r="M213" s="99" t="str">
        <f ca="1">IFERROR([1]!IntrinioHistoricalPrices(ticker,"adj_low",$B213,$D$4,$D$5,$D$6),"")</f>
        <v/>
      </c>
      <c r="N213" s="99" t="str">
        <f ca="1">IFERROR([1]!IntrinioHistoricalPrices(ticker,"adj_close",$B213,$D$4,$D$5,$D$6),"")</f>
        <v/>
      </c>
      <c r="O213" s="100" t="str">
        <f ca="1">IFERROR([1]!IntrinioHistoricalPrices(ticker,"adj_volume",$B213,$D$4,$D$5,$D$6),"")</f>
        <v/>
      </c>
    </row>
    <row r="214" spans="2:15" x14ac:dyDescent="0.45">
      <c r="B214" s="49">
        <f t="shared" si="3"/>
        <v>205</v>
      </c>
      <c r="C214" s="165" t="str">
        <f ca="1">IFERROR([1]!IntrinioHistoricalPrices(ticker,"date",$B214,$D$4,$D$5,$D$6),"")</f>
        <v/>
      </c>
      <c r="D214" s="99" t="str">
        <f ca="1">IFERROR([1]!IntrinioHistoricalPrices(ticker,"open",$B214,$D$4,$D$5,$D$6),"")</f>
        <v/>
      </c>
      <c r="E214" s="99" t="str">
        <f ca="1">IFERROR([1]!IntrinioHistoricalPrices(ticker,"high",$B214,$D$4,$D$5,$D$6),"")</f>
        <v/>
      </c>
      <c r="F214" s="99" t="str">
        <f ca="1">IFERROR([1]!IntrinioHistoricalPrices(ticker,"low",$B214,$D$4,$D$5,$D$6),"")</f>
        <v/>
      </c>
      <c r="G214" s="99" t="str">
        <f ca="1">IFERROR([1]!IntrinioHistoricalPrices(ticker,"close",$B214,$D$4,$D$5,$D$6),"")</f>
        <v/>
      </c>
      <c r="H214" s="100" t="str">
        <f ca="1">IFERROR([1]!IntrinioHistoricalPrices(ticker,"volume",$B214,$D$4,$D$5,$D$6),"")</f>
        <v/>
      </c>
      <c r="I214" s="101" t="str">
        <f ca="1">IFERROR([1]!IntrinioHistoricalPrices(ticker,"split_ratio",$B214,$D$4,$D$5,$D$6),"")</f>
        <v/>
      </c>
      <c r="J214" s="99" t="str">
        <f ca="1">IFERROR([1]!IntrinioHistoricalPrices(ticker,"ex_dividend",$B214,$D$4,$D$5,$D$6),"")</f>
        <v/>
      </c>
      <c r="K214" s="99" t="str">
        <f ca="1">IFERROR([1]!IntrinioHistoricalPrices(ticker,"adj_open",$B214,$D$4,$D$5,$D$6),"")</f>
        <v/>
      </c>
      <c r="L214" s="99" t="str">
        <f ca="1">IFERROR([1]!IntrinioHistoricalPrices(ticker,"adj_high",$B214,$D$4,$D$5,$D$6),"")</f>
        <v/>
      </c>
      <c r="M214" s="99" t="str">
        <f ca="1">IFERROR([1]!IntrinioHistoricalPrices(ticker,"adj_low",$B214,$D$4,$D$5,$D$6),"")</f>
        <v/>
      </c>
      <c r="N214" s="99" t="str">
        <f ca="1">IFERROR([1]!IntrinioHistoricalPrices(ticker,"adj_close",$B214,$D$4,$D$5,$D$6),"")</f>
        <v/>
      </c>
      <c r="O214" s="100" t="str">
        <f ca="1">IFERROR([1]!IntrinioHistoricalPrices(ticker,"adj_volume",$B214,$D$4,$D$5,$D$6),"")</f>
        <v/>
      </c>
    </row>
    <row r="215" spans="2:15" x14ac:dyDescent="0.45">
      <c r="B215" s="49">
        <f t="shared" si="3"/>
        <v>206</v>
      </c>
      <c r="C215" s="165" t="str">
        <f ca="1">IFERROR([1]!IntrinioHistoricalPrices(ticker,"date",$B215,$D$4,$D$5,$D$6),"")</f>
        <v/>
      </c>
      <c r="D215" s="99" t="str">
        <f ca="1">IFERROR([1]!IntrinioHistoricalPrices(ticker,"open",$B215,$D$4,$D$5,$D$6),"")</f>
        <v/>
      </c>
      <c r="E215" s="99" t="str">
        <f ca="1">IFERROR([1]!IntrinioHistoricalPrices(ticker,"high",$B215,$D$4,$D$5,$D$6),"")</f>
        <v/>
      </c>
      <c r="F215" s="99" t="str">
        <f ca="1">IFERROR([1]!IntrinioHistoricalPrices(ticker,"low",$B215,$D$4,$D$5,$D$6),"")</f>
        <v/>
      </c>
      <c r="G215" s="99" t="str">
        <f ca="1">IFERROR([1]!IntrinioHistoricalPrices(ticker,"close",$B215,$D$4,$D$5,$D$6),"")</f>
        <v/>
      </c>
      <c r="H215" s="100" t="str">
        <f ca="1">IFERROR([1]!IntrinioHistoricalPrices(ticker,"volume",$B215,$D$4,$D$5,$D$6),"")</f>
        <v/>
      </c>
      <c r="I215" s="101" t="str">
        <f ca="1">IFERROR([1]!IntrinioHistoricalPrices(ticker,"split_ratio",$B215,$D$4,$D$5,$D$6),"")</f>
        <v/>
      </c>
      <c r="J215" s="99" t="str">
        <f ca="1">IFERROR([1]!IntrinioHistoricalPrices(ticker,"ex_dividend",$B215,$D$4,$D$5,$D$6),"")</f>
        <v/>
      </c>
      <c r="K215" s="99" t="str">
        <f ca="1">IFERROR([1]!IntrinioHistoricalPrices(ticker,"adj_open",$B215,$D$4,$D$5,$D$6),"")</f>
        <v/>
      </c>
      <c r="L215" s="99" t="str">
        <f ca="1">IFERROR([1]!IntrinioHistoricalPrices(ticker,"adj_high",$B215,$D$4,$D$5,$D$6),"")</f>
        <v/>
      </c>
      <c r="M215" s="99" t="str">
        <f ca="1">IFERROR([1]!IntrinioHistoricalPrices(ticker,"adj_low",$B215,$D$4,$D$5,$D$6),"")</f>
        <v/>
      </c>
      <c r="N215" s="99" t="str">
        <f ca="1">IFERROR([1]!IntrinioHistoricalPrices(ticker,"adj_close",$B215,$D$4,$D$5,$D$6),"")</f>
        <v/>
      </c>
      <c r="O215" s="100" t="str">
        <f ca="1">IFERROR([1]!IntrinioHistoricalPrices(ticker,"adj_volume",$B215,$D$4,$D$5,$D$6),"")</f>
        <v/>
      </c>
    </row>
    <row r="216" spans="2:15" x14ac:dyDescent="0.45">
      <c r="B216" s="49">
        <f t="shared" si="3"/>
        <v>207</v>
      </c>
      <c r="C216" s="165" t="str">
        <f ca="1">IFERROR([1]!IntrinioHistoricalPrices(ticker,"date",$B216,$D$4,$D$5,$D$6),"")</f>
        <v/>
      </c>
      <c r="D216" s="99" t="str">
        <f ca="1">IFERROR([1]!IntrinioHistoricalPrices(ticker,"open",$B216,$D$4,$D$5,$D$6),"")</f>
        <v/>
      </c>
      <c r="E216" s="99" t="str">
        <f ca="1">IFERROR([1]!IntrinioHistoricalPrices(ticker,"high",$B216,$D$4,$D$5,$D$6),"")</f>
        <v/>
      </c>
      <c r="F216" s="99" t="str">
        <f ca="1">IFERROR([1]!IntrinioHistoricalPrices(ticker,"low",$B216,$D$4,$D$5,$D$6),"")</f>
        <v/>
      </c>
      <c r="G216" s="99" t="str">
        <f ca="1">IFERROR([1]!IntrinioHistoricalPrices(ticker,"close",$B216,$D$4,$D$5,$D$6),"")</f>
        <v/>
      </c>
      <c r="H216" s="100" t="str">
        <f ca="1">IFERROR([1]!IntrinioHistoricalPrices(ticker,"volume",$B216,$D$4,$D$5,$D$6),"")</f>
        <v/>
      </c>
      <c r="I216" s="101" t="str">
        <f ca="1">IFERROR([1]!IntrinioHistoricalPrices(ticker,"split_ratio",$B216,$D$4,$D$5,$D$6),"")</f>
        <v/>
      </c>
      <c r="J216" s="99" t="str">
        <f ca="1">IFERROR([1]!IntrinioHistoricalPrices(ticker,"ex_dividend",$B216,$D$4,$D$5,$D$6),"")</f>
        <v/>
      </c>
      <c r="K216" s="99" t="str">
        <f ca="1">IFERROR([1]!IntrinioHistoricalPrices(ticker,"adj_open",$B216,$D$4,$D$5,$D$6),"")</f>
        <v/>
      </c>
      <c r="L216" s="99" t="str">
        <f ca="1">IFERROR([1]!IntrinioHistoricalPrices(ticker,"adj_high",$B216,$D$4,$D$5,$D$6),"")</f>
        <v/>
      </c>
      <c r="M216" s="99" t="str">
        <f ca="1">IFERROR([1]!IntrinioHistoricalPrices(ticker,"adj_low",$B216,$D$4,$D$5,$D$6),"")</f>
        <v/>
      </c>
      <c r="N216" s="99" t="str">
        <f ca="1">IFERROR([1]!IntrinioHistoricalPrices(ticker,"adj_close",$B216,$D$4,$D$5,$D$6),"")</f>
        <v/>
      </c>
      <c r="O216" s="100" t="str">
        <f ca="1">IFERROR([1]!IntrinioHistoricalPrices(ticker,"adj_volume",$B216,$D$4,$D$5,$D$6),"")</f>
        <v/>
      </c>
    </row>
    <row r="217" spans="2:15" x14ac:dyDescent="0.45">
      <c r="B217" s="49">
        <f t="shared" si="3"/>
        <v>208</v>
      </c>
      <c r="C217" s="165" t="str">
        <f ca="1">IFERROR([1]!IntrinioHistoricalPrices(ticker,"date",$B217,$D$4,$D$5,$D$6),"")</f>
        <v/>
      </c>
      <c r="D217" s="99" t="str">
        <f ca="1">IFERROR([1]!IntrinioHistoricalPrices(ticker,"open",$B217,$D$4,$D$5,$D$6),"")</f>
        <v/>
      </c>
      <c r="E217" s="99" t="str">
        <f ca="1">IFERROR([1]!IntrinioHistoricalPrices(ticker,"high",$B217,$D$4,$D$5,$D$6),"")</f>
        <v/>
      </c>
      <c r="F217" s="99" t="str">
        <f ca="1">IFERROR([1]!IntrinioHistoricalPrices(ticker,"low",$B217,$D$4,$D$5,$D$6),"")</f>
        <v/>
      </c>
      <c r="G217" s="99" t="str">
        <f ca="1">IFERROR([1]!IntrinioHistoricalPrices(ticker,"close",$B217,$D$4,$D$5,$D$6),"")</f>
        <v/>
      </c>
      <c r="H217" s="100" t="str">
        <f ca="1">IFERROR([1]!IntrinioHistoricalPrices(ticker,"volume",$B217,$D$4,$D$5,$D$6),"")</f>
        <v/>
      </c>
      <c r="I217" s="101" t="str">
        <f ca="1">IFERROR([1]!IntrinioHistoricalPrices(ticker,"split_ratio",$B217,$D$4,$D$5,$D$6),"")</f>
        <v/>
      </c>
      <c r="J217" s="99" t="str">
        <f ca="1">IFERROR([1]!IntrinioHistoricalPrices(ticker,"ex_dividend",$B217,$D$4,$D$5,$D$6),"")</f>
        <v/>
      </c>
      <c r="K217" s="99" t="str">
        <f ca="1">IFERROR([1]!IntrinioHistoricalPrices(ticker,"adj_open",$B217,$D$4,$D$5,$D$6),"")</f>
        <v/>
      </c>
      <c r="L217" s="99" t="str">
        <f ca="1">IFERROR([1]!IntrinioHistoricalPrices(ticker,"adj_high",$B217,$D$4,$D$5,$D$6),"")</f>
        <v/>
      </c>
      <c r="M217" s="99" t="str">
        <f ca="1">IFERROR([1]!IntrinioHistoricalPrices(ticker,"adj_low",$B217,$D$4,$D$5,$D$6),"")</f>
        <v/>
      </c>
      <c r="N217" s="99" t="str">
        <f ca="1">IFERROR([1]!IntrinioHistoricalPrices(ticker,"adj_close",$B217,$D$4,$D$5,$D$6),"")</f>
        <v/>
      </c>
      <c r="O217" s="100" t="str">
        <f ca="1">IFERROR([1]!IntrinioHistoricalPrices(ticker,"adj_volume",$B217,$D$4,$D$5,$D$6),"")</f>
        <v/>
      </c>
    </row>
    <row r="218" spans="2:15" x14ac:dyDescent="0.45">
      <c r="B218" s="49">
        <f t="shared" si="3"/>
        <v>209</v>
      </c>
      <c r="C218" s="165" t="str">
        <f ca="1">IFERROR([1]!IntrinioHistoricalPrices(ticker,"date",$B218,$D$4,$D$5,$D$6),"")</f>
        <v/>
      </c>
      <c r="D218" s="99" t="str">
        <f ca="1">IFERROR([1]!IntrinioHistoricalPrices(ticker,"open",$B218,$D$4,$D$5,$D$6),"")</f>
        <v/>
      </c>
      <c r="E218" s="99" t="str">
        <f ca="1">IFERROR([1]!IntrinioHistoricalPrices(ticker,"high",$B218,$D$4,$D$5,$D$6),"")</f>
        <v/>
      </c>
      <c r="F218" s="99" t="str">
        <f ca="1">IFERROR([1]!IntrinioHistoricalPrices(ticker,"low",$B218,$D$4,$D$5,$D$6),"")</f>
        <v/>
      </c>
      <c r="G218" s="99" t="str">
        <f ca="1">IFERROR([1]!IntrinioHistoricalPrices(ticker,"close",$B218,$D$4,$D$5,$D$6),"")</f>
        <v/>
      </c>
      <c r="H218" s="100" t="str">
        <f ca="1">IFERROR([1]!IntrinioHistoricalPrices(ticker,"volume",$B218,$D$4,$D$5,$D$6),"")</f>
        <v/>
      </c>
      <c r="I218" s="101" t="str">
        <f ca="1">IFERROR([1]!IntrinioHistoricalPrices(ticker,"split_ratio",$B218,$D$4,$D$5,$D$6),"")</f>
        <v/>
      </c>
      <c r="J218" s="99" t="str">
        <f ca="1">IFERROR([1]!IntrinioHistoricalPrices(ticker,"ex_dividend",$B218,$D$4,$D$5,$D$6),"")</f>
        <v/>
      </c>
      <c r="K218" s="99" t="str">
        <f ca="1">IFERROR([1]!IntrinioHistoricalPrices(ticker,"adj_open",$B218,$D$4,$D$5,$D$6),"")</f>
        <v/>
      </c>
      <c r="L218" s="99" t="str">
        <f ca="1">IFERROR([1]!IntrinioHistoricalPrices(ticker,"adj_high",$B218,$D$4,$D$5,$D$6),"")</f>
        <v/>
      </c>
      <c r="M218" s="99" t="str">
        <f ca="1">IFERROR([1]!IntrinioHistoricalPrices(ticker,"adj_low",$B218,$D$4,$D$5,$D$6),"")</f>
        <v/>
      </c>
      <c r="N218" s="99" t="str">
        <f ca="1">IFERROR([1]!IntrinioHistoricalPrices(ticker,"adj_close",$B218,$D$4,$D$5,$D$6),"")</f>
        <v/>
      </c>
      <c r="O218" s="100" t="str">
        <f ca="1">IFERROR([1]!IntrinioHistoricalPrices(ticker,"adj_volume",$B218,$D$4,$D$5,$D$6),"")</f>
        <v/>
      </c>
    </row>
    <row r="219" spans="2:15" x14ac:dyDescent="0.45">
      <c r="B219" s="49">
        <f t="shared" si="3"/>
        <v>210</v>
      </c>
      <c r="C219" s="165" t="str">
        <f ca="1">IFERROR([1]!IntrinioHistoricalPrices(ticker,"date",$B219,$D$4,$D$5,$D$6),"")</f>
        <v/>
      </c>
      <c r="D219" s="99" t="str">
        <f ca="1">IFERROR([1]!IntrinioHistoricalPrices(ticker,"open",$B219,$D$4,$D$5,$D$6),"")</f>
        <v/>
      </c>
      <c r="E219" s="99" t="str">
        <f ca="1">IFERROR([1]!IntrinioHistoricalPrices(ticker,"high",$B219,$D$4,$D$5,$D$6),"")</f>
        <v/>
      </c>
      <c r="F219" s="99" t="str">
        <f ca="1">IFERROR([1]!IntrinioHistoricalPrices(ticker,"low",$B219,$D$4,$D$5,$D$6),"")</f>
        <v/>
      </c>
      <c r="G219" s="99" t="str">
        <f ca="1">IFERROR([1]!IntrinioHistoricalPrices(ticker,"close",$B219,$D$4,$D$5,$D$6),"")</f>
        <v/>
      </c>
      <c r="H219" s="100" t="str">
        <f ca="1">IFERROR([1]!IntrinioHistoricalPrices(ticker,"volume",$B219,$D$4,$D$5,$D$6),"")</f>
        <v/>
      </c>
      <c r="I219" s="101" t="str">
        <f ca="1">IFERROR([1]!IntrinioHistoricalPrices(ticker,"split_ratio",$B219,$D$4,$D$5,$D$6),"")</f>
        <v/>
      </c>
      <c r="J219" s="99" t="str">
        <f ca="1">IFERROR([1]!IntrinioHistoricalPrices(ticker,"ex_dividend",$B219,$D$4,$D$5,$D$6),"")</f>
        <v/>
      </c>
      <c r="K219" s="99" t="str">
        <f ca="1">IFERROR([1]!IntrinioHistoricalPrices(ticker,"adj_open",$B219,$D$4,$D$5,$D$6),"")</f>
        <v/>
      </c>
      <c r="L219" s="99" t="str">
        <f ca="1">IFERROR([1]!IntrinioHistoricalPrices(ticker,"adj_high",$B219,$D$4,$D$5,$D$6),"")</f>
        <v/>
      </c>
      <c r="M219" s="99" t="str">
        <f ca="1">IFERROR([1]!IntrinioHistoricalPrices(ticker,"adj_low",$B219,$D$4,$D$5,$D$6),"")</f>
        <v/>
      </c>
      <c r="N219" s="99" t="str">
        <f ca="1">IFERROR([1]!IntrinioHistoricalPrices(ticker,"adj_close",$B219,$D$4,$D$5,$D$6),"")</f>
        <v/>
      </c>
      <c r="O219" s="100" t="str">
        <f ca="1">IFERROR([1]!IntrinioHistoricalPrices(ticker,"adj_volume",$B219,$D$4,$D$5,$D$6),"")</f>
        <v/>
      </c>
    </row>
    <row r="220" spans="2:15" x14ac:dyDescent="0.45">
      <c r="B220" s="49">
        <f t="shared" si="3"/>
        <v>211</v>
      </c>
      <c r="C220" s="165" t="str">
        <f ca="1">IFERROR([1]!IntrinioHistoricalPrices(ticker,"date",$B220,$D$4,$D$5,$D$6),"")</f>
        <v/>
      </c>
      <c r="D220" s="99" t="str">
        <f ca="1">IFERROR([1]!IntrinioHistoricalPrices(ticker,"open",$B220,$D$4,$D$5,$D$6),"")</f>
        <v/>
      </c>
      <c r="E220" s="99" t="str">
        <f ca="1">IFERROR([1]!IntrinioHistoricalPrices(ticker,"high",$B220,$D$4,$D$5,$D$6),"")</f>
        <v/>
      </c>
      <c r="F220" s="99" t="str">
        <f ca="1">IFERROR([1]!IntrinioHistoricalPrices(ticker,"low",$B220,$D$4,$D$5,$D$6),"")</f>
        <v/>
      </c>
      <c r="G220" s="99" t="str">
        <f ca="1">IFERROR([1]!IntrinioHistoricalPrices(ticker,"close",$B220,$D$4,$D$5,$D$6),"")</f>
        <v/>
      </c>
      <c r="H220" s="100" t="str">
        <f ca="1">IFERROR([1]!IntrinioHistoricalPrices(ticker,"volume",$B220,$D$4,$D$5,$D$6),"")</f>
        <v/>
      </c>
      <c r="I220" s="101" t="str">
        <f ca="1">IFERROR([1]!IntrinioHistoricalPrices(ticker,"split_ratio",$B220,$D$4,$D$5,$D$6),"")</f>
        <v/>
      </c>
      <c r="J220" s="99" t="str">
        <f ca="1">IFERROR([1]!IntrinioHistoricalPrices(ticker,"ex_dividend",$B220,$D$4,$D$5,$D$6),"")</f>
        <v/>
      </c>
      <c r="K220" s="99" t="str">
        <f ca="1">IFERROR([1]!IntrinioHistoricalPrices(ticker,"adj_open",$B220,$D$4,$D$5,$D$6),"")</f>
        <v/>
      </c>
      <c r="L220" s="99" t="str">
        <f ca="1">IFERROR([1]!IntrinioHistoricalPrices(ticker,"adj_high",$B220,$D$4,$D$5,$D$6),"")</f>
        <v/>
      </c>
      <c r="M220" s="99" t="str">
        <f ca="1">IFERROR([1]!IntrinioHistoricalPrices(ticker,"adj_low",$B220,$D$4,$D$5,$D$6),"")</f>
        <v/>
      </c>
      <c r="N220" s="99" t="str">
        <f ca="1">IFERROR([1]!IntrinioHistoricalPrices(ticker,"adj_close",$B220,$D$4,$D$5,$D$6),"")</f>
        <v/>
      </c>
      <c r="O220" s="100" t="str">
        <f ca="1">IFERROR([1]!IntrinioHistoricalPrices(ticker,"adj_volume",$B220,$D$4,$D$5,$D$6),"")</f>
        <v/>
      </c>
    </row>
    <row r="221" spans="2:15" x14ac:dyDescent="0.45">
      <c r="B221" s="49">
        <f t="shared" si="3"/>
        <v>212</v>
      </c>
      <c r="C221" s="165" t="str">
        <f ca="1">IFERROR([1]!IntrinioHistoricalPrices(ticker,"date",$B221,$D$4,$D$5,$D$6),"")</f>
        <v/>
      </c>
      <c r="D221" s="99" t="str">
        <f ca="1">IFERROR([1]!IntrinioHistoricalPrices(ticker,"open",$B221,$D$4,$D$5,$D$6),"")</f>
        <v/>
      </c>
      <c r="E221" s="99" t="str">
        <f ca="1">IFERROR([1]!IntrinioHistoricalPrices(ticker,"high",$B221,$D$4,$D$5,$D$6),"")</f>
        <v/>
      </c>
      <c r="F221" s="99" t="str">
        <f ca="1">IFERROR([1]!IntrinioHistoricalPrices(ticker,"low",$B221,$D$4,$D$5,$D$6),"")</f>
        <v/>
      </c>
      <c r="G221" s="99" t="str">
        <f ca="1">IFERROR([1]!IntrinioHistoricalPrices(ticker,"close",$B221,$D$4,$D$5,$D$6),"")</f>
        <v/>
      </c>
      <c r="H221" s="100" t="str">
        <f ca="1">IFERROR([1]!IntrinioHistoricalPrices(ticker,"volume",$B221,$D$4,$D$5,$D$6),"")</f>
        <v/>
      </c>
      <c r="I221" s="101" t="str">
        <f ca="1">IFERROR([1]!IntrinioHistoricalPrices(ticker,"split_ratio",$B221,$D$4,$D$5,$D$6),"")</f>
        <v/>
      </c>
      <c r="J221" s="99" t="str">
        <f ca="1">IFERROR([1]!IntrinioHistoricalPrices(ticker,"ex_dividend",$B221,$D$4,$D$5,$D$6),"")</f>
        <v/>
      </c>
      <c r="K221" s="99" t="str">
        <f ca="1">IFERROR([1]!IntrinioHistoricalPrices(ticker,"adj_open",$B221,$D$4,$D$5,$D$6),"")</f>
        <v/>
      </c>
      <c r="L221" s="99" t="str">
        <f ca="1">IFERROR([1]!IntrinioHistoricalPrices(ticker,"adj_high",$B221,$D$4,$D$5,$D$6),"")</f>
        <v/>
      </c>
      <c r="M221" s="99" t="str">
        <f ca="1">IFERROR([1]!IntrinioHistoricalPrices(ticker,"adj_low",$B221,$D$4,$D$5,$D$6),"")</f>
        <v/>
      </c>
      <c r="N221" s="99" t="str">
        <f ca="1">IFERROR([1]!IntrinioHistoricalPrices(ticker,"adj_close",$B221,$D$4,$D$5,$D$6),"")</f>
        <v/>
      </c>
      <c r="O221" s="100" t="str">
        <f ca="1">IFERROR([1]!IntrinioHistoricalPrices(ticker,"adj_volume",$B221,$D$4,$D$5,$D$6),"")</f>
        <v/>
      </c>
    </row>
    <row r="222" spans="2:15" x14ac:dyDescent="0.45">
      <c r="B222" s="49">
        <f t="shared" si="3"/>
        <v>213</v>
      </c>
      <c r="C222" s="165" t="str">
        <f ca="1">IFERROR([1]!IntrinioHistoricalPrices(ticker,"date",$B222,$D$4,$D$5,$D$6),"")</f>
        <v/>
      </c>
      <c r="D222" s="99" t="str">
        <f ca="1">IFERROR([1]!IntrinioHistoricalPrices(ticker,"open",$B222,$D$4,$D$5,$D$6),"")</f>
        <v/>
      </c>
      <c r="E222" s="99" t="str">
        <f ca="1">IFERROR([1]!IntrinioHistoricalPrices(ticker,"high",$B222,$D$4,$D$5,$D$6),"")</f>
        <v/>
      </c>
      <c r="F222" s="99" t="str">
        <f ca="1">IFERROR([1]!IntrinioHistoricalPrices(ticker,"low",$B222,$D$4,$D$5,$D$6),"")</f>
        <v/>
      </c>
      <c r="G222" s="99" t="str">
        <f ca="1">IFERROR([1]!IntrinioHistoricalPrices(ticker,"close",$B222,$D$4,$D$5,$D$6),"")</f>
        <v/>
      </c>
      <c r="H222" s="100" t="str">
        <f ca="1">IFERROR([1]!IntrinioHistoricalPrices(ticker,"volume",$B222,$D$4,$D$5,$D$6),"")</f>
        <v/>
      </c>
      <c r="I222" s="101" t="str">
        <f ca="1">IFERROR([1]!IntrinioHistoricalPrices(ticker,"split_ratio",$B222,$D$4,$D$5,$D$6),"")</f>
        <v/>
      </c>
      <c r="J222" s="99" t="str">
        <f ca="1">IFERROR([1]!IntrinioHistoricalPrices(ticker,"ex_dividend",$B222,$D$4,$D$5,$D$6),"")</f>
        <v/>
      </c>
      <c r="K222" s="99" t="str">
        <f ca="1">IFERROR([1]!IntrinioHistoricalPrices(ticker,"adj_open",$B222,$D$4,$D$5,$D$6),"")</f>
        <v/>
      </c>
      <c r="L222" s="99" t="str">
        <f ca="1">IFERROR([1]!IntrinioHistoricalPrices(ticker,"adj_high",$B222,$D$4,$D$5,$D$6),"")</f>
        <v/>
      </c>
      <c r="M222" s="99" t="str">
        <f ca="1">IFERROR([1]!IntrinioHistoricalPrices(ticker,"adj_low",$B222,$D$4,$D$5,$D$6),"")</f>
        <v/>
      </c>
      <c r="N222" s="99" t="str">
        <f ca="1">IFERROR([1]!IntrinioHistoricalPrices(ticker,"adj_close",$B222,$D$4,$D$5,$D$6),"")</f>
        <v/>
      </c>
      <c r="O222" s="100" t="str">
        <f ca="1">IFERROR([1]!IntrinioHistoricalPrices(ticker,"adj_volume",$B222,$D$4,$D$5,$D$6),"")</f>
        <v/>
      </c>
    </row>
    <row r="223" spans="2:15" x14ac:dyDescent="0.45">
      <c r="B223" s="49">
        <f t="shared" si="3"/>
        <v>214</v>
      </c>
      <c r="C223" s="165" t="str">
        <f ca="1">IFERROR([1]!IntrinioHistoricalPrices(ticker,"date",$B223,$D$4,$D$5,$D$6),"")</f>
        <v/>
      </c>
      <c r="D223" s="99" t="str">
        <f ca="1">IFERROR([1]!IntrinioHistoricalPrices(ticker,"open",$B223,$D$4,$D$5,$D$6),"")</f>
        <v/>
      </c>
      <c r="E223" s="99" t="str">
        <f ca="1">IFERROR([1]!IntrinioHistoricalPrices(ticker,"high",$B223,$D$4,$D$5,$D$6),"")</f>
        <v/>
      </c>
      <c r="F223" s="99" t="str">
        <f ca="1">IFERROR([1]!IntrinioHistoricalPrices(ticker,"low",$B223,$D$4,$D$5,$D$6),"")</f>
        <v/>
      </c>
      <c r="G223" s="99" t="str">
        <f ca="1">IFERROR([1]!IntrinioHistoricalPrices(ticker,"close",$B223,$D$4,$D$5,$D$6),"")</f>
        <v/>
      </c>
      <c r="H223" s="100" t="str">
        <f ca="1">IFERROR([1]!IntrinioHistoricalPrices(ticker,"volume",$B223,$D$4,$D$5,$D$6),"")</f>
        <v/>
      </c>
      <c r="I223" s="101" t="str">
        <f ca="1">IFERROR([1]!IntrinioHistoricalPrices(ticker,"split_ratio",$B223,$D$4,$D$5,$D$6),"")</f>
        <v/>
      </c>
      <c r="J223" s="99" t="str">
        <f ca="1">IFERROR([1]!IntrinioHistoricalPrices(ticker,"ex_dividend",$B223,$D$4,$D$5,$D$6),"")</f>
        <v/>
      </c>
      <c r="K223" s="99" t="str">
        <f ca="1">IFERROR([1]!IntrinioHistoricalPrices(ticker,"adj_open",$B223,$D$4,$D$5,$D$6),"")</f>
        <v/>
      </c>
      <c r="L223" s="99" t="str">
        <f ca="1">IFERROR([1]!IntrinioHistoricalPrices(ticker,"adj_high",$B223,$D$4,$D$5,$D$6),"")</f>
        <v/>
      </c>
      <c r="M223" s="99" t="str">
        <f ca="1">IFERROR([1]!IntrinioHistoricalPrices(ticker,"adj_low",$B223,$D$4,$D$5,$D$6),"")</f>
        <v/>
      </c>
      <c r="N223" s="99" t="str">
        <f ca="1">IFERROR([1]!IntrinioHistoricalPrices(ticker,"adj_close",$B223,$D$4,$D$5,$D$6),"")</f>
        <v/>
      </c>
      <c r="O223" s="100" t="str">
        <f ca="1">IFERROR([1]!IntrinioHistoricalPrices(ticker,"adj_volume",$B223,$D$4,$D$5,$D$6),"")</f>
        <v/>
      </c>
    </row>
    <row r="224" spans="2:15" x14ac:dyDescent="0.45">
      <c r="B224" s="49">
        <f t="shared" si="3"/>
        <v>215</v>
      </c>
      <c r="C224" s="165" t="str">
        <f ca="1">IFERROR([1]!IntrinioHistoricalPrices(ticker,"date",$B224,$D$4,$D$5,$D$6),"")</f>
        <v/>
      </c>
      <c r="D224" s="99" t="str">
        <f ca="1">IFERROR([1]!IntrinioHistoricalPrices(ticker,"open",$B224,$D$4,$D$5,$D$6),"")</f>
        <v/>
      </c>
      <c r="E224" s="99" t="str">
        <f ca="1">IFERROR([1]!IntrinioHistoricalPrices(ticker,"high",$B224,$D$4,$D$5,$D$6),"")</f>
        <v/>
      </c>
      <c r="F224" s="99" t="str">
        <f ca="1">IFERROR([1]!IntrinioHistoricalPrices(ticker,"low",$B224,$D$4,$D$5,$D$6),"")</f>
        <v/>
      </c>
      <c r="G224" s="99" t="str">
        <f ca="1">IFERROR([1]!IntrinioHistoricalPrices(ticker,"close",$B224,$D$4,$D$5,$D$6),"")</f>
        <v/>
      </c>
      <c r="H224" s="100" t="str">
        <f ca="1">IFERROR([1]!IntrinioHistoricalPrices(ticker,"volume",$B224,$D$4,$D$5,$D$6),"")</f>
        <v/>
      </c>
      <c r="I224" s="101" t="str">
        <f ca="1">IFERROR([1]!IntrinioHistoricalPrices(ticker,"split_ratio",$B224,$D$4,$D$5,$D$6),"")</f>
        <v/>
      </c>
      <c r="J224" s="99" t="str">
        <f ca="1">IFERROR([1]!IntrinioHistoricalPrices(ticker,"ex_dividend",$B224,$D$4,$D$5,$D$6),"")</f>
        <v/>
      </c>
      <c r="K224" s="99" t="str">
        <f ca="1">IFERROR([1]!IntrinioHistoricalPrices(ticker,"adj_open",$B224,$D$4,$D$5,$D$6),"")</f>
        <v/>
      </c>
      <c r="L224" s="99" t="str">
        <f ca="1">IFERROR([1]!IntrinioHistoricalPrices(ticker,"adj_high",$B224,$D$4,$D$5,$D$6),"")</f>
        <v/>
      </c>
      <c r="M224" s="99" t="str">
        <f ca="1">IFERROR([1]!IntrinioHistoricalPrices(ticker,"adj_low",$B224,$D$4,$D$5,$D$6),"")</f>
        <v/>
      </c>
      <c r="N224" s="99" t="str">
        <f ca="1">IFERROR([1]!IntrinioHistoricalPrices(ticker,"adj_close",$B224,$D$4,$D$5,$D$6),"")</f>
        <v/>
      </c>
      <c r="O224" s="100" t="str">
        <f ca="1">IFERROR([1]!IntrinioHistoricalPrices(ticker,"adj_volume",$B224,$D$4,$D$5,$D$6),"")</f>
        <v/>
      </c>
    </row>
    <row r="225" spans="2:15" x14ac:dyDescent="0.45">
      <c r="B225" s="49">
        <f t="shared" si="3"/>
        <v>216</v>
      </c>
      <c r="C225" s="165" t="str">
        <f ca="1">IFERROR([1]!IntrinioHistoricalPrices(ticker,"date",$B225,$D$4,$D$5,$D$6),"")</f>
        <v/>
      </c>
      <c r="D225" s="99" t="str">
        <f ca="1">IFERROR([1]!IntrinioHistoricalPrices(ticker,"open",$B225,$D$4,$D$5,$D$6),"")</f>
        <v/>
      </c>
      <c r="E225" s="99" t="str">
        <f ca="1">IFERROR([1]!IntrinioHistoricalPrices(ticker,"high",$B225,$D$4,$D$5,$D$6),"")</f>
        <v/>
      </c>
      <c r="F225" s="99" t="str">
        <f ca="1">IFERROR([1]!IntrinioHistoricalPrices(ticker,"low",$B225,$D$4,$D$5,$D$6),"")</f>
        <v/>
      </c>
      <c r="G225" s="99" t="str">
        <f ca="1">IFERROR([1]!IntrinioHistoricalPrices(ticker,"close",$B225,$D$4,$D$5,$D$6),"")</f>
        <v/>
      </c>
      <c r="H225" s="100" t="str">
        <f ca="1">IFERROR([1]!IntrinioHistoricalPrices(ticker,"volume",$B225,$D$4,$D$5,$D$6),"")</f>
        <v/>
      </c>
      <c r="I225" s="101" t="str">
        <f ca="1">IFERROR([1]!IntrinioHistoricalPrices(ticker,"split_ratio",$B225,$D$4,$D$5,$D$6),"")</f>
        <v/>
      </c>
      <c r="J225" s="99" t="str">
        <f ca="1">IFERROR([1]!IntrinioHistoricalPrices(ticker,"ex_dividend",$B225,$D$4,$D$5,$D$6),"")</f>
        <v/>
      </c>
      <c r="K225" s="99" t="str">
        <f ca="1">IFERROR([1]!IntrinioHistoricalPrices(ticker,"adj_open",$B225,$D$4,$D$5,$D$6),"")</f>
        <v/>
      </c>
      <c r="L225" s="99" t="str">
        <f ca="1">IFERROR([1]!IntrinioHistoricalPrices(ticker,"adj_high",$B225,$D$4,$D$5,$D$6),"")</f>
        <v/>
      </c>
      <c r="M225" s="99" t="str">
        <f ca="1">IFERROR([1]!IntrinioHistoricalPrices(ticker,"adj_low",$B225,$D$4,$D$5,$D$6),"")</f>
        <v/>
      </c>
      <c r="N225" s="99" t="str">
        <f ca="1">IFERROR([1]!IntrinioHistoricalPrices(ticker,"adj_close",$B225,$D$4,$D$5,$D$6),"")</f>
        <v/>
      </c>
      <c r="O225" s="100" t="str">
        <f ca="1">IFERROR([1]!IntrinioHistoricalPrices(ticker,"adj_volume",$B225,$D$4,$D$5,$D$6),"")</f>
        <v/>
      </c>
    </row>
    <row r="226" spans="2:15" x14ac:dyDescent="0.45">
      <c r="B226" s="49">
        <f t="shared" si="3"/>
        <v>217</v>
      </c>
      <c r="C226" s="165" t="str">
        <f ca="1">IFERROR([1]!IntrinioHistoricalPrices(ticker,"date",$B226,$D$4,$D$5,$D$6),"")</f>
        <v/>
      </c>
      <c r="D226" s="99" t="str">
        <f ca="1">IFERROR([1]!IntrinioHistoricalPrices(ticker,"open",$B226,$D$4,$D$5,$D$6),"")</f>
        <v/>
      </c>
      <c r="E226" s="99" t="str">
        <f ca="1">IFERROR([1]!IntrinioHistoricalPrices(ticker,"high",$B226,$D$4,$D$5,$D$6),"")</f>
        <v/>
      </c>
      <c r="F226" s="99" t="str">
        <f ca="1">IFERROR([1]!IntrinioHistoricalPrices(ticker,"low",$B226,$D$4,$D$5,$D$6),"")</f>
        <v/>
      </c>
      <c r="G226" s="99" t="str">
        <f ca="1">IFERROR([1]!IntrinioHistoricalPrices(ticker,"close",$B226,$D$4,$D$5,$D$6),"")</f>
        <v/>
      </c>
      <c r="H226" s="100" t="str">
        <f ca="1">IFERROR([1]!IntrinioHistoricalPrices(ticker,"volume",$B226,$D$4,$D$5,$D$6),"")</f>
        <v/>
      </c>
      <c r="I226" s="101" t="str">
        <f ca="1">IFERROR([1]!IntrinioHistoricalPrices(ticker,"split_ratio",$B226,$D$4,$D$5,$D$6),"")</f>
        <v/>
      </c>
      <c r="J226" s="99" t="str">
        <f ca="1">IFERROR([1]!IntrinioHistoricalPrices(ticker,"ex_dividend",$B226,$D$4,$D$5,$D$6),"")</f>
        <v/>
      </c>
      <c r="K226" s="99" t="str">
        <f ca="1">IFERROR([1]!IntrinioHistoricalPrices(ticker,"adj_open",$B226,$D$4,$D$5,$D$6),"")</f>
        <v/>
      </c>
      <c r="L226" s="99" t="str">
        <f ca="1">IFERROR([1]!IntrinioHistoricalPrices(ticker,"adj_high",$B226,$D$4,$D$5,$D$6),"")</f>
        <v/>
      </c>
      <c r="M226" s="99" t="str">
        <f ca="1">IFERROR([1]!IntrinioHistoricalPrices(ticker,"adj_low",$B226,$D$4,$D$5,$D$6),"")</f>
        <v/>
      </c>
      <c r="N226" s="99" t="str">
        <f ca="1">IFERROR([1]!IntrinioHistoricalPrices(ticker,"adj_close",$B226,$D$4,$D$5,$D$6),"")</f>
        <v/>
      </c>
      <c r="O226" s="100" t="str">
        <f ca="1">IFERROR([1]!IntrinioHistoricalPrices(ticker,"adj_volume",$B226,$D$4,$D$5,$D$6),"")</f>
        <v/>
      </c>
    </row>
    <row r="227" spans="2:15" x14ac:dyDescent="0.45">
      <c r="B227" s="49">
        <f t="shared" si="3"/>
        <v>218</v>
      </c>
      <c r="C227" s="165" t="str">
        <f ca="1">IFERROR([1]!IntrinioHistoricalPrices(ticker,"date",$B227,$D$4,$D$5,$D$6),"")</f>
        <v/>
      </c>
      <c r="D227" s="99" t="str">
        <f ca="1">IFERROR([1]!IntrinioHistoricalPrices(ticker,"open",$B227,$D$4,$D$5,$D$6),"")</f>
        <v/>
      </c>
      <c r="E227" s="99" t="str">
        <f ca="1">IFERROR([1]!IntrinioHistoricalPrices(ticker,"high",$B227,$D$4,$D$5,$D$6),"")</f>
        <v/>
      </c>
      <c r="F227" s="99" t="str">
        <f ca="1">IFERROR([1]!IntrinioHistoricalPrices(ticker,"low",$B227,$D$4,$D$5,$D$6),"")</f>
        <v/>
      </c>
      <c r="G227" s="99" t="str">
        <f ca="1">IFERROR([1]!IntrinioHistoricalPrices(ticker,"close",$B227,$D$4,$D$5,$D$6),"")</f>
        <v/>
      </c>
      <c r="H227" s="100" t="str">
        <f ca="1">IFERROR([1]!IntrinioHistoricalPrices(ticker,"volume",$B227,$D$4,$D$5,$D$6),"")</f>
        <v/>
      </c>
      <c r="I227" s="101" t="str">
        <f ca="1">IFERROR([1]!IntrinioHistoricalPrices(ticker,"split_ratio",$B227,$D$4,$D$5,$D$6),"")</f>
        <v/>
      </c>
      <c r="J227" s="99" t="str">
        <f ca="1">IFERROR([1]!IntrinioHistoricalPrices(ticker,"ex_dividend",$B227,$D$4,$D$5,$D$6),"")</f>
        <v/>
      </c>
      <c r="K227" s="99" t="str">
        <f ca="1">IFERROR([1]!IntrinioHistoricalPrices(ticker,"adj_open",$B227,$D$4,$D$5,$D$6),"")</f>
        <v/>
      </c>
      <c r="L227" s="99" t="str">
        <f ca="1">IFERROR([1]!IntrinioHistoricalPrices(ticker,"adj_high",$B227,$D$4,$D$5,$D$6),"")</f>
        <v/>
      </c>
      <c r="M227" s="99" t="str">
        <f ca="1">IFERROR([1]!IntrinioHistoricalPrices(ticker,"adj_low",$B227,$D$4,$D$5,$D$6),"")</f>
        <v/>
      </c>
      <c r="N227" s="99" t="str">
        <f ca="1">IFERROR([1]!IntrinioHistoricalPrices(ticker,"adj_close",$B227,$D$4,$D$5,$D$6),"")</f>
        <v/>
      </c>
      <c r="O227" s="100" t="str">
        <f ca="1">IFERROR([1]!IntrinioHistoricalPrices(ticker,"adj_volume",$B227,$D$4,$D$5,$D$6),"")</f>
        <v/>
      </c>
    </row>
    <row r="228" spans="2:15" x14ac:dyDescent="0.45">
      <c r="B228" s="49">
        <f t="shared" si="3"/>
        <v>219</v>
      </c>
      <c r="C228" s="165" t="str">
        <f ca="1">IFERROR([1]!IntrinioHistoricalPrices(ticker,"date",$B228,$D$4,$D$5,$D$6),"")</f>
        <v/>
      </c>
      <c r="D228" s="99" t="str">
        <f ca="1">IFERROR([1]!IntrinioHistoricalPrices(ticker,"open",$B228,$D$4,$D$5,$D$6),"")</f>
        <v/>
      </c>
      <c r="E228" s="99" t="str">
        <f ca="1">IFERROR([1]!IntrinioHistoricalPrices(ticker,"high",$B228,$D$4,$D$5,$D$6),"")</f>
        <v/>
      </c>
      <c r="F228" s="99" t="str">
        <f ca="1">IFERROR([1]!IntrinioHistoricalPrices(ticker,"low",$B228,$D$4,$D$5,$D$6),"")</f>
        <v/>
      </c>
      <c r="G228" s="99" t="str">
        <f ca="1">IFERROR([1]!IntrinioHistoricalPrices(ticker,"close",$B228,$D$4,$D$5,$D$6),"")</f>
        <v/>
      </c>
      <c r="H228" s="100" t="str">
        <f ca="1">IFERROR([1]!IntrinioHistoricalPrices(ticker,"volume",$B228,$D$4,$D$5,$D$6),"")</f>
        <v/>
      </c>
      <c r="I228" s="101" t="str">
        <f ca="1">IFERROR([1]!IntrinioHistoricalPrices(ticker,"split_ratio",$B228,$D$4,$D$5,$D$6),"")</f>
        <v/>
      </c>
      <c r="J228" s="99" t="str">
        <f ca="1">IFERROR([1]!IntrinioHistoricalPrices(ticker,"ex_dividend",$B228,$D$4,$D$5,$D$6),"")</f>
        <v/>
      </c>
      <c r="K228" s="99" t="str">
        <f ca="1">IFERROR([1]!IntrinioHistoricalPrices(ticker,"adj_open",$B228,$D$4,$D$5,$D$6),"")</f>
        <v/>
      </c>
      <c r="L228" s="99" t="str">
        <f ca="1">IFERROR([1]!IntrinioHistoricalPrices(ticker,"adj_high",$B228,$D$4,$D$5,$D$6),"")</f>
        <v/>
      </c>
      <c r="M228" s="99" t="str">
        <f ca="1">IFERROR([1]!IntrinioHistoricalPrices(ticker,"adj_low",$B228,$D$4,$D$5,$D$6),"")</f>
        <v/>
      </c>
      <c r="N228" s="99" t="str">
        <f ca="1">IFERROR([1]!IntrinioHistoricalPrices(ticker,"adj_close",$B228,$D$4,$D$5,$D$6),"")</f>
        <v/>
      </c>
      <c r="O228" s="100" t="str">
        <f ca="1">IFERROR([1]!IntrinioHistoricalPrices(ticker,"adj_volume",$B228,$D$4,$D$5,$D$6),"")</f>
        <v/>
      </c>
    </row>
    <row r="229" spans="2:15" x14ac:dyDescent="0.45">
      <c r="B229" s="49">
        <f t="shared" si="3"/>
        <v>220</v>
      </c>
      <c r="C229" s="165" t="str">
        <f ca="1">IFERROR([1]!IntrinioHistoricalPrices(ticker,"date",$B229,$D$4,$D$5,$D$6),"")</f>
        <v/>
      </c>
      <c r="D229" s="99" t="str">
        <f ca="1">IFERROR([1]!IntrinioHistoricalPrices(ticker,"open",$B229,$D$4,$D$5,$D$6),"")</f>
        <v/>
      </c>
      <c r="E229" s="99" t="str">
        <f ca="1">IFERROR([1]!IntrinioHistoricalPrices(ticker,"high",$B229,$D$4,$D$5,$D$6),"")</f>
        <v/>
      </c>
      <c r="F229" s="99" t="str">
        <f ca="1">IFERROR([1]!IntrinioHistoricalPrices(ticker,"low",$B229,$D$4,$D$5,$D$6),"")</f>
        <v/>
      </c>
      <c r="G229" s="99" t="str">
        <f ca="1">IFERROR([1]!IntrinioHistoricalPrices(ticker,"close",$B229,$D$4,$D$5,$D$6),"")</f>
        <v/>
      </c>
      <c r="H229" s="100" t="str">
        <f ca="1">IFERROR([1]!IntrinioHistoricalPrices(ticker,"volume",$B229,$D$4,$D$5,$D$6),"")</f>
        <v/>
      </c>
      <c r="I229" s="101" t="str">
        <f ca="1">IFERROR([1]!IntrinioHistoricalPrices(ticker,"split_ratio",$B229,$D$4,$D$5,$D$6),"")</f>
        <v/>
      </c>
      <c r="J229" s="99" t="str">
        <f ca="1">IFERROR([1]!IntrinioHistoricalPrices(ticker,"ex_dividend",$B229,$D$4,$D$5,$D$6),"")</f>
        <v/>
      </c>
      <c r="K229" s="99" t="str">
        <f ca="1">IFERROR([1]!IntrinioHistoricalPrices(ticker,"adj_open",$B229,$D$4,$D$5,$D$6),"")</f>
        <v/>
      </c>
      <c r="L229" s="99" t="str">
        <f ca="1">IFERROR([1]!IntrinioHistoricalPrices(ticker,"adj_high",$B229,$D$4,$D$5,$D$6),"")</f>
        <v/>
      </c>
      <c r="M229" s="99" t="str">
        <f ca="1">IFERROR([1]!IntrinioHistoricalPrices(ticker,"adj_low",$B229,$D$4,$D$5,$D$6),"")</f>
        <v/>
      </c>
      <c r="N229" s="99" t="str">
        <f ca="1">IFERROR([1]!IntrinioHistoricalPrices(ticker,"adj_close",$B229,$D$4,$D$5,$D$6),"")</f>
        <v/>
      </c>
      <c r="O229" s="100" t="str">
        <f ca="1">IFERROR([1]!IntrinioHistoricalPrices(ticker,"adj_volume",$B229,$D$4,$D$5,$D$6),"")</f>
        <v/>
      </c>
    </row>
    <row r="230" spans="2:15" x14ac:dyDescent="0.45">
      <c r="B230" s="49">
        <f t="shared" si="3"/>
        <v>221</v>
      </c>
      <c r="C230" s="165" t="str">
        <f ca="1">IFERROR([1]!IntrinioHistoricalPrices(ticker,"date",$B230,$D$4,$D$5,$D$6),"")</f>
        <v/>
      </c>
      <c r="D230" s="99" t="str">
        <f ca="1">IFERROR([1]!IntrinioHistoricalPrices(ticker,"open",$B230,$D$4,$D$5,$D$6),"")</f>
        <v/>
      </c>
      <c r="E230" s="99" t="str">
        <f ca="1">IFERROR([1]!IntrinioHistoricalPrices(ticker,"high",$B230,$D$4,$D$5,$D$6),"")</f>
        <v/>
      </c>
      <c r="F230" s="99" t="str">
        <f ca="1">IFERROR([1]!IntrinioHistoricalPrices(ticker,"low",$B230,$D$4,$D$5,$D$6),"")</f>
        <v/>
      </c>
      <c r="G230" s="99" t="str">
        <f ca="1">IFERROR([1]!IntrinioHistoricalPrices(ticker,"close",$B230,$D$4,$D$5,$D$6),"")</f>
        <v/>
      </c>
      <c r="H230" s="100" t="str">
        <f ca="1">IFERROR([1]!IntrinioHistoricalPrices(ticker,"volume",$B230,$D$4,$D$5,$D$6),"")</f>
        <v/>
      </c>
      <c r="I230" s="101" t="str">
        <f ca="1">IFERROR([1]!IntrinioHistoricalPrices(ticker,"split_ratio",$B230,$D$4,$D$5,$D$6),"")</f>
        <v/>
      </c>
      <c r="J230" s="99" t="str">
        <f ca="1">IFERROR([1]!IntrinioHistoricalPrices(ticker,"ex_dividend",$B230,$D$4,$D$5,$D$6),"")</f>
        <v/>
      </c>
      <c r="K230" s="99" t="str">
        <f ca="1">IFERROR([1]!IntrinioHistoricalPrices(ticker,"adj_open",$B230,$D$4,$D$5,$D$6),"")</f>
        <v/>
      </c>
      <c r="L230" s="99" t="str">
        <f ca="1">IFERROR([1]!IntrinioHistoricalPrices(ticker,"adj_high",$B230,$D$4,$D$5,$D$6),"")</f>
        <v/>
      </c>
      <c r="M230" s="99" t="str">
        <f ca="1">IFERROR([1]!IntrinioHistoricalPrices(ticker,"adj_low",$B230,$D$4,$D$5,$D$6),"")</f>
        <v/>
      </c>
      <c r="N230" s="99" t="str">
        <f ca="1">IFERROR([1]!IntrinioHistoricalPrices(ticker,"adj_close",$B230,$D$4,$D$5,$D$6),"")</f>
        <v/>
      </c>
      <c r="O230" s="100" t="str">
        <f ca="1">IFERROR([1]!IntrinioHistoricalPrices(ticker,"adj_volume",$B230,$D$4,$D$5,$D$6),"")</f>
        <v/>
      </c>
    </row>
    <row r="231" spans="2:15" x14ac:dyDescent="0.45">
      <c r="B231" s="49">
        <f t="shared" si="3"/>
        <v>222</v>
      </c>
      <c r="C231" s="165" t="str">
        <f ca="1">IFERROR([1]!IntrinioHistoricalPrices(ticker,"date",$B231,$D$4,$D$5,$D$6),"")</f>
        <v/>
      </c>
      <c r="D231" s="99" t="str">
        <f ca="1">IFERROR([1]!IntrinioHistoricalPrices(ticker,"open",$B231,$D$4,$D$5,$D$6),"")</f>
        <v/>
      </c>
      <c r="E231" s="99" t="str">
        <f ca="1">IFERROR([1]!IntrinioHistoricalPrices(ticker,"high",$B231,$D$4,$D$5,$D$6),"")</f>
        <v/>
      </c>
      <c r="F231" s="99" t="str">
        <f ca="1">IFERROR([1]!IntrinioHistoricalPrices(ticker,"low",$B231,$D$4,$D$5,$D$6),"")</f>
        <v/>
      </c>
      <c r="G231" s="99" t="str">
        <f ca="1">IFERROR([1]!IntrinioHistoricalPrices(ticker,"close",$B231,$D$4,$D$5,$D$6),"")</f>
        <v/>
      </c>
      <c r="H231" s="100" t="str">
        <f ca="1">IFERROR([1]!IntrinioHistoricalPrices(ticker,"volume",$B231,$D$4,$D$5,$D$6),"")</f>
        <v/>
      </c>
      <c r="I231" s="101" t="str">
        <f ca="1">IFERROR([1]!IntrinioHistoricalPrices(ticker,"split_ratio",$B231,$D$4,$D$5,$D$6),"")</f>
        <v/>
      </c>
      <c r="J231" s="99" t="str">
        <f ca="1">IFERROR([1]!IntrinioHistoricalPrices(ticker,"ex_dividend",$B231,$D$4,$D$5,$D$6),"")</f>
        <v/>
      </c>
      <c r="K231" s="99" t="str">
        <f ca="1">IFERROR([1]!IntrinioHistoricalPrices(ticker,"adj_open",$B231,$D$4,$D$5,$D$6),"")</f>
        <v/>
      </c>
      <c r="L231" s="99" t="str">
        <f ca="1">IFERROR([1]!IntrinioHistoricalPrices(ticker,"adj_high",$B231,$D$4,$D$5,$D$6),"")</f>
        <v/>
      </c>
      <c r="M231" s="99" t="str">
        <f ca="1">IFERROR([1]!IntrinioHistoricalPrices(ticker,"adj_low",$B231,$D$4,$D$5,$D$6),"")</f>
        <v/>
      </c>
      <c r="N231" s="99" t="str">
        <f ca="1">IFERROR([1]!IntrinioHistoricalPrices(ticker,"adj_close",$B231,$D$4,$D$5,$D$6),"")</f>
        <v/>
      </c>
      <c r="O231" s="100" t="str">
        <f ca="1">IFERROR([1]!IntrinioHistoricalPrices(ticker,"adj_volume",$B231,$D$4,$D$5,$D$6),"")</f>
        <v/>
      </c>
    </row>
    <row r="232" spans="2:15" x14ac:dyDescent="0.45">
      <c r="B232" s="49">
        <f t="shared" si="3"/>
        <v>223</v>
      </c>
      <c r="C232" s="165" t="str">
        <f ca="1">IFERROR([1]!IntrinioHistoricalPrices(ticker,"date",$B232,$D$4,$D$5,$D$6),"")</f>
        <v/>
      </c>
      <c r="D232" s="99" t="str">
        <f ca="1">IFERROR([1]!IntrinioHistoricalPrices(ticker,"open",$B232,$D$4,$D$5,$D$6),"")</f>
        <v/>
      </c>
      <c r="E232" s="99" t="str">
        <f ca="1">IFERROR([1]!IntrinioHistoricalPrices(ticker,"high",$B232,$D$4,$D$5,$D$6),"")</f>
        <v/>
      </c>
      <c r="F232" s="99" t="str">
        <f ca="1">IFERROR([1]!IntrinioHistoricalPrices(ticker,"low",$B232,$D$4,$D$5,$D$6),"")</f>
        <v/>
      </c>
      <c r="G232" s="99" t="str">
        <f ca="1">IFERROR([1]!IntrinioHistoricalPrices(ticker,"close",$B232,$D$4,$D$5,$D$6),"")</f>
        <v/>
      </c>
      <c r="H232" s="100" t="str">
        <f ca="1">IFERROR([1]!IntrinioHistoricalPrices(ticker,"volume",$B232,$D$4,$D$5,$D$6),"")</f>
        <v/>
      </c>
      <c r="I232" s="101" t="str">
        <f ca="1">IFERROR([1]!IntrinioHistoricalPrices(ticker,"split_ratio",$B232,$D$4,$D$5,$D$6),"")</f>
        <v/>
      </c>
      <c r="J232" s="99" t="str">
        <f ca="1">IFERROR([1]!IntrinioHistoricalPrices(ticker,"ex_dividend",$B232,$D$4,$D$5,$D$6),"")</f>
        <v/>
      </c>
      <c r="K232" s="99" t="str">
        <f ca="1">IFERROR([1]!IntrinioHistoricalPrices(ticker,"adj_open",$B232,$D$4,$D$5,$D$6),"")</f>
        <v/>
      </c>
      <c r="L232" s="99" t="str">
        <f ca="1">IFERROR([1]!IntrinioHistoricalPrices(ticker,"adj_high",$B232,$D$4,$D$5,$D$6),"")</f>
        <v/>
      </c>
      <c r="M232" s="99" t="str">
        <f ca="1">IFERROR([1]!IntrinioHistoricalPrices(ticker,"adj_low",$B232,$D$4,$D$5,$D$6),"")</f>
        <v/>
      </c>
      <c r="N232" s="99" t="str">
        <f ca="1">IFERROR([1]!IntrinioHistoricalPrices(ticker,"adj_close",$B232,$D$4,$D$5,$D$6),"")</f>
        <v/>
      </c>
      <c r="O232" s="100" t="str">
        <f ca="1">IFERROR([1]!IntrinioHistoricalPrices(ticker,"adj_volume",$B232,$D$4,$D$5,$D$6),"")</f>
        <v/>
      </c>
    </row>
    <row r="233" spans="2:15" x14ac:dyDescent="0.45">
      <c r="B233" s="49">
        <f t="shared" si="3"/>
        <v>224</v>
      </c>
      <c r="C233" s="165" t="str">
        <f ca="1">IFERROR([1]!IntrinioHistoricalPrices(ticker,"date",$B233,$D$4,$D$5,$D$6),"")</f>
        <v/>
      </c>
      <c r="D233" s="99" t="str">
        <f ca="1">IFERROR([1]!IntrinioHistoricalPrices(ticker,"open",$B233,$D$4,$D$5,$D$6),"")</f>
        <v/>
      </c>
      <c r="E233" s="99" t="str">
        <f ca="1">IFERROR([1]!IntrinioHistoricalPrices(ticker,"high",$B233,$D$4,$D$5,$D$6),"")</f>
        <v/>
      </c>
      <c r="F233" s="99" t="str">
        <f ca="1">IFERROR([1]!IntrinioHistoricalPrices(ticker,"low",$B233,$D$4,$D$5,$D$6),"")</f>
        <v/>
      </c>
      <c r="G233" s="99" t="str">
        <f ca="1">IFERROR([1]!IntrinioHistoricalPrices(ticker,"close",$B233,$D$4,$D$5,$D$6),"")</f>
        <v/>
      </c>
      <c r="H233" s="100" t="str">
        <f ca="1">IFERROR([1]!IntrinioHistoricalPrices(ticker,"volume",$B233,$D$4,$D$5,$D$6),"")</f>
        <v/>
      </c>
      <c r="I233" s="101" t="str">
        <f ca="1">IFERROR([1]!IntrinioHistoricalPrices(ticker,"split_ratio",$B233,$D$4,$D$5,$D$6),"")</f>
        <v/>
      </c>
      <c r="J233" s="99" t="str">
        <f ca="1">IFERROR([1]!IntrinioHistoricalPrices(ticker,"ex_dividend",$B233,$D$4,$D$5,$D$6),"")</f>
        <v/>
      </c>
      <c r="K233" s="99" t="str">
        <f ca="1">IFERROR([1]!IntrinioHistoricalPrices(ticker,"adj_open",$B233,$D$4,$D$5,$D$6),"")</f>
        <v/>
      </c>
      <c r="L233" s="99" t="str">
        <f ca="1">IFERROR([1]!IntrinioHistoricalPrices(ticker,"adj_high",$B233,$D$4,$D$5,$D$6),"")</f>
        <v/>
      </c>
      <c r="M233" s="99" t="str">
        <f ca="1">IFERROR([1]!IntrinioHistoricalPrices(ticker,"adj_low",$B233,$D$4,$D$5,$D$6),"")</f>
        <v/>
      </c>
      <c r="N233" s="99" t="str">
        <f ca="1">IFERROR([1]!IntrinioHistoricalPrices(ticker,"adj_close",$B233,$D$4,$D$5,$D$6),"")</f>
        <v/>
      </c>
      <c r="O233" s="100" t="str">
        <f ca="1">IFERROR([1]!IntrinioHistoricalPrices(ticker,"adj_volume",$B233,$D$4,$D$5,$D$6),"")</f>
        <v/>
      </c>
    </row>
    <row r="234" spans="2:15" x14ac:dyDescent="0.45">
      <c r="B234" s="49">
        <f t="shared" si="3"/>
        <v>225</v>
      </c>
      <c r="C234" s="165" t="str">
        <f ca="1">IFERROR([1]!IntrinioHistoricalPrices(ticker,"date",$B234,$D$4,$D$5,$D$6),"")</f>
        <v/>
      </c>
      <c r="D234" s="99" t="str">
        <f ca="1">IFERROR([1]!IntrinioHistoricalPrices(ticker,"open",$B234,$D$4,$D$5,$D$6),"")</f>
        <v/>
      </c>
      <c r="E234" s="99" t="str">
        <f ca="1">IFERROR([1]!IntrinioHistoricalPrices(ticker,"high",$B234,$D$4,$D$5,$D$6),"")</f>
        <v/>
      </c>
      <c r="F234" s="99" t="str">
        <f ca="1">IFERROR([1]!IntrinioHistoricalPrices(ticker,"low",$B234,$D$4,$D$5,$D$6),"")</f>
        <v/>
      </c>
      <c r="G234" s="99" t="str">
        <f ca="1">IFERROR([1]!IntrinioHistoricalPrices(ticker,"close",$B234,$D$4,$D$5,$D$6),"")</f>
        <v/>
      </c>
      <c r="H234" s="100" t="str">
        <f ca="1">IFERROR([1]!IntrinioHistoricalPrices(ticker,"volume",$B234,$D$4,$D$5,$D$6),"")</f>
        <v/>
      </c>
      <c r="I234" s="101" t="str">
        <f ca="1">IFERROR([1]!IntrinioHistoricalPrices(ticker,"split_ratio",$B234,$D$4,$D$5,$D$6),"")</f>
        <v/>
      </c>
      <c r="J234" s="99" t="str">
        <f ca="1">IFERROR([1]!IntrinioHistoricalPrices(ticker,"ex_dividend",$B234,$D$4,$D$5,$D$6),"")</f>
        <v/>
      </c>
      <c r="K234" s="99" t="str">
        <f ca="1">IFERROR([1]!IntrinioHistoricalPrices(ticker,"adj_open",$B234,$D$4,$D$5,$D$6),"")</f>
        <v/>
      </c>
      <c r="L234" s="99" t="str">
        <f ca="1">IFERROR([1]!IntrinioHistoricalPrices(ticker,"adj_high",$B234,$D$4,$D$5,$D$6),"")</f>
        <v/>
      </c>
      <c r="M234" s="99" t="str">
        <f ca="1">IFERROR([1]!IntrinioHistoricalPrices(ticker,"adj_low",$B234,$D$4,$D$5,$D$6),"")</f>
        <v/>
      </c>
      <c r="N234" s="99" t="str">
        <f ca="1">IFERROR([1]!IntrinioHistoricalPrices(ticker,"adj_close",$B234,$D$4,$D$5,$D$6),"")</f>
        <v/>
      </c>
      <c r="O234" s="100" t="str">
        <f ca="1">IFERROR([1]!IntrinioHistoricalPrices(ticker,"adj_volume",$B234,$D$4,$D$5,$D$6),"")</f>
        <v/>
      </c>
    </row>
    <row r="235" spans="2:15" x14ac:dyDescent="0.45">
      <c r="B235" s="49">
        <f t="shared" si="3"/>
        <v>226</v>
      </c>
      <c r="C235" s="165" t="str">
        <f ca="1">IFERROR([1]!IntrinioHistoricalPrices(ticker,"date",$B235,$D$4,$D$5,$D$6),"")</f>
        <v/>
      </c>
      <c r="D235" s="99" t="str">
        <f ca="1">IFERROR([1]!IntrinioHistoricalPrices(ticker,"open",$B235,$D$4,$D$5,$D$6),"")</f>
        <v/>
      </c>
      <c r="E235" s="99" t="str">
        <f ca="1">IFERROR([1]!IntrinioHistoricalPrices(ticker,"high",$B235,$D$4,$D$5,$D$6),"")</f>
        <v/>
      </c>
      <c r="F235" s="99" t="str">
        <f ca="1">IFERROR([1]!IntrinioHistoricalPrices(ticker,"low",$B235,$D$4,$D$5,$D$6),"")</f>
        <v/>
      </c>
      <c r="G235" s="99" t="str">
        <f ca="1">IFERROR([1]!IntrinioHistoricalPrices(ticker,"close",$B235,$D$4,$D$5,$D$6),"")</f>
        <v/>
      </c>
      <c r="H235" s="100" t="str">
        <f ca="1">IFERROR([1]!IntrinioHistoricalPrices(ticker,"volume",$B235,$D$4,$D$5,$D$6),"")</f>
        <v/>
      </c>
      <c r="I235" s="101" t="str">
        <f ca="1">IFERROR([1]!IntrinioHistoricalPrices(ticker,"split_ratio",$B235,$D$4,$D$5,$D$6),"")</f>
        <v/>
      </c>
      <c r="J235" s="99" t="str">
        <f ca="1">IFERROR([1]!IntrinioHistoricalPrices(ticker,"ex_dividend",$B235,$D$4,$D$5,$D$6),"")</f>
        <v/>
      </c>
      <c r="K235" s="99" t="str">
        <f ca="1">IFERROR([1]!IntrinioHistoricalPrices(ticker,"adj_open",$B235,$D$4,$D$5,$D$6),"")</f>
        <v/>
      </c>
      <c r="L235" s="99" t="str">
        <f ca="1">IFERROR([1]!IntrinioHistoricalPrices(ticker,"adj_high",$B235,$D$4,$D$5,$D$6),"")</f>
        <v/>
      </c>
      <c r="M235" s="99" t="str">
        <f ca="1">IFERROR([1]!IntrinioHistoricalPrices(ticker,"adj_low",$B235,$D$4,$D$5,$D$6),"")</f>
        <v/>
      </c>
      <c r="N235" s="99" t="str">
        <f ca="1">IFERROR([1]!IntrinioHistoricalPrices(ticker,"adj_close",$B235,$D$4,$D$5,$D$6),"")</f>
        <v/>
      </c>
      <c r="O235" s="100" t="str">
        <f ca="1">IFERROR([1]!IntrinioHistoricalPrices(ticker,"adj_volume",$B235,$D$4,$D$5,$D$6),"")</f>
        <v/>
      </c>
    </row>
    <row r="236" spans="2:15" x14ac:dyDescent="0.45">
      <c r="B236" s="49">
        <f t="shared" si="3"/>
        <v>227</v>
      </c>
      <c r="C236" s="165" t="str">
        <f ca="1">IFERROR([1]!IntrinioHistoricalPrices(ticker,"date",$B236,$D$4,$D$5,$D$6),"")</f>
        <v/>
      </c>
      <c r="D236" s="99" t="str">
        <f ca="1">IFERROR([1]!IntrinioHistoricalPrices(ticker,"open",$B236,$D$4,$D$5,$D$6),"")</f>
        <v/>
      </c>
      <c r="E236" s="99" t="str">
        <f ca="1">IFERROR([1]!IntrinioHistoricalPrices(ticker,"high",$B236,$D$4,$D$5,$D$6),"")</f>
        <v/>
      </c>
      <c r="F236" s="99" t="str">
        <f ca="1">IFERROR([1]!IntrinioHistoricalPrices(ticker,"low",$B236,$D$4,$D$5,$D$6),"")</f>
        <v/>
      </c>
      <c r="G236" s="99" t="str">
        <f ca="1">IFERROR([1]!IntrinioHistoricalPrices(ticker,"close",$B236,$D$4,$D$5,$D$6),"")</f>
        <v/>
      </c>
      <c r="H236" s="100" t="str">
        <f ca="1">IFERROR([1]!IntrinioHistoricalPrices(ticker,"volume",$B236,$D$4,$D$5,$D$6),"")</f>
        <v/>
      </c>
      <c r="I236" s="101" t="str">
        <f ca="1">IFERROR([1]!IntrinioHistoricalPrices(ticker,"split_ratio",$B236,$D$4,$D$5,$D$6),"")</f>
        <v/>
      </c>
      <c r="J236" s="99" t="str">
        <f ca="1">IFERROR([1]!IntrinioHistoricalPrices(ticker,"ex_dividend",$B236,$D$4,$D$5,$D$6),"")</f>
        <v/>
      </c>
      <c r="K236" s="99" t="str">
        <f ca="1">IFERROR([1]!IntrinioHistoricalPrices(ticker,"adj_open",$B236,$D$4,$D$5,$D$6),"")</f>
        <v/>
      </c>
      <c r="L236" s="99" t="str">
        <f ca="1">IFERROR([1]!IntrinioHistoricalPrices(ticker,"adj_high",$B236,$D$4,$D$5,$D$6),"")</f>
        <v/>
      </c>
      <c r="M236" s="99" t="str">
        <f ca="1">IFERROR([1]!IntrinioHistoricalPrices(ticker,"adj_low",$B236,$D$4,$D$5,$D$6),"")</f>
        <v/>
      </c>
      <c r="N236" s="99" t="str">
        <f ca="1">IFERROR([1]!IntrinioHistoricalPrices(ticker,"adj_close",$B236,$D$4,$D$5,$D$6),"")</f>
        <v/>
      </c>
      <c r="O236" s="100" t="str">
        <f ca="1">IFERROR([1]!IntrinioHistoricalPrices(ticker,"adj_volume",$B236,$D$4,$D$5,$D$6),"")</f>
        <v/>
      </c>
    </row>
    <row r="237" spans="2:15" x14ac:dyDescent="0.45">
      <c r="B237" s="49">
        <f t="shared" si="3"/>
        <v>228</v>
      </c>
      <c r="C237" s="165" t="str">
        <f ca="1">IFERROR([1]!IntrinioHistoricalPrices(ticker,"date",$B237,$D$4,$D$5,$D$6),"")</f>
        <v/>
      </c>
      <c r="D237" s="99" t="str">
        <f ca="1">IFERROR([1]!IntrinioHistoricalPrices(ticker,"open",$B237,$D$4,$D$5,$D$6),"")</f>
        <v/>
      </c>
      <c r="E237" s="99" t="str">
        <f ca="1">IFERROR([1]!IntrinioHistoricalPrices(ticker,"high",$B237,$D$4,$D$5,$D$6),"")</f>
        <v/>
      </c>
      <c r="F237" s="99" t="str">
        <f ca="1">IFERROR([1]!IntrinioHistoricalPrices(ticker,"low",$B237,$D$4,$D$5,$D$6),"")</f>
        <v/>
      </c>
      <c r="G237" s="99" t="str">
        <f ca="1">IFERROR([1]!IntrinioHistoricalPrices(ticker,"close",$B237,$D$4,$D$5,$D$6),"")</f>
        <v/>
      </c>
      <c r="H237" s="100" t="str">
        <f ca="1">IFERROR([1]!IntrinioHistoricalPrices(ticker,"volume",$B237,$D$4,$D$5,$D$6),"")</f>
        <v/>
      </c>
      <c r="I237" s="101" t="str">
        <f ca="1">IFERROR([1]!IntrinioHistoricalPrices(ticker,"split_ratio",$B237,$D$4,$D$5,$D$6),"")</f>
        <v/>
      </c>
      <c r="J237" s="99" t="str">
        <f ca="1">IFERROR([1]!IntrinioHistoricalPrices(ticker,"ex_dividend",$B237,$D$4,$D$5,$D$6),"")</f>
        <v/>
      </c>
      <c r="K237" s="99" t="str">
        <f ca="1">IFERROR([1]!IntrinioHistoricalPrices(ticker,"adj_open",$B237,$D$4,$D$5,$D$6),"")</f>
        <v/>
      </c>
      <c r="L237" s="99" t="str">
        <f ca="1">IFERROR([1]!IntrinioHistoricalPrices(ticker,"adj_high",$B237,$D$4,$D$5,$D$6),"")</f>
        <v/>
      </c>
      <c r="M237" s="99" t="str">
        <f ca="1">IFERROR([1]!IntrinioHistoricalPrices(ticker,"adj_low",$B237,$D$4,$D$5,$D$6),"")</f>
        <v/>
      </c>
      <c r="N237" s="99" t="str">
        <f ca="1">IFERROR([1]!IntrinioHistoricalPrices(ticker,"adj_close",$B237,$D$4,$D$5,$D$6),"")</f>
        <v/>
      </c>
      <c r="O237" s="100" t="str">
        <f ca="1">IFERROR([1]!IntrinioHistoricalPrices(ticker,"adj_volume",$B237,$D$4,$D$5,$D$6),"")</f>
        <v/>
      </c>
    </row>
    <row r="238" spans="2:15" x14ac:dyDescent="0.45">
      <c r="B238" s="49">
        <f t="shared" si="3"/>
        <v>229</v>
      </c>
      <c r="C238" s="165" t="str">
        <f ca="1">IFERROR([1]!IntrinioHistoricalPrices(ticker,"date",$B238,$D$4,$D$5,$D$6),"")</f>
        <v/>
      </c>
      <c r="D238" s="99" t="str">
        <f ca="1">IFERROR([1]!IntrinioHistoricalPrices(ticker,"open",$B238,$D$4,$D$5,$D$6),"")</f>
        <v/>
      </c>
      <c r="E238" s="99" t="str">
        <f ca="1">IFERROR([1]!IntrinioHistoricalPrices(ticker,"high",$B238,$D$4,$D$5,$D$6),"")</f>
        <v/>
      </c>
      <c r="F238" s="99" t="str">
        <f ca="1">IFERROR([1]!IntrinioHistoricalPrices(ticker,"low",$B238,$D$4,$D$5,$D$6),"")</f>
        <v/>
      </c>
      <c r="G238" s="99" t="str">
        <f ca="1">IFERROR([1]!IntrinioHistoricalPrices(ticker,"close",$B238,$D$4,$D$5,$D$6),"")</f>
        <v/>
      </c>
      <c r="H238" s="100" t="str">
        <f ca="1">IFERROR([1]!IntrinioHistoricalPrices(ticker,"volume",$B238,$D$4,$D$5,$D$6),"")</f>
        <v/>
      </c>
      <c r="I238" s="101" t="str">
        <f ca="1">IFERROR([1]!IntrinioHistoricalPrices(ticker,"split_ratio",$B238,$D$4,$D$5,$D$6),"")</f>
        <v/>
      </c>
      <c r="J238" s="99" t="str">
        <f ca="1">IFERROR([1]!IntrinioHistoricalPrices(ticker,"ex_dividend",$B238,$D$4,$D$5,$D$6),"")</f>
        <v/>
      </c>
      <c r="K238" s="99" t="str">
        <f ca="1">IFERROR([1]!IntrinioHistoricalPrices(ticker,"adj_open",$B238,$D$4,$D$5,$D$6),"")</f>
        <v/>
      </c>
      <c r="L238" s="99" t="str">
        <f ca="1">IFERROR([1]!IntrinioHistoricalPrices(ticker,"adj_high",$B238,$D$4,$D$5,$D$6),"")</f>
        <v/>
      </c>
      <c r="M238" s="99" t="str">
        <f ca="1">IFERROR([1]!IntrinioHistoricalPrices(ticker,"adj_low",$B238,$D$4,$D$5,$D$6),"")</f>
        <v/>
      </c>
      <c r="N238" s="99" t="str">
        <f ca="1">IFERROR([1]!IntrinioHistoricalPrices(ticker,"adj_close",$B238,$D$4,$D$5,$D$6),"")</f>
        <v/>
      </c>
      <c r="O238" s="100" t="str">
        <f ca="1">IFERROR([1]!IntrinioHistoricalPrices(ticker,"adj_volume",$B238,$D$4,$D$5,$D$6),"")</f>
        <v/>
      </c>
    </row>
    <row r="239" spans="2:15" x14ac:dyDescent="0.45">
      <c r="B239" s="49">
        <f t="shared" si="3"/>
        <v>230</v>
      </c>
      <c r="C239" s="165" t="str">
        <f ca="1">IFERROR([1]!IntrinioHistoricalPrices(ticker,"date",$B239,$D$4,$D$5,$D$6),"")</f>
        <v/>
      </c>
      <c r="D239" s="99" t="str">
        <f ca="1">IFERROR([1]!IntrinioHistoricalPrices(ticker,"open",$B239,$D$4,$D$5,$D$6),"")</f>
        <v/>
      </c>
      <c r="E239" s="99" t="str">
        <f ca="1">IFERROR([1]!IntrinioHistoricalPrices(ticker,"high",$B239,$D$4,$D$5,$D$6),"")</f>
        <v/>
      </c>
      <c r="F239" s="99" t="str">
        <f ca="1">IFERROR([1]!IntrinioHistoricalPrices(ticker,"low",$B239,$D$4,$D$5,$D$6),"")</f>
        <v/>
      </c>
      <c r="G239" s="99" t="str">
        <f ca="1">IFERROR([1]!IntrinioHistoricalPrices(ticker,"close",$B239,$D$4,$D$5,$D$6),"")</f>
        <v/>
      </c>
      <c r="H239" s="100" t="str">
        <f ca="1">IFERROR([1]!IntrinioHistoricalPrices(ticker,"volume",$B239,$D$4,$D$5,$D$6),"")</f>
        <v/>
      </c>
      <c r="I239" s="101" t="str">
        <f ca="1">IFERROR([1]!IntrinioHistoricalPrices(ticker,"split_ratio",$B239,$D$4,$D$5,$D$6),"")</f>
        <v/>
      </c>
      <c r="J239" s="99" t="str">
        <f ca="1">IFERROR([1]!IntrinioHistoricalPrices(ticker,"ex_dividend",$B239,$D$4,$D$5,$D$6),"")</f>
        <v/>
      </c>
      <c r="K239" s="99" t="str">
        <f ca="1">IFERROR([1]!IntrinioHistoricalPrices(ticker,"adj_open",$B239,$D$4,$D$5,$D$6),"")</f>
        <v/>
      </c>
      <c r="L239" s="99" t="str">
        <f ca="1">IFERROR([1]!IntrinioHistoricalPrices(ticker,"adj_high",$B239,$D$4,$D$5,$D$6),"")</f>
        <v/>
      </c>
      <c r="M239" s="99" t="str">
        <f ca="1">IFERROR([1]!IntrinioHistoricalPrices(ticker,"adj_low",$B239,$D$4,$D$5,$D$6),"")</f>
        <v/>
      </c>
      <c r="N239" s="99" t="str">
        <f ca="1">IFERROR([1]!IntrinioHistoricalPrices(ticker,"adj_close",$B239,$D$4,$D$5,$D$6),"")</f>
        <v/>
      </c>
      <c r="O239" s="100" t="str">
        <f ca="1">IFERROR([1]!IntrinioHistoricalPrices(ticker,"adj_volume",$B239,$D$4,$D$5,$D$6),"")</f>
        <v/>
      </c>
    </row>
    <row r="240" spans="2:15" x14ac:dyDescent="0.45">
      <c r="B240" s="49">
        <f t="shared" si="3"/>
        <v>231</v>
      </c>
      <c r="C240" s="165" t="str">
        <f ca="1">IFERROR([1]!IntrinioHistoricalPrices(ticker,"date",$B240,$D$4,$D$5,$D$6),"")</f>
        <v/>
      </c>
      <c r="D240" s="99" t="str">
        <f ca="1">IFERROR([1]!IntrinioHistoricalPrices(ticker,"open",$B240,$D$4,$D$5,$D$6),"")</f>
        <v/>
      </c>
      <c r="E240" s="99" t="str">
        <f ca="1">IFERROR([1]!IntrinioHistoricalPrices(ticker,"high",$B240,$D$4,$D$5,$D$6),"")</f>
        <v/>
      </c>
      <c r="F240" s="99" t="str">
        <f ca="1">IFERROR([1]!IntrinioHistoricalPrices(ticker,"low",$B240,$D$4,$D$5,$D$6),"")</f>
        <v/>
      </c>
      <c r="G240" s="99" t="str">
        <f ca="1">IFERROR([1]!IntrinioHistoricalPrices(ticker,"close",$B240,$D$4,$D$5,$D$6),"")</f>
        <v/>
      </c>
      <c r="H240" s="100" t="str">
        <f ca="1">IFERROR([1]!IntrinioHistoricalPrices(ticker,"volume",$B240,$D$4,$D$5,$D$6),"")</f>
        <v/>
      </c>
      <c r="I240" s="101" t="str">
        <f ca="1">IFERROR([1]!IntrinioHistoricalPrices(ticker,"split_ratio",$B240,$D$4,$D$5,$D$6),"")</f>
        <v/>
      </c>
      <c r="J240" s="99" t="str">
        <f ca="1">IFERROR([1]!IntrinioHistoricalPrices(ticker,"ex_dividend",$B240,$D$4,$D$5,$D$6),"")</f>
        <v/>
      </c>
      <c r="K240" s="99" t="str">
        <f ca="1">IFERROR([1]!IntrinioHistoricalPrices(ticker,"adj_open",$B240,$D$4,$D$5,$D$6),"")</f>
        <v/>
      </c>
      <c r="L240" s="99" t="str">
        <f ca="1">IFERROR([1]!IntrinioHistoricalPrices(ticker,"adj_high",$B240,$D$4,$D$5,$D$6),"")</f>
        <v/>
      </c>
      <c r="M240" s="99" t="str">
        <f ca="1">IFERROR([1]!IntrinioHistoricalPrices(ticker,"adj_low",$B240,$D$4,$D$5,$D$6),"")</f>
        <v/>
      </c>
      <c r="N240" s="99" t="str">
        <f ca="1">IFERROR([1]!IntrinioHistoricalPrices(ticker,"adj_close",$B240,$D$4,$D$5,$D$6),"")</f>
        <v/>
      </c>
      <c r="O240" s="100" t="str">
        <f ca="1">IFERROR([1]!IntrinioHistoricalPrices(ticker,"adj_volume",$B240,$D$4,$D$5,$D$6),"")</f>
        <v/>
      </c>
    </row>
    <row r="241" spans="2:15" x14ac:dyDescent="0.45">
      <c r="B241" s="49">
        <f t="shared" si="3"/>
        <v>232</v>
      </c>
      <c r="C241" s="165" t="str">
        <f ca="1">IFERROR([1]!IntrinioHistoricalPrices(ticker,"date",$B241,$D$4,$D$5,$D$6),"")</f>
        <v/>
      </c>
      <c r="D241" s="99" t="str">
        <f ca="1">IFERROR([1]!IntrinioHistoricalPrices(ticker,"open",$B241,$D$4,$D$5,$D$6),"")</f>
        <v/>
      </c>
      <c r="E241" s="99" t="str">
        <f ca="1">IFERROR([1]!IntrinioHistoricalPrices(ticker,"high",$B241,$D$4,$D$5,$D$6),"")</f>
        <v/>
      </c>
      <c r="F241" s="99" t="str">
        <f ca="1">IFERROR([1]!IntrinioHistoricalPrices(ticker,"low",$B241,$D$4,$D$5,$D$6),"")</f>
        <v/>
      </c>
      <c r="G241" s="99" t="str">
        <f ca="1">IFERROR([1]!IntrinioHistoricalPrices(ticker,"close",$B241,$D$4,$D$5,$D$6),"")</f>
        <v/>
      </c>
      <c r="H241" s="100" t="str">
        <f ca="1">IFERROR([1]!IntrinioHistoricalPrices(ticker,"volume",$B241,$D$4,$D$5,$D$6),"")</f>
        <v/>
      </c>
      <c r="I241" s="101" t="str">
        <f ca="1">IFERROR([1]!IntrinioHistoricalPrices(ticker,"split_ratio",$B241,$D$4,$D$5,$D$6),"")</f>
        <v/>
      </c>
      <c r="J241" s="99" t="str">
        <f ca="1">IFERROR([1]!IntrinioHistoricalPrices(ticker,"ex_dividend",$B241,$D$4,$D$5,$D$6),"")</f>
        <v/>
      </c>
      <c r="K241" s="99" t="str">
        <f ca="1">IFERROR([1]!IntrinioHistoricalPrices(ticker,"adj_open",$B241,$D$4,$D$5,$D$6),"")</f>
        <v/>
      </c>
      <c r="L241" s="99" t="str">
        <f ca="1">IFERROR([1]!IntrinioHistoricalPrices(ticker,"adj_high",$B241,$D$4,$D$5,$D$6),"")</f>
        <v/>
      </c>
      <c r="M241" s="99" t="str">
        <f ca="1">IFERROR([1]!IntrinioHistoricalPrices(ticker,"adj_low",$B241,$D$4,$D$5,$D$6),"")</f>
        <v/>
      </c>
      <c r="N241" s="99" t="str">
        <f ca="1">IFERROR([1]!IntrinioHistoricalPrices(ticker,"adj_close",$B241,$D$4,$D$5,$D$6),"")</f>
        <v/>
      </c>
      <c r="O241" s="100" t="str">
        <f ca="1">IFERROR([1]!IntrinioHistoricalPrices(ticker,"adj_volume",$B241,$D$4,$D$5,$D$6),"")</f>
        <v/>
      </c>
    </row>
    <row r="242" spans="2:15" x14ac:dyDescent="0.45">
      <c r="B242" s="49">
        <f t="shared" si="3"/>
        <v>233</v>
      </c>
      <c r="C242" s="165" t="str">
        <f ca="1">IFERROR([1]!IntrinioHistoricalPrices(ticker,"date",$B242,$D$4,$D$5,$D$6),"")</f>
        <v/>
      </c>
      <c r="D242" s="99" t="str">
        <f ca="1">IFERROR([1]!IntrinioHistoricalPrices(ticker,"open",$B242,$D$4,$D$5,$D$6),"")</f>
        <v/>
      </c>
      <c r="E242" s="99" t="str">
        <f ca="1">IFERROR([1]!IntrinioHistoricalPrices(ticker,"high",$B242,$D$4,$D$5,$D$6),"")</f>
        <v/>
      </c>
      <c r="F242" s="99" t="str">
        <f ca="1">IFERROR([1]!IntrinioHistoricalPrices(ticker,"low",$B242,$D$4,$D$5,$D$6),"")</f>
        <v/>
      </c>
      <c r="G242" s="99" t="str">
        <f ca="1">IFERROR([1]!IntrinioHistoricalPrices(ticker,"close",$B242,$D$4,$D$5,$D$6),"")</f>
        <v/>
      </c>
      <c r="H242" s="100" t="str">
        <f ca="1">IFERROR([1]!IntrinioHistoricalPrices(ticker,"volume",$B242,$D$4,$D$5,$D$6),"")</f>
        <v/>
      </c>
      <c r="I242" s="101" t="str">
        <f ca="1">IFERROR([1]!IntrinioHistoricalPrices(ticker,"split_ratio",$B242,$D$4,$D$5,$D$6),"")</f>
        <v/>
      </c>
      <c r="J242" s="99" t="str">
        <f ca="1">IFERROR([1]!IntrinioHistoricalPrices(ticker,"ex_dividend",$B242,$D$4,$D$5,$D$6),"")</f>
        <v/>
      </c>
      <c r="K242" s="99" t="str">
        <f ca="1">IFERROR([1]!IntrinioHistoricalPrices(ticker,"adj_open",$B242,$D$4,$D$5,$D$6),"")</f>
        <v/>
      </c>
      <c r="L242" s="99" t="str">
        <f ca="1">IFERROR([1]!IntrinioHistoricalPrices(ticker,"adj_high",$B242,$D$4,$D$5,$D$6),"")</f>
        <v/>
      </c>
      <c r="M242" s="99" t="str">
        <f ca="1">IFERROR([1]!IntrinioHistoricalPrices(ticker,"adj_low",$B242,$D$4,$D$5,$D$6),"")</f>
        <v/>
      </c>
      <c r="N242" s="99" t="str">
        <f ca="1">IFERROR([1]!IntrinioHistoricalPrices(ticker,"adj_close",$B242,$D$4,$D$5,$D$6),"")</f>
        <v/>
      </c>
      <c r="O242" s="100" t="str">
        <f ca="1">IFERROR([1]!IntrinioHistoricalPrices(ticker,"adj_volume",$B242,$D$4,$D$5,$D$6),"")</f>
        <v/>
      </c>
    </row>
    <row r="243" spans="2:15" x14ac:dyDescent="0.45">
      <c r="B243" s="49">
        <f t="shared" si="3"/>
        <v>234</v>
      </c>
      <c r="C243" s="165" t="str">
        <f ca="1">IFERROR([1]!IntrinioHistoricalPrices(ticker,"date",$B243,$D$4,$D$5,$D$6),"")</f>
        <v/>
      </c>
      <c r="D243" s="99" t="str">
        <f ca="1">IFERROR([1]!IntrinioHistoricalPrices(ticker,"open",$B243,$D$4,$D$5,$D$6),"")</f>
        <v/>
      </c>
      <c r="E243" s="99" t="str">
        <f ca="1">IFERROR([1]!IntrinioHistoricalPrices(ticker,"high",$B243,$D$4,$D$5,$D$6),"")</f>
        <v/>
      </c>
      <c r="F243" s="99" t="str">
        <f ca="1">IFERROR([1]!IntrinioHistoricalPrices(ticker,"low",$B243,$D$4,$D$5,$D$6),"")</f>
        <v/>
      </c>
      <c r="G243" s="99" t="str">
        <f ca="1">IFERROR([1]!IntrinioHistoricalPrices(ticker,"close",$B243,$D$4,$D$5,$D$6),"")</f>
        <v/>
      </c>
      <c r="H243" s="100" t="str">
        <f ca="1">IFERROR([1]!IntrinioHistoricalPrices(ticker,"volume",$B243,$D$4,$D$5,$D$6),"")</f>
        <v/>
      </c>
      <c r="I243" s="101" t="str">
        <f ca="1">IFERROR([1]!IntrinioHistoricalPrices(ticker,"split_ratio",$B243,$D$4,$D$5,$D$6),"")</f>
        <v/>
      </c>
      <c r="J243" s="99" t="str">
        <f ca="1">IFERROR([1]!IntrinioHistoricalPrices(ticker,"ex_dividend",$B243,$D$4,$D$5,$D$6),"")</f>
        <v/>
      </c>
      <c r="K243" s="99" t="str">
        <f ca="1">IFERROR([1]!IntrinioHistoricalPrices(ticker,"adj_open",$B243,$D$4,$D$5,$D$6),"")</f>
        <v/>
      </c>
      <c r="L243" s="99" t="str">
        <f ca="1">IFERROR([1]!IntrinioHistoricalPrices(ticker,"adj_high",$B243,$D$4,$D$5,$D$6),"")</f>
        <v/>
      </c>
      <c r="M243" s="99" t="str">
        <f ca="1">IFERROR([1]!IntrinioHistoricalPrices(ticker,"adj_low",$B243,$D$4,$D$5,$D$6),"")</f>
        <v/>
      </c>
      <c r="N243" s="99" t="str">
        <f ca="1">IFERROR([1]!IntrinioHistoricalPrices(ticker,"adj_close",$B243,$D$4,$D$5,$D$6),"")</f>
        <v/>
      </c>
      <c r="O243" s="100" t="str">
        <f ca="1">IFERROR([1]!IntrinioHistoricalPrices(ticker,"adj_volume",$B243,$D$4,$D$5,$D$6),"")</f>
        <v/>
      </c>
    </row>
    <row r="244" spans="2:15" x14ac:dyDescent="0.45">
      <c r="B244" s="49">
        <f t="shared" si="3"/>
        <v>235</v>
      </c>
      <c r="C244" s="165" t="str">
        <f ca="1">IFERROR([1]!IntrinioHistoricalPrices(ticker,"date",$B244,$D$4,$D$5,$D$6),"")</f>
        <v/>
      </c>
      <c r="D244" s="99" t="str">
        <f ca="1">IFERROR([1]!IntrinioHistoricalPrices(ticker,"open",$B244,$D$4,$D$5,$D$6),"")</f>
        <v/>
      </c>
      <c r="E244" s="99" t="str">
        <f ca="1">IFERROR([1]!IntrinioHistoricalPrices(ticker,"high",$B244,$D$4,$D$5,$D$6),"")</f>
        <v/>
      </c>
      <c r="F244" s="99" t="str">
        <f ca="1">IFERROR([1]!IntrinioHistoricalPrices(ticker,"low",$B244,$D$4,$D$5,$D$6),"")</f>
        <v/>
      </c>
      <c r="G244" s="99" t="str">
        <f ca="1">IFERROR([1]!IntrinioHistoricalPrices(ticker,"close",$B244,$D$4,$D$5,$D$6),"")</f>
        <v/>
      </c>
      <c r="H244" s="100" t="str">
        <f ca="1">IFERROR([1]!IntrinioHistoricalPrices(ticker,"volume",$B244,$D$4,$D$5,$D$6),"")</f>
        <v/>
      </c>
      <c r="I244" s="101" t="str">
        <f ca="1">IFERROR([1]!IntrinioHistoricalPrices(ticker,"split_ratio",$B244,$D$4,$D$5,$D$6),"")</f>
        <v/>
      </c>
      <c r="J244" s="99" t="str">
        <f ca="1">IFERROR([1]!IntrinioHistoricalPrices(ticker,"ex_dividend",$B244,$D$4,$D$5,$D$6),"")</f>
        <v/>
      </c>
      <c r="K244" s="99" t="str">
        <f ca="1">IFERROR([1]!IntrinioHistoricalPrices(ticker,"adj_open",$B244,$D$4,$D$5,$D$6),"")</f>
        <v/>
      </c>
      <c r="L244" s="99" t="str">
        <f ca="1">IFERROR([1]!IntrinioHistoricalPrices(ticker,"adj_high",$B244,$D$4,$D$5,$D$6),"")</f>
        <v/>
      </c>
      <c r="M244" s="99" t="str">
        <f ca="1">IFERROR([1]!IntrinioHistoricalPrices(ticker,"adj_low",$B244,$D$4,$D$5,$D$6),"")</f>
        <v/>
      </c>
      <c r="N244" s="99" t="str">
        <f ca="1">IFERROR([1]!IntrinioHistoricalPrices(ticker,"adj_close",$B244,$D$4,$D$5,$D$6),"")</f>
        <v/>
      </c>
      <c r="O244" s="100" t="str">
        <f ca="1">IFERROR([1]!IntrinioHistoricalPrices(ticker,"adj_volume",$B244,$D$4,$D$5,$D$6),"")</f>
        <v/>
      </c>
    </row>
    <row r="245" spans="2:15" x14ac:dyDescent="0.45">
      <c r="B245" s="49">
        <f t="shared" si="3"/>
        <v>236</v>
      </c>
      <c r="C245" s="165" t="str">
        <f ca="1">IFERROR([1]!IntrinioHistoricalPrices(ticker,"date",$B245,$D$4,$D$5,$D$6),"")</f>
        <v/>
      </c>
      <c r="D245" s="99" t="str">
        <f ca="1">IFERROR([1]!IntrinioHistoricalPrices(ticker,"open",$B245,$D$4,$D$5,$D$6),"")</f>
        <v/>
      </c>
      <c r="E245" s="99" t="str">
        <f ca="1">IFERROR([1]!IntrinioHistoricalPrices(ticker,"high",$B245,$D$4,$D$5,$D$6),"")</f>
        <v/>
      </c>
      <c r="F245" s="99" t="str">
        <f ca="1">IFERROR([1]!IntrinioHistoricalPrices(ticker,"low",$B245,$D$4,$D$5,$D$6),"")</f>
        <v/>
      </c>
      <c r="G245" s="99" t="str">
        <f ca="1">IFERROR([1]!IntrinioHistoricalPrices(ticker,"close",$B245,$D$4,$D$5,$D$6),"")</f>
        <v/>
      </c>
      <c r="H245" s="100" t="str">
        <f ca="1">IFERROR([1]!IntrinioHistoricalPrices(ticker,"volume",$B245,$D$4,$D$5,$D$6),"")</f>
        <v/>
      </c>
      <c r="I245" s="101" t="str">
        <f ca="1">IFERROR([1]!IntrinioHistoricalPrices(ticker,"split_ratio",$B245,$D$4,$D$5,$D$6),"")</f>
        <v/>
      </c>
      <c r="J245" s="99" t="str">
        <f ca="1">IFERROR([1]!IntrinioHistoricalPrices(ticker,"ex_dividend",$B245,$D$4,$D$5,$D$6),"")</f>
        <v/>
      </c>
      <c r="K245" s="99" t="str">
        <f ca="1">IFERROR([1]!IntrinioHistoricalPrices(ticker,"adj_open",$B245,$D$4,$D$5,$D$6),"")</f>
        <v/>
      </c>
      <c r="L245" s="99" t="str">
        <f ca="1">IFERROR([1]!IntrinioHistoricalPrices(ticker,"adj_high",$B245,$D$4,$D$5,$D$6),"")</f>
        <v/>
      </c>
      <c r="M245" s="99" t="str">
        <f ca="1">IFERROR([1]!IntrinioHistoricalPrices(ticker,"adj_low",$B245,$D$4,$D$5,$D$6),"")</f>
        <v/>
      </c>
      <c r="N245" s="99" t="str">
        <f ca="1">IFERROR([1]!IntrinioHistoricalPrices(ticker,"adj_close",$B245,$D$4,$D$5,$D$6),"")</f>
        <v/>
      </c>
      <c r="O245" s="100" t="str">
        <f ca="1">IFERROR([1]!IntrinioHistoricalPrices(ticker,"adj_volume",$B245,$D$4,$D$5,$D$6),"")</f>
        <v/>
      </c>
    </row>
    <row r="246" spans="2:15" x14ac:dyDescent="0.45">
      <c r="B246" s="49">
        <f t="shared" si="3"/>
        <v>237</v>
      </c>
      <c r="C246" s="165" t="str">
        <f ca="1">IFERROR([1]!IntrinioHistoricalPrices(ticker,"date",$B246,$D$4,$D$5,$D$6),"")</f>
        <v/>
      </c>
      <c r="D246" s="99" t="str">
        <f ca="1">IFERROR([1]!IntrinioHistoricalPrices(ticker,"open",$B246,$D$4,$D$5,$D$6),"")</f>
        <v/>
      </c>
      <c r="E246" s="99" t="str">
        <f ca="1">IFERROR([1]!IntrinioHistoricalPrices(ticker,"high",$B246,$D$4,$D$5,$D$6),"")</f>
        <v/>
      </c>
      <c r="F246" s="99" t="str">
        <f ca="1">IFERROR([1]!IntrinioHistoricalPrices(ticker,"low",$B246,$D$4,$D$5,$D$6),"")</f>
        <v/>
      </c>
      <c r="G246" s="99" t="str">
        <f ca="1">IFERROR([1]!IntrinioHistoricalPrices(ticker,"close",$B246,$D$4,$D$5,$D$6),"")</f>
        <v/>
      </c>
      <c r="H246" s="100" t="str">
        <f ca="1">IFERROR([1]!IntrinioHistoricalPrices(ticker,"volume",$B246,$D$4,$D$5,$D$6),"")</f>
        <v/>
      </c>
      <c r="I246" s="101" t="str">
        <f ca="1">IFERROR([1]!IntrinioHistoricalPrices(ticker,"split_ratio",$B246,$D$4,$D$5,$D$6),"")</f>
        <v/>
      </c>
      <c r="J246" s="99" t="str">
        <f ca="1">IFERROR([1]!IntrinioHistoricalPrices(ticker,"ex_dividend",$B246,$D$4,$D$5,$D$6),"")</f>
        <v/>
      </c>
      <c r="K246" s="99" t="str">
        <f ca="1">IFERROR([1]!IntrinioHistoricalPrices(ticker,"adj_open",$B246,$D$4,$D$5,$D$6),"")</f>
        <v/>
      </c>
      <c r="L246" s="99" t="str">
        <f ca="1">IFERROR([1]!IntrinioHistoricalPrices(ticker,"adj_high",$B246,$D$4,$D$5,$D$6),"")</f>
        <v/>
      </c>
      <c r="M246" s="99" t="str">
        <f ca="1">IFERROR([1]!IntrinioHistoricalPrices(ticker,"adj_low",$B246,$D$4,$D$5,$D$6),"")</f>
        <v/>
      </c>
      <c r="N246" s="99" t="str">
        <f ca="1">IFERROR([1]!IntrinioHistoricalPrices(ticker,"adj_close",$B246,$D$4,$D$5,$D$6),"")</f>
        <v/>
      </c>
      <c r="O246" s="100" t="str">
        <f ca="1">IFERROR([1]!IntrinioHistoricalPrices(ticker,"adj_volume",$B246,$D$4,$D$5,$D$6),"")</f>
        <v/>
      </c>
    </row>
    <row r="247" spans="2:15" x14ac:dyDescent="0.45">
      <c r="B247" s="49">
        <f t="shared" si="3"/>
        <v>238</v>
      </c>
      <c r="C247" s="165" t="str">
        <f ca="1">IFERROR([1]!IntrinioHistoricalPrices(ticker,"date",$B247,$D$4,$D$5,$D$6),"")</f>
        <v/>
      </c>
      <c r="D247" s="99" t="str">
        <f ca="1">IFERROR([1]!IntrinioHistoricalPrices(ticker,"open",$B247,$D$4,$D$5,$D$6),"")</f>
        <v/>
      </c>
      <c r="E247" s="99" t="str">
        <f ca="1">IFERROR([1]!IntrinioHistoricalPrices(ticker,"high",$B247,$D$4,$D$5,$D$6),"")</f>
        <v/>
      </c>
      <c r="F247" s="99" t="str">
        <f ca="1">IFERROR([1]!IntrinioHistoricalPrices(ticker,"low",$B247,$D$4,$D$5,$D$6),"")</f>
        <v/>
      </c>
      <c r="G247" s="99" t="str">
        <f ca="1">IFERROR([1]!IntrinioHistoricalPrices(ticker,"close",$B247,$D$4,$D$5,$D$6),"")</f>
        <v/>
      </c>
      <c r="H247" s="100" t="str">
        <f ca="1">IFERROR([1]!IntrinioHistoricalPrices(ticker,"volume",$B247,$D$4,$D$5,$D$6),"")</f>
        <v/>
      </c>
      <c r="I247" s="101" t="str">
        <f ca="1">IFERROR([1]!IntrinioHistoricalPrices(ticker,"split_ratio",$B247,$D$4,$D$5,$D$6),"")</f>
        <v/>
      </c>
      <c r="J247" s="99" t="str">
        <f ca="1">IFERROR([1]!IntrinioHistoricalPrices(ticker,"ex_dividend",$B247,$D$4,$D$5,$D$6),"")</f>
        <v/>
      </c>
      <c r="K247" s="99" t="str">
        <f ca="1">IFERROR([1]!IntrinioHistoricalPrices(ticker,"adj_open",$B247,$D$4,$D$5,$D$6),"")</f>
        <v/>
      </c>
      <c r="L247" s="99" t="str">
        <f ca="1">IFERROR([1]!IntrinioHistoricalPrices(ticker,"adj_high",$B247,$D$4,$D$5,$D$6),"")</f>
        <v/>
      </c>
      <c r="M247" s="99" t="str">
        <f ca="1">IFERROR([1]!IntrinioHistoricalPrices(ticker,"adj_low",$B247,$D$4,$D$5,$D$6),"")</f>
        <v/>
      </c>
      <c r="N247" s="99" t="str">
        <f ca="1">IFERROR([1]!IntrinioHistoricalPrices(ticker,"adj_close",$B247,$D$4,$D$5,$D$6),"")</f>
        <v/>
      </c>
      <c r="O247" s="100" t="str">
        <f ca="1">IFERROR([1]!IntrinioHistoricalPrices(ticker,"adj_volume",$B247,$D$4,$D$5,$D$6),"")</f>
        <v/>
      </c>
    </row>
    <row r="248" spans="2:15" x14ac:dyDescent="0.45">
      <c r="B248" s="49">
        <f t="shared" si="3"/>
        <v>239</v>
      </c>
      <c r="C248" s="165" t="str">
        <f ca="1">IFERROR([1]!IntrinioHistoricalPrices(ticker,"date",$B248,$D$4,$D$5,$D$6),"")</f>
        <v/>
      </c>
      <c r="D248" s="99" t="str">
        <f ca="1">IFERROR([1]!IntrinioHistoricalPrices(ticker,"open",$B248,$D$4,$D$5,$D$6),"")</f>
        <v/>
      </c>
      <c r="E248" s="99" t="str">
        <f ca="1">IFERROR([1]!IntrinioHistoricalPrices(ticker,"high",$B248,$D$4,$D$5,$D$6),"")</f>
        <v/>
      </c>
      <c r="F248" s="99" t="str">
        <f ca="1">IFERROR([1]!IntrinioHistoricalPrices(ticker,"low",$B248,$D$4,$D$5,$D$6),"")</f>
        <v/>
      </c>
      <c r="G248" s="99" t="str">
        <f ca="1">IFERROR([1]!IntrinioHistoricalPrices(ticker,"close",$B248,$D$4,$D$5,$D$6),"")</f>
        <v/>
      </c>
      <c r="H248" s="100" t="str">
        <f ca="1">IFERROR([1]!IntrinioHistoricalPrices(ticker,"volume",$B248,$D$4,$D$5,$D$6),"")</f>
        <v/>
      </c>
      <c r="I248" s="101" t="str">
        <f ca="1">IFERROR([1]!IntrinioHistoricalPrices(ticker,"split_ratio",$B248,$D$4,$D$5,$D$6),"")</f>
        <v/>
      </c>
      <c r="J248" s="99" t="str">
        <f ca="1">IFERROR([1]!IntrinioHistoricalPrices(ticker,"ex_dividend",$B248,$D$4,$D$5,$D$6),"")</f>
        <v/>
      </c>
      <c r="K248" s="99" t="str">
        <f ca="1">IFERROR([1]!IntrinioHistoricalPrices(ticker,"adj_open",$B248,$D$4,$D$5,$D$6),"")</f>
        <v/>
      </c>
      <c r="L248" s="99" t="str">
        <f ca="1">IFERROR([1]!IntrinioHistoricalPrices(ticker,"adj_high",$B248,$D$4,$D$5,$D$6),"")</f>
        <v/>
      </c>
      <c r="M248" s="99" t="str">
        <f ca="1">IFERROR([1]!IntrinioHistoricalPrices(ticker,"adj_low",$B248,$D$4,$D$5,$D$6),"")</f>
        <v/>
      </c>
      <c r="N248" s="99" t="str">
        <f ca="1">IFERROR([1]!IntrinioHistoricalPrices(ticker,"adj_close",$B248,$D$4,$D$5,$D$6),"")</f>
        <v/>
      </c>
      <c r="O248" s="100" t="str">
        <f ca="1">IFERROR([1]!IntrinioHistoricalPrices(ticker,"adj_volume",$B248,$D$4,$D$5,$D$6),"")</f>
        <v/>
      </c>
    </row>
    <row r="249" spans="2:15" x14ac:dyDescent="0.45">
      <c r="B249" s="49">
        <f t="shared" si="3"/>
        <v>240</v>
      </c>
      <c r="C249" s="165" t="str">
        <f ca="1">IFERROR([1]!IntrinioHistoricalPrices(ticker,"date",$B249,$D$4,$D$5,$D$6),"")</f>
        <v/>
      </c>
      <c r="D249" s="99" t="str">
        <f ca="1">IFERROR([1]!IntrinioHistoricalPrices(ticker,"open",$B249,$D$4,$D$5,$D$6),"")</f>
        <v/>
      </c>
      <c r="E249" s="99" t="str">
        <f ca="1">IFERROR([1]!IntrinioHistoricalPrices(ticker,"high",$B249,$D$4,$D$5,$D$6),"")</f>
        <v/>
      </c>
      <c r="F249" s="99" t="str">
        <f ca="1">IFERROR([1]!IntrinioHistoricalPrices(ticker,"low",$B249,$D$4,$D$5,$D$6),"")</f>
        <v/>
      </c>
      <c r="G249" s="99" t="str">
        <f ca="1">IFERROR([1]!IntrinioHistoricalPrices(ticker,"close",$B249,$D$4,$D$5,$D$6),"")</f>
        <v/>
      </c>
      <c r="H249" s="100" t="str">
        <f ca="1">IFERROR([1]!IntrinioHistoricalPrices(ticker,"volume",$B249,$D$4,$D$5,$D$6),"")</f>
        <v/>
      </c>
      <c r="I249" s="101" t="str">
        <f ca="1">IFERROR([1]!IntrinioHistoricalPrices(ticker,"split_ratio",$B249,$D$4,$D$5,$D$6),"")</f>
        <v/>
      </c>
      <c r="J249" s="99" t="str">
        <f ca="1">IFERROR([1]!IntrinioHistoricalPrices(ticker,"ex_dividend",$B249,$D$4,$D$5,$D$6),"")</f>
        <v/>
      </c>
      <c r="K249" s="99" t="str">
        <f ca="1">IFERROR([1]!IntrinioHistoricalPrices(ticker,"adj_open",$B249,$D$4,$D$5,$D$6),"")</f>
        <v/>
      </c>
      <c r="L249" s="99" t="str">
        <f ca="1">IFERROR([1]!IntrinioHistoricalPrices(ticker,"adj_high",$B249,$D$4,$D$5,$D$6),"")</f>
        <v/>
      </c>
      <c r="M249" s="99" t="str">
        <f ca="1">IFERROR([1]!IntrinioHistoricalPrices(ticker,"adj_low",$B249,$D$4,$D$5,$D$6),"")</f>
        <v/>
      </c>
      <c r="N249" s="99" t="str">
        <f ca="1">IFERROR([1]!IntrinioHistoricalPrices(ticker,"adj_close",$B249,$D$4,$D$5,$D$6),"")</f>
        <v/>
      </c>
      <c r="O249" s="100" t="str">
        <f ca="1">IFERROR([1]!IntrinioHistoricalPrices(ticker,"adj_volume",$B249,$D$4,$D$5,$D$6),"")</f>
        <v/>
      </c>
    </row>
    <row r="250" spans="2:15" x14ac:dyDescent="0.45">
      <c r="B250" s="49">
        <f t="shared" si="3"/>
        <v>241</v>
      </c>
      <c r="C250" s="165" t="str">
        <f ca="1">IFERROR([1]!IntrinioHistoricalPrices(ticker,"date",$B250,$D$4,$D$5,$D$6),"")</f>
        <v/>
      </c>
      <c r="D250" s="99" t="str">
        <f ca="1">IFERROR([1]!IntrinioHistoricalPrices(ticker,"open",$B250,$D$4,$D$5,$D$6),"")</f>
        <v/>
      </c>
      <c r="E250" s="99" t="str">
        <f ca="1">IFERROR([1]!IntrinioHistoricalPrices(ticker,"high",$B250,$D$4,$D$5,$D$6),"")</f>
        <v/>
      </c>
      <c r="F250" s="99" t="str">
        <f ca="1">IFERROR([1]!IntrinioHistoricalPrices(ticker,"low",$B250,$D$4,$D$5,$D$6),"")</f>
        <v/>
      </c>
      <c r="G250" s="99" t="str">
        <f ca="1">IFERROR([1]!IntrinioHistoricalPrices(ticker,"close",$B250,$D$4,$D$5,$D$6),"")</f>
        <v/>
      </c>
      <c r="H250" s="100" t="str">
        <f ca="1">IFERROR([1]!IntrinioHistoricalPrices(ticker,"volume",$B250,$D$4,$D$5,$D$6),"")</f>
        <v/>
      </c>
      <c r="I250" s="101" t="str">
        <f ca="1">IFERROR([1]!IntrinioHistoricalPrices(ticker,"split_ratio",$B250,$D$4,$D$5,$D$6),"")</f>
        <v/>
      </c>
      <c r="J250" s="99" t="str">
        <f ca="1">IFERROR([1]!IntrinioHistoricalPrices(ticker,"ex_dividend",$B250,$D$4,$D$5,$D$6),"")</f>
        <v/>
      </c>
      <c r="K250" s="99" t="str">
        <f ca="1">IFERROR([1]!IntrinioHistoricalPrices(ticker,"adj_open",$B250,$D$4,$D$5,$D$6),"")</f>
        <v/>
      </c>
      <c r="L250" s="99" t="str">
        <f ca="1">IFERROR([1]!IntrinioHistoricalPrices(ticker,"adj_high",$B250,$D$4,$D$5,$D$6),"")</f>
        <v/>
      </c>
      <c r="M250" s="99" t="str">
        <f ca="1">IFERROR([1]!IntrinioHistoricalPrices(ticker,"adj_low",$B250,$D$4,$D$5,$D$6),"")</f>
        <v/>
      </c>
      <c r="N250" s="99" t="str">
        <f ca="1">IFERROR([1]!IntrinioHistoricalPrices(ticker,"adj_close",$B250,$D$4,$D$5,$D$6),"")</f>
        <v/>
      </c>
      <c r="O250" s="100" t="str">
        <f ca="1">IFERROR([1]!IntrinioHistoricalPrices(ticker,"adj_volume",$B250,$D$4,$D$5,$D$6),"")</f>
        <v/>
      </c>
    </row>
    <row r="251" spans="2:15" x14ac:dyDescent="0.45">
      <c r="B251" s="49">
        <f t="shared" si="3"/>
        <v>242</v>
      </c>
      <c r="C251" s="165" t="str">
        <f ca="1">IFERROR([1]!IntrinioHistoricalPrices(ticker,"date",$B251,$D$4,$D$5,$D$6),"")</f>
        <v/>
      </c>
      <c r="D251" s="99" t="str">
        <f ca="1">IFERROR([1]!IntrinioHistoricalPrices(ticker,"open",$B251,$D$4,$D$5,$D$6),"")</f>
        <v/>
      </c>
      <c r="E251" s="99" t="str">
        <f ca="1">IFERROR([1]!IntrinioHistoricalPrices(ticker,"high",$B251,$D$4,$D$5,$D$6),"")</f>
        <v/>
      </c>
      <c r="F251" s="99" t="str">
        <f ca="1">IFERROR([1]!IntrinioHistoricalPrices(ticker,"low",$B251,$D$4,$D$5,$D$6),"")</f>
        <v/>
      </c>
      <c r="G251" s="99" t="str">
        <f ca="1">IFERROR([1]!IntrinioHistoricalPrices(ticker,"close",$B251,$D$4,$D$5,$D$6),"")</f>
        <v/>
      </c>
      <c r="H251" s="100" t="str">
        <f ca="1">IFERROR([1]!IntrinioHistoricalPrices(ticker,"volume",$B251,$D$4,$D$5,$D$6),"")</f>
        <v/>
      </c>
      <c r="I251" s="101" t="str">
        <f ca="1">IFERROR([1]!IntrinioHistoricalPrices(ticker,"split_ratio",$B251,$D$4,$D$5,$D$6),"")</f>
        <v/>
      </c>
      <c r="J251" s="99" t="str">
        <f ca="1">IFERROR([1]!IntrinioHistoricalPrices(ticker,"ex_dividend",$B251,$D$4,$D$5,$D$6),"")</f>
        <v/>
      </c>
      <c r="K251" s="99" t="str">
        <f ca="1">IFERROR([1]!IntrinioHistoricalPrices(ticker,"adj_open",$B251,$D$4,$D$5,$D$6),"")</f>
        <v/>
      </c>
      <c r="L251" s="99" t="str">
        <f ca="1">IFERROR([1]!IntrinioHistoricalPrices(ticker,"adj_high",$B251,$D$4,$D$5,$D$6),"")</f>
        <v/>
      </c>
      <c r="M251" s="99" t="str">
        <f ca="1">IFERROR([1]!IntrinioHistoricalPrices(ticker,"adj_low",$B251,$D$4,$D$5,$D$6),"")</f>
        <v/>
      </c>
      <c r="N251" s="99" t="str">
        <f ca="1">IFERROR([1]!IntrinioHistoricalPrices(ticker,"adj_close",$B251,$D$4,$D$5,$D$6),"")</f>
        <v/>
      </c>
      <c r="O251" s="100" t="str">
        <f ca="1">IFERROR([1]!IntrinioHistoricalPrices(ticker,"adj_volume",$B251,$D$4,$D$5,$D$6),"")</f>
        <v/>
      </c>
    </row>
    <row r="252" spans="2:15" x14ac:dyDescent="0.45">
      <c r="B252" s="49">
        <f t="shared" si="3"/>
        <v>243</v>
      </c>
      <c r="C252" s="165" t="str">
        <f ca="1">IFERROR([1]!IntrinioHistoricalPrices(ticker,"date",$B252,$D$4,$D$5,$D$6),"")</f>
        <v/>
      </c>
      <c r="D252" s="99" t="str">
        <f ca="1">IFERROR([1]!IntrinioHistoricalPrices(ticker,"open",$B252,$D$4,$D$5,$D$6),"")</f>
        <v/>
      </c>
      <c r="E252" s="99" t="str">
        <f ca="1">IFERROR([1]!IntrinioHistoricalPrices(ticker,"high",$B252,$D$4,$D$5,$D$6),"")</f>
        <v/>
      </c>
      <c r="F252" s="99" t="str">
        <f ca="1">IFERROR([1]!IntrinioHistoricalPrices(ticker,"low",$B252,$D$4,$D$5,$D$6),"")</f>
        <v/>
      </c>
      <c r="G252" s="99" t="str">
        <f ca="1">IFERROR([1]!IntrinioHistoricalPrices(ticker,"close",$B252,$D$4,$D$5,$D$6),"")</f>
        <v/>
      </c>
      <c r="H252" s="100" t="str">
        <f ca="1">IFERROR([1]!IntrinioHistoricalPrices(ticker,"volume",$B252,$D$4,$D$5,$D$6),"")</f>
        <v/>
      </c>
      <c r="I252" s="101" t="str">
        <f ca="1">IFERROR([1]!IntrinioHistoricalPrices(ticker,"split_ratio",$B252,$D$4,$D$5,$D$6),"")</f>
        <v/>
      </c>
      <c r="J252" s="99" t="str">
        <f ca="1">IFERROR([1]!IntrinioHistoricalPrices(ticker,"ex_dividend",$B252,$D$4,$D$5,$D$6),"")</f>
        <v/>
      </c>
      <c r="K252" s="99" t="str">
        <f ca="1">IFERROR([1]!IntrinioHistoricalPrices(ticker,"adj_open",$B252,$D$4,$D$5,$D$6),"")</f>
        <v/>
      </c>
      <c r="L252" s="99" t="str">
        <f ca="1">IFERROR([1]!IntrinioHistoricalPrices(ticker,"adj_high",$B252,$D$4,$D$5,$D$6),"")</f>
        <v/>
      </c>
      <c r="M252" s="99" t="str">
        <f ca="1">IFERROR([1]!IntrinioHistoricalPrices(ticker,"adj_low",$B252,$D$4,$D$5,$D$6),"")</f>
        <v/>
      </c>
      <c r="N252" s="99" t="str">
        <f ca="1">IFERROR([1]!IntrinioHistoricalPrices(ticker,"adj_close",$B252,$D$4,$D$5,$D$6),"")</f>
        <v/>
      </c>
      <c r="O252" s="100" t="str">
        <f ca="1">IFERROR([1]!IntrinioHistoricalPrices(ticker,"adj_volume",$B252,$D$4,$D$5,$D$6),"")</f>
        <v/>
      </c>
    </row>
    <row r="253" spans="2:15" x14ac:dyDescent="0.45">
      <c r="B253" s="49">
        <f t="shared" si="3"/>
        <v>244</v>
      </c>
      <c r="C253" s="165" t="str">
        <f ca="1">IFERROR([1]!IntrinioHistoricalPrices(ticker,"date",$B253,$D$4,$D$5,$D$6),"")</f>
        <v/>
      </c>
      <c r="D253" s="99" t="str">
        <f ca="1">IFERROR([1]!IntrinioHistoricalPrices(ticker,"open",$B253,$D$4,$D$5,$D$6),"")</f>
        <v/>
      </c>
      <c r="E253" s="99" t="str">
        <f ca="1">IFERROR([1]!IntrinioHistoricalPrices(ticker,"high",$B253,$D$4,$D$5,$D$6),"")</f>
        <v/>
      </c>
      <c r="F253" s="99" t="str">
        <f ca="1">IFERROR([1]!IntrinioHistoricalPrices(ticker,"low",$B253,$D$4,$D$5,$D$6),"")</f>
        <v/>
      </c>
      <c r="G253" s="99" t="str">
        <f ca="1">IFERROR([1]!IntrinioHistoricalPrices(ticker,"close",$B253,$D$4,$D$5,$D$6),"")</f>
        <v/>
      </c>
      <c r="H253" s="100" t="str">
        <f ca="1">IFERROR([1]!IntrinioHistoricalPrices(ticker,"volume",$B253,$D$4,$D$5,$D$6),"")</f>
        <v/>
      </c>
      <c r="I253" s="101" t="str">
        <f ca="1">IFERROR([1]!IntrinioHistoricalPrices(ticker,"split_ratio",$B253,$D$4,$D$5,$D$6),"")</f>
        <v/>
      </c>
      <c r="J253" s="99" t="str">
        <f ca="1">IFERROR([1]!IntrinioHistoricalPrices(ticker,"ex_dividend",$B253,$D$4,$D$5,$D$6),"")</f>
        <v/>
      </c>
      <c r="K253" s="99" t="str">
        <f ca="1">IFERROR([1]!IntrinioHistoricalPrices(ticker,"adj_open",$B253,$D$4,$D$5,$D$6),"")</f>
        <v/>
      </c>
      <c r="L253" s="99" t="str">
        <f ca="1">IFERROR([1]!IntrinioHistoricalPrices(ticker,"adj_high",$B253,$D$4,$D$5,$D$6),"")</f>
        <v/>
      </c>
      <c r="M253" s="99" t="str">
        <f ca="1">IFERROR([1]!IntrinioHistoricalPrices(ticker,"adj_low",$B253,$D$4,$D$5,$D$6),"")</f>
        <v/>
      </c>
      <c r="N253" s="99" t="str">
        <f ca="1">IFERROR([1]!IntrinioHistoricalPrices(ticker,"adj_close",$B253,$D$4,$D$5,$D$6),"")</f>
        <v/>
      </c>
      <c r="O253" s="100" t="str">
        <f ca="1">IFERROR([1]!IntrinioHistoricalPrices(ticker,"adj_volume",$B253,$D$4,$D$5,$D$6),"")</f>
        <v/>
      </c>
    </row>
    <row r="254" spans="2:15" x14ac:dyDescent="0.45">
      <c r="B254" s="49">
        <f t="shared" si="3"/>
        <v>245</v>
      </c>
      <c r="C254" s="165" t="str">
        <f ca="1">IFERROR([1]!IntrinioHistoricalPrices(ticker,"date",$B254,$D$4,$D$5,$D$6),"")</f>
        <v/>
      </c>
      <c r="D254" s="99" t="str">
        <f ca="1">IFERROR([1]!IntrinioHistoricalPrices(ticker,"open",$B254,$D$4,$D$5,$D$6),"")</f>
        <v/>
      </c>
      <c r="E254" s="99" t="str">
        <f ca="1">IFERROR([1]!IntrinioHistoricalPrices(ticker,"high",$B254,$D$4,$D$5,$D$6),"")</f>
        <v/>
      </c>
      <c r="F254" s="99" t="str">
        <f ca="1">IFERROR([1]!IntrinioHistoricalPrices(ticker,"low",$B254,$D$4,$D$5,$D$6),"")</f>
        <v/>
      </c>
      <c r="G254" s="99" t="str">
        <f ca="1">IFERROR([1]!IntrinioHistoricalPrices(ticker,"close",$B254,$D$4,$D$5,$D$6),"")</f>
        <v/>
      </c>
      <c r="H254" s="100" t="str">
        <f ca="1">IFERROR([1]!IntrinioHistoricalPrices(ticker,"volume",$B254,$D$4,$D$5,$D$6),"")</f>
        <v/>
      </c>
      <c r="I254" s="101" t="str">
        <f ca="1">IFERROR([1]!IntrinioHistoricalPrices(ticker,"split_ratio",$B254,$D$4,$D$5,$D$6),"")</f>
        <v/>
      </c>
      <c r="J254" s="99" t="str">
        <f ca="1">IFERROR([1]!IntrinioHistoricalPrices(ticker,"ex_dividend",$B254,$D$4,$D$5,$D$6),"")</f>
        <v/>
      </c>
      <c r="K254" s="99" t="str">
        <f ca="1">IFERROR([1]!IntrinioHistoricalPrices(ticker,"adj_open",$B254,$D$4,$D$5,$D$6),"")</f>
        <v/>
      </c>
      <c r="L254" s="99" t="str">
        <f ca="1">IFERROR([1]!IntrinioHistoricalPrices(ticker,"adj_high",$B254,$D$4,$D$5,$D$6),"")</f>
        <v/>
      </c>
      <c r="M254" s="99" t="str">
        <f ca="1">IFERROR([1]!IntrinioHistoricalPrices(ticker,"adj_low",$B254,$D$4,$D$5,$D$6),"")</f>
        <v/>
      </c>
      <c r="N254" s="99" t="str">
        <f ca="1">IFERROR([1]!IntrinioHistoricalPrices(ticker,"adj_close",$B254,$D$4,$D$5,$D$6),"")</f>
        <v/>
      </c>
      <c r="O254" s="100" t="str">
        <f ca="1">IFERROR([1]!IntrinioHistoricalPrices(ticker,"adj_volume",$B254,$D$4,$D$5,$D$6),"")</f>
        <v/>
      </c>
    </row>
    <row r="255" spans="2:15" x14ac:dyDescent="0.45">
      <c r="B255" s="49">
        <f t="shared" si="3"/>
        <v>246</v>
      </c>
      <c r="C255" s="165" t="str">
        <f ca="1">IFERROR([1]!IntrinioHistoricalPrices(ticker,"date",$B255,$D$4,$D$5,$D$6),"")</f>
        <v/>
      </c>
      <c r="D255" s="99" t="str">
        <f ca="1">IFERROR([1]!IntrinioHistoricalPrices(ticker,"open",$B255,$D$4,$D$5,$D$6),"")</f>
        <v/>
      </c>
      <c r="E255" s="99" t="str">
        <f ca="1">IFERROR([1]!IntrinioHistoricalPrices(ticker,"high",$B255,$D$4,$D$5,$D$6),"")</f>
        <v/>
      </c>
      <c r="F255" s="99" t="str">
        <f ca="1">IFERROR([1]!IntrinioHistoricalPrices(ticker,"low",$B255,$D$4,$D$5,$D$6),"")</f>
        <v/>
      </c>
      <c r="G255" s="99" t="str">
        <f ca="1">IFERROR([1]!IntrinioHistoricalPrices(ticker,"close",$B255,$D$4,$D$5,$D$6),"")</f>
        <v/>
      </c>
      <c r="H255" s="100" t="str">
        <f ca="1">IFERROR([1]!IntrinioHistoricalPrices(ticker,"volume",$B255,$D$4,$D$5,$D$6),"")</f>
        <v/>
      </c>
      <c r="I255" s="101" t="str">
        <f ca="1">IFERROR([1]!IntrinioHistoricalPrices(ticker,"split_ratio",$B255,$D$4,$D$5,$D$6),"")</f>
        <v/>
      </c>
      <c r="J255" s="99" t="str">
        <f ca="1">IFERROR([1]!IntrinioHistoricalPrices(ticker,"ex_dividend",$B255,$D$4,$D$5,$D$6),"")</f>
        <v/>
      </c>
      <c r="K255" s="99" t="str">
        <f ca="1">IFERROR([1]!IntrinioHistoricalPrices(ticker,"adj_open",$B255,$D$4,$D$5,$D$6),"")</f>
        <v/>
      </c>
      <c r="L255" s="99" t="str">
        <f ca="1">IFERROR([1]!IntrinioHistoricalPrices(ticker,"adj_high",$B255,$D$4,$D$5,$D$6),"")</f>
        <v/>
      </c>
      <c r="M255" s="99" t="str">
        <f ca="1">IFERROR([1]!IntrinioHistoricalPrices(ticker,"adj_low",$B255,$D$4,$D$5,$D$6),"")</f>
        <v/>
      </c>
      <c r="N255" s="99" t="str">
        <f ca="1">IFERROR([1]!IntrinioHistoricalPrices(ticker,"adj_close",$B255,$D$4,$D$5,$D$6),"")</f>
        <v/>
      </c>
      <c r="O255" s="100" t="str">
        <f ca="1">IFERROR([1]!IntrinioHistoricalPrices(ticker,"adj_volume",$B255,$D$4,$D$5,$D$6),"")</f>
        <v/>
      </c>
    </row>
    <row r="256" spans="2:15" x14ac:dyDescent="0.45">
      <c r="B256" s="49">
        <f t="shared" si="3"/>
        <v>247</v>
      </c>
      <c r="C256" s="165" t="str">
        <f ca="1">IFERROR([1]!IntrinioHistoricalPrices(ticker,"date",$B256,$D$4,$D$5,$D$6),"")</f>
        <v/>
      </c>
      <c r="D256" s="99" t="str">
        <f ca="1">IFERROR([1]!IntrinioHistoricalPrices(ticker,"open",$B256,$D$4,$D$5,$D$6),"")</f>
        <v/>
      </c>
      <c r="E256" s="99" t="str">
        <f ca="1">IFERROR([1]!IntrinioHistoricalPrices(ticker,"high",$B256,$D$4,$D$5,$D$6),"")</f>
        <v/>
      </c>
      <c r="F256" s="99" t="str">
        <f ca="1">IFERROR([1]!IntrinioHistoricalPrices(ticker,"low",$B256,$D$4,$D$5,$D$6),"")</f>
        <v/>
      </c>
      <c r="G256" s="99" t="str">
        <f ca="1">IFERROR([1]!IntrinioHistoricalPrices(ticker,"close",$B256,$D$4,$D$5,$D$6),"")</f>
        <v/>
      </c>
      <c r="H256" s="100" t="str">
        <f ca="1">IFERROR([1]!IntrinioHistoricalPrices(ticker,"volume",$B256,$D$4,$D$5,$D$6),"")</f>
        <v/>
      </c>
      <c r="I256" s="101" t="str">
        <f ca="1">IFERROR([1]!IntrinioHistoricalPrices(ticker,"split_ratio",$B256,$D$4,$D$5,$D$6),"")</f>
        <v/>
      </c>
      <c r="J256" s="99" t="str">
        <f ca="1">IFERROR([1]!IntrinioHistoricalPrices(ticker,"ex_dividend",$B256,$D$4,$D$5,$D$6),"")</f>
        <v/>
      </c>
      <c r="K256" s="99" t="str">
        <f ca="1">IFERROR([1]!IntrinioHistoricalPrices(ticker,"adj_open",$B256,$D$4,$D$5,$D$6),"")</f>
        <v/>
      </c>
      <c r="L256" s="99" t="str">
        <f ca="1">IFERROR([1]!IntrinioHistoricalPrices(ticker,"adj_high",$B256,$D$4,$D$5,$D$6),"")</f>
        <v/>
      </c>
      <c r="M256" s="99" t="str">
        <f ca="1">IFERROR([1]!IntrinioHistoricalPrices(ticker,"adj_low",$B256,$D$4,$D$5,$D$6),"")</f>
        <v/>
      </c>
      <c r="N256" s="99" t="str">
        <f ca="1">IFERROR([1]!IntrinioHistoricalPrices(ticker,"adj_close",$B256,$D$4,$D$5,$D$6),"")</f>
        <v/>
      </c>
      <c r="O256" s="100" t="str">
        <f ca="1">IFERROR([1]!IntrinioHistoricalPrices(ticker,"adj_volume",$B256,$D$4,$D$5,$D$6),"")</f>
        <v/>
      </c>
    </row>
    <row r="257" spans="2:15" x14ac:dyDescent="0.45">
      <c r="B257" s="49">
        <f t="shared" si="3"/>
        <v>248</v>
      </c>
      <c r="C257" s="165" t="str">
        <f ca="1">IFERROR([1]!IntrinioHistoricalPrices(ticker,"date",$B257,$D$4,$D$5,$D$6),"")</f>
        <v/>
      </c>
      <c r="D257" s="99" t="str">
        <f ca="1">IFERROR([1]!IntrinioHistoricalPrices(ticker,"open",$B257,$D$4,$D$5,$D$6),"")</f>
        <v/>
      </c>
      <c r="E257" s="99" t="str">
        <f ca="1">IFERROR([1]!IntrinioHistoricalPrices(ticker,"high",$B257,$D$4,$D$5,$D$6),"")</f>
        <v/>
      </c>
      <c r="F257" s="99" t="str">
        <f ca="1">IFERROR([1]!IntrinioHistoricalPrices(ticker,"low",$B257,$D$4,$D$5,$D$6),"")</f>
        <v/>
      </c>
      <c r="G257" s="99" t="str">
        <f ca="1">IFERROR([1]!IntrinioHistoricalPrices(ticker,"close",$B257,$D$4,$D$5,$D$6),"")</f>
        <v/>
      </c>
      <c r="H257" s="100" t="str">
        <f ca="1">IFERROR([1]!IntrinioHistoricalPrices(ticker,"volume",$B257,$D$4,$D$5,$D$6),"")</f>
        <v/>
      </c>
      <c r="I257" s="101" t="str">
        <f ca="1">IFERROR([1]!IntrinioHistoricalPrices(ticker,"split_ratio",$B257,$D$4,$D$5,$D$6),"")</f>
        <v/>
      </c>
      <c r="J257" s="99" t="str">
        <f ca="1">IFERROR([1]!IntrinioHistoricalPrices(ticker,"ex_dividend",$B257,$D$4,$D$5,$D$6),"")</f>
        <v/>
      </c>
      <c r="K257" s="99" t="str">
        <f ca="1">IFERROR([1]!IntrinioHistoricalPrices(ticker,"adj_open",$B257,$D$4,$D$5,$D$6),"")</f>
        <v/>
      </c>
      <c r="L257" s="99" t="str">
        <f ca="1">IFERROR([1]!IntrinioHistoricalPrices(ticker,"adj_high",$B257,$D$4,$D$5,$D$6),"")</f>
        <v/>
      </c>
      <c r="M257" s="99" t="str">
        <f ca="1">IFERROR([1]!IntrinioHistoricalPrices(ticker,"adj_low",$B257,$D$4,$D$5,$D$6),"")</f>
        <v/>
      </c>
      <c r="N257" s="99" t="str">
        <f ca="1">IFERROR([1]!IntrinioHistoricalPrices(ticker,"adj_close",$B257,$D$4,$D$5,$D$6),"")</f>
        <v/>
      </c>
      <c r="O257" s="100" t="str">
        <f ca="1">IFERROR([1]!IntrinioHistoricalPrices(ticker,"adj_volume",$B257,$D$4,$D$5,$D$6),"")</f>
        <v/>
      </c>
    </row>
    <row r="258" spans="2:15" x14ac:dyDescent="0.45">
      <c r="B258" s="49">
        <f t="shared" si="3"/>
        <v>249</v>
      </c>
      <c r="C258" s="165" t="str">
        <f ca="1">IFERROR([1]!IntrinioHistoricalPrices(ticker,"date",$B258,$D$4,$D$5,$D$6),"")</f>
        <v/>
      </c>
      <c r="D258" s="99" t="str">
        <f ca="1">IFERROR([1]!IntrinioHistoricalPrices(ticker,"open",$B258,$D$4,$D$5,$D$6),"")</f>
        <v/>
      </c>
      <c r="E258" s="99" t="str">
        <f ca="1">IFERROR([1]!IntrinioHistoricalPrices(ticker,"high",$B258,$D$4,$D$5,$D$6),"")</f>
        <v/>
      </c>
      <c r="F258" s="99" t="str">
        <f ca="1">IFERROR([1]!IntrinioHistoricalPrices(ticker,"low",$B258,$D$4,$D$5,$D$6),"")</f>
        <v/>
      </c>
      <c r="G258" s="99" t="str">
        <f ca="1">IFERROR([1]!IntrinioHistoricalPrices(ticker,"close",$B258,$D$4,$D$5,$D$6),"")</f>
        <v/>
      </c>
      <c r="H258" s="100" t="str">
        <f ca="1">IFERROR([1]!IntrinioHistoricalPrices(ticker,"volume",$B258,$D$4,$D$5,$D$6),"")</f>
        <v/>
      </c>
      <c r="I258" s="101" t="str">
        <f ca="1">IFERROR([1]!IntrinioHistoricalPrices(ticker,"split_ratio",$B258,$D$4,$D$5,$D$6),"")</f>
        <v/>
      </c>
      <c r="J258" s="99" t="str">
        <f ca="1">IFERROR([1]!IntrinioHistoricalPrices(ticker,"ex_dividend",$B258,$D$4,$D$5,$D$6),"")</f>
        <v/>
      </c>
      <c r="K258" s="99" t="str">
        <f ca="1">IFERROR([1]!IntrinioHistoricalPrices(ticker,"adj_open",$B258,$D$4,$D$5,$D$6),"")</f>
        <v/>
      </c>
      <c r="L258" s="99" t="str">
        <f ca="1">IFERROR([1]!IntrinioHistoricalPrices(ticker,"adj_high",$B258,$D$4,$D$5,$D$6),"")</f>
        <v/>
      </c>
      <c r="M258" s="99" t="str">
        <f ca="1">IFERROR([1]!IntrinioHistoricalPrices(ticker,"adj_low",$B258,$D$4,$D$5,$D$6),"")</f>
        <v/>
      </c>
      <c r="N258" s="99" t="str">
        <f ca="1">IFERROR([1]!IntrinioHistoricalPrices(ticker,"adj_close",$B258,$D$4,$D$5,$D$6),"")</f>
        <v/>
      </c>
      <c r="O258" s="100" t="str">
        <f ca="1">IFERROR([1]!IntrinioHistoricalPrices(ticker,"adj_volume",$B258,$D$4,$D$5,$D$6),"")</f>
        <v/>
      </c>
    </row>
    <row r="259" spans="2:15" x14ac:dyDescent="0.45">
      <c r="B259" s="49">
        <f t="shared" si="3"/>
        <v>250</v>
      </c>
      <c r="C259" s="165" t="str">
        <f ca="1">IFERROR([1]!IntrinioHistoricalPrices(ticker,"date",$B259,$D$4,$D$5,$D$6),"")</f>
        <v/>
      </c>
      <c r="D259" s="99" t="str">
        <f ca="1">IFERROR([1]!IntrinioHistoricalPrices(ticker,"open",$B259,$D$4,$D$5,$D$6),"")</f>
        <v/>
      </c>
      <c r="E259" s="99" t="str">
        <f ca="1">IFERROR([1]!IntrinioHistoricalPrices(ticker,"high",$B259,$D$4,$D$5,$D$6),"")</f>
        <v/>
      </c>
      <c r="F259" s="99" t="str">
        <f ca="1">IFERROR([1]!IntrinioHistoricalPrices(ticker,"low",$B259,$D$4,$D$5,$D$6),"")</f>
        <v/>
      </c>
      <c r="G259" s="99" t="str">
        <f ca="1">IFERROR([1]!IntrinioHistoricalPrices(ticker,"close",$B259,$D$4,$D$5,$D$6),"")</f>
        <v/>
      </c>
      <c r="H259" s="100" t="str">
        <f ca="1">IFERROR([1]!IntrinioHistoricalPrices(ticker,"volume",$B259,$D$4,$D$5,$D$6),"")</f>
        <v/>
      </c>
      <c r="I259" s="101" t="str">
        <f ca="1">IFERROR([1]!IntrinioHistoricalPrices(ticker,"split_ratio",$B259,$D$4,$D$5,$D$6),"")</f>
        <v/>
      </c>
      <c r="J259" s="99" t="str">
        <f ca="1">IFERROR([1]!IntrinioHistoricalPrices(ticker,"ex_dividend",$B259,$D$4,$D$5,$D$6),"")</f>
        <v/>
      </c>
      <c r="K259" s="99" t="str">
        <f ca="1">IFERROR([1]!IntrinioHistoricalPrices(ticker,"adj_open",$B259,$D$4,$D$5,$D$6),"")</f>
        <v/>
      </c>
      <c r="L259" s="99" t="str">
        <f ca="1">IFERROR([1]!IntrinioHistoricalPrices(ticker,"adj_high",$B259,$D$4,$D$5,$D$6),"")</f>
        <v/>
      </c>
      <c r="M259" s="99" t="str">
        <f ca="1">IFERROR([1]!IntrinioHistoricalPrices(ticker,"adj_low",$B259,$D$4,$D$5,$D$6),"")</f>
        <v/>
      </c>
      <c r="N259" s="99" t="str">
        <f ca="1">IFERROR([1]!IntrinioHistoricalPrices(ticker,"adj_close",$B259,$D$4,$D$5,$D$6),"")</f>
        <v/>
      </c>
      <c r="O259" s="100" t="str">
        <f ca="1">IFERROR([1]!IntrinioHistoricalPrices(ticker,"adj_volume",$B259,$D$4,$D$5,$D$6),"")</f>
        <v/>
      </c>
    </row>
    <row r="260" spans="2:15" x14ac:dyDescent="0.45">
      <c r="B260" s="49">
        <f t="shared" si="3"/>
        <v>251</v>
      </c>
      <c r="C260" s="165" t="str">
        <f ca="1">IFERROR([1]!IntrinioHistoricalPrices(ticker,"date",$B260,$D$4,$D$5,$D$6),"")</f>
        <v/>
      </c>
      <c r="D260" s="99" t="str">
        <f ca="1">IFERROR([1]!IntrinioHistoricalPrices(ticker,"open",$B260,$D$4,$D$5,$D$6),"")</f>
        <v/>
      </c>
      <c r="E260" s="99" t="str">
        <f ca="1">IFERROR([1]!IntrinioHistoricalPrices(ticker,"high",$B260,$D$4,$D$5,$D$6),"")</f>
        <v/>
      </c>
      <c r="F260" s="99" t="str">
        <f ca="1">IFERROR([1]!IntrinioHistoricalPrices(ticker,"low",$B260,$D$4,$D$5,$D$6),"")</f>
        <v/>
      </c>
      <c r="G260" s="99" t="str">
        <f ca="1">IFERROR([1]!IntrinioHistoricalPrices(ticker,"close",$B260,$D$4,$D$5,$D$6),"")</f>
        <v/>
      </c>
      <c r="H260" s="100" t="str">
        <f ca="1">IFERROR([1]!IntrinioHistoricalPrices(ticker,"volume",$B260,$D$4,$D$5,$D$6),"")</f>
        <v/>
      </c>
      <c r="I260" s="101" t="str">
        <f ca="1">IFERROR([1]!IntrinioHistoricalPrices(ticker,"split_ratio",$B260,$D$4,$D$5,$D$6),"")</f>
        <v/>
      </c>
      <c r="J260" s="99" t="str">
        <f ca="1">IFERROR([1]!IntrinioHistoricalPrices(ticker,"ex_dividend",$B260,$D$4,$D$5,$D$6),"")</f>
        <v/>
      </c>
      <c r="K260" s="99" t="str">
        <f ca="1">IFERROR([1]!IntrinioHistoricalPrices(ticker,"adj_open",$B260,$D$4,$D$5,$D$6),"")</f>
        <v/>
      </c>
      <c r="L260" s="99" t="str">
        <f ca="1">IFERROR([1]!IntrinioHistoricalPrices(ticker,"adj_high",$B260,$D$4,$D$5,$D$6),"")</f>
        <v/>
      </c>
      <c r="M260" s="99" t="str">
        <f ca="1">IFERROR([1]!IntrinioHistoricalPrices(ticker,"adj_low",$B260,$D$4,$D$5,$D$6),"")</f>
        <v/>
      </c>
      <c r="N260" s="99" t="str">
        <f ca="1">IFERROR([1]!IntrinioHistoricalPrices(ticker,"adj_close",$B260,$D$4,$D$5,$D$6),"")</f>
        <v/>
      </c>
      <c r="O260" s="100" t="str">
        <f ca="1">IFERROR([1]!IntrinioHistoricalPrices(ticker,"adj_volume",$B260,$D$4,$D$5,$D$6),"")</f>
        <v/>
      </c>
    </row>
    <row r="261" spans="2:15" x14ac:dyDescent="0.45">
      <c r="B261" s="49">
        <f t="shared" si="3"/>
        <v>252</v>
      </c>
      <c r="C261" s="165" t="str">
        <f ca="1">IFERROR([1]!IntrinioHistoricalPrices(ticker,"date",$B261,$D$4,$D$5,$D$6),"")</f>
        <v/>
      </c>
      <c r="D261" s="99" t="str">
        <f ca="1">IFERROR([1]!IntrinioHistoricalPrices(ticker,"open",$B261,$D$4,$D$5,$D$6),"")</f>
        <v/>
      </c>
      <c r="E261" s="99" t="str">
        <f ca="1">IFERROR([1]!IntrinioHistoricalPrices(ticker,"high",$B261,$D$4,$D$5,$D$6),"")</f>
        <v/>
      </c>
      <c r="F261" s="99" t="str">
        <f ca="1">IFERROR([1]!IntrinioHistoricalPrices(ticker,"low",$B261,$D$4,$D$5,$D$6),"")</f>
        <v/>
      </c>
      <c r="G261" s="99" t="str">
        <f ca="1">IFERROR([1]!IntrinioHistoricalPrices(ticker,"close",$B261,$D$4,$D$5,$D$6),"")</f>
        <v/>
      </c>
      <c r="H261" s="100" t="str">
        <f ca="1">IFERROR([1]!IntrinioHistoricalPrices(ticker,"volume",$B261,$D$4,$D$5,$D$6),"")</f>
        <v/>
      </c>
      <c r="I261" s="101" t="str">
        <f ca="1">IFERROR([1]!IntrinioHistoricalPrices(ticker,"split_ratio",$B261,$D$4,$D$5,$D$6),"")</f>
        <v/>
      </c>
      <c r="J261" s="99" t="str">
        <f ca="1">IFERROR([1]!IntrinioHistoricalPrices(ticker,"ex_dividend",$B261,$D$4,$D$5,$D$6),"")</f>
        <v/>
      </c>
      <c r="K261" s="99" t="str">
        <f ca="1">IFERROR([1]!IntrinioHistoricalPrices(ticker,"adj_open",$B261,$D$4,$D$5,$D$6),"")</f>
        <v/>
      </c>
      <c r="L261" s="99" t="str">
        <f ca="1">IFERROR([1]!IntrinioHistoricalPrices(ticker,"adj_high",$B261,$D$4,$D$5,$D$6),"")</f>
        <v/>
      </c>
      <c r="M261" s="99" t="str">
        <f ca="1">IFERROR([1]!IntrinioHistoricalPrices(ticker,"adj_low",$B261,$D$4,$D$5,$D$6),"")</f>
        <v/>
      </c>
      <c r="N261" s="99" t="str">
        <f ca="1">IFERROR([1]!IntrinioHistoricalPrices(ticker,"adj_close",$B261,$D$4,$D$5,$D$6),"")</f>
        <v/>
      </c>
      <c r="O261" s="100" t="str">
        <f ca="1">IFERROR([1]!IntrinioHistoricalPrices(ticker,"adj_volume",$B261,$D$4,$D$5,$D$6),"")</f>
        <v/>
      </c>
    </row>
    <row r="262" spans="2:15" x14ac:dyDescent="0.45">
      <c r="B262" s="49">
        <f t="shared" si="3"/>
        <v>253</v>
      </c>
      <c r="C262" s="165" t="str">
        <f ca="1">IFERROR([1]!IntrinioHistoricalPrices(ticker,"date",$B262,$D$4,$D$5,$D$6),"")</f>
        <v/>
      </c>
      <c r="D262" s="99" t="str">
        <f ca="1">IFERROR([1]!IntrinioHistoricalPrices(ticker,"open",$B262,$D$4,$D$5,$D$6),"")</f>
        <v/>
      </c>
      <c r="E262" s="99" t="str">
        <f ca="1">IFERROR([1]!IntrinioHistoricalPrices(ticker,"high",$B262,$D$4,$D$5,$D$6),"")</f>
        <v/>
      </c>
      <c r="F262" s="99" t="str">
        <f ca="1">IFERROR([1]!IntrinioHistoricalPrices(ticker,"low",$B262,$D$4,$D$5,$D$6),"")</f>
        <v/>
      </c>
      <c r="G262" s="99" t="str">
        <f ca="1">IFERROR([1]!IntrinioHistoricalPrices(ticker,"close",$B262,$D$4,$D$5,$D$6),"")</f>
        <v/>
      </c>
      <c r="H262" s="100" t="str">
        <f ca="1">IFERROR([1]!IntrinioHistoricalPrices(ticker,"volume",$B262,$D$4,$D$5,$D$6),"")</f>
        <v/>
      </c>
      <c r="I262" s="101" t="str">
        <f ca="1">IFERROR([1]!IntrinioHistoricalPrices(ticker,"split_ratio",$B262,$D$4,$D$5,$D$6),"")</f>
        <v/>
      </c>
      <c r="J262" s="99" t="str">
        <f ca="1">IFERROR([1]!IntrinioHistoricalPrices(ticker,"ex_dividend",$B262,$D$4,$D$5,$D$6),"")</f>
        <v/>
      </c>
      <c r="K262" s="99" t="str">
        <f ca="1">IFERROR([1]!IntrinioHistoricalPrices(ticker,"adj_open",$B262,$D$4,$D$5,$D$6),"")</f>
        <v/>
      </c>
      <c r="L262" s="99" t="str">
        <f ca="1">IFERROR([1]!IntrinioHistoricalPrices(ticker,"adj_high",$B262,$D$4,$D$5,$D$6),"")</f>
        <v/>
      </c>
      <c r="M262" s="99" t="str">
        <f ca="1">IFERROR([1]!IntrinioHistoricalPrices(ticker,"adj_low",$B262,$D$4,$D$5,$D$6),"")</f>
        <v/>
      </c>
      <c r="N262" s="99" t="str">
        <f ca="1">IFERROR([1]!IntrinioHistoricalPrices(ticker,"adj_close",$B262,$D$4,$D$5,$D$6),"")</f>
        <v/>
      </c>
      <c r="O262" s="100" t="str">
        <f ca="1">IFERROR([1]!IntrinioHistoricalPrices(ticker,"adj_volume",$B262,$D$4,$D$5,$D$6),"")</f>
        <v/>
      </c>
    </row>
    <row r="263" spans="2:15" x14ac:dyDescent="0.45">
      <c r="B263" s="49">
        <f t="shared" si="3"/>
        <v>254</v>
      </c>
      <c r="C263" s="165" t="str">
        <f ca="1">IFERROR([1]!IntrinioHistoricalPrices(ticker,"date",$B263,$D$4,$D$5,$D$6),"")</f>
        <v/>
      </c>
      <c r="D263" s="99" t="str">
        <f ca="1">IFERROR([1]!IntrinioHistoricalPrices(ticker,"open",$B263,$D$4,$D$5,$D$6),"")</f>
        <v/>
      </c>
      <c r="E263" s="99" t="str">
        <f ca="1">IFERROR([1]!IntrinioHistoricalPrices(ticker,"high",$B263,$D$4,$D$5,$D$6),"")</f>
        <v/>
      </c>
      <c r="F263" s="99" t="str">
        <f ca="1">IFERROR([1]!IntrinioHistoricalPrices(ticker,"low",$B263,$D$4,$D$5,$D$6),"")</f>
        <v/>
      </c>
      <c r="G263" s="99" t="str">
        <f ca="1">IFERROR([1]!IntrinioHistoricalPrices(ticker,"close",$B263,$D$4,$D$5,$D$6),"")</f>
        <v/>
      </c>
      <c r="H263" s="100" t="str">
        <f ca="1">IFERROR([1]!IntrinioHistoricalPrices(ticker,"volume",$B263,$D$4,$D$5,$D$6),"")</f>
        <v/>
      </c>
      <c r="I263" s="101" t="str">
        <f ca="1">IFERROR([1]!IntrinioHistoricalPrices(ticker,"split_ratio",$B263,$D$4,$D$5,$D$6),"")</f>
        <v/>
      </c>
      <c r="J263" s="99" t="str">
        <f ca="1">IFERROR([1]!IntrinioHistoricalPrices(ticker,"ex_dividend",$B263,$D$4,$D$5,$D$6),"")</f>
        <v/>
      </c>
      <c r="K263" s="99" t="str">
        <f ca="1">IFERROR([1]!IntrinioHistoricalPrices(ticker,"adj_open",$B263,$D$4,$D$5,$D$6),"")</f>
        <v/>
      </c>
      <c r="L263" s="99" t="str">
        <f ca="1">IFERROR([1]!IntrinioHistoricalPrices(ticker,"adj_high",$B263,$D$4,$D$5,$D$6),"")</f>
        <v/>
      </c>
      <c r="M263" s="99" t="str">
        <f ca="1">IFERROR([1]!IntrinioHistoricalPrices(ticker,"adj_low",$B263,$D$4,$D$5,$D$6),"")</f>
        <v/>
      </c>
      <c r="N263" s="99" t="str">
        <f ca="1">IFERROR([1]!IntrinioHistoricalPrices(ticker,"adj_close",$B263,$D$4,$D$5,$D$6),"")</f>
        <v/>
      </c>
      <c r="O263" s="100" t="str">
        <f ca="1">IFERROR([1]!IntrinioHistoricalPrices(ticker,"adj_volume",$B263,$D$4,$D$5,$D$6),"")</f>
        <v/>
      </c>
    </row>
    <row r="264" spans="2:15" x14ac:dyDescent="0.45">
      <c r="B264" s="49">
        <f t="shared" si="3"/>
        <v>255</v>
      </c>
      <c r="C264" s="165" t="str">
        <f ca="1">IFERROR([1]!IntrinioHistoricalPrices(ticker,"date",$B264,$D$4,$D$5,$D$6),"")</f>
        <v/>
      </c>
      <c r="D264" s="99" t="str">
        <f ca="1">IFERROR([1]!IntrinioHistoricalPrices(ticker,"open",$B264,$D$4,$D$5,$D$6),"")</f>
        <v/>
      </c>
      <c r="E264" s="99" t="str">
        <f ca="1">IFERROR([1]!IntrinioHistoricalPrices(ticker,"high",$B264,$D$4,$D$5,$D$6),"")</f>
        <v/>
      </c>
      <c r="F264" s="99" t="str">
        <f ca="1">IFERROR([1]!IntrinioHistoricalPrices(ticker,"low",$B264,$D$4,$D$5,$D$6),"")</f>
        <v/>
      </c>
      <c r="G264" s="99" t="str">
        <f ca="1">IFERROR([1]!IntrinioHistoricalPrices(ticker,"close",$B264,$D$4,$D$5,$D$6),"")</f>
        <v/>
      </c>
      <c r="H264" s="100" t="str">
        <f ca="1">IFERROR([1]!IntrinioHistoricalPrices(ticker,"volume",$B264,$D$4,$D$5,$D$6),"")</f>
        <v/>
      </c>
      <c r="I264" s="101" t="str">
        <f ca="1">IFERROR([1]!IntrinioHistoricalPrices(ticker,"split_ratio",$B264,$D$4,$D$5,$D$6),"")</f>
        <v/>
      </c>
      <c r="J264" s="99" t="str">
        <f ca="1">IFERROR([1]!IntrinioHistoricalPrices(ticker,"ex_dividend",$B264,$D$4,$D$5,$D$6),"")</f>
        <v/>
      </c>
      <c r="K264" s="99" t="str">
        <f ca="1">IFERROR([1]!IntrinioHistoricalPrices(ticker,"adj_open",$B264,$D$4,$D$5,$D$6),"")</f>
        <v/>
      </c>
      <c r="L264" s="99" t="str">
        <f ca="1">IFERROR([1]!IntrinioHistoricalPrices(ticker,"adj_high",$B264,$D$4,$D$5,$D$6),"")</f>
        <v/>
      </c>
      <c r="M264" s="99" t="str">
        <f ca="1">IFERROR([1]!IntrinioHistoricalPrices(ticker,"adj_low",$B264,$D$4,$D$5,$D$6),"")</f>
        <v/>
      </c>
      <c r="N264" s="99" t="str">
        <f ca="1">IFERROR([1]!IntrinioHistoricalPrices(ticker,"adj_close",$B264,$D$4,$D$5,$D$6),"")</f>
        <v/>
      </c>
      <c r="O264" s="100" t="str">
        <f ca="1">IFERROR([1]!IntrinioHistoricalPrices(ticker,"adj_volume",$B264,$D$4,$D$5,$D$6),"")</f>
        <v/>
      </c>
    </row>
    <row r="265" spans="2:15" x14ac:dyDescent="0.45">
      <c r="B265" s="49">
        <f t="shared" si="3"/>
        <v>256</v>
      </c>
      <c r="C265" s="165" t="str">
        <f ca="1">IFERROR([1]!IntrinioHistoricalPrices(ticker,"date",$B265,$D$4,$D$5,$D$6),"")</f>
        <v/>
      </c>
      <c r="D265" s="99" t="str">
        <f ca="1">IFERROR([1]!IntrinioHistoricalPrices(ticker,"open",$B265,$D$4,$D$5,$D$6),"")</f>
        <v/>
      </c>
      <c r="E265" s="99" t="str">
        <f ca="1">IFERROR([1]!IntrinioHistoricalPrices(ticker,"high",$B265,$D$4,$D$5,$D$6),"")</f>
        <v/>
      </c>
      <c r="F265" s="99" t="str">
        <f ca="1">IFERROR([1]!IntrinioHistoricalPrices(ticker,"low",$B265,$D$4,$D$5,$D$6),"")</f>
        <v/>
      </c>
      <c r="G265" s="99" t="str">
        <f ca="1">IFERROR([1]!IntrinioHistoricalPrices(ticker,"close",$B265,$D$4,$D$5,$D$6),"")</f>
        <v/>
      </c>
      <c r="H265" s="100" t="str">
        <f ca="1">IFERROR([1]!IntrinioHistoricalPrices(ticker,"volume",$B265,$D$4,$D$5,$D$6),"")</f>
        <v/>
      </c>
      <c r="I265" s="101" t="str">
        <f ca="1">IFERROR([1]!IntrinioHistoricalPrices(ticker,"split_ratio",$B265,$D$4,$D$5,$D$6),"")</f>
        <v/>
      </c>
      <c r="J265" s="99" t="str">
        <f ca="1">IFERROR([1]!IntrinioHistoricalPrices(ticker,"ex_dividend",$B265,$D$4,$D$5,$D$6),"")</f>
        <v/>
      </c>
      <c r="K265" s="99" t="str">
        <f ca="1">IFERROR([1]!IntrinioHistoricalPrices(ticker,"adj_open",$B265,$D$4,$D$5,$D$6),"")</f>
        <v/>
      </c>
      <c r="L265" s="99" t="str">
        <f ca="1">IFERROR([1]!IntrinioHistoricalPrices(ticker,"adj_high",$B265,$D$4,$D$5,$D$6),"")</f>
        <v/>
      </c>
      <c r="M265" s="99" t="str">
        <f ca="1">IFERROR([1]!IntrinioHistoricalPrices(ticker,"adj_low",$B265,$D$4,$D$5,$D$6),"")</f>
        <v/>
      </c>
      <c r="N265" s="99" t="str">
        <f ca="1">IFERROR([1]!IntrinioHistoricalPrices(ticker,"adj_close",$B265,$D$4,$D$5,$D$6),"")</f>
        <v/>
      </c>
      <c r="O265" s="100" t="str">
        <f ca="1">IFERROR([1]!IntrinioHistoricalPrices(ticker,"adj_volume",$B265,$D$4,$D$5,$D$6),"")</f>
        <v/>
      </c>
    </row>
    <row r="266" spans="2:15" x14ac:dyDescent="0.45">
      <c r="B266" s="49">
        <f t="shared" si="3"/>
        <v>257</v>
      </c>
      <c r="C266" s="165" t="str">
        <f ca="1">IFERROR([1]!IntrinioHistoricalPrices(ticker,"date",$B266,$D$4,$D$5,$D$6),"")</f>
        <v/>
      </c>
      <c r="D266" s="99" t="str">
        <f ca="1">IFERROR([1]!IntrinioHistoricalPrices(ticker,"open",$B266,$D$4,$D$5,$D$6),"")</f>
        <v/>
      </c>
      <c r="E266" s="99" t="str">
        <f ca="1">IFERROR([1]!IntrinioHistoricalPrices(ticker,"high",$B266,$D$4,$D$5,$D$6),"")</f>
        <v/>
      </c>
      <c r="F266" s="99" t="str">
        <f ca="1">IFERROR([1]!IntrinioHistoricalPrices(ticker,"low",$B266,$D$4,$D$5,$D$6),"")</f>
        <v/>
      </c>
      <c r="G266" s="99" t="str">
        <f ca="1">IFERROR([1]!IntrinioHistoricalPrices(ticker,"close",$B266,$D$4,$D$5,$D$6),"")</f>
        <v/>
      </c>
      <c r="H266" s="100" t="str">
        <f ca="1">IFERROR([1]!IntrinioHistoricalPrices(ticker,"volume",$B266,$D$4,$D$5,$D$6),"")</f>
        <v/>
      </c>
      <c r="I266" s="101" t="str">
        <f ca="1">IFERROR([1]!IntrinioHistoricalPrices(ticker,"split_ratio",$B266,$D$4,$D$5,$D$6),"")</f>
        <v/>
      </c>
      <c r="J266" s="99" t="str">
        <f ca="1">IFERROR([1]!IntrinioHistoricalPrices(ticker,"ex_dividend",$B266,$D$4,$D$5,$D$6),"")</f>
        <v/>
      </c>
      <c r="K266" s="99" t="str">
        <f ca="1">IFERROR([1]!IntrinioHistoricalPrices(ticker,"adj_open",$B266,$D$4,$D$5,$D$6),"")</f>
        <v/>
      </c>
      <c r="L266" s="99" t="str">
        <f ca="1">IFERROR([1]!IntrinioHistoricalPrices(ticker,"adj_high",$B266,$D$4,$D$5,$D$6),"")</f>
        <v/>
      </c>
      <c r="M266" s="99" t="str">
        <f ca="1">IFERROR([1]!IntrinioHistoricalPrices(ticker,"adj_low",$B266,$D$4,$D$5,$D$6),"")</f>
        <v/>
      </c>
      <c r="N266" s="99" t="str">
        <f ca="1">IFERROR([1]!IntrinioHistoricalPrices(ticker,"adj_close",$B266,$D$4,$D$5,$D$6),"")</f>
        <v/>
      </c>
      <c r="O266" s="100" t="str">
        <f ca="1">IFERROR([1]!IntrinioHistoricalPrices(ticker,"adj_volume",$B266,$D$4,$D$5,$D$6),"")</f>
        <v/>
      </c>
    </row>
    <row r="267" spans="2:15" x14ac:dyDescent="0.45">
      <c r="B267" s="49">
        <f>+B266+1</f>
        <v>258</v>
      </c>
      <c r="C267" s="165" t="str">
        <f ca="1">IFERROR([1]!IntrinioHistoricalPrices(ticker,"date",$B267,$D$4,$D$5,$D$6),"")</f>
        <v/>
      </c>
      <c r="D267" s="99" t="str">
        <f ca="1">IFERROR([1]!IntrinioHistoricalPrices(ticker,"open",$B267,$D$4,$D$5,$D$6),"")</f>
        <v/>
      </c>
      <c r="E267" s="99" t="str">
        <f ca="1">IFERROR([1]!IntrinioHistoricalPrices(ticker,"high",$B267,$D$4,$D$5,$D$6),"")</f>
        <v/>
      </c>
      <c r="F267" s="99" t="str">
        <f ca="1">IFERROR([1]!IntrinioHistoricalPrices(ticker,"low",$B267,$D$4,$D$5,$D$6),"")</f>
        <v/>
      </c>
      <c r="G267" s="99" t="str">
        <f ca="1">IFERROR([1]!IntrinioHistoricalPrices(ticker,"close",$B267,$D$4,$D$5,$D$6),"")</f>
        <v/>
      </c>
      <c r="H267" s="100" t="str">
        <f ca="1">IFERROR([1]!IntrinioHistoricalPrices(ticker,"volume",$B267,$D$4,$D$5,$D$6),"")</f>
        <v/>
      </c>
      <c r="I267" s="101" t="str">
        <f ca="1">IFERROR([1]!IntrinioHistoricalPrices(ticker,"split_ratio",$B267,$D$4,$D$5,$D$6),"")</f>
        <v/>
      </c>
      <c r="J267" s="99" t="str">
        <f ca="1">IFERROR([1]!IntrinioHistoricalPrices(ticker,"ex_dividend",$B267,$D$4,$D$5,$D$6),"")</f>
        <v/>
      </c>
      <c r="K267" s="99" t="str">
        <f ca="1">IFERROR([1]!IntrinioHistoricalPrices(ticker,"adj_open",$B267,$D$4,$D$5,$D$6),"")</f>
        <v/>
      </c>
      <c r="L267" s="99" t="str">
        <f ca="1">IFERROR([1]!IntrinioHistoricalPrices(ticker,"adj_high",$B267,$D$4,$D$5,$D$6),"")</f>
        <v/>
      </c>
      <c r="M267" s="99" t="str">
        <f ca="1">IFERROR([1]!IntrinioHistoricalPrices(ticker,"adj_low",$B267,$D$4,$D$5,$D$6),"")</f>
        <v/>
      </c>
      <c r="N267" s="99" t="str">
        <f ca="1">IFERROR([1]!IntrinioHistoricalPrices(ticker,"adj_close",$B267,$D$4,$D$5,$D$6),"")</f>
        <v/>
      </c>
      <c r="O267" s="100" t="str">
        <f ca="1">IFERROR([1]!IntrinioHistoricalPrices(ticker,"adj_volume",$B267,$D$4,$D$5,$D$6),"")</f>
        <v/>
      </c>
    </row>
    <row r="268" spans="2:15" x14ac:dyDescent="0.45">
      <c r="B268" s="49">
        <f>+B267+1</f>
        <v>259</v>
      </c>
      <c r="C268" s="165" t="str">
        <f ca="1">IFERROR([1]!IntrinioHistoricalPrices(ticker,"date",$B268,$D$4,$D$5,$D$6),"")</f>
        <v/>
      </c>
      <c r="D268" s="99" t="str">
        <f ca="1">IFERROR([1]!IntrinioHistoricalPrices(ticker,"open",$B268,$D$4,$D$5,$D$6),"")</f>
        <v/>
      </c>
      <c r="E268" s="99" t="str">
        <f ca="1">IFERROR([1]!IntrinioHistoricalPrices(ticker,"high",$B268,$D$4,$D$5,$D$6),"")</f>
        <v/>
      </c>
      <c r="F268" s="99" t="str">
        <f ca="1">IFERROR([1]!IntrinioHistoricalPrices(ticker,"low",$B268,$D$4,$D$5,$D$6),"")</f>
        <v/>
      </c>
      <c r="G268" s="99" t="str">
        <f ca="1">IFERROR([1]!IntrinioHistoricalPrices(ticker,"close",$B268,$D$4,$D$5,$D$6),"")</f>
        <v/>
      </c>
      <c r="H268" s="100" t="str">
        <f ca="1">IFERROR([1]!IntrinioHistoricalPrices(ticker,"volume",$B268,$D$4,$D$5,$D$6),"")</f>
        <v/>
      </c>
      <c r="I268" s="101" t="str">
        <f ca="1">IFERROR([1]!IntrinioHistoricalPrices(ticker,"split_ratio",$B268,$D$4,$D$5,$D$6),"")</f>
        <v/>
      </c>
      <c r="J268" s="99" t="str">
        <f ca="1">IFERROR([1]!IntrinioHistoricalPrices(ticker,"ex_dividend",$B268,$D$4,$D$5,$D$6),"")</f>
        <v/>
      </c>
      <c r="K268" s="99" t="str">
        <f ca="1">IFERROR([1]!IntrinioHistoricalPrices(ticker,"adj_open",$B268,$D$4,$D$5,$D$6),"")</f>
        <v/>
      </c>
      <c r="L268" s="99" t="str">
        <f ca="1">IFERROR([1]!IntrinioHistoricalPrices(ticker,"adj_high",$B268,$D$4,$D$5,$D$6),"")</f>
        <v/>
      </c>
      <c r="M268" s="99" t="str">
        <f ca="1">IFERROR([1]!IntrinioHistoricalPrices(ticker,"adj_low",$B268,$D$4,$D$5,$D$6),"")</f>
        <v/>
      </c>
      <c r="N268" s="99" t="str">
        <f ca="1">IFERROR([1]!IntrinioHistoricalPrices(ticker,"adj_close",$B268,$D$4,$D$5,$D$6),"")</f>
        <v/>
      </c>
      <c r="O268" s="100" t="str">
        <f ca="1">IFERROR([1]!IntrinioHistoricalPrices(ticker,"adj_volume",$B268,$D$4,$D$5,$D$6),"")</f>
        <v/>
      </c>
    </row>
    <row r="269" spans="2:15" x14ac:dyDescent="0.45">
      <c r="B269" s="49">
        <f>+B268+1</f>
        <v>260</v>
      </c>
      <c r="C269" s="165" t="str">
        <f ca="1">IFERROR([1]!IntrinioHistoricalPrices(ticker,"date",$B269,$D$4,$D$5,$D$6),"")</f>
        <v/>
      </c>
      <c r="D269" s="99" t="str">
        <f ca="1">IFERROR([1]!IntrinioHistoricalPrices(ticker,"open",$B269,$D$4,$D$5,$D$6),"")</f>
        <v/>
      </c>
      <c r="E269" s="99" t="str">
        <f ca="1">IFERROR([1]!IntrinioHistoricalPrices(ticker,"high",$B269,$D$4,$D$5,$D$6),"")</f>
        <v/>
      </c>
      <c r="F269" s="99" t="str">
        <f ca="1">IFERROR([1]!IntrinioHistoricalPrices(ticker,"low",$B269,$D$4,$D$5,$D$6),"")</f>
        <v/>
      </c>
      <c r="G269" s="99" t="str">
        <f ca="1">IFERROR([1]!IntrinioHistoricalPrices(ticker,"close",$B269,$D$4,$D$5,$D$6),"")</f>
        <v/>
      </c>
      <c r="H269" s="100" t="str">
        <f ca="1">IFERROR([1]!IntrinioHistoricalPrices(ticker,"volume",$B269,$D$4,$D$5,$D$6),"")</f>
        <v/>
      </c>
      <c r="I269" s="101" t="str">
        <f ca="1">IFERROR([1]!IntrinioHistoricalPrices(ticker,"split_ratio",$B269,$D$4,$D$5,$D$6),"")</f>
        <v/>
      </c>
      <c r="J269" s="99" t="str">
        <f ca="1">IFERROR([1]!IntrinioHistoricalPrices(ticker,"ex_dividend",$B269,$D$4,$D$5,$D$6),"")</f>
        <v/>
      </c>
      <c r="K269" s="99" t="str">
        <f ca="1">IFERROR([1]!IntrinioHistoricalPrices(ticker,"adj_open",$B269,$D$4,$D$5,$D$6),"")</f>
        <v/>
      </c>
      <c r="L269" s="99" t="str">
        <f ca="1">IFERROR([1]!IntrinioHistoricalPrices(ticker,"adj_high",$B269,$D$4,$D$5,$D$6),"")</f>
        <v/>
      </c>
      <c r="M269" s="99" t="str">
        <f ca="1">IFERROR([1]!IntrinioHistoricalPrices(ticker,"adj_low",$B269,$D$4,$D$5,$D$6),"")</f>
        <v/>
      </c>
      <c r="N269" s="99" t="str">
        <f ca="1">IFERROR([1]!IntrinioHistoricalPrices(ticker,"adj_close",$B269,$D$4,$D$5,$D$6),"")</f>
        <v/>
      </c>
      <c r="O269" s="100" t="str">
        <f ca="1">IFERROR([1]!IntrinioHistoricalPrices(ticker,"adj_volume",$B269,$D$4,$D$5,$D$6),"")</f>
        <v/>
      </c>
    </row>
    <row r="270" spans="2:15" x14ac:dyDescent="0.45">
      <c r="B270" s="49"/>
      <c r="D270" s="99"/>
      <c r="E270" s="99"/>
      <c r="F270" s="99"/>
      <c r="G270" s="99"/>
      <c r="H270" s="100"/>
      <c r="I270" s="101"/>
      <c r="J270" s="99"/>
      <c r="K270" s="99"/>
      <c r="L270" s="99"/>
      <c r="M270" s="99"/>
      <c r="N270" s="99"/>
      <c r="O270" s="100"/>
    </row>
  </sheetData>
  <mergeCells count="1">
    <mergeCell ref="F1:K2"/>
  </mergeCells>
  <dataValidations count="1">
    <dataValidation type="list" allowBlank="1" showInputMessage="1" showErrorMessage="1" sqref="D6">
      <formula1>"daily,weekly,monthly,quarterly,yearly"</formula1>
    </dataValidation>
  </dataValidations>
  <pageMargins left="0.7" right="0.7" top="0.75" bottom="0.75" header="0.3" footer="0.3"/>
  <pageSetup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</sheetPr>
  <dimension ref="A1:H72"/>
  <sheetViews>
    <sheetView showGridLines="0" zoomScale="90" zoomScaleNormal="90" zoomScalePageLayoutView="90" workbookViewId="0">
      <pane xSplit="2" ySplit="5" topLeftCell="C6" activePane="bottomRight" state="frozen"/>
      <selection activeCell="B7" sqref="B7"/>
      <selection pane="topRight" activeCell="B7" sqref="B7"/>
      <selection pane="bottomLeft" activeCell="B7" sqref="B7"/>
      <selection pane="bottomRight"/>
    </sheetView>
  </sheetViews>
  <sheetFormatPr defaultColWidth="9.1328125" defaultRowHeight="14.25" outlineLevelRow="1" outlineLevelCol="1" x14ac:dyDescent="0.45"/>
  <cols>
    <col min="1" max="1" width="51.73046875" customWidth="1"/>
    <col min="2" max="2" width="33.86328125" style="49" customWidth="1" outlineLevel="1"/>
    <col min="3" max="3" width="3.3984375" style="49" customWidth="1"/>
    <col min="4" max="8" width="19.6640625" customWidth="1"/>
    <col min="9" max="13" width="13.86328125" customWidth="1"/>
    <col min="15" max="15" width="13.86328125" customWidth="1"/>
  </cols>
  <sheetData>
    <row r="1" spans="1:8" ht="26.25" customHeight="1" x14ac:dyDescent="0.65">
      <c r="A1" s="31" t="str">
        <f>[1]!IntrinioDataPoint(ticker,"name")</f>
        <v/>
      </c>
      <c r="B1" s="32"/>
      <c r="C1" s="32"/>
      <c r="D1" s="220"/>
      <c r="E1" s="220"/>
      <c r="F1" s="220"/>
      <c r="G1" s="220"/>
      <c r="H1" s="220"/>
    </row>
    <row r="2" spans="1:8" ht="16.5" customHeight="1" thickBot="1" x14ac:dyDescent="0.55000000000000004">
      <c r="A2" s="33" t="str">
        <f>[1]!IntrinioDataPoint(ticker,"stock_exchange")&amp;IF(ticker="","",": ") &amp;ticker</f>
        <v/>
      </c>
      <c r="B2" s="34"/>
      <c r="C2" s="34"/>
      <c r="D2" s="221"/>
      <c r="E2" s="221"/>
      <c r="F2" s="221"/>
      <c r="G2" s="221"/>
      <c r="H2" s="221"/>
    </row>
    <row r="3" spans="1:8" ht="15.75" x14ac:dyDescent="0.5">
      <c r="A3" s="35"/>
      <c r="B3" s="36"/>
      <c r="C3" s="36"/>
      <c r="D3" s="37" t="str">
        <f>IFERROR([1]!IntrinioFundamentals(ticker,statement,type,D$9,"end_date"),"")</f>
        <v/>
      </c>
      <c r="E3" s="37" t="str">
        <f>IFERROR([1]!IntrinioFundamentals(ticker,statement,type,E$9,"end_date"),"")</f>
        <v/>
      </c>
      <c r="F3" s="37" t="str">
        <f>IFERROR([1]!IntrinioFundamentals(ticker,statement,type,F$9,"end_date"),"")</f>
        <v/>
      </c>
      <c r="G3" s="37" t="str">
        <f>IFERROR([1]!IntrinioFundamentals(ticker,statement,type,G$9,"end_date"),"")</f>
        <v/>
      </c>
      <c r="H3" s="37" t="str">
        <f>IFERROR([1]!IntrinioFundamentals(ticker,statement,type,H$9,"end_date"),"")</f>
        <v/>
      </c>
    </row>
    <row r="4" spans="1:8" ht="15.75" x14ac:dyDescent="0.5">
      <c r="A4" s="35"/>
      <c r="B4" s="36"/>
      <c r="C4" s="36"/>
      <c r="D4" s="112" t="str">
        <f>IFERROR([1]!IntrinioFundamentals(ticker,statement,type,D$9,"fiscal_period"),"")</f>
        <v/>
      </c>
      <c r="E4" s="112" t="str">
        <f>IFERROR([1]!IntrinioFundamentals(ticker,statement,type,E$9,"fiscal_period"),"")</f>
        <v/>
      </c>
      <c r="F4" s="112" t="str">
        <f>IFERROR([1]!IntrinioFundamentals(ticker,statement,type,F$9,"fiscal_period"),"")</f>
        <v/>
      </c>
      <c r="G4" s="112" t="str">
        <f>IFERROR([1]!IntrinioFundamentals(ticker,statement,type,G$9,"fiscal_period"),"")</f>
        <v/>
      </c>
      <c r="H4" s="112" t="str">
        <f>IFERROR([1]!IntrinioFundamentals(ticker,statement,type,H$9,"fiscal_period"),"")</f>
        <v/>
      </c>
    </row>
    <row r="5" spans="1:8" ht="16.149999999999999" thickBot="1" x14ac:dyDescent="0.55000000000000004">
      <c r="A5" s="38" t="str">
        <f>"In "&amp;IF(rounding = "A","USD",IF(rounding = "K","Thousands of USD",IF(rounding = "M","Millions of USD",IF(rounding = "B","Billions of USD","USD"))))&amp;", except per share values"</f>
        <v>In Millions of USD, except per share values</v>
      </c>
      <c r="B5" s="39" t="s">
        <v>17</v>
      </c>
      <c r="C5" s="39"/>
      <c r="D5" s="113" t="str">
        <f>IFERROR([1]!IntrinioFundamentals(ticker,statement,type,D$9,"fiscal_year"),"")</f>
        <v/>
      </c>
      <c r="E5" s="113" t="str">
        <f>IFERROR([1]!IntrinioFundamentals(ticker,statement,type,E$9,"fiscal_year"),"")</f>
        <v/>
      </c>
      <c r="F5" s="113" t="str">
        <f>IFERROR([1]!IntrinioFundamentals(ticker,statement,type,F$9,"fiscal_year"),"")</f>
        <v/>
      </c>
      <c r="G5" s="113" t="str">
        <f>IFERROR([1]!IntrinioFundamentals(ticker,statement,type,G$9,"fiscal_year"),"")</f>
        <v/>
      </c>
      <c r="H5" s="113" t="str">
        <f>IFERROR([1]!IntrinioFundamentals(ticker,statement,type,H$9,"fiscal_year"),"")</f>
        <v/>
      </c>
    </row>
    <row r="6" spans="1:8" ht="16.149999999999999" thickBot="1" x14ac:dyDescent="0.55000000000000004">
      <c r="A6" s="41"/>
      <c r="B6" s="42"/>
      <c r="C6" s="42"/>
      <c r="D6" s="43"/>
      <c r="E6" s="43"/>
      <c r="F6" s="43"/>
      <c r="G6" s="43"/>
      <c r="H6" s="43"/>
    </row>
    <row r="7" spans="1:8" ht="16.149999999999999" outlineLevel="1" thickBot="1" x14ac:dyDescent="0.55000000000000004">
      <c r="A7" s="44" t="s">
        <v>18</v>
      </c>
      <c r="B7" s="45" t="s">
        <v>19</v>
      </c>
      <c r="C7" s="76"/>
      <c r="D7" s="43"/>
      <c r="E7" s="43"/>
      <c r="F7" s="43"/>
      <c r="G7" s="43"/>
      <c r="H7" s="43"/>
    </row>
    <row r="8" spans="1:8" ht="16.149999999999999" outlineLevel="1" thickBot="1" x14ac:dyDescent="0.55000000000000004">
      <c r="A8" s="44" t="s">
        <v>20</v>
      </c>
      <c r="B8" s="45" t="s">
        <v>21</v>
      </c>
      <c r="C8" s="76"/>
      <c r="D8" s="43"/>
      <c r="E8" s="43"/>
      <c r="F8" s="43"/>
      <c r="G8" s="43"/>
    </row>
    <row r="9" spans="1:8" ht="15.75" outlineLevel="1" x14ac:dyDescent="0.5">
      <c r="A9" s="44" t="s">
        <v>22</v>
      </c>
      <c r="B9" s="42"/>
      <c r="C9" s="42"/>
      <c r="D9" s="43">
        <f>+E9+1</f>
        <v>4</v>
      </c>
      <c r="E9" s="43">
        <f>+F9+1</f>
        <v>3</v>
      </c>
      <c r="F9" s="43">
        <f>+G9+1</f>
        <v>2</v>
      </c>
      <c r="G9" s="43">
        <f>+H9+1</f>
        <v>1</v>
      </c>
      <c r="H9" s="43">
        <v>0</v>
      </c>
    </row>
    <row r="10" spans="1:8" ht="15.75" outlineLevel="1" x14ac:dyDescent="0.5">
      <c r="A10" s="46"/>
      <c r="B10" s="42"/>
      <c r="C10" s="42"/>
      <c r="D10" s="43"/>
      <c r="E10" s="43"/>
      <c r="F10" s="43"/>
      <c r="G10" s="43"/>
      <c r="H10" s="43"/>
    </row>
    <row r="11" spans="1:8" ht="15.75" x14ac:dyDescent="0.5">
      <c r="A11" s="47" t="s">
        <v>23</v>
      </c>
      <c r="B11" s="42" t="s">
        <v>24</v>
      </c>
      <c r="C11" s="64"/>
      <c r="D11" s="144" t="str">
        <f>IFERROR([1]!IntrinioFinancials(ticker,statement,D$9,type,$B11,rounding),"")</f>
        <v/>
      </c>
      <c r="E11" s="144" t="str">
        <f>IFERROR([1]!IntrinioFinancials(ticker,statement,E$9,type,$B11,rounding),"")</f>
        <v/>
      </c>
      <c r="F11" s="144" t="str">
        <f>IFERROR([1]!IntrinioFinancials(ticker,statement,F$9,type,$B11,rounding),"")</f>
        <v/>
      </c>
      <c r="G11" s="144" t="str">
        <f>IFERROR([1]!IntrinioFinancials(ticker,statement,G$9,type,$B11,rounding),"")</f>
        <v/>
      </c>
      <c r="H11" s="144" t="str">
        <f>IFERROR([1]!IntrinioFinancials(ticker,statement,H$9,type,$B11,rounding),"")</f>
        <v/>
      </c>
    </row>
    <row r="12" spans="1:8" ht="15.75" x14ac:dyDescent="0.5">
      <c r="A12" s="47" t="s">
        <v>25</v>
      </c>
      <c r="B12" s="42" t="s">
        <v>26</v>
      </c>
      <c r="C12" s="66"/>
      <c r="D12" s="145" t="str">
        <f>IFERROR([1]!IntrinioFinancials(ticker,statement,D$9,type,$B12,rounding),"")</f>
        <v/>
      </c>
      <c r="E12" s="145" t="str">
        <f>IFERROR([1]!IntrinioFinancials(ticker,statement,E$9,type,$B12,rounding),"")</f>
        <v/>
      </c>
      <c r="F12" s="145" t="str">
        <f>IFERROR([1]!IntrinioFinancials(ticker,statement,F$9,type,$B12,rounding),"")</f>
        <v/>
      </c>
      <c r="G12" s="145" t="str">
        <f>IFERROR([1]!IntrinioFinancials(ticker,statement,G$9,type,$B12,rounding),"")</f>
        <v/>
      </c>
      <c r="H12" s="145" t="str">
        <f>IFERROR([1]!IntrinioFinancials(ticker,statement,H$9,type,$B12,rounding),"")</f>
        <v/>
      </c>
    </row>
    <row r="13" spans="1:8" ht="15.75" x14ac:dyDescent="0.5">
      <c r="A13" s="48" t="s">
        <v>27</v>
      </c>
      <c r="B13" s="42" t="s">
        <v>28</v>
      </c>
      <c r="C13" s="66"/>
      <c r="D13" s="143" t="str">
        <f>IFERROR([1]!IntrinioFinancials(ticker,statement,D$9,type,$B13,rounding),"")</f>
        <v/>
      </c>
      <c r="E13" s="143" t="str">
        <f>IFERROR([1]!IntrinioFinancials(ticker,statement,E$9,type,$B13,rounding),"")</f>
        <v/>
      </c>
      <c r="F13" s="143" t="str">
        <f>IFERROR([1]!IntrinioFinancials(ticker,statement,F$9,type,$B13,rounding),"")</f>
        <v/>
      </c>
      <c r="G13" s="143" t="str">
        <f>IFERROR([1]!IntrinioFinancials(ticker,statement,G$9,type,$B13,rounding),"")</f>
        <v/>
      </c>
      <c r="H13" s="143" t="str">
        <f>IFERROR([1]!IntrinioFinancials(ticker,statement,H$9,type,$B13,rounding),"")</f>
        <v/>
      </c>
    </row>
    <row r="14" spans="1:8" ht="7.5" customHeight="1" x14ac:dyDescent="0.5">
      <c r="C14" s="66"/>
      <c r="D14" s="146"/>
      <c r="E14" s="146"/>
      <c r="F14" s="146"/>
      <c r="G14" s="146"/>
      <c r="H14" s="146"/>
    </row>
    <row r="15" spans="1:8" ht="15.75" x14ac:dyDescent="0.5">
      <c r="A15" s="51" t="s">
        <v>29</v>
      </c>
      <c r="B15" s="42" t="s">
        <v>30</v>
      </c>
      <c r="C15" s="66"/>
      <c r="D15" s="144" t="str">
        <f>IFERROR([1]!IntrinioFinancials(ticker,statement,D$9,type,$B15,rounding),"")</f>
        <v/>
      </c>
      <c r="E15" s="144" t="str">
        <f>IFERROR([1]!IntrinioFinancials(ticker,statement,E$9,type,$B15,rounding),"")</f>
        <v/>
      </c>
      <c r="F15" s="144" t="str">
        <f>IFERROR([1]!IntrinioFinancials(ticker,statement,F$9,type,$B15,rounding),"")</f>
        <v/>
      </c>
      <c r="G15" s="144" t="str">
        <f>IFERROR([1]!IntrinioFinancials(ticker,statement,G$9,type,$B15,rounding),"")</f>
        <v/>
      </c>
      <c r="H15" s="144" t="str">
        <f>IFERROR([1]!IntrinioFinancials(ticker,statement,H$9,type,$B15,rounding),"")</f>
        <v/>
      </c>
    </row>
    <row r="16" spans="1:8" ht="15.75" x14ac:dyDescent="0.5">
      <c r="A16" s="52" t="s">
        <v>31</v>
      </c>
      <c r="B16" s="42" t="s">
        <v>32</v>
      </c>
      <c r="C16" s="66"/>
      <c r="D16" s="145" t="str">
        <f>IFERROR([1]!IntrinioFinancials(ticker,statement,D$9,type,$B16,rounding),"")</f>
        <v/>
      </c>
      <c r="E16" s="145" t="str">
        <f>IFERROR([1]!IntrinioFinancials(ticker,statement,E$9,type,$B16,rounding),"")</f>
        <v/>
      </c>
      <c r="F16" s="145" t="str">
        <f>IFERROR([1]!IntrinioFinancials(ticker,statement,F$9,type,$B16,rounding),"")</f>
        <v/>
      </c>
      <c r="G16" s="145" t="str">
        <f>IFERROR([1]!IntrinioFinancials(ticker,statement,G$9,type,$B16,rounding),"")</f>
        <v/>
      </c>
      <c r="H16" s="145" t="str">
        <f>IFERROR([1]!IntrinioFinancials(ticker,statement,H$9,type,$B16,rounding),"")</f>
        <v/>
      </c>
    </row>
    <row r="17" spans="1:8" ht="15.75" x14ac:dyDescent="0.5">
      <c r="A17" s="48" t="s">
        <v>33</v>
      </c>
      <c r="B17" s="42" t="s">
        <v>34</v>
      </c>
      <c r="C17" s="66"/>
      <c r="D17" s="143" t="str">
        <f>IFERROR([1]!IntrinioFinancials(ticker,statement,D$9,type,$B17,rounding),"")</f>
        <v/>
      </c>
      <c r="E17" s="143" t="str">
        <f>IFERROR([1]!IntrinioFinancials(ticker,statement,E$9,type,$B17,rounding),"")</f>
        <v/>
      </c>
      <c r="F17" s="143" t="str">
        <f>IFERROR([1]!IntrinioFinancials(ticker,statement,F$9,type,$B17,rounding),"")</f>
        <v/>
      </c>
      <c r="G17" s="143" t="str">
        <f>IFERROR([1]!IntrinioFinancials(ticker,statement,G$9,type,$B17,rounding),"")</f>
        <v/>
      </c>
      <c r="H17" s="143" t="str">
        <f>IFERROR([1]!IntrinioFinancials(ticker,statement,H$9,type,$B17,rounding),"")</f>
        <v/>
      </c>
    </row>
    <row r="18" spans="1:8" ht="7.5" customHeight="1" x14ac:dyDescent="0.5">
      <c r="A18" s="51"/>
      <c r="C18" s="66"/>
      <c r="D18" s="146"/>
      <c r="E18" s="146"/>
      <c r="F18" s="146"/>
      <c r="G18" s="146"/>
      <c r="H18" s="146"/>
    </row>
    <row r="19" spans="1:8" ht="15.75" x14ac:dyDescent="0.5">
      <c r="A19" s="48" t="s">
        <v>35</v>
      </c>
      <c r="B19" s="42" t="s">
        <v>36</v>
      </c>
      <c r="C19" s="66"/>
      <c r="D19" s="143" t="str">
        <f>IFERROR([1]!IntrinioFinancials(ticker,statement,D$9,type,$B19,rounding),"")</f>
        <v/>
      </c>
      <c r="E19" s="143" t="str">
        <f>IFERROR([1]!IntrinioFinancials(ticker,statement,E$9,type,$B19,rounding),"")</f>
        <v/>
      </c>
      <c r="F19" s="143" t="str">
        <f>IFERROR([1]!IntrinioFinancials(ticker,statement,F$9,type,$B19,rounding),"")</f>
        <v/>
      </c>
      <c r="G19" s="143" t="str">
        <f>IFERROR([1]!IntrinioFinancials(ticker,statement,G$9,type,$B19,rounding),"")</f>
        <v/>
      </c>
      <c r="H19" s="143" t="str">
        <f>IFERROR([1]!IntrinioFinancials(ticker,statement,H$9,type,$B19,rounding),"")</f>
        <v/>
      </c>
    </row>
    <row r="20" spans="1:8" ht="7.5" customHeight="1" x14ac:dyDescent="0.5">
      <c r="A20" s="51"/>
      <c r="C20" s="42"/>
      <c r="D20" s="146"/>
      <c r="E20" s="146"/>
      <c r="F20" s="146"/>
      <c r="G20" s="146"/>
      <c r="H20" s="146"/>
    </row>
    <row r="21" spans="1:8" ht="15.75" x14ac:dyDescent="0.5">
      <c r="A21" s="53" t="s">
        <v>37</v>
      </c>
      <c r="B21" s="42" t="s">
        <v>38</v>
      </c>
      <c r="C21" s="42"/>
      <c r="D21" s="144" t="str">
        <f>IFERROR([1]!IntrinioFinancials(ticker,statement,D$9,type,$B21,rounding),"")</f>
        <v/>
      </c>
      <c r="E21" s="144" t="str">
        <f>IFERROR([1]!IntrinioFinancials(ticker,statement,E$9,type,$B21,rounding),"")</f>
        <v/>
      </c>
      <c r="F21" s="144" t="str">
        <f>IFERROR([1]!IntrinioFinancials(ticker,statement,F$9,type,$B21,rounding),"")</f>
        <v/>
      </c>
      <c r="G21" s="144" t="str">
        <f>IFERROR([1]!IntrinioFinancials(ticker,statement,G$9,type,$B21,rounding),"")</f>
        <v/>
      </c>
      <c r="H21" s="144" t="str">
        <f>IFERROR([1]!IntrinioFinancials(ticker,statement,H$9,type,$B21,rounding),"")</f>
        <v/>
      </c>
    </row>
    <row r="22" spans="1:8" ht="15.75" x14ac:dyDescent="0.5">
      <c r="A22" s="53" t="s">
        <v>39</v>
      </c>
      <c r="B22" s="42" t="s">
        <v>40</v>
      </c>
      <c r="C22" s="66"/>
      <c r="D22" s="144" t="str">
        <f>IFERROR([1]!IntrinioFinancials(ticker,statement,D$9,type,$B22,rounding),"")</f>
        <v/>
      </c>
      <c r="E22" s="144" t="str">
        <f>IFERROR([1]!IntrinioFinancials(ticker,statement,E$9,type,$B22,rounding),"")</f>
        <v/>
      </c>
      <c r="F22" s="144" t="str">
        <f>IFERROR([1]!IntrinioFinancials(ticker,statement,F$9,type,$B22,rounding),"")</f>
        <v/>
      </c>
      <c r="G22" s="144" t="str">
        <f>IFERROR([1]!IntrinioFinancials(ticker,statement,G$9,type,$B22,rounding),"")</f>
        <v/>
      </c>
      <c r="H22" s="144" t="str">
        <f>IFERROR([1]!IntrinioFinancials(ticker,statement,H$9,type,$B22,rounding),"")</f>
        <v/>
      </c>
    </row>
    <row r="23" spans="1:8" ht="15.75" x14ac:dyDescent="0.5">
      <c r="A23" s="53" t="s">
        <v>41</v>
      </c>
      <c r="B23" s="42" t="s">
        <v>42</v>
      </c>
      <c r="C23" s="66"/>
      <c r="D23" s="144" t="str">
        <f>IFERROR([1]!IntrinioFinancials(ticker,statement,D$9,type,$B23,rounding),"")</f>
        <v/>
      </c>
      <c r="E23" s="144" t="str">
        <f>IFERROR([1]!IntrinioFinancials(ticker,statement,E$9,type,$B23,rounding),"")</f>
        <v/>
      </c>
      <c r="F23" s="144" t="str">
        <f>IFERROR([1]!IntrinioFinancials(ticker,statement,F$9,type,$B23,rounding),"")</f>
        <v/>
      </c>
      <c r="G23" s="144" t="str">
        <f>IFERROR([1]!IntrinioFinancials(ticker,statement,G$9,type,$B23,rounding),"")</f>
        <v/>
      </c>
      <c r="H23" s="144" t="str">
        <f>IFERROR([1]!IntrinioFinancials(ticker,statement,H$9,type,$B23,rounding),"")</f>
        <v/>
      </c>
    </row>
    <row r="24" spans="1:8" ht="15.75" x14ac:dyDescent="0.5">
      <c r="A24" s="53" t="s">
        <v>43</v>
      </c>
      <c r="B24" s="42" t="s">
        <v>44</v>
      </c>
      <c r="C24" s="66"/>
      <c r="D24" s="144" t="str">
        <f>IFERROR([1]!IntrinioFinancials(ticker,statement,D$9,type,$B24,rounding),"")</f>
        <v/>
      </c>
      <c r="E24" s="144" t="str">
        <f>IFERROR([1]!IntrinioFinancials(ticker,statement,E$9,type,$B24,rounding),"")</f>
        <v/>
      </c>
      <c r="F24" s="144" t="str">
        <f>IFERROR([1]!IntrinioFinancials(ticker,statement,F$9,type,$B24,rounding),"")</f>
        <v/>
      </c>
      <c r="G24" s="144" t="str">
        <f>IFERROR([1]!IntrinioFinancials(ticker,statement,G$9,type,$B24,rounding),"")</f>
        <v/>
      </c>
      <c r="H24" s="144" t="str">
        <f>IFERROR([1]!IntrinioFinancials(ticker,statement,H$9,type,$B24,rounding),"")</f>
        <v/>
      </c>
    </row>
    <row r="25" spans="1:8" ht="15.75" x14ac:dyDescent="0.5">
      <c r="A25" s="53" t="s">
        <v>45</v>
      </c>
      <c r="B25" s="42" t="s">
        <v>46</v>
      </c>
      <c r="C25" s="66"/>
      <c r="D25" s="144" t="str">
        <f>IFERROR([1]!IntrinioFinancials(ticker,statement,D$9,type,$B25,rounding),"")</f>
        <v/>
      </c>
      <c r="E25" s="144" t="str">
        <f>IFERROR([1]!IntrinioFinancials(ticker,statement,E$9,type,$B25,rounding),"")</f>
        <v/>
      </c>
      <c r="F25" s="144" t="str">
        <f>IFERROR([1]!IntrinioFinancials(ticker,statement,F$9,type,$B25,rounding),"")</f>
        <v/>
      </c>
      <c r="G25" s="144" t="str">
        <f>IFERROR([1]!IntrinioFinancials(ticker,statement,G$9,type,$B25,rounding),"")</f>
        <v/>
      </c>
      <c r="H25" s="144" t="str">
        <f>IFERROR([1]!IntrinioFinancials(ticker,statement,H$9,type,$B25,rounding),"")</f>
        <v/>
      </c>
    </row>
    <row r="26" spans="1:8" ht="15.75" x14ac:dyDescent="0.5">
      <c r="A26" s="53" t="s">
        <v>47</v>
      </c>
      <c r="B26" s="42" t="s">
        <v>48</v>
      </c>
      <c r="C26" s="66"/>
      <c r="D26" s="144" t="str">
        <f>IFERROR([1]!IntrinioFinancials(ticker,statement,D$9,type,$B26,rounding),"")</f>
        <v/>
      </c>
      <c r="E26" s="144" t="str">
        <f>IFERROR([1]!IntrinioFinancials(ticker,statement,E$9,type,$B26,rounding),"")</f>
        <v/>
      </c>
      <c r="F26" s="144" t="str">
        <f>IFERROR([1]!IntrinioFinancials(ticker,statement,F$9,type,$B26,rounding),"")</f>
        <v/>
      </c>
      <c r="G26" s="144" t="str">
        <f>IFERROR([1]!IntrinioFinancials(ticker,statement,G$9,type,$B26,rounding),"")</f>
        <v/>
      </c>
      <c r="H26" s="144" t="str">
        <f>IFERROR([1]!IntrinioFinancials(ticker,statement,H$9,type,$B26,rounding),"")</f>
        <v/>
      </c>
    </row>
    <row r="27" spans="1:8" ht="15.75" x14ac:dyDescent="0.5">
      <c r="A27" s="53" t="s">
        <v>49</v>
      </c>
      <c r="B27" s="42" t="s">
        <v>50</v>
      </c>
      <c r="C27" s="66"/>
      <c r="D27" s="144" t="str">
        <f>IFERROR([1]!IntrinioFinancials(ticker,statement,D$9,type,$B27,rounding),"")</f>
        <v/>
      </c>
      <c r="E27" s="144" t="str">
        <f>IFERROR([1]!IntrinioFinancials(ticker,statement,E$9,type,$B27,rounding),"")</f>
        <v/>
      </c>
      <c r="F27" s="144" t="str">
        <f>IFERROR([1]!IntrinioFinancials(ticker,statement,F$9,type,$B27,rounding),"")</f>
        <v/>
      </c>
      <c r="G27" s="144" t="str">
        <f>IFERROR([1]!IntrinioFinancials(ticker,statement,G$9,type,$B27,rounding),"")</f>
        <v/>
      </c>
      <c r="H27" s="144" t="str">
        <f>IFERROR([1]!IntrinioFinancials(ticker,statement,H$9,type,$B27,rounding),"")</f>
        <v/>
      </c>
    </row>
    <row r="28" spans="1:8" ht="15.75" x14ac:dyDescent="0.5">
      <c r="A28" s="53" t="s">
        <v>271</v>
      </c>
      <c r="B28" s="42" t="s">
        <v>51</v>
      </c>
      <c r="C28" s="66"/>
      <c r="D28" s="144" t="str">
        <f>IFERROR([1]!IntrinioFinancials(ticker,statement,D$9,type,$B28,rounding),"")</f>
        <v/>
      </c>
      <c r="E28" s="144" t="str">
        <f>IFERROR([1]!IntrinioFinancials(ticker,statement,E$9,type,$B28,rounding),"")</f>
        <v/>
      </c>
      <c r="F28" s="144" t="str">
        <f>IFERROR([1]!IntrinioFinancials(ticker,statement,F$9,type,$B28,rounding),"")</f>
        <v/>
      </c>
      <c r="G28" s="144" t="str">
        <f>IFERROR([1]!IntrinioFinancials(ticker,statement,G$9,type,$B28,rounding),"")</f>
        <v/>
      </c>
      <c r="H28" s="144" t="str">
        <f>IFERROR([1]!IntrinioFinancials(ticker,statement,H$9,type,$B28,rounding),"")</f>
        <v/>
      </c>
    </row>
    <row r="29" spans="1:8" ht="15.75" x14ac:dyDescent="0.5">
      <c r="A29" s="53" t="s">
        <v>52</v>
      </c>
      <c r="B29" s="42" t="s">
        <v>53</v>
      </c>
      <c r="C29" s="66"/>
      <c r="D29" s="144" t="str">
        <f>IFERROR([1]!IntrinioFinancials(ticker,statement,D$9,type,$B29,rounding),"")</f>
        <v/>
      </c>
      <c r="E29" s="144" t="str">
        <f>IFERROR([1]!IntrinioFinancials(ticker,statement,E$9,type,$B29,rounding),"")</f>
        <v/>
      </c>
      <c r="F29" s="144" t="str">
        <f>IFERROR([1]!IntrinioFinancials(ticker,statement,F$9,type,$B29,rounding),"")</f>
        <v/>
      </c>
      <c r="G29" s="144" t="str">
        <f>IFERROR([1]!IntrinioFinancials(ticker,statement,G$9,type,$B29,rounding),"")</f>
        <v/>
      </c>
      <c r="H29" s="144" t="str">
        <f>IFERROR([1]!IntrinioFinancials(ticker,statement,H$9,type,$B29,rounding),"")</f>
        <v/>
      </c>
    </row>
    <row r="30" spans="1:8" ht="15.75" x14ac:dyDescent="0.5">
      <c r="A30" s="53" t="s">
        <v>54</v>
      </c>
      <c r="B30" s="42" t="s">
        <v>55</v>
      </c>
      <c r="C30" s="66"/>
      <c r="D30" s="144" t="str">
        <f>IFERROR([1]!IntrinioFinancials(ticker,statement,D$9,type,$B30,rounding),"")</f>
        <v/>
      </c>
      <c r="E30" s="144" t="str">
        <f>IFERROR([1]!IntrinioFinancials(ticker,statement,E$9,type,$B30,rounding),"")</f>
        <v/>
      </c>
      <c r="F30" s="144" t="str">
        <f>IFERROR([1]!IntrinioFinancials(ticker,statement,F$9,type,$B30,rounding),"")</f>
        <v/>
      </c>
      <c r="G30" s="144" t="str">
        <f>IFERROR([1]!IntrinioFinancials(ticker,statement,G$9,type,$B30,rounding),"")</f>
        <v/>
      </c>
      <c r="H30" s="144" t="str">
        <f>IFERROR([1]!IntrinioFinancials(ticker,statement,H$9,type,$B30,rounding),"")</f>
        <v/>
      </c>
    </row>
    <row r="31" spans="1:8" ht="15.75" x14ac:dyDescent="0.5">
      <c r="A31" s="53" t="s">
        <v>272</v>
      </c>
      <c r="B31" s="42" t="s">
        <v>56</v>
      </c>
      <c r="C31" s="66"/>
      <c r="D31" s="144" t="str">
        <f>IFERROR([1]!IntrinioFinancials(ticker,statement,D$9,type,$B31,rounding),"")</f>
        <v/>
      </c>
      <c r="E31" s="144" t="str">
        <f>IFERROR([1]!IntrinioFinancials(ticker,statement,E$9,type,$B31,rounding),"")</f>
        <v/>
      </c>
      <c r="F31" s="144" t="str">
        <f>IFERROR([1]!IntrinioFinancials(ticker,statement,F$9,type,$B31,rounding),"")</f>
        <v/>
      </c>
      <c r="G31" s="144" t="str">
        <f>IFERROR([1]!IntrinioFinancials(ticker,statement,G$9,type,$B31,rounding),"")</f>
        <v/>
      </c>
      <c r="H31" s="144" t="str">
        <f>IFERROR([1]!IntrinioFinancials(ticker,statement,H$9,type,$B31,rounding),"")</f>
        <v/>
      </c>
    </row>
    <row r="32" spans="1:8" ht="15.75" x14ac:dyDescent="0.5">
      <c r="A32" s="48" t="s">
        <v>57</v>
      </c>
      <c r="B32" s="42" t="s">
        <v>58</v>
      </c>
      <c r="C32" s="42"/>
      <c r="D32" s="147" t="str">
        <f>IFERROR([1]!IntrinioFinancials(ticker,statement,D$9,type,$B32,rounding),"")</f>
        <v/>
      </c>
      <c r="E32" s="147" t="str">
        <f>IFERROR([1]!IntrinioFinancials(ticker,statement,E$9,type,$B32,rounding),"")</f>
        <v/>
      </c>
      <c r="F32" s="147" t="str">
        <f>IFERROR([1]!IntrinioFinancials(ticker,statement,F$9,type,$B32,rounding),"")</f>
        <v/>
      </c>
      <c r="G32" s="147" t="str">
        <f>IFERROR([1]!IntrinioFinancials(ticker,statement,G$9,type,$B32,rounding),"")</f>
        <v/>
      </c>
      <c r="H32" s="147" t="str">
        <f>IFERROR([1]!IntrinioFinancials(ticker,statement,H$9,type,$B32,rounding),"")</f>
        <v/>
      </c>
    </row>
    <row r="33" spans="1:8" ht="7.5" customHeight="1" x14ac:dyDescent="0.5">
      <c r="A33" s="54"/>
      <c r="B33" s="42"/>
      <c r="C33" s="42"/>
      <c r="D33" s="143"/>
      <c r="E33" s="143"/>
      <c r="F33" s="143"/>
      <c r="G33" s="143"/>
      <c r="H33" s="143"/>
    </row>
    <row r="34" spans="1:8" ht="15.75" x14ac:dyDescent="0.5">
      <c r="A34" s="48" t="s">
        <v>59</v>
      </c>
      <c r="B34" s="42" t="s">
        <v>60</v>
      </c>
      <c r="C34" s="66"/>
      <c r="D34" s="143" t="str">
        <f>IFERROR([1]!IntrinioFinancials(ticker,statement,D$9,type,$B34,rounding),"")</f>
        <v/>
      </c>
      <c r="E34" s="143" t="str">
        <f>IFERROR([1]!IntrinioFinancials(ticker,statement,E$9,type,$B34,rounding),"")</f>
        <v/>
      </c>
      <c r="F34" s="143" t="str">
        <f>IFERROR([1]!IntrinioFinancials(ticker,statement,F$9,type,$B34,rounding),"")</f>
        <v/>
      </c>
      <c r="G34" s="143" t="str">
        <f>IFERROR([1]!IntrinioFinancials(ticker,statement,G$9,type,$B34,rounding),"")</f>
        <v/>
      </c>
      <c r="H34" s="143" t="str">
        <f>IFERROR([1]!IntrinioFinancials(ticker,statement,H$9,type,$B34,rounding),"")</f>
        <v/>
      </c>
    </row>
    <row r="35" spans="1:8" ht="9" customHeight="1" x14ac:dyDescent="0.5">
      <c r="A35" s="55"/>
      <c r="B35" s="56"/>
      <c r="C35" s="66"/>
      <c r="D35" s="143"/>
      <c r="E35" s="143"/>
      <c r="F35" s="143"/>
      <c r="G35" s="143"/>
      <c r="H35" s="143"/>
    </row>
    <row r="36" spans="1:8" ht="15.75" x14ac:dyDescent="0.5">
      <c r="A36" s="53" t="s">
        <v>61</v>
      </c>
      <c r="B36" s="42" t="s">
        <v>62</v>
      </c>
      <c r="C36" s="66"/>
      <c r="D36" s="144" t="str">
        <f>IFERROR([1]!IntrinioFinancials(ticker,statement,D$9,type,$B36,rounding),"")</f>
        <v/>
      </c>
      <c r="E36" s="144" t="str">
        <f>IFERROR([1]!IntrinioFinancials(ticker,statement,E$9,type,$B36,rounding),"")</f>
        <v/>
      </c>
      <c r="F36" s="144" t="str">
        <f>IFERROR([1]!IntrinioFinancials(ticker,statement,F$9,type,$B36,rounding),"")</f>
        <v/>
      </c>
      <c r="G36" s="144" t="str">
        <f>IFERROR([1]!IntrinioFinancials(ticker,statement,G$9,type,$B36,rounding),"")</f>
        <v/>
      </c>
      <c r="H36" s="144" t="str">
        <f>IFERROR([1]!IntrinioFinancials(ticker,statement,H$9,type,$B36,rounding),"")</f>
        <v/>
      </c>
    </row>
    <row r="37" spans="1:8" ht="15.75" x14ac:dyDescent="0.5">
      <c r="A37" s="53" t="s">
        <v>273</v>
      </c>
      <c r="B37" s="42" t="s">
        <v>63</v>
      </c>
      <c r="C37" s="66"/>
      <c r="D37" s="144" t="str">
        <f>IFERROR([1]!IntrinioFinancials(ticker,statement,D$9,type,$B37,rounding),"")</f>
        <v/>
      </c>
      <c r="E37" s="144" t="str">
        <f>IFERROR([1]!IntrinioFinancials(ticker,statement,E$9,type,$B37,rounding),"")</f>
        <v/>
      </c>
      <c r="F37" s="144" t="str">
        <f>IFERROR([1]!IntrinioFinancials(ticker,statement,F$9,type,$B37,rounding),"")</f>
        <v/>
      </c>
      <c r="G37" s="144" t="str">
        <f>IFERROR([1]!IntrinioFinancials(ticker,statement,G$9,type,$B37,rounding),"")</f>
        <v/>
      </c>
      <c r="H37" s="144" t="str">
        <f>IFERROR([1]!IntrinioFinancials(ticker,statement,H$9,type,$B37,rounding),"")</f>
        <v/>
      </c>
    </row>
    <row r="38" spans="1:8" ht="15.75" x14ac:dyDescent="0.5">
      <c r="A38" s="53" t="s">
        <v>64</v>
      </c>
      <c r="B38" s="42" t="s">
        <v>65</v>
      </c>
      <c r="C38" s="66"/>
      <c r="D38" s="144" t="str">
        <f>IFERROR([1]!IntrinioFinancials(ticker,statement,D$9,type,$B38,rounding),"")</f>
        <v/>
      </c>
      <c r="E38" s="144" t="str">
        <f>IFERROR([1]!IntrinioFinancials(ticker,statement,E$9,type,$B38,rounding),"")</f>
        <v/>
      </c>
      <c r="F38" s="144" t="str">
        <f>IFERROR([1]!IntrinioFinancials(ticker,statement,F$9,type,$B38,rounding),"")</f>
        <v/>
      </c>
      <c r="G38" s="144" t="str">
        <f>IFERROR([1]!IntrinioFinancials(ticker,statement,G$9,type,$B38,rounding),"")</f>
        <v/>
      </c>
      <c r="H38" s="144" t="str">
        <f>IFERROR([1]!IntrinioFinancials(ticker,statement,H$9,type,$B38,rounding),"")</f>
        <v/>
      </c>
    </row>
    <row r="39" spans="1:8" ht="15.75" x14ac:dyDescent="0.5">
      <c r="A39" s="48" t="s">
        <v>66</v>
      </c>
      <c r="B39" s="42" t="s">
        <v>67</v>
      </c>
      <c r="C39" s="66"/>
      <c r="D39" s="147" t="str">
        <f>IFERROR([1]!IntrinioFinancials(ticker,statement,D$9,type,$B39,rounding),"")</f>
        <v/>
      </c>
      <c r="E39" s="147" t="str">
        <f>IFERROR([1]!IntrinioFinancials(ticker,statement,E$9,type,$B39,rounding),"")</f>
        <v/>
      </c>
      <c r="F39" s="147" t="str">
        <f>IFERROR([1]!IntrinioFinancials(ticker,statement,F$9,type,$B39,rounding),"")</f>
        <v/>
      </c>
      <c r="G39" s="147" t="str">
        <f>IFERROR([1]!IntrinioFinancials(ticker,statement,G$9,type,$B39,rounding),"")</f>
        <v/>
      </c>
      <c r="H39" s="147" t="str">
        <f>IFERROR([1]!IntrinioFinancials(ticker,statement,H$9,type,$B39,rounding),"")</f>
        <v/>
      </c>
    </row>
    <row r="40" spans="1:8" ht="7.5" customHeight="1" x14ac:dyDescent="0.5">
      <c r="A40" s="54"/>
      <c r="B40" s="42"/>
      <c r="C40" s="66"/>
      <c r="D40" s="143"/>
      <c r="E40" s="143"/>
      <c r="F40" s="143"/>
      <c r="G40" s="143"/>
      <c r="H40" s="143"/>
    </row>
    <row r="41" spans="1:8" ht="15.75" x14ac:dyDescent="0.5">
      <c r="A41" s="48" t="s">
        <v>68</v>
      </c>
      <c r="B41" s="42" t="s">
        <v>69</v>
      </c>
      <c r="C41" s="66"/>
      <c r="D41" s="143" t="str">
        <f>IFERROR([1]!IntrinioFinancials(ticker,statement,D$9,type,$B41,rounding),"")</f>
        <v/>
      </c>
      <c r="E41" s="143" t="str">
        <f>IFERROR([1]!IntrinioFinancials(ticker,statement,E$9,type,$B41,rounding),"")</f>
        <v/>
      </c>
      <c r="F41" s="143" t="str">
        <f>IFERROR([1]!IntrinioFinancials(ticker,statement,F$9,type,$B41,rounding),"")</f>
        <v/>
      </c>
      <c r="G41" s="143" t="str">
        <f>IFERROR([1]!IntrinioFinancials(ticker,statement,G$9,type,$B41,rounding),"")</f>
        <v/>
      </c>
      <c r="H41" s="143" t="str">
        <f>IFERROR([1]!IntrinioFinancials(ticker,statement,H$9,type,$B41,rounding),"")</f>
        <v/>
      </c>
    </row>
    <row r="42" spans="1:8" ht="8.25" customHeight="1" x14ac:dyDescent="0.5">
      <c r="A42" s="51"/>
      <c r="C42" s="66"/>
      <c r="D42" s="143"/>
      <c r="E42" s="143"/>
      <c r="F42" s="143"/>
      <c r="G42" s="143"/>
      <c r="H42" s="143"/>
    </row>
    <row r="43" spans="1:8" ht="15.75" x14ac:dyDescent="0.5">
      <c r="A43" s="53" t="s">
        <v>70</v>
      </c>
      <c r="B43" s="42" t="s">
        <v>71</v>
      </c>
      <c r="C43" s="66"/>
      <c r="D43" s="144" t="str">
        <f>IFERROR([1]!IntrinioFinancials(ticker,statement,D$9,type,$B43,rounding),"")</f>
        <v/>
      </c>
      <c r="E43" s="144" t="str">
        <f>IFERROR([1]!IntrinioFinancials(ticker,statement,E$9,type,$B43,rounding),"")</f>
        <v/>
      </c>
      <c r="F43" s="144" t="str">
        <f>IFERROR([1]!IntrinioFinancials(ticker,statement,F$9,type,$B43,rounding),"")</f>
        <v/>
      </c>
      <c r="G43" s="144" t="str">
        <f>IFERROR([1]!IntrinioFinancials(ticker,statement,G$9,type,$B43,rounding),"")</f>
        <v/>
      </c>
      <c r="H43" s="144" t="str">
        <f>IFERROR([1]!IntrinioFinancials(ticker,statement,H$9,type,$B43,rounding),"")</f>
        <v/>
      </c>
    </row>
    <row r="44" spans="1:8" ht="15.75" x14ac:dyDescent="0.5">
      <c r="A44" s="53" t="s">
        <v>72</v>
      </c>
      <c r="B44" s="42" t="s">
        <v>73</v>
      </c>
      <c r="C44" s="66"/>
      <c r="D44" s="146" t="str">
        <f>IFERROR([1]!IntrinioFinancials(ticker,statement,D$9,type,$B44,rounding),"")</f>
        <v/>
      </c>
      <c r="E44" s="146" t="str">
        <f>IFERROR([1]!IntrinioFinancials(ticker,statement,E$9,type,$B44,rounding),"")</f>
        <v/>
      </c>
      <c r="F44" s="146" t="str">
        <f>IFERROR([1]!IntrinioFinancials(ticker,statement,F$9,type,$B44,rounding),"")</f>
        <v/>
      </c>
      <c r="G44" s="146" t="str">
        <f>IFERROR([1]!IntrinioFinancials(ticker,statement,G$9,type,$B44,rounding),"")</f>
        <v/>
      </c>
      <c r="H44" s="146" t="str">
        <f>IFERROR([1]!IntrinioFinancials(ticker,statement,H$9,type,$B44,rounding),"")</f>
        <v/>
      </c>
    </row>
    <row r="45" spans="1:8" ht="7.5" customHeight="1" x14ac:dyDescent="0.5">
      <c r="A45" s="51"/>
      <c r="C45" s="42"/>
      <c r="D45" s="146"/>
      <c r="E45" s="146"/>
      <c r="F45" s="146"/>
      <c r="G45" s="146"/>
      <c r="H45" s="146"/>
    </row>
    <row r="46" spans="1:8" ht="15.75" x14ac:dyDescent="0.5">
      <c r="A46" s="48" t="s">
        <v>74</v>
      </c>
      <c r="B46" s="42" t="s">
        <v>75</v>
      </c>
      <c r="C46" s="42"/>
      <c r="D46" s="147" t="str">
        <f>IFERROR([1]!IntrinioFinancials(ticker,statement,D$9,type,$B46,rounding),"")</f>
        <v/>
      </c>
      <c r="E46" s="147" t="str">
        <f>IFERROR([1]!IntrinioFinancials(ticker,statement,E$9,type,$B46,rounding),"")</f>
        <v/>
      </c>
      <c r="F46" s="147" t="str">
        <f>IFERROR([1]!IntrinioFinancials(ticker,statement,F$9,type,$B46,rounding),"")</f>
        <v/>
      </c>
      <c r="G46" s="147" t="str">
        <f>IFERROR([1]!IntrinioFinancials(ticker,statement,G$9,type,$B46,rounding),"")</f>
        <v/>
      </c>
      <c r="H46" s="147" t="str">
        <f>IFERROR([1]!IntrinioFinancials(ticker,statement,H$9,type,$B46,rounding),"")</f>
        <v/>
      </c>
    </row>
    <row r="47" spans="1:8" ht="15.75" x14ac:dyDescent="0.5">
      <c r="A47" s="48" t="s">
        <v>76</v>
      </c>
      <c r="B47" s="42" t="s">
        <v>77</v>
      </c>
      <c r="C47" s="66"/>
      <c r="D47" s="143" t="str">
        <f>IFERROR([1]!IntrinioFinancials(ticker,statement,D$9,type,$B47,rounding),"")</f>
        <v/>
      </c>
      <c r="E47" s="143" t="str">
        <f>IFERROR([1]!IntrinioFinancials(ticker,statement,E$9,type,$B47,rounding),"")</f>
        <v/>
      </c>
      <c r="F47" s="143" t="str">
        <f>IFERROR([1]!IntrinioFinancials(ticker,statement,F$9,type,$B47,rounding),"")</f>
        <v/>
      </c>
      <c r="G47" s="143" t="str">
        <f>IFERROR([1]!IntrinioFinancials(ticker,statement,G$9,type,$B47,rounding),"")</f>
        <v/>
      </c>
      <c r="H47" s="143" t="str">
        <f>IFERROR([1]!IntrinioFinancials(ticker,statement,H$9,type,$B47,rounding),"")</f>
        <v/>
      </c>
    </row>
    <row r="48" spans="1:8" ht="8.25" customHeight="1" x14ac:dyDescent="0.5">
      <c r="A48" s="51"/>
      <c r="C48" s="66"/>
      <c r="D48" s="143"/>
      <c r="E48" s="143"/>
      <c r="F48" s="143"/>
      <c r="G48" s="143"/>
      <c r="H48" s="143"/>
    </row>
    <row r="49" spans="1:8" ht="15.75" x14ac:dyDescent="0.5">
      <c r="A49" s="53" t="s">
        <v>78</v>
      </c>
      <c r="B49" s="42" t="s">
        <v>79</v>
      </c>
      <c r="C49" s="66"/>
      <c r="D49" s="144" t="str">
        <f>IFERROR([1]!IntrinioFinancials(ticker,statement,D$9,type,$B49,rounding),"")</f>
        <v/>
      </c>
      <c r="E49" s="144" t="str">
        <f>IFERROR([1]!IntrinioFinancials(ticker,statement,E$9,type,$B49,rounding),"")</f>
        <v/>
      </c>
      <c r="F49" s="144" t="str">
        <f>IFERROR([1]!IntrinioFinancials(ticker,statement,F$9,type,$B49,rounding),"")</f>
        <v/>
      </c>
      <c r="G49" s="144" t="str">
        <f>IFERROR([1]!IntrinioFinancials(ticker,statement,G$9,type,$B49,rounding),"")</f>
        <v/>
      </c>
      <c r="H49" s="144" t="str">
        <f>IFERROR([1]!IntrinioFinancials(ticker,statement,H$9,type,$B49,rounding),"")</f>
        <v/>
      </c>
    </row>
    <row r="50" spans="1:8" ht="15.75" x14ac:dyDescent="0.5">
      <c r="A50" s="53" t="s">
        <v>80</v>
      </c>
      <c r="B50" s="42" t="s">
        <v>81</v>
      </c>
      <c r="C50" s="66"/>
      <c r="D50" s="146" t="str">
        <f>IFERROR([1]!IntrinioFinancials(ticker,statement,D$9,type,$B50,rounding),"")</f>
        <v/>
      </c>
      <c r="E50" s="146" t="str">
        <f>IFERROR([1]!IntrinioFinancials(ticker,statement,E$9,type,$B50,rounding),"")</f>
        <v/>
      </c>
      <c r="F50" s="146" t="str">
        <f>IFERROR([1]!IntrinioFinancials(ticker,statement,F$9,type,$B50,rounding),"")</f>
        <v/>
      </c>
      <c r="G50" s="146" t="str">
        <f>IFERROR([1]!IntrinioFinancials(ticker,statement,G$9,type,$B50,rounding),"")</f>
        <v/>
      </c>
      <c r="H50" s="146" t="str">
        <f>IFERROR([1]!IntrinioFinancials(ticker,statement,H$9,type,$B50,rounding),"")</f>
        <v/>
      </c>
    </row>
    <row r="51" spans="1:8" ht="7.5" customHeight="1" x14ac:dyDescent="0.5">
      <c r="A51" s="51"/>
      <c r="C51" s="66"/>
      <c r="D51" s="146"/>
      <c r="E51" s="146"/>
      <c r="F51" s="146"/>
      <c r="G51" s="146"/>
      <c r="H51" s="146"/>
    </row>
    <row r="52" spans="1:8" ht="16.149999999999999" thickBot="1" x14ac:dyDescent="0.55000000000000004">
      <c r="A52" s="48" t="s">
        <v>82</v>
      </c>
      <c r="B52" s="42" t="s">
        <v>83</v>
      </c>
      <c r="C52" s="56"/>
      <c r="D52" s="148" t="str">
        <f>IFERROR([1]!IntrinioFinancials(ticker,statement,D$9,type,$B52,rounding),"")</f>
        <v/>
      </c>
      <c r="E52" s="148" t="str">
        <f>IFERROR([1]!IntrinioFinancials(ticker,statement,E$9,type,$B52,rounding),"")</f>
        <v/>
      </c>
      <c r="F52" s="148" t="str">
        <f>IFERROR([1]!IntrinioFinancials(ticker,statement,F$9,type,$B52,rounding),"")</f>
        <v/>
      </c>
      <c r="G52" s="148" t="str">
        <f>IFERROR([1]!IntrinioFinancials(ticker,statement,G$9,type,$B52,rounding),"")</f>
        <v/>
      </c>
      <c r="H52" s="148" t="str">
        <f>IFERROR([1]!IntrinioFinancials(ticker,statement,H$9,type,$B52,rounding),"")</f>
        <v/>
      </c>
    </row>
    <row r="53" spans="1:8" ht="7.5" customHeight="1" thickTop="1" x14ac:dyDescent="0.5">
      <c r="A53" s="51"/>
      <c r="C53" s="66"/>
      <c r="D53" s="146"/>
      <c r="E53" s="146"/>
      <c r="F53" s="146"/>
      <c r="G53" s="146"/>
      <c r="H53" s="146"/>
    </row>
    <row r="54" spans="1:8" ht="15.75" x14ac:dyDescent="0.5">
      <c r="A54" s="55" t="s">
        <v>84</v>
      </c>
      <c r="B54" s="42" t="s">
        <v>85</v>
      </c>
      <c r="C54" s="66"/>
      <c r="D54" s="143" t="str">
        <f>IFERROR([1]!IntrinioFinancials(ticker,statement,D$9,type,$B54,rounding),"")</f>
        <v/>
      </c>
      <c r="E54" s="143" t="str">
        <f>IFERROR([1]!IntrinioFinancials(ticker,statement,E$9,type,$B54,rounding),"")</f>
        <v/>
      </c>
      <c r="F54" s="143" t="str">
        <f>IFERROR([1]!IntrinioFinancials(ticker,statement,F$9,type,$B54,rounding),"")</f>
        <v/>
      </c>
      <c r="G54" s="143" t="str">
        <f>IFERROR([1]!IntrinioFinancials(ticker,statement,G$9,type,$B54,rounding),"")</f>
        <v/>
      </c>
      <c r="H54" s="143" t="str">
        <f>IFERROR([1]!IntrinioFinancials(ticker,statement,H$9,type,$B54,rounding),"")</f>
        <v/>
      </c>
    </row>
    <row r="55" spans="1:8" ht="31.5" x14ac:dyDescent="0.5">
      <c r="A55" s="55" t="s">
        <v>86</v>
      </c>
      <c r="B55" s="42" t="s">
        <v>87</v>
      </c>
      <c r="C55" s="66"/>
      <c r="D55" s="143" t="str">
        <f>IFERROR([1]!IntrinioFinancials(ticker,statement,D$9,type,$B55,rounding),"")</f>
        <v/>
      </c>
      <c r="E55" s="143" t="str">
        <f>IFERROR([1]!IntrinioFinancials(ticker,statement,E$9,type,$B55,rounding),"")</f>
        <v/>
      </c>
      <c r="F55" s="143" t="str">
        <f>IFERROR([1]!IntrinioFinancials(ticker,statement,F$9,type,$B55,rounding),"")</f>
        <v/>
      </c>
      <c r="G55" s="143" t="str">
        <f>IFERROR([1]!IntrinioFinancials(ticker,statement,G$9,type,$B55,rounding),"")</f>
        <v/>
      </c>
      <c r="H55" s="143" t="str">
        <f>IFERROR([1]!IntrinioFinancials(ticker,statement,H$9,type,$B55,rounding),"")</f>
        <v/>
      </c>
    </row>
    <row r="56" spans="1:8" ht="31.5" x14ac:dyDescent="0.5">
      <c r="A56" s="57" t="s">
        <v>88</v>
      </c>
      <c r="B56" s="42" t="s">
        <v>89</v>
      </c>
      <c r="C56" s="66"/>
      <c r="D56" s="149" t="str">
        <f>IFERROR([1]!IntrinioFinancials(ticker,statement,D$9,type,$B56,rounding),"")</f>
        <v/>
      </c>
      <c r="E56" s="149" t="str">
        <f>IFERROR([1]!IntrinioFinancials(ticker,statement,E$9,type,$B56,rounding),"")</f>
        <v/>
      </c>
      <c r="F56" s="149" t="str">
        <f>IFERROR([1]!IntrinioFinancials(ticker,statement,F$9,type,$B56,rounding),"")</f>
        <v/>
      </c>
      <c r="G56" s="149" t="str">
        <f>IFERROR([1]!IntrinioFinancials(ticker,statement,G$9,type,$B56,rounding),"")</f>
        <v/>
      </c>
      <c r="H56" s="149" t="str">
        <f>IFERROR([1]!IntrinioFinancials(ticker,statement,H$9,type,$B56,rounding),"")</f>
        <v/>
      </c>
    </row>
    <row r="57" spans="1:8" ht="7.5" customHeight="1" x14ac:dyDescent="0.5">
      <c r="A57" s="51"/>
      <c r="C57" s="66"/>
      <c r="D57" s="146"/>
      <c r="E57" s="146"/>
      <c r="F57" s="146"/>
      <c r="G57" s="146"/>
      <c r="H57" s="146"/>
    </row>
    <row r="58" spans="1:8" ht="31.9" thickBot="1" x14ac:dyDescent="0.55000000000000004">
      <c r="A58" s="48" t="s">
        <v>90</v>
      </c>
      <c r="B58" s="42" t="s">
        <v>91</v>
      </c>
      <c r="D58" s="148" t="str">
        <f>IFERROR([1]!IntrinioFinancials(ticker,statement,D$9,type,$B58,rounding),"")</f>
        <v/>
      </c>
      <c r="E58" s="148" t="str">
        <f>IFERROR([1]!IntrinioFinancials(ticker,statement,E$9,type,$B58,rounding),"")</f>
        <v/>
      </c>
      <c r="F58" s="148" t="str">
        <f>IFERROR([1]!IntrinioFinancials(ticker,statement,F$9,type,$B58,rounding),"")</f>
        <v/>
      </c>
      <c r="G58" s="148" t="str">
        <f>IFERROR([1]!IntrinioFinancials(ticker,statement,G$9,type,$B58,rounding),"")</f>
        <v/>
      </c>
      <c r="H58" s="148" t="str">
        <f>IFERROR([1]!IntrinioFinancials(ticker,statement,H$9,type,$B58,rounding),"")</f>
        <v/>
      </c>
    </row>
    <row r="59" spans="1:8" ht="7.5" customHeight="1" thickTop="1" x14ac:dyDescent="0.5">
      <c r="A59" s="51"/>
      <c r="D59" s="146"/>
      <c r="E59" s="146"/>
      <c r="F59" s="146"/>
      <c r="G59" s="146"/>
      <c r="H59" s="146"/>
    </row>
    <row r="60" spans="1:8" ht="15.75" x14ac:dyDescent="0.5">
      <c r="A60" s="58" t="s">
        <v>92</v>
      </c>
      <c r="B60" s="59"/>
      <c r="D60" s="150"/>
      <c r="E60" s="150"/>
      <c r="F60" s="150"/>
      <c r="G60" s="150"/>
      <c r="H60" s="150"/>
    </row>
    <row r="61" spans="1:8" ht="15.75" x14ac:dyDescent="0.5">
      <c r="A61" s="55" t="s">
        <v>93</v>
      </c>
      <c r="B61" s="56" t="s">
        <v>94</v>
      </c>
      <c r="D61" s="144" t="str">
        <f>IFERROR([1]!IntrinioFinancials(ticker,statement,D$9,type,$B61,rounding),"")</f>
        <v/>
      </c>
      <c r="E61" s="144" t="str">
        <f>IFERROR([1]!IntrinioFinancials(ticker,statement,E$9,type,$B61,rounding),"")</f>
        <v/>
      </c>
      <c r="F61" s="144" t="str">
        <f>IFERROR([1]!IntrinioFinancials(ticker,statement,F$9,type,$B61,rounding),"")</f>
        <v/>
      </c>
      <c r="G61" s="144" t="str">
        <f>IFERROR([1]!IntrinioFinancials(ticker,statement,G$9,type,$B61,rounding),"")</f>
        <v/>
      </c>
      <c r="H61" s="144" t="str">
        <f>IFERROR([1]!IntrinioFinancials(ticker,statement,H$9,type,$B61,rounding),"")</f>
        <v/>
      </c>
    </row>
    <row r="62" spans="1:8" ht="15.75" x14ac:dyDescent="0.5">
      <c r="A62" s="57" t="s">
        <v>92</v>
      </c>
      <c r="B62" s="60" t="s">
        <v>95</v>
      </c>
      <c r="D62" s="151" t="str">
        <f>IFERROR([1]!IntrinioFinancials(ticker,statement,D$9,type,$B62,),"")</f>
        <v/>
      </c>
      <c r="E62" s="151" t="str">
        <f>IFERROR([1]!IntrinioFinancials(ticker,statement,E$9,type,$B62,),"")</f>
        <v/>
      </c>
      <c r="F62" s="151" t="str">
        <f>IFERROR([1]!IntrinioFinancials(ticker,statement,F$9,type,$B62,),"")</f>
        <v/>
      </c>
      <c r="G62" s="151" t="str">
        <f>IFERROR([1]!IntrinioFinancials(ticker,statement,G$9,type,$B62,),"")</f>
        <v/>
      </c>
      <c r="H62" s="151" t="str">
        <f>IFERROR([1]!IntrinioFinancials(ticker,statement,H$9,type,$B62,),"")</f>
        <v/>
      </c>
    </row>
    <row r="63" spans="1:8" ht="7.5" customHeight="1" x14ac:dyDescent="0.5">
      <c r="A63" s="51"/>
      <c r="D63" s="146"/>
      <c r="E63" s="146"/>
      <c r="F63" s="146"/>
      <c r="G63" s="146"/>
      <c r="H63" s="146"/>
    </row>
    <row r="64" spans="1:8" ht="15.75" x14ac:dyDescent="0.5">
      <c r="A64" s="58" t="s">
        <v>96</v>
      </c>
      <c r="B64" s="59"/>
      <c r="D64" s="152"/>
      <c r="E64" s="152"/>
      <c r="F64" s="152"/>
      <c r="G64" s="152"/>
      <c r="H64" s="152"/>
    </row>
    <row r="65" spans="1:8" ht="15.75" x14ac:dyDescent="0.5">
      <c r="A65" s="57" t="s">
        <v>97</v>
      </c>
      <c r="B65" s="60" t="s">
        <v>98</v>
      </c>
      <c r="D65" s="144" t="str">
        <f>IFERROR([1]!IntrinioFinancials(ticker,statement,D$9,type,$B65,rounding),"")</f>
        <v/>
      </c>
      <c r="E65" s="144" t="str">
        <f>IFERROR([1]!IntrinioFinancials(ticker,statement,E$9,type,$B65,rounding),"")</f>
        <v/>
      </c>
      <c r="F65" s="144" t="str">
        <f>IFERROR([1]!IntrinioFinancials(ticker,statement,F$9,type,$B65,rounding),"")</f>
        <v/>
      </c>
      <c r="G65" s="144" t="str">
        <f>IFERROR([1]!IntrinioFinancials(ticker,statement,G$9,type,$B65,rounding),"")</f>
        <v/>
      </c>
      <c r="H65" s="144" t="str">
        <f>IFERROR([1]!IntrinioFinancials(ticker,statement,H$9,type,$B65,rounding),"")</f>
        <v/>
      </c>
    </row>
    <row r="66" spans="1:8" ht="15.75" x14ac:dyDescent="0.5">
      <c r="A66" s="57" t="s">
        <v>96</v>
      </c>
      <c r="B66" s="60" t="s">
        <v>99</v>
      </c>
      <c r="D66" s="151" t="str">
        <f>IFERROR([1]!IntrinioFinancials(ticker,statement,D$9,type,$B66,),"")</f>
        <v/>
      </c>
      <c r="E66" s="151" t="str">
        <f>IFERROR([1]!IntrinioFinancials(ticker,statement,E$9,type,$B66,),"")</f>
        <v/>
      </c>
      <c r="F66" s="151" t="str">
        <f>IFERROR([1]!IntrinioFinancials(ticker,statement,F$9,type,$B66,),"")</f>
        <v/>
      </c>
      <c r="G66" s="151" t="str">
        <f>IFERROR([1]!IntrinioFinancials(ticker,statement,G$9,type,$B66,),"")</f>
        <v/>
      </c>
      <c r="H66" s="151" t="str">
        <f>IFERROR([1]!IntrinioFinancials(ticker,statement,H$9,type,$B66,),"")</f>
        <v/>
      </c>
    </row>
    <row r="67" spans="1:8" ht="7.5" customHeight="1" x14ac:dyDescent="0.5">
      <c r="A67" s="51"/>
      <c r="D67" s="146"/>
      <c r="E67" s="146"/>
      <c r="F67" s="146"/>
      <c r="G67" s="146"/>
      <c r="H67" s="146"/>
    </row>
    <row r="68" spans="1:8" ht="15.75" x14ac:dyDescent="0.5">
      <c r="A68" s="58" t="s">
        <v>100</v>
      </c>
      <c r="B68" s="59"/>
      <c r="D68" s="153"/>
      <c r="E68" s="153"/>
      <c r="F68" s="153"/>
      <c r="G68" s="153"/>
      <c r="H68" s="153"/>
    </row>
    <row r="69" spans="1:8" ht="15.75" x14ac:dyDescent="0.5">
      <c r="A69" s="57" t="s">
        <v>101</v>
      </c>
      <c r="B69" s="60" t="s">
        <v>102</v>
      </c>
      <c r="D69" s="151" t="str">
        <f>IFERROR([1]!IntrinioFinancials(ticker,statement,D$9,type,$B69,),"")</f>
        <v/>
      </c>
      <c r="E69" s="151" t="str">
        <f>IFERROR([1]!IntrinioFinancials(ticker,statement,E$9,type,$B69,),"")</f>
        <v/>
      </c>
      <c r="F69" s="151" t="str">
        <f>IFERROR([1]!IntrinioFinancials(ticker,statement,F$9,type,$B69,),"")</f>
        <v/>
      </c>
      <c r="G69" s="151" t="str">
        <f>IFERROR([1]!IntrinioFinancials(ticker,statement,G$9,type,$B69,),"")</f>
        <v/>
      </c>
      <c r="H69" s="151" t="str">
        <f>IFERROR([1]!IntrinioFinancials(ticker,statement,H$9,type,$B69,),"")</f>
        <v/>
      </c>
    </row>
    <row r="70" spans="1:8" ht="7.5" customHeight="1" x14ac:dyDescent="0.5">
      <c r="A70" s="51"/>
      <c r="D70" s="50"/>
      <c r="E70" s="50"/>
      <c r="F70" s="50"/>
      <c r="G70" s="50"/>
      <c r="H70" s="50"/>
    </row>
    <row r="71" spans="1:8" ht="15.75" x14ac:dyDescent="0.5">
      <c r="A71" s="57"/>
      <c r="B71" s="60"/>
      <c r="D71" s="61"/>
      <c r="E71" s="61"/>
      <c r="F71" s="61"/>
      <c r="G71" s="61"/>
      <c r="H71" s="61"/>
    </row>
    <row r="72" spans="1:8" ht="15.75" x14ac:dyDescent="0.5">
      <c r="A72" s="57"/>
      <c r="B72" s="60"/>
      <c r="D72" s="61"/>
      <c r="E72" s="61"/>
      <c r="F72" s="61"/>
      <c r="G72" s="61"/>
      <c r="H72" s="61"/>
    </row>
  </sheetData>
  <mergeCells count="1">
    <mergeCell ref="D1:H2"/>
  </mergeCells>
  <dataValidations count="1">
    <dataValidation type="list" allowBlank="1" showInputMessage="1" showErrorMessage="1" sqref="B8">
      <formula1>"FY,QTR,TTM,YTD"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/>
  </sheetPr>
  <dimension ref="A1:H92"/>
  <sheetViews>
    <sheetView showGridLines="0" zoomScale="90" zoomScaleNormal="90" zoomScalePageLayoutView="90" workbookViewId="0">
      <pane xSplit="2" ySplit="5" topLeftCell="C6" activePane="bottomRight" state="frozen"/>
      <selection activeCell="B7" sqref="B7"/>
      <selection pane="topRight" activeCell="B7" sqref="B7"/>
      <selection pane="bottomLeft" activeCell="B7" sqref="B7"/>
      <selection pane="bottomRight"/>
    </sheetView>
  </sheetViews>
  <sheetFormatPr defaultColWidth="9.1328125" defaultRowHeight="14.25" outlineLevelRow="1" outlineLevelCol="1" x14ac:dyDescent="0.45"/>
  <cols>
    <col min="1" max="1" width="49.86328125" bestFit="1" customWidth="1"/>
    <col min="2" max="2" width="35" style="49" customWidth="1" outlineLevel="1"/>
    <col min="3" max="3" width="3.3984375" style="49" customWidth="1"/>
    <col min="4" max="8" width="19.59765625" customWidth="1"/>
    <col min="9" max="13" width="13.86328125" customWidth="1"/>
    <col min="15" max="15" width="13.86328125" customWidth="1"/>
  </cols>
  <sheetData>
    <row r="1" spans="1:8" ht="26.25" customHeight="1" x14ac:dyDescent="0.65">
      <c r="A1" s="31" t="str">
        <f>[1]!IntrinioDataPoint(ticker,"name")</f>
        <v/>
      </c>
      <c r="B1" s="32"/>
      <c r="C1" s="32"/>
      <c r="D1" s="220"/>
      <c r="E1" s="220"/>
      <c r="F1" s="220"/>
      <c r="G1" s="220"/>
      <c r="H1" s="220"/>
    </row>
    <row r="2" spans="1:8" ht="16.5" customHeight="1" thickBot="1" x14ac:dyDescent="0.55000000000000004">
      <c r="A2" s="33" t="str">
        <f>[1]!IntrinioDataPoint(ticker,"stock_exchange")&amp;IF(ticker="","",": ") &amp;ticker</f>
        <v/>
      </c>
      <c r="B2" s="34"/>
      <c r="C2" s="34"/>
      <c r="D2" s="221"/>
      <c r="E2" s="221"/>
      <c r="F2" s="221"/>
      <c r="G2" s="221"/>
      <c r="H2" s="221"/>
    </row>
    <row r="3" spans="1:8" ht="15.75" x14ac:dyDescent="0.5">
      <c r="A3" s="35"/>
      <c r="B3" s="36"/>
      <c r="C3" s="36"/>
      <c r="D3" s="37" t="str">
        <f>IFERROR([1]!IntrinioFundamentals(ticker,statement,type,D$9,"end_date"),"")</f>
        <v/>
      </c>
      <c r="E3" s="37" t="str">
        <f>IFERROR([1]!IntrinioFundamentals(ticker,statement,type,E$9,"end_date"),"")</f>
        <v/>
      </c>
      <c r="F3" s="37" t="str">
        <f>IFERROR([1]!IntrinioFundamentals(ticker,statement,type,F$9,"end_date"),"")</f>
        <v/>
      </c>
      <c r="G3" s="37" t="str">
        <f>IFERROR([1]!IntrinioFundamentals(ticker,statement,type,G$9,"end_date"),"")</f>
        <v/>
      </c>
      <c r="H3" s="37" t="str">
        <f>IFERROR([1]!IntrinioFundamentals(ticker,statement,type,H$9,"end_date"),"")</f>
        <v/>
      </c>
    </row>
    <row r="4" spans="1:8" ht="15.75" x14ac:dyDescent="0.5">
      <c r="A4" s="35"/>
      <c r="B4" s="36"/>
      <c r="C4" s="36"/>
      <c r="D4" s="112" t="str">
        <f>IFERROR([1]!IntrinioFundamentals(ticker,statement,type,D$9,"fiscal_period"),"")</f>
        <v/>
      </c>
      <c r="E4" s="112" t="str">
        <f>IFERROR([1]!IntrinioFundamentals(ticker,statement,type,E$9,"fiscal_period"),"")</f>
        <v/>
      </c>
      <c r="F4" s="112" t="str">
        <f>IFERROR([1]!IntrinioFundamentals(ticker,statement,type,F$9,"fiscal_period"),"")</f>
        <v/>
      </c>
      <c r="G4" s="112" t="str">
        <f>IFERROR([1]!IntrinioFundamentals(ticker,statement,type,G$9,"fiscal_period"),"")</f>
        <v/>
      </c>
      <c r="H4" s="112" t="str">
        <f>IFERROR([1]!IntrinioFundamentals(ticker,statement,type,H$9,"fiscal_period"),"")</f>
        <v/>
      </c>
    </row>
    <row r="5" spans="1:8" ht="16.149999999999999" thickBot="1" x14ac:dyDescent="0.55000000000000004">
      <c r="A5" s="38" t="str">
        <f>"In "&amp;IF(rounding = "A","USD",IF(rounding = "K","Thousands of USD",IF(rounding = "M","Millions of USD",IF(rounding = "B","Billions of USD","USD"))))</f>
        <v>In Millions of USD</v>
      </c>
      <c r="B5" s="39" t="s">
        <v>17</v>
      </c>
      <c r="C5" s="39"/>
      <c r="D5" s="113" t="str">
        <f>IFERROR([1]!IntrinioFundamentals(ticker,statement,type,D$9,"fiscal_year"),"")</f>
        <v/>
      </c>
      <c r="E5" s="113" t="str">
        <f>IFERROR([1]!IntrinioFundamentals(ticker,statement,type,E$9,"fiscal_year"),"")</f>
        <v/>
      </c>
      <c r="F5" s="113" t="str">
        <f>IFERROR([1]!IntrinioFundamentals(ticker,statement,type,F$9,"fiscal_year"),"")</f>
        <v/>
      </c>
      <c r="G5" s="113" t="str">
        <f>IFERROR([1]!IntrinioFundamentals(ticker,statement,type,G$9,"fiscal_year"),"")</f>
        <v/>
      </c>
      <c r="H5" s="113" t="str">
        <f>IFERROR([1]!IntrinioFundamentals(ticker,statement,type,H$9,"fiscal_year"),"")</f>
        <v/>
      </c>
    </row>
    <row r="6" spans="1:8" ht="16.149999999999999" thickBot="1" x14ac:dyDescent="0.55000000000000004">
      <c r="A6" s="41"/>
      <c r="B6" s="42"/>
      <c r="C6" s="42"/>
      <c r="D6" s="43"/>
      <c r="E6" s="43"/>
      <c r="F6" s="43"/>
      <c r="G6" s="43"/>
      <c r="H6" s="43"/>
    </row>
    <row r="7" spans="1:8" ht="16.149999999999999" outlineLevel="1" thickBot="1" x14ac:dyDescent="0.55000000000000004">
      <c r="A7" s="44" t="s">
        <v>18</v>
      </c>
      <c r="B7" s="45" t="s">
        <v>103</v>
      </c>
      <c r="C7" s="76"/>
      <c r="D7" s="43"/>
      <c r="E7" s="43"/>
      <c r="F7" s="43"/>
      <c r="G7" s="43"/>
      <c r="H7" s="43"/>
    </row>
    <row r="8" spans="1:8" ht="16.149999999999999" outlineLevel="1" thickBot="1" x14ac:dyDescent="0.55000000000000004">
      <c r="A8" s="44" t="s">
        <v>20</v>
      </c>
      <c r="B8" s="45" t="s">
        <v>21</v>
      </c>
      <c r="C8" s="76"/>
      <c r="D8" s="43"/>
      <c r="E8" s="43"/>
      <c r="F8" s="43"/>
      <c r="G8" s="43"/>
    </row>
    <row r="9" spans="1:8" ht="15.75" outlineLevel="1" x14ac:dyDescent="0.5">
      <c r="A9" s="44" t="s">
        <v>22</v>
      </c>
      <c r="B9" s="42"/>
      <c r="C9" s="42"/>
      <c r="D9" s="43">
        <f>+E9+1</f>
        <v>4</v>
      </c>
      <c r="E9" s="43">
        <f>+F9+1</f>
        <v>3</v>
      </c>
      <c r="F9" s="43">
        <f>+G9+1</f>
        <v>2</v>
      </c>
      <c r="G9" s="43">
        <f>+H9+1</f>
        <v>1</v>
      </c>
      <c r="H9" s="43">
        <v>0</v>
      </c>
    </row>
    <row r="10" spans="1:8" ht="15.75" outlineLevel="1" x14ac:dyDescent="0.5">
      <c r="A10" s="46"/>
      <c r="B10" s="42"/>
      <c r="C10" s="42"/>
      <c r="D10" s="43"/>
      <c r="E10" s="43"/>
      <c r="F10" s="43"/>
      <c r="G10" s="43"/>
      <c r="H10" s="43"/>
    </row>
    <row r="11" spans="1:8" ht="15.75" x14ac:dyDescent="0.5">
      <c r="A11" s="62" t="s">
        <v>104</v>
      </c>
      <c r="B11" s="62"/>
      <c r="C11" s="64"/>
      <c r="D11" s="41"/>
      <c r="E11" s="41"/>
      <c r="F11" s="41"/>
      <c r="G11" s="41"/>
      <c r="H11" s="41"/>
    </row>
    <row r="12" spans="1:8" ht="15.75" x14ac:dyDescent="0.5">
      <c r="A12" s="63" t="s">
        <v>105</v>
      </c>
      <c r="B12" s="64"/>
      <c r="C12" s="66"/>
      <c r="D12" s="6"/>
      <c r="E12" s="6"/>
      <c r="F12" s="6"/>
      <c r="G12" s="6"/>
      <c r="H12" s="6"/>
    </row>
    <row r="13" spans="1:8" ht="15.75" x14ac:dyDescent="0.5">
      <c r="A13" s="65" t="s">
        <v>106</v>
      </c>
      <c r="B13" s="66" t="s">
        <v>107</v>
      </c>
      <c r="C13" s="66"/>
      <c r="D13" s="154" t="str">
        <f>IFERROR([1]!IntrinioFinancials(ticker,statement,D$9,type,$B13,rounding),"")</f>
        <v/>
      </c>
      <c r="E13" s="154" t="str">
        <f>IFERROR([1]!IntrinioFinancials(ticker,statement,E$9,type,$B13,rounding),"")</f>
        <v/>
      </c>
      <c r="F13" s="154" t="str">
        <f>IFERROR([1]!IntrinioFinancials(ticker,statement,F$9,type,$B13,rounding),"")</f>
        <v/>
      </c>
      <c r="G13" s="154" t="str">
        <f>IFERROR([1]!IntrinioFinancials(ticker,statement,G$9,type,$B13,rounding),"")</f>
        <v/>
      </c>
      <c r="H13" s="154" t="str">
        <f>IFERROR([1]!IntrinioFinancials(ticker,statement,H$9,type,$B13,rounding),"")</f>
        <v/>
      </c>
    </row>
    <row r="14" spans="1:8" ht="15.75" x14ac:dyDescent="0.5">
      <c r="A14" s="65" t="s">
        <v>108</v>
      </c>
      <c r="B14" s="66" t="s">
        <v>109</v>
      </c>
      <c r="C14" s="66"/>
      <c r="D14" s="154" t="str">
        <f>IFERROR([1]!IntrinioFinancials(ticker,statement,D$9,type,$B14,rounding),"")</f>
        <v/>
      </c>
      <c r="E14" s="154" t="str">
        <f>IFERROR([1]!IntrinioFinancials(ticker,statement,E$9,type,$B14,rounding),"")</f>
        <v/>
      </c>
      <c r="F14" s="154" t="str">
        <f>IFERROR([1]!IntrinioFinancials(ticker,statement,F$9,type,$B14,rounding),"")</f>
        <v/>
      </c>
      <c r="G14" s="154" t="str">
        <f>IFERROR([1]!IntrinioFinancials(ticker,statement,G$9,type,$B14,rounding),"")</f>
        <v/>
      </c>
      <c r="H14" s="154" t="str">
        <f>IFERROR([1]!IntrinioFinancials(ticker,statement,H$9,type,$B14,rounding),"")</f>
        <v/>
      </c>
    </row>
    <row r="15" spans="1:8" ht="15.75" x14ac:dyDescent="0.5">
      <c r="A15" s="65" t="s">
        <v>110</v>
      </c>
      <c r="B15" s="66" t="s">
        <v>111</v>
      </c>
      <c r="C15" s="66"/>
      <c r="D15" s="154" t="str">
        <f>IFERROR([1]!IntrinioFinancials(ticker,statement,D$9,type,$B15,rounding),"")</f>
        <v/>
      </c>
      <c r="E15" s="154" t="str">
        <f>IFERROR([1]!IntrinioFinancials(ticker,statement,E$9,type,$B15,rounding),"")</f>
        <v/>
      </c>
      <c r="F15" s="154" t="str">
        <f>IFERROR([1]!IntrinioFinancials(ticker,statement,F$9,type,$B15,rounding),"")</f>
        <v/>
      </c>
      <c r="G15" s="154" t="str">
        <f>IFERROR([1]!IntrinioFinancials(ticker,statement,G$9,type,$B15,rounding),"")</f>
        <v/>
      </c>
      <c r="H15" s="154" t="str">
        <f>IFERROR([1]!IntrinioFinancials(ticker,statement,H$9,type,$B15,rounding),"")</f>
        <v/>
      </c>
    </row>
    <row r="16" spans="1:8" ht="15.75" x14ac:dyDescent="0.5">
      <c r="A16" s="65" t="s">
        <v>274</v>
      </c>
      <c r="B16" s="66" t="s">
        <v>112</v>
      </c>
      <c r="C16" s="66"/>
      <c r="D16" s="154" t="str">
        <f>IFERROR([1]!IntrinioFinancials(ticker,statement,D$9,type,$B16,rounding),"")</f>
        <v/>
      </c>
      <c r="E16" s="154" t="str">
        <f>IFERROR([1]!IntrinioFinancials(ticker,statement,E$9,type,$B16,rounding),"")</f>
        <v/>
      </c>
      <c r="F16" s="154" t="str">
        <f>IFERROR([1]!IntrinioFinancials(ticker,statement,F$9,type,$B16,rounding),"")</f>
        <v/>
      </c>
      <c r="G16" s="154" t="str">
        <f>IFERROR([1]!IntrinioFinancials(ticker,statement,G$9,type,$B16,rounding),"")</f>
        <v/>
      </c>
      <c r="H16" s="154" t="str">
        <f>IFERROR([1]!IntrinioFinancials(ticker,statement,H$9,type,$B16,rounding),"")</f>
        <v/>
      </c>
    </row>
    <row r="17" spans="1:8" ht="15.75" x14ac:dyDescent="0.5">
      <c r="A17" s="65" t="s">
        <v>113</v>
      </c>
      <c r="B17" s="66" t="s">
        <v>114</v>
      </c>
      <c r="C17" s="66"/>
      <c r="D17" s="154" t="str">
        <f>IFERROR([1]!IntrinioFinancials(ticker,statement,D$9,type,$B17,rounding),"")</f>
        <v/>
      </c>
      <c r="E17" s="154" t="str">
        <f>IFERROR([1]!IntrinioFinancials(ticker,statement,E$9,type,$B17,rounding),"")</f>
        <v/>
      </c>
      <c r="F17" s="154" t="str">
        <f>IFERROR([1]!IntrinioFinancials(ticker,statement,F$9,type,$B17,rounding),"")</f>
        <v/>
      </c>
      <c r="G17" s="154" t="str">
        <f>IFERROR([1]!IntrinioFinancials(ticker,statement,G$9,type,$B17,rounding),"")</f>
        <v/>
      </c>
      <c r="H17" s="154" t="str">
        <f>IFERROR([1]!IntrinioFinancials(ticker,statement,H$9,type,$B17,rounding),"")</f>
        <v/>
      </c>
    </row>
    <row r="18" spans="1:8" ht="15.75" x14ac:dyDescent="0.5">
      <c r="A18" s="65" t="s">
        <v>115</v>
      </c>
      <c r="B18" s="66" t="s">
        <v>116</v>
      </c>
      <c r="C18" s="66"/>
      <c r="D18" s="154" t="str">
        <f>IFERROR([1]!IntrinioFinancials(ticker,statement,D$9,type,$B18,rounding),"")</f>
        <v/>
      </c>
      <c r="E18" s="154" t="str">
        <f>IFERROR([1]!IntrinioFinancials(ticker,statement,E$9,type,$B18,rounding),"")</f>
        <v/>
      </c>
      <c r="F18" s="154" t="str">
        <f>IFERROR([1]!IntrinioFinancials(ticker,statement,F$9,type,$B18,rounding),"")</f>
        <v/>
      </c>
      <c r="G18" s="154" t="str">
        <f>IFERROR([1]!IntrinioFinancials(ticker,statement,G$9,type,$B18,rounding),"")</f>
        <v/>
      </c>
      <c r="H18" s="154" t="str">
        <f>IFERROR([1]!IntrinioFinancials(ticker,statement,H$9,type,$B18,rounding),"")</f>
        <v/>
      </c>
    </row>
    <row r="19" spans="1:8" ht="15.75" x14ac:dyDescent="0.5">
      <c r="A19" s="65" t="s">
        <v>117</v>
      </c>
      <c r="B19" s="66" t="s">
        <v>118</v>
      </c>
      <c r="C19" s="66"/>
      <c r="D19" s="154" t="str">
        <f>IFERROR([1]!IntrinioFinancials(ticker,statement,D$9,type,$B19,rounding),"")</f>
        <v/>
      </c>
      <c r="E19" s="154" t="str">
        <f>IFERROR([1]!IntrinioFinancials(ticker,statement,E$9,type,$B19,rounding),"")</f>
        <v/>
      </c>
      <c r="F19" s="154" t="str">
        <f>IFERROR([1]!IntrinioFinancials(ticker,statement,F$9,type,$B19,rounding),"")</f>
        <v/>
      </c>
      <c r="G19" s="154" t="str">
        <f>IFERROR([1]!IntrinioFinancials(ticker,statement,G$9,type,$B19,rounding),"")</f>
        <v/>
      </c>
      <c r="H19" s="154" t="str">
        <f>IFERROR([1]!IntrinioFinancials(ticker,statement,H$9,type,$B19,rounding),"")</f>
        <v/>
      </c>
    </row>
    <row r="20" spans="1:8" ht="15.75" x14ac:dyDescent="0.5">
      <c r="A20" s="65" t="s">
        <v>275</v>
      </c>
      <c r="B20" s="66" t="s">
        <v>276</v>
      </c>
      <c r="C20" s="66"/>
      <c r="D20" s="154" t="str">
        <f>IFERROR([1]!IntrinioFinancials(ticker,statement,D$9,type,$B20,rounding),"")</f>
        <v/>
      </c>
      <c r="E20" s="154" t="str">
        <f>IFERROR([1]!IntrinioFinancials(ticker,statement,E$9,type,$B20,rounding),"")</f>
        <v/>
      </c>
      <c r="F20" s="154" t="str">
        <f>IFERROR([1]!IntrinioFinancials(ticker,statement,F$9,type,$B20,rounding),"")</f>
        <v/>
      </c>
      <c r="G20" s="154" t="str">
        <f>IFERROR([1]!IntrinioFinancials(ticker,statement,G$9,type,$B20,rounding),"")</f>
        <v/>
      </c>
      <c r="H20" s="154" t="str">
        <f>IFERROR([1]!IntrinioFinancials(ticker,statement,H$9,type,$B20,rounding),"")</f>
        <v/>
      </c>
    </row>
    <row r="21" spans="1:8" ht="15.75" x14ac:dyDescent="0.5">
      <c r="A21" s="65" t="s">
        <v>119</v>
      </c>
      <c r="B21" s="66" t="s">
        <v>120</v>
      </c>
      <c r="C21" s="42"/>
      <c r="D21" s="154" t="str">
        <f>IFERROR([1]!IntrinioFinancials(ticker,statement,D$9,type,$B21,rounding),"")</f>
        <v/>
      </c>
      <c r="E21" s="154" t="str">
        <f>IFERROR([1]!IntrinioFinancials(ticker,statement,E$9,type,$B21,rounding),"")</f>
        <v/>
      </c>
      <c r="F21" s="154" t="str">
        <f>IFERROR([1]!IntrinioFinancials(ticker,statement,F$9,type,$B21,rounding),"")</f>
        <v/>
      </c>
      <c r="G21" s="154" t="str">
        <f>IFERROR([1]!IntrinioFinancials(ticker,statement,G$9,type,$B21,rounding),"")</f>
        <v/>
      </c>
      <c r="H21" s="154" t="str">
        <f>IFERROR([1]!IntrinioFinancials(ticker,statement,H$9,type,$B21,rounding),"")</f>
        <v/>
      </c>
    </row>
    <row r="22" spans="1:8" ht="15.75" x14ac:dyDescent="0.5">
      <c r="A22" s="65" t="s">
        <v>121</v>
      </c>
      <c r="B22" s="66" t="s">
        <v>122</v>
      </c>
      <c r="C22" s="42"/>
      <c r="D22" s="154" t="str">
        <f>IFERROR([1]!IntrinioFinancials(ticker,statement,D$9,type,$B22,rounding),"")</f>
        <v/>
      </c>
      <c r="E22" s="154" t="str">
        <f>IFERROR([1]!IntrinioFinancials(ticker,statement,E$9,type,$B22,rounding),"")</f>
        <v/>
      </c>
      <c r="F22" s="154" t="str">
        <f>IFERROR([1]!IntrinioFinancials(ticker,statement,F$9,type,$B22,rounding),"")</f>
        <v/>
      </c>
      <c r="G22" s="154" t="str">
        <f>IFERROR([1]!IntrinioFinancials(ticker,statement,G$9,type,$B22,rounding),"")</f>
        <v/>
      </c>
      <c r="H22" s="154" t="str">
        <f>IFERROR([1]!IntrinioFinancials(ticker,statement,H$9,type,$B22,rounding),"")</f>
        <v/>
      </c>
    </row>
    <row r="23" spans="1:8" ht="15.75" x14ac:dyDescent="0.5">
      <c r="A23" s="67" t="s">
        <v>123</v>
      </c>
      <c r="B23" s="66" t="s">
        <v>124</v>
      </c>
      <c r="C23" s="66"/>
      <c r="D23" s="147" t="str">
        <f>IFERROR([1]!IntrinioFinancials(ticker,statement,D$9,type,$B23,rounding),"")</f>
        <v/>
      </c>
      <c r="E23" s="147" t="str">
        <f>IFERROR([1]!IntrinioFinancials(ticker,statement,E$9,type,$B23,rounding),"")</f>
        <v/>
      </c>
      <c r="F23" s="147" t="str">
        <f>IFERROR([1]!IntrinioFinancials(ticker,statement,F$9,type,$B23,rounding),"")</f>
        <v/>
      </c>
      <c r="G23" s="147" t="str">
        <f>IFERROR([1]!IntrinioFinancials(ticker,statement,G$9,type,$B23,rounding),"")</f>
        <v/>
      </c>
      <c r="H23" s="147" t="str">
        <f>IFERROR([1]!IntrinioFinancials(ticker,statement,H$9,type,$B23,rounding),"")</f>
        <v/>
      </c>
    </row>
    <row r="24" spans="1:8" ht="15.75" x14ac:dyDescent="0.5">
      <c r="A24" s="41"/>
      <c r="B24" s="43"/>
      <c r="C24" s="66"/>
      <c r="D24" s="144"/>
      <c r="E24" s="144"/>
      <c r="F24" s="144"/>
      <c r="G24" s="144"/>
      <c r="H24" s="144"/>
    </row>
    <row r="25" spans="1:8" ht="15.75" x14ac:dyDescent="0.5">
      <c r="A25" s="68" t="s">
        <v>125</v>
      </c>
      <c r="B25" s="69"/>
      <c r="C25" s="66"/>
      <c r="D25" s="143"/>
      <c r="E25" s="143"/>
      <c r="F25" s="143"/>
      <c r="G25" s="143"/>
      <c r="H25" s="143"/>
    </row>
    <row r="26" spans="1:8" ht="15.75" x14ac:dyDescent="0.5">
      <c r="A26" s="65" t="s">
        <v>126</v>
      </c>
      <c r="B26" s="66" t="s">
        <v>127</v>
      </c>
      <c r="C26" s="66"/>
      <c r="D26" s="144" t="str">
        <f>IFERROR([1]!IntrinioFinancials(ticker,statement,D$9,type,$B26,rounding),"")</f>
        <v/>
      </c>
      <c r="E26" s="144" t="str">
        <f>IFERROR([1]!IntrinioFinancials(ticker,statement,E$9,type,$B26,rounding),"")</f>
        <v/>
      </c>
      <c r="F26" s="144" t="str">
        <f>IFERROR([1]!IntrinioFinancials(ticker,statement,F$9,type,$B26,rounding),"")</f>
        <v/>
      </c>
      <c r="G26" s="144" t="str">
        <f>IFERROR([1]!IntrinioFinancials(ticker,statement,G$9,type,$B26,rounding),"")</f>
        <v/>
      </c>
      <c r="H26" s="144" t="str">
        <f>IFERROR([1]!IntrinioFinancials(ticker,statement,H$9,type,$B26,rounding),"")</f>
        <v/>
      </c>
    </row>
    <row r="27" spans="1:8" ht="15.75" x14ac:dyDescent="0.5">
      <c r="A27" s="65" t="s">
        <v>128</v>
      </c>
      <c r="B27" s="66" t="s">
        <v>129</v>
      </c>
      <c r="C27" s="66"/>
      <c r="D27" s="144" t="str">
        <f>IFERROR([1]!IntrinioFinancials(ticker,statement,D$9,type,$B27,rounding),"")</f>
        <v/>
      </c>
      <c r="E27" s="144" t="str">
        <f>IFERROR([1]!IntrinioFinancials(ticker,statement,E$9,type,$B27,rounding),"")</f>
        <v/>
      </c>
      <c r="F27" s="144" t="str">
        <f>IFERROR([1]!IntrinioFinancials(ticker,statement,F$9,type,$B27,rounding),"")</f>
        <v/>
      </c>
      <c r="G27" s="144" t="str">
        <f>IFERROR([1]!IntrinioFinancials(ticker,statement,G$9,type,$B27,rounding),"")</f>
        <v/>
      </c>
      <c r="H27" s="144" t="str">
        <f>IFERROR([1]!IntrinioFinancials(ticker,statement,H$9,type,$B27,rounding),"")</f>
        <v/>
      </c>
    </row>
    <row r="28" spans="1:8" ht="15.75" x14ac:dyDescent="0.5">
      <c r="A28" s="67" t="s">
        <v>130</v>
      </c>
      <c r="B28" s="66" t="s">
        <v>131</v>
      </c>
      <c r="C28" s="66"/>
      <c r="D28" s="147" t="str">
        <f>IFERROR([1]!IntrinioFinancials(ticker,statement,D$9,type,$B28,rounding),"")</f>
        <v/>
      </c>
      <c r="E28" s="147" t="str">
        <f>IFERROR([1]!IntrinioFinancials(ticker,statement,E$9,type,$B28,rounding),"")</f>
        <v/>
      </c>
      <c r="F28" s="147" t="str">
        <f>IFERROR([1]!IntrinioFinancials(ticker,statement,F$9,type,$B28,rounding),"")</f>
        <v/>
      </c>
      <c r="G28" s="147" t="str">
        <f>IFERROR([1]!IntrinioFinancials(ticker,statement,G$9,type,$B28,rounding),"")</f>
        <v/>
      </c>
      <c r="H28" s="147" t="str">
        <f>IFERROR([1]!IntrinioFinancials(ticker,statement,H$9,type,$B28,rounding),"")</f>
        <v/>
      </c>
    </row>
    <row r="29" spans="1:8" ht="15.75" x14ac:dyDescent="0.5">
      <c r="A29" s="70"/>
      <c r="B29" s="43"/>
      <c r="C29" s="66"/>
      <c r="D29" s="143"/>
      <c r="E29" s="143"/>
      <c r="F29" s="143"/>
      <c r="G29" s="143"/>
      <c r="H29" s="143"/>
    </row>
    <row r="30" spans="1:8" ht="15.75" x14ac:dyDescent="0.5">
      <c r="A30" s="68" t="s">
        <v>132</v>
      </c>
      <c r="B30" s="69"/>
      <c r="C30" s="66"/>
      <c r="D30" s="143"/>
      <c r="E30" s="143"/>
      <c r="F30" s="143"/>
      <c r="G30" s="143"/>
      <c r="H30" s="143"/>
    </row>
    <row r="31" spans="1:8" ht="15.75" x14ac:dyDescent="0.5">
      <c r="A31" s="65" t="s">
        <v>133</v>
      </c>
      <c r="B31" s="66" t="s">
        <v>134</v>
      </c>
      <c r="C31" s="66"/>
      <c r="D31" s="144" t="str">
        <f>IFERROR([1]!IntrinioFinancials(ticker,statement,D$9,type,$B31,rounding),"")</f>
        <v/>
      </c>
      <c r="E31" s="144" t="str">
        <f>IFERROR([1]!IntrinioFinancials(ticker,statement,E$9,type,$B31,rounding),"")</f>
        <v/>
      </c>
      <c r="F31" s="144" t="str">
        <f>IFERROR([1]!IntrinioFinancials(ticker,statement,F$9,type,$B31,rounding),"")</f>
        <v/>
      </c>
      <c r="G31" s="144" t="str">
        <f>IFERROR([1]!IntrinioFinancials(ticker,statement,G$9,type,$B31,rounding),"")</f>
        <v/>
      </c>
      <c r="H31" s="144" t="str">
        <f>IFERROR([1]!IntrinioFinancials(ticker,statement,H$9,type,$B31,rounding),"")</f>
        <v/>
      </c>
    </row>
    <row r="32" spans="1:8" ht="15.75" x14ac:dyDescent="0.5">
      <c r="A32" s="65" t="s">
        <v>277</v>
      </c>
      <c r="B32" s="66" t="s">
        <v>278</v>
      </c>
      <c r="C32" s="66"/>
      <c r="D32" s="144" t="str">
        <f>IFERROR([1]!IntrinioFinancials(ticker,statement,D$9,type,$B32,rounding),"")</f>
        <v/>
      </c>
      <c r="E32" s="144" t="str">
        <f>IFERROR([1]!IntrinioFinancials(ticker,statement,E$9,type,$B32,rounding),"")</f>
        <v/>
      </c>
      <c r="F32" s="144" t="str">
        <f>IFERROR([1]!IntrinioFinancials(ticker,statement,F$9,type,$B32,rounding),"")</f>
        <v/>
      </c>
      <c r="G32" s="144" t="str">
        <f>IFERROR([1]!IntrinioFinancials(ticker,statement,G$9,type,$B32,rounding),"")</f>
        <v/>
      </c>
      <c r="H32" s="144" t="str">
        <f>IFERROR([1]!IntrinioFinancials(ticker,statement,H$9,type,$B32,rounding),"")</f>
        <v/>
      </c>
    </row>
    <row r="33" spans="1:8" ht="15.75" x14ac:dyDescent="0.5">
      <c r="A33" s="65" t="s">
        <v>135</v>
      </c>
      <c r="B33" s="66" t="s">
        <v>136</v>
      </c>
      <c r="C33" s="66"/>
      <c r="D33" s="144" t="str">
        <f>IFERROR([1]!IntrinioFinancials(ticker,statement,D$9,type,$B33,rounding),"")</f>
        <v/>
      </c>
      <c r="E33" s="144" t="str">
        <f>IFERROR([1]!IntrinioFinancials(ticker,statement,E$9,type,$B33,rounding),"")</f>
        <v/>
      </c>
      <c r="F33" s="144" t="str">
        <f>IFERROR([1]!IntrinioFinancials(ticker,statement,F$9,type,$B33,rounding),"")</f>
        <v/>
      </c>
      <c r="G33" s="144" t="str">
        <f>IFERROR([1]!IntrinioFinancials(ticker,statement,G$9,type,$B33,rounding),"")</f>
        <v/>
      </c>
      <c r="H33" s="144" t="str">
        <f>IFERROR([1]!IntrinioFinancials(ticker,statement,H$9,type,$B33,rounding),"")</f>
        <v/>
      </c>
    </row>
    <row r="34" spans="1:8" ht="15.75" x14ac:dyDescent="0.5">
      <c r="A34" s="65" t="s">
        <v>137</v>
      </c>
      <c r="B34" s="66" t="s">
        <v>138</v>
      </c>
      <c r="C34" s="66"/>
      <c r="D34" s="144" t="str">
        <f>IFERROR([1]!IntrinioFinancials(ticker,statement,D$9,type,$B34,rounding),"")</f>
        <v/>
      </c>
      <c r="E34" s="144" t="str">
        <f>IFERROR([1]!IntrinioFinancials(ticker,statement,E$9,type,$B34,rounding),"")</f>
        <v/>
      </c>
      <c r="F34" s="144" t="str">
        <f>IFERROR([1]!IntrinioFinancials(ticker,statement,F$9,type,$B34,rounding),"")</f>
        <v/>
      </c>
      <c r="G34" s="144" t="str">
        <f>IFERROR([1]!IntrinioFinancials(ticker,statement,G$9,type,$B34,rounding),"")</f>
        <v/>
      </c>
      <c r="H34" s="144" t="str">
        <f>IFERROR([1]!IntrinioFinancials(ticker,statement,H$9,type,$B34,rounding),"")</f>
        <v/>
      </c>
    </row>
    <row r="35" spans="1:8" ht="15.75" x14ac:dyDescent="0.5">
      <c r="A35" s="65" t="s">
        <v>279</v>
      </c>
      <c r="B35" s="66" t="s">
        <v>280</v>
      </c>
      <c r="C35" s="66"/>
      <c r="D35" s="144" t="str">
        <f>IFERROR([1]!IntrinioFinancials(ticker,statement,D$9,type,$B35,rounding),"")</f>
        <v/>
      </c>
      <c r="E35" s="144" t="str">
        <f>IFERROR([1]!IntrinioFinancials(ticker,statement,E$9,type,$B35,rounding),"")</f>
        <v/>
      </c>
      <c r="F35" s="144" t="str">
        <f>IFERROR([1]!IntrinioFinancials(ticker,statement,F$9,type,$B35,rounding),"")</f>
        <v/>
      </c>
      <c r="G35" s="144" t="str">
        <f>IFERROR([1]!IntrinioFinancials(ticker,statement,G$9,type,$B35,rounding),"")</f>
        <v/>
      </c>
      <c r="H35" s="144" t="str">
        <f>IFERROR([1]!IntrinioFinancials(ticker,statement,H$9,type,$B35,rounding),"")</f>
        <v/>
      </c>
    </row>
    <row r="36" spans="1:8" ht="15.75" x14ac:dyDescent="0.5">
      <c r="A36" s="65" t="s">
        <v>281</v>
      </c>
      <c r="B36" s="66" t="s">
        <v>282</v>
      </c>
      <c r="C36" s="42"/>
      <c r="D36" s="144" t="str">
        <f>IFERROR([1]!IntrinioFinancials(ticker,statement,D$9,type,$B36,rounding),"")</f>
        <v/>
      </c>
      <c r="E36" s="144" t="str">
        <f>IFERROR([1]!IntrinioFinancials(ticker,statement,E$9,type,$B36,rounding),"")</f>
        <v/>
      </c>
      <c r="F36" s="144" t="str">
        <f>IFERROR([1]!IntrinioFinancials(ticker,statement,F$9,type,$B36,rounding),"")</f>
        <v/>
      </c>
      <c r="G36" s="144" t="str">
        <f>IFERROR([1]!IntrinioFinancials(ticker,statement,G$9,type,$B36,rounding),"")</f>
        <v/>
      </c>
      <c r="H36" s="144" t="str">
        <f>IFERROR([1]!IntrinioFinancials(ticker,statement,H$9,type,$B36,rounding),"")</f>
        <v/>
      </c>
    </row>
    <row r="37" spans="1:8" ht="15.75" x14ac:dyDescent="0.5">
      <c r="A37" s="65" t="s">
        <v>139</v>
      </c>
      <c r="B37" s="66" t="s">
        <v>140</v>
      </c>
      <c r="C37" s="42"/>
      <c r="D37" s="144" t="str">
        <f>IFERROR([1]!IntrinioFinancials(ticker,statement,D$9,type,$B37,rounding),"")</f>
        <v/>
      </c>
      <c r="E37" s="144" t="str">
        <f>IFERROR([1]!IntrinioFinancials(ticker,statement,E$9,type,$B37,rounding),"")</f>
        <v/>
      </c>
      <c r="F37" s="144" t="str">
        <f>IFERROR([1]!IntrinioFinancials(ticker,statement,F$9,type,$B37,rounding),"")</f>
        <v/>
      </c>
      <c r="G37" s="144" t="str">
        <f>IFERROR([1]!IntrinioFinancials(ticker,statement,G$9,type,$B37,rounding),"")</f>
        <v/>
      </c>
      <c r="H37" s="144" t="str">
        <f>IFERROR([1]!IntrinioFinancials(ticker,statement,H$9,type,$B37,rounding),"")</f>
        <v/>
      </c>
    </row>
    <row r="38" spans="1:8" ht="15.75" x14ac:dyDescent="0.5">
      <c r="A38" s="65" t="s">
        <v>141</v>
      </c>
      <c r="B38" s="66" t="s">
        <v>142</v>
      </c>
      <c r="C38" s="66"/>
      <c r="D38" s="144" t="str">
        <f>IFERROR([1]!IntrinioFinancials(ticker,statement,D$9,type,$B38,rounding),"")</f>
        <v/>
      </c>
      <c r="E38" s="144" t="str">
        <f>IFERROR([1]!IntrinioFinancials(ticker,statement,E$9,type,$B38,rounding),"")</f>
        <v/>
      </c>
      <c r="F38" s="144" t="str">
        <f>IFERROR([1]!IntrinioFinancials(ticker,statement,F$9,type,$B38,rounding),"")</f>
        <v/>
      </c>
      <c r="G38" s="144" t="str">
        <f>IFERROR([1]!IntrinioFinancials(ticker,statement,G$9,type,$B38,rounding),"")</f>
        <v/>
      </c>
      <c r="H38" s="144" t="str">
        <f>IFERROR([1]!IntrinioFinancials(ticker,statement,H$9,type,$B38,rounding),"")</f>
        <v/>
      </c>
    </row>
    <row r="39" spans="1:8" ht="15.75" x14ac:dyDescent="0.5">
      <c r="A39" s="67" t="s">
        <v>143</v>
      </c>
      <c r="B39" s="66" t="s">
        <v>144</v>
      </c>
      <c r="C39" s="66"/>
      <c r="D39" s="147" t="str">
        <f>IFERROR([1]!IntrinioFinancials(ticker,statement,D$9,type,$B39,rounding),"")</f>
        <v/>
      </c>
      <c r="E39" s="147" t="str">
        <f>IFERROR([1]!IntrinioFinancials(ticker,statement,E$9,type,$B39,rounding),"")</f>
        <v/>
      </c>
      <c r="F39" s="147" t="str">
        <f>IFERROR([1]!IntrinioFinancials(ticker,statement,F$9,type,$B39,rounding),"")</f>
        <v/>
      </c>
      <c r="G39" s="147" t="str">
        <f>IFERROR([1]!IntrinioFinancials(ticker,statement,G$9,type,$B39,rounding),"")</f>
        <v/>
      </c>
      <c r="H39" s="147" t="str">
        <f>IFERROR([1]!IntrinioFinancials(ticker,statement,H$9,type,$B39,rounding),"")</f>
        <v/>
      </c>
    </row>
    <row r="40" spans="1:8" ht="15.75" x14ac:dyDescent="0.5">
      <c r="A40" s="41"/>
      <c r="B40" s="43"/>
      <c r="C40" s="66"/>
      <c r="D40" s="143"/>
      <c r="E40" s="143"/>
      <c r="F40" s="143"/>
      <c r="G40" s="143"/>
      <c r="H40" s="143"/>
    </row>
    <row r="41" spans="1:8" ht="16.149999999999999" thickBot="1" x14ac:dyDescent="0.55000000000000004">
      <c r="A41" s="71" t="s">
        <v>145</v>
      </c>
      <c r="B41" s="66" t="s">
        <v>146</v>
      </c>
      <c r="C41" s="66"/>
      <c r="D41" s="148" t="str">
        <f>IFERROR([1]!IntrinioFinancials(ticker,statement,D$9,type,$B41,rounding),"")</f>
        <v/>
      </c>
      <c r="E41" s="148" t="str">
        <f>IFERROR([1]!IntrinioFinancials(ticker,statement,E$9,type,$B41,rounding),"")</f>
        <v/>
      </c>
      <c r="F41" s="148" t="str">
        <f>IFERROR([1]!IntrinioFinancials(ticker,statement,F$9,type,$B41,rounding),"")</f>
        <v/>
      </c>
      <c r="G41" s="148" t="str">
        <f>IFERROR([1]!IntrinioFinancials(ticker,statement,G$9,type,$B41,rounding),"")</f>
        <v/>
      </c>
      <c r="H41" s="148" t="str">
        <f>IFERROR([1]!IntrinioFinancials(ticker,statement,H$9,type,$B41,rounding),"")</f>
        <v/>
      </c>
    </row>
    <row r="42" spans="1:8" ht="16.149999999999999" thickTop="1" x14ac:dyDescent="0.5">
      <c r="A42" s="72"/>
      <c r="B42" s="62"/>
      <c r="C42" s="66"/>
      <c r="D42" s="155"/>
      <c r="E42" s="155"/>
      <c r="F42" s="155"/>
      <c r="G42" s="155"/>
      <c r="H42" s="155"/>
    </row>
    <row r="43" spans="1:8" ht="15.75" x14ac:dyDescent="0.5">
      <c r="A43" s="62" t="s">
        <v>147</v>
      </c>
      <c r="B43" s="62"/>
      <c r="C43" s="66"/>
      <c r="D43" s="156"/>
      <c r="E43" s="156"/>
      <c r="F43" s="156"/>
      <c r="G43" s="156"/>
      <c r="H43" s="156"/>
    </row>
    <row r="44" spans="1:8" ht="15.75" x14ac:dyDescent="0.5">
      <c r="A44" s="63" t="s">
        <v>148</v>
      </c>
      <c r="B44" s="64"/>
      <c r="C44" s="66"/>
      <c r="D44" s="156"/>
      <c r="E44" s="156"/>
      <c r="F44" s="156"/>
      <c r="G44" s="156"/>
      <c r="H44" s="156"/>
    </row>
    <row r="45" spans="1:8" ht="15.75" x14ac:dyDescent="0.5">
      <c r="A45" s="65" t="s">
        <v>149</v>
      </c>
      <c r="B45" s="66" t="s">
        <v>150</v>
      </c>
      <c r="C45" s="66"/>
      <c r="D45" s="144" t="str">
        <f>IFERROR([1]!IntrinioFinancials(ticker,statement,D$9,type,$B45,rounding),"")</f>
        <v/>
      </c>
      <c r="E45" s="144" t="str">
        <f>IFERROR([1]!IntrinioFinancials(ticker,statement,E$9,type,$B45,rounding),"")</f>
        <v/>
      </c>
      <c r="F45" s="144" t="str">
        <f>IFERROR([1]!IntrinioFinancials(ticker,statement,F$9,type,$B45,rounding),"")</f>
        <v/>
      </c>
      <c r="G45" s="144" t="str">
        <f>IFERROR([1]!IntrinioFinancials(ticker,statement,G$9,type,$B45,rounding),"")</f>
        <v/>
      </c>
      <c r="H45" s="144" t="str">
        <f>IFERROR([1]!IntrinioFinancials(ticker,statement,H$9,type,$B45,rounding),"")</f>
        <v/>
      </c>
    </row>
    <row r="46" spans="1:8" ht="15.75" x14ac:dyDescent="0.5">
      <c r="A46" s="65" t="s">
        <v>151</v>
      </c>
      <c r="B46" s="66" t="s">
        <v>152</v>
      </c>
      <c r="C46" s="66"/>
      <c r="D46" s="144" t="str">
        <f>IFERROR([1]!IntrinioFinancials(ticker,statement,D$9,type,$B46,rounding),"")</f>
        <v/>
      </c>
      <c r="E46" s="144" t="str">
        <f>IFERROR([1]!IntrinioFinancials(ticker,statement,E$9,type,$B46,rounding),"")</f>
        <v/>
      </c>
      <c r="F46" s="144" t="str">
        <f>IFERROR([1]!IntrinioFinancials(ticker,statement,F$9,type,$B46,rounding),"")</f>
        <v/>
      </c>
      <c r="G46" s="144" t="str">
        <f>IFERROR([1]!IntrinioFinancials(ticker,statement,G$9,type,$B46,rounding),"")</f>
        <v/>
      </c>
      <c r="H46" s="144" t="str">
        <f>IFERROR([1]!IntrinioFinancials(ticker,statement,H$9,type,$B46,rounding),"")</f>
        <v/>
      </c>
    </row>
    <row r="47" spans="1:8" ht="15.75" x14ac:dyDescent="0.5">
      <c r="A47" s="65" t="s">
        <v>153</v>
      </c>
      <c r="B47" s="66" t="s">
        <v>154</v>
      </c>
      <c r="C47" s="66"/>
      <c r="D47" s="144" t="str">
        <f>IFERROR([1]!IntrinioFinancials(ticker,statement,D$9,type,$B47,rounding),"")</f>
        <v/>
      </c>
      <c r="E47" s="144" t="str">
        <f>IFERROR([1]!IntrinioFinancials(ticker,statement,E$9,type,$B47,rounding),"")</f>
        <v/>
      </c>
      <c r="F47" s="144" t="str">
        <f>IFERROR([1]!IntrinioFinancials(ticker,statement,F$9,type,$B47,rounding),"")</f>
        <v/>
      </c>
      <c r="G47" s="144" t="str">
        <f>IFERROR([1]!IntrinioFinancials(ticker,statement,G$9,type,$B47,rounding),"")</f>
        <v/>
      </c>
      <c r="H47" s="144" t="str">
        <f>IFERROR([1]!IntrinioFinancials(ticker,statement,H$9,type,$B47,rounding),"")</f>
        <v/>
      </c>
    </row>
    <row r="48" spans="1:8" ht="15.75" x14ac:dyDescent="0.5">
      <c r="A48" s="65" t="s">
        <v>288</v>
      </c>
      <c r="B48" s="66" t="s">
        <v>283</v>
      </c>
      <c r="C48" s="66"/>
      <c r="D48" s="144" t="str">
        <f>IFERROR([1]!IntrinioFinancials(ticker,statement,D$9,type,$B48,rounding),"")</f>
        <v/>
      </c>
      <c r="E48" s="144" t="str">
        <f>IFERROR([1]!IntrinioFinancials(ticker,statement,E$9,type,$B48,rounding),"")</f>
        <v/>
      </c>
      <c r="F48" s="144" t="str">
        <f>IFERROR([1]!IntrinioFinancials(ticker,statement,F$9,type,$B48,rounding),"")</f>
        <v/>
      </c>
      <c r="G48" s="144" t="str">
        <f>IFERROR([1]!IntrinioFinancials(ticker,statement,G$9,type,$B48,rounding),"")</f>
        <v/>
      </c>
      <c r="H48" s="144" t="str">
        <f>IFERROR([1]!IntrinioFinancials(ticker,statement,H$9,type,$B48,rounding),"")</f>
        <v/>
      </c>
    </row>
    <row r="49" spans="1:8" ht="15.75" x14ac:dyDescent="0.5">
      <c r="A49" s="65" t="s">
        <v>289</v>
      </c>
      <c r="B49" s="66" t="s">
        <v>284</v>
      </c>
      <c r="C49" s="66"/>
      <c r="D49" s="144" t="str">
        <f>IFERROR([1]!IntrinioFinancials(ticker,statement,D$9,type,$B49,rounding),"")</f>
        <v/>
      </c>
      <c r="E49" s="144" t="str">
        <f>IFERROR([1]!IntrinioFinancials(ticker,statement,E$9,type,$B49,rounding),"")</f>
        <v/>
      </c>
      <c r="F49" s="144" t="str">
        <f>IFERROR([1]!IntrinioFinancials(ticker,statement,F$9,type,$B49,rounding),"")</f>
        <v/>
      </c>
      <c r="G49" s="144" t="str">
        <f>IFERROR([1]!IntrinioFinancials(ticker,statement,G$9,type,$B49,rounding),"")</f>
        <v/>
      </c>
      <c r="H49" s="144" t="str">
        <f>IFERROR([1]!IntrinioFinancials(ticker,statement,H$9,type,$B49,rounding),"")</f>
        <v/>
      </c>
    </row>
    <row r="50" spans="1:8" ht="15.75" x14ac:dyDescent="0.5">
      <c r="A50" s="65" t="s">
        <v>290</v>
      </c>
      <c r="B50" s="66" t="s">
        <v>285</v>
      </c>
      <c r="C50" s="66"/>
      <c r="D50" s="144" t="str">
        <f>IFERROR([1]!IntrinioFinancials(ticker,statement,D$9,type,$B50,rounding),"")</f>
        <v/>
      </c>
      <c r="E50" s="144" t="str">
        <f>IFERROR([1]!IntrinioFinancials(ticker,statement,E$9,type,$B50,rounding),"")</f>
        <v/>
      </c>
      <c r="F50" s="144" t="str">
        <f>IFERROR([1]!IntrinioFinancials(ticker,statement,F$9,type,$B50,rounding),"")</f>
        <v/>
      </c>
      <c r="G50" s="144" t="str">
        <f>IFERROR([1]!IntrinioFinancials(ticker,statement,G$9,type,$B50,rounding),"")</f>
        <v/>
      </c>
      <c r="H50" s="144" t="str">
        <f>IFERROR([1]!IntrinioFinancials(ticker,statement,H$9,type,$B50,rounding),"")</f>
        <v/>
      </c>
    </row>
    <row r="51" spans="1:8" ht="15.75" x14ac:dyDescent="0.5">
      <c r="A51" s="65" t="s">
        <v>291</v>
      </c>
      <c r="B51" s="66" t="s">
        <v>286</v>
      </c>
      <c r="C51" s="66"/>
      <c r="D51" s="144" t="str">
        <f>IFERROR([1]!IntrinioFinancials(ticker,statement,D$9,type,$B51,rounding),"")</f>
        <v/>
      </c>
      <c r="E51" s="144" t="str">
        <f>IFERROR([1]!IntrinioFinancials(ticker,statement,E$9,type,$B51,rounding),"")</f>
        <v/>
      </c>
      <c r="F51" s="144" t="str">
        <f>IFERROR([1]!IntrinioFinancials(ticker,statement,F$9,type,$B51,rounding),"")</f>
        <v/>
      </c>
      <c r="G51" s="144" t="str">
        <f>IFERROR([1]!IntrinioFinancials(ticker,statement,G$9,type,$B51,rounding),"")</f>
        <v/>
      </c>
      <c r="H51" s="144" t="str">
        <f>IFERROR([1]!IntrinioFinancials(ticker,statement,H$9,type,$B51,rounding),"")</f>
        <v/>
      </c>
    </row>
    <row r="52" spans="1:8" ht="15.75" x14ac:dyDescent="0.5">
      <c r="A52" s="65" t="s">
        <v>292</v>
      </c>
      <c r="B52" s="66" t="s">
        <v>287</v>
      </c>
      <c r="C52" s="66"/>
      <c r="D52" s="144" t="str">
        <f>IFERROR([1]!IntrinioFinancials(ticker,statement,D$9,type,$B52,rounding),"")</f>
        <v/>
      </c>
      <c r="E52" s="144" t="str">
        <f>IFERROR([1]!IntrinioFinancials(ticker,statement,E$9,type,$B52,rounding),"")</f>
        <v/>
      </c>
      <c r="F52" s="144" t="str">
        <f>IFERROR([1]!IntrinioFinancials(ticker,statement,F$9,type,$B52,rounding),"")</f>
        <v/>
      </c>
      <c r="G52" s="144" t="str">
        <f>IFERROR([1]!IntrinioFinancials(ticker,statement,G$9,type,$B52,rounding),"")</f>
        <v/>
      </c>
      <c r="H52" s="144" t="str">
        <f>IFERROR([1]!IntrinioFinancials(ticker,statement,H$9,type,$B52,rounding),"")</f>
        <v/>
      </c>
    </row>
    <row r="53" spans="1:8" ht="15.75" x14ac:dyDescent="0.5">
      <c r="A53" s="65" t="s">
        <v>293</v>
      </c>
      <c r="B53" s="66" t="s">
        <v>294</v>
      </c>
      <c r="C53" s="66"/>
      <c r="D53" s="144" t="str">
        <f>IFERROR([1]!IntrinioFinancials(ticker,statement,D$9,type,$B53,rounding),"")</f>
        <v/>
      </c>
      <c r="E53" s="144" t="str">
        <f>IFERROR([1]!IntrinioFinancials(ticker,statement,E$9,type,$B53,rounding),"")</f>
        <v/>
      </c>
      <c r="F53" s="144" t="str">
        <f>IFERROR([1]!IntrinioFinancials(ticker,statement,F$9,type,$B53,rounding),"")</f>
        <v/>
      </c>
      <c r="G53" s="144" t="str">
        <f>IFERROR([1]!IntrinioFinancials(ticker,statement,G$9,type,$B53,rounding),"")</f>
        <v/>
      </c>
      <c r="H53" s="144" t="str">
        <f>IFERROR([1]!IntrinioFinancials(ticker,statement,H$9,type,$B53,rounding),"")</f>
        <v/>
      </c>
    </row>
    <row r="54" spans="1:8" ht="15.75" x14ac:dyDescent="0.5">
      <c r="A54" s="65" t="s">
        <v>155</v>
      </c>
      <c r="B54" s="66" t="s">
        <v>156</v>
      </c>
      <c r="C54" s="66"/>
      <c r="D54" s="144" t="str">
        <f>IFERROR([1]!IntrinioFinancials(ticker,statement,D$9,type,$B54,rounding),"")</f>
        <v/>
      </c>
      <c r="E54" s="144" t="str">
        <f>IFERROR([1]!IntrinioFinancials(ticker,statement,E$9,type,$B54,rounding),"")</f>
        <v/>
      </c>
      <c r="F54" s="144" t="str">
        <f>IFERROR([1]!IntrinioFinancials(ticker,statement,F$9,type,$B54,rounding),"")</f>
        <v/>
      </c>
      <c r="G54" s="144" t="str">
        <f>IFERROR([1]!IntrinioFinancials(ticker,statement,G$9,type,$B54,rounding),"")</f>
        <v/>
      </c>
      <c r="H54" s="144" t="str">
        <f>IFERROR([1]!IntrinioFinancials(ticker,statement,H$9,type,$B54,rounding),"")</f>
        <v/>
      </c>
    </row>
    <row r="55" spans="1:8" ht="15.75" x14ac:dyDescent="0.5">
      <c r="A55" s="65" t="s">
        <v>157</v>
      </c>
      <c r="B55" s="66" t="s">
        <v>158</v>
      </c>
      <c r="C55" s="42"/>
      <c r="D55" s="144" t="str">
        <f>IFERROR([1]!IntrinioFinancials(ticker,statement,D$9,type,$B55,rounding),"")</f>
        <v/>
      </c>
      <c r="E55" s="144" t="str">
        <f>IFERROR([1]!IntrinioFinancials(ticker,statement,E$9,type,$B55,rounding),"")</f>
        <v/>
      </c>
      <c r="F55" s="144" t="str">
        <f>IFERROR([1]!IntrinioFinancials(ticker,statement,F$9,type,$B55,rounding),"")</f>
        <v/>
      </c>
      <c r="G55" s="144" t="str">
        <f>IFERROR([1]!IntrinioFinancials(ticker,statement,G$9,type,$B55,rounding),"")</f>
        <v/>
      </c>
      <c r="H55" s="144" t="str">
        <f>IFERROR([1]!IntrinioFinancials(ticker,statement,H$9,type,$B55,rounding),"")</f>
        <v/>
      </c>
    </row>
    <row r="56" spans="1:8" ht="15.75" x14ac:dyDescent="0.5">
      <c r="A56" s="67" t="s">
        <v>159</v>
      </c>
      <c r="B56" s="66" t="s">
        <v>160</v>
      </c>
      <c r="C56" s="42"/>
      <c r="D56" s="147" t="str">
        <f>IFERROR([1]!IntrinioFinancials(ticker,statement,D$9,type,$B56,rounding),"")</f>
        <v/>
      </c>
      <c r="E56" s="147" t="str">
        <f>IFERROR([1]!IntrinioFinancials(ticker,statement,E$9,type,$B56,rounding),"")</f>
        <v/>
      </c>
      <c r="F56" s="147" t="str">
        <f>IFERROR([1]!IntrinioFinancials(ticker,statement,F$9,type,$B56,rounding),"")</f>
        <v/>
      </c>
      <c r="G56" s="147" t="str">
        <f>IFERROR([1]!IntrinioFinancials(ticker,statement,G$9,type,$B56,rounding),"")</f>
        <v/>
      </c>
      <c r="H56" s="147" t="str">
        <f>IFERROR([1]!IntrinioFinancials(ticker,statement,H$9,type,$B56,rounding),"")</f>
        <v/>
      </c>
    </row>
    <row r="57" spans="1:8" ht="15.75" x14ac:dyDescent="0.5">
      <c r="C57" s="66"/>
      <c r="D57" s="143"/>
      <c r="E57" s="143"/>
      <c r="F57" s="143"/>
      <c r="G57" s="143"/>
      <c r="H57" s="143"/>
    </row>
    <row r="58" spans="1:8" ht="15.75" x14ac:dyDescent="0.5">
      <c r="A58" s="41" t="s">
        <v>161</v>
      </c>
      <c r="B58" s="66" t="s">
        <v>162</v>
      </c>
      <c r="C58" s="66"/>
      <c r="D58" s="144" t="str">
        <f>IFERROR([1]!IntrinioFinancials(ticker,statement,D$9,type,$B58,rounding),"")</f>
        <v/>
      </c>
      <c r="E58" s="144" t="str">
        <f>IFERROR([1]!IntrinioFinancials(ticker,statement,E$9,type,$B58,rounding),"")</f>
        <v/>
      </c>
      <c r="F58" s="144" t="str">
        <f>IFERROR([1]!IntrinioFinancials(ticker,statement,F$9,type,$B58,rounding),"")</f>
        <v/>
      </c>
      <c r="G58" s="144" t="str">
        <f>IFERROR([1]!IntrinioFinancials(ticker,statement,G$9,type,$B58,rounding),"")</f>
        <v/>
      </c>
      <c r="H58" s="144" t="str">
        <f>IFERROR([1]!IntrinioFinancials(ticker,statement,H$9,type,$B58,rounding),"")</f>
        <v/>
      </c>
    </row>
    <row r="59" spans="1:8" ht="15.75" x14ac:dyDescent="0.5">
      <c r="A59" s="41" t="s">
        <v>163</v>
      </c>
      <c r="B59" s="66" t="s">
        <v>164</v>
      </c>
      <c r="C59" s="66"/>
      <c r="D59" s="144" t="str">
        <f>IFERROR([1]!IntrinioFinancials(ticker,statement,D$9,type,$B59,rounding),"")</f>
        <v/>
      </c>
      <c r="E59" s="144" t="str">
        <f>IFERROR([1]!IntrinioFinancials(ticker,statement,E$9,type,$B59,rounding),"")</f>
        <v/>
      </c>
      <c r="F59" s="144" t="str">
        <f>IFERROR([1]!IntrinioFinancials(ticker,statement,F$9,type,$B59,rounding),"")</f>
        <v/>
      </c>
      <c r="G59" s="144" t="str">
        <f>IFERROR([1]!IntrinioFinancials(ticker,statement,G$9,type,$B59,rounding),"")</f>
        <v/>
      </c>
      <c r="H59" s="144" t="str">
        <f>IFERROR([1]!IntrinioFinancials(ticker,statement,H$9,type,$B59,rounding),"")</f>
        <v/>
      </c>
    </row>
    <row r="60" spans="1:8" ht="15.75" x14ac:dyDescent="0.5">
      <c r="A60" s="41" t="s">
        <v>295</v>
      </c>
      <c r="B60" s="66" t="s">
        <v>296</v>
      </c>
      <c r="C60" s="66"/>
      <c r="D60" s="144" t="str">
        <f>IFERROR([1]!IntrinioFinancials(ticker,statement,D$9,type,$B60,rounding),"")</f>
        <v/>
      </c>
      <c r="E60" s="144" t="str">
        <f>IFERROR([1]!IntrinioFinancials(ticker,statement,E$9,type,$B60,rounding),"")</f>
        <v/>
      </c>
      <c r="F60" s="144" t="str">
        <f>IFERROR([1]!IntrinioFinancials(ticker,statement,F$9,type,$B60,rounding),"")</f>
        <v/>
      </c>
      <c r="G60" s="144" t="str">
        <f>IFERROR([1]!IntrinioFinancials(ticker,statement,G$9,type,$B60,rounding),"")</f>
        <v/>
      </c>
      <c r="H60" s="144" t="str">
        <f>IFERROR([1]!IntrinioFinancials(ticker,statement,H$9,type,$B60,rounding),"")</f>
        <v/>
      </c>
    </row>
    <row r="61" spans="1:8" ht="15.75" x14ac:dyDescent="0.5">
      <c r="A61" s="41" t="s">
        <v>297</v>
      </c>
      <c r="B61" s="66" t="s">
        <v>298</v>
      </c>
      <c r="C61" s="66"/>
      <c r="D61" s="144" t="str">
        <f>IFERROR([1]!IntrinioFinancials(ticker,statement,D$9,type,$B61,rounding),"")</f>
        <v/>
      </c>
      <c r="E61" s="144" t="str">
        <f>IFERROR([1]!IntrinioFinancials(ticker,statement,E$9,type,$B61,rounding),"")</f>
        <v/>
      </c>
      <c r="F61" s="144" t="str">
        <f>IFERROR([1]!IntrinioFinancials(ticker,statement,F$9,type,$B61,rounding),"")</f>
        <v/>
      </c>
      <c r="G61" s="144" t="str">
        <f>IFERROR([1]!IntrinioFinancials(ticker,statement,G$9,type,$B61,rounding),"")</f>
        <v/>
      </c>
      <c r="H61" s="144" t="str">
        <f>IFERROR([1]!IntrinioFinancials(ticker,statement,H$9,type,$B61,rounding),"")</f>
        <v/>
      </c>
    </row>
    <row r="62" spans="1:8" ht="15.75" x14ac:dyDescent="0.5">
      <c r="A62" s="41" t="s">
        <v>299</v>
      </c>
      <c r="B62" s="66" t="s">
        <v>300</v>
      </c>
      <c r="C62" s="66"/>
      <c r="D62" s="144" t="str">
        <f>IFERROR([1]!IntrinioFinancials(ticker,statement,D$9,type,$B62,rounding),"")</f>
        <v/>
      </c>
      <c r="E62" s="144" t="str">
        <f>IFERROR([1]!IntrinioFinancials(ticker,statement,E$9,type,$B62,rounding),"")</f>
        <v/>
      </c>
      <c r="F62" s="144" t="str">
        <f>IFERROR([1]!IntrinioFinancials(ticker,statement,F$9,type,$B62,rounding),"")</f>
        <v/>
      </c>
      <c r="G62" s="144" t="str">
        <f>IFERROR([1]!IntrinioFinancials(ticker,statement,G$9,type,$B62,rounding),"")</f>
        <v/>
      </c>
      <c r="H62" s="144" t="str">
        <f>IFERROR([1]!IntrinioFinancials(ticker,statement,H$9,type,$B62,rounding),"")</f>
        <v/>
      </c>
    </row>
    <row r="63" spans="1:8" ht="15.75" x14ac:dyDescent="0.5">
      <c r="A63" s="65" t="s">
        <v>301</v>
      </c>
      <c r="B63" s="66" t="s">
        <v>302</v>
      </c>
      <c r="C63" s="66"/>
      <c r="D63" s="144" t="str">
        <f>IFERROR([1]!IntrinioFinancials(ticker,statement,D$9,type,$B63,rounding),"")</f>
        <v/>
      </c>
      <c r="E63" s="144" t="str">
        <f>IFERROR([1]!IntrinioFinancials(ticker,statement,E$9,type,$B63,rounding),"")</f>
        <v/>
      </c>
      <c r="F63" s="144" t="str">
        <f>IFERROR([1]!IntrinioFinancials(ticker,statement,F$9,type,$B63,rounding),"")</f>
        <v/>
      </c>
      <c r="G63" s="144" t="str">
        <f>IFERROR([1]!IntrinioFinancials(ticker,statement,G$9,type,$B63,rounding),"")</f>
        <v/>
      </c>
      <c r="H63" s="144" t="str">
        <f>IFERROR([1]!IntrinioFinancials(ticker,statement,H$9,type,$B63,rounding),"")</f>
        <v/>
      </c>
    </row>
    <row r="64" spans="1:8" ht="15.75" x14ac:dyDescent="0.5">
      <c r="A64" s="65" t="s">
        <v>165</v>
      </c>
      <c r="B64" s="66" t="s">
        <v>166</v>
      </c>
      <c r="C64" s="66"/>
      <c r="D64" s="144" t="str">
        <f>IFERROR([1]!IntrinioFinancials(ticker,statement,D$9,type,$B64,rounding),"")</f>
        <v/>
      </c>
      <c r="E64" s="144" t="str">
        <f>IFERROR([1]!IntrinioFinancials(ticker,statement,E$9,type,$B64,rounding),"")</f>
        <v/>
      </c>
      <c r="F64" s="144" t="str">
        <f>IFERROR([1]!IntrinioFinancials(ticker,statement,F$9,type,$B64,rounding),"")</f>
        <v/>
      </c>
      <c r="G64" s="144" t="str">
        <f>IFERROR([1]!IntrinioFinancials(ticker,statement,G$9,type,$B64,rounding),"")</f>
        <v/>
      </c>
      <c r="H64" s="144" t="str">
        <f>IFERROR([1]!IntrinioFinancials(ticker,statement,H$9,type,$B64,rounding),"")</f>
        <v/>
      </c>
    </row>
    <row r="65" spans="1:8" ht="15.75" x14ac:dyDescent="0.5">
      <c r="A65" s="65" t="s">
        <v>167</v>
      </c>
      <c r="B65" s="66" t="s">
        <v>168</v>
      </c>
      <c r="C65" s="66"/>
      <c r="D65" s="144" t="str">
        <f>IFERROR([1]!IntrinioFinancials(ticker,statement,D$9,type,$B65,rounding),"")</f>
        <v/>
      </c>
      <c r="E65" s="144" t="str">
        <f>IFERROR([1]!IntrinioFinancials(ticker,statement,E$9,type,$B65,rounding),"")</f>
        <v/>
      </c>
      <c r="F65" s="144" t="str">
        <f>IFERROR([1]!IntrinioFinancials(ticker,statement,F$9,type,$B65,rounding),"")</f>
        <v/>
      </c>
      <c r="G65" s="144" t="str">
        <f>IFERROR([1]!IntrinioFinancials(ticker,statement,G$9,type,$B65,rounding),"")</f>
        <v/>
      </c>
      <c r="H65" s="144" t="str">
        <f>IFERROR([1]!IntrinioFinancials(ticker,statement,H$9,type,$B65,rounding),"")</f>
        <v/>
      </c>
    </row>
    <row r="66" spans="1:8" ht="15.75" x14ac:dyDescent="0.5">
      <c r="A66" s="67" t="s">
        <v>169</v>
      </c>
      <c r="B66" s="66" t="s">
        <v>170</v>
      </c>
      <c r="C66" s="56"/>
      <c r="D66" s="147" t="str">
        <f>IFERROR([1]!IntrinioFinancials(ticker,statement,D$9,type,$B66,rounding),"")</f>
        <v/>
      </c>
      <c r="E66" s="147" t="str">
        <f>IFERROR([1]!IntrinioFinancials(ticker,statement,E$9,type,$B66,rounding),"")</f>
        <v/>
      </c>
      <c r="F66" s="147" t="str">
        <f>IFERROR([1]!IntrinioFinancials(ticker,statement,F$9,type,$B66,rounding),"")</f>
        <v/>
      </c>
      <c r="G66" s="147" t="str">
        <f>IFERROR([1]!IntrinioFinancials(ticker,statement,G$9,type,$B66,rounding),"")</f>
        <v/>
      </c>
      <c r="H66" s="147" t="str">
        <f>IFERROR([1]!IntrinioFinancials(ticker,statement,H$9,type,$B66,rounding),"")</f>
        <v/>
      </c>
    </row>
    <row r="67" spans="1:8" ht="15.75" x14ac:dyDescent="0.5">
      <c r="C67" s="66"/>
      <c r="D67" s="144"/>
      <c r="E67" s="144"/>
      <c r="F67" s="144"/>
      <c r="G67" s="144"/>
      <c r="H67" s="144"/>
    </row>
    <row r="68" spans="1:8" ht="15.75" x14ac:dyDescent="0.5">
      <c r="A68" s="71" t="s">
        <v>171</v>
      </c>
      <c r="B68" s="66" t="s">
        <v>172</v>
      </c>
      <c r="C68" s="66"/>
      <c r="D68" s="157" t="str">
        <f>IFERROR([1]!IntrinioFinancials(ticker,statement,D$9,type,$B68,rounding),"")</f>
        <v/>
      </c>
      <c r="E68" s="157" t="str">
        <f>IFERROR([1]!IntrinioFinancials(ticker,statement,E$9,type,$B68,rounding),"")</f>
        <v/>
      </c>
      <c r="F68" s="157" t="str">
        <f>IFERROR([1]!IntrinioFinancials(ticker,statement,F$9,type,$B68,rounding),"")</f>
        <v/>
      </c>
      <c r="G68" s="157" t="str">
        <f>IFERROR([1]!IntrinioFinancials(ticker,statement,G$9,type,$B68,rounding),"")</f>
        <v/>
      </c>
      <c r="H68" s="157" t="str">
        <f>IFERROR([1]!IntrinioFinancials(ticker,statement,H$9,type,$B68,rounding),"")</f>
        <v/>
      </c>
    </row>
    <row r="69" spans="1:8" ht="15.75" x14ac:dyDescent="0.5">
      <c r="A69" s="71"/>
      <c r="B69" s="66"/>
      <c r="C69" s="66"/>
      <c r="D69" s="143"/>
      <c r="E69" s="143"/>
      <c r="F69" s="143"/>
      <c r="G69" s="143"/>
      <c r="H69" s="143"/>
    </row>
    <row r="70" spans="1:8" ht="15.75" x14ac:dyDescent="0.5">
      <c r="A70" s="67" t="s">
        <v>173</v>
      </c>
      <c r="B70" s="66" t="s">
        <v>174</v>
      </c>
      <c r="C70" s="66"/>
      <c r="D70" s="143" t="str">
        <f>IFERROR([1]!IntrinioFinancials(ticker,statement,D$9,type,$B70,rounding),"")</f>
        <v/>
      </c>
      <c r="E70" s="143" t="str">
        <f>IFERROR([1]!IntrinioFinancials(ticker,statement,E$9,type,$B70,rounding),"")</f>
        <v/>
      </c>
      <c r="F70" s="143" t="str">
        <f>IFERROR([1]!IntrinioFinancials(ticker,statement,F$9,type,$B70,rounding),"")</f>
        <v/>
      </c>
      <c r="G70" s="143" t="str">
        <f>IFERROR([1]!IntrinioFinancials(ticker,statement,G$9,type,$B70,rounding),"")</f>
        <v/>
      </c>
      <c r="H70" s="143" t="str">
        <f>IFERROR([1]!IntrinioFinancials(ticker,statement,H$9,type,$B70,rounding),"")</f>
        <v/>
      </c>
    </row>
    <row r="71" spans="1:8" ht="15.75" x14ac:dyDescent="0.5">
      <c r="A71" s="65"/>
      <c r="B71" s="66"/>
      <c r="C71" s="66"/>
      <c r="D71" s="144"/>
      <c r="E71" s="144"/>
      <c r="F71" s="144"/>
      <c r="G71" s="144"/>
      <c r="H71" s="144"/>
    </row>
    <row r="72" spans="1:8" ht="15.75" x14ac:dyDescent="0.5">
      <c r="A72" s="67" t="s">
        <v>175</v>
      </c>
      <c r="B72" s="66" t="s">
        <v>176</v>
      </c>
      <c r="D72" s="143" t="str">
        <f>IFERROR([1]!IntrinioFinancials(ticker,statement,D$9,type,$B72,rounding),"")</f>
        <v/>
      </c>
      <c r="E72" s="143" t="str">
        <f>IFERROR([1]!IntrinioFinancials(ticker,statement,E$9,type,$B72,rounding),"")</f>
        <v/>
      </c>
      <c r="F72" s="143" t="str">
        <f>IFERROR([1]!IntrinioFinancials(ticker,statement,F$9,type,$B72,rounding),"")</f>
        <v/>
      </c>
      <c r="G72" s="143" t="str">
        <f>IFERROR([1]!IntrinioFinancials(ticker,statement,G$9,type,$B72,rounding),"")</f>
        <v/>
      </c>
      <c r="H72" s="143" t="str">
        <f>IFERROR([1]!IntrinioFinancials(ticker,statement,H$9,type,$B72,rounding),"")</f>
        <v/>
      </c>
    </row>
    <row r="73" spans="1:8" ht="15.75" x14ac:dyDescent="0.5">
      <c r="A73" s="71"/>
      <c r="B73" s="62"/>
      <c r="D73" s="143"/>
      <c r="E73" s="143"/>
      <c r="F73" s="143"/>
      <c r="G73" s="143"/>
      <c r="H73" s="143"/>
    </row>
    <row r="74" spans="1:8" ht="15.75" x14ac:dyDescent="0.5">
      <c r="A74" s="62" t="s">
        <v>177</v>
      </c>
      <c r="B74" s="64"/>
      <c r="D74" s="158"/>
      <c r="E74" s="158"/>
      <c r="F74" s="158"/>
      <c r="G74" s="158"/>
      <c r="H74" s="158"/>
    </row>
    <row r="75" spans="1:8" ht="15.75" x14ac:dyDescent="0.5">
      <c r="A75" s="63" t="s">
        <v>178</v>
      </c>
      <c r="B75" s="64"/>
      <c r="D75" s="158"/>
      <c r="E75" s="158"/>
      <c r="F75" s="158"/>
      <c r="G75" s="158"/>
      <c r="H75" s="158"/>
    </row>
    <row r="76" spans="1:8" ht="15.75" x14ac:dyDescent="0.5">
      <c r="A76" s="67" t="s">
        <v>179</v>
      </c>
      <c r="B76" s="66" t="s">
        <v>180</v>
      </c>
      <c r="D76" s="143" t="str">
        <f>IFERROR([1]!IntrinioFinancials(ticker,statement,D$9,type,$B76,rounding),"")</f>
        <v/>
      </c>
      <c r="E76" s="143" t="str">
        <f>IFERROR([1]!IntrinioFinancials(ticker,statement,E$9,type,$B76,rounding),"")</f>
        <v/>
      </c>
      <c r="F76" s="143" t="str">
        <f>IFERROR([1]!IntrinioFinancials(ticker,statement,F$9,type,$B76,rounding),"")</f>
        <v/>
      </c>
      <c r="G76" s="143" t="str">
        <f>IFERROR([1]!IntrinioFinancials(ticker,statement,G$9,type,$B76,rounding),"")</f>
        <v/>
      </c>
      <c r="H76" s="143" t="str">
        <f>IFERROR([1]!IntrinioFinancials(ticker,statement,H$9,type,$B76,rounding),"")</f>
        <v/>
      </c>
    </row>
    <row r="77" spans="1:8" ht="15.75" x14ac:dyDescent="0.5">
      <c r="A77" s="63"/>
      <c r="B77" s="64"/>
      <c r="D77" s="158"/>
      <c r="E77" s="158"/>
      <c r="F77" s="158"/>
      <c r="G77" s="158"/>
      <c r="H77" s="158"/>
    </row>
    <row r="78" spans="1:8" ht="15.75" x14ac:dyDescent="0.5">
      <c r="A78" s="63" t="s">
        <v>181</v>
      </c>
      <c r="B78" s="64"/>
      <c r="D78" s="156"/>
      <c r="E78" s="156"/>
      <c r="F78" s="156"/>
      <c r="G78" s="156"/>
      <c r="H78" s="156"/>
    </row>
    <row r="79" spans="1:8" ht="15.75" x14ac:dyDescent="0.5">
      <c r="A79" s="65" t="s">
        <v>182</v>
      </c>
      <c r="B79" s="66" t="s">
        <v>183</v>
      </c>
      <c r="D79" s="144" t="str">
        <f>IFERROR([1]!IntrinioFinancials(ticker,statement,D$9,type,$B79,rounding),"")</f>
        <v/>
      </c>
      <c r="E79" s="144" t="str">
        <f>IFERROR([1]!IntrinioFinancials(ticker,statement,E$9,type,$B79,rounding),"")</f>
        <v/>
      </c>
      <c r="F79" s="144" t="str">
        <f>IFERROR([1]!IntrinioFinancials(ticker,statement,F$9,type,$B79,rounding),"")</f>
        <v/>
      </c>
      <c r="G79" s="144" t="str">
        <f>IFERROR([1]!IntrinioFinancials(ticker,statement,G$9,type,$B79,rounding),"")</f>
        <v/>
      </c>
      <c r="H79" s="144" t="str">
        <f>IFERROR([1]!IntrinioFinancials(ticker,statement,H$9,type,$B79,rounding),"")</f>
        <v/>
      </c>
    </row>
    <row r="80" spans="1:8" ht="15.75" x14ac:dyDescent="0.5">
      <c r="A80" s="65" t="s">
        <v>184</v>
      </c>
      <c r="B80" s="66" t="s">
        <v>185</v>
      </c>
      <c r="D80" s="144" t="str">
        <f>IFERROR([1]!IntrinioFinancials(ticker,statement,D$9,type,$B80,rounding),"")</f>
        <v/>
      </c>
      <c r="E80" s="144" t="str">
        <f>IFERROR([1]!IntrinioFinancials(ticker,statement,E$9,type,$B80,rounding),"")</f>
        <v/>
      </c>
      <c r="F80" s="144" t="str">
        <f>IFERROR([1]!IntrinioFinancials(ticker,statement,F$9,type,$B80,rounding),"")</f>
        <v/>
      </c>
      <c r="G80" s="144" t="str">
        <f>IFERROR([1]!IntrinioFinancials(ticker,statement,G$9,type,$B80,rounding),"")</f>
        <v/>
      </c>
      <c r="H80" s="144" t="str">
        <f>IFERROR([1]!IntrinioFinancials(ticker,statement,H$9,type,$B80,rounding),"")</f>
        <v/>
      </c>
    </row>
    <row r="81" spans="1:8" ht="15.75" x14ac:dyDescent="0.5">
      <c r="A81" s="65" t="s">
        <v>186</v>
      </c>
      <c r="B81" s="66" t="s">
        <v>187</v>
      </c>
      <c r="D81" s="144" t="str">
        <f>IFERROR([1]!IntrinioFinancials(ticker,statement,D$9,type,$B81,rounding),"")</f>
        <v/>
      </c>
      <c r="E81" s="144" t="str">
        <f>IFERROR([1]!IntrinioFinancials(ticker,statement,E$9,type,$B81,rounding),"")</f>
        <v/>
      </c>
      <c r="F81" s="144" t="str">
        <f>IFERROR([1]!IntrinioFinancials(ticker,statement,F$9,type,$B81,rounding),"")</f>
        <v/>
      </c>
      <c r="G81" s="144" t="str">
        <f>IFERROR([1]!IntrinioFinancials(ticker,statement,G$9,type,$B81,rounding),"")</f>
        <v/>
      </c>
      <c r="H81" s="144" t="str">
        <f>IFERROR([1]!IntrinioFinancials(ticker,statement,H$9,type,$B81,rounding),"")</f>
        <v/>
      </c>
    </row>
    <row r="82" spans="1:8" ht="15.75" x14ac:dyDescent="0.5">
      <c r="A82" s="65" t="s">
        <v>188</v>
      </c>
      <c r="B82" s="66" t="s">
        <v>189</v>
      </c>
      <c r="D82" s="144" t="str">
        <f>IFERROR([1]!IntrinioFinancials(ticker,statement,D$9,type,$B82,rounding),"")</f>
        <v/>
      </c>
      <c r="E82" s="144" t="str">
        <f>IFERROR([1]!IntrinioFinancials(ticker,statement,E$9,type,$B82,rounding),"")</f>
        <v/>
      </c>
      <c r="F82" s="144" t="str">
        <f>IFERROR([1]!IntrinioFinancials(ticker,statement,F$9,type,$B82,rounding),"")</f>
        <v/>
      </c>
      <c r="G82" s="144" t="str">
        <f>IFERROR([1]!IntrinioFinancials(ticker,statement,G$9,type,$B82,rounding),"")</f>
        <v/>
      </c>
      <c r="H82" s="144" t="str">
        <f>IFERROR([1]!IntrinioFinancials(ticker,statement,H$9,type,$B82,rounding),"")</f>
        <v/>
      </c>
    </row>
    <row r="83" spans="1:8" ht="15.75" x14ac:dyDescent="0.5">
      <c r="A83" s="65" t="s">
        <v>190</v>
      </c>
      <c r="B83" s="66" t="s">
        <v>191</v>
      </c>
      <c r="D83" s="144" t="str">
        <f>IFERROR([1]!IntrinioFinancials(ticker,statement,D$9,type,$B83,rounding),"")</f>
        <v/>
      </c>
      <c r="E83" s="144" t="str">
        <f>IFERROR([1]!IntrinioFinancials(ticker,statement,E$9,type,$B83,rounding),"")</f>
        <v/>
      </c>
      <c r="F83" s="144" t="str">
        <f>IFERROR([1]!IntrinioFinancials(ticker,statement,F$9,type,$B83,rounding),"")</f>
        <v/>
      </c>
      <c r="G83" s="144" t="str">
        <f>IFERROR([1]!IntrinioFinancials(ticker,statement,G$9,type,$B83,rounding),"")</f>
        <v/>
      </c>
      <c r="H83" s="144" t="str">
        <f>IFERROR([1]!IntrinioFinancials(ticker,statement,H$9,type,$B83,rounding),"")</f>
        <v/>
      </c>
    </row>
    <row r="84" spans="1:8" ht="15.75" x14ac:dyDescent="0.5">
      <c r="A84" s="67" t="s">
        <v>192</v>
      </c>
      <c r="B84" s="66" t="s">
        <v>193</v>
      </c>
      <c r="D84" s="147" t="str">
        <f>IFERROR([1]!IntrinioFinancials(ticker,statement,D$9,type,$B84,rounding),"")</f>
        <v/>
      </c>
      <c r="E84" s="147" t="str">
        <f>IFERROR([1]!IntrinioFinancials(ticker,statement,E$9,type,$B84,rounding),"")</f>
        <v/>
      </c>
      <c r="F84" s="147" t="str">
        <f>IFERROR([1]!IntrinioFinancials(ticker,statement,F$9,type,$B84,rounding),"")</f>
        <v/>
      </c>
      <c r="G84" s="147" t="str">
        <f>IFERROR([1]!IntrinioFinancials(ticker,statement,G$9,type,$B84,rounding),"")</f>
        <v/>
      </c>
      <c r="H84" s="147" t="str">
        <f>IFERROR([1]!IntrinioFinancials(ticker,statement,H$9,type,$B84,rounding),"")</f>
        <v/>
      </c>
    </row>
    <row r="85" spans="1:8" ht="15.75" x14ac:dyDescent="0.5">
      <c r="D85" s="143"/>
      <c r="E85" s="143"/>
      <c r="F85" s="143"/>
      <c r="G85" s="143"/>
      <c r="H85" s="143"/>
    </row>
    <row r="86" spans="1:8" ht="15.75" x14ac:dyDescent="0.5">
      <c r="A86" s="73" t="s">
        <v>194</v>
      </c>
      <c r="B86" s="66" t="s">
        <v>195</v>
      </c>
      <c r="D86" s="147" t="str">
        <f>IFERROR([1]!IntrinioFinancials(ticker,statement,D$9,type,$B86,rounding),"")</f>
        <v/>
      </c>
      <c r="E86" s="147" t="str">
        <f>IFERROR([1]!IntrinioFinancials(ticker,statement,E$9,type,$B86,rounding),"")</f>
        <v/>
      </c>
      <c r="F86" s="147" t="str">
        <f>IFERROR([1]!IntrinioFinancials(ticker,statement,F$9,type,$B86,rounding),"")</f>
        <v/>
      </c>
      <c r="G86" s="147" t="str">
        <f>IFERROR([1]!IntrinioFinancials(ticker,statement,G$9,type,$B86,rounding),"")</f>
        <v/>
      </c>
      <c r="H86" s="147" t="str">
        <f>IFERROR([1]!IntrinioFinancials(ticker,statement,H$9,type,$B86,rounding),"")</f>
        <v/>
      </c>
    </row>
    <row r="87" spans="1:8" ht="15.75" x14ac:dyDescent="0.5">
      <c r="D87" s="143"/>
      <c r="E87" s="143"/>
      <c r="F87" s="143"/>
      <c r="G87" s="143"/>
      <c r="H87" s="143"/>
    </row>
    <row r="88" spans="1:8" ht="15.75" x14ac:dyDescent="0.5">
      <c r="A88" s="55" t="s">
        <v>196</v>
      </c>
      <c r="B88" s="56" t="s">
        <v>197</v>
      </c>
      <c r="D88" s="144" t="str">
        <f>IFERROR([1]!IntrinioFinancials(ticker,statement,D$9,type,$B88,rounding),"")</f>
        <v/>
      </c>
      <c r="E88" s="144" t="str">
        <f>IFERROR([1]!IntrinioFinancials(ticker,statement,E$9,type,$B88,rounding),"")</f>
        <v/>
      </c>
      <c r="F88" s="144" t="str">
        <f>IFERROR([1]!IntrinioFinancials(ticker,statement,F$9,type,$B88,rounding),"")</f>
        <v/>
      </c>
      <c r="G88" s="144" t="str">
        <f>IFERROR([1]!IntrinioFinancials(ticker,statement,G$9,type,$B88,rounding),"")</f>
        <v/>
      </c>
      <c r="H88" s="144" t="str">
        <f>IFERROR([1]!IntrinioFinancials(ticker,statement,H$9,type,$B88,rounding),"")</f>
        <v/>
      </c>
    </row>
    <row r="89" spans="1:8" ht="15.75" x14ac:dyDescent="0.5">
      <c r="A89" s="73" t="s">
        <v>198</v>
      </c>
      <c r="B89" s="56" t="s">
        <v>199</v>
      </c>
      <c r="D89" s="147" t="str">
        <f>IFERROR([1]!IntrinioFinancials(ticker,statement,D$9,type,$B89,rounding),"")</f>
        <v/>
      </c>
      <c r="E89" s="147" t="str">
        <f>IFERROR([1]!IntrinioFinancials(ticker,statement,E$9,type,$B89,rounding),"")</f>
        <v/>
      </c>
      <c r="F89" s="147" t="str">
        <f>IFERROR([1]!IntrinioFinancials(ticker,statement,F$9,type,$B89,rounding),"")</f>
        <v/>
      </c>
      <c r="G89" s="147" t="str">
        <f>IFERROR([1]!IntrinioFinancials(ticker,statement,G$9,type,$B89,rounding),"")</f>
        <v/>
      </c>
      <c r="H89" s="147" t="str">
        <f>IFERROR([1]!IntrinioFinancials(ticker,statement,H$9,type,$B89,rounding),"")</f>
        <v/>
      </c>
    </row>
    <row r="90" spans="1:8" ht="15.75" x14ac:dyDescent="0.5">
      <c r="A90" s="65"/>
      <c r="D90" s="144"/>
      <c r="E90" s="144"/>
      <c r="F90" s="144"/>
      <c r="G90" s="144"/>
      <c r="H90" s="144"/>
    </row>
    <row r="91" spans="1:8" ht="16.149999999999999" thickBot="1" x14ac:dyDescent="0.55000000000000004">
      <c r="A91" s="74" t="s">
        <v>200</v>
      </c>
      <c r="B91" s="56" t="s">
        <v>201</v>
      </c>
      <c r="D91" s="148" t="str">
        <f>IFERROR([1]!IntrinioFinancials(ticker,statement,D$9,type,$B91,rounding),"")</f>
        <v/>
      </c>
      <c r="E91" s="148" t="str">
        <f>IFERROR([1]!IntrinioFinancials(ticker,statement,E$9,type,$B91,rounding),"")</f>
        <v/>
      </c>
      <c r="F91" s="148" t="str">
        <f>IFERROR([1]!IntrinioFinancials(ticker,statement,F$9,type,$B91,rounding),"")</f>
        <v/>
      </c>
      <c r="G91" s="148" t="str">
        <f>IFERROR([1]!IntrinioFinancials(ticker,statement,G$9,type,$B91,rounding),"")</f>
        <v/>
      </c>
      <c r="H91" s="148" t="str">
        <f>IFERROR([1]!IntrinioFinancials(ticker,statement,H$9,type,$B91,rounding),"")</f>
        <v/>
      </c>
    </row>
    <row r="92" spans="1:8" ht="14.65" thickTop="1" x14ac:dyDescent="0.45"/>
  </sheetData>
  <mergeCells count="1">
    <mergeCell ref="D1:H2"/>
  </mergeCells>
  <dataValidations count="1">
    <dataValidation type="list" allowBlank="1" showInputMessage="1" showErrorMessage="1" sqref="B8">
      <formula1>"FY,QTR"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/>
  </sheetPr>
  <dimension ref="A1:H56"/>
  <sheetViews>
    <sheetView showGridLines="0" zoomScale="90" zoomScaleNormal="90" zoomScalePageLayoutView="90" workbookViewId="0">
      <pane xSplit="2" ySplit="5" topLeftCell="C6" activePane="bottomRight" state="frozen"/>
      <selection activeCell="B7" sqref="B7"/>
      <selection pane="topRight" activeCell="B7" sqref="B7"/>
      <selection pane="bottomLeft" activeCell="B7" sqref="B7"/>
      <selection pane="bottomRight"/>
    </sheetView>
  </sheetViews>
  <sheetFormatPr defaultColWidth="9.1328125" defaultRowHeight="14.25" outlineLevelRow="1" outlineLevelCol="1" x14ac:dyDescent="0.45"/>
  <cols>
    <col min="1" max="1" width="51.73046875" customWidth="1"/>
    <col min="2" max="2" width="33.86328125" style="49" customWidth="1" outlineLevel="1"/>
    <col min="3" max="3" width="3.3984375" style="49" customWidth="1"/>
    <col min="4" max="8" width="19.6640625" customWidth="1"/>
    <col min="9" max="13" width="13.86328125" customWidth="1"/>
    <col min="15" max="15" width="13.86328125" customWidth="1"/>
  </cols>
  <sheetData>
    <row r="1" spans="1:8" ht="26.25" customHeight="1" x14ac:dyDescent="0.65">
      <c r="A1" s="31" t="str">
        <f>[1]!IntrinioDataPoint(ticker,"name")</f>
        <v/>
      </c>
      <c r="B1" s="32"/>
      <c r="C1" s="32"/>
      <c r="D1" s="220"/>
      <c r="E1" s="220"/>
      <c r="F1" s="220"/>
      <c r="G1" s="220"/>
      <c r="H1" s="220"/>
    </row>
    <row r="2" spans="1:8" ht="16.5" customHeight="1" thickBot="1" x14ac:dyDescent="0.55000000000000004">
      <c r="A2" s="33" t="str">
        <f>[1]!IntrinioDataPoint(ticker,"stock_exchange")&amp;IF(ticker="","",": ") &amp;ticker</f>
        <v/>
      </c>
      <c r="B2" s="34"/>
      <c r="C2" s="34"/>
      <c r="D2" s="221"/>
      <c r="E2" s="221"/>
      <c r="F2" s="221"/>
      <c r="G2" s="221"/>
      <c r="H2" s="221"/>
    </row>
    <row r="3" spans="1:8" ht="15.75" x14ac:dyDescent="0.5">
      <c r="A3" s="35"/>
      <c r="B3" s="36"/>
      <c r="C3" s="36"/>
      <c r="D3" s="37" t="str">
        <f>IFERROR([1]!IntrinioFundamentals(ticker,statement,type,D$9,"end_date"),"")</f>
        <v/>
      </c>
      <c r="E3" s="37" t="str">
        <f>IFERROR([1]!IntrinioFundamentals(ticker,statement,type,E$9,"end_date"),"")</f>
        <v/>
      </c>
      <c r="F3" s="37" t="str">
        <f>IFERROR([1]!IntrinioFundamentals(ticker,statement,type,F$9,"end_date"),"")</f>
        <v/>
      </c>
      <c r="G3" s="37" t="str">
        <f>IFERROR([1]!IntrinioFundamentals(ticker,statement,type,G$9,"end_date"),"")</f>
        <v/>
      </c>
      <c r="H3" s="37" t="str">
        <f>IFERROR([1]!IntrinioFundamentals(ticker,statement,type,H$9,"end_date"),"")</f>
        <v/>
      </c>
    </row>
    <row r="4" spans="1:8" ht="15.75" x14ac:dyDescent="0.5">
      <c r="A4" s="35"/>
      <c r="B4" s="36"/>
      <c r="C4" s="36"/>
      <c r="D4" s="112" t="str">
        <f>IFERROR([1]!IntrinioFundamentals(ticker,statement,type,D$9,"fiscal_period"),"")</f>
        <v/>
      </c>
      <c r="E4" s="112" t="str">
        <f>IFERROR([1]!IntrinioFundamentals(ticker,statement,type,E$9,"fiscal_period"),"")</f>
        <v/>
      </c>
      <c r="F4" s="112" t="str">
        <f>IFERROR([1]!IntrinioFundamentals(ticker,statement,type,F$9,"fiscal_period"),"")</f>
        <v/>
      </c>
      <c r="G4" s="112" t="str">
        <f>IFERROR([1]!IntrinioFundamentals(ticker,statement,type,G$9,"fiscal_period"),"")</f>
        <v/>
      </c>
      <c r="H4" s="112" t="str">
        <f>IFERROR([1]!IntrinioFundamentals(ticker,statement,type,H$9,"fiscal_period"),"")</f>
        <v/>
      </c>
    </row>
    <row r="5" spans="1:8" ht="16.149999999999999" thickBot="1" x14ac:dyDescent="0.55000000000000004">
      <c r="A5" s="38" t="str">
        <f>"In "&amp;IF(rounding = "A","USD",IF(rounding = "K","Thousands of USD",IF(rounding = "M","Millions of USD",IF(rounding = "B","Billions of USD","USD"))))</f>
        <v>In Millions of USD</v>
      </c>
      <c r="B5" s="39" t="s">
        <v>17</v>
      </c>
      <c r="C5" s="39"/>
      <c r="D5" s="113" t="str">
        <f>IFERROR([1]!IntrinioFundamentals(ticker,statement,type,D$9,"fiscal_year"),"")</f>
        <v/>
      </c>
      <c r="E5" s="113" t="str">
        <f>IFERROR([1]!IntrinioFundamentals(ticker,statement,type,E$9,"fiscal_year"),"")</f>
        <v/>
      </c>
      <c r="F5" s="113" t="str">
        <f>IFERROR([1]!IntrinioFundamentals(ticker,statement,type,F$9,"fiscal_year"),"")</f>
        <v/>
      </c>
      <c r="G5" s="113" t="str">
        <f>IFERROR([1]!IntrinioFundamentals(ticker,statement,type,G$9,"fiscal_year"),"")</f>
        <v/>
      </c>
      <c r="H5" s="113" t="str">
        <f>IFERROR([1]!IntrinioFundamentals(ticker,statement,type,H$9,"fiscal_year"),"")</f>
        <v/>
      </c>
    </row>
    <row r="6" spans="1:8" ht="16.149999999999999" thickBot="1" x14ac:dyDescent="0.55000000000000004">
      <c r="A6" s="41"/>
      <c r="B6" s="42"/>
      <c r="C6" s="42"/>
      <c r="D6" s="43"/>
      <c r="E6" s="43"/>
      <c r="F6" s="43"/>
      <c r="G6" s="43"/>
      <c r="H6" s="43"/>
    </row>
    <row r="7" spans="1:8" ht="16.149999999999999" outlineLevel="1" thickBot="1" x14ac:dyDescent="0.55000000000000004">
      <c r="A7" s="44" t="s">
        <v>18</v>
      </c>
      <c r="B7" s="45" t="s">
        <v>202</v>
      </c>
      <c r="C7" s="76"/>
      <c r="D7" s="43"/>
      <c r="E7" s="43"/>
      <c r="F7" s="43"/>
      <c r="G7" s="43"/>
      <c r="H7" s="43"/>
    </row>
    <row r="8" spans="1:8" ht="16.149999999999999" outlineLevel="1" thickBot="1" x14ac:dyDescent="0.55000000000000004">
      <c r="A8" s="44" t="s">
        <v>20</v>
      </c>
      <c r="B8" s="45" t="s">
        <v>21</v>
      </c>
      <c r="C8" s="76"/>
      <c r="D8" s="43"/>
      <c r="E8" s="43"/>
      <c r="F8" s="43"/>
      <c r="G8" s="43"/>
    </row>
    <row r="9" spans="1:8" ht="15.75" outlineLevel="1" x14ac:dyDescent="0.5">
      <c r="A9" s="44" t="s">
        <v>22</v>
      </c>
      <c r="B9" s="42"/>
      <c r="C9" s="42"/>
      <c r="D9" s="43">
        <f>+E9+1</f>
        <v>4</v>
      </c>
      <c r="E9" s="43">
        <f>+F9+1</f>
        <v>3</v>
      </c>
      <c r="F9" s="43">
        <f>+G9+1</f>
        <v>2</v>
      </c>
      <c r="G9" s="43">
        <f>+H9+1</f>
        <v>1</v>
      </c>
      <c r="H9" s="43">
        <v>0</v>
      </c>
    </row>
    <row r="10" spans="1:8" ht="15.75" outlineLevel="1" x14ac:dyDescent="0.5">
      <c r="A10" s="46"/>
      <c r="B10" s="42"/>
      <c r="C10" s="42"/>
      <c r="D10" s="43"/>
      <c r="E10" s="43"/>
      <c r="F10" s="43"/>
      <c r="G10" s="43"/>
      <c r="H10" s="43"/>
    </row>
    <row r="11" spans="1:8" ht="15.75" x14ac:dyDescent="0.5">
      <c r="A11" s="62" t="s">
        <v>203</v>
      </c>
      <c r="B11" s="64"/>
      <c r="C11" s="64"/>
      <c r="D11" s="6"/>
      <c r="E11" s="6"/>
      <c r="F11" s="6"/>
      <c r="G11" s="6"/>
      <c r="H11" s="6"/>
    </row>
    <row r="12" spans="1:8" ht="15.75" x14ac:dyDescent="0.5">
      <c r="A12" s="65" t="s">
        <v>82</v>
      </c>
      <c r="B12" s="66" t="s">
        <v>83</v>
      </c>
      <c r="C12" s="66"/>
      <c r="D12" s="154" t="str">
        <f>IFERROR([1]!IntrinioFinancials(ticker,statement,D$9,type,$B12,rounding),"")</f>
        <v/>
      </c>
      <c r="E12" s="154" t="str">
        <f>IFERROR([1]!IntrinioFinancials(ticker,statement,E$9,type,$B12,rounding),"")</f>
        <v/>
      </c>
      <c r="F12" s="154" t="str">
        <f>IFERROR([1]!IntrinioFinancials(ticker,statement,F$9,type,$B12,rounding),"")</f>
        <v/>
      </c>
      <c r="G12" s="154" t="str">
        <f>IFERROR([1]!IntrinioFinancials(ticker,statement,G$9,type,$B12,rounding),"")</f>
        <v/>
      </c>
      <c r="H12" s="154" t="str">
        <f>IFERROR([1]!IntrinioFinancials(ticker,statement,H$9,type,$B12,rounding),"")</f>
        <v/>
      </c>
    </row>
    <row r="13" spans="1:8" ht="15.75" x14ac:dyDescent="0.5">
      <c r="A13" s="65" t="s">
        <v>76</v>
      </c>
      <c r="B13" s="66" t="s">
        <v>77</v>
      </c>
      <c r="C13" s="66"/>
      <c r="D13" s="154" t="str">
        <f>IFERROR([1]!IntrinioFinancials(ticker,statement,D$9,type,$B13,rounding),"")</f>
        <v/>
      </c>
      <c r="E13" s="154" t="str">
        <f>IFERROR([1]!IntrinioFinancials(ticker,statement,E$9,type,$B13,rounding),"")</f>
        <v/>
      </c>
      <c r="F13" s="154" t="str">
        <f>IFERROR([1]!IntrinioFinancials(ticker,statement,F$9,type,$B13,rounding),"")</f>
        <v/>
      </c>
      <c r="G13" s="154" t="str">
        <f>IFERROR([1]!IntrinioFinancials(ticker,statement,G$9,type,$B13,rounding),"")</f>
        <v/>
      </c>
      <c r="H13" s="154" t="str">
        <f>IFERROR([1]!IntrinioFinancials(ticker,statement,H$9,type,$B13,rounding),"")</f>
        <v/>
      </c>
    </row>
    <row r="14" spans="1:8" ht="15.75" x14ac:dyDescent="0.5">
      <c r="A14" s="75" t="s">
        <v>74</v>
      </c>
      <c r="B14" s="42" t="s">
        <v>75</v>
      </c>
      <c r="C14" s="42"/>
      <c r="D14" s="147" t="str">
        <f>IFERROR([1]!IntrinioFinancials(ticker,statement,D$9,type,$B14,rounding),"")</f>
        <v/>
      </c>
      <c r="E14" s="147" t="str">
        <f>IFERROR([1]!IntrinioFinancials(ticker,statement,E$9,type,$B14,rounding),"")</f>
        <v/>
      </c>
      <c r="F14" s="147" t="str">
        <f>IFERROR([1]!IntrinioFinancials(ticker,statement,F$9,type,$B14,rounding),"")</f>
        <v/>
      </c>
      <c r="G14" s="147" t="str">
        <f>IFERROR([1]!IntrinioFinancials(ticker,statement,G$9,type,$B14,rounding),"")</f>
        <v/>
      </c>
      <c r="H14" s="147" t="str">
        <f>IFERROR([1]!IntrinioFinancials(ticker,statement,H$9,type,$B14,rounding),"")</f>
        <v/>
      </c>
    </row>
    <row r="15" spans="1:8" ht="15.75" x14ac:dyDescent="0.5">
      <c r="A15" s="65" t="s">
        <v>45</v>
      </c>
      <c r="B15" s="66" t="s">
        <v>46</v>
      </c>
      <c r="C15" s="66"/>
      <c r="D15" s="154" t="str">
        <f>IFERROR([1]!IntrinioFinancials(ticker,statement,D$9,type,$B15,rounding),"")</f>
        <v/>
      </c>
      <c r="E15" s="154" t="str">
        <f>IFERROR([1]!IntrinioFinancials(ticker,statement,E$9,type,$B15,rounding),"")</f>
        <v/>
      </c>
      <c r="F15" s="154" t="str">
        <f>IFERROR([1]!IntrinioFinancials(ticker,statement,F$9,type,$B15,rounding),"")</f>
        <v/>
      </c>
      <c r="G15" s="154" t="str">
        <f>IFERROR([1]!IntrinioFinancials(ticker,statement,G$9,type,$B15,rounding),"")</f>
        <v/>
      </c>
      <c r="H15" s="154" t="str">
        <f>IFERROR([1]!IntrinioFinancials(ticker,statement,H$9,type,$B15,rounding),"")</f>
        <v/>
      </c>
    </row>
    <row r="16" spans="1:8" ht="15.75" x14ac:dyDescent="0.5">
      <c r="A16" s="65" t="s">
        <v>47</v>
      </c>
      <c r="B16" s="66" t="s">
        <v>48</v>
      </c>
      <c r="C16" s="66"/>
      <c r="D16" s="154" t="str">
        <f>IFERROR([1]!IntrinioFinancials(ticker,statement,D$9,type,$B16,rounding),"")</f>
        <v/>
      </c>
      <c r="E16" s="154" t="str">
        <f>IFERROR([1]!IntrinioFinancials(ticker,statement,E$9,type,$B16,rounding),"")</f>
        <v/>
      </c>
      <c r="F16" s="154" t="str">
        <f>IFERROR([1]!IntrinioFinancials(ticker,statement,F$9,type,$B16,rounding),"")</f>
        <v/>
      </c>
      <c r="G16" s="154" t="str">
        <f>IFERROR([1]!IntrinioFinancials(ticker,statement,G$9,type,$B16,rounding),"")</f>
        <v/>
      </c>
      <c r="H16" s="154" t="str">
        <f>IFERROR([1]!IntrinioFinancials(ticker,statement,H$9,type,$B16,rounding),"")</f>
        <v/>
      </c>
    </row>
    <row r="17" spans="1:8" ht="15.75" x14ac:dyDescent="0.5">
      <c r="A17" s="65" t="s">
        <v>204</v>
      </c>
      <c r="B17" s="66" t="s">
        <v>205</v>
      </c>
      <c r="C17" s="66"/>
      <c r="D17" s="154" t="str">
        <f>IFERROR([1]!IntrinioFinancials(ticker,statement,D$9,type,$B17,rounding),"")</f>
        <v/>
      </c>
      <c r="E17" s="154" t="str">
        <f>IFERROR([1]!IntrinioFinancials(ticker,statement,E$9,type,$B17,rounding),"")</f>
        <v/>
      </c>
      <c r="F17" s="154" t="str">
        <f>IFERROR([1]!IntrinioFinancials(ticker,statement,F$9,type,$B17,rounding),"")</f>
        <v/>
      </c>
      <c r="G17" s="154" t="str">
        <f>IFERROR([1]!IntrinioFinancials(ticker,statement,G$9,type,$B17,rounding),"")</f>
        <v/>
      </c>
      <c r="H17" s="154" t="str">
        <f>IFERROR([1]!IntrinioFinancials(ticker,statement,H$9,type,$B17,rounding),"")</f>
        <v/>
      </c>
    </row>
    <row r="18" spans="1:8" ht="15.75" x14ac:dyDescent="0.5">
      <c r="A18" s="65" t="s">
        <v>206</v>
      </c>
      <c r="B18" s="66" t="s">
        <v>207</v>
      </c>
      <c r="C18" s="66"/>
      <c r="D18" s="154" t="str">
        <f>IFERROR([1]!IntrinioFinancials(ticker,statement,D$9,type,$B18,rounding),"")</f>
        <v/>
      </c>
      <c r="E18" s="154" t="str">
        <f>IFERROR([1]!IntrinioFinancials(ticker,statement,E$9,type,$B18,rounding),"")</f>
        <v/>
      </c>
      <c r="F18" s="154" t="str">
        <f>IFERROR([1]!IntrinioFinancials(ticker,statement,F$9,type,$B18,rounding),"")</f>
        <v/>
      </c>
      <c r="G18" s="154" t="str">
        <f>IFERROR([1]!IntrinioFinancials(ticker,statement,G$9,type,$B18,rounding),"")</f>
        <v/>
      </c>
      <c r="H18" s="154" t="str">
        <f>IFERROR([1]!IntrinioFinancials(ticker,statement,H$9,type,$B18,rounding),"")</f>
        <v/>
      </c>
    </row>
    <row r="19" spans="1:8" ht="15.75" x14ac:dyDescent="0.5">
      <c r="A19" s="75" t="s">
        <v>208</v>
      </c>
      <c r="B19" s="42" t="s">
        <v>209</v>
      </c>
      <c r="C19" s="42"/>
      <c r="D19" s="147" t="str">
        <f>IFERROR([1]!IntrinioFinancials(ticker,statement,D$9,type,$B19,rounding),"")</f>
        <v/>
      </c>
      <c r="E19" s="147" t="str">
        <f>IFERROR([1]!IntrinioFinancials(ticker,statement,E$9,type,$B19,rounding),"")</f>
        <v/>
      </c>
      <c r="F19" s="147" t="str">
        <f>IFERROR([1]!IntrinioFinancials(ticker,statement,F$9,type,$B19,rounding),"")</f>
        <v/>
      </c>
      <c r="G19" s="147" t="str">
        <f>IFERROR([1]!IntrinioFinancials(ticker,statement,G$9,type,$B19,rounding),"")</f>
        <v/>
      </c>
      <c r="H19" s="147" t="str">
        <f>IFERROR([1]!IntrinioFinancials(ticker,statement,H$9,type,$B19,rounding),"")</f>
        <v/>
      </c>
    </row>
    <row r="20" spans="1:8" ht="15.75" x14ac:dyDescent="0.5">
      <c r="A20" s="75" t="s">
        <v>210</v>
      </c>
      <c r="B20" s="42" t="s">
        <v>211</v>
      </c>
      <c r="C20" s="42"/>
      <c r="D20" s="143" t="str">
        <f>IFERROR([1]!IntrinioFinancials(ticker,statement,D$9,type,$B20,rounding),"")</f>
        <v/>
      </c>
      <c r="E20" s="143" t="str">
        <f>IFERROR([1]!IntrinioFinancials(ticker,statement,E$9,type,$B20,rounding),"")</f>
        <v/>
      </c>
      <c r="F20" s="143" t="str">
        <f>IFERROR([1]!IntrinioFinancials(ticker,statement,F$9,type,$B20,rounding),"")</f>
        <v/>
      </c>
      <c r="G20" s="143" t="str">
        <f>IFERROR([1]!IntrinioFinancials(ticker,statement,G$9,type,$B20,rounding),"")</f>
        <v/>
      </c>
      <c r="H20" s="143" t="str">
        <f>IFERROR([1]!IntrinioFinancials(ticker,statement,H$9,type,$B20,rounding),"")</f>
        <v/>
      </c>
    </row>
    <row r="21" spans="1:8" ht="15.75" x14ac:dyDescent="0.5">
      <c r="A21" s="73" t="s">
        <v>203</v>
      </c>
      <c r="B21" s="66" t="s">
        <v>212</v>
      </c>
      <c r="C21" s="66"/>
      <c r="D21" s="147" t="str">
        <f>IFERROR([1]!IntrinioFinancials(ticker,statement,D$9,type,$B21,rounding),"")</f>
        <v/>
      </c>
      <c r="E21" s="147" t="str">
        <f>IFERROR([1]!IntrinioFinancials(ticker,statement,E$9,type,$B21,rounding),"")</f>
        <v/>
      </c>
      <c r="F21" s="147" t="str">
        <f>IFERROR([1]!IntrinioFinancials(ticker,statement,F$9,type,$B21,rounding),"")</f>
        <v/>
      </c>
      <c r="G21" s="147" t="str">
        <f>IFERROR([1]!IntrinioFinancials(ticker,statement,G$9,type,$B21,rounding),"")</f>
        <v/>
      </c>
      <c r="H21" s="147" t="str">
        <f>IFERROR([1]!IntrinioFinancials(ticker,statement,H$9,type,$B21,rounding),"")</f>
        <v/>
      </c>
    </row>
    <row r="22" spans="1:8" ht="15.75" x14ac:dyDescent="0.5">
      <c r="A22" s="65"/>
      <c r="B22" s="66"/>
      <c r="C22" s="66"/>
      <c r="D22" s="154"/>
      <c r="E22" s="154"/>
      <c r="F22" s="154"/>
      <c r="G22" s="154"/>
      <c r="H22" s="154"/>
    </row>
    <row r="23" spans="1:8" ht="15.75" x14ac:dyDescent="0.5">
      <c r="A23" s="62" t="s">
        <v>213</v>
      </c>
      <c r="B23" s="66"/>
      <c r="C23" s="66"/>
      <c r="D23" s="154"/>
      <c r="E23" s="154"/>
      <c r="F23" s="154"/>
      <c r="G23" s="154"/>
      <c r="H23" s="154"/>
    </row>
    <row r="24" spans="1:8" ht="15.75" x14ac:dyDescent="0.5">
      <c r="A24" s="65" t="s">
        <v>214</v>
      </c>
      <c r="B24" s="66" t="s">
        <v>215</v>
      </c>
      <c r="C24" s="66"/>
      <c r="D24" s="154" t="str">
        <f>IFERROR([1]!IntrinioFinancials(ticker,statement,D$9,type,$B24,rounding),"")</f>
        <v/>
      </c>
      <c r="E24" s="154" t="str">
        <f>IFERROR([1]!IntrinioFinancials(ticker,statement,E$9,type,$B24,rounding),"")</f>
        <v/>
      </c>
      <c r="F24" s="154" t="str">
        <f>IFERROR([1]!IntrinioFinancials(ticker,statement,F$9,type,$B24,rounding),"")</f>
        <v/>
      </c>
      <c r="G24" s="154" t="str">
        <f>IFERROR([1]!IntrinioFinancials(ticker,statement,G$9,type,$B24,rounding),"")</f>
        <v/>
      </c>
      <c r="H24" s="154" t="str">
        <f>IFERROR([1]!IntrinioFinancials(ticker,statement,H$9,type,$B24,rounding),"")</f>
        <v/>
      </c>
    </row>
    <row r="25" spans="1:8" ht="15.75" x14ac:dyDescent="0.5">
      <c r="A25" s="65" t="s">
        <v>216</v>
      </c>
      <c r="B25" s="66" t="s">
        <v>217</v>
      </c>
      <c r="C25" s="66"/>
      <c r="D25" s="154" t="str">
        <f>IFERROR([1]!IntrinioFinancials(ticker,statement,D$9,type,$B25,rounding),"")</f>
        <v/>
      </c>
      <c r="E25" s="154" t="str">
        <f>IFERROR([1]!IntrinioFinancials(ticker,statement,E$9,type,$B25,rounding),"")</f>
        <v/>
      </c>
      <c r="F25" s="154" t="str">
        <f>IFERROR([1]!IntrinioFinancials(ticker,statement,F$9,type,$B25,rounding),"")</f>
        <v/>
      </c>
      <c r="G25" s="154" t="str">
        <f>IFERROR([1]!IntrinioFinancials(ticker,statement,G$9,type,$B25,rounding),"")</f>
        <v/>
      </c>
      <c r="H25" s="154" t="str">
        <f>IFERROR([1]!IntrinioFinancials(ticker,statement,H$9,type,$B25,rounding),"")</f>
        <v/>
      </c>
    </row>
    <row r="26" spans="1:8" ht="15.75" x14ac:dyDescent="0.5">
      <c r="A26" s="65" t="s">
        <v>218</v>
      </c>
      <c r="B26" s="66" t="s">
        <v>219</v>
      </c>
      <c r="C26" s="66"/>
      <c r="D26" s="154" t="str">
        <f>IFERROR([1]!IntrinioFinancials(ticker,statement,D$9,type,$B26,rounding),"")</f>
        <v/>
      </c>
      <c r="E26" s="154" t="str">
        <f>IFERROR([1]!IntrinioFinancials(ticker,statement,E$9,type,$B26,rounding),"")</f>
        <v/>
      </c>
      <c r="F26" s="154" t="str">
        <f>IFERROR([1]!IntrinioFinancials(ticker,statement,F$9,type,$B26,rounding),"")</f>
        <v/>
      </c>
      <c r="G26" s="154" t="str">
        <f>IFERROR([1]!IntrinioFinancials(ticker,statement,G$9,type,$B26,rounding),"")</f>
        <v/>
      </c>
      <c r="H26" s="154" t="str">
        <f>IFERROR([1]!IntrinioFinancials(ticker,statement,H$9,type,$B26,rounding),"")</f>
        <v/>
      </c>
    </row>
    <row r="27" spans="1:8" ht="15.75" x14ac:dyDescent="0.5">
      <c r="A27" s="65" t="s">
        <v>220</v>
      </c>
      <c r="B27" s="66" t="s">
        <v>221</v>
      </c>
      <c r="C27" s="66"/>
      <c r="D27" s="154" t="str">
        <f>IFERROR([1]!IntrinioFinancials(ticker,statement,D$9,type,$B27,rounding),"")</f>
        <v/>
      </c>
      <c r="E27" s="154" t="str">
        <f>IFERROR([1]!IntrinioFinancials(ticker,statement,E$9,type,$B27,rounding),"")</f>
        <v/>
      </c>
      <c r="F27" s="154" t="str">
        <f>IFERROR([1]!IntrinioFinancials(ticker,statement,F$9,type,$B27,rounding),"")</f>
        <v/>
      </c>
      <c r="G27" s="154" t="str">
        <f>IFERROR([1]!IntrinioFinancials(ticker,statement,G$9,type,$B27,rounding),"")</f>
        <v/>
      </c>
      <c r="H27" s="154" t="str">
        <f>IFERROR([1]!IntrinioFinancials(ticker,statement,H$9,type,$B27,rounding),"")</f>
        <v/>
      </c>
    </row>
    <row r="28" spans="1:8" ht="15.75" x14ac:dyDescent="0.5">
      <c r="A28" s="65" t="s">
        <v>222</v>
      </c>
      <c r="B28" s="66" t="s">
        <v>223</v>
      </c>
      <c r="C28" s="66"/>
      <c r="D28" s="154" t="str">
        <f>IFERROR([1]!IntrinioFinancials(ticker,statement,D$9,type,$B28,rounding),"")</f>
        <v/>
      </c>
      <c r="E28" s="154" t="str">
        <f>IFERROR([1]!IntrinioFinancials(ticker,statement,E$9,type,$B28,rounding),"")</f>
        <v/>
      </c>
      <c r="F28" s="154" t="str">
        <f>IFERROR([1]!IntrinioFinancials(ticker,statement,F$9,type,$B28,rounding),"")</f>
        <v/>
      </c>
      <c r="G28" s="154" t="str">
        <f>IFERROR([1]!IntrinioFinancials(ticker,statement,G$9,type,$B28,rounding),"")</f>
        <v/>
      </c>
      <c r="H28" s="154" t="str">
        <f>IFERROR([1]!IntrinioFinancials(ticker,statement,H$9,type,$B28,rounding),"")</f>
        <v/>
      </c>
    </row>
    <row r="29" spans="1:8" ht="15.75" x14ac:dyDescent="0.5">
      <c r="A29" s="65" t="s">
        <v>224</v>
      </c>
      <c r="B29" s="66" t="s">
        <v>225</v>
      </c>
      <c r="C29" s="66"/>
      <c r="D29" s="154" t="str">
        <f>IFERROR([1]!IntrinioFinancials(ticker,statement,D$9,type,$B29,rounding),"")</f>
        <v/>
      </c>
      <c r="E29" s="154" t="str">
        <f>IFERROR([1]!IntrinioFinancials(ticker,statement,E$9,type,$B29,rounding),"")</f>
        <v/>
      </c>
      <c r="F29" s="154" t="str">
        <f>IFERROR([1]!IntrinioFinancials(ticker,statement,F$9,type,$B29,rounding),"")</f>
        <v/>
      </c>
      <c r="G29" s="154" t="str">
        <f>IFERROR([1]!IntrinioFinancials(ticker,statement,G$9,type,$B29,rounding),"")</f>
        <v/>
      </c>
      <c r="H29" s="154" t="str">
        <f>IFERROR([1]!IntrinioFinancials(ticker,statement,H$9,type,$B29,rounding),"")</f>
        <v/>
      </c>
    </row>
    <row r="30" spans="1:8" ht="15.75" x14ac:dyDescent="0.5">
      <c r="A30" s="65" t="s">
        <v>226</v>
      </c>
      <c r="B30" s="66" t="s">
        <v>227</v>
      </c>
      <c r="C30" s="66"/>
      <c r="D30" s="154" t="str">
        <f>IFERROR([1]!IntrinioFinancials(ticker,statement,D$9,type,$B30,rounding),"")</f>
        <v/>
      </c>
      <c r="E30" s="154" t="str">
        <f>IFERROR([1]!IntrinioFinancials(ticker,statement,E$9,type,$B30,rounding),"")</f>
        <v/>
      </c>
      <c r="F30" s="154" t="str">
        <f>IFERROR([1]!IntrinioFinancials(ticker,statement,F$9,type,$B30,rounding),"")</f>
        <v/>
      </c>
      <c r="G30" s="154" t="str">
        <f>IFERROR([1]!IntrinioFinancials(ticker,statement,G$9,type,$B30,rounding),"")</f>
        <v/>
      </c>
      <c r="H30" s="154" t="str">
        <f>IFERROR([1]!IntrinioFinancials(ticker,statement,H$9,type,$B30,rounding),"")</f>
        <v/>
      </c>
    </row>
    <row r="31" spans="1:8" ht="15.75" x14ac:dyDescent="0.5">
      <c r="A31" s="75" t="s">
        <v>228</v>
      </c>
      <c r="B31" s="42" t="s">
        <v>229</v>
      </c>
      <c r="C31" s="42"/>
      <c r="D31" s="147" t="str">
        <f>IFERROR([1]!IntrinioFinancials(ticker,statement,D$9,type,$B31,rounding),"")</f>
        <v/>
      </c>
      <c r="E31" s="147" t="str">
        <f>IFERROR([1]!IntrinioFinancials(ticker,statement,E$9,type,$B31,rounding),"")</f>
        <v/>
      </c>
      <c r="F31" s="147" t="str">
        <f>IFERROR([1]!IntrinioFinancials(ticker,statement,F$9,type,$B31,rounding),"")</f>
        <v/>
      </c>
      <c r="G31" s="147" t="str">
        <f>IFERROR([1]!IntrinioFinancials(ticker,statement,G$9,type,$B31,rounding),"")</f>
        <v/>
      </c>
      <c r="H31" s="147" t="str">
        <f>IFERROR([1]!IntrinioFinancials(ticker,statement,H$9,type,$B31,rounding),"")</f>
        <v/>
      </c>
    </row>
    <row r="32" spans="1:8" ht="15.75" x14ac:dyDescent="0.5">
      <c r="A32" s="75" t="s">
        <v>230</v>
      </c>
      <c r="B32" s="42" t="s">
        <v>231</v>
      </c>
      <c r="C32" s="42"/>
      <c r="D32" s="143" t="str">
        <f>IFERROR([1]!IntrinioFinancials(ticker,statement,D$9,type,$B32,rounding),"")</f>
        <v/>
      </c>
      <c r="E32" s="143" t="str">
        <f>IFERROR([1]!IntrinioFinancials(ticker,statement,E$9,type,$B32,rounding),"")</f>
        <v/>
      </c>
      <c r="F32" s="143" t="str">
        <f>IFERROR([1]!IntrinioFinancials(ticker,statement,F$9,type,$B32,rounding),"")</f>
        <v/>
      </c>
      <c r="G32" s="143" t="str">
        <f>IFERROR([1]!IntrinioFinancials(ticker,statement,G$9,type,$B32,rounding),"")</f>
        <v/>
      </c>
      <c r="H32" s="143" t="str">
        <f>IFERROR([1]!IntrinioFinancials(ticker,statement,H$9,type,$B32,rounding),"")</f>
        <v/>
      </c>
    </row>
    <row r="33" spans="1:8" ht="15.75" x14ac:dyDescent="0.5">
      <c r="A33" s="73" t="s">
        <v>213</v>
      </c>
      <c r="B33" s="66" t="s">
        <v>232</v>
      </c>
      <c r="C33" s="66"/>
      <c r="D33" s="147" t="str">
        <f>IFERROR([1]!IntrinioFinancials(ticker,statement,D$9,type,$B33,rounding),"")</f>
        <v/>
      </c>
      <c r="E33" s="147" t="str">
        <f>IFERROR([1]!IntrinioFinancials(ticker,statement,E$9,type,$B33,rounding),"")</f>
        <v/>
      </c>
      <c r="F33" s="147" t="str">
        <f>IFERROR([1]!IntrinioFinancials(ticker,statement,F$9,type,$B33,rounding),"")</f>
        <v/>
      </c>
      <c r="G33" s="147" t="str">
        <f>IFERROR([1]!IntrinioFinancials(ticker,statement,G$9,type,$B33,rounding),"")</f>
        <v/>
      </c>
      <c r="H33" s="147" t="str">
        <f>IFERROR([1]!IntrinioFinancials(ticker,statement,H$9,type,$B33,rounding),"")</f>
        <v/>
      </c>
    </row>
    <row r="34" spans="1:8" ht="15.75" x14ac:dyDescent="0.5">
      <c r="A34" s="65"/>
      <c r="B34" s="66"/>
      <c r="C34" s="66"/>
      <c r="D34" s="154"/>
      <c r="E34" s="154"/>
      <c r="F34" s="154"/>
      <c r="G34" s="154"/>
      <c r="H34" s="154"/>
    </row>
    <row r="35" spans="1:8" ht="15.75" x14ac:dyDescent="0.5">
      <c r="A35" s="62" t="s">
        <v>233</v>
      </c>
      <c r="B35" s="66"/>
      <c r="C35" s="66"/>
      <c r="D35" s="154"/>
      <c r="E35" s="154"/>
      <c r="F35" s="154"/>
      <c r="G35" s="154"/>
      <c r="H35" s="154"/>
    </row>
    <row r="36" spans="1:8" ht="15.75" x14ac:dyDescent="0.5">
      <c r="A36" s="65" t="s">
        <v>234</v>
      </c>
      <c r="B36" s="66" t="s">
        <v>235</v>
      </c>
      <c r="C36" s="66"/>
      <c r="D36" s="154" t="str">
        <f>IFERROR([1]!IntrinioFinancials(ticker,statement,D$9,type,$B36,rounding),"")</f>
        <v/>
      </c>
      <c r="E36" s="154" t="str">
        <f>IFERROR([1]!IntrinioFinancials(ticker,statement,E$9,type,$B36,rounding),"")</f>
        <v/>
      </c>
      <c r="F36" s="154" t="str">
        <f>IFERROR([1]!IntrinioFinancials(ticker,statement,F$9,type,$B36,rounding),"")</f>
        <v/>
      </c>
      <c r="G36" s="154" t="str">
        <f>IFERROR([1]!IntrinioFinancials(ticker,statement,G$9,type,$B36,rounding),"")</f>
        <v/>
      </c>
      <c r="H36" s="154" t="str">
        <f>IFERROR([1]!IntrinioFinancials(ticker,statement,H$9,type,$B36,rounding),"")</f>
        <v/>
      </c>
    </row>
    <row r="37" spans="1:8" ht="15.75" x14ac:dyDescent="0.5">
      <c r="A37" s="65" t="s">
        <v>236</v>
      </c>
      <c r="B37" s="66" t="s">
        <v>237</v>
      </c>
      <c r="C37" s="66"/>
      <c r="D37" s="154" t="str">
        <f>IFERROR([1]!IntrinioFinancials(ticker,statement,D$9,type,$B37,rounding),"")</f>
        <v/>
      </c>
      <c r="E37" s="154" t="str">
        <f>IFERROR([1]!IntrinioFinancials(ticker,statement,E$9,type,$B37,rounding),"")</f>
        <v/>
      </c>
      <c r="F37" s="154" t="str">
        <f>IFERROR([1]!IntrinioFinancials(ticker,statement,F$9,type,$B37,rounding),"")</f>
        <v/>
      </c>
      <c r="G37" s="154" t="str">
        <f>IFERROR([1]!IntrinioFinancials(ticker,statement,G$9,type,$B37,rounding),"")</f>
        <v/>
      </c>
      <c r="H37" s="154" t="str">
        <f>IFERROR([1]!IntrinioFinancials(ticker,statement,H$9,type,$B37,rounding),"")</f>
        <v/>
      </c>
    </row>
    <row r="38" spans="1:8" ht="15.75" x14ac:dyDescent="0.5">
      <c r="A38" s="65" t="s">
        <v>238</v>
      </c>
      <c r="B38" s="66" t="s">
        <v>239</v>
      </c>
      <c r="C38" s="66"/>
      <c r="D38" s="154" t="str">
        <f>IFERROR([1]!IntrinioFinancials(ticker,statement,D$9,type,$B38,rounding),"")</f>
        <v/>
      </c>
      <c r="E38" s="154" t="str">
        <f>IFERROR([1]!IntrinioFinancials(ticker,statement,E$9,type,$B38,rounding),"")</f>
        <v/>
      </c>
      <c r="F38" s="154" t="str">
        <f>IFERROR([1]!IntrinioFinancials(ticker,statement,F$9,type,$B38,rounding),"")</f>
        <v/>
      </c>
      <c r="G38" s="154" t="str">
        <f>IFERROR([1]!IntrinioFinancials(ticker,statement,G$9,type,$B38,rounding),"")</f>
        <v/>
      </c>
      <c r="H38" s="154" t="str">
        <f>IFERROR([1]!IntrinioFinancials(ticker,statement,H$9,type,$B38,rounding),"")</f>
        <v/>
      </c>
    </row>
    <row r="39" spans="1:8" ht="15.75" x14ac:dyDescent="0.5">
      <c r="A39" s="65" t="s">
        <v>240</v>
      </c>
      <c r="B39" s="66" t="s">
        <v>241</v>
      </c>
      <c r="C39" s="66"/>
      <c r="D39" s="154" t="str">
        <f>IFERROR([1]!IntrinioFinancials(ticker,statement,D$9,type,$B39,rounding),"")</f>
        <v/>
      </c>
      <c r="E39" s="154" t="str">
        <f>IFERROR([1]!IntrinioFinancials(ticker,statement,E$9,type,$B39,rounding),"")</f>
        <v/>
      </c>
      <c r="F39" s="154" t="str">
        <f>IFERROR([1]!IntrinioFinancials(ticker,statement,F$9,type,$B39,rounding),"")</f>
        <v/>
      </c>
      <c r="G39" s="154" t="str">
        <f>IFERROR([1]!IntrinioFinancials(ticker,statement,G$9,type,$B39,rounding),"")</f>
        <v/>
      </c>
      <c r="H39" s="154" t="str">
        <f>IFERROR([1]!IntrinioFinancials(ticker,statement,H$9,type,$B39,rounding),"")</f>
        <v/>
      </c>
    </row>
    <row r="40" spans="1:8" ht="15.75" x14ac:dyDescent="0.5">
      <c r="A40" s="65" t="s">
        <v>242</v>
      </c>
      <c r="B40" s="66" t="s">
        <v>243</v>
      </c>
      <c r="C40" s="66"/>
      <c r="D40" s="154" t="str">
        <f>IFERROR([1]!IntrinioFinancials(ticker,statement,D$9,type,$B40,rounding),"")</f>
        <v/>
      </c>
      <c r="E40" s="154" t="str">
        <f>IFERROR([1]!IntrinioFinancials(ticker,statement,E$9,type,$B40,rounding),"")</f>
        <v/>
      </c>
      <c r="F40" s="154" t="str">
        <f>IFERROR([1]!IntrinioFinancials(ticker,statement,F$9,type,$B40,rounding),"")</f>
        <v/>
      </c>
      <c r="G40" s="154" t="str">
        <f>IFERROR([1]!IntrinioFinancials(ticker,statement,G$9,type,$B40,rounding),"")</f>
        <v/>
      </c>
      <c r="H40" s="154" t="str">
        <f>IFERROR([1]!IntrinioFinancials(ticker,statement,H$9,type,$B40,rounding),"")</f>
        <v/>
      </c>
    </row>
    <row r="41" spans="1:8" ht="15.75" x14ac:dyDescent="0.5">
      <c r="A41" s="65" t="s">
        <v>244</v>
      </c>
      <c r="B41" s="66" t="s">
        <v>245</v>
      </c>
      <c r="C41" s="66"/>
      <c r="D41" s="154" t="str">
        <f>IFERROR([1]!IntrinioFinancials(ticker,statement,D$9,type,$B41,rounding),"")</f>
        <v/>
      </c>
      <c r="E41" s="154" t="str">
        <f>IFERROR([1]!IntrinioFinancials(ticker,statement,E$9,type,$B41,rounding),"")</f>
        <v/>
      </c>
      <c r="F41" s="154" t="str">
        <f>IFERROR([1]!IntrinioFinancials(ticker,statement,F$9,type,$B41,rounding),"")</f>
        <v/>
      </c>
      <c r="G41" s="154" t="str">
        <f>IFERROR([1]!IntrinioFinancials(ticker,statement,G$9,type,$B41,rounding),"")</f>
        <v/>
      </c>
      <c r="H41" s="154" t="str">
        <f>IFERROR([1]!IntrinioFinancials(ticker,statement,H$9,type,$B41,rounding),"")</f>
        <v/>
      </c>
    </row>
    <row r="42" spans="1:8" ht="15.75" x14ac:dyDescent="0.5">
      <c r="A42" s="65" t="s">
        <v>246</v>
      </c>
      <c r="B42" s="66" t="s">
        <v>247</v>
      </c>
      <c r="C42" s="66"/>
      <c r="D42" s="154" t="str">
        <f>IFERROR([1]!IntrinioFinancials(ticker,statement,D$9,type,$B42,rounding),"")</f>
        <v/>
      </c>
      <c r="E42" s="154" t="str">
        <f>IFERROR([1]!IntrinioFinancials(ticker,statement,E$9,type,$B42,rounding),"")</f>
        <v/>
      </c>
      <c r="F42" s="154" t="str">
        <f>IFERROR([1]!IntrinioFinancials(ticker,statement,F$9,type,$B42,rounding),"")</f>
        <v/>
      </c>
      <c r="G42" s="154" t="str">
        <f>IFERROR([1]!IntrinioFinancials(ticker,statement,G$9,type,$B42,rounding),"")</f>
        <v/>
      </c>
      <c r="H42" s="154" t="str">
        <f>IFERROR([1]!IntrinioFinancials(ticker,statement,H$9,type,$B42,rounding),"")</f>
        <v/>
      </c>
    </row>
    <row r="43" spans="1:8" ht="15.75" x14ac:dyDescent="0.5">
      <c r="A43" s="65" t="s">
        <v>248</v>
      </c>
      <c r="B43" s="66" t="s">
        <v>249</v>
      </c>
      <c r="C43" s="66"/>
      <c r="D43" s="154" t="str">
        <f>IFERROR([1]!IntrinioFinancials(ticker,statement,D$9,type,$B43,rounding),"")</f>
        <v/>
      </c>
      <c r="E43" s="154" t="str">
        <f>IFERROR([1]!IntrinioFinancials(ticker,statement,E$9,type,$B43,rounding),"")</f>
        <v/>
      </c>
      <c r="F43" s="154" t="str">
        <f>IFERROR([1]!IntrinioFinancials(ticker,statement,F$9,type,$B43,rounding),"")</f>
        <v/>
      </c>
      <c r="G43" s="154" t="str">
        <f>IFERROR([1]!IntrinioFinancials(ticker,statement,G$9,type,$B43,rounding),"")</f>
        <v/>
      </c>
      <c r="H43" s="154" t="str">
        <f>IFERROR([1]!IntrinioFinancials(ticker,statement,H$9,type,$B43,rounding),"")</f>
        <v/>
      </c>
    </row>
    <row r="44" spans="1:8" ht="15.75" x14ac:dyDescent="0.5">
      <c r="A44" s="75" t="s">
        <v>250</v>
      </c>
      <c r="B44" s="42" t="s">
        <v>251</v>
      </c>
      <c r="C44" s="42"/>
      <c r="D44" s="147" t="str">
        <f>IFERROR([1]!IntrinioFinancials(ticker,statement,D$9,type,$B44,rounding),"")</f>
        <v/>
      </c>
      <c r="E44" s="147" t="str">
        <f>IFERROR([1]!IntrinioFinancials(ticker,statement,E$9,type,$B44,rounding),"")</f>
        <v/>
      </c>
      <c r="F44" s="147" t="str">
        <f>IFERROR([1]!IntrinioFinancials(ticker,statement,F$9,type,$B44,rounding),"")</f>
        <v/>
      </c>
      <c r="G44" s="147" t="str">
        <f>IFERROR([1]!IntrinioFinancials(ticker,statement,G$9,type,$B44,rounding),"")</f>
        <v/>
      </c>
      <c r="H44" s="147" t="str">
        <f>IFERROR([1]!IntrinioFinancials(ticker,statement,H$9,type,$B44,rounding),"")</f>
        <v/>
      </c>
    </row>
    <row r="45" spans="1:8" ht="15.75" x14ac:dyDescent="0.5">
      <c r="A45" s="75" t="s">
        <v>252</v>
      </c>
      <c r="B45" s="42" t="s">
        <v>253</v>
      </c>
      <c r="C45" s="42"/>
      <c r="D45" s="143" t="str">
        <f>IFERROR([1]!IntrinioFinancials(ticker,statement,D$9,type,$B45,rounding),"")</f>
        <v/>
      </c>
      <c r="E45" s="143" t="str">
        <f>IFERROR([1]!IntrinioFinancials(ticker,statement,E$9,type,$B45,rounding),"")</f>
        <v/>
      </c>
      <c r="F45" s="143" t="str">
        <f>IFERROR([1]!IntrinioFinancials(ticker,statement,F$9,type,$B45,rounding),"")</f>
        <v/>
      </c>
      <c r="G45" s="143" t="str">
        <f>IFERROR([1]!IntrinioFinancials(ticker,statement,G$9,type,$B45,rounding),"")</f>
        <v/>
      </c>
      <c r="H45" s="143" t="str">
        <f>IFERROR([1]!IntrinioFinancials(ticker,statement,H$9,type,$B45,rounding),"")</f>
        <v/>
      </c>
    </row>
    <row r="46" spans="1:8" ht="15.75" x14ac:dyDescent="0.5">
      <c r="A46" s="73" t="s">
        <v>233</v>
      </c>
      <c r="B46" s="66" t="s">
        <v>254</v>
      </c>
      <c r="C46" s="66"/>
      <c r="D46" s="147" t="str">
        <f>IFERROR([1]!IntrinioFinancials(ticker,statement,D$9,type,$B46,rounding),"")</f>
        <v/>
      </c>
      <c r="E46" s="147" t="str">
        <f>IFERROR([1]!IntrinioFinancials(ticker,statement,E$9,type,$B46,rounding),"")</f>
        <v/>
      </c>
      <c r="F46" s="147" t="str">
        <f>IFERROR([1]!IntrinioFinancials(ticker,statement,F$9,type,$B46,rounding),"")</f>
        <v/>
      </c>
      <c r="G46" s="147" t="str">
        <f>IFERROR([1]!IntrinioFinancials(ticker,statement,G$9,type,$B46,rounding),"")</f>
        <v/>
      </c>
      <c r="H46" s="147" t="str">
        <f>IFERROR([1]!IntrinioFinancials(ticker,statement,H$9,type,$B46,rounding),"")</f>
        <v/>
      </c>
    </row>
    <row r="47" spans="1:8" ht="15.75" x14ac:dyDescent="0.5">
      <c r="A47" s="65"/>
      <c r="B47" s="66"/>
      <c r="C47" s="66"/>
      <c r="D47" s="154"/>
      <c r="E47" s="154"/>
      <c r="F47" s="154"/>
      <c r="G47" s="154"/>
      <c r="H47" s="154"/>
    </row>
    <row r="48" spans="1:8" ht="15.75" x14ac:dyDescent="0.5">
      <c r="A48" s="65" t="s">
        <v>255</v>
      </c>
      <c r="B48" s="66" t="s">
        <v>256</v>
      </c>
      <c r="C48" s="66"/>
      <c r="D48" s="154" t="str">
        <f>IFERROR([1]!IntrinioFinancials(ticker,statement,D$9,type,$B48,rounding),"")</f>
        <v/>
      </c>
      <c r="E48" s="154" t="str">
        <f>IFERROR([1]!IntrinioFinancials(ticker,statement,E$9,type,$B48,rounding),"")</f>
        <v/>
      </c>
      <c r="F48" s="154" t="str">
        <f>IFERROR([1]!IntrinioFinancials(ticker,statement,F$9,type,$B48,rounding),"")</f>
        <v/>
      </c>
      <c r="G48" s="154" t="str">
        <f>IFERROR([1]!IntrinioFinancials(ticker,statement,G$9,type,$B48,rounding),"")</f>
        <v/>
      </c>
      <c r="H48" s="154" t="str">
        <f>IFERROR([1]!IntrinioFinancials(ticker,statement,H$9,type,$B48,rounding),"")</f>
        <v/>
      </c>
    </row>
    <row r="49" spans="1:8" ht="15.75" x14ac:dyDescent="0.5">
      <c r="A49" s="65" t="s">
        <v>257</v>
      </c>
      <c r="B49" s="66" t="s">
        <v>258</v>
      </c>
      <c r="C49" s="66"/>
      <c r="D49" s="154" t="str">
        <f>IFERROR([1]!IntrinioFinancials(ticker,statement,D$9,type,$B49,rounding),"")</f>
        <v/>
      </c>
      <c r="E49" s="154" t="str">
        <f>IFERROR([1]!IntrinioFinancials(ticker,statement,E$9,type,$B49,rounding),"")</f>
        <v/>
      </c>
      <c r="F49" s="154" t="str">
        <f>IFERROR([1]!IntrinioFinancials(ticker,statement,F$9,type,$B49,rounding),"")</f>
        <v/>
      </c>
      <c r="G49" s="154" t="str">
        <f>IFERROR([1]!IntrinioFinancials(ticker,statement,G$9,type,$B49,rounding),"")</f>
        <v/>
      </c>
      <c r="H49" s="154" t="str">
        <f>IFERROR([1]!IntrinioFinancials(ticker,statement,H$9,type,$B49,rounding),"")</f>
        <v/>
      </c>
    </row>
    <row r="50" spans="1:8" ht="15.75" x14ac:dyDescent="0.5">
      <c r="A50" s="65"/>
      <c r="B50" s="66"/>
      <c r="C50" s="66"/>
      <c r="D50" s="154"/>
      <c r="E50" s="154"/>
      <c r="F50" s="154"/>
      <c r="G50" s="154"/>
      <c r="H50" s="154"/>
    </row>
    <row r="51" spans="1:8" ht="16.149999999999999" thickBot="1" x14ac:dyDescent="0.55000000000000004">
      <c r="A51" s="74" t="s">
        <v>259</v>
      </c>
      <c r="B51" s="56" t="s">
        <v>260</v>
      </c>
      <c r="C51" s="56"/>
      <c r="D51" s="148" t="str">
        <f>IFERROR([1]!IntrinioFinancials(ticker,statement,D$9,type,$B51,rounding),"")</f>
        <v/>
      </c>
      <c r="E51" s="148" t="str">
        <f>IFERROR([1]!IntrinioFinancials(ticker,statement,E$9,type,$B51,rounding),"")</f>
        <v/>
      </c>
      <c r="F51" s="148" t="str">
        <f>IFERROR([1]!IntrinioFinancials(ticker,statement,F$9,type,$B51,rounding),"")</f>
        <v/>
      </c>
      <c r="G51" s="148" t="str">
        <f>IFERROR([1]!IntrinioFinancials(ticker,statement,G$9,type,$B51,rounding),"")</f>
        <v/>
      </c>
      <c r="H51" s="148" t="str">
        <f>IFERROR([1]!IntrinioFinancials(ticker,statement,H$9,type,$B51,rounding),"")</f>
        <v/>
      </c>
    </row>
    <row r="52" spans="1:8" ht="16.149999999999999" thickTop="1" x14ac:dyDescent="0.5">
      <c r="A52" s="65"/>
      <c r="B52" s="66"/>
      <c r="C52" s="66"/>
      <c r="D52" s="154"/>
      <c r="E52" s="154"/>
      <c r="F52" s="154"/>
      <c r="G52" s="154"/>
      <c r="H52" s="154"/>
    </row>
    <row r="53" spans="1:8" ht="15.75" x14ac:dyDescent="0.5">
      <c r="A53" s="63" t="s">
        <v>261</v>
      </c>
      <c r="B53" s="66"/>
      <c r="C53" s="66"/>
      <c r="D53" s="154"/>
      <c r="E53" s="154"/>
      <c r="F53" s="154"/>
      <c r="G53" s="154"/>
      <c r="H53" s="154"/>
    </row>
    <row r="54" spans="1:8" ht="15.75" x14ac:dyDescent="0.5">
      <c r="A54" s="65" t="s">
        <v>262</v>
      </c>
      <c r="B54" s="66" t="s">
        <v>263</v>
      </c>
      <c r="C54" s="66"/>
      <c r="D54" s="154" t="str">
        <f>IFERROR([1]!IntrinioFinancials(ticker,statement,D$9,type,$B54,rounding),"")</f>
        <v/>
      </c>
      <c r="E54" s="154" t="str">
        <f>IFERROR([1]!IntrinioFinancials(ticker,statement,E$9,type,$B54,rounding),"")</f>
        <v/>
      </c>
      <c r="F54" s="154" t="str">
        <f>IFERROR([1]!IntrinioFinancials(ticker,statement,F$9,type,$B54,rounding),"")</f>
        <v/>
      </c>
      <c r="G54" s="154" t="str">
        <f>IFERROR([1]!IntrinioFinancials(ticker,statement,G$9,type,$B54,rounding),"")</f>
        <v/>
      </c>
      <c r="H54" s="154" t="str">
        <f>IFERROR([1]!IntrinioFinancials(ticker,statement,H$9,type,$B54,rounding),"")</f>
        <v/>
      </c>
    </row>
    <row r="55" spans="1:8" ht="15.75" x14ac:dyDescent="0.5">
      <c r="A55" s="65" t="s">
        <v>264</v>
      </c>
      <c r="B55" s="66" t="s">
        <v>265</v>
      </c>
      <c r="C55" s="66"/>
      <c r="D55" s="154" t="str">
        <f>IFERROR([1]!IntrinioFinancials(ticker,statement,D$9,type,$B55,rounding),"")</f>
        <v/>
      </c>
      <c r="E55" s="154" t="str">
        <f>IFERROR([1]!IntrinioFinancials(ticker,statement,E$9,type,$B55,rounding),"")</f>
        <v/>
      </c>
      <c r="F55" s="154" t="str">
        <f>IFERROR([1]!IntrinioFinancials(ticker,statement,F$9,type,$B55,rounding),"")</f>
        <v/>
      </c>
      <c r="G55" s="154" t="str">
        <f>IFERROR([1]!IntrinioFinancials(ticker,statement,G$9,type,$B55,rounding),"")</f>
        <v/>
      </c>
      <c r="H55" s="154" t="str">
        <f>IFERROR([1]!IntrinioFinancials(ticker,statement,H$9,type,$B55,rounding),"")</f>
        <v/>
      </c>
    </row>
    <row r="56" spans="1:8" ht="15.75" x14ac:dyDescent="0.5">
      <c r="A56" s="65" t="s">
        <v>266</v>
      </c>
      <c r="B56" s="66" t="s">
        <v>267</v>
      </c>
      <c r="C56" s="66"/>
      <c r="D56" s="154" t="str">
        <f>IFERROR([1]!IntrinioFinancials(ticker,statement,D$9,type,$B56,rounding),"")</f>
        <v/>
      </c>
      <c r="E56" s="154" t="str">
        <f>IFERROR([1]!IntrinioFinancials(ticker,statement,E$9,type,$B56,rounding),"")</f>
        <v/>
      </c>
      <c r="F56" s="154" t="str">
        <f>IFERROR([1]!IntrinioFinancials(ticker,statement,F$9,type,$B56,rounding),"")</f>
        <v/>
      </c>
      <c r="G56" s="154" t="str">
        <f>IFERROR([1]!IntrinioFinancials(ticker,statement,G$9,type,$B56,rounding),"")</f>
        <v/>
      </c>
      <c r="H56" s="154" t="str">
        <f>IFERROR([1]!IntrinioFinancials(ticker,statement,H$9,type,$B56,rounding),"")</f>
        <v/>
      </c>
    </row>
  </sheetData>
  <mergeCells count="1">
    <mergeCell ref="D1:H2"/>
  </mergeCells>
  <dataValidations count="1">
    <dataValidation type="list" allowBlank="1" showInputMessage="1" showErrorMessage="1" sqref="B8">
      <formula1>"FY,QTR,TTM,YTD"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9"/>
  </sheetPr>
  <dimension ref="A1:H347"/>
  <sheetViews>
    <sheetView showGridLines="0" zoomScale="90" zoomScaleNormal="90" zoomScalePageLayoutView="90" workbookViewId="0">
      <pane xSplit="2" ySplit="5" topLeftCell="C6" activePane="bottomRight" state="frozen"/>
      <selection activeCell="B7" sqref="B7"/>
      <selection pane="topRight" activeCell="B7" sqref="B7"/>
      <selection pane="bottomLeft" activeCell="B7" sqref="B7"/>
      <selection pane="bottomRight"/>
    </sheetView>
  </sheetViews>
  <sheetFormatPr defaultColWidth="9.1328125" defaultRowHeight="14.25" outlineLevelRow="1" outlineLevelCol="1" x14ac:dyDescent="0.45"/>
  <cols>
    <col min="1" max="1" width="51.73046875" customWidth="1"/>
    <col min="2" max="2" width="36.86328125" style="49" customWidth="1" outlineLevel="1"/>
    <col min="3" max="3" width="3.3984375" style="49" customWidth="1"/>
    <col min="4" max="8" width="19.73046875" customWidth="1"/>
    <col min="9" max="10" width="13.86328125" customWidth="1"/>
  </cols>
  <sheetData>
    <row r="1" spans="1:8" ht="26.25" customHeight="1" x14ac:dyDescent="0.65">
      <c r="A1" s="31" t="str">
        <f>[1]!IntrinioDataPoint(ticker,"name")</f>
        <v/>
      </c>
      <c r="B1" s="32"/>
      <c r="C1" s="32"/>
      <c r="D1" s="220"/>
      <c r="E1" s="220"/>
      <c r="F1" s="220"/>
      <c r="G1" s="220"/>
      <c r="H1" s="220"/>
    </row>
    <row r="2" spans="1:8" ht="16.5" customHeight="1" thickBot="1" x14ac:dyDescent="0.55000000000000004">
      <c r="A2" s="33" t="str">
        <f>[1]!IntrinioDataPoint(ticker,"stock_exchange")&amp;IF(ticker="","",": ") &amp;ticker</f>
        <v/>
      </c>
      <c r="B2" s="34"/>
      <c r="C2" s="34"/>
      <c r="D2" s="221"/>
      <c r="E2" s="221"/>
      <c r="F2" s="221"/>
      <c r="G2" s="221"/>
      <c r="H2" s="221"/>
    </row>
    <row r="3" spans="1:8" ht="15.75" x14ac:dyDescent="0.5">
      <c r="A3" s="35"/>
      <c r="B3" s="36"/>
      <c r="C3" s="36"/>
      <c r="D3" s="37" t="str">
        <f>IFERROR([1]!IntrinioFundamentals(ticker,statement,type,D$9,"end_date"),"")</f>
        <v/>
      </c>
      <c r="E3" s="37" t="str">
        <f>IFERROR([1]!IntrinioFundamentals(ticker,statement,type,E$9,"end_date"),"")</f>
        <v/>
      </c>
      <c r="F3" s="37" t="str">
        <f>IFERROR([1]!IntrinioFundamentals(ticker,statement,type,F$9,"end_date"),"")</f>
        <v/>
      </c>
      <c r="G3" s="37" t="str">
        <f>IFERROR([1]!IntrinioFundamentals(ticker,statement,type,G$9,"end_date"),"")</f>
        <v/>
      </c>
      <c r="H3" s="37" t="str">
        <f>IFERROR([1]!IntrinioFundamentals(ticker,statement,type,H$9,"end_date"),"")</f>
        <v/>
      </c>
    </row>
    <row r="4" spans="1:8" ht="15.75" x14ac:dyDescent="0.5">
      <c r="A4" s="35"/>
      <c r="B4" s="36"/>
      <c r="C4" s="36"/>
      <c r="D4" s="112" t="str">
        <f>IFERROR([1]!IntrinioFundamentals(ticker,statement,type,D$9,"fiscal_period"),"")</f>
        <v/>
      </c>
      <c r="E4" s="112" t="str">
        <f>IFERROR([1]!IntrinioFundamentals(ticker,statement,type,E$9,"fiscal_period"),"")</f>
        <v/>
      </c>
      <c r="F4" s="112" t="str">
        <f>IFERROR([1]!IntrinioFundamentals(ticker,statement,type,F$9,"fiscal_period"),"")</f>
        <v/>
      </c>
      <c r="G4" s="112" t="str">
        <f>IFERROR([1]!IntrinioFundamentals(ticker,statement,type,G$9,"fiscal_period"),"")</f>
        <v/>
      </c>
      <c r="H4" s="112" t="str">
        <f>IFERROR([1]!IntrinioFundamentals(ticker,statement,type,H$9,"fiscal_period"),"")</f>
        <v/>
      </c>
    </row>
    <row r="5" spans="1:8" ht="16.149999999999999" thickBot="1" x14ac:dyDescent="0.55000000000000004">
      <c r="A5" s="38" t="str">
        <f>"In "&amp;IF(rounding = "A","USD",IF(rounding = "K","Thousands of USD",IF(rounding = "M","Millions of USD",IF(rounding = "B","Billions of USD","USD"))))&amp;", except per share values and ratios"</f>
        <v>In Millions of USD, except per share values and ratios</v>
      </c>
      <c r="B5" s="39" t="s">
        <v>17</v>
      </c>
      <c r="C5" s="39"/>
      <c r="D5" s="40" t="str">
        <f>IFERROR([1]!IntrinioFundamentals(ticker,statement,type,D$9,"fiscal_year"),"")</f>
        <v/>
      </c>
      <c r="E5" s="40" t="str">
        <f>IFERROR([1]!IntrinioFundamentals(ticker,statement,type,E$9,"fiscal_year"),"")</f>
        <v/>
      </c>
      <c r="F5" s="40" t="str">
        <f>IFERROR([1]!IntrinioFundamentals(ticker,statement,type,F$9,"fiscal_year"),"")</f>
        <v/>
      </c>
      <c r="G5" s="40" t="str">
        <f>IFERROR([1]!IntrinioFundamentals(ticker,statement,type,G$9,"fiscal_year"),"")</f>
        <v/>
      </c>
      <c r="H5" s="40" t="str">
        <f>IFERROR([1]!IntrinioFundamentals(ticker,statement,type,H$9,"fiscal_year"),"")</f>
        <v/>
      </c>
    </row>
    <row r="6" spans="1:8" ht="16.149999999999999" thickBot="1" x14ac:dyDescent="0.55000000000000004">
      <c r="A6" s="41"/>
      <c r="B6" s="42"/>
      <c r="C6" s="42"/>
      <c r="D6" s="43"/>
      <c r="E6" s="43"/>
      <c r="F6" s="43"/>
      <c r="G6" s="43"/>
      <c r="H6" s="43"/>
    </row>
    <row r="7" spans="1:8" ht="16.149999999999999" outlineLevel="1" thickBot="1" x14ac:dyDescent="0.55000000000000004">
      <c r="A7" s="44" t="s">
        <v>18</v>
      </c>
      <c r="B7" s="45" t="s">
        <v>338</v>
      </c>
      <c r="C7" s="76"/>
      <c r="D7" s="43"/>
      <c r="E7" s="43"/>
      <c r="F7" s="43"/>
      <c r="G7" s="43"/>
      <c r="H7" s="43"/>
    </row>
    <row r="8" spans="1:8" ht="16.149999999999999" outlineLevel="1" thickBot="1" x14ac:dyDescent="0.55000000000000004">
      <c r="A8" s="44" t="s">
        <v>20</v>
      </c>
      <c r="B8" s="45" t="s">
        <v>21</v>
      </c>
      <c r="C8" s="76"/>
      <c r="D8" s="43"/>
      <c r="E8" s="43"/>
      <c r="F8" s="43"/>
      <c r="G8" s="43"/>
    </row>
    <row r="9" spans="1:8" ht="15.75" outlineLevel="1" x14ac:dyDescent="0.5">
      <c r="A9" s="44" t="s">
        <v>22</v>
      </c>
      <c r="B9" s="42"/>
      <c r="C9" s="42"/>
      <c r="D9" s="43">
        <f>+E9+1</f>
        <v>4</v>
      </c>
      <c r="E9" s="43">
        <f>+F9+1</f>
        <v>3</v>
      </c>
      <c r="F9" s="43">
        <f>+G9+1</f>
        <v>2</v>
      </c>
      <c r="G9" s="43">
        <f>+H9+1</f>
        <v>1</v>
      </c>
      <c r="H9" s="43">
        <v>0</v>
      </c>
    </row>
    <row r="10" spans="1:8" ht="15.75" outlineLevel="1" x14ac:dyDescent="0.5">
      <c r="A10" s="46"/>
      <c r="B10" s="42"/>
      <c r="C10" s="42"/>
      <c r="D10" s="43"/>
      <c r="E10" s="43"/>
      <c r="F10" s="43"/>
      <c r="G10" s="43"/>
      <c r="H10" s="43"/>
    </row>
    <row r="11" spans="1:8" ht="15.75" x14ac:dyDescent="0.5">
      <c r="A11" s="62" t="s">
        <v>394</v>
      </c>
      <c r="B11" s="111"/>
      <c r="C11" s="111"/>
      <c r="D11" s="110"/>
      <c r="E11" s="110"/>
      <c r="F11" s="110"/>
      <c r="G11" s="110"/>
      <c r="H11" s="110"/>
    </row>
    <row r="12" spans="1:8" ht="15.75" x14ac:dyDescent="0.5">
      <c r="A12" s="65" t="s">
        <v>395</v>
      </c>
      <c r="B12" s="111" t="s">
        <v>339</v>
      </c>
      <c r="C12" s="111"/>
      <c r="D12" s="159" t="str">
        <f>IFERROR([1]!IntrinioFinancials(ticker,statement,D$9,type,$B12,rounding),"")</f>
        <v/>
      </c>
      <c r="E12" s="159" t="str">
        <f>IFERROR([1]!IntrinioFinancials(ticker,statement,E$9,type,$B12,rounding),"")</f>
        <v/>
      </c>
      <c r="F12" s="159" t="str">
        <f>IFERROR([1]!IntrinioFinancials(ticker,statement,F$9,type,$B12,rounding),"")</f>
        <v/>
      </c>
      <c r="G12" s="159" t="str">
        <f>IFERROR([1]!IntrinioFinancials(ticker,statement,G$9,type,$B12,rounding),"")</f>
        <v/>
      </c>
      <c r="H12" s="159" t="str">
        <f>IFERROR([1]!IntrinioFinancials(ticker,statement,H$9,type,$B12,rounding),"")</f>
        <v/>
      </c>
    </row>
    <row r="13" spans="1:8" ht="15.75" x14ac:dyDescent="0.5">
      <c r="A13" s="110" t="s">
        <v>397</v>
      </c>
      <c r="B13" s="111" t="s">
        <v>396</v>
      </c>
      <c r="C13" s="111"/>
      <c r="D13" s="159" t="str">
        <f>IFERROR([1]!IntrinioFinancials(ticker,statement,D$9,type,$B13,rounding),"")</f>
        <v/>
      </c>
      <c r="E13" s="159" t="str">
        <f>IFERROR([1]!IntrinioFinancials(ticker,statement,E$9,type,$B13,rounding),"")</f>
        <v/>
      </c>
      <c r="F13" s="159" t="str">
        <f>IFERROR([1]!IntrinioFinancials(ticker,statement,F$9,type,$B13,rounding),"")</f>
        <v/>
      </c>
      <c r="G13" s="159" t="str">
        <f>IFERROR([1]!IntrinioFinancials(ticker,statement,G$9,type,$B13,rounding),"")</f>
        <v/>
      </c>
      <c r="H13" s="159" t="str">
        <f>IFERROR([1]!IntrinioFinancials(ticker,statement,H$9,type,$B13,rounding),"")</f>
        <v/>
      </c>
    </row>
    <row r="14" spans="1:8" ht="15.75" x14ac:dyDescent="0.5">
      <c r="A14" s="110" t="s">
        <v>389</v>
      </c>
      <c r="B14" s="111" t="s">
        <v>409</v>
      </c>
      <c r="C14" s="111"/>
      <c r="D14" s="159" t="str">
        <f>IFERROR([1]!IntrinioFinancials(ticker,statement,D$9,type,$B14,rounding),"")</f>
        <v/>
      </c>
      <c r="E14" s="159" t="str">
        <f>IFERROR([1]!IntrinioFinancials(ticker,statement,E$9,type,$B14,rounding),"")</f>
        <v/>
      </c>
      <c r="F14" s="159" t="str">
        <f>IFERROR([1]!IntrinioFinancials(ticker,statement,F$9,type,$B14,rounding),"")</f>
        <v/>
      </c>
      <c r="G14" s="159" t="str">
        <f>IFERROR([1]!IntrinioFinancials(ticker,statement,G$9,type,$B14,rounding),"")</f>
        <v/>
      </c>
      <c r="H14" s="159" t="str">
        <f>IFERROR([1]!IntrinioFinancials(ticker,statement,H$9,type,$B14,rounding),"")</f>
        <v/>
      </c>
    </row>
    <row r="15" spans="1:8" ht="15.75" x14ac:dyDescent="0.5">
      <c r="A15" s="110" t="s">
        <v>399</v>
      </c>
      <c r="B15" s="111" t="s">
        <v>410</v>
      </c>
      <c r="C15" s="111"/>
      <c r="D15" s="159" t="str">
        <f>IFERROR([1]!IntrinioFinancials(ticker,statement,D$9,type,$B15,rounding),"")</f>
        <v/>
      </c>
      <c r="E15" s="159" t="str">
        <f>IFERROR([1]!IntrinioFinancials(ticker,statement,E$9,type,$B15,rounding),"")</f>
        <v/>
      </c>
      <c r="F15" s="159" t="str">
        <f>IFERROR([1]!IntrinioFinancials(ticker,statement,F$9,type,$B15,rounding),"")</f>
        <v/>
      </c>
      <c r="G15" s="159" t="str">
        <f>IFERROR([1]!IntrinioFinancials(ticker,statement,G$9,type,$B15,rounding),"")</f>
        <v/>
      </c>
      <c r="H15" s="159" t="str">
        <f>IFERROR([1]!IntrinioFinancials(ticker,statement,H$9,type,$B15,rounding),"")</f>
        <v/>
      </c>
    </row>
    <row r="16" spans="1:8" ht="15.75" x14ac:dyDescent="0.5">
      <c r="A16" s="110" t="s">
        <v>423</v>
      </c>
      <c r="B16" s="111" t="s">
        <v>424</v>
      </c>
      <c r="C16" s="111"/>
      <c r="D16" s="159" t="str">
        <f>IFERROR([1]!IntrinioFinancials(ticker,statement,D$9,type,$B16,rounding),"")</f>
        <v/>
      </c>
      <c r="E16" s="159" t="str">
        <f>IFERROR([1]!IntrinioFinancials(ticker,statement,E$9,type,$B16,rounding),"")</f>
        <v/>
      </c>
      <c r="F16" s="159" t="str">
        <f>IFERROR([1]!IntrinioFinancials(ticker,statement,F$9,type,$B16,rounding),"")</f>
        <v/>
      </c>
      <c r="G16" s="159" t="str">
        <f>IFERROR([1]!IntrinioFinancials(ticker,statement,G$9,type,$B16,rounding),"")</f>
        <v/>
      </c>
      <c r="H16" s="159" t="str">
        <f>IFERROR([1]!IntrinioFinancials(ticker,statement,H$9,type,$B16,rounding),"")</f>
        <v/>
      </c>
    </row>
    <row r="17" spans="1:8" ht="4.5" customHeight="1" x14ac:dyDescent="0.5">
      <c r="A17" s="110"/>
      <c r="B17" s="111"/>
      <c r="C17" s="111"/>
      <c r="D17" s="159"/>
      <c r="E17" s="159"/>
      <c r="F17" s="159"/>
      <c r="G17" s="159"/>
      <c r="H17" s="159"/>
    </row>
    <row r="18" spans="1:8" ht="15.75" x14ac:dyDescent="0.5">
      <c r="A18" s="110" t="s">
        <v>393</v>
      </c>
      <c r="B18" s="111" t="s">
        <v>411</v>
      </c>
      <c r="C18" s="111"/>
      <c r="D18" s="159" t="str">
        <f>IFERROR([1]!IntrinioFinancials(ticker,statement,D$9,type,$B18,rounding),"")</f>
        <v/>
      </c>
      <c r="E18" s="159" t="str">
        <f>IFERROR([1]!IntrinioFinancials(ticker,statement,E$9,type,$B18,rounding),"")</f>
        <v/>
      </c>
      <c r="F18" s="159" t="str">
        <f>IFERROR([1]!IntrinioFinancials(ticker,statement,F$9,type,$B18,rounding),"")</f>
        <v/>
      </c>
      <c r="G18" s="159" t="str">
        <f>IFERROR([1]!IntrinioFinancials(ticker,statement,G$9,type,$B18,rounding),"")</f>
        <v/>
      </c>
      <c r="H18" s="159" t="str">
        <f>IFERROR([1]!IntrinioFinancials(ticker,statement,H$9,type,$B18,rounding),"")</f>
        <v/>
      </c>
    </row>
    <row r="19" spans="1:8" ht="15.75" x14ac:dyDescent="0.5">
      <c r="A19" s="110" t="s">
        <v>398</v>
      </c>
      <c r="B19" s="111" t="s">
        <v>415</v>
      </c>
      <c r="C19" s="111"/>
      <c r="D19" s="159" t="str">
        <f>IFERROR([1]!IntrinioFinancials(ticker,statement,D$9,type,$B19,rounding),"")</f>
        <v/>
      </c>
      <c r="E19" s="159" t="str">
        <f>IFERROR([1]!IntrinioFinancials(ticker,statement,E$9,type,$B19,rounding),"")</f>
        <v/>
      </c>
      <c r="F19" s="159" t="str">
        <f>IFERROR([1]!IntrinioFinancials(ticker,statement,F$9,type,$B19,rounding),"")</f>
        <v/>
      </c>
      <c r="G19" s="159" t="str">
        <f>IFERROR([1]!IntrinioFinancials(ticker,statement,G$9,type,$B19,rounding),"")</f>
        <v/>
      </c>
      <c r="H19" s="159" t="str">
        <f>IFERROR([1]!IntrinioFinancials(ticker,statement,H$9,type,$B19,rounding),"")</f>
        <v/>
      </c>
    </row>
    <row r="20" spans="1:8" ht="4.5" customHeight="1" x14ac:dyDescent="0.5">
      <c r="A20" s="110"/>
      <c r="B20" s="111"/>
      <c r="C20" s="111"/>
      <c r="D20" s="160"/>
      <c r="E20" s="160"/>
      <c r="F20" s="160"/>
      <c r="G20" s="160"/>
      <c r="H20" s="160"/>
    </row>
    <row r="21" spans="1:8" ht="15.75" x14ac:dyDescent="0.5">
      <c r="A21" s="110" t="s">
        <v>390</v>
      </c>
      <c r="B21" s="111" t="s">
        <v>419</v>
      </c>
      <c r="C21" s="111"/>
      <c r="D21" s="159" t="str">
        <f>IFERROR([1]!IntrinioFinancials(ticker,statement,D$9,type,$B21,rounding),"")</f>
        <v/>
      </c>
      <c r="E21" s="159" t="str">
        <f>IFERROR([1]!IntrinioFinancials(ticker,statement,E$9,type,$B21,rounding),"")</f>
        <v/>
      </c>
      <c r="F21" s="159" t="str">
        <f>IFERROR([1]!IntrinioFinancials(ticker,statement,F$9,type,$B21,rounding),"")</f>
        <v/>
      </c>
      <c r="G21" s="159" t="str">
        <f>IFERROR([1]!IntrinioFinancials(ticker,statement,G$9,type,$B21,rounding),"")</f>
        <v/>
      </c>
      <c r="H21" s="159" t="str">
        <f>IFERROR([1]!IntrinioFinancials(ticker,statement,H$9,type,$B21,rounding),"")</f>
        <v/>
      </c>
    </row>
    <row r="22" spans="1:8" ht="15.75" x14ac:dyDescent="0.5">
      <c r="A22" s="110" t="s">
        <v>404</v>
      </c>
      <c r="B22" s="111" t="s">
        <v>420</v>
      </c>
      <c r="C22" s="111"/>
      <c r="D22" s="159" t="str">
        <f>IFERROR([1]!IntrinioFinancials(ticker,statement,D$9,type,$B22,rounding),"")</f>
        <v/>
      </c>
      <c r="E22" s="159" t="str">
        <f>IFERROR([1]!IntrinioFinancials(ticker,statement,E$9,type,$B22,rounding),"")</f>
        <v/>
      </c>
      <c r="F22" s="159" t="str">
        <f>IFERROR([1]!IntrinioFinancials(ticker,statement,F$9,type,$B22,rounding),"")</f>
        <v/>
      </c>
      <c r="G22" s="159" t="str">
        <f>IFERROR([1]!IntrinioFinancials(ticker,statement,G$9,type,$B22,rounding),"")</f>
        <v/>
      </c>
      <c r="H22" s="159" t="str">
        <f>IFERROR([1]!IntrinioFinancials(ticker,statement,H$9,type,$B22,rounding),"")</f>
        <v/>
      </c>
    </row>
    <row r="23" spans="1:8" ht="15.75" x14ac:dyDescent="0.5">
      <c r="A23" s="110" t="s">
        <v>391</v>
      </c>
      <c r="B23" s="111" t="s">
        <v>412</v>
      </c>
      <c r="C23" s="111"/>
      <c r="D23" s="159" t="str">
        <f>IFERROR([1]!IntrinioFinancials(ticker,statement,D$9,type,$B23,rounding),"")</f>
        <v/>
      </c>
      <c r="E23" s="159" t="str">
        <f>IFERROR([1]!IntrinioFinancials(ticker,statement,E$9,type,$B23,rounding),"")</f>
        <v/>
      </c>
      <c r="F23" s="159" t="str">
        <f>IFERROR([1]!IntrinioFinancials(ticker,statement,F$9,type,$B23,rounding),"")</f>
        <v/>
      </c>
      <c r="G23" s="159" t="str">
        <f>IFERROR([1]!IntrinioFinancials(ticker,statement,G$9,type,$B23,rounding),"")</f>
        <v/>
      </c>
      <c r="H23" s="159" t="str">
        <f>IFERROR([1]!IntrinioFinancials(ticker,statement,H$9,type,$B23,rounding),"")</f>
        <v/>
      </c>
    </row>
    <row r="24" spans="1:8" ht="15.75" x14ac:dyDescent="0.5">
      <c r="A24" s="110" t="s">
        <v>392</v>
      </c>
      <c r="B24" s="111" t="s">
        <v>413</v>
      </c>
      <c r="C24" s="111"/>
      <c r="D24" s="159" t="str">
        <f>IFERROR([1]!IntrinioFinancials(ticker,statement,D$9,type,$B24,rounding),"")</f>
        <v/>
      </c>
      <c r="E24" s="159" t="str">
        <f>IFERROR([1]!IntrinioFinancials(ticker,statement,E$9,type,$B24,rounding),"")</f>
        <v/>
      </c>
      <c r="F24" s="159" t="str">
        <f>IFERROR([1]!IntrinioFinancials(ticker,statement,F$9,type,$B24,rounding),"")</f>
        <v/>
      </c>
      <c r="G24" s="159" t="str">
        <f>IFERROR([1]!IntrinioFinancials(ticker,statement,G$9,type,$B24,rounding),"")</f>
        <v/>
      </c>
      <c r="H24" s="159" t="str">
        <f>IFERROR([1]!IntrinioFinancials(ticker,statement,H$9,type,$B24,rounding),"")</f>
        <v/>
      </c>
    </row>
    <row r="25" spans="1:8" ht="4.5" customHeight="1" x14ac:dyDescent="0.5">
      <c r="A25" s="110"/>
      <c r="B25" s="111"/>
      <c r="C25" s="111"/>
      <c r="D25" s="160"/>
      <c r="E25" s="160"/>
      <c r="F25" s="160"/>
      <c r="G25" s="160"/>
      <c r="H25" s="160"/>
    </row>
    <row r="26" spans="1:8" ht="15.75" x14ac:dyDescent="0.5">
      <c r="A26" s="110" t="s">
        <v>405</v>
      </c>
      <c r="B26" s="111" t="s">
        <v>414</v>
      </c>
      <c r="C26" s="111"/>
      <c r="D26" s="159" t="str">
        <f>IFERROR([1]!IntrinioFinancials(ticker,statement,D$9,type,$B26),"")</f>
        <v/>
      </c>
      <c r="E26" s="159" t="str">
        <f>IFERROR([1]!IntrinioFinancials(ticker,statement,E$9,type,$B26),"")</f>
        <v/>
      </c>
      <c r="F26" s="159" t="str">
        <f>IFERROR([1]!IntrinioFinancials(ticker,statement,F$9,type,$B26),"")</f>
        <v/>
      </c>
      <c r="G26" s="159" t="str">
        <f>IFERROR([1]!IntrinioFinancials(ticker,statement,G$9,type,$B26),"")</f>
        <v/>
      </c>
      <c r="H26" s="159" t="str">
        <f>IFERROR([1]!IntrinioFinancials(ticker,statement,H$9,type,$B26,),"")</f>
        <v/>
      </c>
    </row>
    <row r="27" spans="1:8" ht="15.75" x14ac:dyDescent="0.5">
      <c r="A27" s="110" t="s">
        <v>406</v>
      </c>
      <c r="B27" s="111" t="s">
        <v>421</v>
      </c>
      <c r="C27" s="111"/>
      <c r="D27" s="159" t="str">
        <f>IFERROR([1]!IntrinioFinancials(ticker,statement,D$9,type,$B27),"")</f>
        <v/>
      </c>
      <c r="E27" s="159" t="str">
        <f>IFERROR([1]!IntrinioFinancials(ticker,statement,E$9,type,$B27),"")</f>
        <v/>
      </c>
      <c r="F27" s="159" t="str">
        <f>IFERROR([1]!IntrinioFinancials(ticker,statement,F$9,type,$B27),"")</f>
        <v/>
      </c>
      <c r="G27" s="159" t="str">
        <f>IFERROR([1]!IntrinioFinancials(ticker,statement,G$9,type,$B27),"")</f>
        <v/>
      </c>
      <c r="H27" s="159" t="str">
        <f>IFERROR([1]!IntrinioFinancials(ticker,statement,H$9,type,$B27,),"")</f>
        <v/>
      </c>
    </row>
    <row r="28" spans="1:8" ht="4.5" customHeight="1" x14ac:dyDescent="0.5">
      <c r="A28" s="110"/>
      <c r="B28" s="111"/>
      <c r="C28" s="111"/>
      <c r="D28" s="160"/>
      <c r="E28" s="160"/>
      <c r="F28" s="160"/>
      <c r="G28" s="160"/>
      <c r="H28" s="160"/>
    </row>
    <row r="29" spans="1:8" ht="15.75" x14ac:dyDescent="0.5">
      <c r="A29" s="110" t="s">
        <v>425</v>
      </c>
      <c r="B29" s="111" t="s">
        <v>426</v>
      </c>
      <c r="C29" s="111"/>
      <c r="D29" s="159" t="str">
        <f>IFERROR([1]!IntrinioFinancials(ticker,statement,D$9,type,$B29,rounding),"")</f>
        <v/>
      </c>
      <c r="E29" s="159" t="str">
        <f>IFERROR([1]!IntrinioFinancials(ticker,statement,E$9,type,$B29,rounding),"")</f>
        <v/>
      </c>
      <c r="F29" s="159" t="str">
        <f>IFERROR([1]!IntrinioFinancials(ticker,statement,F$9,type,$B29,rounding),"")</f>
        <v/>
      </c>
      <c r="G29" s="159" t="str">
        <f>IFERROR([1]!IntrinioFinancials(ticker,statement,G$9,type,$B29,rounding),"")</f>
        <v/>
      </c>
      <c r="H29" s="159" t="str">
        <f>IFERROR([1]!IntrinioFinancials(ticker,statement,H$9,type,$B29,rounding),"")</f>
        <v/>
      </c>
    </row>
    <row r="30" spans="1:8" ht="15.75" x14ac:dyDescent="0.5">
      <c r="A30" s="110" t="s">
        <v>407</v>
      </c>
      <c r="B30" s="111" t="s">
        <v>422</v>
      </c>
      <c r="C30" s="111"/>
      <c r="D30" s="159" t="str">
        <f>IFERROR([1]!IntrinioFinancials(ticker,statement,D$9,type,$B30,rounding),"")</f>
        <v/>
      </c>
      <c r="E30" s="159" t="str">
        <f>IFERROR([1]!IntrinioFinancials(ticker,statement,E$9,type,$B30,rounding),"")</f>
        <v/>
      </c>
      <c r="F30" s="159" t="str">
        <f>IFERROR([1]!IntrinioFinancials(ticker,statement,F$9,type,$B30,rounding),"")</f>
        <v/>
      </c>
      <c r="G30" s="159" t="str">
        <f>IFERROR([1]!IntrinioFinancials(ticker,statement,G$9,type,$B30,rounding),"")</f>
        <v/>
      </c>
      <c r="H30" s="159" t="str">
        <f>IFERROR([1]!IntrinioFinancials(ticker,statement,H$9,type,$B30,rounding),"")</f>
        <v/>
      </c>
    </row>
    <row r="31" spans="1:8" ht="15.75" x14ac:dyDescent="0.5">
      <c r="A31" s="110" t="s">
        <v>400</v>
      </c>
      <c r="B31" s="111" t="s">
        <v>408</v>
      </c>
      <c r="C31" s="111"/>
      <c r="D31" s="159" t="str">
        <f>IFERROR([1]!IntrinioFinancials(ticker,statement,D$9,type,$B31,rounding),"")</f>
        <v/>
      </c>
      <c r="E31" s="159" t="str">
        <f>IFERROR([1]!IntrinioFinancials(ticker,statement,E$9,type,$B31,rounding),"")</f>
        <v/>
      </c>
      <c r="F31" s="159" t="str">
        <f>IFERROR([1]!IntrinioFinancials(ticker,statement,F$9,type,$B31,rounding),"")</f>
        <v/>
      </c>
      <c r="G31" s="159" t="str">
        <f>IFERROR([1]!IntrinioFinancials(ticker,statement,G$9,type,$B31,rounding),"")</f>
        <v/>
      </c>
      <c r="H31" s="159" t="str">
        <f>IFERROR([1]!IntrinioFinancials(ticker,statement,H$9,type,$B31,rounding),"")</f>
        <v/>
      </c>
    </row>
    <row r="32" spans="1:8" ht="4.5" customHeight="1" x14ac:dyDescent="0.5">
      <c r="A32" s="110"/>
      <c r="B32" s="111"/>
      <c r="C32" s="111"/>
      <c r="D32" s="160"/>
      <c r="E32" s="160"/>
      <c r="F32" s="160"/>
      <c r="G32" s="160"/>
      <c r="H32" s="160"/>
    </row>
    <row r="33" spans="1:8" ht="15.75" x14ac:dyDescent="0.5">
      <c r="A33" s="110" t="s">
        <v>401</v>
      </c>
      <c r="B33" s="111" t="s">
        <v>416</v>
      </c>
      <c r="C33" s="111"/>
      <c r="D33" s="159" t="str">
        <f>IFERROR([1]!IntrinioFinancials(ticker,statement,D$9,type,$B33,rounding),"")</f>
        <v/>
      </c>
      <c r="E33" s="159" t="str">
        <f>IFERROR([1]!IntrinioFinancials(ticker,statement,E$9,type,$B33,rounding),"")</f>
        <v/>
      </c>
      <c r="F33" s="159" t="str">
        <f>IFERROR([1]!IntrinioFinancials(ticker,statement,F$9,type,$B33,rounding),"")</f>
        <v/>
      </c>
      <c r="G33" s="159" t="str">
        <f>IFERROR([1]!IntrinioFinancials(ticker,statement,G$9,type,$B33,rounding),"")</f>
        <v/>
      </c>
      <c r="H33" s="159" t="str">
        <f>IFERROR([1]!IntrinioFinancials(ticker,statement,H$9,type,$B33,rounding),"")</f>
        <v/>
      </c>
    </row>
    <row r="34" spans="1:8" ht="15.75" x14ac:dyDescent="0.5">
      <c r="A34" s="110" t="s">
        <v>402</v>
      </c>
      <c r="B34" s="111" t="s">
        <v>417</v>
      </c>
      <c r="C34" s="111"/>
      <c r="D34" s="159" t="str">
        <f>IFERROR([1]!IntrinioFinancials(ticker,statement,D$9,type,$B34,rounding),"")</f>
        <v/>
      </c>
      <c r="E34" s="159" t="str">
        <f>IFERROR([1]!IntrinioFinancials(ticker,statement,E$9,type,$B34,rounding),"")</f>
        <v/>
      </c>
      <c r="F34" s="159" t="str">
        <f>IFERROR([1]!IntrinioFinancials(ticker,statement,F$9,type,$B34,rounding),"")</f>
        <v/>
      </c>
      <c r="G34" s="159" t="str">
        <f>IFERROR([1]!IntrinioFinancials(ticker,statement,G$9,type,$B34,rounding),"")</f>
        <v/>
      </c>
      <c r="H34" s="159" t="str">
        <f>IFERROR([1]!IntrinioFinancials(ticker,statement,H$9,type,$B34,rounding),"")</f>
        <v/>
      </c>
    </row>
    <row r="35" spans="1:8" ht="15.75" x14ac:dyDescent="0.5">
      <c r="A35" s="110" t="s">
        <v>403</v>
      </c>
      <c r="B35" s="111" t="s">
        <v>418</v>
      </c>
      <c r="C35" s="111"/>
      <c r="D35" s="159" t="str">
        <f>IFERROR([1]!IntrinioFinancials(ticker,statement,D$9,type,$B35,rounding),"")</f>
        <v/>
      </c>
      <c r="E35" s="159" t="str">
        <f>IFERROR([1]!IntrinioFinancials(ticker,statement,E$9,type,$B35,rounding),"")</f>
        <v/>
      </c>
      <c r="F35" s="159" t="str">
        <f>IFERROR([1]!IntrinioFinancials(ticker,statement,F$9,type,$B35,rounding),"")</f>
        <v/>
      </c>
      <c r="G35" s="159" t="str">
        <f>IFERROR([1]!IntrinioFinancials(ticker,statement,G$9,type,$B35,rounding),"")</f>
        <v/>
      </c>
      <c r="H35" s="159" t="str">
        <f>IFERROR([1]!IntrinioFinancials(ticker,statement,H$9,type,$B35,rounding),"")</f>
        <v/>
      </c>
    </row>
    <row r="36" spans="1:8" ht="15.75" x14ac:dyDescent="0.5">
      <c r="A36" s="110"/>
      <c r="B36" s="111"/>
      <c r="C36" s="111"/>
      <c r="D36" s="160"/>
      <c r="E36" s="160"/>
      <c r="F36" s="160"/>
      <c r="G36" s="160"/>
      <c r="H36" s="160"/>
    </row>
    <row r="37" spans="1:8" ht="15.75" x14ac:dyDescent="0.5">
      <c r="A37" s="62" t="s">
        <v>427</v>
      </c>
      <c r="B37" s="111"/>
      <c r="C37" s="111"/>
      <c r="D37" s="160"/>
      <c r="E37" s="160"/>
      <c r="F37" s="160"/>
      <c r="G37" s="160"/>
      <c r="H37" s="160"/>
    </row>
    <row r="38" spans="1:8" ht="15.75" x14ac:dyDescent="0.5">
      <c r="A38" s="110" t="s">
        <v>428</v>
      </c>
      <c r="B38" s="111" t="s">
        <v>429</v>
      </c>
      <c r="C38" s="111"/>
      <c r="D38" s="159" t="str">
        <f>IFERROR([1]!IntrinioFinancials(ticker,statement,D$9,type,$B38,rounding),"")</f>
        <v/>
      </c>
      <c r="E38" s="159" t="str">
        <f>IFERROR([1]!IntrinioFinancials(ticker,statement,E$9,type,$B38,rounding),"")</f>
        <v/>
      </c>
      <c r="F38" s="159" t="str">
        <f>IFERROR([1]!IntrinioFinancials(ticker,statement,F$9,type,$B38,rounding),"")</f>
        <v/>
      </c>
      <c r="G38" s="159" t="str">
        <f>IFERROR([1]!IntrinioFinancials(ticker,statement,G$9,type,$B38,rounding),"")</f>
        <v/>
      </c>
      <c r="H38" s="159" t="str">
        <f>IFERROR([1]!IntrinioFinancials(ticker,statement,H$9,type,$B38,rounding),"")</f>
        <v/>
      </c>
    </row>
    <row r="39" spans="1:8" ht="15.75" x14ac:dyDescent="0.5">
      <c r="A39" s="110" t="s">
        <v>341</v>
      </c>
      <c r="B39" s="111" t="s">
        <v>430</v>
      </c>
      <c r="C39" s="111"/>
      <c r="D39" s="159" t="str">
        <f>IFERROR([1]!IntrinioFinancials(ticker,statement,D$9,type,$B39,rounding),"")</f>
        <v/>
      </c>
      <c r="E39" s="159" t="str">
        <f>IFERROR([1]!IntrinioFinancials(ticker,statement,E$9,type,$B39,rounding),"")</f>
        <v/>
      </c>
      <c r="F39" s="159" t="str">
        <f>IFERROR([1]!IntrinioFinancials(ticker,statement,F$9,type,$B39,rounding),"")</f>
        <v/>
      </c>
      <c r="G39" s="159" t="str">
        <f>IFERROR([1]!IntrinioFinancials(ticker,statement,G$9,type,$B39,rounding),"")</f>
        <v/>
      </c>
      <c r="H39" s="159" t="str">
        <f>IFERROR([1]!IntrinioFinancials(ticker,statement,H$9,type,$B39,rounding),"")</f>
        <v/>
      </c>
    </row>
    <row r="40" spans="1:8" ht="4.5" customHeight="1" x14ac:dyDescent="0.5">
      <c r="A40" s="110"/>
      <c r="B40" s="111"/>
      <c r="C40" s="111"/>
      <c r="D40" s="160"/>
      <c r="E40" s="160"/>
      <c r="F40" s="160"/>
      <c r="G40" s="160"/>
      <c r="H40" s="160"/>
    </row>
    <row r="41" spans="1:8" ht="15.75" x14ac:dyDescent="0.5">
      <c r="A41" s="110" t="s">
        <v>342</v>
      </c>
      <c r="B41" s="111" t="s">
        <v>431</v>
      </c>
      <c r="C41" s="111"/>
      <c r="D41" s="161" t="str">
        <f>IFERROR([1]!IntrinioFinancials(ticker,statement,D$9,type,$B41,),"")</f>
        <v/>
      </c>
      <c r="E41" s="161" t="str">
        <f>IFERROR([1]!IntrinioFinancials(ticker,statement,E$9,type,$B41,),"")</f>
        <v/>
      </c>
      <c r="F41" s="161" t="str">
        <f>IFERROR([1]!IntrinioFinancials(ticker,statement,F$9,type,$B41,),"")</f>
        <v/>
      </c>
      <c r="G41" s="161" t="str">
        <f>IFERROR([1]!IntrinioFinancials(ticker,statement,G$9,type,$B41,),"")</f>
        <v/>
      </c>
      <c r="H41" s="161" t="str">
        <f>IFERROR([1]!IntrinioFinancials(ticker,statement,H$9,type,$B41,),"")</f>
        <v/>
      </c>
    </row>
    <row r="42" spans="1:8" ht="15.75" x14ac:dyDescent="0.5">
      <c r="A42" s="110" t="s">
        <v>343</v>
      </c>
      <c r="B42" s="111" t="s">
        <v>432</v>
      </c>
      <c r="C42" s="111"/>
      <c r="D42" s="161" t="str">
        <f>IFERROR([1]!IntrinioFinancials(ticker,statement,D$9,type,$B42,),"")</f>
        <v/>
      </c>
      <c r="E42" s="161" t="str">
        <f>IFERROR([1]!IntrinioFinancials(ticker,statement,E$9,type,$B42,),"")</f>
        <v/>
      </c>
      <c r="F42" s="161" t="str">
        <f>IFERROR([1]!IntrinioFinancials(ticker,statement,F$9,type,$B42,),"")</f>
        <v/>
      </c>
      <c r="G42" s="161" t="str">
        <f>IFERROR([1]!IntrinioFinancials(ticker,statement,G$9,type,$B42,),"")</f>
        <v/>
      </c>
      <c r="H42" s="161" t="str">
        <f>IFERROR([1]!IntrinioFinancials(ticker,statement,H$9,type,$B42,),"")</f>
        <v/>
      </c>
    </row>
    <row r="43" spans="1:8" ht="15.75" x14ac:dyDescent="0.5">
      <c r="A43" s="110" t="s">
        <v>344</v>
      </c>
      <c r="B43" s="111" t="s">
        <v>433</v>
      </c>
      <c r="C43" s="111"/>
      <c r="D43" s="161" t="str">
        <f>IFERROR([1]!IntrinioFinancials(ticker,statement,D$9,type,$B43,),"")</f>
        <v/>
      </c>
      <c r="E43" s="161" t="str">
        <f>IFERROR([1]!IntrinioFinancials(ticker,statement,E$9,type,$B43,),"")</f>
        <v/>
      </c>
      <c r="F43" s="161" t="str">
        <f>IFERROR([1]!IntrinioFinancials(ticker,statement,F$9,type,$B43,),"")</f>
        <v/>
      </c>
      <c r="G43" s="161" t="str">
        <f>IFERROR([1]!IntrinioFinancials(ticker,statement,G$9,type,$B43,),"")</f>
        <v/>
      </c>
      <c r="H43" s="161" t="str">
        <f>IFERROR([1]!IntrinioFinancials(ticker,statement,H$9,type,$B43,),"")</f>
        <v/>
      </c>
    </row>
    <row r="44" spans="1:8" ht="15.75" x14ac:dyDescent="0.5">
      <c r="A44" s="110" t="s">
        <v>345</v>
      </c>
      <c r="B44" s="111" t="s">
        <v>434</v>
      </c>
      <c r="C44" s="111"/>
      <c r="D44" s="161" t="str">
        <f>IFERROR([1]!IntrinioFinancials(ticker,statement,D$9,type,$B44,),"")</f>
        <v/>
      </c>
      <c r="E44" s="161" t="str">
        <f>IFERROR([1]!IntrinioFinancials(ticker,statement,E$9,type,$B44,),"")</f>
        <v/>
      </c>
      <c r="F44" s="161" t="str">
        <f>IFERROR([1]!IntrinioFinancials(ticker,statement,F$9,type,$B44,),"")</f>
        <v/>
      </c>
      <c r="G44" s="161" t="str">
        <f>IFERROR([1]!IntrinioFinancials(ticker,statement,G$9,type,$B44,),"")</f>
        <v/>
      </c>
      <c r="H44" s="161" t="str">
        <f>IFERROR([1]!IntrinioFinancials(ticker,statement,H$9,type,$B44,),"")</f>
        <v/>
      </c>
    </row>
    <row r="45" spans="1:8" ht="15.75" x14ac:dyDescent="0.5">
      <c r="A45" s="110" t="s">
        <v>346</v>
      </c>
      <c r="B45" s="111" t="s">
        <v>435</v>
      </c>
      <c r="C45" s="111"/>
      <c r="D45" s="162" t="str">
        <f>IFERROR([1]!IntrinioFinancials(ticker,statement,D$9,type,$B45,),"")</f>
        <v/>
      </c>
      <c r="E45" s="162" t="str">
        <f>IFERROR([1]!IntrinioFinancials(ticker,statement,E$9,type,$B45,),"")</f>
        <v/>
      </c>
      <c r="F45" s="162" t="str">
        <f>IFERROR([1]!IntrinioFinancials(ticker,statement,F$9,type,$B45,),"")</f>
        <v/>
      </c>
      <c r="G45" s="162" t="str">
        <f>IFERROR([1]!IntrinioFinancials(ticker,statement,G$9,type,$B45,),"")</f>
        <v/>
      </c>
      <c r="H45" s="162" t="str">
        <f>IFERROR([1]!IntrinioFinancials(ticker,statement,H$9,type,$B45,),"")</f>
        <v/>
      </c>
    </row>
    <row r="46" spans="1:8" ht="15.75" x14ac:dyDescent="0.5">
      <c r="A46" s="110" t="s">
        <v>347</v>
      </c>
      <c r="B46" s="111" t="s">
        <v>436</v>
      </c>
      <c r="C46" s="111"/>
      <c r="D46" s="162" t="str">
        <f>IFERROR([1]!IntrinioFinancials(ticker,statement,D$9,type,$B46,),"")</f>
        <v/>
      </c>
      <c r="E46" s="162" t="str">
        <f>IFERROR([1]!IntrinioFinancials(ticker,statement,E$9,type,$B46,),"")</f>
        <v/>
      </c>
      <c r="F46" s="162" t="str">
        <f>IFERROR([1]!IntrinioFinancials(ticker,statement,F$9,type,$B46,),"")</f>
        <v/>
      </c>
      <c r="G46" s="162" t="str">
        <f>IFERROR([1]!IntrinioFinancials(ticker,statement,G$9,type,$B46,),"")</f>
        <v/>
      </c>
      <c r="H46" s="162" t="str">
        <f>IFERROR([1]!IntrinioFinancials(ticker,statement,H$9,type,$B46,),"")</f>
        <v/>
      </c>
    </row>
    <row r="47" spans="1:8" ht="4.5" customHeight="1" x14ac:dyDescent="0.5">
      <c r="A47" s="110"/>
      <c r="B47" s="111"/>
      <c r="C47" s="111"/>
      <c r="D47" s="161"/>
      <c r="E47" s="161"/>
      <c r="F47" s="161"/>
      <c r="G47" s="161"/>
      <c r="H47" s="161"/>
    </row>
    <row r="48" spans="1:8" ht="15.75" x14ac:dyDescent="0.5">
      <c r="A48" s="110" t="s">
        <v>348</v>
      </c>
      <c r="B48" s="111" t="s">
        <v>437</v>
      </c>
      <c r="C48" s="111"/>
      <c r="D48" s="161" t="str">
        <f>IFERROR([1]!IntrinioFinancials(ticker,statement,D$9,type,$B48,),"")</f>
        <v/>
      </c>
      <c r="E48" s="161" t="str">
        <f>IFERROR([1]!IntrinioFinancials(ticker,statement,E$9,type,$B48,),"")</f>
        <v/>
      </c>
      <c r="F48" s="161" t="str">
        <f>IFERROR([1]!IntrinioFinancials(ticker,statement,F$9,type,$B48,),"")</f>
        <v/>
      </c>
      <c r="G48" s="161" t="str">
        <f>IFERROR([1]!IntrinioFinancials(ticker,statement,G$9,type,$B48,),"")</f>
        <v/>
      </c>
      <c r="H48" s="161" t="str">
        <f>IFERROR([1]!IntrinioFinancials(ticker,statement,H$9,type,$B48,),"")</f>
        <v/>
      </c>
    </row>
    <row r="49" spans="1:8" ht="15.75" x14ac:dyDescent="0.5">
      <c r="A49" s="110" t="s">
        <v>349</v>
      </c>
      <c r="B49" s="111" t="s">
        <v>438</v>
      </c>
      <c r="C49" s="111"/>
      <c r="D49" s="161" t="str">
        <f>IFERROR([1]!IntrinioFinancials(ticker,statement,D$9,type,$B49,),"")</f>
        <v/>
      </c>
      <c r="E49" s="161" t="str">
        <f>IFERROR([1]!IntrinioFinancials(ticker,statement,E$9,type,$B49,),"")</f>
        <v/>
      </c>
      <c r="F49" s="161" t="str">
        <f>IFERROR([1]!IntrinioFinancials(ticker,statement,F$9,type,$B49,),"")</f>
        <v/>
      </c>
      <c r="G49" s="161" t="str">
        <f>IFERROR([1]!IntrinioFinancials(ticker,statement,G$9,type,$B49,),"")</f>
        <v/>
      </c>
      <c r="H49" s="161" t="str">
        <f>IFERROR([1]!IntrinioFinancials(ticker,statement,H$9,type,$B49,),"")</f>
        <v/>
      </c>
    </row>
    <row r="50" spans="1:8" ht="15.75" x14ac:dyDescent="0.5">
      <c r="A50" s="110" t="s">
        <v>350</v>
      </c>
      <c r="B50" s="111" t="s">
        <v>439</v>
      </c>
      <c r="C50" s="111"/>
      <c r="D50" s="161" t="str">
        <f>IFERROR([1]!IntrinioFinancials(ticker,statement,D$9,type,$B50,),"")</f>
        <v/>
      </c>
      <c r="E50" s="161" t="str">
        <f>IFERROR([1]!IntrinioFinancials(ticker,statement,E$9,type,$B50,),"")</f>
        <v/>
      </c>
      <c r="F50" s="161" t="str">
        <f>IFERROR([1]!IntrinioFinancials(ticker,statement,F$9,type,$B50,),"")</f>
        <v/>
      </c>
      <c r="G50" s="161" t="str">
        <f>IFERROR([1]!IntrinioFinancials(ticker,statement,G$9,type,$B50,),"")</f>
        <v/>
      </c>
      <c r="H50" s="161" t="str">
        <f>IFERROR([1]!IntrinioFinancials(ticker,statement,H$9,type,$B50,),"")</f>
        <v/>
      </c>
    </row>
    <row r="51" spans="1:8" ht="15.75" x14ac:dyDescent="0.5">
      <c r="A51" s="110" t="s">
        <v>352</v>
      </c>
      <c r="B51" s="111" t="s">
        <v>440</v>
      </c>
      <c r="C51" s="111"/>
      <c r="D51" s="161" t="str">
        <f>IFERROR([1]!IntrinioFinancials(ticker,statement,D$9,type,$B51,),"")</f>
        <v/>
      </c>
      <c r="E51" s="161" t="str">
        <f>IFERROR([1]!IntrinioFinancials(ticker,statement,E$9,type,$B51,),"")</f>
        <v/>
      </c>
      <c r="F51" s="161" t="str">
        <f>IFERROR([1]!IntrinioFinancials(ticker,statement,F$9,type,$B51,),"")</f>
        <v/>
      </c>
      <c r="G51" s="161" t="str">
        <f>IFERROR([1]!IntrinioFinancials(ticker,statement,G$9,type,$B51,),"")</f>
        <v/>
      </c>
      <c r="H51" s="161" t="str">
        <f>IFERROR([1]!IntrinioFinancials(ticker,statement,H$9,type,$B51,),"")</f>
        <v/>
      </c>
    </row>
    <row r="52" spans="1:8" ht="15.75" x14ac:dyDescent="0.5">
      <c r="A52" s="110" t="s">
        <v>351</v>
      </c>
      <c r="B52" s="111" t="s">
        <v>441</v>
      </c>
      <c r="C52" s="111"/>
      <c r="D52" s="161" t="str">
        <f>IFERROR([1]!IntrinioFinancials(ticker,statement,D$9,type,$B52,),"")</f>
        <v/>
      </c>
      <c r="E52" s="161" t="str">
        <f>IFERROR([1]!IntrinioFinancials(ticker,statement,E$9,type,$B52,),"")</f>
        <v/>
      </c>
      <c r="F52" s="161" t="str">
        <f>IFERROR([1]!IntrinioFinancials(ticker,statement,F$9,type,$B52,),"")</f>
        <v/>
      </c>
      <c r="G52" s="161" t="str">
        <f>IFERROR([1]!IntrinioFinancials(ticker,statement,G$9,type,$B52,),"")</f>
        <v/>
      </c>
      <c r="H52" s="161" t="str">
        <f>IFERROR([1]!IntrinioFinancials(ticker,statement,H$9,type,$B52,),"")</f>
        <v/>
      </c>
    </row>
    <row r="53" spans="1:8" ht="15.75" x14ac:dyDescent="0.5">
      <c r="A53" s="110" t="s">
        <v>353</v>
      </c>
      <c r="B53" s="111" t="s">
        <v>442</v>
      </c>
      <c r="C53" s="111"/>
      <c r="D53" s="161" t="str">
        <f>IFERROR([1]!IntrinioFinancials(ticker,statement,D$9,type,$B53,),"")</f>
        <v/>
      </c>
      <c r="E53" s="161" t="str">
        <f>IFERROR([1]!IntrinioFinancials(ticker,statement,E$9,type,$B53,),"")</f>
        <v/>
      </c>
      <c r="F53" s="161" t="str">
        <f>IFERROR([1]!IntrinioFinancials(ticker,statement,F$9,type,$B53,),"")</f>
        <v/>
      </c>
      <c r="G53" s="161" t="str">
        <f>IFERROR([1]!IntrinioFinancials(ticker,statement,G$9,type,$B53,),"")</f>
        <v/>
      </c>
      <c r="H53" s="161" t="str">
        <f>IFERROR([1]!IntrinioFinancials(ticker,statement,H$9,type,$B53,),"")</f>
        <v/>
      </c>
    </row>
    <row r="54" spans="1:8" ht="15.75" x14ac:dyDescent="0.5">
      <c r="A54" s="110" t="s">
        <v>354</v>
      </c>
      <c r="B54" s="111" t="s">
        <v>443</v>
      </c>
      <c r="C54" s="111"/>
      <c r="D54" s="161" t="str">
        <f>IFERROR([1]!IntrinioFinancials(ticker,statement,D$9,type,$B54,),"")</f>
        <v/>
      </c>
      <c r="E54" s="161" t="str">
        <f>IFERROR([1]!IntrinioFinancials(ticker,statement,E$9,type,$B54,),"")</f>
        <v/>
      </c>
      <c r="F54" s="161" t="str">
        <f>IFERROR([1]!IntrinioFinancials(ticker,statement,F$9,type,$B54,),"")</f>
        <v/>
      </c>
      <c r="G54" s="161" t="str">
        <f>IFERROR([1]!IntrinioFinancials(ticker,statement,G$9,type,$B54,),"")</f>
        <v/>
      </c>
      <c r="H54" s="161" t="str">
        <f>IFERROR([1]!IntrinioFinancials(ticker,statement,H$9,type,$B54,),"")</f>
        <v/>
      </c>
    </row>
    <row r="55" spans="1:8" ht="15.75" x14ac:dyDescent="0.5">
      <c r="A55" s="110"/>
      <c r="B55" s="111"/>
      <c r="C55" s="111"/>
      <c r="D55" s="160"/>
      <c r="E55" s="160"/>
      <c r="F55" s="160"/>
      <c r="G55" s="160"/>
      <c r="H55" s="160"/>
    </row>
    <row r="56" spans="1:8" ht="15.75" x14ac:dyDescent="0.5">
      <c r="A56" s="62" t="s">
        <v>444</v>
      </c>
      <c r="B56" s="111"/>
      <c r="C56" s="111"/>
      <c r="D56" s="160"/>
      <c r="E56" s="160"/>
      <c r="F56" s="160"/>
      <c r="G56" s="160"/>
      <c r="H56" s="160"/>
    </row>
    <row r="57" spans="1:8" ht="15.75" x14ac:dyDescent="0.5">
      <c r="A57" s="110" t="s">
        <v>445</v>
      </c>
      <c r="B57" s="111" t="s">
        <v>476</v>
      </c>
      <c r="C57" s="111"/>
      <c r="D57" s="162" t="str">
        <f>IFERROR([1]!IntrinioFinancials(ticker,statement,D$9,type,$B57,),"")</f>
        <v/>
      </c>
      <c r="E57" s="162" t="str">
        <f>IFERROR([1]!IntrinioFinancials(ticker,statement,E$9,type,$B57,),"")</f>
        <v/>
      </c>
      <c r="F57" s="162" t="str">
        <f>IFERROR([1]!IntrinioFinancials(ticker,statement,F$9,type,$B57,),"")</f>
        <v/>
      </c>
      <c r="G57" s="162" t="str">
        <f>IFERROR([1]!IntrinioFinancials(ticker,statement,G$9,type,$B57,),"")</f>
        <v/>
      </c>
      <c r="H57" s="162" t="str">
        <f>IFERROR([1]!IntrinioFinancials(ticker,statement,H$9,type,$B57,),"")</f>
        <v/>
      </c>
    </row>
    <row r="58" spans="1:8" ht="4.5" customHeight="1" x14ac:dyDescent="0.5">
      <c r="A58" s="110"/>
      <c r="B58" s="111"/>
      <c r="C58" s="111"/>
      <c r="D58" s="161"/>
      <c r="E58" s="161"/>
      <c r="F58" s="161"/>
      <c r="G58" s="161"/>
      <c r="H58" s="161"/>
    </row>
    <row r="59" spans="1:8" ht="15.75" x14ac:dyDescent="0.5">
      <c r="A59" s="110" t="s">
        <v>387</v>
      </c>
      <c r="B59" s="111" t="s">
        <v>450</v>
      </c>
      <c r="C59" s="111"/>
      <c r="D59" s="161" t="str">
        <f>IFERROR([1]!IntrinioFinancials(ticker,statement,D$9,type,$B59,),"")</f>
        <v/>
      </c>
      <c r="E59" s="161" t="str">
        <f>IFERROR([1]!IntrinioFinancials(ticker,statement,E$9,type,$B59,),"")</f>
        <v/>
      </c>
      <c r="F59" s="161" t="str">
        <f>IFERROR([1]!IntrinioFinancials(ticker,statement,F$9,type,$B59,),"")</f>
        <v/>
      </c>
      <c r="G59" s="161" t="str">
        <f>IFERROR([1]!IntrinioFinancials(ticker,statement,G$9,type,$B59,),"")</f>
        <v/>
      </c>
      <c r="H59" s="161" t="str">
        <f>IFERROR([1]!IntrinioFinancials(ticker,statement,H$9,type,$B59,),"")</f>
        <v/>
      </c>
    </row>
    <row r="60" spans="1:8" ht="4.5" customHeight="1" x14ac:dyDescent="0.5">
      <c r="A60" s="110"/>
      <c r="B60" s="111"/>
      <c r="C60" s="111"/>
      <c r="D60" s="161"/>
      <c r="E60" s="161"/>
      <c r="F60" s="161"/>
      <c r="G60" s="161"/>
      <c r="H60" s="161"/>
    </row>
    <row r="61" spans="1:8" ht="15.75" x14ac:dyDescent="0.5">
      <c r="A61" s="110" t="s">
        <v>367</v>
      </c>
      <c r="B61" s="111" t="s">
        <v>455</v>
      </c>
      <c r="C61" s="111"/>
      <c r="D61" s="162" t="str">
        <f>IFERROR([1]!IntrinioFinancials(ticker,statement,D$9,type,$B61,),"")</f>
        <v/>
      </c>
      <c r="E61" s="162" t="str">
        <f>IFERROR([1]!IntrinioFinancials(ticker,statement,E$9,type,$B61,),"")</f>
        <v/>
      </c>
      <c r="F61" s="162" t="str">
        <f>IFERROR([1]!IntrinioFinancials(ticker,statement,F$9,type,$B61,),"")</f>
        <v/>
      </c>
      <c r="G61" s="162" t="str">
        <f>IFERROR([1]!IntrinioFinancials(ticker,statement,G$9,type,$B61,),"")</f>
        <v/>
      </c>
      <c r="H61" s="162" t="str">
        <f>IFERROR([1]!IntrinioFinancials(ticker,statement,H$9,type,$B61,),"")</f>
        <v/>
      </c>
    </row>
    <row r="62" spans="1:8" ht="4.5" customHeight="1" x14ac:dyDescent="0.5">
      <c r="A62" s="110"/>
      <c r="B62" s="111"/>
      <c r="C62" s="111"/>
      <c r="D62" s="161"/>
      <c r="E62" s="161"/>
      <c r="F62" s="161"/>
      <c r="G62" s="161"/>
      <c r="H62" s="161"/>
    </row>
    <row r="63" spans="1:8" ht="15.75" x14ac:dyDescent="0.5">
      <c r="A63" s="110" t="s">
        <v>368</v>
      </c>
      <c r="B63" s="111" t="s">
        <v>496</v>
      </c>
      <c r="C63" s="111"/>
      <c r="D63" s="160" t="str">
        <f>IFERROR([1]!IntrinioFinancials(ticker,statement,D$9,type,$B63,),"")</f>
        <v/>
      </c>
      <c r="E63" s="160" t="str">
        <f>IFERROR([1]!IntrinioFinancials(ticker,statement,E$9,type,$B63,),"")</f>
        <v/>
      </c>
      <c r="F63" s="160" t="str">
        <f>IFERROR([1]!IntrinioFinancials(ticker,statement,F$9,type,$B63,),"")</f>
        <v/>
      </c>
      <c r="G63" s="160" t="str">
        <f>IFERROR([1]!IntrinioFinancials(ticker,statement,G$9,type,$B63,),"")</f>
        <v/>
      </c>
      <c r="H63" s="160" t="str">
        <f>IFERROR([1]!IntrinioFinancials(ticker,statement,H$9,type,$B63,),"")</f>
        <v/>
      </c>
    </row>
    <row r="64" spans="1:8" ht="15.75" x14ac:dyDescent="0.5">
      <c r="A64" s="110" t="s">
        <v>369</v>
      </c>
      <c r="B64" s="111" t="s">
        <v>477</v>
      </c>
      <c r="C64" s="111"/>
      <c r="D64" s="162" t="str">
        <f>IFERROR([1]!IntrinioFinancials(ticker,statement,D$9,type,$B64,),"")</f>
        <v/>
      </c>
      <c r="E64" s="162" t="str">
        <f>IFERROR([1]!IntrinioFinancials(ticker,statement,E$9,type,$B64,),"")</f>
        <v/>
      </c>
      <c r="F64" s="162" t="str">
        <f>IFERROR([1]!IntrinioFinancials(ticker,statement,F$9,type,$B64,),"")</f>
        <v/>
      </c>
      <c r="G64" s="162" t="str">
        <f>IFERROR([1]!IntrinioFinancials(ticker,statement,G$9,type,$B64,),"")</f>
        <v/>
      </c>
      <c r="H64" s="162" t="str">
        <f>IFERROR([1]!IntrinioFinancials(ticker,statement,H$9,type,$B64,),"")</f>
        <v/>
      </c>
    </row>
    <row r="65" spans="1:8" ht="15.75" x14ac:dyDescent="0.5">
      <c r="A65" s="110" t="s">
        <v>370</v>
      </c>
      <c r="B65" s="111" t="s">
        <v>478</v>
      </c>
      <c r="C65" s="111"/>
      <c r="D65" s="162" t="str">
        <f>IFERROR([1]!IntrinioFinancials(ticker,statement,D$9,type,$B65,),"")</f>
        <v/>
      </c>
      <c r="E65" s="162" t="str">
        <f>IFERROR([1]!IntrinioFinancials(ticker,statement,E$9,type,$B65,),"")</f>
        <v/>
      </c>
      <c r="F65" s="162" t="str">
        <f>IFERROR([1]!IntrinioFinancials(ticker,statement,F$9,type,$B65,),"")</f>
        <v/>
      </c>
      <c r="G65" s="162" t="str">
        <f>IFERROR([1]!IntrinioFinancials(ticker,statement,G$9,type,$B65,),"")</f>
        <v/>
      </c>
      <c r="H65" s="162" t="str">
        <f>IFERROR([1]!IntrinioFinancials(ticker,statement,H$9,type,$B65,),"")</f>
        <v/>
      </c>
    </row>
    <row r="66" spans="1:8" ht="4.5" customHeight="1" x14ac:dyDescent="0.5">
      <c r="A66" s="110"/>
      <c r="B66" s="111"/>
      <c r="C66" s="111"/>
      <c r="D66" s="161"/>
      <c r="E66" s="161"/>
      <c r="F66" s="161"/>
      <c r="G66" s="161"/>
      <c r="H66" s="161"/>
    </row>
    <row r="67" spans="1:8" ht="15.75" x14ac:dyDescent="0.5">
      <c r="A67" s="110" t="s">
        <v>371</v>
      </c>
      <c r="B67" s="111" t="s">
        <v>479</v>
      </c>
      <c r="C67" s="111"/>
      <c r="D67" s="162" t="str">
        <f>IFERROR([1]!IntrinioFinancials(ticker,statement,D$9,type,$B67,),"")</f>
        <v/>
      </c>
      <c r="E67" s="162" t="str">
        <f>IFERROR([1]!IntrinioFinancials(ticker,statement,E$9,type,$B67,),"")</f>
        <v/>
      </c>
      <c r="F67" s="162" t="str">
        <f>IFERROR([1]!IntrinioFinancials(ticker,statement,F$9,type,$B67,),"")</f>
        <v/>
      </c>
      <c r="G67" s="162" t="str">
        <f>IFERROR([1]!IntrinioFinancials(ticker,statement,G$9,type,$B67,),"")</f>
        <v/>
      </c>
      <c r="H67" s="162" t="str">
        <f>IFERROR([1]!IntrinioFinancials(ticker,statement,H$9,type,$B67,),"")</f>
        <v/>
      </c>
    </row>
    <row r="68" spans="1:8" ht="4.5" customHeight="1" x14ac:dyDescent="0.5">
      <c r="A68" s="110"/>
      <c r="B68" s="111"/>
      <c r="C68" s="111"/>
      <c r="D68" s="161"/>
      <c r="E68" s="161"/>
      <c r="F68" s="161"/>
      <c r="G68" s="161"/>
      <c r="H68" s="161"/>
    </row>
    <row r="69" spans="1:8" ht="15.75" x14ac:dyDescent="0.5">
      <c r="A69" s="110" t="s">
        <v>480</v>
      </c>
      <c r="B69" s="111" t="s">
        <v>481</v>
      </c>
      <c r="C69" s="111"/>
      <c r="D69" s="162" t="str">
        <f>IFERROR([1]!IntrinioFinancials(ticker,statement,D$9,type,$B69,),"")</f>
        <v/>
      </c>
      <c r="E69" s="162" t="str">
        <f>IFERROR([1]!IntrinioFinancials(ticker,statement,E$9,type,$B69,),"")</f>
        <v/>
      </c>
      <c r="F69" s="162" t="str">
        <f>IFERROR([1]!IntrinioFinancials(ticker,statement,F$9,type,$B69,),"")</f>
        <v/>
      </c>
      <c r="G69" s="162" t="str">
        <f>IFERROR([1]!IntrinioFinancials(ticker,statement,G$9,type,$B69,),"")</f>
        <v/>
      </c>
      <c r="H69" s="162" t="str">
        <f>IFERROR([1]!IntrinioFinancials(ticker,statement,H$9,type,$B69,),"")</f>
        <v/>
      </c>
    </row>
    <row r="70" spans="1:8" ht="4.5" customHeight="1" x14ac:dyDescent="0.5">
      <c r="A70" s="110"/>
      <c r="B70" s="111"/>
      <c r="C70" s="111"/>
      <c r="D70" s="161"/>
      <c r="E70" s="161"/>
      <c r="F70" s="161"/>
      <c r="G70" s="161"/>
      <c r="H70" s="161"/>
    </row>
    <row r="71" spans="1:8" ht="15.75" x14ac:dyDescent="0.5">
      <c r="A71" s="110" t="s">
        <v>362</v>
      </c>
      <c r="B71" s="111" t="s">
        <v>497</v>
      </c>
      <c r="C71" s="111"/>
      <c r="D71" s="162" t="str">
        <f>IFERROR([1]!IntrinioFinancials(ticker,statement,D$9,type,$B71,),"")</f>
        <v/>
      </c>
      <c r="E71" s="162" t="str">
        <f>IFERROR([1]!IntrinioFinancials(ticker,statement,E$9,type,$B71,),"")</f>
        <v/>
      </c>
      <c r="F71" s="162" t="str">
        <f>IFERROR([1]!IntrinioFinancials(ticker,statement,F$9,type,$B71,),"")</f>
        <v/>
      </c>
      <c r="G71" s="162" t="str">
        <f>IFERROR([1]!IntrinioFinancials(ticker,statement,G$9,type,$B71,),"")</f>
        <v/>
      </c>
      <c r="H71" s="162" t="str">
        <f>IFERROR([1]!IntrinioFinancials(ticker,statement,H$9,type,$B71,),"")</f>
        <v/>
      </c>
    </row>
    <row r="72" spans="1:8" ht="15.75" x14ac:dyDescent="0.5">
      <c r="A72" s="110" t="s">
        <v>372</v>
      </c>
      <c r="B72" s="111" t="s">
        <v>502</v>
      </c>
      <c r="C72" s="111"/>
      <c r="D72" s="162" t="str">
        <f>IFERROR([1]!IntrinioFinancials(ticker,statement,D$9,type,$B72,),"")</f>
        <v/>
      </c>
      <c r="E72" s="162" t="str">
        <f>IFERROR([1]!IntrinioFinancials(ticker,statement,E$9,type,$B72,),"")</f>
        <v/>
      </c>
      <c r="F72" s="162" t="str">
        <f>IFERROR([1]!IntrinioFinancials(ticker,statement,F$9,type,$B72,),"")</f>
        <v/>
      </c>
      <c r="G72" s="162" t="str">
        <f>IFERROR([1]!IntrinioFinancials(ticker,statement,G$9,type,$B72,),"")</f>
        <v/>
      </c>
      <c r="H72" s="162" t="str">
        <f>IFERROR([1]!IntrinioFinancials(ticker,statement,H$9,type,$B72,),"")</f>
        <v/>
      </c>
    </row>
    <row r="73" spans="1:8" ht="15.75" x14ac:dyDescent="0.5">
      <c r="A73" s="110" t="s">
        <v>373</v>
      </c>
      <c r="B73" s="111" t="s">
        <v>503</v>
      </c>
      <c r="C73" s="111"/>
      <c r="D73" s="162" t="str">
        <f>IFERROR([1]!IntrinioFinancials(ticker,statement,D$9,type,$B73,),"")</f>
        <v/>
      </c>
      <c r="E73" s="162" t="str">
        <f>IFERROR([1]!IntrinioFinancials(ticker,statement,E$9,type,$B73,),"")</f>
        <v/>
      </c>
      <c r="F73" s="162" t="str">
        <f>IFERROR([1]!IntrinioFinancials(ticker,statement,F$9,type,$B73,),"")</f>
        <v/>
      </c>
      <c r="G73" s="162" t="str">
        <f>IFERROR([1]!IntrinioFinancials(ticker,statement,G$9,type,$B73,),"")</f>
        <v/>
      </c>
      <c r="H73" s="162" t="str">
        <f>IFERROR([1]!IntrinioFinancials(ticker,statement,H$9,type,$B73,),"")</f>
        <v/>
      </c>
    </row>
    <row r="74" spans="1:8" ht="15.75" x14ac:dyDescent="0.5">
      <c r="A74" s="110" t="s">
        <v>361</v>
      </c>
      <c r="B74" s="111" t="s">
        <v>498</v>
      </c>
      <c r="C74" s="111"/>
      <c r="D74" s="162" t="str">
        <f>IFERROR([1]!IntrinioFinancials(ticker,statement,D$9,type,$B74,),"")</f>
        <v/>
      </c>
      <c r="E74" s="162" t="str">
        <f>IFERROR([1]!IntrinioFinancials(ticker,statement,E$9,type,$B74,),"")</f>
        <v/>
      </c>
      <c r="F74" s="162" t="str">
        <f>IFERROR([1]!IntrinioFinancials(ticker,statement,F$9,type,$B74,),"")</f>
        <v/>
      </c>
      <c r="G74" s="162" t="str">
        <f>IFERROR([1]!IntrinioFinancials(ticker,statement,G$9,type,$B74,),"")</f>
        <v/>
      </c>
      <c r="H74" s="162" t="str">
        <f>IFERROR([1]!IntrinioFinancials(ticker,statement,H$9,type,$B74,),"")</f>
        <v/>
      </c>
    </row>
    <row r="75" spans="1:8" ht="4.5" customHeight="1" x14ac:dyDescent="0.5">
      <c r="A75" s="110"/>
      <c r="B75" s="111"/>
      <c r="C75" s="111"/>
      <c r="D75" s="161"/>
      <c r="E75" s="161"/>
      <c r="F75" s="161"/>
      <c r="G75" s="161"/>
      <c r="H75" s="161"/>
    </row>
    <row r="76" spans="1:8" ht="15.75" x14ac:dyDescent="0.5">
      <c r="A76" s="110" t="s">
        <v>374</v>
      </c>
      <c r="B76" s="111" t="s">
        <v>499</v>
      </c>
      <c r="C76" s="111"/>
      <c r="D76" s="160" t="str">
        <f>IFERROR([1]!IntrinioFinancials(ticker,statement,D$9,type,$B76,),"")</f>
        <v/>
      </c>
      <c r="E76" s="160" t="str">
        <f>IFERROR([1]!IntrinioFinancials(ticker,statement,E$9,type,$B76,),"")</f>
        <v/>
      </c>
      <c r="F76" s="160" t="str">
        <f>IFERROR([1]!IntrinioFinancials(ticker,statement,F$9,type,$B76,),"")</f>
        <v/>
      </c>
      <c r="G76" s="160" t="str">
        <f>IFERROR([1]!IntrinioFinancials(ticker,statement,G$9,type,$B76,),"")</f>
        <v/>
      </c>
      <c r="H76" s="160" t="str">
        <f>IFERROR([1]!IntrinioFinancials(ticker,statement,H$9,type,$B76,),"")</f>
        <v/>
      </c>
    </row>
    <row r="77" spans="1:8" ht="15.75" x14ac:dyDescent="0.5">
      <c r="A77" s="110" t="s">
        <v>375</v>
      </c>
      <c r="B77" s="111" t="s">
        <v>500</v>
      </c>
      <c r="C77" s="111"/>
      <c r="D77" s="160" t="str">
        <f>IFERROR([1]!IntrinioFinancials(ticker,statement,D$9,type,$B77,),"")</f>
        <v/>
      </c>
      <c r="E77" s="160" t="str">
        <f>IFERROR([1]!IntrinioFinancials(ticker,statement,E$9,type,$B77,),"")</f>
        <v/>
      </c>
      <c r="F77" s="160" t="str">
        <f>IFERROR([1]!IntrinioFinancials(ticker,statement,F$9,type,$B77,),"")</f>
        <v/>
      </c>
      <c r="G77" s="160" t="str">
        <f>IFERROR([1]!IntrinioFinancials(ticker,statement,G$9,type,$B77,),"")</f>
        <v/>
      </c>
      <c r="H77" s="160" t="str">
        <f>IFERROR([1]!IntrinioFinancials(ticker,statement,H$9,type,$B77,),"")</f>
        <v/>
      </c>
    </row>
    <row r="78" spans="1:8" ht="4.5" customHeight="1" x14ac:dyDescent="0.5">
      <c r="A78" s="110"/>
      <c r="B78" s="111"/>
      <c r="C78" s="111"/>
      <c r="D78" s="161"/>
      <c r="E78" s="161"/>
      <c r="F78" s="161"/>
      <c r="G78" s="161"/>
      <c r="H78" s="161"/>
    </row>
    <row r="79" spans="1:8" ht="15.75" x14ac:dyDescent="0.5">
      <c r="A79" s="110" t="s">
        <v>484</v>
      </c>
      <c r="B79" s="111" t="s">
        <v>485</v>
      </c>
      <c r="C79" s="111"/>
      <c r="D79" s="162" t="str">
        <f>IFERROR([1]!IntrinioFinancials(ticker,statement,D$9,type,$B79,),"")</f>
        <v/>
      </c>
      <c r="E79" s="162" t="str">
        <f>IFERROR([1]!IntrinioFinancials(ticker,statement,E$9,type,$B79,),"")</f>
        <v/>
      </c>
      <c r="F79" s="162" t="str">
        <f>IFERROR([1]!IntrinioFinancials(ticker,statement,F$9,type,$B79,),"")</f>
        <v/>
      </c>
      <c r="G79" s="162" t="str">
        <f>IFERROR([1]!IntrinioFinancials(ticker,statement,G$9,type,$B79,),"")</f>
        <v/>
      </c>
      <c r="H79" s="162" t="str">
        <f>IFERROR([1]!IntrinioFinancials(ticker,statement,H$9,type,$B79,),"")</f>
        <v/>
      </c>
    </row>
    <row r="80" spans="1:8" ht="15.75" x14ac:dyDescent="0.5">
      <c r="A80" s="110" t="s">
        <v>486</v>
      </c>
      <c r="B80" s="111" t="s">
        <v>487</v>
      </c>
      <c r="C80" s="111"/>
      <c r="D80" s="162" t="str">
        <f>IFERROR([1]!IntrinioFinancials(ticker,statement,D$9,type,$B80,),"")</f>
        <v/>
      </c>
      <c r="E80" s="162" t="str">
        <f>IFERROR([1]!IntrinioFinancials(ticker,statement,E$9,type,$B80,),"")</f>
        <v/>
      </c>
      <c r="F80" s="162" t="str">
        <f>IFERROR([1]!IntrinioFinancials(ticker,statement,F$9,type,$B80,),"")</f>
        <v/>
      </c>
      <c r="G80" s="162" t="str">
        <f>IFERROR([1]!IntrinioFinancials(ticker,statement,G$9,type,$B80,),"")</f>
        <v/>
      </c>
      <c r="H80" s="162" t="str">
        <f>IFERROR([1]!IntrinioFinancials(ticker,statement,H$9,type,$B80,),"")</f>
        <v/>
      </c>
    </row>
    <row r="81" spans="1:8" ht="4.5" customHeight="1" x14ac:dyDescent="0.5">
      <c r="A81" s="110"/>
      <c r="B81" s="111"/>
      <c r="C81" s="111"/>
      <c r="D81" s="161"/>
      <c r="E81" s="161"/>
      <c r="F81" s="161"/>
      <c r="G81" s="161"/>
      <c r="H81" s="161"/>
    </row>
    <row r="82" spans="1:8" ht="15.75" x14ac:dyDescent="0.5">
      <c r="A82" s="110" t="s">
        <v>376</v>
      </c>
      <c r="B82" s="111" t="s">
        <v>501</v>
      </c>
      <c r="C82" s="111"/>
      <c r="D82" s="160" t="str">
        <f>IFERROR([1]!IntrinioFinancials(ticker,statement,D$9,type,$B82,),"")</f>
        <v/>
      </c>
      <c r="E82" s="160" t="str">
        <f>IFERROR([1]!IntrinioFinancials(ticker,statement,E$9,type,$B82,),"")</f>
        <v/>
      </c>
      <c r="F82" s="160" t="str">
        <f>IFERROR([1]!IntrinioFinancials(ticker,statement,F$9,type,$B82,),"")</f>
        <v/>
      </c>
      <c r="G82" s="160" t="str">
        <f>IFERROR([1]!IntrinioFinancials(ticker,statement,G$9,type,$B82,),"")</f>
        <v/>
      </c>
      <c r="H82" s="160" t="str">
        <f>IFERROR([1]!IntrinioFinancials(ticker,statement,H$9,type,$B82,),"")</f>
        <v/>
      </c>
    </row>
    <row r="83" spans="1:8" ht="15.75" x14ac:dyDescent="0.5">
      <c r="A83" s="110" t="s">
        <v>488</v>
      </c>
      <c r="B83" s="111" t="s">
        <v>590</v>
      </c>
      <c r="C83" s="111"/>
      <c r="D83" s="162" t="str">
        <f>IFERROR([1]!IntrinioFinancials(ticker,statement,D$9,type,$B83,),"")</f>
        <v/>
      </c>
      <c r="E83" s="162" t="str">
        <f>IFERROR([1]!IntrinioFinancials(ticker,statement,E$9,type,$B83,),"")</f>
        <v/>
      </c>
      <c r="F83" s="162" t="str">
        <f>IFERROR([1]!IntrinioFinancials(ticker,statement,F$9,type,$B83,),"")</f>
        <v/>
      </c>
      <c r="G83" s="162" t="str">
        <f>IFERROR([1]!IntrinioFinancials(ticker,statement,G$9,type,$B83,),"")</f>
        <v/>
      </c>
      <c r="H83" s="162" t="str">
        <f>IFERROR([1]!IntrinioFinancials(ticker,statement,H$9,type,$B83,),"")</f>
        <v/>
      </c>
    </row>
    <row r="84" spans="1:8" ht="4.5" customHeight="1" x14ac:dyDescent="0.5">
      <c r="A84" s="110"/>
      <c r="B84" s="111"/>
      <c r="C84" s="111"/>
      <c r="D84" s="161"/>
      <c r="E84" s="161"/>
      <c r="F84" s="161"/>
      <c r="G84" s="161"/>
      <c r="H84" s="161"/>
    </row>
    <row r="85" spans="1:8" ht="15.75" x14ac:dyDescent="0.5">
      <c r="A85" s="110" t="s">
        <v>489</v>
      </c>
      <c r="B85" s="111" t="s">
        <v>490</v>
      </c>
      <c r="C85" s="111"/>
      <c r="D85" s="162" t="str">
        <f>IFERROR([1]!IntrinioFinancials(ticker,statement,D$9,type,$B85,),"")</f>
        <v/>
      </c>
      <c r="E85" s="162" t="str">
        <f>IFERROR([1]!IntrinioFinancials(ticker,statement,E$9,type,$B85,),"")</f>
        <v/>
      </c>
      <c r="F85" s="162" t="str">
        <f>IFERROR([1]!IntrinioFinancials(ticker,statement,F$9,type,$B85,),"")</f>
        <v/>
      </c>
      <c r="G85" s="162" t="str">
        <f>IFERROR([1]!IntrinioFinancials(ticker,statement,G$9,type,$B85,),"")</f>
        <v/>
      </c>
      <c r="H85" s="162" t="str">
        <f>IFERROR([1]!IntrinioFinancials(ticker,statement,H$9,type,$B85,),"")</f>
        <v/>
      </c>
    </row>
    <row r="86" spans="1:8" ht="4.5" customHeight="1" x14ac:dyDescent="0.5">
      <c r="A86" s="110"/>
      <c r="B86" s="111"/>
      <c r="C86" s="111"/>
      <c r="D86" s="161"/>
      <c r="E86" s="161"/>
      <c r="F86" s="161"/>
      <c r="G86" s="161"/>
      <c r="H86" s="161"/>
    </row>
    <row r="87" spans="1:8" ht="15.75" x14ac:dyDescent="0.5">
      <c r="A87" s="110" t="s">
        <v>482</v>
      </c>
      <c r="B87" s="111" t="s">
        <v>483</v>
      </c>
      <c r="C87" s="111"/>
      <c r="D87" s="162" t="str">
        <f>IFERROR([1]!IntrinioFinancials(ticker,statement,D$9,type,$B87,),"")</f>
        <v/>
      </c>
      <c r="E87" s="162" t="str">
        <f>IFERROR([1]!IntrinioFinancials(ticker,statement,E$9,type,$B87,),"")</f>
        <v/>
      </c>
      <c r="F87" s="162" t="str">
        <f>IFERROR([1]!IntrinioFinancials(ticker,statement,F$9,type,$B87,),"")</f>
        <v/>
      </c>
      <c r="G87" s="162" t="str">
        <f>IFERROR([1]!IntrinioFinancials(ticker,statement,G$9,type,$B87,),"")</f>
        <v/>
      </c>
      <c r="H87" s="162" t="str">
        <f>IFERROR([1]!IntrinioFinancials(ticker,statement,H$9,type,$B87,),"")</f>
        <v/>
      </c>
    </row>
    <row r="88" spans="1:8" ht="15.75" x14ac:dyDescent="0.5">
      <c r="A88" s="110"/>
      <c r="B88" s="111"/>
      <c r="C88" s="111"/>
      <c r="D88" s="162"/>
      <c r="E88" s="162"/>
      <c r="F88" s="162"/>
      <c r="G88" s="162"/>
      <c r="H88" s="162"/>
    </row>
    <row r="89" spans="1:8" ht="15.75" x14ac:dyDescent="0.5">
      <c r="A89" s="62" t="s">
        <v>504</v>
      </c>
      <c r="B89" s="111"/>
      <c r="C89" s="111"/>
      <c r="D89" s="160"/>
      <c r="E89" s="160"/>
      <c r="F89" s="160"/>
      <c r="G89" s="160"/>
      <c r="H89" s="160"/>
    </row>
    <row r="90" spans="1:8" ht="15.75" x14ac:dyDescent="0.5">
      <c r="A90" s="110" t="s">
        <v>388</v>
      </c>
      <c r="B90" s="111" t="s">
        <v>491</v>
      </c>
      <c r="C90" s="111"/>
      <c r="D90" s="162" t="str">
        <f>IFERROR([1]!IntrinioFinancials(ticker,statement,D$9,type,$B90,),"")</f>
        <v/>
      </c>
      <c r="E90" s="162" t="str">
        <f>IFERROR([1]!IntrinioFinancials(ticker,statement,E$9,type,$B90,),"")</f>
        <v/>
      </c>
      <c r="F90" s="162" t="str">
        <f>IFERROR([1]!IntrinioFinancials(ticker,statement,F$9,type,$B90,),"")</f>
        <v/>
      </c>
      <c r="G90" s="162" t="str">
        <f>IFERROR([1]!IntrinioFinancials(ticker,statement,G$9,type,$B90,),"")</f>
        <v/>
      </c>
      <c r="H90" s="162" t="str">
        <f>IFERROR([1]!IntrinioFinancials(ticker,statement,H$9,type,$B90,),"")</f>
        <v/>
      </c>
    </row>
    <row r="91" spans="1:8" ht="15.75" x14ac:dyDescent="0.5">
      <c r="A91" s="110" t="s">
        <v>492</v>
      </c>
      <c r="B91" s="111" t="s">
        <v>493</v>
      </c>
      <c r="C91" s="111"/>
      <c r="D91" s="162" t="str">
        <f>IFERROR([1]!IntrinioFinancials(ticker,statement,D$9,type,$B91,),"")</f>
        <v/>
      </c>
      <c r="E91" s="162" t="str">
        <f>IFERROR([1]!IntrinioFinancials(ticker,statement,E$9,type,$B91,),"")</f>
        <v/>
      </c>
      <c r="F91" s="162" t="str">
        <f>IFERROR([1]!IntrinioFinancials(ticker,statement,F$9,type,$B91,),"")</f>
        <v/>
      </c>
      <c r="G91" s="162" t="str">
        <f>IFERROR([1]!IntrinioFinancials(ticker,statement,G$9,type,$B91,),"")</f>
        <v/>
      </c>
      <c r="H91" s="162" t="str">
        <f>IFERROR([1]!IntrinioFinancials(ticker,statement,H$9,type,$B91,),"")</f>
        <v/>
      </c>
    </row>
    <row r="92" spans="1:8" ht="15.75" x14ac:dyDescent="0.5">
      <c r="A92" s="110" t="s">
        <v>494</v>
      </c>
      <c r="B92" s="111" t="s">
        <v>495</v>
      </c>
      <c r="C92" s="111"/>
      <c r="D92" s="160" t="str">
        <f>IFERROR([1]!IntrinioFinancials(ticker,statement,D$9,type,$B92,),"")</f>
        <v/>
      </c>
      <c r="E92" s="160" t="str">
        <f>IFERROR([1]!IntrinioFinancials(ticker,statement,E$9,type,$B92,),"")</f>
        <v/>
      </c>
      <c r="F92" s="160" t="str">
        <f>IFERROR([1]!IntrinioFinancials(ticker,statement,F$9,type,$B92,),"")</f>
        <v/>
      </c>
      <c r="G92" s="160" t="str">
        <f>IFERROR([1]!IntrinioFinancials(ticker,statement,G$9,type,$B92,),"")</f>
        <v/>
      </c>
      <c r="H92" s="160" t="str">
        <f>IFERROR([1]!IntrinioFinancials(ticker,statement,H$9,type,$B92,),"")</f>
        <v/>
      </c>
    </row>
    <row r="93" spans="1:8" ht="15.75" x14ac:dyDescent="0.5">
      <c r="A93" s="110"/>
      <c r="B93" s="111"/>
      <c r="C93" s="111"/>
      <c r="D93" s="160"/>
      <c r="E93" s="160"/>
      <c r="F93" s="160"/>
      <c r="G93" s="160"/>
      <c r="H93" s="160"/>
    </row>
    <row r="94" spans="1:8" ht="15.75" x14ac:dyDescent="0.5">
      <c r="A94" s="62" t="s">
        <v>363</v>
      </c>
      <c r="B94" s="111"/>
      <c r="C94" s="111"/>
      <c r="D94" s="160"/>
      <c r="E94" s="160"/>
      <c r="F94" s="160"/>
      <c r="G94" s="160"/>
      <c r="H94" s="160"/>
    </row>
    <row r="95" spans="1:8" ht="15.75" x14ac:dyDescent="0.5">
      <c r="A95" s="110" t="s">
        <v>461</v>
      </c>
      <c r="B95" s="111" t="s">
        <v>537</v>
      </c>
      <c r="C95" s="111"/>
      <c r="D95" s="162" t="str">
        <f>IFERROR([1]!IntrinioFinancials(ticker,statement,D$9,type,$B95,),"")</f>
        <v/>
      </c>
      <c r="E95" s="162" t="str">
        <f>IFERROR([1]!IntrinioFinancials(ticker,statement,E$9,type,$B95,),"")</f>
        <v/>
      </c>
      <c r="F95" s="162" t="str">
        <f>IFERROR([1]!IntrinioFinancials(ticker,statement,F$9,type,$B95,),"")</f>
        <v/>
      </c>
      <c r="G95" s="162" t="str">
        <f>IFERROR([1]!IntrinioFinancials(ticker,statement,G$9,type,$B95,),"")</f>
        <v/>
      </c>
      <c r="H95" s="162" t="str">
        <f>IFERROR([1]!IntrinioFinancials(ticker,statement,H$9,type,$B95,),"")</f>
        <v/>
      </c>
    </row>
    <row r="96" spans="1:8" ht="15.75" x14ac:dyDescent="0.5">
      <c r="A96" s="110" t="s">
        <v>456</v>
      </c>
      <c r="B96" s="111" t="s">
        <v>545</v>
      </c>
      <c r="C96" s="111"/>
      <c r="D96" s="162" t="str">
        <f>IFERROR([1]!IntrinioFinancials(ticker,statement,D$9,type,$B96,),"")</f>
        <v/>
      </c>
      <c r="E96" s="162" t="str">
        <f>IFERROR([1]!IntrinioFinancials(ticker,statement,E$9,type,$B96,),"")</f>
        <v/>
      </c>
      <c r="F96" s="162" t="str">
        <f>IFERROR([1]!IntrinioFinancials(ticker,statement,F$9,type,$B96,),"")</f>
        <v/>
      </c>
      <c r="G96" s="162" t="str">
        <f>IFERROR([1]!IntrinioFinancials(ticker,statement,G$9,type,$B96,),"")</f>
        <v/>
      </c>
      <c r="H96" s="162" t="str">
        <f>IFERROR([1]!IntrinioFinancials(ticker,statement,H$9,type,$B96,),"")</f>
        <v/>
      </c>
    </row>
    <row r="97" spans="1:8" ht="4.5" customHeight="1" x14ac:dyDescent="0.5">
      <c r="A97" s="110"/>
      <c r="B97" s="111"/>
      <c r="C97" s="111"/>
      <c r="D97" s="161"/>
      <c r="E97" s="161"/>
      <c r="F97" s="161"/>
      <c r="G97" s="161"/>
      <c r="H97" s="161"/>
    </row>
    <row r="98" spans="1:8" ht="15.75" x14ac:dyDescent="0.5">
      <c r="A98" s="110" t="s">
        <v>462</v>
      </c>
      <c r="B98" s="111" t="s">
        <v>538</v>
      </c>
      <c r="C98" s="111"/>
      <c r="D98" s="162" t="str">
        <f>IFERROR([1]!IntrinioFinancials(ticker,statement,D$9,type,$B98,),"")</f>
        <v/>
      </c>
      <c r="E98" s="162" t="str">
        <f>IFERROR([1]!IntrinioFinancials(ticker,statement,E$9,type,$B98,),"")</f>
        <v/>
      </c>
      <c r="F98" s="162" t="str">
        <f>IFERROR([1]!IntrinioFinancials(ticker,statement,F$9,type,$B98,),"")</f>
        <v/>
      </c>
      <c r="G98" s="162" t="str">
        <f>IFERROR([1]!IntrinioFinancials(ticker,statement,G$9,type,$B98,),"")</f>
        <v/>
      </c>
      <c r="H98" s="162" t="str">
        <f>IFERROR([1]!IntrinioFinancials(ticker,statement,H$9,type,$B98,),"")</f>
        <v/>
      </c>
    </row>
    <row r="99" spans="1:8" ht="15.75" x14ac:dyDescent="0.5">
      <c r="A99" s="110" t="s">
        <v>457</v>
      </c>
      <c r="B99" s="111" t="s">
        <v>546</v>
      </c>
      <c r="C99" s="111"/>
      <c r="D99" s="162" t="str">
        <f>IFERROR([1]!IntrinioFinancials(ticker,statement,D$9,type,$B99,),"")</f>
        <v/>
      </c>
      <c r="E99" s="162" t="str">
        <f>IFERROR([1]!IntrinioFinancials(ticker,statement,E$9,type,$B99,),"")</f>
        <v/>
      </c>
      <c r="F99" s="162" t="str">
        <f>IFERROR([1]!IntrinioFinancials(ticker,statement,F$9,type,$B99,),"")</f>
        <v/>
      </c>
      <c r="G99" s="162" t="str">
        <f>IFERROR([1]!IntrinioFinancials(ticker,statement,G$9,type,$B99,),"")</f>
        <v/>
      </c>
      <c r="H99" s="162" t="str">
        <f>IFERROR([1]!IntrinioFinancials(ticker,statement,H$9,type,$B99,),"")</f>
        <v/>
      </c>
    </row>
    <row r="100" spans="1:8" ht="4.5" customHeight="1" x14ac:dyDescent="0.5">
      <c r="A100" s="110"/>
      <c r="B100" s="111"/>
      <c r="C100" s="111"/>
      <c r="D100" s="161"/>
      <c r="E100" s="161"/>
      <c r="F100" s="161"/>
      <c r="G100" s="161"/>
      <c r="H100" s="161"/>
    </row>
    <row r="101" spans="1:8" ht="15.75" x14ac:dyDescent="0.5">
      <c r="A101" s="110" t="s">
        <v>463</v>
      </c>
      <c r="B101" s="111" t="s">
        <v>539</v>
      </c>
      <c r="C101" s="111"/>
      <c r="D101" s="162" t="str">
        <f>IFERROR([1]!IntrinioFinancials(ticker,statement,D$9,type,$B101,),"")</f>
        <v/>
      </c>
      <c r="E101" s="162" t="str">
        <f>IFERROR([1]!IntrinioFinancials(ticker,statement,E$9,type,$B101,),"")</f>
        <v/>
      </c>
      <c r="F101" s="162" t="str">
        <f>IFERROR([1]!IntrinioFinancials(ticker,statement,F$9,type,$B101,),"")</f>
        <v/>
      </c>
      <c r="G101" s="162" t="str">
        <f>IFERROR([1]!IntrinioFinancials(ticker,statement,G$9,type,$B101,),"")</f>
        <v/>
      </c>
      <c r="H101" s="162" t="str">
        <f>IFERROR([1]!IntrinioFinancials(ticker,statement,H$9,type,$B101,),"")</f>
        <v/>
      </c>
    </row>
    <row r="102" spans="1:8" ht="15.75" x14ac:dyDescent="0.5">
      <c r="A102" s="110" t="s">
        <v>458</v>
      </c>
      <c r="B102" s="111" t="s">
        <v>547</v>
      </c>
      <c r="C102" s="111"/>
      <c r="D102" s="162" t="str">
        <f>IFERROR([1]!IntrinioFinancials(ticker,statement,D$9,type,$B102,),"")</f>
        <v/>
      </c>
      <c r="E102" s="162" t="str">
        <f>IFERROR([1]!IntrinioFinancials(ticker,statement,E$9,type,$B102,),"")</f>
        <v/>
      </c>
      <c r="F102" s="162" t="str">
        <f>IFERROR([1]!IntrinioFinancials(ticker,statement,F$9,type,$B102,),"")</f>
        <v/>
      </c>
      <c r="G102" s="162" t="str">
        <f>IFERROR([1]!IntrinioFinancials(ticker,statement,G$9,type,$B102,),"")</f>
        <v/>
      </c>
      <c r="H102" s="162" t="str">
        <f>IFERROR([1]!IntrinioFinancials(ticker,statement,H$9,type,$B102,),"")</f>
        <v/>
      </c>
    </row>
    <row r="103" spans="1:8" ht="4.5" customHeight="1" x14ac:dyDescent="0.5">
      <c r="A103" s="110"/>
      <c r="B103" s="111"/>
      <c r="C103" s="111"/>
      <c r="D103" s="161"/>
      <c r="E103" s="161"/>
      <c r="F103" s="161"/>
      <c r="G103" s="161"/>
      <c r="H103" s="161"/>
    </row>
    <row r="104" spans="1:8" ht="15.75" x14ac:dyDescent="0.5">
      <c r="A104" s="110" t="s">
        <v>464</v>
      </c>
      <c r="B104" s="111" t="s">
        <v>540</v>
      </c>
      <c r="C104" s="111"/>
      <c r="D104" s="162" t="str">
        <f>IFERROR([1]!IntrinioFinancials(ticker,statement,D$9,type,$B104,),"")</f>
        <v/>
      </c>
      <c r="E104" s="162" t="str">
        <f>IFERROR([1]!IntrinioFinancials(ticker,statement,E$9,type,$B104,),"")</f>
        <v/>
      </c>
      <c r="F104" s="162" t="str">
        <f>IFERROR([1]!IntrinioFinancials(ticker,statement,F$9,type,$B104,),"")</f>
        <v/>
      </c>
      <c r="G104" s="162" t="str">
        <f>IFERROR([1]!IntrinioFinancials(ticker,statement,G$9,type,$B104,),"")</f>
        <v/>
      </c>
      <c r="H104" s="162" t="str">
        <f>IFERROR([1]!IntrinioFinancials(ticker,statement,H$9,type,$B104,),"")</f>
        <v/>
      </c>
    </row>
    <row r="105" spans="1:8" ht="15.75" x14ac:dyDescent="0.5">
      <c r="A105" s="110" t="s">
        <v>459</v>
      </c>
      <c r="B105" s="111" t="s">
        <v>548</v>
      </c>
      <c r="C105" s="111"/>
      <c r="D105" s="162" t="str">
        <f>IFERROR([1]!IntrinioFinancials(ticker,statement,D$9,type,$B105,),"")</f>
        <v/>
      </c>
      <c r="E105" s="162" t="str">
        <f>IFERROR([1]!IntrinioFinancials(ticker,statement,E$9,type,$B105,),"")</f>
        <v/>
      </c>
      <c r="F105" s="162" t="str">
        <f>IFERROR([1]!IntrinioFinancials(ticker,statement,F$9,type,$B105,),"")</f>
        <v/>
      </c>
      <c r="G105" s="162" t="str">
        <f>IFERROR([1]!IntrinioFinancials(ticker,statement,G$9,type,$B105,),"")</f>
        <v/>
      </c>
      <c r="H105" s="162" t="str">
        <f>IFERROR([1]!IntrinioFinancials(ticker,statement,H$9,type,$B105,),"")</f>
        <v/>
      </c>
    </row>
    <row r="106" spans="1:8" ht="4.5" customHeight="1" x14ac:dyDescent="0.5">
      <c r="A106" s="110"/>
      <c r="B106" s="111"/>
      <c r="C106" s="111"/>
      <c r="D106" s="161"/>
      <c r="E106" s="161"/>
      <c r="F106" s="161"/>
      <c r="G106" s="161"/>
      <c r="H106" s="161"/>
    </row>
    <row r="107" spans="1:8" ht="15.75" x14ac:dyDescent="0.5">
      <c r="A107" s="110" t="s">
        <v>465</v>
      </c>
      <c r="B107" s="111" t="s">
        <v>541</v>
      </c>
      <c r="C107" s="111"/>
      <c r="D107" s="162" t="str">
        <f>IFERROR([1]!IntrinioFinancials(ticker,statement,D$9,type,$B107,),"")</f>
        <v/>
      </c>
      <c r="E107" s="162" t="str">
        <f>IFERROR([1]!IntrinioFinancials(ticker,statement,E$9,type,$B107,),"")</f>
        <v/>
      </c>
      <c r="F107" s="162" t="str">
        <f>IFERROR([1]!IntrinioFinancials(ticker,statement,F$9,type,$B107,),"")</f>
        <v/>
      </c>
      <c r="G107" s="162" t="str">
        <f>IFERROR([1]!IntrinioFinancials(ticker,statement,G$9,type,$B107,),"")</f>
        <v/>
      </c>
      <c r="H107" s="162" t="str">
        <f>IFERROR([1]!IntrinioFinancials(ticker,statement,H$9,type,$B107,),"")</f>
        <v/>
      </c>
    </row>
    <row r="108" spans="1:8" ht="15.75" x14ac:dyDescent="0.5">
      <c r="A108" s="110" t="s">
        <v>460</v>
      </c>
      <c r="B108" s="111" t="s">
        <v>554</v>
      </c>
      <c r="C108" s="111"/>
      <c r="D108" s="162" t="str">
        <f>IFERROR([1]!IntrinioFinancials(ticker,statement,D$9,type,$B108,),"")</f>
        <v/>
      </c>
      <c r="E108" s="162" t="str">
        <f>IFERROR([1]!IntrinioFinancials(ticker,statement,E$9,type,$B108,),"")</f>
        <v/>
      </c>
      <c r="F108" s="162" t="str">
        <f>IFERROR([1]!IntrinioFinancials(ticker,statement,F$9,type,$B108,),"")</f>
        <v/>
      </c>
      <c r="G108" s="162" t="str">
        <f>IFERROR([1]!IntrinioFinancials(ticker,statement,G$9,type,$B108,),"")</f>
        <v/>
      </c>
      <c r="H108" s="162" t="str">
        <f>IFERROR([1]!IntrinioFinancials(ticker,statement,H$9,type,$B108,),"")</f>
        <v/>
      </c>
    </row>
    <row r="109" spans="1:8" ht="4.5" customHeight="1" x14ac:dyDescent="0.5">
      <c r="A109" s="110"/>
      <c r="B109" s="111"/>
      <c r="C109" s="111"/>
      <c r="D109" s="161"/>
      <c r="E109" s="161"/>
      <c r="F109" s="161"/>
      <c r="G109" s="161"/>
      <c r="H109" s="161"/>
    </row>
    <row r="110" spans="1:8" ht="15.75" x14ac:dyDescent="0.5">
      <c r="A110" s="110" t="s">
        <v>466</v>
      </c>
      <c r="B110" s="111" t="s">
        <v>542</v>
      </c>
      <c r="C110" s="111"/>
      <c r="D110" s="162" t="str">
        <f>IFERROR([1]!IntrinioFinancials(ticker,statement,D$9,type,$B110,),"")</f>
        <v/>
      </c>
      <c r="E110" s="162" t="str">
        <f>IFERROR([1]!IntrinioFinancials(ticker,statement,E$9,type,$B110,),"")</f>
        <v/>
      </c>
      <c r="F110" s="162" t="str">
        <f>IFERROR([1]!IntrinioFinancials(ticker,statement,F$9,type,$B110,),"")</f>
        <v/>
      </c>
      <c r="G110" s="162" t="str">
        <f>IFERROR([1]!IntrinioFinancials(ticker,statement,G$9,type,$B110,),"")</f>
        <v/>
      </c>
      <c r="H110" s="162" t="str">
        <f>IFERROR([1]!IntrinioFinancials(ticker,statement,H$9,type,$B110,),"")</f>
        <v/>
      </c>
    </row>
    <row r="111" spans="1:8" ht="15.75" x14ac:dyDescent="0.5">
      <c r="A111" s="110" t="s">
        <v>467</v>
      </c>
      <c r="B111" s="111" t="s">
        <v>549</v>
      </c>
      <c r="C111" s="111"/>
      <c r="D111" s="162" t="str">
        <f>IFERROR([1]!IntrinioFinancials(ticker,statement,D$9,type,$B111,),"")</f>
        <v/>
      </c>
      <c r="E111" s="162" t="str">
        <f>IFERROR([1]!IntrinioFinancials(ticker,statement,E$9,type,$B111,),"")</f>
        <v/>
      </c>
      <c r="F111" s="162" t="str">
        <f>IFERROR([1]!IntrinioFinancials(ticker,statement,F$9,type,$B111,),"")</f>
        <v/>
      </c>
      <c r="G111" s="162" t="str">
        <f>IFERROR([1]!IntrinioFinancials(ticker,statement,G$9,type,$B111,),"")</f>
        <v/>
      </c>
      <c r="H111" s="162" t="str">
        <f>IFERROR([1]!IntrinioFinancials(ticker,statement,H$9,type,$B111,),"")</f>
        <v/>
      </c>
    </row>
    <row r="112" spans="1:8" ht="4.5" customHeight="1" x14ac:dyDescent="0.5">
      <c r="A112" s="110"/>
      <c r="B112" s="111"/>
      <c r="C112" s="111"/>
      <c r="D112" s="161"/>
      <c r="E112" s="161"/>
      <c r="F112" s="161"/>
      <c r="G112" s="161"/>
      <c r="H112" s="161"/>
    </row>
    <row r="113" spans="1:8" ht="15.75" x14ac:dyDescent="0.5">
      <c r="A113" s="110" t="s">
        <v>468</v>
      </c>
      <c r="B113" s="111" t="s">
        <v>552</v>
      </c>
      <c r="C113" s="111"/>
      <c r="D113" s="162" t="str">
        <f>IFERROR([1]!IntrinioFinancials(ticker,statement,D$9,type,$B113,),"")</f>
        <v/>
      </c>
      <c r="E113" s="162" t="str">
        <f>IFERROR([1]!IntrinioFinancials(ticker,statement,E$9,type,$B113,),"")</f>
        <v/>
      </c>
      <c r="F113" s="162" t="str">
        <f>IFERROR([1]!IntrinioFinancials(ticker,statement,F$9,type,$B113,),"")</f>
        <v/>
      </c>
      <c r="G113" s="162" t="str">
        <f>IFERROR([1]!IntrinioFinancials(ticker,statement,G$9,type,$B113,),"")</f>
        <v/>
      </c>
      <c r="H113" s="162" t="str">
        <f>IFERROR([1]!IntrinioFinancials(ticker,statement,H$9,type,$B113,),"")</f>
        <v/>
      </c>
    </row>
    <row r="114" spans="1:8" ht="15.75" x14ac:dyDescent="0.5">
      <c r="A114" s="110" t="s">
        <v>469</v>
      </c>
      <c r="B114" s="111" t="s">
        <v>553</v>
      </c>
      <c r="C114" s="111"/>
      <c r="D114" s="162" t="str">
        <f>IFERROR([1]!IntrinioFinancials(ticker,statement,D$9,type,$B114,),"")</f>
        <v/>
      </c>
      <c r="E114" s="162" t="str">
        <f>IFERROR([1]!IntrinioFinancials(ticker,statement,E$9,type,$B114,),"")</f>
        <v/>
      </c>
      <c r="F114" s="162" t="str">
        <f>IFERROR([1]!IntrinioFinancials(ticker,statement,F$9,type,$B114,),"")</f>
        <v/>
      </c>
      <c r="G114" s="162" t="str">
        <f>IFERROR([1]!IntrinioFinancials(ticker,statement,G$9,type,$B114,),"")</f>
        <v/>
      </c>
      <c r="H114" s="162" t="str">
        <f>IFERROR([1]!IntrinioFinancials(ticker,statement,H$9,type,$B114,),"")</f>
        <v/>
      </c>
    </row>
    <row r="115" spans="1:8" ht="4.5" customHeight="1" x14ac:dyDescent="0.5">
      <c r="A115" s="110"/>
      <c r="B115" s="111"/>
      <c r="C115" s="111"/>
      <c r="D115" s="161"/>
      <c r="E115" s="161"/>
      <c r="F115" s="161"/>
      <c r="G115" s="161"/>
      <c r="H115" s="161"/>
    </row>
    <row r="116" spans="1:8" ht="15.75" x14ac:dyDescent="0.5">
      <c r="A116" s="110" t="s">
        <v>470</v>
      </c>
      <c r="B116" s="111" t="s">
        <v>543</v>
      </c>
      <c r="C116" s="111"/>
      <c r="D116" s="162" t="str">
        <f>IFERROR([1]!IntrinioFinancials(ticker,statement,D$9,type,$B116,),"")</f>
        <v/>
      </c>
      <c r="E116" s="162" t="str">
        <f>IFERROR([1]!IntrinioFinancials(ticker,statement,E$9,type,$B116,),"")</f>
        <v/>
      </c>
      <c r="F116" s="162" t="str">
        <f>IFERROR([1]!IntrinioFinancials(ticker,statement,F$9,type,$B116,),"")</f>
        <v/>
      </c>
      <c r="G116" s="162" t="str">
        <f>IFERROR([1]!IntrinioFinancials(ticker,statement,G$9,type,$B116,),"")</f>
        <v/>
      </c>
      <c r="H116" s="162" t="str">
        <f>IFERROR([1]!IntrinioFinancials(ticker,statement,H$9,type,$B116,),"")</f>
        <v/>
      </c>
    </row>
    <row r="117" spans="1:8" ht="15.75" x14ac:dyDescent="0.5">
      <c r="A117" s="110" t="s">
        <v>471</v>
      </c>
      <c r="B117" s="111" t="s">
        <v>550</v>
      </c>
      <c r="C117" s="111"/>
      <c r="D117" s="162" t="str">
        <f>IFERROR([1]!IntrinioFinancials(ticker,statement,D$9,type,$B117,),"")</f>
        <v/>
      </c>
      <c r="E117" s="162" t="str">
        <f>IFERROR([1]!IntrinioFinancials(ticker,statement,E$9,type,$B117,),"")</f>
        <v/>
      </c>
      <c r="F117" s="162" t="str">
        <f>IFERROR([1]!IntrinioFinancials(ticker,statement,F$9,type,$B117,),"")</f>
        <v/>
      </c>
      <c r="G117" s="162" t="str">
        <f>IFERROR([1]!IntrinioFinancials(ticker,statement,G$9,type,$B117,),"")</f>
        <v/>
      </c>
      <c r="H117" s="162" t="str">
        <f>IFERROR([1]!IntrinioFinancials(ticker,statement,H$9,type,$B117,),"")</f>
        <v/>
      </c>
    </row>
    <row r="118" spans="1:8" ht="4.5" customHeight="1" x14ac:dyDescent="0.5">
      <c r="A118" s="110"/>
      <c r="B118" s="111"/>
      <c r="C118" s="111"/>
      <c r="D118" s="161"/>
      <c r="E118" s="161"/>
      <c r="F118" s="161"/>
      <c r="G118" s="161"/>
      <c r="H118" s="161"/>
    </row>
    <row r="119" spans="1:8" ht="15.75" x14ac:dyDescent="0.5">
      <c r="A119" s="110" t="s">
        <v>472</v>
      </c>
      <c r="B119" s="111" t="s">
        <v>544</v>
      </c>
      <c r="C119" s="111"/>
      <c r="D119" s="162" t="str">
        <f>IFERROR([1]!IntrinioFinancials(ticker,statement,D$9,type,$B119,),"")</f>
        <v/>
      </c>
      <c r="E119" s="162" t="str">
        <f>IFERROR([1]!IntrinioFinancials(ticker,statement,E$9,type,$B119,),"")</f>
        <v/>
      </c>
      <c r="F119" s="162" t="str">
        <f>IFERROR([1]!IntrinioFinancials(ticker,statement,F$9,type,$B119,),"")</f>
        <v/>
      </c>
      <c r="G119" s="162" t="str">
        <f>IFERROR([1]!IntrinioFinancials(ticker,statement,G$9,type,$B119,),"")</f>
        <v/>
      </c>
      <c r="H119" s="162" t="str">
        <f>IFERROR([1]!IntrinioFinancials(ticker,statement,H$9,type,$B119,),"")</f>
        <v/>
      </c>
    </row>
    <row r="120" spans="1:8" ht="15.75" x14ac:dyDescent="0.5">
      <c r="A120" s="110" t="s">
        <v>473</v>
      </c>
      <c r="B120" s="111" t="s">
        <v>551</v>
      </c>
      <c r="C120" s="111"/>
      <c r="D120" s="162" t="str">
        <f>IFERROR([1]!IntrinioFinancials(ticker,statement,D$9,type,$B120,),"")</f>
        <v/>
      </c>
      <c r="E120" s="162" t="str">
        <f>IFERROR([1]!IntrinioFinancials(ticker,statement,E$9,type,$B120,),"")</f>
        <v/>
      </c>
      <c r="F120" s="162" t="str">
        <f>IFERROR([1]!IntrinioFinancials(ticker,statement,F$9,type,$B120,),"")</f>
        <v/>
      </c>
      <c r="G120" s="162" t="str">
        <f>IFERROR([1]!IntrinioFinancials(ticker,statement,G$9,type,$B120,),"")</f>
        <v/>
      </c>
      <c r="H120" s="162" t="str">
        <f>IFERROR([1]!IntrinioFinancials(ticker,statement,H$9,type,$B120,),"")</f>
        <v/>
      </c>
    </row>
    <row r="121" spans="1:8" ht="15.75" x14ac:dyDescent="0.5">
      <c r="A121" s="110"/>
      <c r="B121" s="111"/>
      <c r="C121" s="111"/>
      <c r="D121" s="160"/>
      <c r="E121" s="160"/>
      <c r="F121" s="160"/>
      <c r="G121" s="160"/>
      <c r="H121" s="160"/>
    </row>
    <row r="122" spans="1:8" ht="16.5" customHeight="1" x14ac:dyDescent="0.5">
      <c r="A122" s="62" t="s">
        <v>357</v>
      </c>
      <c r="B122" s="111"/>
      <c r="C122" s="111"/>
      <c r="D122" s="160"/>
      <c r="E122" s="160"/>
      <c r="F122" s="160"/>
      <c r="G122" s="160"/>
      <c r="H122" s="160"/>
    </row>
    <row r="123" spans="1:8" ht="15.75" x14ac:dyDescent="0.5">
      <c r="A123" s="110" t="s">
        <v>364</v>
      </c>
      <c r="B123" s="111" t="s">
        <v>475</v>
      </c>
      <c r="C123" s="110"/>
      <c r="D123" s="162" t="str">
        <f>IFERROR([1]!IntrinioFinancials(ticker,statement,D$9,type,$B123,),"")</f>
        <v/>
      </c>
      <c r="E123" s="162" t="str">
        <f>IFERROR([1]!IntrinioFinancials(ticker,statement,E$9,type,$B123,),"")</f>
        <v/>
      </c>
      <c r="F123" s="162" t="str">
        <f>IFERROR([1]!IntrinioFinancials(ticker,statement,F$9,type,$B123,),"")</f>
        <v/>
      </c>
      <c r="G123" s="162" t="str">
        <f>IFERROR([1]!IntrinioFinancials(ticker,statement,G$9,type,$B123,),"")</f>
        <v/>
      </c>
      <c r="H123" s="162" t="str">
        <f>IFERROR([1]!IntrinioFinancials(ticker,statement,H$9,type,$B123,),"")</f>
        <v/>
      </c>
    </row>
    <row r="124" spans="1:8" ht="15.75" x14ac:dyDescent="0.5">
      <c r="A124" s="110" t="s">
        <v>358</v>
      </c>
      <c r="B124" s="111" t="s">
        <v>518</v>
      </c>
      <c r="C124" s="110"/>
      <c r="D124" s="162" t="str">
        <f>IFERROR([1]!IntrinioFinancials(ticker,statement,D$9,type,$B124,),"")</f>
        <v/>
      </c>
      <c r="E124" s="162" t="str">
        <f>IFERROR([1]!IntrinioFinancials(ticker,statement,E$9,type,$B124,),"")</f>
        <v/>
      </c>
      <c r="F124" s="162" t="str">
        <f>IFERROR([1]!IntrinioFinancials(ticker,statement,F$9,type,$B124,),"")</f>
        <v/>
      </c>
      <c r="G124" s="162" t="str">
        <f>IFERROR([1]!IntrinioFinancials(ticker,statement,G$9,type,$B124,),"")</f>
        <v/>
      </c>
      <c r="H124" s="162" t="str">
        <f>IFERROR([1]!IntrinioFinancials(ticker,statement,H$9,type,$B124,),"")</f>
        <v/>
      </c>
    </row>
    <row r="125" spans="1:8" ht="15.75" x14ac:dyDescent="0.5">
      <c r="A125" s="110" t="s">
        <v>359</v>
      </c>
      <c r="B125" s="111" t="s">
        <v>519</v>
      </c>
      <c r="C125" s="110"/>
      <c r="D125" s="162" t="str">
        <f>IFERROR([1]!IntrinioFinancials(ticker,statement,D$9,type,$B125,),"")</f>
        <v/>
      </c>
      <c r="E125" s="162" t="str">
        <f>IFERROR([1]!IntrinioFinancials(ticker,statement,E$9,type,$B125,),"")</f>
        <v/>
      </c>
      <c r="F125" s="162" t="str">
        <f>IFERROR([1]!IntrinioFinancials(ticker,statement,F$9,type,$B125,),"")</f>
        <v/>
      </c>
      <c r="G125" s="162" t="str">
        <f>IFERROR([1]!IntrinioFinancials(ticker,statement,G$9,type,$B125,),"")</f>
        <v/>
      </c>
      <c r="H125" s="162" t="str">
        <f>IFERROR([1]!IntrinioFinancials(ticker,statement,H$9,type,$B125,),"")</f>
        <v/>
      </c>
    </row>
    <row r="126" spans="1:8" ht="15.75" x14ac:dyDescent="0.5">
      <c r="A126" s="110" t="s">
        <v>361</v>
      </c>
      <c r="B126" s="111" t="s">
        <v>498</v>
      </c>
      <c r="C126" s="110"/>
      <c r="D126" s="162" t="str">
        <f>IFERROR([1]!IntrinioFinancials(ticker,statement,D$9,type,$B126,),"")</f>
        <v/>
      </c>
      <c r="E126" s="162" t="str">
        <f>IFERROR([1]!IntrinioFinancials(ticker,statement,E$9,type,$B126,),"")</f>
        <v/>
      </c>
      <c r="F126" s="162" t="str">
        <f>IFERROR([1]!IntrinioFinancials(ticker,statement,F$9,type,$B126,),"")</f>
        <v/>
      </c>
      <c r="G126" s="162" t="str">
        <f>IFERROR([1]!IntrinioFinancials(ticker,statement,G$9,type,$B126,),"")</f>
        <v/>
      </c>
      <c r="H126" s="162" t="str">
        <f>IFERROR([1]!IntrinioFinancials(ticker,statement,H$9,type,$B126,),"")</f>
        <v/>
      </c>
    </row>
    <row r="127" spans="1:8" ht="15.75" x14ac:dyDescent="0.5">
      <c r="A127" s="110" t="s">
        <v>360</v>
      </c>
      <c r="B127" s="111" t="s">
        <v>476</v>
      </c>
      <c r="C127" s="110"/>
      <c r="D127" s="162" t="str">
        <f>IFERROR([1]!IntrinioFinancials(ticker,statement,D$9,type,$B127,),"")</f>
        <v/>
      </c>
      <c r="E127" s="162" t="str">
        <f>IFERROR([1]!IntrinioFinancials(ticker,statement,E$9,type,$B127,),"")</f>
        <v/>
      </c>
      <c r="F127" s="162" t="str">
        <f>IFERROR([1]!IntrinioFinancials(ticker,statement,F$9,type,$B127,),"")</f>
        <v/>
      </c>
      <c r="G127" s="162" t="str">
        <f>IFERROR([1]!IntrinioFinancials(ticker,statement,G$9,type,$B127,),"")</f>
        <v/>
      </c>
      <c r="H127" s="162" t="str">
        <f>IFERROR([1]!IntrinioFinancials(ticker,statement,H$9,type,$B127,),"")</f>
        <v/>
      </c>
    </row>
    <row r="128" spans="1:8" ht="15.75" x14ac:dyDescent="0.5">
      <c r="A128" s="110" t="s">
        <v>520</v>
      </c>
      <c r="B128" s="111" t="s">
        <v>497</v>
      </c>
      <c r="C128" s="110"/>
      <c r="D128" s="162" t="str">
        <f>IFERROR([1]!IntrinioFinancials(ticker,statement,D$9,type,$B128,),"")</f>
        <v/>
      </c>
      <c r="E128" s="162" t="str">
        <f>IFERROR([1]!IntrinioFinancials(ticker,statement,E$9,type,$B128,),"")</f>
        <v/>
      </c>
      <c r="F128" s="162" t="str">
        <f>IFERROR([1]!IntrinioFinancials(ticker,statement,F$9,type,$B128,),"")</f>
        <v/>
      </c>
      <c r="G128" s="162" t="str">
        <f>IFERROR([1]!IntrinioFinancials(ticker,statement,G$9,type,$B128,),"")</f>
        <v/>
      </c>
      <c r="H128" s="162" t="str">
        <f>IFERROR([1]!IntrinioFinancials(ticker,statement,H$9,type,$B128,),"")</f>
        <v/>
      </c>
    </row>
    <row r="129" spans="1:8" ht="4.5" customHeight="1" x14ac:dyDescent="0.5">
      <c r="A129" s="110"/>
      <c r="B129" s="111"/>
      <c r="C129" s="111"/>
      <c r="D129" s="161"/>
      <c r="E129" s="161"/>
      <c r="F129" s="161"/>
      <c r="G129" s="161"/>
      <c r="H129" s="161"/>
    </row>
    <row r="130" spans="1:8" ht="15.75" x14ac:dyDescent="0.5">
      <c r="A130" s="110" t="s">
        <v>446</v>
      </c>
      <c r="B130" s="111" t="s">
        <v>521</v>
      </c>
      <c r="C130" s="110"/>
      <c r="D130" s="162" t="str">
        <f>IFERROR([1]!IntrinioFinancials(ticker,statement,D$9,type,$B130,),"")</f>
        <v/>
      </c>
      <c r="E130" s="162" t="str">
        <f>IFERROR([1]!IntrinioFinancials(ticker,statement,E$9,type,$B130,),"")</f>
        <v/>
      </c>
      <c r="F130" s="162" t="str">
        <f>IFERROR([1]!IntrinioFinancials(ticker,statement,F$9,type,$B130,),"")</f>
        <v/>
      </c>
      <c r="G130" s="162" t="str">
        <f>IFERROR([1]!IntrinioFinancials(ticker,statement,G$9,type,$B130,),"")</f>
        <v/>
      </c>
      <c r="H130" s="162" t="str">
        <f>IFERROR([1]!IntrinioFinancials(ticker,statement,H$9,type,$B130,),"")</f>
        <v/>
      </c>
    </row>
    <row r="131" spans="1:8" ht="15.75" x14ac:dyDescent="0.5">
      <c r="A131" s="110" t="s">
        <v>522</v>
      </c>
      <c r="B131" s="111" t="s">
        <v>447</v>
      </c>
      <c r="C131" s="110"/>
      <c r="D131" s="162" t="str">
        <f>IFERROR([1]!IntrinioFinancials(ticker,statement,D$9,type,$B131,),"")</f>
        <v/>
      </c>
      <c r="E131" s="162" t="str">
        <f>IFERROR([1]!IntrinioFinancials(ticker,statement,E$9,type,$B131,),"")</f>
        <v/>
      </c>
      <c r="F131" s="162" t="str">
        <f>IFERROR([1]!IntrinioFinancials(ticker,statement,F$9,type,$B131,),"")</f>
        <v/>
      </c>
      <c r="G131" s="162" t="str">
        <f>IFERROR([1]!IntrinioFinancials(ticker,statement,G$9,type,$B131,),"")</f>
        <v/>
      </c>
      <c r="H131" s="162" t="str">
        <f>IFERROR([1]!IntrinioFinancials(ticker,statement,H$9,type,$B131,),"")</f>
        <v/>
      </c>
    </row>
    <row r="132" spans="1:8" ht="15.75" x14ac:dyDescent="0.5">
      <c r="A132" s="110" t="s">
        <v>523</v>
      </c>
      <c r="B132" s="111" t="s">
        <v>448</v>
      </c>
      <c r="C132" s="110"/>
      <c r="D132" s="162" t="str">
        <f>IFERROR([1]!IntrinioFinancials(ticker,statement,D$9,type,$B132,),"")</f>
        <v/>
      </c>
      <c r="E132" s="162" t="str">
        <f>IFERROR([1]!IntrinioFinancials(ticker,statement,E$9,type,$B132,),"")</f>
        <v/>
      </c>
      <c r="F132" s="162" t="str">
        <f>IFERROR([1]!IntrinioFinancials(ticker,statement,F$9,type,$B132,),"")</f>
        <v/>
      </c>
      <c r="G132" s="162" t="str">
        <f>IFERROR([1]!IntrinioFinancials(ticker,statement,G$9,type,$B132,),"")</f>
        <v/>
      </c>
      <c r="H132" s="162" t="str">
        <f>IFERROR([1]!IntrinioFinancials(ticker,statement,H$9,type,$B132,),"")</f>
        <v/>
      </c>
    </row>
    <row r="133" spans="1:8" ht="15.75" x14ac:dyDescent="0.5">
      <c r="A133" s="110" t="s">
        <v>365</v>
      </c>
      <c r="B133" s="111" t="s">
        <v>449</v>
      </c>
      <c r="C133" s="110"/>
      <c r="D133" s="162" t="str">
        <f>IFERROR([1]!IntrinioFinancials(ticker,statement,D$9,type,$B133,),"")</f>
        <v/>
      </c>
      <c r="E133" s="162" t="str">
        <f>IFERROR([1]!IntrinioFinancials(ticker,statement,E$9,type,$B133,),"")</f>
        <v/>
      </c>
      <c r="F133" s="162" t="str">
        <f>IFERROR([1]!IntrinioFinancials(ticker,statement,F$9,type,$B133,),"")</f>
        <v/>
      </c>
      <c r="G133" s="162" t="str">
        <f>IFERROR([1]!IntrinioFinancials(ticker,statement,G$9,type,$B133,),"")</f>
        <v/>
      </c>
      <c r="H133" s="162" t="str">
        <f>IFERROR([1]!IntrinioFinancials(ticker,statement,H$9,type,$B133,),"")</f>
        <v/>
      </c>
    </row>
    <row r="134" spans="1:8" ht="15.75" x14ac:dyDescent="0.5">
      <c r="A134" s="110" t="s">
        <v>524</v>
      </c>
      <c r="B134" s="111" t="s">
        <v>525</v>
      </c>
      <c r="C134" s="110"/>
      <c r="D134" s="162" t="str">
        <f>IFERROR([1]!IntrinioFinancials(ticker,statement,D$9,type,$B134,),"")</f>
        <v/>
      </c>
      <c r="E134" s="162" t="str">
        <f>IFERROR([1]!IntrinioFinancials(ticker,statement,E$9,type,$B134,),"")</f>
        <v/>
      </c>
      <c r="F134" s="162" t="str">
        <f>IFERROR([1]!IntrinioFinancials(ticker,statement,F$9,type,$B134,),"")</f>
        <v/>
      </c>
      <c r="G134" s="162" t="str">
        <f>IFERROR([1]!IntrinioFinancials(ticker,statement,G$9,type,$B134,),"")</f>
        <v/>
      </c>
      <c r="H134" s="162" t="str">
        <f>IFERROR([1]!IntrinioFinancials(ticker,statement,H$9,type,$B134,),"")</f>
        <v/>
      </c>
    </row>
    <row r="135" spans="1:8" ht="15.75" x14ac:dyDescent="0.5">
      <c r="A135" s="110"/>
      <c r="B135" s="111"/>
      <c r="C135" s="111"/>
      <c r="D135" s="160"/>
      <c r="E135" s="160"/>
      <c r="F135" s="160"/>
      <c r="G135" s="160"/>
      <c r="H135" s="160"/>
    </row>
    <row r="136" spans="1:8" ht="15.75" x14ac:dyDescent="0.5">
      <c r="A136" s="62" t="s">
        <v>474</v>
      </c>
      <c r="B136" s="111"/>
      <c r="C136" s="111"/>
      <c r="D136" s="160"/>
      <c r="E136" s="160"/>
      <c r="F136" s="160"/>
      <c r="G136" s="160"/>
      <c r="H136" s="160"/>
    </row>
    <row r="137" spans="1:8" ht="15.75" x14ac:dyDescent="0.5">
      <c r="A137" s="110" t="s">
        <v>387</v>
      </c>
      <c r="B137" s="111" t="s">
        <v>450</v>
      </c>
      <c r="C137" s="111"/>
      <c r="D137" s="161" t="str">
        <f>IFERROR([1]!IntrinioFinancials(ticker,statement,D$9,type,$B137,),"")</f>
        <v/>
      </c>
      <c r="E137" s="161" t="str">
        <f>IFERROR([1]!IntrinioFinancials(ticker,statement,E$9,type,$B137,),"")</f>
        <v/>
      </c>
      <c r="F137" s="161" t="str">
        <f>IFERROR([1]!IntrinioFinancials(ticker,statement,F$9,type,$B137,),"")</f>
        <v/>
      </c>
      <c r="G137" s="161" t="str">
        <f>IFERROR([1]!IntrinioFinancials(ticker,statement,G$9,type,$B137,),"")</f>
        <v/>
      </c>
      <c r="H137" s="161" t="str">
        <f>IFERROR([1]!IntrinioFinancials(ticker,statement,H$9,type,$B137,),"")</f>
        <v/>
      </c>
    </row>
    <row r="138" spans="1:8" ht="15.75" x14ac:dyDescent="0.5">
      <c r="A138" s="110" t="s">
        <v>374</v>
      </c>
      <c r="B138" s="111" t="s">
        <v>499</v>
      </c>
      <c r="C138" s="111"/>
      <c r="D138" s="161" t="str">
        <f>IFERROR([1]!IntrinioFinancials(ticker,statement,D$9,type,$B138,),"")</f>
        <v/>
      </c>
      <c r="E138" s="161" t="str">
        <f>IFERROR([1]!IntrinioFinancials(ticker,statement,E$9,type,$B138,),"")</f>
        <v/>
      </c>
      <c r="F138" s="161" t="str">
        <f>IFERROR([1]!IntrinioFinancials(ticker,statement,F$9,type,$B138,),"")</f>
        <v/>
      </c>
      <c r="G138" s="161" t="str">
        <f>IFERROR([1]!IntrinioFinancials(ticker,statement,G$9,type,$B138,),"")</f>
        <v/>
      </c>
      <c r="H138" s="161" t="str">
        <f>IFERROR([1]!IntrinioFinancials(ticker,statement,H$9,type,$B138,),"")</f>
        <v/>
      </c>
    </row>
    <row r="139" spans="1:8" ht="15.75" x14ac:dyDescent="0.5">
      <c r="A139" s="110" t="s">
        <v>384</v>
      </c>
      <c r="B139" s="111" t="s">
        <v>451</v>
      </c>
      <c r="C139" s="111"/>
      <c r="D139" s="161" t="str">
        <f>IFERROR([1]!IntrinioFinancials(ticker,statement,D$9,type,$B139,),"")</f>
        <v/>
      </c>
      <c r="E139" s="161" t="str">
        <f>IFERROR([1]!IntrinioFinancials(ticker,statement,E$9,type,$B139,),"")</f>
        <v/>
      </c>
      <c r="F139" s="161" t="str">
        <f>IFERROR([1]!IntrinioFinancials(ticker,statement,F$9,type,$B139,),"")</f>
        <v/>
      </c>
      <c r="G139" s="161" t="str">
        <f>IFERROR([1]!IntrinioFinancials(ticker,statement,G$9,type,$B139,),"")</f>
        <v/>
      </c>
      <c r="H139" s="161" t="str">
        <f>IFERROR([1]!IntrinioFinancials(ticker,statement,H$9,type,$B139,),"")</f>
        <v/>
      </c>
    </row>
    <row r="140" spans="1:8" ht="15.75" x14ac:dyDescent="0.5">
      <c r="A140" s="110" t="s">
        <v>366</v>
      </c>
      <c r="B140" s="111" t="s">
        <v>453</v>
      </c>
      <c r="C140" s="111"/>
      <c r="D140" s="161" t="str">
        <f>IFERROR([1]!IntrinioFinancials(ticker,statement,D$9,type,$B140,),"")</f>
        <v/>
      </c>
      <c r="E140" s="161" t="str">
        <f>IFERROR([1]!IntrinioFinancials(ticker,statement,E$9,type,$B140,),"")</f>
        <v/>
      </c>
      <c r="F140" s="161" t="str">
        <f>IFERROR([1]!IntrinioFinancials(ticker,statement,F$9,type,$B140,),"")</f>
        <v/>
      </c>
      <c r="G140" s="161" t="str">
        <f>IFERROR([1]!IntrinioFinancials(ticker,statement,G$9,type,$B140,),"")</f>
        <v/>
      </c>
      <c r="H140" s="161" t="str">
        <f>IFERROR([1]!IntrinioFinancials(ticker,statement,H$9,type,$B140,),"")</f>
        <v/>
      </c>
    </row>
    <row r="141" spans="1:8" ht="15.75" x14ac:dyDescent="0.5">
      <c r="A141" s="110" t="s">
        <v>386</v>
      </c>
      <c r="B141" s="111" t="s">
        <v>454</v>
      </c>
      <c r="C141" s="111"/>
      <c r="D141" s="161" t="str">
        <f>IFERROR([1]!IntrinioFinancials(ticker,statement,D$9,type,$B141,),"")</f>
        <v/>
      </c>
      <c r="E141" s="161" t="str">
        <f>IFERROR([1]!IntrinioFinancials(ticker,statement,E$9,type,$B141,),"")</f>
        <v/>
      </c>
      <c r="F141" s="161" t="str">
        <f>IFERROR([1]!IntrinioFinancials(ticker,statement,F$9,type,$B141,),"")</f>
        <v/>
      </c>
      <c r="G141" s="161" t="str">
        <f>IFERROR([1]!IntrinioFinancials(ticker,statement,G$9,type,$B141,),"")</f>
        <v/>
      </c>
      <c r="H141" s="161" t="str">
        <f>IFERROR([1]!IntrinioFinancials(ticker,statement,H$9,type,$B141,),"")</f>
        <v/>
      </c>
    </row>
    <row r="142" spans="1:8" ht="15.75" x14ac:dyDescent="0.5">
      <c r="A142" s="110" t="s">
        <v>385</v>
      </c>
      <c r="B142" s="111" t="s">
        <v>452</v>
      </c>
      <c r="C142" s="111"/>
      <c r="D142" s="161" t="str">
        <f>IFERROR([1]!IntrinioFinancials(ticker,statement,D$9,type,$B142,),"")</f>
        <v/>
      </c>
      <c r="E142" s="161" t="str">
        <f>IFERROR([1]!IntrinioFinancials(ticker,statement,E$9,type,$B142,),"")</f>
        <v/>
      </c>
      <c r="F142" s="161" t="str">
        <f>IFERROR([1]!IntrinioFinancials(ticker,statement,F$9,type,$B142,),"")</f>
        <v/>
      </c>
      <c r="G142" s="161" t="str">
        <f>IFERROR([1]!IntrinioFinancials(ticker,statement,G$9,type,$B142,),"")</f>
        <v/>
      </c>
      <c r="H142" s="161" t="str">
        <f>IFERROR([1]!IntrinioFinancials(ticker,statement,H$9,type,$B142,),"")</f>
        <v/>
      </c>
    </row>
    <row r="143" spans="1:8" ht="4.5" customHeight="1" x14ac:dyDescent="0.5">
      <c r="A143" s="110"/>
      <c r="B143" s="111"/>
      <c r="C143" s="111"/>
      <c r="D143" s="161"/>
      <c r="E143" s="161"/>
      <c r="F143" s="161"/>
      <c r="G143" s="161"/>
      <c r="H143" s="161"/>
    </row>
    <row r="144" spans="1:8" ht="15.75" x14ac:dyDescent="0.5">
      <c r="A144" s="110" t="s">
        <v>555</v>
      </c>
      <c r="B144" s="111" t="s">
        <v>556</v>
      </c>
      <c r="C144" s="111"/>
      <c r="D144" s="161" t="str">
        <f>IFERROR([1]!IntrinioFinancials(ticker,statement,D$9,type,$B144,),"")</f>
        <v/>
      </c>
      <c r="E144" s="161" t="str">
        <f>IFERROR([1]!IntrinioFinancials(ticker,statement,E$9,type,$B144,),"")</f>
        <v/>
      </c>
      <c r="F144" s="161" t="str">
        <f>IFERROR([1]!IntrinioFinancials(ticker,statement,F$9,type,$B144,),"")</f>
        <v/>
      </c>
      <c r="G144" s="161" t="str">
        <f>IFERROR([1]!IntrinioFinancials(ticker,statement,G$9,type,$B144,),"")</f>
        <v/>
      </c>
      <c r="H144" s="161" t="str">
        <f>IFERROR([1]!IntrinioFinancials(ticker,statement,H$9,type,$B144,),"")</f>
        <v/>
      </c>
    </row>
    <row r="145" spans="1:8" ht="15.75" x14ac:dyDescent="0.5">
      <c r="A145" s="110" t="s">
        <v>557</v>
      </c>
      <c r="B145" s="111" t="s">
        <v>558</v>
      </c>
      <c r="C145" s="111"/>
      <c r="D145" s="161" t="str">
        <f>IFERROR([1]!IntrinioFinancials(ticker,statement,D$9,type,$B145,),"")</f>
        <v/>
      </c>
      <c r="E145" s="161" t="str">
        <f>IFERROR([1]!IntrinioFinancials(ticker,statement,E$9,type,$B145,),"")</f>
        <v/>
      </c>
      <c r="F145" s="161" t="str">
        <f>IFERROR([1]!IntrinioFinancials(ticker,statement,F$9,type,$B145,),"")</f>
        <v/>
      </c>
      <c r="G145" s="161" t="str">
        <f>IFERROR([1]!IntrinioFinancials(ticker,statement,G$9,type,$B145,),"")</f>
        <v/>
      </c>
      <c r="H145" s="161" t="str">
        <f>IFERROR([1]!IntrinioFinancials(ticker,statement,H$9,type,$B145,),"")</f>
        <v/>
      </c>
    </row>
    <row r="146" spans="1:8" ht="15.75" x14ac:dyDescent="0.5">
      <c r="A146" s="110" t="s">
        <v>559</v>
      </c>
      <c r="B146" s="111" t="s">
        <v>560</v>
      </c>
      <c r="C146" s="111"/>
      <c r="D146" s="161" t="str">
        <f>IFERROR([1]!IntrinioFinancials(ticker,statement,D$9,type,$B146,),"")</f>
        <v/>
      </c>
      <c r="E146" s="161" t="str">
        <f>IFERROR([1]!IntrinioFinancials(ticker,statement,E$9,type,$B146,),"")</f>
        <v/>
      </c>
      <c r="F146" s="161" t="str">
        <f>IFERROR([1]!IntrinioFinancials(ticker,statement,F$9,type,$B146,),"")</f>
        <v/>
      </c>
      <c r="G146" s="161" t="str">
        <f>IFERROR([1]!IntrinioFinancials(ticker,statement,G$9,type,$B146,),"")</f>
        <v/>
      </c>
      <c r="H146" s="161" t="str">
        <f>IFERROR([1]!IntrinioFinancials(ticker,statement,H$9,type,$B146,),"")</f>
        <v/>
      </c>
    </row>
    <row r="147" spans="1:8" ht="15.75" x14ac:dyDescent="0.5">
      <c r="A147" s="110" t="s">
        <v>561</v>
      </c>
      <c r="B147" s="111" t="s">
        <v>562</v>
      </c>
      <c r="C147" s="111"/>
      <c r="D147" s="161" t="str">
        <f>IFERROR([1]!IntrinioFinancials(ticker,statement,D$9,type,$B147,),"")</f>
        <v/>
      </c>
      <c r="E147" s="161" t="str">
        <f>IFERROR([1]!IntrinioFinancials(ticker,statement,E$9,type,$B147,),"")</f>
        <v/>
      </c>
      <c r="F147" s="161" t="str">
        <f>IFERROR([1]!IntrinioFinancials(ticker,statement,F$9,type,$B147,),"")</f>
        <v/>
      </c>
      <c r="G147" s="161" t="str">
        <f>IFERROR([1]!IntrinioFinancials(ticker,statement,G$9,type,$B147,),"")</f>
        <v/>
      </c>
      <c r="H147" s="161" t="str">
        <f>IFERROR([1]!IntrinioFinancials(ticker,statement,H$9,type,$B147,),"")</f>
        <v/>
      </c>
    </row>
    <row r="148" spans="1:8" ht="15.75" x14ac:dyDescent="0.5">
      <c r="A148" s="110"/>
      <c r="B148" s="111"/>
      <c r="C148" s="111"/>
      <c r="D148" s="160"/>
      <c r="E148" s="160"/>
      <c r="F148" s="160"/>
      <c r="G148" s="160"/>
      <c r="H148" s="160"/>
    </row>
    <row r="149" spans="1:8" ht="15.75" x14ac:dyDescent="0.5">
      <c r="A149" s="62" t="s">
        <v>377</v>
      </c>
      <c r="B149" s="111"/>
      <c r="C149" s="111"/>
      <c r="D149" s="160"/>
      <c r="E149" s="160"/>
      <c r="F149" s="160"/>
      <c r="G149" s="160"/>
      <c r="H149" s="160"/>
    </row>
    <row r="150" spans="1:8" ht="15.75" x14ac:dyDescent="0.5">
      <c r="A150" s="110" t="s">
        <v>536</v>
      </c>
      <c r="B150" s="111" t="s">
        <v>608</v>
      </c>
      <c r="C150" s="111"/>
      <c r="D150" s="161" t="str">
        <f>IFERROR([1]!IntrinioFinancials(ticker,statement,D$9,type,$B150,),"")</f>
        <v/>
      </c>
      <c r="E150" s="161" t="str">
        <f>IFERROR([1]!IntrinioFinancials(ticker,statement,E$9,type,$B150,),"")</f>
        <v/>
      </c>
      <c r="F150" s="161" t="str">
        <f>IFERROR([1]!IntrinioFinancials(ticker,statement,F$9,type,$B150,),"")</f>
        <v/>
      </c>
      <c r="G150" s="161" t="str">
        <f>IFERROR([1]!IntrinioFinancials(ticker,statement,G$9,type,$B150,),"")</f>
        <v/>
      </c>
      <c r="H150" s="161" t="str">
        <f>IFERROR([1]!IntrinioFinancials(ticker,statement,H$9,type,$B150,),"")</f>
        <v/>
      </c>
    </row>
    <row r="151" spans="1:8" ht="15.75" x14ac:dyDescent="0.5">
      <c r="A151" s="110" t="s">
        <v>534</v>
      </c>
      <c r="B151" s="111" t="s">
        <v>535</v>
      </c>
      <c r="C151" s="111"/>
      <c r="D151" s="161" t="str">
        <f>IFERROR([1]!IntrinioFinancials(ticker,statement,D$9,type,$B151,),"")</f>
        <v/>
      </c>
      <c r="E151" s="161" t="str">
        <f>IFERROR([1]!IntrinioFinancials(ticker,statement,E$9,type,$B151,),"")</f>
        <v/>
      </c>
      <c r="F151" s="161" t="str">
        <f>IFERROR([1]!IntrinioFinancials(ticker,statement,F$9,type,$B151,),"")</f>
        <v/>
      </c>
      <c r="G151" s="161" t="str">
        <f>IFERROR([1]!IntrinioFinancials(ticker,statement,G$9,type,$B151,),"")</f>
        <v/>
      </c>
      <c r="H151" s="161" t="str">
        <f>IFERROR([1]!IntrinioFinancials(ticker,statement,H$9,type,$B151,),"")</f>
        <v/>
      </c>
    </row>
    <row r="152" spans="1:8" ht="15.75" x14ac:dyDescent="0.5">
      <c r="A152" s="110"/>
      <c r="B152" s="111"/>
      <c r="C152" s="111"/>
      <c r="D152" s="160"/>
      <c r="E152" s="160"/>
      <c r="F152" s="160"/>
      <c r="G152" s="160"/>
      <c r="H152" s="160"/>
    </row>
    <row r="153" spans="1:8" ht="15.75" x14ac:dyDescent="0.5">
      <c r="A153" s="62" t="s">
        <v>589</v>
      </c>
      <c r="B153" s="111"/>
      <c r="C153" s="111"/>
      <c r="D153" s="160"/>
      <c r="E153" s="160"/>
      <c r="F153" s="160"/>
      <c r="G153" s="160"/>
      <c r="H153" s="160"/>
    </row>
    <row r="154" spans="1:8" ht="15.75" x14ac:dyDescent="0.5">
      <c r="A154" s="110" t="s">
        <v>577</v>
      </c>
      <c r="B154" s="111" t="s">
        <v>578</v>
      </c>
      <c r="C154" s="111"/>
      <c r="D154" s="162" t="str">
        <f>IFERROR([1]!IntrinioFinancials(ticker,statement,D$9,type,$B154,),"")</f>
        <v/>
      </c>
      <c r="E154" s="162" t="str">
        <f>IFERROR([1]!IntrinioFinancials(ticker,statement,E$9,type,$B154,),"")</f>
        <v/>
      </c>
      <c r="F154" s="162" t="str">
        <f>IFERROR([1]!IntrinioFinancials(ticker,statement,F$9,type,$B154,),"")</f>
        <v/>
      </c>
      <c r="G154" s="162" t="str">
        <f>IFERROR([1]!IntrinioFinancials(ticker,statement,G$9,type,$B154,),"")</f>
        <v/>
      </c>
      <c r="H154" s="162" t="str">
        <f>IFERROR([1]!IntrinioFinancials(ticker,statement,H$9,type,$B154,),"")</f>
        <v/>
      </c>
    </row>
    <row r="155" spans="1:8" ht="15.75" x14ac:dyDescent="0.5">
      <c r="A155" s="110" t="s">
        <v>579</v>
      </c>
      <c r="B155" s="111" t="s">
        <v>580</v>
      </c>
      <c r="C155" s="111"/>
      <c r="D155" s="162" t="str">
        <f>IFERROR([1]!IntrinioFinancials(ticker,statement,D$9,type,$B155,),"")</f>
        <v/>
      </c>
      <c r="E155" s="162" t="str">
        <f>IFERROR([1]!IntrinioFinancials(ticker,statement,E$9,type,$B155,),"")</f>
        <v/>
      </c>
      <c r="F155" s="162" t="str">
        <f>IFERROR([1]!IntrinioFinancials(ticker,statement,F$9,type,$B155,),"")</f>
        <v/>
      </c>
      <c r="G155" s="162" t="str">
        <f>IFERROR([1]!IntrinioFinancials(ticker,statement,G$9,type,$B155,),"")</f>
        <v/>
      </c>
      <c r="H155" s="162" t="str">
        <f>IFERROR([1]!IntrinioFinancials(ticker,statement,H$9,type,$B155,),"")</f>
        <v/>
      </c>
    </row>
    <row r="156" spans="1:8" ht="15.75" x14ac:dyDescent="0.5">
      <c r="A156" s="110" t="s">
        <v>581</v>
      </c>
      <c r="B156" s="111" t="s">
        <v>582</v>
      </c>
      <c r="C156" s="111"/>
      <c r="D156" s="162" t="str">
        <f>IFERROR([1]!IntrinioFinancials(ticker,statement,D$9,type,$B156,),"")</f>
        <v/>
      </c>
      <c r="E156" s="162" t="str">
        <f>IFERROR([1]!IntrinioFinancials(ticker,statement,E$9,type,$B156,),"")</f>
        <v/>
      </c>
      <c r="F156" s="162" t="str">
        <f>IFERROR([1]!IntrinioFinancials(ticker,statement,F$9,type,$B156,),"")</f>
        <v/>
      </c>
      <c r="G156" s="162" t="str">
        <f>IFERROR([1]!IntrinioFinancials(ticker,statement,G$9,type,$B156,),"")</f>
        <v/>
      </c>
      <c r="H156" s="162" t="str">
        <f>IFERROR([1]!IntrinioFinancials(ticker,statement,H$9,type,$B156,),"")</f>
        <v/>
      </c>
    </row>
    <row r="157" spans="1:8" ht="15.75" x14ac:dyDescent="0.5">
      <c r="A157" s="110" t="s">
        <v>583</v>
      </c>
      <c r="B157" s="111" t="s">
        <v>584</v>
      </c>
      <c r="C157" s="111"/>
      <c r="D157" s="162" t="str">
        <f>IFERROR([1]!IntrinioFinancials(ticker,statement,D$9,type,$B157,),"")</f>
        <v/>
      </c>
      <c r="E157" s="162" t="str">
        <f>IFERROR([1]!IntrinioFinancials(ticker,statement,E$9,type,$B157,),"")</f>
        <v/>
      </c>
      <c r="F157" s="162" t="str">
        <f>IFERROR([1]!IntrinioFinancials(ticker,statement,F$9,type,$B157,),"")</f>
        <v/>
      </c>
      <c r="G157" s="162" t="str">
        <f>IFERROR([1]!IntrinioFinancials(ticker,statement,G$9,type,$B157,),"")</f>
        <v/>
      </c>
      <c r="H157" s="162" t="str">
        <f>IFERROR([1]!IntrinioFinancials(ticker,statement,H$9,type,$B157,),"")</f>
        <v/>
      </c>
    </row>
    <row r="158" spans="1:8" ht="15.75" x14ac:dyDescent="0.5">
      <c r="A158" s="110" t="s">
        <v>585</v>
      </c>
      <c r="B158" s="111" t="s">
        <v>586</v>
      </c>
      <c r="C158" s="111"/>
      <c r="D158" s="162" t="str">
        <f>IFERROR([1]!IntrinioFinancials(ticker,statement,D$9,type,$B158,),"")</f>
        <v/>
      </c>
      <c r="E158" s="162" t="str">
        <f>IFERROR([1]!IntrinioFinancials(ticker,statement,E$9,type,$B158,),"")</f>
        <v/>
      </c>
      <c r="F158" s="162" t="str">
        <f>IFERROR([1]!IntrinioFinancials(ticker,statement,F$9,type,$B158,),"")</f>
        <v/>
      </c>
      <c r="G158" s="162" t="str">
        <f>IFERROR([1]!IntrinioFinancials(ticker,statement,G$9,type,$B158,),"")</f>
        <v/>
      </c>
      <c r="H158" s="162" t="str">
        <f>IFERROR([1]!IntrinioFinancials(ticker,statement,H$9,type,$B158,),"")</f>
        <v/>
      </c>
    </row>
    <row r="159" spans="1:8" ht="15.75" x14ac:dyDescent="0.5">
      <c r="A159" s="110" t="s">
        <v>587</v>
      </c>
      <c r="B159" s="111" t="s">
        <v>588</v>
      </c>
      <c r="C159" s="111"/>
      <c r="D159" s="162" t="str">
        <f>IFERROR([1]!IntrinioFinancials(ticker,statement,D$9,type,$B159,),"")</f>
        <v/>
      </c>
      <c r="E159" s="162" t="str">
        <f>IFERROR([1]!IntrinioFinancials(ticker,statement,E$9,type,$B159,),"")</f>
        <v/>
      </c>
      <c r="F159" s="162" t="str">
        <f>IFERROR([1]!IntrinioFinancials(ticker,statement,F$9,type,$B159,),"")</f>
        <v/>
      </c>
      <c r="G159" s="162" t="str">
        <f>IFERROR([1]!IntrinioFinancials(ticker,statement,G$9,type,$B159,),"")</f>
        <v/>
      </c>
      <c r="H159" s="162" t="str">
        <f>IFERROR([1]!IntrinioFinancials(ticker,statement,H$9,type,$B159,),"")</f>
        <v/>
      </c>
    </row>
    <row r="160" spans="1:8" ht="15.75" x14ac:dyDescent="0.5">
      <c r="A160" s="110"/>
      <c r="B160" s="111"/>
      <c r="C160" s="111"/>
      <c r="D160" s="160"/>
      <c r="E160" s="160"/>
      <c r="F160" s="160"/>
      <c r="G160" s="160"/>
      <c r="H160" s="160"/>
    </row>
    <row r="161" spans="1:8" ht="15.75" x14ac:dyDescent="0.5">
      <c r="A161" s="62" t="s">
        <v>378</v>
      </c>
      <c r="B161" s="111"/>
      <c r="C161" s="111"/>
      <c r="D161" s="160"/>
      <c r="E161" s="160"/>
      <c r="F161" s="160"/>
      <c r="G161" s="160"/>
      <c r="H161" s="160"/>
    </row>
    <row r="162" spans="1:8" ht="15.75" x14ac:dyDescent="0.5">
      <c r="A162" s="110" t="s">
        <v>505</v>
      </c>
      <c r="B162" s="111" t="s">
        <v>506</v>
      </c>
      <c r="C162" s="111"/>
      <c r="D162" s="161" t="str">
        <f>IFERROR([1]!IntrinioFinancials(ticker,statement,D$9,type,$B162,),"")</f>
        <v/>
      </c>
      <c r="E162" s="161" t="str">
        <f>IFERROR([1]!IntrinioFinancials(ticker,statement,E$9,type,$B162,),"")</f>
        <v/>
      </c>
      <c r="F162" s="161" t="str">
        <f>IFERROR([1]!IntrinioFinancials(ticker,statement,F$9,type,$B162,),"")</f>
        <v/>
      </c>
      <c r="G162" s="161" t="str">
        <f>IFERROR([1]!IntrinioFinancials(ticker,statement,G$9,type,$B162,),"")</f>
        <v/>
      </c>
      <c r="H162" s="161" t="str">
        <f>IFERROR([1]!IntrinioFinancials(ticker,statement,H$9,type,$B162,),"")</f>
        <v/>
      </c>
    </row>
    <row r="163" spans="1:8" ht="15.75" x14ac:dyDescent="0.5">
      <c r="A163" s="110" t="s">
        <v>507</v>
      </c>
      <c r="B163" s="111" t="s">
        <v>508</v>
      </c>
      <c r="C163" s="111"/>
      <c r="D163" s="161" t="str">
        <f>IFERROR([1]!IntrinioFinancials(ticker,statement,D$9,type,$B163,),"")</f>
        <v/>
      </c>
      <c r="E163" s="161" t="str">
        <f>IFERROR([1]!IntrinioFinancials(ticker,statement,E$9,type,$B163,),"")</f>
        <v/>
      </c>
      <c r="F163" s="161" t="str">
        <f>IFERROR([1]!IntrinioFinancials(ticker,statement,F$9,type,$B163,),"")</f>
        <v/>
      </c>
      <c r="G163" s="161" t="str">
        <f>IFERROR([1]!IntrinioFinancials(ticker,statement,G$9,type,$B163,),"")</f>
        <v/>
      </c>
      <c r="H163" s="161" t="str">
        <f>IFERROR([1]!IntrinioFinancials(ticker,statement,H$9,type,$B163,),"")</f>
        <v/>
      </c>
    </row>
    <row r="164" spans="1:8" ht="15.75" x14ac:dyDescent="0.5">
      <c r="A164" s="110" t="s">
        <v>509</v>
      </c>
      <c r="B164" s="111" t="s">
        <v>510</v>
      </c>
      <c r="C164" s="111"/>
      <c r="D164" s="161" t="str">
        <f>IFERROR([1]!IntrinioFinancials(ticker,statement,D$9,type,$B164,),"")</f>
        <v/>
      </c>
      <c r="E164" s="161" t="str">
        <f>IFERROR([1]!IntrinioFinancials(ticker,statement,E$9,type,$B164,),"")</f>
        <v/>
      </c>
      <c r="F164" s="161" t="str">
        <f>IFERROR([1]!IntrinioFinancials(ticker,statement,F$9,type,$B164,),"")</f>
        <v/>
      </c>
      <c r="G164" s="161" t="str">
        <f>IFERROR([1]!IntrinioFinancials(ticker,statement,G$9,type,$B164,),"")</f>
        <v/>
      </c>
      <c r="H164" s="161" t="str">
        <f>IFERROR([1]!IntrinioFinancials(ticker,statement,H$9,type,$B164,),"")</f>
        <v/>
      </c>
    </row>
    <row r="165" spans="1:8" ht="15.75" x14ac:dyDescent="0.5">
      <c r="A165" s="110" t="s">
        <v>511</v>
      </c>
      <c r="B165" s="111" t="s">
        <v>512</v>
      </c>
      <c r="C165" s="111"/>
      <c r="D165" s="161" t="str">
        <f>IFERROR([1]!IntrinioFinancials(ticker,statement,D$9,type,$B165,),"")</f>
        <v/>
      </c>
      <c r="E165" s="161" t="str">
        <f>IFERROR([1]!IntrinioFinancials(ticker,statement,E$9,type,$B165,),"")</f>
        <v/>
      </c>
      <c r="F165" s="161" t="str">
        <f>IFERROR([1]!IntrinioFinancials(ticker,statement,F$9,type,$B165,),"")</f>
        <v/>
      </c>
      <c r="G165" s="161" t="str">
        <f>IFERROR([1]!IntrinioFinancials(ticker,statement,G$9,type,$B165,),"")</f>
        <v/>
      </c>
      <c r="H165" s="161" t="str">
        <f>IFERROR([1]!IntrinioFinancials(ticker,statement,H$9,type,$B165,),"")</f>
        <v/>
      </c>
    </row>
    <row r="166" spans="1:8" ht="15.75" x14ac:dyDescent="0.5">
      <c r="A166" s="110" t="s">
        <v>513</v>
      </c>
      <c r="B166" s="111" t="s">
        <v>514</v>
      </c>
      <c r="C166" s="111"/>
      <c r="D166" s="161" t="str">
        <f>IFERROR([1]!IntrinioFinancials(ticker,statement,D$9,type,$B166,),"")</f>
        <v/>
      </c>
      <c r="E166" s="161" t="str">
        <f>IFERROR([1]!IntrinioFinancials(ticker,statement,E$9,type,$B166,),"")</f>
        <v/>
      </c>
      <c r="F166" s="161" t="str">
        <f>IFERROR([1]!IntrinioFinancials(ticker,statement,F$9,type,$B166,),"")</f>
        <v/>
      </c>
      <c r="G166" s="161" t="str">
        <f>IFERROR([1]!IntrinioFinancials(ticker,statement,G$9,type,$B166,),"")</f>
        <v/>
      </c>
      <c r="H166" s="161" t="str">
        <f>IFERROR([1]!IntrinioFinancials(ticker,statement,H$9,type,$B166,),"")</f>
        <v/>
      </c>
    </row>
    <row r="167" spans="1:8" ht="15.75" x14ac:dyDescent="0.5">
      <c r="A167" s="110" t="s">
        <v>515</v>
      </c>
      <c r="B167" s="111" t="s">
        <v>516</v>
      </c>
      <c r="C167" s="111"/>
      <c r="D167" s="161" t="str">
        <f>IFERROR([1]!IntrinioFinancials(ticker,statement,D$9,type,$B167,),"")</f>
        <v/>
      </c>
      <c r="E167" s="161" t="str">
        <f>IFERROR([1]!IntrinioFinancials(ticker,statement,E$9,type,$B167,),"")</f>
        <v/>
      </c>
      <c r="F167" s="161" t="str">
        <f>IFERROR([1]!IntrinioFinancials(ticker,statement,F$9,type,$B167,),"")</f>
        <v/>
      </c>
      <c r="G167" s="161" t="str">
        <f>IFERROR([1]!IntrinioFinancials(ticker,statement,G$9,type,$B167,),"")</f>
        <v/>
      </c>
      <c r="H167" s="161" t="str">
        <f>IFERROR([1]!IntrinioFinancials(ticker,statement,H$9,type,$B167,),"")</f>
        <v/>
      </c>
    </row>
    <row r="168" spans="1:8" ht="4.5" customHeight="1" x14ac:dyDescent="0.5">
      <c r="A168" s="110"/>
      <c r="B168" s="111"/>
      <c r="C168" s="111"/>
      <c r="D168" s="161"/>
      <c r="E168" s="161"/>
      <c r="F168" s="161"/>
      <c r="G168" s="161"/>
      <c r="H168" s="161"/>
    </row>
    <row r="169" spans="1:8" ht="15.75" x14ac:dyDescent="0.5">
      <c r="A169" s="110" t="s">
        <v>379</v>
      </c>
      <c r="B169" s="111" t="s">
        <v>517</v>
      </c>
      <c r="C169" s="111"/>
      <c r="D169" s="161" t="str">
        <f>IFERROR([1]!IntrinioFinancials(ticker,statement,D$9,type,$B169,),"")</f>
        <v/>
      </c>
      <c r="E169" s="161" t="str">
        <f>IFERROR([1]!IntrinioFinancials(ticker,statement,E$9,type,$B169,),"")</f>
        <v/>
      </c>
      <c r="F169" s="161" t="str">
        <f>IFERROR([1]!IntrinioFinancials(ticker,statement,F$9,type,$B169,),"")</f>
        <v/>
      </c>
      <c r="G169" s="161" t="str">
        <f>IFERROR([1]!IntrinioFinancials(ticker,statement,G$9,type,$B169,),"")</f>
        <v/>
      </c>
      <c r="H169" s="161" t="str">
        <f>IFERROR([1]!IntrinioFinancials(ticker,statement,H$9,type,$B169,),"")</f>
        <v/>
      </c>
    </row>
    <row r="170" spans="1:8" ht="15.75" x14ac:dyDescent="0.5">
      <c r="A170" s="110"/>
      <c r="B170" s="111"/>
      <c r="C170" s="111"/>
      <c r="D170" s="160"/>
      <c r="E170" s="160"/>
      <c r="F170" s="160"/>
      <c r="G170" s="160"/>
      <c r="H170" s="160"/>
    </row>
    <row r="171" spans="1:8" ht="15.75" x14ac:dyDescent="0.5">
      <c r="A171" s="62" t="s">
        <v>380</v>
      </c>
      <c r="B171" s="111"/>
      <c r="C171" s="111"/>
      <c r="D171" s="160"/>
      <c r="E171" s="160"/>
      <c r="F171" s="160"/>
      <c r="G171" s="160"/>
      <c r="H171" s="160"/>
    </row>
    <row r="172" spans="1:8" ht="15.75" x14ac:dyDescent="0.5">
      <c r="A172" s="110" t="s">
        <v>563</v>
      </c>
      <c r="B172" s="111" t="s">
        <v>564</v>
      </c>
      <c r="C172" s="111"/>
      <c r="D172" s="161" t="str">
        <f>IFERROR([1]!IntrinioFinancials(ticker,statement,D$9,type,$B172,),"")</f>
        <v/>
      </c>
      <c r="E172" s="161" t="str">
        <f>IFERROR([1]!IntrinioFinancials(ticker,statement,E$9,type,$B172,),"")</f>
        <v/>
      </c>
      <c r="F172" s="161" t="str">
        <f>IFERROR([1]!IntrinioFinancials(ticker,statement,F$9,type,$B172,),"")</f>
        <v/>
      </c>
      <c r="G172" s="161" t="str">
        <f>IFERROR([1]!IntrinioFinancials(ticker,statement,G$9,type,$B172,),"")</f>
        <v/>
      </c>
      <c r="H172" s="161" t="str">
        <f>IFERROR([1]!IntrinioFinancials(ticker,statement,H$9,type,$B172,),"")</f>
        <v/>
      </c>
    </row>
    <row r="173" spans="1:8" ht="15.75" x14ac:dyDescent="0.5">
      <c r="A173" s="110" t="s">
        <v>565</v>
      </c>
      <c r="B173" s="111" t="s">
        <v>566</v>
      </c>
      <c r="C173" s="111"/>
      <c r="D173" s="161" t="str">
        <f>IFERROR([1]!IntrinioFinancials(ticker,statement,D$9,type,$B173,),"")</f>
        <v/>
      </c>
      <c r="E173" s="161" t="str">
        <f>IFERROR([1]!IntrinioFinancials(ticker,statement,E$9,type,$B173,),"")</f>
        <v/>
      </c>
      <c r="F173" s="161" t="str">
        <f>IFERROR([1]!IntrinioFinancials(ticker,statement,F$9,type,$B173,),"")</f>
        <v/>
      </c>
      <c r="G173" s="161" t="str">
        <f>IFERROR([1]!IntrinioFinancials(ticker,statement,G$9,type,$B173,),"")</f>
        <v/>
      </c>
      <c r="H173" s="161" t="str">
        <f>IFERROR([1]!IntrinioFinancials(ticker,statement,H$9,type,$B173,),"")</f>
        <v/>
      </c>
    </row>
    <row r="174" spans="1:8" ht="15.75" x14ac:dyDescent="0.5">
      <c r="A174" s="110" t="s">
        <v>573</v>
      </c>
      <c r="B174" s="111" t="s">
        <v>574</v>
      </c>
      <c r="C174" s="111"/>
      <c r="D174" s="161" t="str">
        <f>IFERROR([1]!IntrinioFinancials(ticker,statement,D$9,type,$B174,),"")</f>
        <v/>
      </c>
      <c r="E174" s="161" t="str">
        <f>IFERROR([1]!IntrinioFinancials(ticker,statement,E$9,type,$B174,),"")</f>
        <v/>
      </c>
      <c r="F174" s="161" t="str">
        <f>IFERROR([1]!IntrinioFinancials(ticker,statement,F$9,type,$B174,),"")</f>
        <v/>
      </c>
      <c r="G174" s="161" t="str">
        <f>IFERROR([1]!IntrinioFinancials(ticker,statement,G$9,type,$B174,),"")</f>
        <v/>
      </c>
      <c r="H174" s="161" t="str">
        <f>IFERROR([1]!IntrinioFinancials(ticker,statement,H$9,type,$B174,),"")</f>
        <v/>
      </c>
    </row>
    <row r="175" spans="1:8" ht="15.75" x14ac:dyDescent="0.5">
      <c r="A175" s="110" t="s">
        <v>567</v>
      </c>
      <c r="B175" s="111" t="s">
        <v>568</v>
      </c>
      <c r="C175" s="111"/>
      <c r="D175" s="161" t="str">
        <f>IFERROR([1]!IntrinioFinancials(ticker,statement,D$9,type,$B175,),"")</f>
        <v/>
      </c>
      <c r="E175" s="161" t="str">
        <f>IFERROR([1]!IntrinioFinancials(ticker,statement,E$9,type,$B175,),"")</f>
        <v/>
      </c>
      <c r="F175" s="161" t="str">
        <f>IFERROR([1]!IntrinioFinancials(ticker,statement,F$9,type,$B175,),"")</f>
        <v/>
      </c>
      <c r="G175" s="161" t="str">
        <f>IFERROR([1]!IntrinioFinancials(ticker,statement,G$9,type,$B175,),"")</f>
        <v/>
      </c>
      <c r="H175" s="161" t="str">
        <f>IFERROR([1]!IntrinioFinancials(ticker,statement,H$9,type,$B175,),"")</f>
        <v/>
      </c>
    </row>
    <row r="176" spans="1:8" ht="4.5" customHeight="1" x14ac:dyDescent="0.5">
      <c r="A176" s="110"/>
      <c r="B176" s="111"/>
      <c r="C176" s="111"/>
      <c r="D176" s="161"/>
      <c r="E176" s="161"/>
      <c r="F176" s="161"/>
      <c r="G176" s="161"/>
      <c r="H176" s="161"/>
    </row>
    <row r="177" spans="1:8" ht="15.75" x14ac:dyDescent="0.5">
      <c r="A177" s="110" t="s">
        <v>569</v>
      </c>
      <c r="B177" s="111" t="s">
        <v>570</v>
      </c>
      <c r="C177" s="111"/>
      <c r="D177" s="161" t="str">
        <f>IFERROR([1]!IntrinioFinancials(ticker,statement,D$9,type,$B177,),"")</f>
        <v/>
      </c>
      <c r="E177" s="161" t="str">
        <f>IFERROR([1]!IntrinioFinancials(ticker,statement,E$9,type,$B177,),"")</f>
        <v/>
      </c>
      <c r="F177" s="161" t="str">
        <f>IFERROR([1]!IntrinioFinancials(ticker,statement,F$9,type,$B177,),"")</f>
        <v/>
      </c>
      <c r="G177" s="161" t="str">
        <f>IFERROR([1]!IntrinioFinancials(ticker,statement,G$9,type,$B177,),"")</f>
        <v/>
      </c>
      <c r="H177" s="161" t="str">
        <f>IFERROR([1]!IntrinioFinancials(ticker,statement,H$9,type,$B177,),"")</f>
        <v/>
      </c>
    </row>
    <row r="178" spans="1:8" ht="15.75" x14ac:dyDescent="0.5">
      <c r="A178" s="110" t="s">
        <v>571</v>
      </c>
      <c r="B178" s="111" t="s">
        <v>572</v>
      </c>
      <c r="C178" s="111"/>
      <c r="D178" s="161" t="str">
        <f>IFERROR([1]!IntrinioFinancials(ticker,statement,D$9,type,$B178,),"")</f>
        <v/>
      </c>
      <c r="E178" s="161" t="str">
        <f>IFERROR([1]!IntrinioFinancials(ticker,statement,E$9,type,$B178,),"")</f>
        <v/>
      </c>
      <c r="F178" s="161" t="str">
        <f>IFERROR([1]!IntrinioFinancials(ticker,statement,F$9,type,$B178,),"")</f>
        <v/>
      </c>
      <c r="G178" s="161" t="str">
        <f>IFERROR([1]!IntrinioFinancials(ticker,statement,G$9,type,$B178,),"")</f>
        <v/>
      </c>
      <c r="H178" s="161" t="str">
        <f>IFERROR([1]!IntrinioFinancials(ticker,statement,H$9,type,$B178,),"")</f>
        <v/>
      </c>
    </row>
    <row r="179" spans="1:8" ht="15.75" x14ac:dyDescent="0.5">
      <c r="A179" s="110" t="s">
        <v>575</v>
      </c>
      <c r="B179" s="111" t="s">
        <v>576</v>
      </c>
      <c r="C179" s="111"/>
      <c r="D179" s="161" t="str">
        <f>IFERROR([1]!IntrinioFinancials(ticker,statement,D$9,type,$B179,),"")</f>
        <v/>
      </c>
      <c r="E179" s="161" t="str">
        <f>IFERROR([1]!IntrinioFinancials(ticker,statement,E$9,type,$B179,),"")</f>
        <v/>
      </c>
      <c r="F179" s="161" t="str">
        <f>IFERROR([1]!IntrinioFinancials(ticker,statement,F$9,type,$B179,),"")</f>
        <v/>
      </c>
      <c r="G179" s="161" t="str">
        <f>IFERROR([1]!IntrinioFinancials(ticker,statement,G$9,type,$B179,),"")</f>
        <v/>
      </c>
      <c r="H179" s="161" t="str">
        <f>IFERROR([1]!IntrinioFinancials(ticker,statement,H$9,type,$B179,),"")</f>
        <v/>
      </c>
    </row>
    <row r="180" spans="1:8" ht="15.75" x14ac:dyDescent="0.5">
      <c r="A180" s="110"/>
      <c r="B180" s="111"/>
      <c r="C180" s="111"/>
      <c r="D180" s="160"/>
      <c r="E180" s="160"/>
      <c r="F180" s="160"/>
      <c r="G180" s="160"/>
      <c r="H180" s="160"/>
    </row>
    <row r="181" spans="1:8" ht="15.75" x14ac:dyDescent="0.5">
      <c r="A181" s="62" t="s">
        <v>381</v>
      </c>
      <c r="B181" s="111"/>
      <c r="C181" s="111"/>
      <c r="D181" s="160"/>
      <c r="E181" s="160"/>
      <c r="F181" s="160"/>
      <c r="G181" s="160"/>
      <c r="H181" s="160"/>
    </row>
    <row r="182" spans="1:8" ht="15.75" x14ac:dyDescent="0.5">
      <c r="A182" s="110" t="s">
        <v>382</v>
      </c>
      <c r="B182" s="111" t="s">
        <v>526</v>
      </c>
      <c r="C182" s="111"/>
      <c r="D182" s="161" t="str">
        <f>IFERROR([1]!IntrinioFinancials(ticker,statement,D$9,type,$B182,),"")</f>
        <v/>
      </c>
      <c r="E182" s="161" t="str">
        <f>IFERROR([1]!IntrinioFinancials(ticker,statement,E$9,type,$B182,),"")</f>
        <v/>
      </c>
      <c r="F182" s="161" t="str">
        <f>IFERROR([1]!IntrinioFinancials(ticker,statement,F$9,type,$B182,),"")</f>
        <v/>
      </c>
      <c r="G182" s="161" t="str">
        <f>IFERROR([1]!IntrinioFinancials(ticker,statement,G$9,type,$B182,),"")</f>
        <v/>
      </c>
      <c r="H182" s="161" t="str">
        <f>IFERROR([1]!IntrinioFinancials(ticker,statement,H$9,type,$B182,),"")</f>
        <v/>
      </c>
    </row>
    <row r="183" spans="1:8" ht="15.75" x14ac:dyDescent="0.5">
      <c r="A183" s="110" t="s">
        <v>383</v>
      </c>
      <c r="B183" s="111" t="s">
        <v>527</v>
      </c>
      <c r="C183" s="111"/>
      <c r="D183" s="161" t="str">
        <f>IFERROR([1]!IntrinioFinancials(ticker,statement,D$9,type,$B183,),"")</f>
        <v/>
      </c>
      <c r="E183" s="161" t="str">
        <f>IFERROR([1]!IntrinioFinancials(ticker,statement,E$9,type,$B183,),"")</f>
        <v/>
      </c>
      <c r="F183" s="161" t="str">
        <f>IFERROR([1]!IntrinioFinancials(ticker,statement,F$9,type,$B183,),"")</f>
        <v/>
      </c>
      <c r="G183" s="161" t="str">
        <f>IFERROR([1]!IntrinioFinancials(ticker,statement,G$9,type,$B183,),"")</f>
        <v/>
      </c>
      <c r="H183" s="161" t="str">
        <f>IFERROR([1]!IntrinioFinancials(ticker,statement,H$9,type,$B183,),"")</f>
        <v/>
      </c>
    </row>
    <row r="184" spans="1:8" ht="4.5" customHeight="1" x14ac:dyDescent="0.5">
      <c r="A184" s="110"/>
      <c r="B184" s="111"/>
      <c r="C184" s="111"/>
      <c r="D184" s="161"/>
      <c r="E184" s="161"/>
      <c r="F184" s="161"/>
      <c r="G184" s="161"/>
      <c r="H184" s="161"/>
    </row>
    <row r="185" spans="1:8" ht="15.75" x14ac:dyDescent="0.5">
      <c r="A185" s="110" t="s">
        <v>528</v>
      </c>
      <c r="B185" s="111" t="s">
        <v>529</v>
      </c>
      <c r="C185" s="111"/>
      <c r="D185" s="162" t="str">
        <f>IFERROR([1]!IntrinioFinancials(ticker,statement,D$9,type,$B185,),"")</f>
        <v/>
      </c>
      <c r="E185" s="162" t="str">
        <f>IFERROR([1]!IntrinioFinancials(ticker,statement,E$9,type,$B185,),"")</f>
        <v/>
      </c>
      <c r="F185" s="162" t="str">
        <f>IFERROR([1]!IntrinioFinancials(ticker,statement,F$9,type,$B185,),"")</f>
        <v/>
      </c>
      <c r="G185" s="162" t="str">
        <f>IFERROR([1]!IntrinioFinancials(ticker,statement,G$9,type,$B185,),"")</f>
        <v/>
      </c>
      <c r="H185" s="162" t="str">
        <f>IFERROR([1]!IntrinioFinancials(ticker,statement,H$9,type,$B185,),"")</f>
        <v/>
      </c>
    </row>
    <row r="186" spans="1:8" ht="15.75" x14ac:dyDescent="0.5">
      <c r="A186" s="110" t="s">
        <v>530</v>
      </c>
      <c r="B186" s="111" t="s">
        <v>531</v>
      </c>
      <c r="C186" s="111"/>
      <c r="D186" s="162" t="str">
        <f>IFERROR([1]!IntrinioFinancials(ticker,statement,D$9,type,$B186,),"")</f>
        <v/>
      </c>
      <c r="E186" s="162" t="str">
        <f>IFERROR([1]!IntrinioFinancials(ticker,statement,E$9,type,$B186,),"")</f>
        <v/>
      </c>
      <c r="F186" s="162" t="str">
        <f>IFERROR([1]!IntrinioFinancials(ticker,statement,F$9,type,$B186,),"")</f>
        <v/>
      </c>
      <c r="G186" s="162" t="str">
        <f>IFERROR([1]!IntrinioFinancials(ticker,statement,G$9,type,$B186,),"")</f>
        <v/>
      </c>
      <c r="H186" s="162" t="str">
        <f>IFERROR([1]!IntrinioFinancials(ticker,statement,H$9,type,$B186,),"")</f>
        <v/>
      </c>
    </row>
    <row r="187" spans="1:8" ht="15.75" x14ac:dyDescent="0.5">
      <c r="A187" s="110" t="s">
        <v>532</v>
      </c>
      <c r="B187" s="111" t="s">
        <v>533</v>
      </c>
      <c r="C187" s="111"/>
      <c r="D187" s="162" t="str">
        <f>IFERROR([1]!IntrinioFinancials(ticker,statement,D$9,type,$B187,),"")</f>
        <v/>
      </c>
      <c r="E187" s="162" t="str">
        <f>IFERROR([1]!IntrinioFinancials(ticker,statement,E$9,type,$B187,),"")</f>
        <v/>
      </c>
      <c r="F187" s="162" t="str">
        <f>IFERROR([1]!IntrinioFinancials(ticker,statement,F$9,type,$B187,),"")</f>
        <v/>
      </c>
      <c r="G187" s="162" t="str">
        <f>IFERROR([1]!IntrinioFinancials(ticker,statement,G$9,type,$B187,),"")</f>
        <v/>
      </c>
      <c r="H187" s="162" t="str">
        <f>IFERROR([1]!IntrinioFinancials(ticker,statement,H$9,type,$B187,),"")</f>
        <v/>
      </c>
    </row>
    <row r="188" spans="1:8" ht="15.75" x14ac:dyDescent="0.5">
      <c r="A188" s="110"/>
      <c r="B188" s="111"/>
      <c r="C188" s="111"/>
      <c r="D188" s="110"/>
      <c r="E188" s="110"/>
      <c r="F188" s="110"/>
      <c r="G188" s="110"/>
      <c r="H188" s="110"/>
    </row>
    <row r="189" spans="1:8" ht="15.75" x14ac:dyDescent="0.5">
      <c r="A189" s="110"/>
      <c r="B189" s="111"/>
      <c r="C189" s="111"/>
      <c r="D189" s="110"/>
      <c r="E189" s="110"/>
      <c r="F189" s="110"/>
      <c r="G189" s="110"/>
      <c r="H189" s="110"/>
    </row>
    <row r="190" spans="1:8" ht="15.75" x14ac:dyDescent="0.5">
      <c r="A190" s="110"/>
      <c r="B190" s="111"/>
      <c r="C190" s="111"/>
      <c r="D190" s="110"/>
      <c r="E190" s="110"/>
      <c r="F190" s="110"/>
      <c r="G190" s="110"/>
      <c r="H190" s="110"/>
    </row>
    <row r="191" spans="1:8" ht="15.75" x14ac:dyDescent="0.5">
      <c r="A191" s="110"/>
      <c r="B191" s="111"/>
      <c r="C191" s="111"/>
      <c r="D191" s="110"/>
      <c r="E191" s="110"/>
      <c r="F191" s="110"/>
      <c r="G191" s="110"/>
      <c r="H191" s="110"/>
    </row>
    <row r="192" spans="1:8" ht="15.75" x14ac:dyDescent="0.5">
      <c r="A192" s="110"/>
      <c r="B192" s="111"/>
      <c r="C192" s="111"/>
      <c r="D192" s="110"/>
      <c r="E192" s="110"/>
      <c r="F192" s="110"/>
      <c r="G192" s="110"/>
      <c r="H192" s="110"/>
    </row>
    <row r="193" spans="1:8" ht="15.75" x14ac:dyDescent="0.5">
      <c r="A193" s="110"/>
      <c r="B193" s="111"/>
      <c r="C193" s="111"/>
      <c r="D193" s="110"/>
      <c r="E193" s="110"/>
      <c r="F193" s="110"/>
      <c r="G193" s="110"/>
      <c r="H193" s="110"/>
    </row>
    <row r="194" spans="1:8" ht="15.75" x14ac:dyDescent="0.5">
      <c r="A194" s="110"/>
      <c r="B194" s="111"/>
      <c r="C194" s="111"/>
      <c r="D194" s="110"/>
      <c r="E194" s="110"/>
      <c r="F194" s="110"/>
      <c r="G194" s="110"/>
      <c r="H194" s="110"/>
    </row>
    <row r="195" spans="1:8" ht="15.75" x14ac:dyDescent="0.5">
      <c r="A195" s="110"/>
      <c r="B195" s="111"/>
      <c r="C195" s="111"/>
      <c r="D195" s="110"/>
      <c r="E195" s="110"/>
      <c r="F195" s="110"/>
      <c r="G195" s="110"/>
      <c r="H195" s="110"/>
    </row>
    <row r="196" spans="1:8" ht="15.75" x14ac:dyDescent="0.5">
      <c r="A196" s="110"/>
      <c r="B196" s="111"/>
      <c r="C196" s="111"/>
      <c r="D196" s="110"/>
      <c r="E196" s="110"/>
      <c r="F196" s="110"/>
      <c r="G196" s="110"/>
      <c r="H196" s="110"/>
    </row>
    <row r="197" spans="1:8" ht="15.75" x14ac:dyDescent="0.5">
      <c r="A197" s="110"/>
      <c r="B197" s="111"/>
      <c r="C197" s="111"/>
      <c r="D197" s="110"/>
      <c r="E197" s="110"/>
      <c r="F197" s="110"/>
      <c r="G197" s="110"/>
      <c r="H197" s="110"/>
    </row>
    <row r="198" spans="1:8" ht="15.75" x14ac:dyDescent="0.5">
      <c r="A198" s="110"/>
      <c r="B198" s="111"/>
      <c r="C198" s="111"/>
      <c r="D198" s="110"/>
      <c r="E198" s="110"/>
      <c r="F198" s="110"/>
      <c r="G198" s="110"/>
      <c r="H198" s="110"/>
    </row>
    <row r="199" spans="1:8" ht="15.75" x14ac:dyDescent="0.5">
      <c r="A199" s="110"/>
      <c r="B199" s="111"/>
      <c r="C199" s="111"/>
      <c r="D199" s="110"/>
      <c r="E199" s="110"/>
      <c r="F199" s="110"/>
      <c r="G199" s="110"/>
      <c r="H199" s="110"/>
    </row>
    <row r="200" spans="1:8" ht="15.75" x14ac:dyDescent="0.5">
      <c r="A200" s="110"/>
      <c r="B200" s="111"/>
      <c r="C200" s="111"/>
      <c r="D200" s="110"/>
      <c r="E200" s="110"/>
      <c r="F200" s="110"/>
      <c r="G200" s="110"/>
      <c r="H200" s="110"/>
    </row>
    <row r="201" spans="1:8" ht="15.75" x14ac:dyDescent="0.5">
      <c r="A201" s="110"/>
      <c r="B201" s="111"/>
      <c r="C201" s="111"/>
      <c r="D201" s="110"/>
      <c r="E201" s="110"/>
      <c r="F201" s="110"/>
      <c r="G201" s="110"/>
      <c r="H201" s="110"/>
    </row>
    <row r="202" spans="1:8" ht="15.75" x14ac:dyDescent="0.5">
      <c r="A202" s="110"/>
      <c r="B202" s="111"/>
      <c r="C202" s="111"/>
      <c r="D202" s="110"/>
      <c r="E202" s="110"/>
      <c r="F202" s="110"/>
      <c r="G202" s="110"/>
      <c r="H202" s="110"/>
    </row>
    <row r="203" spans="1:8" ht="15.75" x14ac:dyDescent="0.5">
      <c r="A203" s="110"/>
      <c r="B203" s="111"/>
      <c r="C203" s="111"/>
      <c r="D203" s="110"/>
      <c r="E203" s="110"/>
      <c r="F203" s="110"/>
      <c r="G203" s="110"/>
      <c r="H203" s="110"/>
    </row>
    <row r="204" spans="1:8" ht="15.75" x14ac:dyDescent="0.5">
      <c r="A204" s="110"/>
      <c r="B204" s="111"/>
      <c r="C204" s="111"/>
      <c r="D204" s="110"/>
      <c r="E204" s="110"/>
      <c r="F204" s="110"/>
      <c r="G204" s="110"/>
      <c r="H204" s="110"/>
    </row>
    <row r="205" spans="1:8" ht="15.75" x14ac:dyDescent="0.5">
      <c r="A205" s="110"/>
      <c r="B205" s="111"/>
      <c r="C205" s="111"/>
      <c r="D205" s="110"/>
      <c r="E205" s="110"/>
      <c r="F205" s="110"/>
      <c r="G205" s="110"/>
      <c r="H205" s="110"/>
    </row>
    <row r="206" spans="1:8" ht="15.75" x14ac:dyDescent="0.5">
      <c r="A206" s="110"/>
      <c r="B206" s="111"/>
      <c r="C206" s="111"/>
      <c r="D206" s="110"/>
      <c r="E206" s="110"/>
      <c r="F206" s="110"/>
      <c r="G206" s="110"/>
      <c r="H206" s="110"/>
    </row>
    <row r="207" spans="1:8" ht="15.75" x14ac:dyDescent="0.5">
      <c r="A207" s="110"/>
      <c r="B207" s="111"/>
      <c r="C207" s="111"/>
      <c r="D207" s="110"/>
      <c r="E207" s="110"/>
      <c r="F207" s="110"/>
      <c r="G207" s="110"/>
      <c r="H207" s="110"/>
    </row>
    <row r="208" spans="1:8" ht="15.75" x14ac:dyDescent="0.5">
      <c r="A208" s="110"/>
      <c r="B208" s="111"/>
      <c r="C208" s="111"/>
      <c r="D208" s="110"/>
      <c r="E208" s="110"/>
      <c r="F208" s="110"/>
      <c r="G208" s="110"/>
      <c r="H208" s="110"/>
    </row>
    <row r="209" spans="1:8" ht="15.75" x14ac:dyDescent="0.5">
      <c r="A209" s="110"/>
      <c r="B209" s="111"/>
      <c r="C209" s="111"/>
      <c r="D209" s="110"/>
      <c r="E209" s="110"/>
      <c r="F209" s="110"/>
      <c r="G209" s="110"/>
      <c r="H209" s="110"/>
    </row>
    <row r="210" spans="1:8" ht="15.75" x14ac:dyDescent="0.5">
      <c r="A210" s="110"/>
      <c r="B210" s="111"/>
      <c r="C210" s="111"/>
      <c r="D210" s="110"/>
      <c r="E210" s="110"/>
      <c r="F210" s="110"/>
      <c r="G210" s="110"/>
      <c r="H210" s="110"/>
    </row>
    <row r="211" spans="1:8" ht="15.75" x14ac:dyDescent="0.5">
      <c r="A211" s="110"/>
      <c r="B211" s="111"/>
      <c r="C211" s="111"/>
      <c r="D211" s="110"/>
      <c r="E211" s="110"/>
      <c r="F211" s="110"/>
      <c r="G211" s="110"/>
      <c r="H211" s="110"/>
    </row>
    <row r="212" spans="1:8" ht="15.75" x14ac:dyDescent="0.5">
      <c r="A212" s="110"/>
      <c r="B212" s="111"/>
      <c r="C212" s="111"/>
      <c r="D212" s="110"/>
      <c r="E212" s="110"/>
      <c r="F212" s="110"/>
      <c r="G212" s="110"/>
      <c r="H212" s="110"/>
    </row>
    <row r="213" spans="1:8" ht="15.75" x14ac:dyDescent="0.5">
      <c r="A213" s="110"/>
      <c r="B213" s="111"/>
      <c r="C213" s="111"/>
      <c r="D213" s="110"/>
      <c r="E213" s="110"/>
      <c r="F213" s="110"/>
      <c r="G213" s="110"/>
      <c r="H213" s="110"/>
    </row>
    <row r="214" spans="1:8" ht="15.75" x14ac:dyDescent="0.5">
      <c r="A214" s="110"/>
      <c r="B214" s="111"/>
      <c r="C214" s="111"/>
      <c r="D214" s="110"/>
      <c r="E214" s="110"/>
      <c r="F214" s="110"/>
      <c r="G214" s="110"/>
      <c r="H214" s="110"/>
    </row>
    <row r="215" spans="1:8" ht="15.75" x14ac:dyDescent="0.5">
      <c r="A215" s="110"/>
      <c r="B215" s="111"/>
      <c r="C215" s="111"/>
      <c r="D215" s="110"/>
      <c r="E215" s="110"/>
      <c r="F215" s="110"/>
      <c r="G215" s="110"/>
      <c r="H215" s="110"/>
    </row>
    <row r="216" spans="1:8" ht="15.75" x14ac:dyDescent="0.5">
      <c r="A216" s="110"/>
      <c r="B216" s="111"/>
      <c r="C216" s="111"/>
      <c r="D216" s="110"/>
      <c r="E216" s="110"/>
      <c r="F216" s="110"/>
      <c r="G216" s="110"/>
      <c r="H216" s="110"/>
    </row>
    <row r="217" spans="1:8" ht="15.75" x14ac:dyDescent="0.5">
      <c r="A217" s="110"/>
      <c r="B217" s="111"/>
      <c r="C217" s="111"/>
      <c r="D217" s="110"/>
      <c r="E217" s="110"/>
      <c r="F217" s="110"/>
      <c r="G217" s="110"/>
      <c r="H217" s="110"/>
    </row>
    <row r="218" spans="1:8" ht="15.75" x14ac:dyDescent="0.5">
      <c r="A218" s="110"/>
      <c r="B218" s="111"/>
      <c r="C218" s="111"/>
      <c r="D218" s="110"/>
      <c r="E218" s="110"/>
      <c r="F218" s="110"/>
      <c r="G218" s="110"/>
      <c r="H218" s="110"/>
    </row>
    <row r="219" spans="1:8" ht="15.75" x14ac:dyDescent="0.5">
      <c r="A219" s="110"/>
      <c r="B219" s="111"/>
      <c r="C219" s="111"/>
      <c r="D219" s="110"/>
      <c r="E219" s="110"/>
      <c r="F219" s="110"/>
      <c r="G219" s="110"/>
      <c r="H219" s="110"/>
    </row>
    <row r="220" spans="1:8" ht="15.75" x14ac:dyDescent="0.5">
      <c r="A220" s="110"/>
      <c r="B220" s="111"/>
      <c r="C220" s="111"/>
      <c r="D220" s="110"/>
      <c r="E220" s="110"/>
      <c r="F220" s="110"/>
      <c r="G220" s="110"/>
      <c r="H220" s="110"/>
    </row>
    <row r="221" spans="1:8" ht="15.75" x14ac:dyDescent="0.5">
      <c r="A221" s="110"/>
      <c r="B221" s="111"/>
      <c r="C221" s="111"/>
      <c r="D221" s="110"/>
      <c r="E221" s="110"/>
      <c r="F221" s="110"/>
      <c r="G221" s="110"/>
      <c r="H221" s="110"/>
    </row>
    <row r="222" spans="1:8" ht="15.75" x14ac:dyDescent="0.5">
      <c r="A222" s="110"/>
      <c r="B222" s="111"/>
      <c r="C222" s="111"/>
      <c r="D222" s="110"/>
      <c r="E222" s="110"/>
      <c r="F222" s="110"/>
      <c r="G222" s="110"/>
      <c r="H222" s="110"/>
    </row>
    <row r="223" spans="1:8" ht="15.75" x14ac:dyDescent="0.5">
      <c r="A223" s="110"/>
      <c r="B223" s="111"/>
      <c r="C223" s="111"/>
      <c r="D223" s="110"/>
      <c r="E223" s="110"/>
      <c r="F223" s="110"/>
      <c r="G223" s="110"/>
      <c r="H223" s="110"/>
    </row>
    <row r="224" spans="1:8" ht="15.75" x14ac:dyDescent="0.5">
      <c r="A224" s="110"/>
      <c r="B224" s="111"/>
      <c r="C224" s="111"/>
      <c r="D224" s="110"/>
      <c r="E224" s="110"/>
      <c r="F224" s="110"/>
      <c r="G224" s="110"/>
      <c r="H224" s="110"/>
    </row>
    <row r="225" spans="1:8" ht="15.75" x14ac:dyDescent="0.5">
      <c r="A225" s="110"/>
      <c r="B225" s="111"/>
      <c r="C225" s="111"/>
      <c r="D225" s="110"/>
      <c r="E225" s="110"/>
      <c r="F225" s="110"/>
      <c r="G225" s="110"/>
      <c r="H225" s="110"/>
    </row>
    <row r="226" spans="1:8" ht="15.75" x14ac:dyDescent="0.5">
      <c r="A226" s="110"/>
      <c r="B226" s="111"/>
      <c r="C226" s="111"/>
      <c r="D226" s="110"/>
      <c r="E226" s="110"/>
      <c r="F226" s="110"/>
      <c r="G226" s="110"/>
      <c r="H226" s="110"/>
    </row>
    <row r="227" spans="1:8" ht="15.75" x14ac:dyDescent="0.5">
      <c r="A227" s="110"/>
      <c r="B227" s="111"/>
      <c r="C227" s="111"/>
      <c r="D227" s="110"/>
      <c r="E227" s="110"/>
      <c r="F227" s="110"/>
      <c r="G227" s="110"/>
      <c r="H227" s="110"/>
    </row>
    <row r="228" spans="1:8" ht="15.75" x14ac:dyDescent="0.5">
      <c r="A228" s="110"/>
      <c r="B228" s="111"/>
      <c r="C228" s="111"/>
      <c r="D228" s="110"/>
      <c r="E228" s="110"/>
      <c r="F228" s="110"/>
      <c r="G228" s="110"/>
      <c r="H228" s="110"/>
    </row>
    <row r="229" spans="1:8" ht="15.75" x14ac:dyDescent="0.5">
      <c r="A229" s="110"/>
      <c r="B229" s="111"/>
      <c r="C229" s="111"/>
      <c r="D229" s="110"/>
      <c r="E229" s="110"/>
      <c r="F229" s="110"/>
      <c r="G229" s="110"/>
      <c r="H229" s="110"/>
    </row>
    <row r="230" spans="1:8" ht="15.75" x14ac:dyDescent="0.5">
      <c r="A230" s="110"/>
      <c r="B230" s="111"/>
      <c r="C230" s="111"/>
      <c r="D230" s="110"/>
      <c r="E230" s="110"/>
      <c r="F230" s="110"/>
      <c r="G230" s="110"/>
      <c r="H230" s="110"/>
    </row>
    <row r="231" spans="1:8" ht="15.75" x14ac:dyDescent="0.5">
      <c r="A231" s="110"/>
      <c r="B231" s="111"/>
      <c r="C231" s="111"/>
      <c r="D231" s="110"/>
      <c r="E231" s="110"/>
      <c r="F231" s="110"/>
      <c r="G231" s="110"/>
      <c r="H231" s="110"/>
    </row>
    <row r="232" spans="1:8" ht="15.75" x14ac:dyDescent="0.5">
      <c r="A232" s="110"/>
      <c r="B232" s="111"/>
      <c r="C232" s="111"/>
      <c r="D232" s="110"/>
      <c r="E232" s="110"/>
      <c r="F232" s="110"/>
      <c r="G232" s="110"/>
      <c r="H232" s="110"/>
    </row>
    <row r="233" spans="1:8" ht="15.75" x14ac:dyDescent="0.5">
      <c r="A233" s="110"/>
      <c r="B233" s="111"/>
      <c r="C233" s="111"/>
      <c r="D233" s="110"/>
      <c r="E233" s="110"/>
      <c r="F233" s="110"/>
      <c r="G233" s="110"/>
      <c r="H233" s="110"/>
    </row>
    <row r="234" spans="1:8" ht="15.75" x14ac:dyDescent="0.5">
      <c r="A234" s="110"/>
      <c r="B234" s="111"/>
      <c r="C234" s="111"/>
      <c r="D234" s="110"/>
      <c r="E234" s="110"/>
      <c r="F234" s="110"/>
      <c r="G234" s="110"/>
      <c r="H234" s="110"/>
    </row>
    <row r="235" spans="1:8" ht="15.75" x14ac:dyDescent="0.5">
      <c r="A235" s="110"/>
      <c r="B235" s="111"/>
      <c r="C235" s="111"/>
      <c r="D235" s="110"/>
      <c r="E235" s="110"/>
      <c r="F235" s="110"/>
      <c r="G235" s="110"/>
      <c r="H235" s="110"/>
    </row>
    <row r="236" spans="1:8" ht="15.75" x14ac:dyDescent="0.5">
      <c r="A236" s="110"/>
      <c r="B236" s="111"/>
      <c r="C236" s="111"/>
      <c r="D236" s="110"/>
      <c r="E236" s="110"/>
      <c r="F236" s="110"/>
      <c r="G236" s="110"/>
      <c r="H236" s="110"/>
    </row>
    <row r="237" spans="1:8" ht="15.75" x14ac:dyDescent="0.5">
      <c r="A237" s="110"/>
      <c r="B237" s="111"/>
      <c r="C237" s="111"/>
      <c r="D237" s="110"/>
      <c r="E237" s="110"/>
      <c r="F237" s="110"/>
      <c r="G237" s="110"/>
      <c r="H237" s="110"/>
    </row>
    <row r="238" spans="1:8" ht="15.75" x14ac:dyDescent="0.5">
      <c r="A238" s="110"/>
      <c r="B238" s="111"/>
      <c r="C238" s="111"/>
      <c r="D238" s="110"/>
      <c r="E238" s="110"/>
      <c r="F238" s="110"/>
      <c r="G238" s="110"/>
      <c r="H238" s="110"/>
    </row>
    <row r="239" spans="1:8" ht="15.75" x14ac:dyDescent="0.5">
      <c r="A239" s="110"/>
      <c r="B239" s="111"/>
      <c r="C239" s="111"/>
      <c r="D239" s="110"/>
      <c r="E239" s="110"/>
      <c r="F239" s="110"/>
      <c r="G239" s="110"/>
      <c r="H239" s="110"/>
    </row>
    <row r="240" spans="1:8" ht="15.75" x14ac:dyDescent="0.5">
      <c r="A240" s="110"/>
      <c r="B240" s="111"/>
      <c r="C240" s="111"/>
      <c r="D240" s="110"/>
      <c r="E240" s="110"/>
      <c r="F240" s="110"/>
      <c r="G240" s="110"/>
      <c r="H240" s="110"/>
    </row>
    <row r="241" spans="1:8" ht="15.75" x14ac:dyDescent="0.5">
      <c r="A241" s="110"/>
      <c r="B241" s="111"/>
      <c r="C241" s="111"/>
      <c r="D241" s="110"/>
      <c r="E241" s="110"/>
      <c r="F241" s="110"/>
      <c r="G241" s="110"/>
      <c r="H241" s="110"/>
    </row>
    <row r="242" spans="1:8" ht="15.75" x14ac:dyDescent="0.5">
      <c r="A242" s="110"/>
      <c r="B242" s="111"/>
      <c r="C242" s="111"/>
      <c r="D242" s="110"/>
      <c r="E242" s="110"/>
      <c r="F242" s="110"/>
      <c r="G242" s="110"/>
      <c r="H242" s="110"/>
    </row>
    <row r="243" spans="1:8" ht="15.75" x14ac:dyDescent="0.5">
      <c r="A243" s="110"/>
      <c r="B243" s="111"/>
      <c r="C243" s="111"/>
      <c r="D243" s="110"/>
      <c r="E243" s="110"/>
      <c r="F243" s="110"/>
      <c r="G243" s="110"/>
      <c r="H243" s="110"/>
    </row>
    <row r="244" spans="1:8" ht="15.75" x14ac:dyDescent="0.5">
      <c r="A244" s="110"/>
      <c r="B244" s="111"/>
      <c r="C244" s="111"/>
      <c r="D244" s="110"/>
      <c r="E244" s="110"/>
      <c r="F244" s="110"/>
      <c r="G244" s="110"/>
      <c r="H244" s="110"/>
    </row>
    <row r="245" spans="1:8" ht="15.75" x14ac:dyDescent="0.5">
      <c r="A245" s="110"/>
      <c r="B245" s="111"/>
      <c r="C245" s="111"/>
      <c r="D245" s="110"/>
      <c r="E245" s="110"/>
      <c r="F245" s="110"/>
      <c r="G245" s="110"/>
      <c r="H245" s="110"/>
    </row>
    <row r="246" spans="1:8" ht="15.75" x14ac:dyDescent="0.5">
      <c r="A246" s="110"/>
      <c r="B246" s="111"/>
      <c r="C246" s="111"/>
      <c r="D246" s="110"/>
      <c r="E246" s="110"/>
      <c r="F246" s="110"/>
      <c r="G246" s="110"/>
      <c r="H246" s="110"/>
    </row>
    <row r="247" spans="1:8" ht="15.75" x14ac:dyDescent="0.5">
      <c r="A247" s="110"/>
      <c r="B247" s="111"/>
      <c r="C247" s="111"/>
      <c r="D247" s="110"/>
      <c r="E247" s="110"/>
      <c r="F247" s="110"/>
      <c r="G247" s="110"/>
      <c r="H247" s="110"/>
    </row>
    <row r="248" spans="1:8" ht="15.75" x14ac:dyDescent="0.5">
      <c r="A248" s="110"/>
      <c r="B248" s="111"/>
      <c r="C248" s="111"/>
      <c r="D248" s="110"/>
      <c r="E248" s="110"/>
      <c r="F248" s="110"/>
      <c r="G248" s="110"/>
      <c r="H248" s="110"/>
    </row>
    <row r="249" spans="1:8" ht="15.75" x14ac:dyDescent="0.5">
      <c r="A249" s="110"/>
      <c r="B249" s="111"/>
      <c r="C249" s="111"/>
      <c r="D249" s="110"/>
      <c r="E249" s="110"/>
      <c r="F249" s="110"/>
      <c r="G249" s="110"/>
      <c r="H249" s="110"/>
    </row>
    <row r="250" spans="1:8" ht="15.75" x14ac:dyDescent="0.5">
      <c r="A250" s="110"/>
      <c r="B250" s="111"/>
      <c r="C250" s="111"/>
      <c r="D250" s="110"/>
      <c r="E250" s="110"/>
      <c r="F250" s="110"/>
      <c r="G250" s="110"/>
      <c r="H250" s="110"/>
    </row>
    <row r="251" spans="1:8" ht="15.75" x14ac:dyDescent="0.5">
      <c r="A251" s="110"/>
      <c r="B251" s="111"/>
      <c r="C251" s="111"/>
      <c r="D251" s="110"/>
      <c r="E251" s="110"/>
      <c r="F251" s="110"/>
      <c r="G251" s="110"/>
      <c r="H251" s="110"/>
    </row>
    <row r="252" spans="1:8" ht="15.75" x14ac:dyDescent="0.5">
      <c r="A252" s="110"/>
      <c r="B252" s="111"/>
      <c r="C252" s="111"/>
      <c r="D252" s="110"/>
      <c r="E252" s="110"/>
      <c r="F252" s="110"/>
      <c r="G252" s="110"/>
      <c r="H252" s="110"/>
    </row>
    <row r="253" spans="1:8" ht="15.75" x14ac:dyDescent="0.5">
      <c r="A253" s="110"/>
      <c r="B253" s="111"/>
      <c r="C253" s="111"/>
      <c r="D253" s="110"/>
      <c r="E253" s="110"/>
      <c r="F253" s="110"/>
      <c r="G253" s="110"/>
      <c r="H253" s="110"/>
    </row>
    <row r="254" spans="1:8" ht="15.75" x14ac:dyDescent="0.5">
      <c r="A254" s="110"/>
      <c r="B254" s="111"/>
      <c r="C254" s="111"/>
      <c r="D254" s="110"/>
      <c r="E254" s="110"/>
      <c r="F254" s="110"/>
      <c r="G254" s="110"/>
      <c r="H254" s="110"/>
    </row>
    <row r="255" spans="1:8" ht="15.75" x14ac:dyDescent="0.5">
      <c r="A255" s="110"/>
      <c r="B255" s="111"/>
      <c r="C255" s="111"/>
      <c r="D255" s="110"/>
      <c r="E255" s="110"/>
      <c r="F255" s="110"/>
      <c r="G255" s="110"/>
      <c r="H255" s="110"/>
    </row>
    <row r="256" spans="1:8" ht="15.75" x14ac:dyDescent="0.5">
      <c r="A256" s="110"/>
      <c r="B256" s="111"/>
      <c r="C256" s="111"/>
      <c r="D256" s="110"/>
      <c r="E256" s="110"/>
      <c r="F256" s="110"/>
      <c r="G256" s="110"/>
      <c r="H256" s="110"/>
    </row>
    <row r="257" spans="1:8" ht="15.75" x14ac:dyDescent="0.5">
      <c r="A257" s="110"/>
      <c r="B257" s="111"/>
      <c r="C257" s="111"/>
      <c r="D257" s="110"/>
      <c r="E257" s="110"/>
      <c r="F257" s="110"/>
      <c r="G257" s="110"/>
      <c r="H257" s="110"/>
    </row>
    <row r="258" spans="1:8" ht="15.75" x14ac:dyDescent="0.5">
      <c r="A258" s="110"/>
      <c r="B258" s="111"/>
      <c r="C258" s="111"/>
      <c r="D258" s="110"/>
      <c r="E258" s="110"/>
      <c r="F258" s="110"/>
      <c r="G258" s="110"/>
      <c r="H258" s="110"/>
    </row>
    <row r="259" spans="1:8" ht="15.75" x14ac:dyDescent="0.5">
      <c r="A259" s="110"/>
      <c r="B259" s="111"/>
      <c r="C259" s="111"/>
      <c r="D259" s="110"/>
      <c r="E259" s="110"/>
      <c r="F259" s="110"/>
      <c r="G259" s="110"/>
      <c r="H259" s="110"/>
    </row>
    <row r="260" spans="1:8" ht="15.75" x14ac:dyDescent="0.5">
      <c r="A260" s="110"/>
      <c r="B260" s="111"/>
      <c r="C260" s="111"/>
      <c r="D260" s="110"/>
      <c r="E260" s="110"/>
      <c r="F260" s="110"/>
      <c r="G260" s="110"/>
      <c r="H260" s="110"/>
    </row>
    <row r="261" spans="1:8" ht="15.75" x14ac:dyDescent="0.5">
      <c r="A261" s="110"/>
      <c r="B261" s="111"/>
      <c r="C261" s="111"/>
      <c r="D261" s="110"/>
      <c r="E261" s="110"/>
      <c r="F261" s="110"/>
      <c r="G261" s="110"/>
      <c r="H261" s="110"/>
    </row>
    <row r="262" spans="1:8" ht="15.75" x14ac:dyDescent="0.5">
      <c r="A262" s="110"/>
      <c r="B262" s="111"/>
      <c r="C262" s="111"/>
      <c r="D262" s="110"/>
      <c r="E262" s="110"/>
      <c r="F262" s="110"/>
      <c r="G262" s="110"/>
      <c r="H262" s="110"/>
    </row>
    <row r="263" spans="1:8" ht="15.75" x14ac:dyDescent="0.5">
      <c r="A263" s="110"/>
      <c r="B263" s="111"/>
      <c r="C263" s="111"/>
      <c r="D263" s="110"/>
      <c r="E263" s="110"/>
      <c r="F263" s="110"/>
      <c r="G263" s="110"/>
      <c r="H263" s="110"/>
    </row>
    <row r="264" spans="1:8" ht="15.75" x14ac:dyDescent="0.5">
      <c r="A264" s="110"/>
      <c r="B264" s="111"/>
      <c r="C264" s="111"/>
      <c r="D264" s="110"/>
      <c r="E264" s="110"/>
      <c r="F264" s="110"/>
      <c r="G264" s="110"/>
      <c r="H264" s="110"/>
    </row>
    <row r="265" spans="1:8" ht="15.75" x14ac:dyDescent="0.5">
      <c r="A265" s="110"/>
      <c r="B265" s="111"/>
      <c r="C265" s="111"/>
      <c r="D265" s="110"/>
      <c r="E265" s="110"/>
      <c r="F265" s="110"/>
      <c r="G265" s="110"/>
      <c r="H265" s="110"/>
    </row>
    <row r="266" spans="1:8" ht="15.75" x14ac:dyDescent="0.5">
      <c r="A266" s="110"/>
      <c r="B266" s="111"/>
      <c r="C266" s="111"/>
      <c r="D266" s="110"/>
      <c r="E266" s="110"/>
      <c r="F266" s="110"/>
      <c r="G266" s="110"/>
      <c r="H266" s="110"/>
    </row>
    <row r="267" spans="1:8" ht="15.75" x14ac:dyDescent="0.5">
      <c r="A267" s="110"/>
      <c r="B267" s="111"/>
      <c r="C267" s="111"/>
      <c r="D267" s="110"/>
      <c r="E267" s="110"/>
      <c r="F267" s="110"/>
      <c r="G267" s="110"/>
      <c r="H267" s="110"/>
    </row>
    <row r="268" spans="1:8" ht="15.75" x14ac:dyDescent="0.5">
      <c r="A268" s="110"/>
      <c r="B268" s="111"/>
      <c r="C268" s="111"/>
      <c r="D268" s="110"/>
      <c r="E268" s="110"/>
      <c r="F268" s="110"/>
      <c r="G268" s="110"/>
      <c r="H268" s="110"/>
    </row>
    <row r="269" spans="1:8" ht="15.75" x14ac:dyDescent="0.5">
      <c r="A269" s="110"/>
      <c r="B269" s="111"/>
      <c r="C269" s="111"/>
      <c r="D269" s="110"/>
      <c r="E269" s="110"/>
      <c r="F269" s="110"/>
      <c r="G269" s="110"/>
      <c r="H269" s="110"/>
    </row>
    <row r="270" spans="1:8" ht="15.75" x14ac:dyDescent="0.5">
      <c r="A270" s="110"/>
      <c r="B270" s="111"/>
      <c r="C270" s="111"/>
      <c r="D270" s="110"/>
      <c r="E270" s="110"/>
      <c r="F270" s="110"/>
      <c r="G270" s="110"/>
      <c r="H270" s="110"/>
    </row>
    <row r="271" spans="1:8" ht="15.75" x14ac:dyDescent="0.5">
      <c r="A271" s="110"/>
      <c r="B271" s="111"/>
      <c r="C271" s="111"/>
      <c r="D271" s="110"/>
      <c r="E271" s="110"/>
      <c r="F271" s="110"/>
      <c r="G271" s="110"/>
      <c r="H271" s="110"/>
    </row>
    <row r="272" spans="1:8" ht="15.75" x14ac:dyDescent="0.5">
      <c r="A272" s="110"/>
      <c r="B272" s="111"/>
      <c r="C272" s="111"/>
      <c r="D272" s="110"/>
      <c r="E272" s="110"/>
      <c r="F272" s="110"/>
      <c r="G272" s="110"/>
      <c r="H272" s="110"/>
    </row>
    <row r="273" spans="1:8" ht="15.75" x14ac:dyDescent="0.5">
      <c r="A273" s="110"/>
      <c r="B273" s="111"/>
      <c r="C273" s="111"/>
      <c r="D273" s="110"/>
      <c r="E273" s="110"/>
      <c r="F273" s="110"/>
      <c r="G273" s="110"/>
      <c r="H273" s="110"/>
    </row>
    <row r="274" spans="1:8" ht="15.75" x14ac:dyDescent="0.5">
      <c r="A274" s="110"/>
      <c r="B274" s="111"/>
      <c r="C274" s="111"/>
      <c r="D274" s="110"/>
      <c r="E274" s="110"/>
      <c r="F274" s="110"/>
      <c r="G274" s="110"/>
      <c r="H274" s="110"/>
    </row>
    <row r="275" spans="1:8" ht="15.75" x14ac:dyDescent="0.5">
      <c r="A275" s="110"/>
      <c r="B275" s="111"/>
      <c r="C275" s="111"/>
      <c r="D275" s="110"/>
      <c r="E275" s="110"/>
      <c r="F275" s="110"/>
      <c r="G275" s="110"/>
      <c r="H275" s="110"/>
    </row>
    <row r="276" spans="1:8" ht="15.75" x14ac:dyDescent="0.5">
      <c r="A276" s="110"/>
      <c r="B276" s="111"/>
      <c r="C276" s="111"/>
      <c r="D276" s="110"/>
      <c r="E276" s="110"/>
      <c r="F276" s="110"/>
      <c r="G276" s="110"/>
      <c r="H276" s="110"/>
    </row>
    <row r="277" spans="1:8" ht="15.75" x14ac:dyDescent="0.5">
      <c r="A277" s="110"/>
      <c r="B277" s="111"/>
      <c r="C277" s="111"/>
      <c r="D277" s="110"/>
      <c r="E277" s="110"/>
      <c r="F277" s="110"/>
      <c r="G277" s="110"/>
      <c r="H277" s="110"/>
    </row>
    <row r="278" spans="1:8" ht="15.75" x14ac:dyDescent="0.5">
      <c r="A278" s="110"/>
      <c r="B278" s="111"/>
      <c r="C278" s="111"/>
      <c r="D278" s="110"/>
      <c r="E278" s="110"/>
      <c r="F278" s="110"/>
      <c r="G278" s="110"/>
      <c r="H278" s="110"/>
    </row>
    <row r="279" spans="1:8" ht="15.75" x14ac:dyDescent="0.5">
      <c r="A279" s="110"/>
      <c r="B279" s="111"/>
      <c r="C279" s="111"/>
      <c r="D279" s="110"/>
      <c r="E279" s="110"/>
      <c r="F279" s="110"/>
      <c r="G279" s="110"/>
      <c r="H279" s="110"/>
    </row>
    <row r="280" spans="1:8" ht="15.75" x14ac:dyDescent="0.5">
      <c r="A280" s="110"/>
      <c r="B280" s="111"/>
      <c r="C280" s="111"/>
      <c r="D280" s="110"/>
      <c r="E280" s="110"/>
      <c r="F280" s="110"/>
      <c r="G280" s="110"/>
      <c r="H280" s="110"/>
    </row>
    <row r="281" spans="1:8" ht="15.75" x14ac:dyDescent="0.5">
      <c r="A281" s="110"/>
      <c r="B281" s="111"/>
      <c r="C281" s="111"/>
      <c r="D281" s="110"/>
      <c r="E281" s="110"/>
      <c r="F281" s="110"/>
      <c r="G281" s="110"/>
      <c r="H281" s="110"/>
    </row>
    <row r="282" spans="1:8" ht="15.75" x14ac:dyDescent="0.5">
      <c r="A282" s="110"/>
      <c r="B282" s="111"/>
      <c r="C282" s="111"/>
      <c r="D282" s="110"/>
      <c r="E282" s="110"/>
      <c r="F282" s="110"/>
      <c r="G282" s="110"/>
      <c r="H282" s="110"/>
    </row>
    <row r="283" spans="1:8" ht="15.75" x14ac:dyDescent="0.5">
      <c r="A283" s="110"/>
      <c r="B283" s="111"/>
      <c r="C283" s="111"/>
      <c r="D283" s="110"/>
      <c r="E283" s="110"/>
      <c r="F283" s="110"/>
      <c r="G283" s="110"/>
      <c r="H283" s="110"/>
    </row>
    <row r="284" spans="1:8" ht="15.75" x14ac:dyDescent="0.5">
      <c r="A284" s="110"/>
      <c r="B284" s="111"/>
      <c r="C284" s="111"/>
      <c r="D284" s="110"/>
      <c r="E284" s="110"/>
      <c r="F284" s="110"/>
      <c r="G284" s="110"/>
      <c r="H284" s="110"/>
    </row>
    <row r="285" spans="1:8" ht="15.75" x14ac:dyDescent="0.5">
      <c r="A285" s="110"/>
      <c r="B285" s="111"/>
      <c r="C285" s="111"/>
      <c r="D285" s="110"/>
      <c r="E285" s="110"/>
      <c r="F285" s="110"/>
      <c r="G285" s="110"/>
      <c r="H285" s="110"/>
    </row>
    <row r="286" spans="1:8" ht="15.75" x14ac:dyDescent="0.5">
      <c r="A286" s="110"/>
      <c r="B286" s="111"/>
      <c r="C286" s="111"/>
      <c r="D286" s="110"/>
      <c r="E286" s="110"/>
      <c r="F286" s="110"/>
      <c r="G286" s="110"/>
      <c r="H286" s="110"/>
    </row>
    <row r="287" spans="1:8" ht="15.75" x14ac:dyDescent="0.5">
      <c r="A287" s="110"/>
      <c r="B287" s="111"/>
      <c r="C287" s="111"/>
      <c r="D287" s="110"/>
      <c r="E287" s="110"/>
      <c r="F287" s="110"/>
      <c r="G287" s="110"/>
      <c r="H287" s="110"/>
    </row>
    <row r="288" spans="1:8" ht="15.75" x14ac:dyDescent="0.5">
      <c r="A288" s="110"/>
      <c r="B288" s="111"/>
      <c r="C288" s="111"/>
      <c r="D288" s="110"/>
      <c r="E288" s="110"/>
      <c r="F288" s="110"/>
      <c r="G288" s="110"/>
      <c r="H288" s="110"/>
    </row>
    <row r="289" spans="1:8" ht="15.75" x14ac:dyDescent="0.5">
      <c r="A289" s="110"/>
      <c r="B289" s="111"/>
      <c r="C289" s="111"/>
      <c r="D289" s="110"/>
      <c r="E289" s="110"/>
      <c r="F289" s="110"/>
      <c r="G289" s="110"/>
      <c r="H289" s="110"/>
    </row>
    <row r="290" spans="1:8" ht="15.75" x14ac:dyDescent="0.5">
      <c r="A290" s="110"/>
      <c r="B290" s="111"/>
      <c r="C290" s="111"/>
      <c r="D290" s="110"/>
      <c r="E290" s="110"/>
      <c r="F290" s="110"/>
      <c r="G290" s="110"/>
      <c r="H290" s="110"/>
    </row>
    <row r="291" spans="1:8" ht="15.75" x14ac:dyDescent="0.5">
      <c r="A291" s="110"/>
      <c r="B291" s="111"/>
      <c r="C291" s="111"/>
      <c r="D291" s="110"/>
      <c r="E291" s="110"/>
      <c r="F291" s="110"/>
      <c r="G291" s="110"/>
      <c r="H291" s="110"/>
    </row>
    <row r="292" spans="1:8" ht="15.75" x14ac:dyDescent="0.5">
      <c r="A292" s="110"/>
      <c r="B292" s="111"/>
      <c r="C292" s="111"/>
      <c r="D292" s="110"/>
      <c r="E292" s="110"/>
      <c r="F292" s="110"/>
      <c r="G292" s="110"/>
      <c r="H292" s="110"/>
    </row>
    <row r="293" spans="1:8" ht="15.75" x14ac:dyDescent="0.5">
      <c r="A293" s="110"/>
      <c r="B293" s="111"/>
      <c r="C293" s="111"/>
      <c r="D293" s="110"/>
      <c r="E293" s="110"/>
      <c r="F293" s="110"/>
      <c r="G293" s="110"/>
      <c r="H293" s="110"/>
    </row>
    <row r="294" spans="1:8" ht="15.75" x14ac:dyDescent="0.5">
      <c r="A294" s="110"/>
      <c r="B294" s="111"/>
      <c r="C294" s="111"/>
      <c r="D294" s="110"/>
      <c r="E294" s="110"/>
      <c r="F294" s="110"/>
      <c r="G294" s="110"/>
      <c r="H294" s="110"/>
    </row>
    <row r="295" spans="1:8" ht="15.75" x14ac:dyDescent="0.5">
      <c r="A295" s="110"/>
      <c r="B295" s="111"/>
      <c r="C295" s="111"/>
      <c r="D295" s="110"/>
      <c r="E295" s="110"/>
      <c r="F295" s="110"/>
      <c r="G295" s="110"/>
      <c r="H295" s="110"/>
    </row>
    <row r="296" spans="1:8" ht="15.75" x14ac:dyDescent="0.5">
      <c r="A296" s="110"/>
      <c r="B296" s="111"/>
      <c r="C296" s="111"/>
      <c r="D296" s="110"/>
      <c r="E296" s="110"/>
      <c r="F296" s="110"/>
      <c r="G296" s="110"/>
      <c r="H296" s="110"/>
    </row>
    <row r="297" spans="1:8" ht="15.75" x14ac:dyDescent="0.5">
      <c r="A297" s="110"/>
      <c r="B297" s="111"/>
      <c r="C297" s="111"/>
      <c r="D297" s="110"/>
      <c r="E297" s="110"/>
      <c r="F297" s="110"/>
      <c r="G297" s="110"/>
      <c r="H297" s="110"/>
    </row>
    <row r="298" spans="1:8" ht="15.75" x14ac:dyDescent="0.5">
      <c r="A298" s="110"/>
      <c r="B298" s="111"/>
      <c r="C298" s="111"/>
      <c r="D298" s="110"/>
      <c r="E298" s="110"/>
      <c r="F298" s="110"/>
      <c r="G298" s="110"/>
      <c r="H298" s="110"/>
    </row>
    <row r="299" spans="1:8" ht="15.75" x14ac:dyDescent="0.5">
      <c r="A299" s="110"/>
      <c r="B299" s="111"/>
      <c r="C299" s="111"/>
      <c r="D299" s="110"/>
      <c r="E299" s="110"/>
      <c r="F299" s="110"/>
      <c r="G299" s="110"/>
      <c r="H299" s="110"/>
    </row>
    <row r="300" spans="1:8" ht="15.75" x14ac:dyDescent="0.5">
      <c r="A300" s="110"/>
      <c r="B300" s="111"/>
      <c r="C300" s="111"/>
      <c r="D300" s="110"/>
      <c r="E300" s="110"/>
      <c r="F300" s="110"/>
      <c r="G300" s="110"/>
      <c r="H300" s="110"/>
    </row>
    <row r="301" spans="1:8" ht="15.75" x14ac:dyDescent="0.5">
      <c r="A301" s="110"/>
      <c r="B301" s="111"/>
      <c r="C301" s="111"/>
      <c r="D301" s="110"/>
      <c r="E301" s="110"/>
      <c r="F301" s="110"/>
      <c r="G301" s="110"/>
      <c r="H301" s="110"/>
    </row>
    <row r="302" spans="1:8" ht="15.75" x14ac:dyDescent="0.5">
      <c r="A302" s="110"/>
      <c r="B302" s="111"/>
      <c r="C302" s="111"/>
      <c r="D302" s="110"/>
      <c r="E302" s="110"/>
      <c r="F302" s="110"/>
      <c r="G302" s="110"/>
      <c r="H302" s="110"/>
    </row>
    <row r="303" spans="1:8" ht="15.75" x14ac:dyDescent="0.5">
      <c r="A303" s="110"/>
      <c r="B303" s="111"/>
      <c r="C303" s="111"/>
      <c r="D303" s="110"/>
      <c r="E303" s="110"/>
      <c r="F303" s="110"/>
      <c r="G303" s="110"/>
      <c r="H303" s="110"/>
    </row>
    <row r="304" spans="1:8" ht="15.75" x14ac:dyDescent="0.5">
      <c r="A304" s="110"/>
      <c r="B304" s="111"/>
      <c r="C304" s="111"/>
      <c r="D304" s="110"/>
      <c r="E304" s="110"/>
      <c r="F304" s="110"/>
      <c r="G304" s="110"/>
      <c r="H304" s="110"/>
    </row>
    <row r="305" spans="1:8" ht="15.75" x14ac:dyDescent="0.5">
      <c r="A305" s="110"/>
      <c r="B305" s="111"/>
      <c r="C305" s="111"/>
      <c r="D305" s="110"/>
      <c r="E305" s="110"/>
      <c r="F305" s="110"/>
      <c r="G305" s="110"/>
      <c r="H305" s="110"/>
    </row>
    <row r="306" spans="1:8" ht="15.75" x14ac:dyDescent="0.5">
      <c r="A306" s="110"/>
      <c r="B306" s="111"/>
      <c r="C306" s="111"/>
      <c r="D306" s="110"/>
      <c r="E306" s="110"/>
      <c r="F306" s="110"/>
      <c r="G306" s="110"/>
      <c r="H306" s="110"/>
    </row>
    <row r="307" spans="1:8" ht="15.75" x14ac:dyDescent="0.5">
      <c r="A307" s="110"/>
      <c r="B307" s="111"/>
      <c r="C307" s="111"/>
      <c r="D307" s="110"/>
      <c r="E307" s="110"/>
      <c r="F307" s="110"/>
      <c r="G307" s="110"/>
      <c r="H307" s="110"/>
    </row>
    <row r="308" spans="1:8" ht="15.75" x14ac:dyDescent="0.5">
      <c r="A308" s="110"/>
      <c r="B308" s="111"/>
      <c r="C308" s="111"/>
      <c r="D308" s="110"/>
      <c r="E308" s="110"/>
      <c r="F308" s="110"/>
      <c r="G308" s="110"/>
      <c r="H308" s="110"/>
    </row>
    <row r="309" spans="1:8" ht="15.75" x14ac:dyDescent="0.5">
      <c r="A309" s="110"/>
      <c r="B309" s="111"/>
      <c r="C309" s="111"/>
      <c r="D309" s="110"/>
      <c r="E309" s="110"/>
      <c r="F309" s="110"/>
      <c r="G309" s="110"/>
      <c r="H309" s="110"/>
    </row>
    <row r="310" spans="1:8" ht="15.75" x14ac:dyDescent="0.5">
      <c r="A310" s="110"/>
      <c r="B310" s="111"/>
      <c r="C310" s="111"/>
      <c r="D310" s="110"/>
      <c r="E310" s="110"/>
      <c r="F310" s="110"/>
      <c r="G310" s="110"/>
      <c r="H310" s="110"/>
    </row>
    <row r="311" spans="1:8" ht="15.75" x14ac:dyDescent="0.5">
      <c r="A311" s="110"/>
      <c r="B311" s="111"/>
      <c r="C311" s="111"/>
      <c r="D311" s="110"/>
      <c r="E311" s="110"/>
      <c r="F311" s="110"/>
      <c r="G311" s="110"/>
      <c r="H311" s="110"/>
    </row>
    <row r="312" spans="1:8" ht="15.75" x14ac:dyDescent="0.5">
      <c r="A312" s="110"/>
      <c r="B312" s="111"/>
      <c r="C312" s="111"/>
      <c r="D312" s="110"/>
      <c r="E312" s="110"/>
      <c r="F312" s="110"/>
      <c r="G312" s="110"/>
      <c r="H312" s="110"/>
    </row>
    <row r="313" spans="1:8" ht="15.75" x14ac:dyDescent="0.5">
      <c r="A313" s="110"/>
      <c r="B313" s="111"/>
      <c r="C313" s="111"/>
      <c r="D313" s="110"/>
      <c r="E313" s="110"/>
      <c r="F313" s="110"/>
      <c r="G313" s="110"/>
      <c r="H313" s="110"/>
    </row>
    <row r="314" spans="1:8" ht="15.75" x14ac:dyDescent="0.5">
      <c r="A314" s="110"/>
      <c r="B314" s="111"/>
      <c r="C314" s="111"/>
      <c r="D314" s="110"/>
      <c r="E314" s="110"/>
      <c r="F314" s="110"/>
      <c r="G314" s="110"/>
      <c r="H314" s="110"/>
    </row>
    <row r="315" spans="1:8" ht="15.75" x14ac:dyDescent="0.5">
      <c r="A315" s="110"/>
      <c r="B315" s="111"/>
      <c r="C315" s="111"/>
      <c r="D315" s="110"/>
      <c r="E315" s="110"/>
      <c r="F315" s="110"/>
      <c r="G315" s="110"/>
      <c r="H315" s="110"/>
    </row>
    <row r="316" spans="1:8" ht="15.75" x14ac:dyDescent="0.5">
      <c r="A316" s="110"/>
      <c r="B316" s="111"/>
      <c r="C316" s="111"/>
      <c r="D316" s="110"/>
      <c r="E316" s="110"/>
      <c r="F316" s="110"/>
      <c r="G316" s="110"/>
      <c r="H316" s="110"/>
    </row>
    <row r="317" spans="1:8" ht="15.75" x14ac:dyDescent="0.5">
      <c r="A317" s="110"/>
      <c r="B317" s="111"/>
      <c r="C317" s="111"/>
      <c r="D317" s="110"/>
      <c r="E317" s="110"/>
      <c r="F317" s="110"/>
      <c r="G317" s="110"/>
      <c r="H317" s="110"/>
    </row>
    <row r="318" spans="1:8" ht="15.75" x14ac:dyDescent="0.5">
      <c r="A318" s="110"/>
      <c r="B318" s="111"/>
      <c r="C318" s="111"/>
      <c r="D318" s="110"/>
      <c r="E318" s="110"/>
      <c r="F318" s="110"/>
      <c r="G318" s="110"/>
      <c r="H318" s="110"/>
    </row>
    <row r="319" spans="1:8" ht="15.75" x14ac:dyDescent="0.5">
      <c r="A319" s="110"/>
      <c r="B319" s="111"/>
      <c r="C319" s="111"/>
      <c r="D319" s="110"/>
      <c r="E319" s="110"/>
      <c r="F319" s="110"/>
      <c r="G319" s="110"/>
      <c r="H319" s="110"/>
    </row>
    <row r="320" spans="1:8" ht="15.75" x14ac:dyDescent="0.5">
      <c r="A320" s="110"/>
      <c r="B320" s="111"/>
      <c r="C320" s="111"/>
      <c r="D320" s="110"/>
      <c r="E320" s="110"/>
      <c r="F320" s="110"/>
      <c r="G320" s="110"/>
      <c r="H320" s="110"/>
    </row>
    <row r="321" spans="1:8" ht="15.75" x14ac:dyDescent="0.5">
      <c r="A321" s="110"/>
      <c r="B321" s="111"/>
      <c r="C321" s="111"/>
      <c r="D321" s="110"/>
      <c r="E321" s="110"/>
      <c r="F321" s="110"/>
      <c r="G321" s="110"/>
      <c r="H321" s="110"/>
    </row>
    <row r="322" spans="1:8" ht="15.75" x14ac:dyDescent="0.5">
      <c r="A322" s="110"/>
      <c r="B322" s="111"/>
      <c r="C322" s="111"/>
      <c r="D322" s="110"/>
      <c r="E322" s="110"/>
      <c r="F322" s="110"/>
      <c r="G322" s="110"/>
      <c r="H322" s="110"/>
    </row>
    <row r="323" spans="1:8" ht="15.75" x14ac:dyDescent="0.5">
      <c r="A323" s="110"/>
      <c r="B323" s="111"/>
      <c r="C323" s="111"/>
      <c r="D323" s="110"/>
      <c r="E323" s="110"/>
      <c r="F323" s="110"/>
      <c r="G323" s="110"/>
      <c r="H323" s="110"/>
    </row>
    <row r="324" spans="1:8" ht="15.75" x14ac:dyDescent="0.5">
      <c r="A324" s="110"/>
      <c r="B324" s="111"/>
      <c r="C324" s="111"/>
      <c r="D324" s="110"/>
      <c r="E324" s="110"/>
      <c r="F324" s="110"/>
      <c r="G324" s="110"/>
      <c r="H324" s="110"/>
    </row>
    <row r="325" spans="1:8" ht="15.75" x14ac:dyDescent="0.5">
      <c r="A325" s="110"/>
      <c r="B325" s="111"/>
      <c r="C325" s="111"/>
      <c r="D325" s="110"/>
      <c r="E325" s="110"/>
      <c r="F325" s="110"/>
      <c r="G325" s="110"/>
      <c r="H325" s="110"/>
    </row>
    <row r="326" spans="1:8" ht="15.75" x14ac:dyDescent="0.5">
      <c r="A326" s="110"/>
      <c r="B326" s="111"/>
      <c r="C326" s="111"/>
      <c r="D326" s="110"/>
      <c r="E326" s="110"/>
      <c r="F326" s="110"/>
      <c r="G326" s="110"/>
      <c r="H326" s="110"/>
    </row>
    <row r="327" spans="1:8" ht="15.75" x14ac:dyDescent="0.5">
      <c r="A327" s="110"/>
      <c r="B327" s="111"/>
      <c r="C327" s="111"/>
      <c r="D327" s="110"/>
      <c r="E327" s="110"/>
      <c r="F327" s="110"/>
      <c r="G327" s="110"/>
      <c r="H327" s="110"/>
    </row>
    <row r="328" spans="1:8" ht="15.75" x14ac:dyDescent="0.5">
      <c r="A328" s="110"/>
      <c r="B328" s="111"/>
      <c r="C328" s="111"/>
      <c r="D328" s="110"/>
      <c r="E328" s="110"/>
      <c r="F328" s="110"/>
      <c r="G328" s="110"/>
      <c r="H328" s="110"/>
    </row>
    <row r="329" spans="1:8" ht="15.75" x14ac:dyDescent="0.5">
      <c r="A329" s="110"/>
      <c r="B329" s="111"/>
      <c r="C329" s="111"/>
      <c r="D329" s="110"/>
      <c r="E329" s="110"/>
      <c r="F329" s="110"/>
      <c r="G329" s="110"/>
      <c r="H329" s="110"/>
    </row>
    <row r="330" spans="1:8" ht="15.75" x14ac:dyDescent="0.5">
      <c r="A330" s="110"/>
      <c r="B330" s="111"/>
      <c r="C330" s="111"/>
      <c r="D330" s="110"/>
      <c r="E330" s="110"/>
      <c r="F330" s="110"/>
      <c r="G330" s="110"/>
      <c r="H330" s="110"/>
    </row>
    <row r="331" spans="1:8" ht="15.75" x14ac:dyDescent="0.5">
      <c r="A331" s="110"/>
      <c r="B331" s="111"/>
      <c r="C331" s="111"/>
      <c r="D331" s="110"/>
      <c r="E331" s="110"/>
      <c r="F331" s="110"/>
      <c r="G331" s="110"/>
      <c r="H331" s="110"/>
    </row>
    <row r="332" spans="1:8" ht="15.75" x14ac:dyDescent="0.5">
      <c r="A332" s="110"/>
      <c r="B332" s="111"/>
      <c r="C332" s="111"/>
      <c r="D332" s="110"/>
      <c r="E332" s="110"/>
      <c r="F332" s="110"/>
      <c r="G332" s="110"/>
      <c r="H332" s="110"/>
    </row>
    <row r="333" spans="1:8" ht="15.75" x14ac:dyDescent="0.5">
      <c r="A333" s="110"/>
      <c r="B333" s="111"/>
      <c r="C333" s="111"/>
      <c r="D333" s="110"/>
      <c r="E333" s="110"/>
      <c r="F333" s="110"/>
      <c r="G333" s="110"/>
      <c r="H333" s="110"/>
    </row>
    <row r="334" spans="1:8" ht="15.75" x14ac:dyDescent="0.5">
      <c r="A334" s="110"/>
      <c r="B334" s="111"/>
      <c r="C334" s="111"/>
      <c r="D334" s="110"/>
      <c r="E334" s="110"/>
      <c r="F334" s="110"/>
      <c r="G334" s="110"/>
      <c r="H334" s="110"/>
    </row>
    <row r="335" spans="1:8" ht="15.75" x14ac:dyDescent="0.5">
      <c r="A335" s="110"/>
      <c r="B335" s="111"/>
      <c r="C335" s="111"/>
      <c r="D335" s="110"/>
      <c r="E335" s="110"/>
      <c r="F335" s="110"/>
      <c r="G335" s="110"/>
      <c r="H335" s="110"/>
    </row>
    <row r="336" spans="1:8" ht="15.75" x14ac:dyDescent="0.5">
      <c r="A336" s="110"/>
      <c r="B336" s="111"/>
      <c r="C336" s="111"/>
      <c r="D336" s="110"/>
      <c r="E336" s="110"/>
      <c r="F336" s="110"/>
      <c r="G336" s="110"/>
      <c r="H336" s="110"/>
    </row>
    <row r="337" spans="1:8" ht="15.75" x14ac:dyDescent="0.5">
      <c r="A337" s="110"/>
      <c r="B337" s="111"/>
      <c r="C337" s="111"/>
      <c r="D337" s="110"/>
      <c r="E337" s="110"/>
      <c r="F337" s="110"/>
      <c r="G337" s="110"/>
      <c r="H337" s="110"/>
    </row>
    <row r="338" spans="1:8" ht="15.75" x14ac:dyDescent="0.5">
      <c r="A338" s="110"/>
      <c r="B338" s="111"/>
      <c r="C338" s="111"/>
      <c r="D338" s="110"/>
      <c r="E338" s="110"/>
      <c r="F338" s="110"/>
      <c r="G338" s="110"/>
      <c r="H338" s="110"/>
    </row>
    <row r="339" spans="1:8" ht="15.75" x14ac:dyDescent="0.5">
      <c r="A339" s="110"/>
      <c r="B339" s="111"/>
      <c r="C339" s="111"/>
      <c r="D339" s="110"/>
      <c r="E339" s="110"/>
      <c r="F339" s="110"/>
      <c r="G339" s="110"/>
      <c r="H339" s="110"/>
    </row>
    <row r="340" spans="1:8" ht="15.75" x14ac:dyDescent="0.5">
      <c r="A340" s="110"/>
      <c r="B340" s="111"/>
      <c r="C340" s="111"/>
      <c r="D340" s="110"/>
      <c r="E340" s="110"/>
      <c r="F340" s="110"/>
      <c r="G340" s="110"/>
      <c r="H340" s="110"/>
    </row>
    <row r="341" spans="1:8" ht="15.75" x14ac:dyDescent="0.5">
      <c r="A341" s="110"/>
      <c r="B341" s="111"/>
      <c r="C341" s="111"/>
      <c r="D341" s="110"/>
      <c r="E341" s="110"/>
      <c r="F341" s="110"/>
      <c r="G341" s="110"/>
      <c r="H341" s="110"/>
    </row>
    <row r="342" spans="1:8" ht="15.75" x14ac:dyDescent="0.5">
      <c r="A342" s="110"/>
      <c r="B342" s="111"/>
      <c r="C342" s="111"/>
      <c r="D342" s="110"/>
      <c r="E342" s="110"/>
      <c r="F342" s="110"/>
      <c r="G342" s="110"/>
      <c r="H342" s="110"/>
    </row>
    <row r="343" spans="1:8" ht="15.75" x14ac:dyDescent="0.5">
      <c r="A343" s="110"/>
      <c r="B343" s="111"/>
      <c r="C343" s="111"/>
      <c r="D343" s="110"/>
      <c r="E343" s="110"/>
      <c r="F343" s="110"/>
      <c r="G343" s="110"/>
      <c r="H343" s="110"/>
    </row>
    <row r="344" spans="1:8" ht="15.75" x14ac:dyDescent="0.5">
      <c r="A344" s="110"/>
      <c r="B344" s="111"/>
      <c r="C344" s="111"/>
      <c r="D344" s="110"/>
      <c r="E344" s="110"/>
      <c r="F344" s="110"/>
      <c r="G344" s="110"/>
      <c r="H344" s="110"/>
    </row>
    <row r="345" spans="1:8" ht="15.75" x14ac:dyDescent="0.5">
      <c r="A345" s="110"/>
      <c r="B345" s="111"/>
      <c r="C345" s="111"/>
      <c r="D345" s="110"/>
      <c r="E345" s="110"/>
      <c r="F345" s="110"/>
      <c r="G345" s="110"/>
      <c r="H345" s="110"/>
    </row>
    <row r="346" spans="1:8" ht="15.75" x14ac:dyDescent="0.5">
      <c r="A346" s="110"/>
      <c r="B346" s="111"/>
      <c r="C346" s="111"/>
      <c r="D346" s="110"/>
      <c r="E346" s="110"/>
      <c r="F346" s="110"/>
      <c r="G346" s="110"/>
      <c r="H346" s="110"/>
    </row>
    <row r="347" spans="1:8" ht="15.75" x14ac:dyDescent="0.5">
      <c r="A347" s="110"/>
      <c r="B347" s="111"/>
      <c r="C347" s="111"/>
      <c r="D347" s="110"/>
      <c r="E347" s="110"/>
      <c r="F347" s="110"/>
      <c r="G347" s="110"/>
      <c r="H347" s="110"/>
    </row>
  </sheetData>
  <mergeCells count="1">
    <mergeCell ref="D1:H2"/>
  </mergeCells>
  <dataValidations count="1">
    <dataValidation type="list" allowBlank="1" showInputMessage="1" showErrorMessage="1" sqref="B8">
      <formula1>"FY,QTR,TTM,YTD"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/>
  </sheetPr>
  <dimension ref="A1:E111"/>
  <sheetViews>
    <sheetView showGridLines="0" zoomScale="90" zoomScaleNormal="90" zoomScalePageLayoutView="90" workbookViewId="0"/>
  </sheetViews>
  <sheetFormatPr defaultColWidth="9.1328125" defaultRowHeight="14.25" outlineLevelRow="1" outlineLevelCol="1" x14ac:dyDescent="0.45"/>
  <cols>
    <col min="1" max="1" width="57.265625" customWidth="1"/>
    <col min="2" max="2" width="8.86328125" hidden="1" customWidth="1"/>
    <col min="3" max="3" width="46.265625" style="49" customWidth="1" outlineLevel="1"/>
    <col min="4" max="4" width="15.86328125" style="49" customWidth="1" outlineLevel="1"/>
    <col min="5" max="5" width="22.1328125" customWidth="1"/>
    <col min="6" max="10" width="13.86328125" customWidth="1"/>
    <col min="12" max="12" width="13.86328125" customWidth="1"/>
  </cols>
  <sheetData>
    <row r="1" spans="1:5" ht="26.25" customHeight="1" x14ac:dyDescent="0.65">
      <c r="A1" s="31" t="str">
        <f>[1]!IntrinioDataPoint(ticker,"name")</f>
        <v/>
      </c>
      <c r="B1" s="31"/>
      <c r="C1" s="32"/>
      <c r="D1" s="32"/>
      <c r="E1" s="220"/>
    </row>
    <row r="2" spans="1:5" ht="16.5" customHeight="1" thickBot="1" x14ac:dyDescent="0.55000000000000004">
      <c r="A2" s="33" t="str">
        <f>[1]!IntrinioDataPoint(ticker,"stock_exchange")&amp;IF(ticker="","",": ") &amp;ticker</f>
        <v/>
      </c>
      <c r="B2" s="33"/>
      <c r="C2" s="34"/>
      <c r="D2" s="34"/>
      <c r="E2" s="221"/>
    </row>
    <row r="3" spans="1:5" ht="15.75" x14ac:dyDescent="0.5">
      <c r="A3" s="35"/>
      <c r="B3" s="35"/>
      <c r="C3" s="36"/>
      <c r="D3" s="36"/>
      <c r="E3" s="37" t="str">
        <f>IFERROR([1]!IntrinioReportedFundamentals(ticker,statement,type,sequence,"end_date"),"")</f>
        <v/>
      </c>
    </row>
    <row r="4" spans="1:5" ht="15.75" x14ac:dyDescent="0.5">
      <c r="A4" s="35"/>
      <c r="B4" s="35"/>
      <c r="C4" s="36"/>
      <c r="D4" s="36"/>
      <c r="E4" s="112" t="str">
        <f>IFERROR([1]!IntrinioReportedFundamentals(ticker,statement,type,sequence,"fiscal_period"),"")</f>
        <v/>
      </c>
    </row>
    <row r="5" spans="1:5" ht="16.149999999999999" thickBot="1" x14ac:dyDescent="0.55000000000000004">
      <c r="A5" s="38" t="s">
        <v>268</v>
      </c>
      <c r="B5" s="38" t="s">
        <v>22</v>
      </c>
      <c r="C5" s="39" t="s">
        <v>269</v>
      </c>
      <c r="D5" s="39" t="s">
        <v>270</v>
      </c>
      <c r="E5" s="113" t="str">
        <f>IFERROR([1]!IntrinioReportedFundamentals(ticker,statement,type,sequence,"fiscal_year"),"")</f>
        <v/>
      </c>
    </row>
    <row r="6" spans="1:5" ht="16.149999999999999" thickBot="1" x14ac:dyDescent="0.55000000000000004">
      <c r="A6" s="41"/>
      <c r="B6" s="41"/>
      <c r="C6" s="78"/>
      <c r="D6" s="42"/>
      <c r="E6" s="43"/>
    </row>
    <row r="7" spans="1:5" ht="16.149999999999999" outlineLevel="1" thickBot="1" x14ac:dyDescent="0.55000000000000004">
      <c r="A7" s="44" t="s">
        <v>18</v>
      </c>
      <c r="B7" s="44"/>
      <c r="C7" s="45" t="s">
        <v>19</v>
      </c>
      <c r="D7" s="76"/>
      <c r="E7" s="43"/>
    </row>
    <row r="8" spans="1:5" ht="16.149999999999999" outlineLevel="1" thickBot="1" x14ac:dyDescent="0.55000000000000004">
      <c r="A8" s="44" t="s">
        <v>20</v>
      </c>
      <c r="B8" s="44"/>
      <c r="C8" s="45" t="s">
        <v>21</v>
      </c>
      <c r="D8" s="76"/>
    </row>
    <row r="9" spans="1:5" ht="16.149999999999999" outlineLevel="1" thickBot="1" x14ac:dyDescent="0.55000000000000004">
      <c r="A9" s="44" t="s">
        <v>22</v>
      </c>
      <c r="B9" s="44"/>
      <c r="C9" s="45">
        <v>0</v>
      </c>
      <c r="D9" s="42"/>
    </row>
    <row r="10" spans="1:5" ht="15.75" outlineLevel="1" x14ac:dyDescent="0.5">
      <c r="A10" s="46"/>
      <c r="B10" s="46"/>
      <c r="C10" s="42"/>
      <c r="D10" s="42"/>
      <c r="E10" s="43"/>
    </row>
    <row r="11" spans="1:5" x14ac:dyDescent="0.45">
      <c r="A11" t="str">
        <f>IFERROR([1]!IntrinioReportedTags(ticker,$C$7,sequence,type,$B11,"name"),"")</f>
        <v/>
      </c>
      <c r="B11" s="49">
        <v>0</v>
      </c>
      <c r="C11" s="49" t="str">
        <f>IFERROR([1]!IntrinioReportedTags(ticker,$C$7,sequence,type,$B11,"tag"),"")</f>
        <v/>
      </c>
      <c r="D11" s="49" t="str">
        <f>IFERROR([1]!IntrinioReportedTags(ticker,$C$7,sequence,type,$B11,"domain_tag"),"")</f>
        <v/>
      </c>
      <c r="E11" s="164" t="str">
        <f>IFERROR([1]!IntrinioReportedFinancials(ticker,$C$7,sequence,type,$C11,$D11),"")</f>
        <v/>
      </c>
    </row>
    <row r="12" spans="1:5" x14ac:dyDescent="0.45">
      <c r="A12" t="str">
        <f>IFERROR([1]!IntrinioReportedTags(ticker,$C$7,sequence,type,$B12,"name"),"")</f>
        <v/>
      </c>
      <c r="B12" s="49">
        <f>+B11+1</f>
        <v>1</v>
      </c>
      <c r="C12" s="49" t="str">
        <f>IFERROR([1]!IntrinioReportedTags(ticker,$C$7,sequence,type,$B12,"tag"),"")</f>
        <v/>
      </c>
      <c r="D12" s="49" t="str">
        <f>IFERROR([1]!IntrinioReportedTags(ticker,$C$7,sequence,type,$B12,"domain_tag"),"")</f>
        <v/>
      </c>
      <c r="E12" s="164" t="str">
        <f>IFERROR([1]!IntrinioReportedFinancials(ticker,$C$7,sequence,type,$C12,$D12),"")</f>
        <v/>
      </c>
    </row>
    <row r="13" spans="1:5" x14ac:dyDescent="0.45">
      <c r="A13" t="str">
        <f>IFERROR([1]!IntrinioReportedTags(ticker,$C$7,sequence,type,$B13,"name"),"")</f>
        <v/>
      </c>
      <c r="B13" s="49">
        <f t="shared" ref="B13:B76" si="0">+B12+1</f>
        <v>2</v>
      </c>
      <c r="C13" s="49" t="str">
        <f>IFERROR([1]!IntrinioReportedTags(ticker,$C$7,sequence,type,$B13,"tag"),"")</f>
        <v/>
      </c>
      <c r="D13" s="49" t="str">
        <f>IFERROR([1]!IntrinioReportedTags(ticker,$C$7,sequence,type,$B13,"domain_tag"),"")</f>
        <v/>
      </c>
      <c r="E13" s="164" t="str">
        <f>IFERROR([1]!IntrinioReportedFinancials(ticker,$C$7,sequence,type,$C13,$D13),"")</f>
        <v/>
      </c>
    </row>
    <row r="14" spans="1:5" x14ac:dyDescent="0.45">
      <c r="A14" t="str">
        <f>IFERROR([1]!IntrinioReportedTags(ticker,$C$7,sequence,type,$B14,"name"),"")</f>
        <v/>
      </c>
      <c r="B14" s="49">
        <f t="shared" si="0"/>
        <v>3</v>
      </c>
      <c r="C14" s="49" t="str">
        <f>IFERROR([1]!IntrinioReportedTags(ticker,$C$7,sequence,type,$B14,"tag"),"")</f>
        <v/>
      </c>
      <c r="D14" s="49" t="str">
        <f>IFERROR([1]!IntrinioReportedTags(ticker,$C$7,sequence,type,$B14,"domain_tag"),"")</f>
        <v/>
      </c>
      <c r="E14" s="164" t="str">
        <f>IFERROR([1]!IntrinioReportedFinancials(ticker,$C$7,sequence,type,$C14,$D14),"")</f>
        <v/>
      </c>
    </row>
    <row r="15" spans="1:5" x14ac:dyDescent="0.45">
      <c r="A15" t="str">
        <f>IFERROR([1]!IntrinioReportedTags(ticker,$C$7,sequence,type,$B15,"name"),"")</f>
        <v/>
      </c>
      <c r="B15" s="49">
        <f t="shared" si="0"/>
        <v>4</v>
      </c>
      <c r="C15" s="49" t="str">
        <f>IFERROR([1]!IntrinioReportedTags(ticker,$C$7,sequence,type,$B15,"tag"),"")</f>
        <v/>
      </c>
      <c r="D15" s="49" t="str">
        <f>IFERROR([1]!IntrinioReportedTags(ticker,$C$7,sequence,type,$B15,"domain_tag"),"")</f>
        <v/>
      </c>
      <c r="E15" s="164" t="str">
        <f>IFERROR([1]!IntrinioReportedFinancials(ticker,$C$7,sequence,type,$C15,$D15),"")</f>
        <v/>
      </c>
    </row>
    <row r="16" spans="1:5" x14ac:dyDescent="0.45">
      <c r="A16" t="str">
        <f>IFERROR([1]!IntrinioReportedTags(ticker,$C$7,sequence,type,$B16,"name"),"")</f>
        <v/>
      </c>
      <c r="B16" s="49">
        <f t="shared" si="0"/>
        <v>5</v>
      </c>
      <c r="C16" s="49" t="str">
        <f>IFERROR([1]!IntrinioReportedTags(ticker,$C$7,sequence,type,$B16,"tag"),"")</f>
        <v/>
      </c>
      <c r="D16" s="49" t="str">
        <f>IFERROR([1]!IntrinioReportedTags(ticker,$C$7,sequence,type,$B16,"domain_tag"),"")</f>
        <v/>
      </c>
      <c r="E16" s="164" t="str">
        <f>IFERROR([1]!IntrinioReportedFinancials(ticker,$C$7,sequence,type,$C16,$D16),"")</f>
        <v/>
      </c>
    </row>
    <row r="17" spans="1:5" x14ac:dyDescent="0.45">
      <c r="A17" t="str">
        <f>IFERROR([1]!IntrinioReportedTags(ticker,$C$7,sequence,type,$B17,"name"),"")</f>
        <v/>
      </c>
      <c r="B17" s="49">
        <f t="shared" si="0"/>
        <v>6</v>
      </c>
      <c r="C17" s="49" t="str">
        <f>IFERROR([1]!IntrinioReportedTags(ticker,$C$7,sequence,type,$B17,"tag"),"")</f>
        <v/>
      </c>
      <c r="D17" s="49" t="str">
        <f>IFERROR([1]!IntrinioReportedTags(ticker,$C$7,sequence,type,$B17,"domain_tag"),"")</f>
        <v/>
      </c>
      <c r="E17" s="164" t="str">
        <f>IFERROR([1]!IntrinioReportedFinancials(ticker,$C$7,sequence,type,$C17,$D17),"")</f>
        <v/>
      </c>
    </row>
    <row r="18" spans="1:5" x14ac:dyDescent="0.45">
      <c r="A18" t="str">
        <f>IFERROR([1]!IntrinioReportedTags(ticker,$C$7,sequence,type,$B18,"name"),"")</f>
        <v/>
      </c>
      <c r="B18" s="49">
        <f t="shared" si="0"/>
        <v>7</v>
      </c>
      <c r="C18" s="49" t="str">
        <f>IFERROR([1]!IntrinioReportedTags(ticker,$C$7,sequence,type,$B18,"tag"),"")</f>
        <v/>
      </c>
      <c r="D18" s="49" t="str">
        <f>IFERROR([1]!IntrinioReportedTags(ticker,$C$7,sequence,type,$B18,"domain_tag"),"")</f>
        <v/>
      </c>
      <c r="E18" s="164" t="str">
        <f>IFERROR([1]!IntrinioReportedFinancials(ticker,$C$7,sequence,type,$C18,$D18),"")</f>
        <v/>
      </c>
    </row>
    <row r="19" spans="1:5" x14ac:dyDescent="0.45">
      <c r="A19" t="str">
        <f>IFERROR([1]!IntrinioReportedTags(ticker,$C$7,sequence,type,$B19,"name"),"")</f>
        <v/>
      </c>
      <c r="B19" s="49">
        <f t="shared" si="0"/>
        <v>8</v>
      </c>
      <c r="C19" s="49" t="str">
        <f>IFERROR([1]!IntrinioReportedTags(ticker,$C$7,sequence,type,$B19,"tag"),"")</f>
        <v/>
      </c>
      <c r="D19" s="49" t="str">
        <f>IFERROR([1]!IntrinioReportedTags(ticker,$C$7,sequence,type,$B19,"domain_tag"),"")</f>
        <v/>
      </c>
      <c r="E19" s="164" t="str">
        <f>IFERROR([1]!IntrinioReportedFinancials(ticker,$C$7,sequence,type,$C19,$D19),"")</f>
        <v/>
      </c>
    </row>
    <row r="20" spans="1:5" x14ac:dyDescent="0.45">
      <c r="A20" t="str">
        <f>IFERROR([1]!IntrinioReportedTags(ticker,$C$7,sequence,type,$B20,"name"),"")</f>
        <v/>
      </c>
      <c r="B20" s="49">
        <f t="shared" si="0"/>
        <v>9</v>
      </c>
      <c r="C20" s="49" t="str">
        <f>IFERROR([1]!IntrinioReportedTags(ticker,$C$7,sequence,type,$B20,"tag"),"")</f>
        <v/>
      </c>
      <c r="D20" s="49" t="str">
        <f>IFERROR([1]!IntrinioReportedTags(ticker,$C$7,sequence,type,$B20,"domain_tag"),"")</f>
        <v/>
      </c>
      <c r="E20" s="164" t="str">
        <f>IFERROR([1]!IntrinioReportedFinancials(ticker,$C$7,sequence,type,$C20,$D20),"")</f>
        <v/>
      </c>
    </row>
    <row r="21" spans="1:5" x14ac:dyDescent="0.45">
      <c r="A21" t="str">
        <f>IFERROR([1]!IntrinioReportedTags(ticker,$C$7,sequence,type,$B21,"name"),"")</f>
        <v/>
      </c>
      <c r="B21" s="49">
        <f t="shared" si="0"/>
        <v>10</v>
      </c>
      <c r="C21" s="49" t="str">
        <f>IFERROR([1]!IntrinioReportedTags(ticker,$C$7,sequence,type,$B21,"tag"),"")</f>
        <v/>
      </c>
      <c r="D21" s="49" t="str">
        <f>IFERROR([1]!IntrinioReportedTags(ticker,$C$7,sequence,type,$B21,"domain_tag"),"")</f>
        <v/>
      </c>
      <c r="E21" s="164" t="str">
        <f>IFERROR([1]!IntrinioReportedFinancials(ticker,$C$7,sequence,type,$C21,$D21),"")</f>
        <v/>
      </c>
    </row>
    <row r="22" spans="1:5" x14ac:dyDescent="0.45">
      <c r="A22" t="str">
        <f>IFERROR([1]!IntrinioReportedTags(ticker,$C$7,sequence,type,$B22,"name"),"")</f>
        <v/>
      </c>
      <c r="B22" s="49">
        <f t="shared" si="0"/>
        <v>11</v>
      </c>
      <c r="C22" s="49" t="str">
        <f>IFERROR([1]!IntrinioReportedTags(ticker,$C$7,sequence,type,$B22,"tag"),"")</f>
        <v/>
      </c>
      <c r="D22" s="49" t="str">
        <f>IFERROR([1]!IntrinioReportedTags(ticker,$C$7,sequence,type,$B22,"domain_tag"),"")</f>
        <v/>
      </c>
      <c r="E22" s="164" t="str">
        <f>IFERROR([1]!IntrinioReportedFinancials(ticker,$C$7,sequence,type,$C22,$D22),"")</f>
        <v/>
      </c>
    </row>
    <row r="23" spans="1:5" x14ac:dyDescent="0.45">
      <c r="A23" t="str">
        <f>IFERROR([1]!IntrinioReportedTags(ticker,$C$7,sequence,type,$B23,"name"),"")</f>
        <v/>
      </c>
      <c r="B23" s="49">
        <f t="shared" si="0"/>
        <v>12</v>
      </c>
      <c r="C23" s="49" t="str">
        <f>IFERROR([1]!IntrinioReportedTags(ticker,$C$7,sequence,type,$B23,"tag"),"")</f>
        <v/>
      </c>
      <c r="D23" s="49" t="str">
        <f>IFERROR([1]!IntrinioReportedTags(ticker,$C$7,sequence,type,$B23,"domain_tag"),"")</f>
        <v/>
      </c>
      <c r="E23" s="164" t="str">
        <f>IFERROR([1]!IntrinioReportedFinancials(ticker,$C$7,sequence,type,$C23,$D23),"")</f>
        <v/>
      </c>
    </row>
    <row r="24" spans="1:5" x14ac:dyDescent="0.45">
      <c r="A24" t="str">
        <f>IFERROR([1]!IntrinioReportedTags(ticker,$C$7,sequence,type,$B24,"name"),"")</f>
        <v/>
      </c>
      <c r="B24" s="49">
        <f t="shared" si="0"/>
        <v>13</v>
      </c>
      <c r="C24" s="49" t="str">
        <f>IFERROR([1]!IntrinioReportedTags(ticker,$C$7,sequence,type,$B24,"tag"),"")</f>
        <v/>
      </c>
      <c r="D24" s="49" t="str">
        <f>IFERROR([1]!IntrinioReportedTags(ticker,$C$7,sequence,type,$B24,"domain_tag"),"")</f>
        <v/>
      </c>
      <c r="E24" s="164" t="str">
        <f>IFERROR([1]!IntrinioReportedFinancials(ticker,$C$7,sequence,type,$C24,$D24),"")</f>
        <v/>
      </c>
    </row>
    <row r="25" spans="1:5" x14ac:dyDescent="0.45">
      <c r="A25" t="str">
        <f>IFERROR([1]!IntrinioReportedTags(ticker,$C$7,sequence,type,$B25,"name"),"")</f>
        <v/>
      </c>
      <c r="B25" s="49">
        <f t="shared" si="0"/>
        <v>14</v>
      </c>
      <c r="C25" s="49" t="str">
        <f>IFERROR([1]!IntrinioReportedTags(ticker,$C$7,sequence,type,$B25,"tag"),"")</f>
        <v/>
      </c>
      <c r="D25" s="49" t="str">
        <f>IFERROR([1]!IntrinioReportedTags(ticker,$C$7,sequence,type,$B25,"domain_tag"),"")</f>
        <v/>
      </c>
      <c r="E25" s="164" t="str">
        <f>IFERROR([1]!IntrinioReportedFinancials(ticker,$C$7,sequence,type,$C25,$D25),"")</f>
        <v/>
      </c>
    </row>
    <row r="26" spans="1:5" x14ac:dyDescent="0.45">
      <c r="A26" t="str">
        <f>IFERROR([1]!IntrinioReportedTags(ticker,$C$7,sequence,type,$B26,"name"),"")</f>
        <v/>
      </c>
      <c r="B26" s="49">
        <f t="shared" si="0"/>
        <v>15</v>
      </c>
      <c r="C26" s="49" t="str">
        <f>IFERROR([1]!IntrinioReportedTags(ticker,$C$7,sequence,type,$B26,"tag"),"")</f>
        <v/>
      </c>
      <c r="D26" s="49" t="str">
        <f>IFERROR([1]!IntrinioReportedTags(ticker,$C$7,sequence,type,$B26,"domain_tag"),"")</f>
        <v/>
      </c>
      <c r="E26" s="164" t="str">
        <f>IFERROR([1]!IntrinioReportedFinancials(ticker,$C$7,sequence,type,$C26,$D26),"")</f>
        <v/>
      </c>
    </row>
    <row r="27" spans="1:5" x14ac:dyDescent="0.45">
      <c r="A27" t="str">
        <f>IFERROR([1]!IntrinioReportedTags(ticker,$C$7,sequence,type,$B27,"name"),"")</f>
        <v/>
      </c>
      <c r="B27" s="49">
        <f t="shared" si="0"/>
        <v>16</v>
      </c>
      <c r="C27" s="49" t="str">
        <f>IFERROR([1]!IntrinioReportedTags(ticker,$C$7,sequence,type,$B27,"tag"),"")</f>
        <v/>
      </c>
      <c r="D27" s="49" t="str">
        <f>IFERROR([1]!IntrinioReportedTags(ticker,$C$7,sequence,type,$B27,"domain_tag"),"")</f>
        <v/>
      </c>
      <c r="E27" s="164" t="str">
        <f>IFERROR([1]!IntrinioReportedFinancials(ticker,$C$7,sequence,type,$C27,$D27),"")</f>
        <v/>
      </c>
    </row>
    <row r="28" spans="1:5" x14ac:dyDescent="0.45">
      <c r="A28" t="str">
        <f>IFERROR([1]!IntrinioReportedTags(ticker,$C$7,sequence,type,$B28,"name"),"")</f>
        <v/>
      </c>
      <c r="B28" s="49">
        <f t="shared" si="0"/>
        <v>17</v>
      </c>
      <c r="C28" s="49" t="str">
        <f>IFERROR([1]!IntrinioReportedTags(ticker,$C$7,sequence,type,$B28,"tag"),"")</f>
        <v/>
      </c>
      <c r="D28" s="49" t="str">
        <f>IFERROR([1]!IntrinioReportedTags(ticker,$C$7,sequence,type,$B28,"domain_tag"),"")</f>
        <v/>
      </c>
      <c r="E28" s="164" t="str">
        <f>IFERROR([1]!IntrinioReportedFinancials(ticker,$C$7,sequence,type,$C28,$D28),"")</f>
        <v/>
      </c>
    </row>
    <row r="29" spans="1:5" x14ac:dyDescent="0.45">
      <c r="A29" t="str">
        <f>IFERROR([1]!IntrinioReportedTags(ticker,$C$7,sequence,type,$B29,"name"),"")</f>
        <v/>
      </c>
      <c r="B29" s="49">
        <f t="shared" si="0"/>
        <v>18</v>
      </c>
      <c r="C29" s="49" t="str">
        <f>IFERROR([1]!IntrinioReportedTags(ticker,$C$7,sequence,type,$B29,"tag"),"")</f>
        <v/>
      </c>
      <c r="D29" s="49" t="str">
        <f>IFERROR([1]!IntrinioReportedTags(ticker,$C$7,sequence,type,$B29,"domain_tag"),"")</f>
        <v/>
      </c>
      <c r="E29" s="164" t="str">
        <f>IFERROR([1]!IntrinioReportedFinancials(ticker,$C$7,sequence,type,$C29,$D29),"")</f>
        <v/>
      </c>
    </row>
    <row r="30" spans="1:5" x14ac:dyDescent="0.45">
      <c r="A30" t="str">
        <f>IFERROR([1]!IntrinioReportedTags(ticker,$C$7,sequence,type,$B30,"name"),"")</f>
        <v/>
      </c>
      <c r="B30" s="49">
        <f t="shared" si="0"/>
        <v>19</v>
      </c>
      <c r="C30" s="49" t="str">
        <f>IFERROR([1]!IntrinioReportedTags(ticker,$C$7,sequence,type,$B30,"tag"),"")</f>
        <v/>
      </c>
      <c r="D30" s="49" t="str">
        <f>IFERROR([1]!IntrinioReportedTags(ticker,$C$7,sequence,type,$B30,"domain_tag"),"")</f>
        <v/>
      </c>
      <c r="E30" s="164" t="str">
        <f>IFERROR([1]!IntrinioReportedFinancials(ticker,$C$7,sequence,type,$C30,$D30),"")</f>
        <v/>
      </c>
    </row>
    <row r="31" spans="1:5" x14ac:dyDescent="0.45">
      <c r="A31" t="str">
        <f>IFERROR([1]!IntrinioReportedTags(ticker,$C$7,sequence,type,$B31,"name"),"")</f>
        <v/>
      </c>
      <c r="B31" s="49">
        <f t="shared" si="0"/>
        <v>20</v>
      </c>
      <c r="C31" s="49" t="str">
        <f>IFERROR([1]!IntrinioReportedTags(ticker,$C$7,sequence,type,$B31,"tag"),"")</f>
        <v/>
      </c>
      <c r="D31" s="49" t="str">
        <f>IFERROR([1]!IntrinioReportedTags(ticker,$C$7,sequence,type,$B31,"domain_tag"),"")</f>
        <v/>
      </c>
      <c r="E31" s="164" t="str">
        <f>IFERROR([1]!IntrinioReportedFinancials(ticker,$C$7,sequence,type,$C31,$D31),"")</f>
        <v/>
      </c>
    </row>
    <row r="32" spans="1:5" x14ac:dyDescent="0.45">
      <c r="A32" t="str">
        <f>IFERROR([1]!IntrinioReportedTags(ticker,$C$7,sequence,type,$B32,"name"),"")</f>
        <v/>
      </c>
      <c r="B32" s="49">
        <f t="shared" si="0"/>
        <v>21</v>
      </c>
      <c r="C32" s="49" t="str">
        <f>IFERROR([1]!IntrinioReportedTags(ticker,$C$7,sequence,type,$B32,"tag"),"")</f>
        <v/>
      </c>
      <c r="D32" s="49" t="str">
        <f>IFERROR([1]!IntrinioReportedTags(ticker,$C$7,sequence,type,$B32,"domain_tag"),"")</f>
        <v/>
      </c>
      <c r="E32" s="164" t="str">
        <f>IFERROR([1]!IntrinioReportedFinancials(ticker,$C$7,sequence,type,$C32,$D32),"")</f>
        <v/>
      </c>
    </row>
    <row r="33" spans="1:5" x14ac:dyDescent="0.45">
      <c r="A33" t="str">
        <f>IFERROR([1]!IntrinioReportedTags(ticker,$C$7,sequence,type,$B33,"name"),"")</f>
        <v/>
      </c>
      <c r="B33" s="49">
        <f t="shared" si="0"/>
        <v>22</v>
      </c>
      <c r="C33" s="49" t="str">
        <f>IFERROR([1]!IntrinioReportedTags(ticker,$C$7,sequence,type,$B33,"tag"),"")</f>
        <v/>
      </c>
      <c r="D33" s="49" t="str">
        <f>IFERROR([1]!IntrinioReportedTags(ticker,$C$7,sequence,type,$B33,"domain_tag"),"")</f>
        <v/>
      </c>
      <c r="E33" s="164" t="str">
        <f>IFERROR([1]!IntrinioReportedFinancials(ticker,$C$7,sequence,type,$C33,$D33),"")</f>
        <v/>
      </c>
    </row>
    <row r="34" spans="1:5" x14ac:dyDescent="0.45">
      <c r="A34" t="str">
        <f>IFERROR([1]!IntrinioReportedTags(ticker,$C$7,sequence,type,$B34,"name"),"")</f>
        <v/>
      </c>
      <c r="B34" s="49">
        <f t="shared" si="0"/>
        <v>23</v>
      </c>
      <c r="C34" s="49" t="str">
        <f>IFERROR([1]!IntrinioReportedTags(ticker,$C$7,sequence,type,$B34,"tag"),"")</f>
        <v/>
      </c>
      <c r="D34" s="49" t="str">
        <f>IFERROR([1]!IntrinioReportedTags(ticker,$C$7,sequence,type,$B34,"domain_tag"),"")</f>
        <v/>
      </c>
      <c r="E34" s="164" t="str">
        <f>IFERROR([1]!IntrinioReportedFinancials(ticker,$C$7,sequence,type,$C34,$D34),"")</f>
        <v/>
      </c>
    </row>
    <row r="35" spans="1:5" x14ac:dyDescent="0.45">
      <c r="A35" t="str">
        <f>IFERROR([1]!IntrinioReportedTags(ticker,$C$7,sequence,type,$B35,"name"),"")</f>
        <v/>
      </c>
      <c r="B35" s="49">
        <f t="shared" si="0"/>
        <v>24</v>
      </c>
      <c r="C35" s="49" t="str">
        <f>IFERROR([1]!IntrinioReportedTags(ticker,$C$7,sequence,type,$B35,"tag"),"")</f>
        <v/>
      </c>
      <c r="D35" s="49" t="str">
        <f>IFERROR([1]!IntrinioReportedTags(ticker,$C$7,sequence,type,$B35,"domain_tag"),"")</f>
        <v/>
      </c>
      <c r="E35" s="164" t="str">
        <f>IFERROR([1]!IntrinioReportedFinancials(ticker,$C$7,sequence,type,$C35,$D35),"")</f>
        <v/>
      </c>
    </row>
    <row r="36" spans="1:5" x14ac:dyDescent="0.45">
      <c r="A36" t="str">
        <f>IFERROR([1]!IntrinioReportedTags(ticker,$C$7,sequence,type,$B36,"name"),"")</f>
        <v/>
      </c>
      <c r="B36" s="49">
        <f t="shared" si="0"/>
        <v>25</v>
      </c>
      <c r="C36" s="49" t="str">
        <f>IFERROR([1]!IntrinioReportedTags(ticker,$C$7,sequence,type,$B36,"tag"),"")</f>
        <v/>
      </c>
      <c r="D36" s="49" t="str">
        <f>IFERROR([1]!IntrinioReportedTags(ticker,$C$7,sequence,type,$B36,"domain_tag"),"")</f>
        <v/>
      </c>
      <c r="E36" s="164" t="str">
        <f>IFERROR([1]!IntrinioReportedFinancials(ticker,$C$7,sequence,type,$C36,$D36),"")</f>
        <v/>
      </c>
    </row>
    <row r="37" spans="1:5" x14ac:dyDescent="0.45">
      <c r="A37" t="str">
        <f>IFERROR([1]!IntrinioReportedTags(ticker,$C$7,sequence,type,$B37,"name"),"")</f>
        <v/>
      </c>
      <c r="B37" s="49">
        <f t="shared" si="0"/>
        <v>26</v>
      </c>
      <c r="C37" s="49" t="str">
        <f>IFERROR([1]!IntrinioReportedTags(ticker,$C$7,sequence,type,$B37,"tag"),"")</f>
        <v/>
      </c>
      <c r="D37" s="49" t="str">
        <f>IFERROR([1]!IntrinioReportedTags(ticker,$C$7,sequence,type,$B37,"domain_tag"),"")</f>
        <v/>
      </c>
      <c r="E37" s="164" t="str">
        <f>IFERROR([1]!IntrinioReportedFinancials(ticker,$C$7,sequence,type,$C37,$D37),"")</f>
        <v/>
      </c>
    </row>
    <row r="38" spans="1:5" x14ac:dyDescent="0.45">
      <c r="A38" t="str">
        <f>IFERROR([1]!IntrinioReportedTags(ticker,$C$7,sequence,type,$B38,"name"),"")</f>
        <v/>
      </c>
      <c r="B38" s="49">
        <f t="shared" si="0"/>
        <v>27</v>
      </c>
      <c r="C38" s="49" t="str">
        <f>IFERROR([1]!IntrinioReportedTags(ticker,$C$7,sequence,type,$B38,"tag"),"")</f>
        <v/>
      </c>
      <c r="D38" s="49" t="str">
        <f>IFERROR([1]!IntrinioReportedTags(ticker,$C$7,sequence,type,$B38,"domain_tag"),"")</f>
        <v/>
      </c>
      <c r="E38" s="164" t="str">
        <f>IFERROR([1]!IntrinioReportedFinancials(ticker,$C$7,sequence,type,$C38,$D38),"")</f>
        <v/>
      </c>
    </row>
    <row r="39" spans="1:5" x14ac:dyDescent="0.45">
      <c r="A39" t="str">
        <f>IFERROR([1]!IntrinioReportedTags(ticker,$C$7,sequence,type,$B39,"name"),"")</f>
        <v/>
      </c>
      <c r="B39" s="49">
        <f t="shared" si="0"/>
        <v>28</v>
      </c>
      <c r="C39" s="49" t="str">
        <f>IFERROR([1]!IntrinioReportedTags(ticker,$C$7,sequence,type,$B39,"tag"),"")</f>
        <v/>
      </c>
      <c r="D39" s="49" t="str">
        <f>IFERROR([1]!IntrinioReportedTags(ticker,$C$7,sequence,type,$B39,"domain_tag"),"")</f>
        <v/>
      </c>
      <c r="E39" s="164" t="str">
        <f>IFERROR([1]!IntrinioReportedFinancials(ticker,$C$7,sequence,type,$C39,$D39),"")</f>
        <v/>
      </c>
    </row>
    <row r="40" spans="1:5" x14ac:dyDescent="0.45">
      <c r="A40" t="str">
        <f>IFERROR([1]!IntrinioReportedTags(ticker,$C$7,sequence,type,$B40,"name"),"")</f>
        <v/>
      </c>
      <c r="B40" s="49">
        <f t="shared" si="0"/>
        <v>29</v>
      </c>
      <c r="C40" s="49" t="str">
        <f>IFERROR([1]!IntrinioReportedTags(ticker,$C$7,sequence,type,$B40,"tag"),"")</f>
        <v/>
      </c>
      <c r="D40" s="49" t="str">
        <f>IFERROR([1]!IntrinioReportedTags(ticker,$C$7,sequence,type,$B40,"domain_tag"),"")</f>
        <v/>
      </c>
      <c r="E40" s="164" t="str">
        <f>IFERROR([1]!IntrinioReportedFinancials(ticker,$C$7,sequence,type,$C40,$D40),"")</f>
        <v/>
      </c>
    </row>
    <row r="41" spans="1:5" x14ac:dyDescent="0.45">
      <c r="A41" t="str">
        <f>IFERROR([1]!IntrinioReportedTags(ticker,$C$7,sequence,type,$B41,"name"),"")</f>
        <v/>
      </c>
      <c r="B41" s="49">
        <f t="shared" si="0"/>
        <v>30</v>
      </c>
      <c r="C41" s="49" t="str">
        <f>IFERROR([1]!IntrinioReportedTags(ticker,$C$7,sequence,type,$B41,"tag"),"")</f>
        <v/>
      </c>
      <c r="D41" s="49" t="str">
        <f>IFERROR([1]!IntrinioReportedTags(ticker,$C$7,sequence,type,$B41,"domain_tag"),"")</f>
        <v/>
      </c>
      <c r="E41" s="164" t="str">
        <f>IFERROR([1]!IntrinioReportedFinancials(ticker,$C$7,sequence,type,$C41,$D41),"")</f>
        <v/>
      </c>
    </row>
    <row r="42" spans="1:5" x14ac:dyDescent="0.45">
      <c r="A42" t="str">
        <f>IFERROR([1]!IntrinioReportedTags(ticker,$C$7,sequence,type,$B42,"name"),"")</f>
        <v/>
      </c>
      <c r="B42" s="49">
        <f t="shared" si="0"/>
        <v>31</v>
      </c>
      <c r="C42" s="49" t="str">
        <f>IFERROR([1]!IntrinioReportedTags(ticker,$C$7,sequence,type,$B42,"tag"),"")</f>
        <v/>
      </c>
      <c r="D42" s="49" t="str">
        <f>IFERROR([1]!IntrinioReportedTags(ticker,$C$7,sequence,type,$B42,"domain_tag"),"")</f>
        <v/>
      </c>
      <c r="E42" s="164" t="str">
        <f>IFERROR([1]!IntrinioReportedFinancials(ticker,$C$7,sequence,type,$C42,$D42),"")</f>
        <v/>
      </c>
    </row>
    <row r="43" spans="1:5" x14ac:dyDescent="0.45">
      <c r="A43" t="str">
        <f>IFERROR([1]!IntrinioReportedTags(ticker,$C$7,sequence,type,$B43,"name"),"")</f>
        <v/>
      </c>
      <c r="B43" s="49">
        <f t="shared" si="0"/>
        <v>32</v>
      </c>
      <c r="C43" s="49" t="str">
        <f>IFERROR([1]!IntrinioReportedTags(ticker,$C$7,sequence,type,$B43,"tag"),"")</f>
        <v/>
      </c>
      <c r="D43" s="49" t="str">
        <f>IFERROR([1]!IntrinioReportedTags(ticker,$C$7,sequence,type,$B43,"domain_tag"),"")</f>
        <v/>
      </c>
      <c r="E43" s="164" t="str">
        <f>IFERROR([1]!IntrinioReportedFinancials(ticker,$C$7,sequence,type,$C43,$D43),"")</f>
        <v/>
      </c>
    </row>
    <row r="44" spans="1:5" x14ac:dyDescent="0.45">
      <c r="A44" t="str">
        <f>IFERROR([1]!IntrinioReportedTags(ticker,$C$7,sequence,type,$B44,"name"),"")</f>
        <v/>
      </c>
      <c r="B44" s="49">
        <f t="shared" si="0"/>
        <v>33</v>
      </c>
      <c r="C44" s="49" t="str">
        <f>IFERROR([1]!IntrinioReportedTags(ticker,$C$7,sequence,type,$B44,"tag"),"")</f>
        <v/>
      </c>
      <c r="D44" s="49" t="str">
        <f>IFERROR([1]!IntrinioReportedTags(ticker,$C$7,sequence,type,$B44,"domain_tag"),"")</f>
        <v/>
      </c>
      <c r="E44" s="164" t="str">
        <f>IFERROR([1]!IntrinioReportedFinancials(ticker,$C$7,sequence,type,$C44,$D44),"")</f>
        <v/>
      </c>
    </row>
    <row r="45" spans="1:5" x14ac:dyDescent="0.45">
      <c r="A45" t="str">
        <f>IFERROR([1]!IntrinioReportedTags(ticker,$C$7,sequence,type,$B45,"name"),"")</f>
        <v/>
      </c>
      <c r="B45" s="49">
        <f t="shared" si="0"/>
        <v>34</v>
      </c>
      <c r="C45" s="49" t="str">
        <f>IFERROR([1]!IntrinioReportedTags(ticker,$C$7,sequence,type,$B45,"tag"),"")</f>
        <v/>
      </c>
      <c r="D45" s="49" t="str">
        <f>IFERROR([1]!IntrinioReportedTags(ticker,$C$7,sequence,type,$B45,"domain_tag"),"")</f>
        <v/>
      </c>
      <c r="E45" s="164" t="str">
        <f>IFERROR([1]!IntrinioReportedFinancials(ticker,$C$7,sequence,type,$C45,$D45),"")</f>
        <v/>
      </c>
    </row>
    <row r="46" spans="1:5" x14ac:dyDescent="0.45">
      <c r="A46" t="str">
        <f>IFERROR([1]!IntrinioReportedTags(ticker,$C$7,sequence,type,$B46,"name"),"")</f>
        <v/>
      </c>
      <c r="B46" s="49">
        <f t="shared" si="0"/>
        <v>35</v>
      </c>
      <c r="C46" s="49" t="str">
        <f>IFERROR([1]!IntrinioReportedTags(ticker,$C$7,sequence,type,$B46,"tag"),"")</f>
        <v/>
      </c>
      <c r="D46" s="49" t="str">
        <f>IFERROR([1]!IntrinioReportedTags(ticker,$C$7,sequence,type,$B46,"domain_tag"),"")</f>
        <v/>
      </c>
      <c r="E46" s="164" t="str">
        <f>IFERROR([1]!IntrinioReportedFinancials(ticker,$C$7,sequence,type,$C46,$D46),"")</f>
        <v/>
      </c>
    </row>
    <row r="47" spans="1:5" x14ac:dyDescent="0.45">
      <c r="A47" t="str">
        <f>IFERROR([1]!IntrinioReportedTags(ticker,$C$7,sequence,type,$B47,"name"),"")</f>
        <v/>
      </c>
      <c r="B47" s="49">
        <f t="shared" si="0"/>
        <v>36</v>
      </c>
      <c r="C47" s="49" t="str">
        <f>IFERROR([1]!IntrinioReportedTags(ticker,$C$7,sequence,type,$B47,"tag"),"")</f>
        <v/>
      </c>
      <c r="D47" s="49" t="str">
        <f>IFERROR([1]!IntrinioReportedTags(ticker,$C$7,sequence,type,$B47,"domain_tag"),"")</f>
        <v/>
      </c>
      <c r="E47" s="164" t="str">
        <f>IFERROR([1]!IntrinioReportedFinancials(ticker,$C$7,sequence,type,$C47,$D47),"")</f>
        <v/>
      </c>
    </row>
    <row r="48" spans="1:5" x14ac:dyDescent="0.45">
      <c r="A48" t="str">
        <f>IFERROR([1]!IntrinioReportedTags(ticker,$C$7,sequence,type,$B48,"name"),"")</f>
        <v/>
      </c>
      <c r="B48" s="49">
        <f t="shared" si="0"/>
        <v>37</v>
      </c>
      <c r="C48" s="49" t="str">
        <f>IFERROR([1]!IntrinioReportedTags(ticker,$C$7,sequence,type,$B48,"tag"),"")</f>
        <v/>
      </c>
      <c r="D48" s="49" t="str">
        <f>IFERROR([1]!IntrinioReportedTags(ticker,$C$7,sequence,type,$B48,"domain_tag"),"")</f>
        <v/>
      </c>
      <c r="E48" s="164" t="str">
        <f>IFERROR([1]!IntrinioReportedFinancials(ticker,$C$7,sequence,type,$C48,$D48),"")</f>
        <v/>
      </c>
    </row>
    <row r="49" spans="1:5" x14ac:dyDescent="0.45">
      <c r="A49" t="str">
        <f>IFERROR([1]!IntrinioReportedTags(ticker,$C$7,sequence,type,$B49,"name"),"")</f>
        <v/>
      </c>
      <c r="B49" s="49">
        <f t="shared" si="0"/>
        <v>38</v>
      </c>
      <c r="C49" s="49" t="str">
        <f>IFERROR([1]!IntrinioReportedTags(ticker,$C$7,sequence,type,$B49,"tag"),"")</f>
        <v/>
      </c>
      <c r="D49" s="49" t="str">
        <f>IFERROR([1]!IntrinioReportedTags(ticker,$C$7,sequence,type,$B49,"domain_tag"),"")</f>
        <v/>
      </c>
      <c r="E49" s="164" t="str">
        <f>IFERROR([1]!IntrinioReportedFinancials(ticker,$C$7,sequence,type,$C49,$D49),"")</f>
        <v/>
      </c>
    </row>
    <row r="50" spans="1:5" x14ac:dyDescent="0.45">
      <c r="A50" t="str">
        <f>IFERROR([1]!IntrinioReportedTags(ticker,$C$7,sequence,type,$B50,"name"),"")</f>
        <v/>
      </c>
      <c r="B50" s="49">
        <f t="shared" si="0"/>
        <v>39</v>
      </c>
      <c r="C50" s="49" t="str">
        <f>IFERROR([1]!IntrinioReportedTags(ticker,$C$7,sequence,type,$B50,"tag"),"")</f>
        <v/>
      </c>
      <c r="D50" s="49" t="str">
        <f>IFERROR([1]!IntrinioReportedTags(ticker,$C$7,sequence,type,$B50,"domain_tag"),"")</f>
        <v/>
      </c>
      <c r="E50" s="164" t="str">
        <f>IFERROR([1]!IntrinioReportedFinancials(ticker,$C$7,sequence,type,$C50,$D50),"")</f>
        <v/>
      </c>
    </row>
    <row r="51" spans="1:5" x14ac:dyDescent="0.45">
      <c r="A51" t="str">
        <f>IFERROR([1]!IntrinioReportedTags(ticker,$C$7,sequence,type,$B51,"name"),"")</f>
        <v/>
      </c>
      <c r="B51" s="49">
        <f t="shared" si="0"/>
        <v>40</v>
      </c>
      <c r="C51" s="49" t="str">
        <f>IFERROR([1]!IntrinioReportedTags(ticker,$C$7,sequence,type,$B51,"tag"),"")</f>
        <v/>
      </c>
      <c r="D51" s="49" t="str">
        <f>IFERROR([1]!IntrinioReportedTags(ticker,$C$7,sequence,type,$B51,"domain_tag"),"")</f>
        <v/>
      </c>
      <c r="E51" s="164" t="str">
        <f>IFERROR([1]!IntrinioReportedFinancials(ticker,$C$7,sequence,type,$C51,$D51),"")</f>
        <v/>
      </c>
    </row>
    <row r="52" spans="1:5" x14ac:dyDescent="0.45">
      <c r="A52" t="str">
        <f>IFERROR([1]!IntrinioReportedTags(ticker,$C$7,sequence,type,$B52,"name"),"")</f>
        <v/>
      </c>
      <c r="B52" s="49">
        <f t="shared" si="0"/>
        <v>41</v>
      </c>
      <c r="C52" s="49" t="str">
        <f>IFERROR([1]!IntrinioReportedTags(ticker,$C$7,sequence,type,$B52,"tag"),"")</f>
        <v/>
      </c>
      <c r="D52" s="49" t="str">
        <f>IFERROR([1]!IntrinioReportedTags(ticker,$C$7,sequence,type,$B52,"domain_tag"),"")</f>
        <v/>
      </c>
      <c r="E52" s="164" t="str">
        <f>IFERROR([1]!IntrinioReportedFinancials(ticker,$C$7,sequence,type,$C52,$D52),"")</f>
        <v/>
      </c>
    </row>
    <row r="53" spans="1:5" x14ac:dyDescent="0.45">
      <c r="A53" t="str">
        <f>IFERROR([1]!IntrinioReportedTags(ticker,$C$7,sequence,type,$B53,"name"),"")</f>
        <v/>
      </c>
      <c r="B53" s="49">
        <f t="shared" si="0"/>
        <v>42</v>
      </c>
      <c r="C53" s="49" t="str">
        <f>IFERROR([1]!IntrinioReportedTags(ticker,$C$7,sequence,type,$B53,"tag"),"")</f>
        <v/>
      </c>
      <c r="D53" s="49" t="str">
        <f>IFERROR([1]!IntrinioReportedTags(ticker,$C$7,sequence,type,$B53,"domain_tag"),"")</f>
        <v/>
      </c>
      <c r="E53" s="164" t="str">
        <f>IFERROR([1]!IntrinioReportedFinancials(ticker,$C$7,sequence,type,$C53,$D53),"")</f>
        <v/>
      </c>
    </row>
    <row r="54" spans="1:5" x14ac:dyDescent="0.45">
      <c r="A54" t="str">
        <f>IFERROR([1]!IntrinioReportedTags(ticker,$C$7,sequence,type,$B54,"name"),"")</f>
        <v/>
      </c>
      <c r="B54" s="49">
        <f t="shared" si="0"/>
        <v>43</v>
      </c>
      <c r="C54" s="49" t="str">
        <f>IFERROR([1]!IntrinioReportedTags(ticker,$C$7,sequence,type,$B54,"tag"),"")</f>
        <v/>
      </c>
      <c r="D54" s="49" t="str">
        <f>IFERROR([1]!IntrinioReportedTags(ticker,$C$7,sequence,type,$B54,"domain_tag"),"")</f>
        <v/>
      </c>
      <c r="E54" s="164" t="str">
        <f>IFERROR([1]!IntrinioReportedFinancials(ticker,$C$7,sequence,type,$C54,$D54),"")</f>
        <v/>
      </c>
    </row>
    <row r="55" spans="1:5" x14ac:dyDescent="0.45">
      <c r="A55" t="str">
        <f>IFERROR([1]!IntrinioReportedTags(ticker,$C$7,sequence,type,$B55,"name"),"")</f>
        <v/>
      </c>
      <c r="B55" s="49">
        <f t="shared" si="0"/>
        <v>44</v>
      </c>
      <c r="C55" s="49" t="str">
        <f>IFERROR([1]!IntrinioReportedTags(ticker,$C$7,sequence,type,$B55,"tag"),"")</f>
        <v/>
      </c>
      <c r="D55" s="49" t="str">
        <f>IFERROR([1]!IntrinioReportedTags(ticker,$C$7,sequence,type,$B55,"domain_tag"),"")</f>
        <v/>
      </c>
      <c r="E55" s="164" t="str">
        <f>IFERROR([1]!IntrinioReportedFinancials(ticker,$C$7,sequence,type,$C55,$D55),"")</f>
        <v/>
      </c>
    </row>
    <row r="56" spans="1:5" x14ac:dyDescent="0.45">
      <c r="A56" t="str">
        <f>IFERROR([1]!IntrinioReportedTags(ticker,$C$7,sequence,type,$B56,"name"),"")</f>
        <v/>
      </c>
      <c r="B56" s="49">
        <f t="shared" si="0"/>
        <v>45</v>
      </c>
      <c r="C56" s="49" t="str">
        <f>IFERROR([1]!IntrinioReportedTags(ticker,$C$7,sequence,type,$B56,"tag"),"")</f>
        <v/>
      </c>
      <c r="D56" s="49" t="str">
        <f>IFERROR([1]!IntrinioReportedTags(ticker,$C$7,sequence,type,$B56,"domain_tag"),"")</f>
        <v/>
      </c>
      <c r="E56" s="164" t="str">
        <f>IFERROR([1]!IntrinioReportedFinancials(ticker,$C$7,sequence,type,$C56,$D56),"")</f>
        <v/>
      </c>
    </row>
    <row r="57" spans="1:5" x14ac:dyDescent="0.45">
      <c r="A57" t="str">
        <f>IFERROR([1]!IntrinioReportedTags(ticker,$C$7,sequence,type,$B57,"name"),"")</f>
        <v/>
      </c>
      <c r="B57" s="49">
        <f t="shared" si="0"/>
        <v>46</v>
      </c>
      <c r="C57" s="49" t="str">
        <f>IFERROR([1]!IntrinioReportedTags(ticker,$C$7,sequence,type,$B57,"tag"),"")</f>
        <v/>
      </c>
      <c r="D57" s="49" t="str">
        <f>IFERROR([1]!IntrinioReportedTags(ticker,$C$7,sequence,type,$B57,"domain_tag"),"")</f>
        <v/>
      </c>
      <c r="E57" s="164" t="str">
        <f>IFERROR([1]!IntrinioReportedFinancials(ticker,$C$7,sequence,type,$C57,$D57),"")</f>
        <v/>
      </c>
    </row>
    <row r="58" spans="1:5" x14ac:dyDescent="0.45">
      <c r="A58" t="str">
        <f>IFERROR([1]!IntrinioReportedTags(ticker,$C$7,sequence,type,$B58,"name"),"")</f>
        <v/>
      </c>
      <c r="B58" s="49">
        <f t="shared" si="0"/>
        <v>47</v>
      </c>
      <c r="C58" s="49" t="str">
        <f>IFERROR([1]!IntrinioReportedTags(ticker,$C$7,sequence,type,$B58,"tag"),"")</f>
        <v/>
      </c>
      <c r="D58" s="49" t="str">
        <f>IFERROR([1]!IntrinioReportedTags(ticker,$C$7,sequence,type,$B58,"domain_tag"),"")</f>
        <v/>
      </c>
      <c r="E58" s="164" t="str">
        <f>IFERROR([1]!IntrinioReportedFinancials(ticker,$C$7,sequence,type,$C58,$D58),"")</f>
        <v/>
      </c>
    </row>
    <row r="59" spans="1:5" x14ac:dyDescent="0.45">
      <c r="A59" t="str">
        <f>IFERROR([1]!IntrinioReportedTags(ticker,$C$7,sequence,type,$B59,"name"),"")</f>
        <v/>
      </c>
      <c r="B59" s="49">
        <f t="shared" si="0"/>
        <v>48</v>
      </c>
      <c r="C59" s="49" t="str">
        <f>IFERROR([1]!IntrinioReportedTags(ticker,$C$7,sequence,type,$B59,"tag"),"")</f>
        <v/>
      </c>
      <c r="D59" s="49" t="str">
        <f>IFERROR([1]!IntrinioReportedTags(ticker,$C$7,sequence,type,$B59,"domain_tag"),"")</f>
        <v/>
      </c>
      <c r="E59" s="164" t="str">
        <f>IFERROR([1]!IntrinioReportedFinancials(ticker,$C$7,sequence,type,$C59,$D59),"")</f>
        <v/>
      </c>
    </row>
    <row r="60" spans="1:5" x14ac:dyDescent="0.45">
      <c r="A60" t="str">
        <f>IFERROR([1]!IntrinioReportedTags(ticker,$C$7,sequence,type,$B60,"name"),"")</f>
        <v/>
      </c>
      <c r="B60" s="49">
        <f t="shared" si="0"/>
        <v>49</v>
      </c>
      <c r="C60" s="49" t="str">
        <f>IFERROR([1]!IntrinioReportedTags(ticker,$C$7,sequence,type,$B60,"tag"),"")</f>
        <v/>
      </c>
      <c r="D60" s="49" t="str">
        <f>IFERROR([1]!IntrinioReportedTags(ticker,$C$7,sequence,type,$B60,"domain_tag"),"")</f>
        <v/>
      </c>
      <c r="E60" s="164" t="str">
        <f>IFERROR([1]!IntrinioReportedFinancials(ticker,$C$7,sequence,type,$C60,$D60),"")</f>
        <v/>
      </c>
    </row>
    <row r="61" spans="1:5" x14ac:dyDescent="0.45">
      <c r="A61" t="str">
        <f>IFERROR([1]!IntrinioReportedTags(ticker,$C$7,sequence,type,$B61,"name"),"")</f>
        <v/>
      </c>
      <c r="B61" s="49">
        <f t="shared" si="0"/>
        <v>50</v>
      </c>
      <c r="C61" s="49" t="str">
        <f>IFERROR([1]!IntrinioReportedTags(ticker,$C$7,sequence,type,$B61,"tag"),"")</f>
        <v/>
      </c>
      <c r="D61" s="49" t="str">
        <f>IFERROR([1]!IntrinioReportedTags(ticker,$C$7,sequence,type,$B61,"domain_tag"),"")</f>
        <v/>
      </c>
      <c r="E61" s="164" t="str">
        <f>IFERROR([1]!IntrinioReportedFinancials(ticker,$C$7,sequence,type,$C61,$D61),"")</f>
        <v/>
      </c>
    </row>
    <row r="62" spans="1:5" x14ac:dyDescent="0.45">
      <c r="A62" t="str">
        <f>IFERROR([1]!IntrinioReportedTags(ticker,$C$7,sequence,type,$B62,"name"),"")</f>
        <v/>
      </c>
      <c r="B62" s="49">
        <f t="shared" si="0"/>
        <v>51</v>
      </c>
      <c r="C62" s="49" t="str">
        <f>IFERROR([1]!IntrinioReportedTags(ticker,$C$7,sequence,type,$B62,"tag"),"")</f>
        <v/>
      </c>
      <c r="D62" s="49" t="str">
        <f>IFERROR([1]!IntrinioReportedTags(ticker,$C$7,sequence,type,$B62,"domain_tag"),"")</f>
        <v/>
      </c>
      <c r="E62" s="164" t="str">
        <f>IFERROR([1]!IntrinioReportedFinancials(ticker,$C$7,sequence,type,$C62,$D62),"")</f>
        <v/>
      </c>
    </row>
    <row r="63" spans="1:5" x14ac:dyDescent="0.45">
      <c r="A63" t="str">
        <f>IFERROR([1]!IntrinioReportedTags(ticker,$C$7,sequence,type,$B63,"name"),"")</f>
        <v/>
      </c>
      <c r="B63" s="49">
        <f t="shared" si="0"/>
        <v>52</v>
      </c>
      <c r="C63" s="49" t="str">
        <f>IFERROR([1]!IntrinioReportedTags(ticker,$C$7,sequence,type,$B63,"tag"),"")</f>
        <v/>
      </c>
      <c r="D63" s="49" t="str">
        <f>IFERROR([1]!IntrinioReportedTags(ticker,$C$7,sequence,type,$B63,"domain_tag"),"")</f>
        <v/>
      </c>
      <c r="E63" s="164" t="str">
        <f>IFERROR([1]!IntrinioReportedFinancials(ticker,$C$7,sequence,type,$C63,$D63),"")</f>
        <v/>
      </c>
    </row>
    <row r="64" spans="1:5" x14ac:dyDescent="0.45">
      <c r="A64" t="str">
        <f>IFERROR([1]!IntrinioReportedTags(ticker,$C$7,sequence,type,$B64,"name"),"")</f>
        <v/>
      </c>
      <c r="B64" s="49">
        <f t="shared" si="0"/>
        <v>53</v>
      </c>
      <c r="C64" s="49" t="str">
        <f>IFERROR([1]!IntrinioReportedTags(ticker,$C$7,sequence,type,$B64,"tag"),"")</f>
        <v/>
      </c>
      <c r="D64" s="49" t="str">
        <f>IFERROR([1]!IntrinioReportedTags(ticker,$C$7,sequence,type,$B64,"domain_tag"),"")</f>
        <v/>
      </c>
      <c r="E64" s="164" t="str">
        <f>IFERROR([1]!IntrinioReportedFinancials(ticker,$C$7,sequence,type,$C64,$D64),"")</f>
        <v/>
      </c>
    </row>
    <row r="65" spans="1:5" x14ac:dyDescent="0.45">
      <c r="A65" t="str">
        <f>IFERROR([1]!IntrinioReportedTags(ticker,$C$7,sequence,type,$B65,"name"),"")</f>
        <v/>
      </c>
      <c r="B65" s="49">
        <f t="shared" si="0"/>
        <v>54</v>
      </c>
      <c r="C65" s="49" t="str">
        <f>IFERROR([1]!IntrinioReportedTags(ticker,$C$7,sequence,type,$B65,"tag"),"")</f>
        <v/>
      </c>
      <c r="D65" s="49" t="str">
        <f>IFERROR([1]!IntrinioReportedTags(ticker,$C$7,sequence,type,$B65,"domain_tag"),"")</f>
        <v/>
      </c>
      <c r="E65" s="164" t="str">
        <f>IFERROR([1]!IntrinioReportedFinancials(ticker,$C$7,sequence,type,$C65,$D65),"")</f>
        <v/>
      </c>
    </row>
    <row r="66" spans="1:5" x14ac:dyDescent="0.45">
      <c r="A66" t="str">
        <f>IFERROR([1]!IntrinioReportedTags(ticker,$C$7,sequence,type,$B66,"name"),"")</f>
        <v/>
      </c>
      <c r="B66" s="49">
        <f t="shared" si="0"/>
        <v>55</v>
      </c>
      <c r="C66" s="49" t="str">
        <f>IFERROR([1]!IntrinioReportedTags(ticker,$C$7,sequence,type,$B66,"tag"),"")</f>
        <v/>
      </c>
      <c r="D66" s="49" t="str">
        <f>IFERROR([1]!IntrinioReportedTags(ticker,$C$7,sequence,type,$B66,"domain_tag"),"")</f>
        <v/>
      </c>
      <c r="E66" s="164" t="str">
        <f>IFERROR([1]!IntrinioReportedFinancials(ticker,$C$7,sequence,type,$C66,$D66),"")</f>
        <v/>
      </c>
    </row>
    <row r="67" spans="1:5" x14ac:dyDescent="0.45">
      <c r="A67" t="str">
        <f>IFERROR([1]!IntrinioReportedTags(ticker,$C$7,sequence,type,$B67,"name"),"")</f>
        <v/>
      </c>
      <c r="B67" s="49">
        <f t="shared" si="0"/>
        <v>56</v>
      </c>
      <c r="C67" s="49" t="str">
        <f>IFERROR([1]!IntrinioReportedTags(ticker,$C$7,sequence,type,$B67,"tag"),"")</f>
        <v/>
      </c>
      <c r="D67" s="49" t="str">
        <f>IFERROR([1]!IntrinioReportedTags(ticker,$C$7,sequence,type,$B67,"domain_tag"),"")</f>
        <v/>
      </c>
      <c r="E67" s="164" t="str">
        <f>IFERROR([1]!IntrinioReportedFinancials(ticker,$C$7,sequence,type,$C67,$D67),"")</f>
        <v/>
      </c>
    </row>
    <row r="68" spans="1:5" x14ac:dyDescent="0.45">
      <c r="A68" t="str">
        <f>IFERROR([1]!IntrinioReportedTags(ticker,$C$7,sequence,type,$B68,"name"),"")</f>
        <v/>
      </c>
      <c r="B68" s="49">
        <f t="shared" si="0"/>
        <v>57</v>
      </c>
      <c r="C68" s="49" t="str">
        <f>IFERROR([1]!IntrinioReportedTags(ticker,$C$7,sequence,type,$B68,"tag"),"")</f>
        <v/>
      </c>
      <c r="D68" s="49" t="str">
        <f>IFERROR([1]!IntrinioReportedTags(ticker,$C$7,sequence,type,$B68,"domain_tag"),"")</f>
        <v/>
      </c>
      <c r="E68" s="164" t="str">
        <f>IFERROR([1]!IntrinioReportedFinancials(ticker,$C$7,sequence,type,$C68,$D68),"")</f>
        <v/>
      </c>
    </row>
    <row r="69" spans="1:5" x14ac:dyDescent="0.45">
      <c r="A69" t="str">
        <f>IFERROR([1]!IntrinioReportedTags(ticker,$C$7,sequence,type,$B69,"name"),"")</f>
        <v/>
      </c>
      <c r="B69" s="49">
        <f t="shared" si="0"/>
        <v>58</v>
      </c>
      <c r="C69" s="49" t="str">
        <f>IFERROR([1]!IntrinioReportedTags(ticker,$C$7,sequence,type,$B69,"tag"),"")</f>
        <v/>
      </c>
      <c r="D69" s="49" t="str">
        <f>IFERROR([1]!IntrinioReportedTags(ticker,$C$7,sequence,type,$B69,"domain_tag"),"")</f>
        <v/>
      </c>
      <c r="E69" s="164" t="str">
        <f>IFERROR([1]!IntrinioReportedFinancials(ticker,$C$7,sequence,type,$C69,$D69),"")</f>
        <v/>
      </c>
    </row>
    <row r="70" spans="1:5" x14ac:dyDescent="0.45">
      <c r="A70" t="str">
        <f>IFERROR([1]!IntrinioReportedTags(ticker,$C$7,sequence,type,$B70,"name"),"")</f>
        <v/>
      </c>
      <c r="B70" s="49">
        <f t="shared" si="0"/>
        <v>59</v>
      </c>
      <c r="C70" s="49" t="str">
        <f>IFERROR([1]!IntrinioReportedTags(ticker,$C$7,sequence,type,$B70,"tag"),"")</f>
        <v/>
      </c>
      <c r="D70" s="49" t="str">
        <f>IFERROR([1]!IntrinioReportedTags(ticker,$C$7,sequence,type,$B70,"domain_tag"),"")</f>
        <v/>
      </c>
      <c r="E70" s="164" t="str">
        <f>IFERROR([1]!IntrinioReportedFinancials(ticker,$C$7,sequence,type,$C70,$D70),"")</f>
        <v/>
      </c>
    </row>
    <row r="71" spans="1:5" x14ac:dyDescent="0.45">
      <c r="A71" t="str">
        <f>IFERROR([1]!IntrinioReportedTags(ticker,$C$7,sequence,type,$B71,"name"),"")</f>
        <v/>
      </c>
      <c r="B71" s="49">
        <f t="shared" si="0"/>
        <v>60</v>
      </c>
      <c r="C71" s="49" t="str">
        <f>IFERROR([1]!IntrinioReportedTags(ticker,$C$7,sequence,type,$B71,"tag"),"")</f>
        <v/>
      </c>
      <c r="D71" s="49" t="str">
        <f>IFERROR([1]!IntrinioReportedTags(ticker,$C$7,sequence,type,$B71,"domain_tag"),"")</f>
        <v/>
      </c>
      <c r="E71" s="164" t="str">
        <f>IFERROR([1]!IntrinioReportedFinancials(ticker,$C$7,sequence,type,$C71,$D71),"")</f>
        <v/>
      </c>
    </row>
    <row r="72" spans="1:5" x14ac:dyDescent="0.45">
      <c r="A72" t="str">
        <f>IFERROR([1]!IntrinioReportedTags(ticker,$C$7,sequence,type,$B72,"name"),"")</f>
        <v/>
      </c>
      <c r="B72" s="49">
        <f t="shared" si="0"/>
        <v>61</v>
      </c>
      <c r="C72" s="49" t="str">
        <f>IFERROR([1]!IntrinioReportedTags(ticker,$C$7,sequence,type,$B72,"tag"),"")</f>
        <v/>
      </c>
      <c r="D72" s="49" t="str">
        <f>IFERROR([1]!IntrinioReportedTags(ticker,$C$7,sequence,type,$B72,"domain_tag"),"")</f>
        <v/>
      </c>
      <c r="E72" s="164" t="str">
        <f>IFERROR([1]!IntrinioReportedFinancials(ticker,$C$7,sequence,type,$C72,$D72),"")</f>
        <v/>
      </c>
    </row>
    <row r="73" spans="1:5" x14ac:dyDescent="0.45">
      <c r="A73" t="str">
        <f>IFERROR([1]!IntrinioReportedTags(ticker,$C$7,sequence,type,$B73,"name"),"")</f>
        <v/>
      </c>
      <c r="B73" s="49">
        <f t="shared" si="0"/>
        <v>62</v>
      </c>
      <c r="C73" s="49" t="str">
        <f>IFERROR([1]!IntrinioReportedTags(ticker,$C$7,sequence,type,$B73,"tag"),"")</f>
        <v/>
      </c>
      <c r="D73" s="49" t="str">
        <f>IFERROR([1]!IntrinioReportedTags(ticker,$C$7,sequence,type,$B73,"domain_tag"),"")</f>
        <v/>
      </c>
      <c r="E73" s="164" t="str">
        <f>IFERROR([1]!IntrinioReportedFinancials(ticker,$C$7,sequence,type,$C73,$D73),"")</f>
        <v/>
      </c>
    </row>
    <row r="74" spans="1:5" x14ac:dyDescent="0.45">
      <c r="A74" t="str">
        <f>IFERROR([1]!IntrinioReportedTags(ticker,$C$7,sequence,type,$B74,"name"),"")</f>
        <v/>
      </c>
      <c r="B74" s="49">
        <f t="shared" si="0"/>
        <v>63</v>
      </c>
      <c r="C74" s="49" t="str">
        <f>IFERROR([1]!IntrinioReportedTags(ticker,$C$7,sequence,type,$B74,"tag"),"")</f>
        <v/>
      </c>
      <c r="D74" s="49" t="str">
        <f>IFERROR([1]!IntrinioReportedTags(ticker,$C$7,sequence,type,$B74,"domain_tag"),"")</f>
        <v/>
      </c>
      <c r="E74" s="164" t="str">
        <f>IFERROR([1]!IntrinioReportedFinancials(ticker,$C$7,sequence,type,$C74,$D74),"")</f>
        <v/>
      </c>
    </row>
    <row r="75" spans="1:5" x14ac:dyDescent="0.45">
      <c r="A75" t="str">
        <f>IFERROR([1]!IntrinioReportedTags(ticker,$C$7,sequence,type,$B75,"name"),"")</f>
        <v/>
      </c>
      <c r="B75" s="49">
        <f t="shared" si="0"/>
        <v>64</v>
      </c>
      <c r="C75" s="49" t="str">
        <f>IFERROR([1]!IntrinioReportedTags(ticker,$C$7,sequence,type,$B75,"tag"),"")</f>
        <v/>
      </c>
      <c r="D75" s="49" t="str">
        <f>IFERROR([1]!IntrinioReportedTags(ticker,$C$7,sequence,type,$B75,"domain_tag"),"")</f>
        <v/>
      </c>
      <c r="E75" s="164" t="str">
        <f>IFERROR([1]!IntrinioReportedFinancials(ticker,$C$7,sequence,type,$C75,$D75),"")</f>
        <v/>
      </c>
    </row>
    <row r="76" spans="1:5" x14ac:dyDescent="0.45">
      <c r="A76" t="str">
        <f>IFERROR([1]!IntrinioReportedTags(ticker,$C$7,sequence,type,$B76,"name"),"")</f>
        <v/>
      </c>
      <c r="B76" s="49">
        <f t="shared" si="0"/>
        <v>65</v>
      </c>
      <c r="C76" s="49" t="str">
        <f>IFERROR([1]!IntrinioReportedTags(ticker,$C$7,sequence,type,$B76,"tag"),"")</f>
        <v/>
      </c>
      <c r="D76" s="49" t="str">
        <f>IFERROR([1]!IntrinioReportedTags(ticker,$C$7,sequence,type,$B76,"domain_tag"),"")</f>
        <v/>
      </c>
      <c r="E76" s="164" t="str">
        <f>IFERROR([1]!IntrinioReportedFinancials(ticker,$C$7,sequence,type,$C76,$D76),"")</f>
        <v/>
      </c>
    </row>
    <row r="77" spans="1:5" x14ac:dyDescent="0.45">
      <c r="A77" t="str">
        <f>IFERROR([1]!IntrinioReportedTags(ticker,$C$7,sequence,type,$B77,"name"),"")</f>
        <v/>
      </c>
      <c r="B77" s="49">
        <f t="shared" ref="B77:B111" si="1">+B76+1</f>
        <v>66</v>
      </c>
      <c r="C77" s="49" t="str">
        <f>IFERROR([1]!IntrinioReportedTags(ticker,$C$7,sequence,type,$B77,"tag"),"")</f>
        <v/>
      </c>
      <c r="D77" s="49" t="str">
        <f>IFERROR([1]!IntrinioReportedTags(ticker,$C$7,sequence,type,$B77,"domain_tag"),"")</f>
        <v/>
      </c>
      <c r="E77" s="164" t="str">
        <f>IFERROR([1]!IntrinioReportedFinancials(ticker,$C$7,sequence,type,$C77,$D77),"")</f>
        <v/>
      </c>
    </row>
    <row r="78" spans="1:5" x14ac:dyDescent="0.45">
      <c r="A78" t="str">
        <f>IFERROR([1]!IntrinioReportedTags(ticker,$C$7,sequence,type,$B78,"name"),"")</f>
        <v/>
      </c>
      <c r="B78" s="49">
        <f t="shared" si="1"/>
        <v>67</v>
      </c>
      <c r="C78" s="49" t="str">
        <f>IFERROR([1]!IntrinioReportedTags(ticker,$C$7,sequence,type,$B78,"tag"),"")</f>
        <v/>
      </c>
      <c r="D78" s="49" t="str">
        <f>IFERROR([1]!IntrinioReportedTags(ticker,$C$7,sequence,type,$B78,"domain_tag"),"")</f>
        <v/>
      </c>
      <c r="E78" s="164" t="str">
        <f>IFERROR([1]!IntrinioReportedFinancials(ticker,$C$7,sequence,type,$C78,$D78),"")</f>
        <v/>
      </c>
    </row>
    <row r="79" spans="1:5" x14ac:dyDescent="0.45">
      <c r="A79" t="str">
        <f>IFERROR([1]!IntrinioReportedTags(ticker,$C$7,sequence,type,$B79,"name"),"")</f>
        <v/>
      </c>
      <c r="B79" s="49">
        <f t="shared" si="1"/>
        <v>68</v>
      </c>
      <c r="C79" s="49" t="str">
        <f>IFERROR([1]!IntrinioReportedTags(ticker,$C$7,sequence,type,$B79,"tag"),"")</f>
        <v/>
      </c>
      <c r="D79" s="49" t="str">
        <f>IFERROR([1]!IntrinioReportedTags(ticker,$C$7,sequence,type,$B79,"domain_tag"),"")</f>
        <v/>
      </c>
      <c r="E79" s="164" t="str">
        <f>IFERROR([1]!IntrinioReportedFinancials(ticker,$C$7,sequence,type,$C79,$D79),"")</f>
        <v/>
      </c>
    </row>
    <row r="80" spans="1:5" x14ac:dyDescent="0.45">
      <c r="A80" t="str">
        <f>IFERROR([1]!IntrinioReportedTags(ticker,$C$7,sequence,type,$B80,"name"),"")</f>
        <v/>
      </c>
      <c r="B80" s="49">
        <f t="shared" si="1"/>
        <v>69</v>
      </c>
      <c r="C80" s="49" t="str">
        <f>IFERROR([1]!IntrinioReportedTags(ticker,$C$7,sequence,type,$B80,"tag"),"")</f>
        <v/>
      </c>
      <c r="D80" s="49" t="str">
        <f>IFERROR([1]!IntrinioReportedTags(ticker,$C$7,sequence,type,$B80,"domain_tag"),"")</f>
        <v/>
      </c>
      <c r="E80" s="164" t="str">
        <f>IFERROR([1]!IntrinioReportedFinancials(ticker,$C$7,sequence,type,$C80,$D80),"")</f>
        <v/>
      </c>
    </row>
    <row r="81" spans="1:5" x14ac:dyDescent="0.45">
      <c r="A81" t="str">
        <f>IFERROR([1]!IntrinioReportedTags(ticker,$C$7,sequence,type,$B81,"name"),"")</f>
        <v/>
      </c>
      <c r="B81" s="49">
        <f t="shared" si="1"/>
        <v>70</v>
      </c>
      <c r="C81" s="49" t="str">
        <f>IFERROR([1]!IntrinioReportedTags(ticker,$C$7,sequence,type,$B81,"tag"),"")</f>
        <v/>
      </c>
      <c r="D81" s="49" t="str">
        <f>IFERROR([1]!IntrinioReportedTags(ticker,$C$7,sequence,type,$B81,"domain_tag"),"")</f>
        <v/>
      </c>
      <c r="E81" s="164" t="str">
        <f>IFERROR([1]!IntrinioReportedFinancials(ticker,$C$7,sequence,type,$C81,$D81),"")</f>
        <v/>
      </c>
    </row>
    <row r="82" spans="1:5" x14ac:dyDescent="0.45">
      <c r="A82" t="str">
        <f>IFERROR([1]!IntrinioReportedTags(ticker,$C$7,sequence,type,$B82,"name"),"")</f>
        <v/>
      </c>
      <c r="B82" s="49">
        <f t="shared" si="1"/>
        <v>71</v>
      </c>
      <c r="C82" s="49" t="str">
        <f>IFERROR([1]!IntrinioReportedTags(ticker,$C$7,sequence,type,$B82,"tag"),"")</f>
        <v/>
      </c>
      <c r="D82" s="49" t="str">
        <f>IFERROR([1]!IntrinioReportedTags(ticker,$C$7,sequence,type,$B82,"domain_tag"),"")</f>
        <v/>
      </c>
      <c r="E82" s="164" t="str">
        <f>IFERROR([1]!IntrinioReportedFinancials(ticker,$C$7,sequence,type,$C82,$D82),"")</f>
        <v/>
      </c>
    </row>
    <row r="83" spans="1:5" x14ac:dyDescent="0.45">
      <c r="A83" t="str">
        <f>IFERROR([1]!IntrinioReportedTags(ticker,$C$7,sequence,type,$B83,"name"),"")</f>
        <v/>
      </c>
      <c r="B83" s="49">
        <f t="shared" si="1"/>
        <v>72</v>
      </c>
      <c r="C83" s="49" t="str">
        <f>IFERROR([1]!IntrinioReportedTags(ticker,$C$7,sequence,type,$B83,"tag"),"")</f>
        <v/>
      </c>
      <c r="D83" s="49" t="str">
        <f>IFERROR([1]!IntrinioReportedTags(ticker,$C$7,sequence,type,$B83,"domain_tag"),"")</f>
        <v/>
      </c>
      <c r="E83" s="164" t="str">
        <f>IFERROR([1]!IntrinioReportedFinancials(ticker,$C$7,sequence,type,$C83,$D83),"")</f>
        <v/>
      </c>
    </row>
    <row r="84" spans="1:5" x14ac:dyDescent="0.45">
      <c r="A84" t="str">
        <f>IFERROR([1]!IntrinioReportedTags(ticker,$C$7,sequence,type,$B84,"name"),"")</f>
        <v/>
      </c>
      <c r="B84" s="49">
        <f t="shared" si="1"/>
        <v>73</v>
      </c>
      <c r="C84" s="49" t="str">
        <f>IFERROR([1]!IntrinioReportedTags(ticker,$C$7,sequence,type,$B84,"tag"),"")</f>
        <v/>
      </c>
      <c r="D84" s="49" t="str">
        <f>IFERROR([1]!IntrinioReportedTags(ticker,$C$7,sequence,type,$B84,"domain_tag"),"")</f>
        <v/>
      </c>
      <c r="E84" s="164" t="str">
        <f>IFERROR([1]!IntrinioReportedFinancials(ticker,$C$7,sequence,type,$C84,$D84),"")</f>
        <v/>
      </c>
    </row>
    <row r="85" spans="1:5" x14ac:dyDescent="0.45">
      <c r="A85" t="str">
        <f>IFERROR([1]!IntrinioReportedTags(ticker,$C$7,sequence,type,$B85,"name"),"")</f>
        <v/>
      </c>
      <c r="B85" s="49">
        <f t="shared" si="1"/>
        <v>74</v>
      </c>
      <c r="C85" s="49" t="str">
        <f>IFERROR([1]!IntrinioReportedTags(ticker,$C$7,sequence,type,$B85,"tag"),"")</f>
        <v/>
      </c>
      <c r="D85" s="49" t="str">
        <f>IFERROR([1]!IntrinioReportedTags(ticker,$C$7,sequence,type,$B85,"domain_tag"),"")</f>
        <v/>
      </c>
      <c r="E85" s="164" t="str">
        <f>IFERROR([1]!IntrinioReportedFinancials(ticker,$C$7,sequence,type,$C85,$D85),"")</f>
        <v/>
      </c>
    </row>
    <row r="86" spans="1:5" x14ac:dyDescent="0.45">
      <c r="A86" t="str">
        <f>IFERROR([1]!IntrinioReportedTags(ticker,$C$7,sequence,type,$B86,"name"),"")</f>
        <v/>
      </c>
      <c r="B86" s="49">
        <f t="shared" si="1"/>
        <v>75</v>
      </c>
      <c r="C86" s="49" t="str">
        <f>IFERROR([1]!IntrinioReportedTags(ticker,$C$7,sequence,type,$B86,"tag"),"")</f>
        <v/>
      </c>
      <c r="D86" s="49" t="str">
        <f>IFERROR([1]!IntrinioReportedTags(ticker,$C$7,sequence,type,$B86,"domain_tag"),"")</f>
        <v/>
      </c>
      <c r="E86" s="164" t="str">
        <f>IFERROR([1]!IntrinioReportedFinancials(ticker,$C$7,sequence,type,$C86,$D86),"")</f>
        <v/>
      </c>
    </row>
    <row r="87" spans="1:5" x14ac:dyDescent="0.45">
      <c r="A87" t="str">
        <f>IFERROR([1]!IntrinioReportedTags(ticker,$C$7,sequence,type,$B87,"name"),"")</f>
        <v/>
      </c>
      <c r="B87" s="49">
        <f t="shared" si="1"/>
        <v>76</v>
      </c>
      <c r="C87" s="49" t="str">
        <f>IFERROR([1]!IntrinioReportedTags(ticker,$C$7,sequence,type,$B87,"tag"),"")</f>
        <v/>
      </c>
      <c r="D87" s="49" t="str">
        <f>IFERROR([1]!IntrinioReportedTags(ticker,$C$7,sequence,type,$B87,"domain_tag"),"")</f>
        <v/>
      </c>
      <c r="E87" s="164" t="str">
        <f>IFERROR([1]!IntrinioReportedFinancials(ticker,$C$7,sequence,type,$C87,$D87),"")</f>
        <v/>
      </c>
    </row>
    <row r="88" spans="1:5" x14ac:dyDescent="0.45">
      <c r="A88" t="str">
        <f>IFERROR([1]!IntrinioReportedTags(ticker,$C$7,sequence,type,$B88,"name"),"")</f>
        <v/>
      </c>
      <c r="B88" s="49">
        <f t="shared" si="1"/>
        <v>77</v>
      </c>
      <c r="C88" s="49" t="str">
        <f>IFERROR([1]!IntrinioReportedTags(ticker,$C$7,sequence,type,$B88,"tag"),"")</f>
        <v/>
      </c>
      <c r="D88" s="49" t="str">
        <f>IFERROR([1]!IntrinioReportedTags(ticker,$C$7,sequence,type,$B88,"domain_tag"),"")</f>
        <v/>
      </c>
      <c r="E88" s="164" t="str">
        <f>IFERROR([1]!IntrinioReportedFinancials(ticker,$C$7,sequence,type,$C88,$D88),"")</f>
        <v/>
      </c>
    </row>
    <row r="89" spans="1:5" x14ac:dyDescent="0.45">
      <c r="A89" t="str">
        <f>IFERROR([1]!IntrinioReportedTags(ticker,$C$7,sequence,type,$B89,"name"),"")</f>
        <v/>
      </c>
      <c r="B89" s="49">
        <f t="shared" si="1"/>
        <v>78</v>
      </c>
      <c r="C89" s="49" t="str">
        <f>IFERROR([1]!IntrinioReportedTags(ticker,$C$7,sequence,type,$B89,"tag"),"")</f>
        <v/>
      </c>
      <c r="D89" s="49" t="str">
        <f>IFERROR([1]!IntrinioReportedTags(ticker,$C$7,sequence,type,$B89,"domain_tag"),"")</f>
        <v/>
      </c>
      <c r="E89" s="164" t="str">
        <f>IFERROR([1]!IntrinioReportedFinancials(ticker,$C$7,sequence,type,$C89,$D89),"")</f>
        <v/>
      </c>
    </row>
    <row r="90" spans="1:5" x14ac:dyDescent="0.45">
      <c r="A90" t="str">
        <f>IFERROR([1]!IntrinioReportedTags(ticker,$C$7,sequence,type,$B90,"name"),"")</f>
        <v/>
      </c>
      <c r="B90" s="49">
        <f t="shared" si="1"/>
        <v>79</v>
      </c>
      <c r="C90" s="49" t="str">
        <f>IFERROR([1]!IntrinioReportedTags(ticker,$C$7,sequence,type,$B90,"tag"),"")</f>
        <v/>
      </c>
      <c r="D90" s="49" t="str">
        <f>IFERROR([1]!IntrinioReportedTags(ticker,$C$7,sequence,type,$B90,"domain_tag"),"")</f>
        <v/>
      </c>
      <c r="E90" s="164" t="str">
        <f>IFERROR([1]!IntrinioReportedFinancials(ticker,$C$7,sequence,type,$C90,$D90),"")</f>
        <v/>
      </c>
    </row>
    <row r="91" spans="1:5" x14ac:dyDescent="0.45">
      <c r="A91" t="str">
        <f>IFERROR([1]!IntrinioReportedTags(ticker,$C$7,sequence,type,$B91,"name"),"")</f>
        <v/>
      </c>
      <c r="B91" s="49">
        <f t="shared" si="1"/>
        <v>80</v>
      </c>
      <c r="C91" s="49" t="str">
        <f>IFERROR([1]!IntrinioReportedTags(ticker,$C$7,sequence,type,$B91,"tag"),"")</f>
        <v/>
      </c>
      <c r="D91" s="49" t="str">
        <f>IFERROR([1]!IntrinioReportedTags(ticker,$C$7,sequence,type,$B91,"domain_tag"),"")</f>
        <v/>
      </c>
      <c r="E91" s="164" t="str">
        <f>IFERROR([1]!IntrinioReportedFinancials(ticker,$C$7,sequence,type,$C91,$D91),"")</f>
        <v/>
      </c>
    </row>
    <row r="92" spans="1:5" x14ac:dyDescent="0.45">
      <c r="A92" t="str">
        <f>IFERROR([1]!IntrinioReportedTags(ticker,$C$7,sequence,type,$B92,"name"),"")</f>
        <v/>
      </c>
      <c r="B92" s="49">
        <f t="shared" si="1"/>
        <v>81</v>
      </c>
      <c r="C92" s="49" t="str">
        <f>IFERROR([1]!IntrinioReportedTags(ticker,$C$7,sequence,type,$B92,"tag"),"")</f>
        <v/>
      </c>
      <c r="D92" s="49" t="str">
        <f>IFERROR([1]!IntrinioReportedTags(ticker,$C$7,sequence,type,$B92,"domain_tag"),"")</f>
        <v/>
      </c>
      <c r="E92" s="164" t="str">
        <f>IFERROR([1]!IntrinioReportedFinancials(ticker,$C$7,sequence,type,$C92,$D92),"")</f>
        <v/>
      </c>
    </row>
    <row r="93" spans="1:5" x14ac:dyDescent="0.45">
      <c r="A93" t="str">
        <f>IFERROR([1]!IntrinioReportedTags(ticker,$C$7,sequence,type,$B93,"name"),"")</f>
        <v/>
      </c>
      <c r="B93" s="49">
        <f t="shared" si="1"/>
        <v>82</v>
      </c>
      <c r="C93" s="49" t="str">
        <f>IFERROR([1]!IntrinioReportedTags(ticker,$C$7,sequence,type,$B93,"tag"),"")</f>
        <v/>
      </c>
      <c r="D93" s="49" t="str">
        <f>IFERROR([1]!IntrinioReportedTags(ticker,$C$7,sequence,type,$B93,"domain_tag"),"")</f>
        <v/>
      </c>
      <c r="E93" s="164" t="str">
        <f>IFERROR([1]!IntrinioReportedFinancials(ticker,$C$7,sequence,type,$C93,$D93),"")</f>
        <v/>
      </c>
    </row>
    <row r="94" spans="1:5" x14ac:dyDescent="0.45">
      <c r="A94" t="str">
        <f>IFERROR([1]!IntrinioReportedTags(ticker,$C$7,sequence,type,$B94,"name"),"")</f>
        <v/>
      </c>
      <c r="B94" s="49">
        <f t="shared" si="1"/>
        <v>83</v>
      </c>
      <c r="C94" s="49" t="str">
        <f>IFERROR([1]!IntrinioReportedTags(ticker,$C$7,sequence,type,$B94,"tag"),"")</f>
        <v/>
      </c>
      <c r="D94" s="49" t="str">
        <f>IFERROR([1]!IntrinioReportedTags(ticker,$C$7,sequence,type,$B94,"domain_tag"),"")</f>
        <v/>
      </c>
      <c r="E94" s="164" t="str">
        <f>IFERROR([1]!IntrinioReportedFinancials(ticker,$C$7,sequence,type,$C94,$D94),"")</f>
        <v/>
      </c>
    </row>
    <row r="95" spans="1:5" x14ac:dyDescent="0.45">
      <c r="A95" t="str">
        <f>IFERROR([1]!IntrinioReportedTags(ticker,$C$7,sequence,type,$B95,"name"),"")</f>
        <v/>
      </c>
      <c r="B95" s="49">
        <f t="shared" si="1"/>
        <v>84</v>
      </c>
      <c r="C95" s="49" t="str">
        <f>IFERROR([1]!IntrinioReportedTags(ticker,$C$7,sequence,type,$B95,"tag"),"")</f>
        <v/>
      </c>
      <c r="D95" s="49" t="str">
        <f>IFERROR([1]!IntrinioReportedTags(ticker,$C$7,sequence,type,$B95,"domain_tag"),"")</f>
        <v/>
      </c>
      <c r="E95" s="164" t="str">
        <f>IFERROR([1]!IntrinioReportedFinancials(ticker,$C$7,sequence,type,$C95,$D95),"")</f>
        <v/>
      </c>
    </row>
    <row r="96" spans="1:5" x14ac:dyDescent="0.45">
      <c r="A96" t="str">
        <f>IFERROR([1]!IntrinioReportedTags(ticker,$C$7,sequence,type,$B96,"name"),"")</f>
        <v/>
      </c>
      <c r="B96" s="49">
        <f t="shared" si="1"/>
        <v>85</v>
      </c>
      <c r="C96" s="49" t="str">
        <f>IFERROR([1]!IntrinioReportedTags(ticker,$C$7,sequence,type,$B96,"tag"),"")</f>
        <v/>
      </c>
      <c r="D96" s="49" t="str">
        <f>IFERROR([1]!IntrinioReportedTags(ticker,$C$7,sequence,type,$B96,"domain_tag"),"")</f>
        <v/>
      </c>
      <c r="E96" s="164" t="str">
        <f>IFERROR([1]!IntrinioReportedFinancials(ticker,$C$7,sequence,type,$C96,$D96),"")</f>
        <v/>
      </c>
    </row>
    <row r="97" spans="1:5" x14ac:dyDescent="0.45">
      <c r="A97" t="str">
        <f>IFERROR([1]!IntrinioReportedTags(ticker,$C$7,sequence,type,$B97,"name"),"")</f>
        <v/>
      </c>
      <c r="B97" s="49">
        <f t="shared" si="1"/>
        <v>86</v>
      </c>
      <c r="C97" s="49" t="str">
        <f>IFERROR([1]!IntrinioReportedTags(ticker,$C$7,sequence,type,$B97,"tag"),"")</f>
        <v/>
      </c>
      <c r="D97" s="49" t="str">
        <f>IFERROR([1]!IntrinioReportedTags(ticker,$C$7,sequence,type,$B97,"domain_tag"),"")</f>
        <v/>
      </c>
      <c r="E97" s="164" t="str">
        <f>IFERROR([1]!IntrinioReportedFinancials(ticker,$C$7,sequence,type,$C97,$D97),"")</f>
        <v/>
      </c>
    </row>
    <row r="98" spans="1:5" x14ac:dyDescent="0.45">
      <c r="A98" t="str">
        <f>IFERROR([1]!IntrinioReportedTags(ticker,$C$7,sequence,type,$B98,"name"),"")</f>
        <v/>
      </c>
      <c r="B98" s="49">
        <f t="shared" si="1"/>
        <v>87</v>
      </c>
      <c r="C98" s="49" t="str">
        <f>IFERROR([1]!IntrinioReportedTags(ticker,$C$7,sequence,type,$B98,"tag"),"")</f>
        <v/>
      </c>
      <c r="D98" s="49" t="str">
        <f>IFERROR([1]!IntrinioReportedTags(ticker,$C$7,sequence,type,$B98,"domain_tag"),"")</f>
        <v/>
      </c>
      <c r="E98" s="164" t="str">
        <f>IFERROR([1]!IntrinioReportedFinancials(ticker,$C$7,sequence,type,$C98,$D98),"")</f>
        <v/>
      </c>
    </row>
    <row r="99" spans="1:5" x14ac:dyDescent="0.45">
      <c r="A99" t="str">
        <f>IFERROR([1]!IntrinioReportedTags(ticker,$C$7,sequence,type,$B99,"name"),"")</f>
        <v/>
      </c>
      <c r="B99" s="49">
        <f t="shared" si="1"/>
        <v>88</v>
      </c>
      <c r="C99" s="49" t="str">
        <f>IFERROR([1]!IntrinioReportedTags(ticker,$C$7,sequence,type,$B99,"tag"),"")</f>
        <v/>
      </c>
      <c r="D99" s="49" t="str">
        <f>IFERROR([1]!IntrinioReportedTags(ticker,$C$7,sequence,type,$B99,"domain_tag"),"")</f>
        <v/>
      </c>
      <c r="E99" s="164" t="str">
        <f>IFERROR([1]!IntrinioReportedFinancials(ticker,$C$7,sequence,type,$C99,$D99),"")</f>
        <v/>
      </c>
    </row>
    <row r="100" spans="1:5" x14ac:dyDescent="0.45">
      <c r="A100" t="str">
        <f>IFERROR([1]!IntrinioReportedTags(ticker,$C$7,sequence,type,$B100,"name"),"")</f>
        <v/>
      </c>
      <c r="B100" s="49">
        <f t="shared" si="1"/>
        <v>89</v>
      </c>
      <c r="C100" s="49" t="str">
        <f>IFERROR([1]!IntrinioReportedTags(ticker,$C$7,sequence,type,$B100,"tag"),"")</f>
        <v/>
      </c>
      <c r="D100" s="49" t="str">
        <f>IFERROR([1]!IntrinioReportedTags(ticker,$C$7,sequence,type,$B100,"domain_tag"),"")</f>
        <v/>
      </c>
      <c r="E100" s="164" t="str">
        <f>IFERROR([1]!IntrinioReportedFinancials(ticker,$C$7,sequence,type,$C100,$D100),"")</f>
        <v/>
      </c>
    </row>
    <row r="101" spans="1:5" x14ac:dyDescent="0.45">
      <c r="A101" t="str">
        <f>IFERROR([1]!IntrinioReportedTags(ticker,$C$7,sequence,type,$B101,"name"),"")</f>
        <v/>
      </c>
      <c r="B101" s="49">
        <f t="shared" si="1"/>
        <v>90</v>
      </c>
      <c r="C101" s="49" t="str">
        <f>IFERROR([1]!IntrinioReportedTags(ticker,$C$7,sequence,type,$B101,"tag"),"")</f>
        <v/>
      </c>
      <c r="D101" s="49" t="str">
        <f>IFERROR([1]!IntrinioReportedTags(ticker,$C$7,sequence,type,$B101,"domain_tag"),"")</f>
        <v/>
      </c>
      <c r="E101" s="164" t="str">
        <f>IFERROR([1]!IntrinioReportedFinancials(ticker,$C$7,sequence,type,$C101,$D101),"")</f>
        <v/>
      </c>
    </row>
    <row r="102" spans="1:5" x14ac:dyDescent="0.45">
      <c r="A102" t="str">
        <f>IFERROR([1]!IntrinioReportedTags(ticker,$C$7,sequence,type,$B102,"name"),"")</f>
        <v/>
      </c>
      <c r="B102" s="49">
        <f t="shared" si="1"/>
        <v>91</v>
      </c>
      <c r="C102" s="49" t="str">
        <f>IFERROR([1]!IntrinioReportedTags(ticker,$C$7,sequence,type,$B102,"tag"),"")</f>
        <v/>
      </c>
      <c r="D102" s="49" t="str">
        <f>IFERROR([1]!IntrinioReportedTags(ticker,$C$7,sequence,type,$B102,"domain_tag"),"")</f>
        <v/>
      </c>
      <c r="E102" s="164" t="str">
        <f>IFERROR([1]!IntrinioReportedFinancials(ticker,$C$7,sequence,type,$C102,$D102),"")</f>
        <v/>
      </c>
    </row>
    <row r="103" spans="1:5" x14ac:dyDescent="0.45">
      <c r="A103" t="str">
        <f>IFERROR([1]!IntrinioReportedTags(ticker,$C$7,sequence,type,$B103,"name"),"")</f>
        <v/>
      </c>
      <c r="B103" s="49">
        <f t="shared" si="1"/>
        <v>92</v>
      </c>
      <c r="C103" s="49" t="str">
        <f>IFERROR([1]!IntrinioReportedTags(ticker,$C$7,sequence,type,$B103,"tag"),"")</f>
        <v/>
      </c>
      <c r="D103" s="49" t="str">
        <f>IFERROR([1]!IntrinioReportedTags(ticker,$C$7,sequence,type,$B103,"domain_tag"),"")</f>
        <v/>
      </c>
      <c r="E103" s="164" t="str">
        <f>IFERROR([1]!IntrinioReportedFinancials(ticker,$C$7,sequence,type,$C103,$D103),"")</f>
        <v/>
      </c>
    </row>
    <row r="104" spans="1:5" x14ac:dyDescent="0.45">
      <c r="A104" t="str">
        <f>IFERROR([1]!IntrinioReportedTags(ticker,$C$7,sequence,type,$B104,"name"),"")</f>
        <v/>
      </c>
      <c r="B104" s="49">
        <f t="shared" si="1"/>
        <v>93</v>
      </c>
      <c r="C104" s="49" t="str">
        <f>IFERROR([1]!IntrinioReportedTags(ticker,$C$7,sequence,type,$B104,"tag"),"")</f>
        <v/>
      </c>
      <c r="D104" s="49" t="str">
        <f>IFERROR([1]!IntrinioReportedTags(ticker,$C$7,sequence,type,$B104,"domain_tag"),"")</f>
        <v/>
      </c>
      <c r="E104" s="164" t="str">
        <f>IFERROR([1]!IntrinioReportedFinancials(ticker,$C$7,sequence,type,$C104,$D104),"")</f>
        <v/>
      </c>
    </row>
    <row r="105" spans="1:5" x14ac:dyDescent="0.45">
      <c r="A105" t="str">
        <f>IFERROR([1]!IntrinioReportedTags(ticker,$C$7,sequence,type,$B105,"name"),"")</f>
        <v/>
      </c>
      <c r="B105" s="49">
        <f t="shared" si="1"/>
        <v>94</v>
      </c>
      <c r="C105" s="49" t="str">
        <f>IFERROR([1]!IntrinioReportedTags(ticker,$C$7,sequence,type,$B105,"tag"),"")</f>
        <v/>
      </c>
      <c r="D105" s="49" t="str">
        <f>IFERROR([1]!IntrinioReportedTags(ticker,$C$7,sequence,type,$B105,"domain_tag"),"")</f>
        <v/>
      </c>
      <c r="E105" s="164" t="str">
        <f>IFERROR([1]!IntrinioReportedFinancials(ticker,$C$7,sequence,type,$C105,$D105),"")</f>
        <v/>
      </c>
    </row>
    <row r="106" spans="1:5" x14ac:dyDescent="0.45">
      <c r="A106" t="str">
        <f>IFERROR([1]!IntrinioReportedTags(ticker,$C$7,sequence,type,$B106,"name"),"")</f>
        <v/>
      </c>
      <c r="B106" s="49">
        <f t="shared" si="1"/>
        <v>95</v>
      </c>
      <c r="C106" s="49" t="str">
        <f>IFERROR([1]!IntrinioReportedTags(ticker,$C$7,sequence,type,$B106,"tag"),"")</f>
        <v/>
      </c>
      <c r="D106" s="49" t="str">
        <f>IFERROR([1]!IntrinioReportedTags(ticker,$C$7,sequence,type,$B106,"domain_tag"),"")</f>
        <v/>
      </c>
      <c r="E106" s="164" t="str">
        <f>IFERROR([1]!IntrinioReportedFinancials(ticker,$C$7,sequence,type,$C106,$D106),"")</f>
        <v/>
      </c>
    </row>
    <row r="107" spans="1:5" x14ac:dyDescent="0.45">
      <c r="A107" t="str">
        <f>IFERROR([1]!IntrinioReportedTags(ticker,$C$7,sequence,type,$B107,"name"),"")</f>
        <v/>
      </c>
      <c r="B107" s="49">
        <f t="shared" si="1"/>
        <v>96</v>
      </c>
      <c r="C107" s="49" t="str">
        <f>IFERROR([1]!IntrinioReportedTags(ticker,$C$7,sequence,type,$B107,"tag"),"")</f>
        <v/>
      </c>
      <c r="D107" s="49" t="str">
        <f>IFERROR([1]!IntrinioReportedTags(ticker,$C$7,sequence,type,$B107,"domain_tag"),"")</f>
        <v/>
      </c>
      <c r="E107" s="164" t="str">
        <f>IFERROR([1]!IntrinioReportedFinancials(ticker,$C$7,sequence,type,$C107,$D107),"")</f>
        <v/>
      </c>
    </row>
    <row r="108" spans="1:5" x14ac:dyDescent="0.45">
      <c r="A108" t="str">
        <f>IFERROR([1]!IntrinioReportedTags(ticker,$C$7,sequence,type,$B108,"name"),"")</f>
        <v/>
      </c>
      <c r="B108" s="49">
        <f t="shared" si="1"/>
        <v>97</v>
      </c>
      <c r="C108" s="49" t="str">
        <f>IFERROR([1]!IntrinioReportedTags(ticker,$C$7,sequence,type,$B108,"tag"),"")</f>
        <v/>
      </c>
      <c r="D108" s="49" t="str">
        <f>IFERROR([1]!IntrinioReportedTags(ticker,$C$7,sequence,type,$B108,"domain_tag"),"")</f>
        <v/>
      </c>
      <c r="E108" s="164" t="str">
        <f>IFERROR([1]!IntrinioReportedFinancials(ticker,$C$7,sequence,type,$C108,$D108),"")</f>
        <v/>
      </c>
    </row>
    <row r="109" spans="1:5" x14ac:dyDescent="0.45">
      <c r="A109" t="str">
        <f>IFERROR([1]!IntrinioReportedTags(ticker,$C$7,sequence,type,$B109,"name"),"")</f>
        <v/>
      </c>
      <c r="B109" s="49">
        <f t="shared" si="1"/>
        <v>98</v>
      </c>
      <c r="C109" s="49" t="str">
        <f>IFERROR([1]!IntrinioReportedTags(ticker,$C$7,sequence,type,$B109,"tag"),"")</f>
        <v/>
      </c>
      <c r="D109" s="49" t="str">
        <f>IFERROR([1]!IntrinioReportedTags(ticker,$C$7,sequence,type,$B109,"domain_tag"),"")</f>
        <v/>
      </c>
      <c r="E109" s="164" t="str">
        <f>IFERROR([1]!IntrinioReportedFinancials(ticker,$C$7,sequence,type,$C109,$D109),"")</f>
        <v/>
      </c>
    </row>
    <row r="110" spans="1:5" x14ac:dyDescent="0.45">
      <c r="A110" t="str">
        <f>IFERROR([1]!IntrinioReportedTags(ticker,$C$7,sequence,type,$B110,"name"),"")</f>
        <v/>
      </c>
      <c r="B110" s="49">
        <f t="shared" si="1"/>
        <v>99</v>
      </c>
      <c r="C110" s="49" t="str">
        <f>IFERROR([1]!IntrinioReportedTags(ticker,$C$7,sequence,type,$B110,"tag"),"")</f>
        <v/>
      </c>
      <c r="D110" s="49" t="str">
        <f>IFERROR([1]!IntrinioReportedTags(ticker,$C$7,sequence,type,$B110,"domain_tag"),"")</f>
        <v/>
      </c>
      <c r="E110" s="164" t="str">
        <f>IFERROR([1]!IntrinioReportedFinancials(ticker,$C$7,sequence,type,$C110,$D110),"")</f>
        <v/>
      </c>
    </row>
    <row r="111" spans="1:5" x14ac:dyDescent="0.45">
      <c r="A111" t="str">
        <f>IFERROR([1]!IntrinioReportedTags(ticker,$C$7,sequence,type,$B111,"name"),"")</f>
        <v/>
      </c>
      <c r="B111" s="49">
        <f t="shared" si="1"/>
        <v>100</v>
      </c>
      <c r="C111" s="49" t="str">
        <f>IFERROR([1]!IntrinioReportedTags(ticker,$C$7,sequence,type,$B111,"tag"),"")</f>
        <v/>
      </c>
      <c r="D111" s="49" t="str">
        <f>IFERROR([1]!IntrinioReportedTags(ticker,$C$7,sequence,type,$B111,"domain_tag"),"")</f>
        <v/>
      </c>
      <c r="E111" s="164" t="str">
        <f>IFERROR([1]!IntrinioReportedFinancials(ticker,$C$7,sequence,type,$C111,$D111),"")</f>
        <v/>
      </c>
    </row>
  </sheetData>
  <mergeCells count="1">
    <mergeCell ref="E1:E2"/>
  </mergeCells>
  <dataValidations count="2">
    <dataValidation type="list" allowBlank="1" showInputMessage="1" showErrorMessage="1" sqref="C8">
      <formula1>"FY,QTR"</formula1>
    </dataValidation>
    <dataValidation type="list" allowBlank="1" showInputMessage="1" showErrorMessage="1" sqref="C7">
      <formula1>"income_statement,balance_sheet,cash_flow_statement"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</vt:i4>
      </vt:variant>
    </vt:vector>
  </HeadingPairs>
  <TitlesOfParts>
    <vt:vector size="20" baseType="lpstr">
      <vt:lpstr>Company Info</vt:lpstr>
      <vt:lpstr>Metrics &amp; Forecasts</vt:lpstr>
      <vt:lpstr>Historical Stock Prices</vt:lpstr>
      <vt:lpstr>Standardized Income Statement</vt:lpstr>
      <vt:lpstr>Standardized Balance Sheet</vt:lpstr>
      <vt:lpstr>Standardized Cash Flows</vt:lpstr>
      <vt:lpstr>Historical Metrics &amp; Ratios</vt:lpstr>
      <vt:lpstr>As Reported Statements</vt:lpstr>
      <vt:lpstr>sequence</vt:lpstr>
      <vt:lpstr>'As Reported Statements'!statement</vt:lpstr>
      <vt:lpstr>'Historical Metrics &amp; Ratios'!statement</vt:lpstr>
      <vt:lpstr>'Standardized Balance Sheet'!statement</vt:lpstr>
      <vt:lpstr>'Standardized Cash Flows'!statement</vt:lpstr>
      <vt:lpstr>statement</vt:lpstr>
      <vt:lpstr>ticker</vt:lpstr>
      <vt:lpstr>'As Reported Statements'!type</vt:lpstr>
      <vt:lpstr>'Historical Metrics &amp; Ratios'!type</vt:lpstr>
      <vt:lpstr>'Standardized Balance Sheet'!type</vt:lpstr>
      <vt:lpstr>'Standardized Cash Flows'!type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Intrinio</dc:creator>
  <cp:lastModifiedBy>Joey French</cp:lastModifiedBy>
  <dcterms:created xsi:type="dcterms:W3CDTF">2014-12-01T15:37:19Z</dcterms:created>
  <dcterms:modified xsi:type="dcterms:W3CDTF">2016-08-27T22:43:23Z</dcterms:modified>
</cp:coreProperties>
</file>