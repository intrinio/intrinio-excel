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Intrinio Excel Addin\Templates\Industrials\"/>
    </mc:Choice>
  </mc:AlternateContent>
  <bookViews>
    <workbookView xWindow="0" yWindow="0" windowWidth="19200" windowHeight="8130"/>
  </bookViews>
  <sheets>
    <sheet name="Control Panel" sheetId="96" r:id="rId1"/>
    <sheet name="Income Statement" sheetId="97" r:id="rId2"/>
    <sheet name="Balance Sheet" sheetId="98" r:id="rId3"/>
    <sheet name="Assumptions" sheetId="88" r:id="rId4"/>
    <sheet name="WACC Model" sheetId="44" r:id="rId5"/>
    <sheet name="DCF" sheetId="45" r:id="rId6"/>
  </sheets>
  <externalReferences>
    <externalReference r:id="rId7"/>
  </externalReferences>
  <definedNames>
    <definedName name="a" localSheetId="3" hidden="1">#REF!</definedName>
    <definedName name="a" hidden="1">#REF!</definedName>
    <definedName name="BFRT_hsaocnryapfgkrbys17g" localSheetId="3" hidden="1">#REF!</definedName>
    <definedName name="BFRT_hsaocnryapfgkrbys17g" localSheetId="2" hidden="1">#REF!</definedName>
    <definedName name="BFRT_hsaocnryapfgkrbys17g" localSheetId="5" hidden="1">#REF!</definedName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ticker">'Control Panel'!$D$7</definedName>
    <definedName name="WACC">'WACC Model'!$F$10</definedName>
  </definedNames>
  <calcPr calcId="162913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4" i="45" l="1"/>
  <c r="H4" i="97"/>
  <c r="H5" i="97"/>
  <c r="F13" i="45"/>
  <c r="G4" i="97"/>
  <c r="G5" i="97"/>
  <c r="E13" i="45"/>
  <c r="F4" i="97"/>
  <c r="F5" i="97"/>
  <c r="D13" i="45"/>
  <c r="E4" i="97"/>
  <c r="E5" i="97"/>
  <c r="C13" i="45"/>
  <c r="D4" i="97"/>
  <c r="D5" i="97"/>
  <c r="B13" i="45"/>
  <c r="F9" i="45"/>
  <c r="E9" i="45"/>
  <c r="D9" i="45"/>
  <c r="C9" i="45"/>
  <c r="B9" i="45"/>
  <c r="A2" i="45"/>
  <c r="A1" i="45"/>
  <c r="C18" i="44"/>
  <c r="C19" i="44"/>
  <c r="I15" i="44"/>
  <c r="I14" i="44"/>
  <c r="J11" i="44"/>
  <c r="D9" i="44"/>
  <c r="D8" i="44"/>
  <c r="A2" i="44"/>
  <c r="A1" i="44"/>
  <c r="L6" i="88"/>
  <c r="I6" i="88"/>
  <c r="H9" i="97"/>
  <c r="H6" i="88"/>
  <c r="A2" i="88"/>
  <c r="A1" i="88"/>
  <c r="I86" i="98"/>
  <c r="H86" i="98"/>
  <c r="G86" i="98"/>
  <c r="F86" i="98"/>
  <c r="E86" i="98"/>
  <c r="D86" i="98"/>
  <c r="I84" i="98"/>
  <c r="H84" i="98"/>
  <c r="G84" i="98"/>
  <c r="F84" i="98"/>
  <c r="E84" i="98"/>
  <c r="D84" i="98"/>
  <c r="I83" i="98"/>
  <c r="H83" i="98"/>
  <c r="G83" i="98"/>
  <c r="F83" i="98"/>
  <c r="E83" i="98"/>
  <c r="D83" i="98"/>
  <c r="I81" i="98"/>
  <c r="H81" i="98"/>
  <c r="G81" i="98"/>
  <c r="F81" i="98"/>
  <c r="E81" i="98"/>
  <c r="D81" i="98"/>
  <c r="I79" i="98"/>
  <c r="H79" i="98"/>
  <c r="G79" i="98"/>
  <c r="F79" i="98"/>
  <c r="E79" i="98"/>
  <c r="D79" i="98"/>
  <c r="I78" i="98"/>
  <c r="H78" i="98"/>
  <c r="G78" i="98"/>
  <c r="F78" i="98"/>
  <c r="E78" i="98"/>
  <c r="D78" i="98"/>
  <c r="I77" i="98"/>
  <c r="H77" i="98"/>
  <c r="G77" i="98"/>
  <c r="F77" i="98"/>
  <c r="E77" i="98"/>
  <c r="D77" i="98"/>
  <c r="I76" i="98"/>
  <c r="H76" i="98"/>
  <c r="G76" i="98"/>
  <c r="F76" i="98"/>
  <c r="E76" i="98"/>
  <c r="D76" i="98"/>
  <c r="I75" i="98"/>
  <c r="H75" i="98"/>
  <c r="G75" i="98"/>
  <c r="F75" i="98"/>
  <c r="E75" i="98"/>
  <c r="D75" i="98"/>
  <c r="I74" i="98"/>
  <c r="H74" i="98"/>
  <c r="G74" i="98"/>
  <c r="F74" i="98"/>
  <c r="E74" i="98"/>
  <c r="D74" i="98"/>
  <c r="I71" i="98"/>
  <c r="H71" i="98"/>
  <c r="G71" i="98"/>
  <c r="F71" i="98"/>
  <c r="E71" i="98"/>
  <c r="D71" i="98"/>
  <c r="I67" i="98"/>
  <c r="H67" i="98"/>
  <c r="G67" i="98"/>
  <c r="F67" i="98"/>
  <c r="E67" i="98"/>
  <c r="D67" i="98"/>
  <c r="I65" i="98"/>
  <c r="H65" i="98"/>
  <c r="G65" i="98"/>
  <c r="F65" i="98"/>
  <c r="E65" i="98"/>
  <c r="D65" i="98"/>
  <c r="I63" i="98"/>
  <c r="H63" i="98"/>
  <c r="G63" i="98"/>
  <c r="F63" i="98"/>
  <c r="E63" i="98"/>
  <c r="D63" i="98"/>
  <c r="I61" i="98"/>
  <c r="H61" i="98"/>
  <c r="G61" i="98"/>
  <c r="F61" i="98"/>
  <c r="E61" i="98"/>
  <c r="D61" i="98"/>
  <c r="I60" i="98"/>
  <c r="H60" i="98"/>
  <c r="G60" i="98"/>
  <c r="F60" i="98"/>
  <c r="E60" i="98"/>
  <c r="D60" i="98"/>
  <c r="I59" i="98"/>
  <c r="H59" i="98"/>
  <c r="G59" i="98"/>
  <c r="F59" i="98"/>
  <c r="E59" i="98"/>
  <c r="D59" i="98"/>
  <c r="I58" i="98"/>
  <c r="H58" i="98"/>
  <c r="G58" i="98"/>
  <c r="F58" i="98"/>
  <c r="E58" i="98"/>
  <c r="D58" i="98"/>
  <c r="I57" i="98"/>
  <c r="H57" i="98"/>
  <c r="G57" i="98"/>
  <c r="F57" i="98"/>
  <c r="E57" i="98"/>
  <c r="D57" i="98"/>
  <c r="I56" i="98"/>
  <c r="H56" i="98"/>
  <c r="G56" i="98"/>
  <c r="F56" i="98"/>
  <c r="E56" i="98"/>
  <c r="D56" i="98"/>
  <c r="I55" i="98"/>
  <c r="H55" i="98"/>
  <c r="G55" i="98"/>
  <c r="F55" i="98"/>
  <c r="E55" i="98"/>
  <c r="D55" i="98"/>
  <c r="I54" i="98"/>
  <c r="H54" i="98"/>
  <c r="G54" i="98"/>
  <c r="F54" i="98"/>
  <c r="E54" i="98"/>
  <c r="D54" i="98"/>
  <c r="I53" i="98"/>
  <c r="H53" i="98"/>
  <c r="G53" i="98"/>
  <c r="F53" i="98"/>
  <c r="E53" i="98"/>
  <c r="D53" i="98"/>
  <c r="I51" i="98"/>
  <c r="H51" i="98"/>
  <c r="G51" i="98"/>
  <c r="F51" i="98"/>
  <c r="E51" i="98"/>
  <c r="D51" i="98"/>
  <c r="I50" i="98"/>
  <c r="H50" i="98"/>
  <c r="G50" i="98"/>
  <c r="F50" i="98"/>
  <c r="E50" i="98"/>
  <c r="D50" i="98"/>
  <c r="I49" i="98"/>
  <c r="H49" i="98"/>
  <c r="G49" i="98"/>
  <c r="F49" i="98"/>
  <c r="E49" i="98"/>
  <c r="D49" i="98"/>
  <c r="I48" i="98"/>
  <c r="H48" i="98"/>
  <c r="G48" i="98"/>
  <c r="F48" i="98"/>
  <c r="E48" i="98"/>
  <c r="D48" i="98"/>
  <c r="I47" i="98"/>
  <c r="H47" i="98"/>
  <c r="G47" i="98"/>
  <c r="F47" i="98"/>
  <c r="E47" i="98"/>
  <c r="D47" i="98"/>
  <c r="I46" i="98"/>
  <c r="H46" i="98"/>
  <c r="G46" i="98"/>
  <c r="F46" i="98"/>
  <c r="E46" i="98"/>
  <c r="D46" i="98"/>
  <c r="I45" i="98"/>
  <c r="H45" i="98"/>
  <c r="G45" i="98"/>
  <c r="F45" i="98"/>
  <c r="E45" i="98"/>
  <c r="D45" i="98"/>
  <c r="I44" i="98"/>
  <c r="H44" i="98"/>
  <c r="G44" i="98"/>
  <c r="F44" i="98"/>
  <c r="E44" i="98"/>
  <c r="D44" i="98"/>
  <c r="I43" i="98"/>
  <c r="H43" i="98"/>
  <c r="G43" i="98"/>
  <c r="F43" i="98"/>
  <c r="E43" i="98"/>
  <c r="D43" i="98"/>
  <c r="I42" i="98"/>
  <c r="H42" i="98"/>
  <c r="G42" i="98"/>
  <c r="F42" i="98"/>
  <c r="E42" i="98"/>
  <c r="D42" i="98"/>
  <c r="I41" i="98"/>
  <c r="H41" i="98"/>
  <c r="G41" i="98"/>
  <c r="F41" i="98"/>
  <c r="E41" i="98"/>
  <c r="D41" i="98"/>
  <c r="I40" i="98"/>
  <c r="H40" i="98"/>
  <c r="G40" i="98"/>
  <c r="F40" i="98"/>
  <c r="E40" i="98"/>
  <c r="D40" i="98"/>
  <c r="I36" i="98"/>
  <c r="H36" i="98"/>
  <c r="G36" i="98"/>
  <c r="F36" i="98"/>
  <c r="E36" i="98"/>
  <c r="D36" i="98"/>
  <c r="I34" i="98"/>
  <c r="H34" i="98"/>
  <c r="G34" i="98"/>
  <c r="F34" i="98"/>
  <c r="E34" i="98"/>
  <c r="D34" i="98"/>
  <c r="I33" i="98"/>
  <c r="H33" i="98"/>
  <c r="G33" i="98"/>
  <c r="F33" i="98"/>
  <c r="E33" i="98"/>
  <c r="D33" i="98"/>
  <c r="I32" i="98"/>
  <c r="H32" i="98"/>
  <c r="G32" i="98"/>
  <c r="F32" i="98"/>
  <c r="E32" i="98"/>
  <c r="D32" i="98"/>
  <c r="I31" i="98"/>
  <c r="H31" i="98"/>
  <c r="G31" i="98"/>
  <c r="F31" i="98"/>
  <c r="E31" i="98"/>
  <c r="D31" i="98"/>
  <c r="I30" i="98"/>
  <c r="H30" i="98"/>
  <c r="G30" i="98"/>
  <c r="F30" i="98"/>
  <c r="E30" i="98"/>
  <c r="D30" i="98"/>
  <c r="I29" i="98"/>
  <c r="H29" i="98"/>
  <c r="G29" i="98"/>
  <c r="F29" i="98"/>
  <c r="E29" i="98"/>
  <c r="D29" i="98"/>
  <c r="I28" i="98"/>
  <c r="H28" i="98"/>
  <c r="G28" i="98"/>
  <c r="F28" i="98"/>
  <c r="E28" i="98"/>
  <c r="D28" i="98"/>
  <c r="I27" i="98"/>
  <c r="H27" i="98"/>
  <c r="G27" i="98"/>
  <c r="F27" i="98"/>
  <c r="E27" i="98"/>
  <c r="D27" i="98"/>
  <c r="I26" i="98"/>
  <c r="H26" i="98"/>
  <c r="G26" i="98"/>
  <c r="F26" i="98"/>
  <c r="E26" i="98"/>
  <c r="D26" i="98"/>
  <c r="I23" i="98"/>
  <c r="H23" i="98"/>
  <c r="G23" i="98"/>
  <c r="F23" i="98"/>
  <c r="E23" i="98"/>
  <c r="D23" i="98"/>
  <c r="I22" i="98"/>
  <c r="H22" i="98"/>
  <c r="G22" i="98"/>
  <c r="F22" i="98"/>
  <c r="E22" i="98"/>
  <c r="D22" i="98"/>
  <c r="I21" i="98"/>
  <c r="H21" i="98"/>
  <c r="G21" i="98"/>
  <c r="F21" i="98"/>
  <c r="E21" i="98"/>
  <c r="D21" i="98"/>
  <c r="I18" i="98"/>
  <c r="H18" i="98"/>
  <c r="G18" i="98"/>
  <c r="F18" i="98"/>
  <c r="E18" i="98"/>
  <c r="D18" i="98"/>
  <c r="I17" i="98"/>
  <c r="H17" i="98"/>
  <c r="G17" i="98"/>
  <c r="F17" i="98"/>
  <c r="E17" i="98"/>
  <c r="D17" i="98"/>
  <c r="I16" i="98"/>
  <c r="H16" i="98"/>
  <c r="G16" i="98"/>
  <c r="F16" i="98"/>
  <c r="E16" i="98"/>
  <c r="D16" i="98"/>
  <c r="I15" i="98"/>
  <c r="H15" i="98"/>
  <c r="G15" i="98"/>
  <c r="F15" i="98"/>
  <c r="E15" i="98"/>
  <c r="D15" i="98"/>
  <c r="I14" i="98"/>
  <c r="H14" i="98"/>
  <c r="G14" i="98"/>
  <c r="F14" i="98"/>
  <c r="E14" i="98"/>
  <c r="D14" i="98"/>
  <c r="I13" i="98"/>
  <c r="H13" i="98"/>
  <c r="G13" i="98"/>
  <c r="F13" i="98"/>
  <c r="E13" i="98"/>
  <c r="D13" i="98"/>
  <c r="I12" i="98"/>
  <c r="H12" i="98"/>
  <c r="G12" i="98"/>
  <c r="F12" i="98"/>
  <c r="E12" i="98"/>
  <c r="D12" i="98"/>
  <c r="I11" i="98"/>
  <c r="H11" i="98"/>
  <c r="G11" i="98"/>
  <c r="F11" i="98"/>
  <c r="E11" i="98"/>
  <c r="D11" i="98"/>
  <c r="I10" i="98"/>
  <c r="H10" i="98"/>
  <c r="G10" i="98"/>
  <c r="F10" i="98"/>
  <c r="E10" i="98"/>
  <c r="D10" i="98"/>
  <c r="I9" i="98"/>
  <c r="H9" i="98"/>
  <c r="G9" i="98"/>
  <c r="F9" i="98"/>
  <c r="E9" i="98"/>
  <c r="D9" i="98"/>
  <c r="I8" i="98"/>
  <c r="H8" i="98"/>
  <c r="G8" i="98"/>
  <c r="F8" i="98"/>
  <c r="E8" i="98"/>
  <c r="D8" i="98"/>
  <c r="I5" i="98"/>
  <c r="H5" i="98"/>
  <c r="G5" i="98"/>
  <c r="F5" i="98"/>
  <c r="E5" i="98"/>
  <c r="D5" i="98"/>
  <c r="I4" i="98"/>
  <c r="H4" i="98"/>
  <c r="G4" i="98"/>
  <c r="F4" i="98"/>
  <c r="E4" i="98"/>
  <c r="D4" i="98"/>
  <c r="I3" i="98"/>
  <c r="H3" i="98"/>
  <c r="G3" i="98"/>
  <c r="F3" i="98"/>
  <c r="E3" i="98"/>
  <c r="D3" i="98"/>
  <c r="A2" i="98"/>
  <c r="A1" i="98"/>
  <c r="I65" i="97"/>
  <c r="H65" i="97"/>
  <c r="G65" i="97"/>
  <c r="F65" i="97"/>
  <c r="E65" i="97"/>
  <c r="D65" i="97"/>
  <c r="I62" i="97"/>
  <c r="H62" i="97"/>
  <c r="G62" i="97"/>
  <c r="F62" i="97"/>
  <c r="E62" i="97"/>
  <c r="D62" i="97"/>
  <c r="I61" i="97"/>
  <c r="H61" i="97"/>
  <c r="G61" i="97"/>
  <c r="F61" i="97"/>
  <c r="E61" i="97"/>
  <c r="D61" i="97"/>
  <c r="I58" i="97"/>
  <c r="H58" i="97"/>
  <c r="G58" i="97"/>
  <c r="F58" i="97"/>
  <c r="E58" i="97"/>
  <c r="D58" i="97"/>
  <c r="I57" i="97"/>
  <c r="H57" i="97"/>
  <c r="G57" i="97"/>
  <c r="F57" i="97"/>
  <c r="E57" i="97"/>
  <c r="D57" i="97"/>
  <c r="I54" i="97"/>
  <c r="H54" i="97"/>
  <c r="G54" i="97"/>
  <c r="F54" i="97"/>
  <c r="E54" i="97"/>
  <c r="D54" i="97"/>
  <c r="I52" i="97"/>
  <c r="H52" i="97"/>
  <c r="G52" i="97"/>
  <c r="F52" i="97"/>
  <c r="E52" i="97"/>
  <c r="D52" i="97"/>
  <c r="I51" i="97"/>
  <c r="H51" i="97"/>
  <c r="G51" i="97"/>
  <c r="F51" i="97"/>
  <c r="E51" i="97"/>
  <c r="D51" i="97"/>
  <c r="I50" i="97"/>
  <c r="H50" i="97"/>
  <c r="G50" i="97"/>
  <c r="F50" i="97"/>
  <c r="E50" i="97"/>
  <c r="D50" i="97"/>
  <c r="I48" i="97"/>
  <c r="H48" i="97"/>
  <c r="G48" i="97"/>
  <c r="F48" i="97"/>
  <c r="E48" i="97"/>
  <c r="D48" i="97"/>
  <c r="I46" i="97"/>
  <c r="H46" i="97"/>
  <c r="G46" i="97"/>
  <c r="F46" i="97"/>
  <c r="E46" i="97"/>
  <c r="D46" i="97"/>
  <c r="I45" i="97"/>
  <c r="H45" i="97"/>
  <c r="G45" i="97"/>
  <c r="F45" i="97"/>
  <c r="E45" i="97"/>
  <c r="D45" i="97"/>
  <c r="I43" i="97"/>
  <c r="H43" i="97"/>
  <c r="G43" i="97"/>
  <c r="F43" i="97"/>
  <c r="E43" i="97"/>
  <c r="D43" i="97"/>
  <c r="I42" i="97"/>
  <c r="H42" i="97"/>
  <c r="G42" i="97"/>
  <c r="F42" i="97"/>
  <c r="E42" i="97"/>
  <c r="D42" i="97"/>
  <c r="I40" i="97"/>
  <c r="H40" i="97"/>
  <c r="G40" i="97"/>
  <c r="F40" i="97"/>
  <c r="E40" i="97"/>
  <c r="D40" i="97"/>
  <c r="I39" i="97"/>
  <c r="H39" i="97"/>
  <c r="G39" i="97"/>
  <c r="F39" i="97"/>
  <c r="E39" i="97"/>
  <c r="D39" i="97"/>
  <c r="I37" i="97"/>
  <c r="H37" i="97"/>
  <c r="G37" i="97"/>
  <c r="F37" i="97"/>
  <c r="E37" i="97"/>
  <c r="D37" i="97"/>
  <c r="I35" i="97"/>
  <c r="H35" i="97"/>
  <c r="G35" i="97"/>
  <c r="F35" i="97"/>
  <c r="E35" i="97"/>
  <c r="D35" i="97"/>
  <c r="I34" i="97"/>
  <c r="H34" i="97"/>
  <c r="G34" i="97"/>
  <c r="F34" i="97"/>
  <c r="E34" i="97"/>
  <c r="D34" i="97"/>
  <c r="I33" i="97"/>
  <c r="H33" i="97"/>
  <c r="G33" i="97"/>
  <c r="F33" i="97"/>
  <c r="E33" i="97"/>
  <c r="D33" i="97"/>
  <c r="I32" i="97"/>
  <c r="H32" i="97"/>
  <c r="G32" i="97"/>
  <c r="F32" i="97"/>
  <c r="E32" i="97"/>
  <c r="D32" i="97"/>
  <c r="I30" i="97"/>
  <c r="H30" i="97"/>
  <c r="G30" i="97"/>
  <c r="F30" i="97"/>
  <c r="E30" i="97"/>
  <c r="D30" i="97"/>
  <c r="I28" i="97"/>
  <c r="H28" i="97"/>
  <c r="G28" i="97"/>
  <c r="F28" i="97"/>
  <c r="E28" i="97"/>
  <c r="D28" i="97"/>
  <c r="I27" i="97"/>
  <c r="H27" i="97"/>
  <c r="G27" i="97"/>
  <c r="F27" i="97"/>
  <c r="E27" i="97"/>
  <c r="D27" i="97"/>
  <c r="I26" i="97"/>
  <c r="H26" i="97"/>
  <c r="G26" i="97"/>
  <c r="F26" i="97"/>
  <c r="E26" i="97"/>
  <c r="D26" i="97"/>
  <c r="I25" i="97"/>
  <c r="H25" i="97"/>
  <c r="G25" i="97"/>
  <c r="F25" i="97"/>
  <c r="E25" i="97"/>
  <c r="D25" i="97"/>
  <c r="I24" i="97"/>
  <c r="H24" i="97"/>
  <c r="G24" i="97"/>
  <c r="F24" i="97"/>
  <c r="E24" i="97"/>
  <c r="D24" i="97"/>
  <c r="I23" i="97"/>
  <c r="H23" i="97"/>
  <c r="G23" i="97"/>
  <c r="F23" i="97"/>
  <c r="E23" i="97"/>
  <c r="D23" i="97"/>
  <c r="I22" i="97"/>
  <c r="H22" i="97"/>
  <c r="G22" i="97"/>
  <c r="F22" i="97"/>
  <c r="E22" i="97"/>
  <c r="D22" i="97"/>
  <c r="I21" i="97"/>
  <c r="H21" i="97"/>
  <c r="G21" i="97"/>
  <c r="F21" i="97"/>
  <c r="E21" i="97"/>
  <c r="D21" i="97"/>
  <c r="I20" i="97"/>
  <c r="H20" i="97"/>
  <c r="G20" i="97"/>
  <c r="F20" i="97"/>
  <c r="E20" i="97"/>
  <c r="D20" i="97"/>
  <c r="I19" i="97"/>
  <c r="H19" i="97"/>
  <c r="G19" i="97"/>
  <c r="F19" i="97"/>
  <c r="E19" i="97"/>
  <c r="D19" i="97"/>
  <c r="I18" i="97"/>
  <c r="H18" i="97"/>
  <c r="G18" i="97"/>
  <c r="F18" i="97"/>
  <c r="E18" i="97"/>
  <c r="D18" i="97"/>
  <c r="I17" i="97"/>
  <c r="H17" i="97"/>
  <c r="G17" i="97"/>
  <c r="F17" i="97"/>
  <c r="E17" i="97"/>
  <c r="D17" i="97"/>
  <c r="I15" i="97"/>
  <c r="H15" i="97"/>
  <c r="G15" i="97"/>
  <c r="F15" i="97"/>
  <c r="E15" i="97"/>
  <c r="D15" i="97"/>
  <c r="I13" i="97"/>
  <c r="H13" i="97"/>
  <c r="G13" i="97"/>
  <c r="F13" i="97"/>
  <c r="E13" i="97"/>
  <c r="D13" i="97"/>
  <c r="I12" i="97"/>
  <c r="H12" i="97"/>
  <c r="G12" i="97"/>
  <c r="F12" i="97"/>
  <c r="E12" i="97"/>
  <c r="D12" i="97"/>
  <c r="I11" i="97"/>
  <c r="H11" i="97"/>
  <c r="G11" i="97"/>
  <c r="F11" i="97"/>
  <c r="E11" i="97"/>
  <c r="D11" i="97"/>
  <c r="I9" i="97"/>
  <c r="G9" i="97"/>
  <c r="F9" i="97"/>
  <c r="E9" i="97"/>
  <c r="D9" i="97"/>
  <c r="I8" i="97"/>
  <c r="H8" i="97"/>
  <c r="G8" i="97"/>
  <c r="F8" i="97"/>
  <c r="E8" i="97"/>
  <c r="D8" i="97"/>
  <c r="I7" i="97"/>
  <c r="H7" i="97"/>
  <c r="G7" i="97"/>
  <c r="F7" i="97"/>
  <c r="E7" i="97"/>
  <c r="D7" i="97"/>
  <c r="I5" i="97"/>
  <c r="I4" i="97"/>
  <c r="I3" i="97"/>
  <c r="H3" i="97"/>
  <c r="G3" i="97"/>
  <c r="F3" i="97"/>
  <c r="E3" i="97"/>
  <c r="D3" i="97"/>
  <c r="A2" i="97"/>
  <c r="A1" i="97"/>
  <c r="D32" i="96"/>
  <c r="D31" i="96"/>
  <c r="D30" i="96"/>
  <c r="D29" i="96"/>
  <c r="D28" i="96"/>
  <c r="D27" i="96"/>
  <c r="D26" i="96"/>
  <c r="D25" i="96"/>
  <c r="D24" i="96"/>
  <c r="D23" i="96"/>
  <c r="D22" i="96"/>
  <c r="D16" i="96"/>
  <c r="D15" i="96"/>
  <c r="D14" i="96"/>
  <c r="D13" i="96"/>
  <c r="D12" i="96"/>
  <c r="H11" i="96"/>
  <c r="D11" i="96"/>
  <c r="D9" i="96"/>
  <c r="B20" i="96"/>
  <c r="B19" i="45"/>
  <c r="A4" i="45"/>
  <c r="A5" i="97"/>
  <c r="J20" i="44"/>
  <c r="A5" i="98"/>
  <c r="B15" i="45"/>
  <c r="F17" i="45"/>
  <c r="B6" i="45"/>
  <c r="B14" i="45"/>
  <c r="C10" i="88"/>
  <c r="F2" i="88"/>
  <c r="E3" i="45"/>
  <c r="D6" i="45"/>
  <c r="G41" i="45"/>
  <c r="G37" i="45"/>
  <c r="D2" i="88"/>
  <c r="C3" i="45"/>
  <c r="C2" i="88"/>
  <c r="B3" i="45"/>
  <c r="C11" i="45"/>
  <c r="C17" i="45"/>
  <c r="C19" i="45"/>
  <c r="D17" i="96"/>
  <c r="L3" i="88"/>
  <c r="K4" i="45"/>
  <c r="K3" i="88"/>
  <c r="J4" i="45"/>
  <c r="I3" i="88"/>
  <c r="H4" i="45"/>
  <c r="G3" i="88"/>
  <c r="F4" i="45"/>
  <c r="H3" i="88"/>
  <c r="G4" i="45"/>
  <c r="J3" i="88"/>
  <c r="I4" i="45"/>
  <c r="D10" i="44"/>
  <c r="E9" i="44"/>
  <c r="E8" i="44"/>
  <c r="F3" i="88"/>
  <c r="E4" i="45"/>
  <c r="E6" i="45"/>
  <c r="C3" i="88"/>
  <c r="B4" i="45"/>
  <c r="D20" i="44"/>
  <c r="C15" i="45"/>
  <c r="J16" i="44"/>
  <c r="J22" i="44"/>
  <c r="C9" i="44"/>
  <c r="G38" i="45"/>
  <c r="F6" i="45"/>
  <c r="F14" i="45"/>
  <c r="G10" i="88"/>
  <c r="E2" i="88"/>
  <c r="D3" i="45"/>
  <c r="E3" i="88"/>
  <c r="D4" i="45"/>
  <c r="G36" i="45"/>
  <c r="C6" i="45"/>
  <c r="D3" i="88"/>
  <c r="C4" i="45"/>
  <c r="D21" i="44"/>
  <c r="H7" i="45"/>
  <c r="J6" i="88"/>
  <c r="G2" i="88"/>
  <c r="K7" i="45"/>
  <c r="F10" i="45"/>
  <c r="G8" i="88"/>
  <c r="G7" i="45"/>
  <c r="G6" i="45"/>
  <c r="H6" i="45"/>
  <c r="I7" i="45"/>
  <c r="I6" i="45"/>
  <c r="D17" i="45"/>
  <c r="D19" i="45"/>
  <c r="E15" i="45"/>
  <c r="E17" i="45"/>
  <c r="E19" i="45"/>
  <c r="D22" i="44"/>
  <c r="C8" i="44"/>
  <c r="F8" i="44"/>
  <c r="F9" i="44"/>
  <c r="F10" i="44"/>
  <c r="H2" i="88"/>
  <c r="F3" i="45"/>
  <c r="F11" i="45"/>
  <c r="D15" i="45"/>
  <c r="F19" i="45"/>
  <c r="E7" i="45"/>
  <c r="F6" i="88"/>
  <c r="E14" i="45"/>
  <c r="F10" i="88"/>
  <c r="E11" i="45"/>
  <c r="K6" i="88"/>
  <c r="J7" i="45"/>
  <c r="C10" i="45"/>
  <c r="D8" i="88"/>
  <c r="C7" i="45"/>
  <c r="D6" i="88"/>
  <c r="C14" i="45"/>
  <c r="D10" i="88"/>
  <c r="D14" i="45"/>
  <c r="E10" i="88"/>
  <c r="L10" i="88"/>
  <c r="D11" i="45"/>
  <c r="E10" i="44"/>
  <c r="D10" i="45"/>
  <c r="E8" i="88"/>
  <c r="D7" i="45"/>
  <c r="E6" i="88"/>
  <c r="E10" i="45"/>
  <c r="F8" i="88"/>
  <c r="B10" i="45"/>
  <c r="C8" i="88"/>
  <c r="K14" i="45"/>
  <c r="H10" i="88"/>
  <c r="G21" i="45"/>
  <c r="G33" i="45"/>
  <c r="H21" i="45"/>
  <c r="K21" i="45"/>
  <c r="J21" i="45"/>
  <c r="I21" i="45"/>
  <c r="J6" i="45"/>
  <c r="K6" i="45"/>
  <c r="G3" i="45"/>
  <c r="I2" i="88"/>
  <c r="F7" i="45"/>
  <c r="G6" i="88"/>
  <c r="F15" i="45"/>
  <c r="L8" i="88"/>
  <c r="K10" i="45"/>
  <c r="H8" i="88"/>
  <c r="K9" i="45"/>
  <c r="K13" i="45"/>
  <c r="J2" i="88"/>
  <c r="H3" i="45"/>
  <c r="G14" i="45"/>
  <c r="G13" i="45"/>
  <c r="I10" i="88"/>
  <c r="I8" i="88"/>
  <c r="G10" i="45"/>
  <c r="G9" i="45"/>
  <c r="G11" i="45"/>
  <c r="G25" i="45"/>
  <c r="G22" i="45"/>
  <c r="H22" i="45"/>
  <c r="H25" i="45"/>
  <c r="I25" i="45"/>
  <c r="J25" i="45"/>
  <c r="K25" i="45"/>
  <c r="I3" i="45"/>
  <c r="K2" i="88"/>
  <c r="J10" i="88"/>
  <c r="H14" i="45"/>
  <c r="H13" i="45"/>
  <c r="J8" i="88"/>
  <c r="H10" i="45"/>
  <c r="H9" i="45"/>
  <c r="H11" i="45"/>
  <c r="G17" i="45"/>
  <c r="G19" i="45"/>
  <c r="G26" i="45"/>
  <c r="G30" i="45"/>
  <c r="G15" i="45"/>
  <c r="K23" i="45"/>
  <c r="L2" i="88"/>
  <c r="K3" i="45"/>
  <c r="J3" i="45"/>
  <c r="H17" i="45"/>
  <c r="H19" i="45"/>
  <c r="H26" i="45"/>
  <c r="H15" i="45"/>
  <c r="K26" i="45"/>
  <c r="G31" i="45"/>
  <c r="G32" i="45"/>
  <c r="G34" i="45"/>
  <c r="G39" i="45"/>
  <c r="G42" i="45"/>
  <c r="G45" i="45"/>
  <c r="K8" i="88"/>
  <c r="J10" i="45"/>
  <c r="J9" i="45"/>
  <c r="I10" i="45"/>
  <c r="I9" i="45"/>
  <c r="I11" i="45"/>
  <c r="I14" i="45"/>
  <c r="I13" i="45"/>
  <c r="K10" i="88"/>
  <c r="J14" i="45"/>
  <c r="J13" i="45"/>
  <c r="J11" i="45"/>
  <c r="K11" i="45"/>
  <c r="I15" i="45"/>
  <c r="I17" i="45"/>
  <c r="I19" i="45"/>
  <c r="I26" i="45"/>
  <c r="J17" i="45"/>
  <c r="J19" i="45"/>
  <c r="J26" i="45"/>
  <c r="J15" i="45"/>
  <c r="K17" i="45"/>
  <c r="K19" i="45"/>
  <c r="K15" i="45"/>
</calcChain>
</file>

<file path=xl/sharedStrings.xml><?xml version="1.0" encoding="utf-8"?>
<sst xmlns="http://schemas.openxmlformats.org/spreadsheetml/2006/main" count="303" uniqueCount="298">
  <si>
    <t>Interest Expense</t>
  </si>
  <si>
    <t>Cash &amp; Equivalents</t>
  </si>
  <si>
    <t>Inventories, net</t>
  </si>
  <si>
    <t>Prepaid Expenses</t>
  </si>
  <si>
    <t>Other Current Assets</t>
  </si>
  <si>
    <t>Total Current Assets</t>
  </si>
  <si>
    <t>Other Non-Current Assets</t>
  </si>
  <si>
    <t>Accrued Expenses</t>
  </si>
  <si>
    <t>Other Current Liabilities</t>
  </si>
  <si>
    <t>Long-Term Debt</t>
  </si>
  <si>
    <t>Total Liabilities &amp; Shareholders' Equity</t>
  </si>
  <si>
    <t>Other Gains / (Losses), net</t>
  </si>
  <si>
    <t>Goodwill</t>
  </si>
  <si>
    <t>Intangible Assets</t>
  </si>
  <si>
    <t>Total Assets</t>
  </si>
  <si>
    <t>Accounts Payable</t>
  </si>
  <si>
    <t>Total Current Liabilities</t>
  </si>
  <si>
    <t>Common Stock</t>
  </si>
  <si>
    <t>Retained Earnings</t>
  </si>
  <si>
    <t>Name</t>
  </si>
  <si>
    <t>Revenue</t>
  </si>
  <si>
    <t>Total Operating Expenses</t>
  </si>
  <si>
    <t>Total Revenue</t>
  </si>
  <si>
    <t>Current Assets</t>
  </si>
  <si>
    <t>Current Liabilities</t>
  </si>
  <si>
    <t>Total Liabilities</t>
  </si>
  <si>
    <t>Equity</t>
  </si>
  <si>
    <t>Dividends</t>
  </si>
  <si>
    <t>Basic Earnings per Share</t>
  </si>
  <si>
    <t>Diluted Earnings per Share</t>
  </si>
  <si>
    <t>WACC Model</t>
  </si>
  <si>
    <t>Capital Structure</t>
  </si>
  <si>
    <t>Cost of Capital</t>
  </si>
  <si>
    <t>Market Value
($mm)</t>
  </si>
  <si>
    <t>WACC</t>
  </si>
  <si>
    <t>Interest-Bearing Debt</t>
  </si>
  <si>
    <t>Cost of Debt</t>
  </si>
  <si>
    <t>Cost of Common Equity</t>
  </si>
  <si>
    <t>Cost of Debt, before Tax</t>
  </si>
  <si>
    <t>Risk-Free Rate (20-Yr. Treasury)</t>
  </si>
  <si>
    <t>Marginal Tax Rate</t>
  </si>
  <si>
    <t>After-Tax Cost of Debt</t>
  </si>
  <si>
    <t>Systematic Risk</t>
  </si>
  <si>
    <t>Equity Risk Premium (ERP)</t>
  </si>
  <si>
    <t>Beta</t>
  </si>
  <si>
    <t xml:space="preserve">Systematic Risk Premium </t>
  </si>
  <si>
    <t>Nonsystematic Risk</t>
  </si>
  <si>
    <t>Company Specific Risk Premium</t>
  </si>
  <si>
    <t xml:space="preserve">Nonsystematic Risk Premium </t>
  </si>
  <si>
    <t>Discounted Free Cash Flow to Firm Valuation</t>
  </si>
  <si>
    <t xml:space="preserve">   Revenue Growth</t>
  </si>
  <si>
    <t>NOPAT</t>
  </si>
  <si>
    <t xml:space="preserve">   NOPAT Margin</t>
  </si>
  <si>
    <t xml:space="preserve">   NOPAT Growth</t>
  </si>
  <si>
    <t>Invested Capital</t>
  </si>
  <si>
    <t xml:space="preserve">   Invested Capital Turnover</t>
  </si>
  <si>
    <t xml:space="preserve">   Invested Capital Growth</t>
  </si>
  <si>
    <r>
      <t xml:space="preserve">Increase </t>
    </r>
    <r>
      <rPr>
        <b/>
        <sz val="12"/>
        <color rgb="FFFF0000"/>
        <rFont val="Calibri"/>
        <family val="2"/>
        <scheme val="minor"/>
      </rPr>
      <t>(Decrease)</t>
    </r>
    <r>
      <rPr>
        <b/>
        <sz val="12"/>
        <rFont val="Calibri"/>
        <family val="2"/>
        <scheme val="minor"/>
      </rPr>
      <t xml:space="preserve"> in Invested Capital</t>
    </r>
  </si>
  <si>
    <t>Free Cash Flow to Firm</t>
  </si>
  <si>
    <t>Weighted Average Cost of Capital</t>
  </si>
  <si>
    <t>Partial Period Adjustment</t>
  </si>
  <si>
    <t>Terminal Value of Invested Capital</t>
  </si>
  <si>
    <t>Discount Periods</t>
  </si>
  <si>
    <t>Discounted Free Cash Flows to Firm</t>
  </si>
  <si>
    <t xml:space="preserve">Cumulative PV of FCFF </t>
  </si>
  <si>
    <t xml:space="preserve">Intrinsic Value of Invested Capital </t>
  </si>
  <si>
    <t xml:space="preserve">Present Value of Terminal Value </t>
  </si>
  <si>
    <t xml:space="preserve">Indicated Value of Invested Capital </t>
  </si>
  <si>
    <t xml:space="preserve">Mid-year Adjustment Factor </t>
  </si>
  <si>
    <t xml:space="preserve">Add: Cash and Marketable Securities </t>
  </si>
  <si>
    <t xml:space="preserve">Less: Debt and Lease Obligations </t>
  </si>
  <si>
    <t xml:space="preserve">Less: Book Value of Preferred Stock and Minority Interest </t>
  </si>
  <si>
    <t>Intrinsic Value of Equity</t>
  </si>
  <si>
    <t>Diluted Shares Outstanding</t>
  </si>
  <si>
    <t>MoS Score</t>
  </si>
  <si>
    <t>Intrinsic Value per Share</t>
  </si>
  <si>
    <t>Current Price per Share</t>
  </si>
  <si>
    <t>Assumptions</t>
  </si>
  <si>
    <t>Item</t>
  </si>
  <si>
    <t>Basis</t>
  </si>
  <si>
    <t>Y/Y Growth Rate</t>
  </si>
  <si>
    <t>Invested Capital Turnover</t>
  </si>
  <si>
    <t>NOPAT Margin</t>
  </si>
  <si>
    <t>Cost of Equity</t>
  </si>
  <si>
    <t>Plant, Property, &amp; Equipment, net</t>
  </si>
  <si>
    <t>Risk-free Rate (20 Yr Treasury Rate)</t>
  </si>
  <si>
    <t>Revenue Growth</t>
  </si>
  <si>
    <t>% of Revenue</t>
  </si>
  <si>
    <t>Revenue / Invested Capital</t>
  </si>
  <si>
    <t>Credit Spread (bps)</t>
  </si>
  <si>
    <t>Historical</t>
  </si>
  <si>
    <t>Projected</t>
  </si>
  <si>
    <t>Source: Company filings, Individual Projections</t>
  </si>
  <si>
    <t>Operating Revenue</t>
  </si>
  <si>
    <t>Other Revenue</t>
  </si>
  <si>
    <t>Marketing Expense</t>
  </si>
  <si>
    <t>Exploration Expense</t>
  </si>
  <si>
    <t>Depletion Expense</t>
  </si>
  <si>
    <t>Impairment Charge</t>
  </si>
  <si>
    <t>Restructuring Charge</t>
  </si>
  <si>
    <t>Operating Cost of Revenue</t>
  </si>
  <si>
    <t>Other Cost of Revenue</t>
  </si>
  <si>
    <t>Net Income / (Loss) Continuing Operations</t>
  </si>
  <si>
    <t>Net Income / (Loss) Discontinued Operations</t>
  </si>
  <si>
    <t>Consolidated Net Income / (Loss)</t>
  </si>
  <si>
    <t>Preferred Stock Dividends Declared</t>
  </si>
  <si>
    <t>Net Income / (Loss) Attributable to Noncontrolling Interest</t>
  </si>
  <si>
    <t>Net Income / (Loss) Attributable to Common Shareholders</t>
  </si>
  <si>
    <t>Short-Term Investments</t>
  </si>
  <si>
    <t>Accounts Receivable</t>
  </si>
  <si>
    <t>Long-Term Investments</t>
  </si>
  <si>
    <t>Short-Term Debt</t>
  </si>
  <si>
    <t>Total Common Equity</t>
  </si>
  <si>
    <t>Total Equity &amp; Noncontrolling Interests</t>
  </si>
  <si>
    <t>Total Other Income / (Expense), net</t>
  </si>
  <si>
    <t>Total Cost of Revenue</t>
  </si>
  <si>
    <t>Treasury Stock</t>
  </si>
  <si>
    <t>Plant, Property &amp; Equipment</t>
  </si>
  <si>
    <t>operatingrevenue</t>
  </si>
  <si>
    <t>totalrevenue</t>
  </si>
  <si>
    <t>otherrevenue</t>
  </si>
  <si>
    <t>totalgrossprofit</t>
  </si>
  <si>
    <t>operatingcostofrevenue</t>
  </si>
  <si>
    <t>totalcostofrevenue</t>
  </si>
  <si>
    <t>othercostofrevenue</t>
  </si>
  <si>
    <t>Total Gross Profit</t>
  </si>
  <si>
    <t>totaloperatingincome</t>
  </si>
  <si>
    <t>Selling, General &amp; Admin Expense</t>
  </si>
  <si>
    <t>sgaexpense</t>
  </si>
  <si>
    <t>totaloperatingexpenses</t>
  </si>
  <si>
    <t>marketingexpense</t>
  </si>
  <si>
    <t>Research &amp; Development Expense</t>
  </si>
  <si>
    <t>rdexpense</t>
  </si>
  <si>
    <t>explorationexpense</t>
  </si>
  <si>
    <t>Depreciation Expense</t>
  </si>
  <si>
    <t>depreciationexpense</t>
  </si>
  <si>
    <t>Amortization Expense</t>
  </si>
  <si>
    <t>amortizationexpense</t>
  </si>
  <si>
    <t>depletionexpense</t>
  </si>
  <si>
    <t>otheroperatingexpenses</t>
  </si>
  <si>
    <t>impairmentexpense</t>
  </si>
  <si>
    <t>restructuringcharge</t>
  </si>
  <si>
    <t>otherspecialcharges</t>
  </si>
  <si>
    <t>Total Operating Income</t>
  </si>
  <si>
    <t>totalpretaxincome</t>
  </si>
  <si>
    <t>totalinterestexpense</t>
  </si>
  <si>
    <t>totalotherincome</t>
  </si>
  <si>
    <t>totalinterestincome</t>
  </si>
  <si>
    <t>Other Income / (Expense), net</t>
  </si>
  <si>
    <t>otherincome</t>
  </si>
  <si>
    <t xml:space="preserve">Total Pre-Tax Income </t>
  </si>
  <si>
    <t>netincomecontinuing</t>
  </si>
  <si>
    <t>Income Tax Expense</t>
  </si>
  <si>
    <t>incometaxexpense</t>
  </si>
  <si>
    <t>othergains</t>
  </si>
  <si>
    <t>netincome</t>
  </si>
  <si>
    <t>netincomediscontinued</t>
  </si>
  <si>
    <t>netincometocommon</t>
  </si>
  <si>
    <t>preferreddividends</t>
  </si>
  <si>
    <t>netincometononcontrollinginterest</t>
  </si>
  <si>
    <t>Weighted Average Basic Shares Outstanding</t>
  </si>
  <si>
    <t>weightedavebasicsharesos</t>
  </si>
  <si>
    <t>basiceps</t>
  </si>
  <si>
    <t>Weighted Average Diluted Shares Outstanding</t>
  </si>
  <si>
    <t>weightedavedilutedsharesos</t>
  </si>
  <si>
    <t>dilutedeps</t>
  </si>
  <si>
    <t>Cash Dividends to Common per Share</t>
  </si>
  <si>
    <t>cashdividendspershare</t>
  </si>
  <si>
    <t>cashandequivalents</t>
  </si>
  <si>
    <t>totalcurrentassets</t>
  </si>
  <si>
    <t>shortterminvestments</t>
  </si>
  <si>
    <t>notereceivable</t>
  </si>
  <si>
    <t>accountsreceivable</t>
  </si>
  <si>
    <t>netinventory</t>
  </si>
  <si>
    <t>prepaidexpenses</t>
  </si>
  <si>
    <t>othercurrentassets</t>
  </si>
  <si>
    <t>totalassets</t>
  </si>
  <si>
    <t>Plant, Property &amp; Equipment, gross</t>
  </si>
  <si>
    <t>grossppe</t>
  </si>
  <si>
    <t>netppe</t>
  </si>
  <si>
    <t>Accumulated Depreciation</t>
  </si>
  <si>
    <t>accumulateddepreciation</t>
  </si>
  <si>
    <t>totalnoncurrentassets</t>
  </si>
  <si>
    <t>longterminvestments</t>
  </si>
  <si>
    <t>goodwill</t>
  </si>
  <si>
    <t>intangibleassets</t>
  </si>
  <si>
    <t>othernoncurrentassets</t>
  </si>
  <si>
    <t>accountspayable</t>
  </si>
  <si>
    <t>totalcurrentliabilities</t>
  </si>
  <si>
    <t>shorttermdebt</t>
  </si>
  <si>
    <t>accruedexpenses</t>
  </si>
  <si>
    <t>othercurrentliabilities</t>
  </si>
  <si>
    <t>totalnoncurrentliabilities</t>
  </si>
  <si>
    <t>longtermdebt</t>
  </si>
  <si>
    <t>Capital Lease Obligations</t>
  </si>
  <si>
    <t>capitalleaseobligations</t>
  </si>
  <si>
    <t>totalliabilities</t>
  </si>
  <si>
    <t>totalliabilitiesandequity</t>
  </si>
  <si>
    <t>Preferred Stock</t>
  </si>
  <si>
    <t>totalpreferredequity</t>
  </si>
  <si>
    <t>totalequity</t>
  </si>
  <si>
    <t>commonequity</t>
  </si>
  <si>
    <t>totalcommonequity</t>
  </si>
  <si>
    <t>retainedearnings</t>
  </si>
  <si>
    <t>treasurystock</t>
  </si>
  <si>
    <t>aoci</t>
  </si>
  <si>
    <t>Other Equity Adjustments</t>
  </si>
  <si>
    <t>otherequity</t>
  </si>
  <si>
    <t>totalequityandnoncontrollinginterests</t>
  </si>
  <si>
    <t>noncontrollinginterests</t>
  </si>
  <si>
    <t>Noncontrolling Interest</t>
  </si>
  <si>
    <t>Restricted Cash</t>
  </si>
  <si>
    <t>restrictedcash</t>
  </si>
  <si>
    <t>Total Noncurrent Assets</t>
  </si>
  <si>
    <t>othernoncurrentliabilities</t>
  </si>
  <si>
    <t>Total Noncurrent Liabilities</t>
  </si>
  <si>
    <t>Country</t>
  </si>
  <si>
    <t>CEO</t>
  </si>
  <si>
    <t>Open</t>
  </si>
  <si>
    <t>High</t>
  </si>
  <si>
    <t>Low</t>
  </si>
  <si>
    <t>Close</t>
  </si>
  <si>
    <t>Volume</t>
  </si>
  <si>
    <t>Control Panel</t>
  </si>
  <si>
    <t>Enter Ticker</t>
  </si>
  <si>
    <t>SEC CIK ID</t>
  </si>
  <si>
    <t>SIC Industry Code</t>
  </si>
  <si>
    <t>Stock Exchange</t>
  </si>
  <si>
    <t>Company URL</t>
  </si>
  <si>
    <t>Enterprise Value:</t>
  </si>
  <si>
    <t>Last Trade Date</t>
  </si>
  <si>
    <t>Intrinio Tag</t>
  </si>
  <si>
    <t>Other Operating Expenses / (Income)</t>
  </si>
  <si>
    <t>Other Special Charges / (Income)</t>
  </si>
  <si>
    <t>Interest &amp; Investment Income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</si>
  <si>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</si>
  <si>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</si>
  <si>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</si>
  <si>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</si>
  <si>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Other Adjustments to Net Income / (Loss) Attributable to Common Shareholders)</t>
  </si>
  <si>
    <t>otheradjustmentstonetincometocommon</t>
  </si>
  <si>
    <t>Note &amp; Lease Receivable</t>
  </si>
  <si>
    <t>Current Deferred &amp; Refundable Income Taxes</t>
  </si>
  <si>
    <t>currentdeferredtaxassets</t>
  </si>
  <si>
    <t>Other Current Non-Operating Assets</t>
  </si>
  <si>
    <t>othercurrentnonoperatingassets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</si>
  <si>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</si>
  <si>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</si>
  <si>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</si>
  <si>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</si>
  <si>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</si>
  <si>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</si>
  <si>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Other Noncurrent Operating Assets</t>
  </si>
  <si>
    <t>Other Noncurrent Non-Operating Assets</t>
  </si>
  <si>
    <t>othernoncurrentnonoperatingassets</t>
  </si>
  <si>
    <t>Liabilities</t>
  </si>
  <si>
    <t>Customer Deposits</t>
  </si>
  <si>
    <t>customerdeposits</t>
  </si>
  <si>
    <t>Dividends Payable</t>
  </si>
  <si>
    <t>dividendspayable</t>
  </si>
  <si>
    <t>Current Deferred Revenue</t>
  </si>
  <si>
    <t>currentdeferredrevenue</t>
  </si>
  <si>
    <t>Current Deferred &amp; Payable Income Tax Liabilities</t>
  </si>
  <si>
    <t>currentdeferredtaxliabilities</t>
  </si>
  <si>
    <t>Current Employee Benefit Liabilities</t>
  </si>
  <si>
    <t>currentemployeebenefitliabilities</t>
  </si>
  <si>
    <t>Other Taxes Payable</t>
  </si>
  <si>
    <t>othertaxespayable</t>
  </si>
  <si>
    <t>Other Current Non-Operating Liabilities</t>
  </si>
  <si>
    <t>othercurrentnonoperatingliabilities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</si>
  <si>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</si>
  <si>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</si>
  <si>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</si>
  <si>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</si>
  <si>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</si>
  <si>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</si>
  <si>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</si>
  <si>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</si>
  <si>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Other Noncurrent Operating Liabilities</t>
  </si>
  <si>
    <t>Other Noncurrent Non-Operating Liabilities</t>
  </si>
  <si>
    <t>othernoncurrentnonoperatingliabilities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</si>
  <si>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</si>
  <si>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</si>
  <si>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</si>
  <si>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</si>
  <si>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</si>
  <si>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</si>
  <si>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Common Equity</t>
  </si>
  <si>
    <t>Accumulated Other Comprehensive Income / (Loss)</t>
  </si>
  <si>
    <t>Total Preferred &amp; Common Equity</t>
  </si>
  <si>
    <t>&lt;Estimates&gt;</t>
  </si>
  <si>
    <t>Sources: Aswath Damodaran (ERP), Historical Prices, Federal Reserve Economic Data</t>
  </si>
  <si>
    <t>Intrinio DCF</t>
  </si>
  <si>
    <t>Change</t>
  </si>
  <si>
    <t>Percent Change</t>
  </si>
  <si>
    <t>52 Week High</t>
  </si>
  <si>
    <t>52 Week Low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</si>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</sst>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5" formatCode="&quot;$&quot;#,##0_);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&quot;$&quot;#,##0.00"/>
    <numFmt numFmtId="166" formatCode="_(&quot;$&quot;* #,##0.0_);_(&quot;$&quot;* \(#,##0.0\);_(&quot;$&quot;* &quot;-&quot;??_);_(@_)"/>
    <numFmt numFmtId="167" formatCode="_(&quot;$&quot;* #,##0_);_(&quot;$&quot;* \(#,##0\);_(&quot;$&quot;* &quot;-&quot;??_);_(@_)"/>
    <numFmt numFmtId="168" formatCode="&quot;$&quot;#,##0"/>
    <numFmt numFmtId="169" formatCode="_(&quot;$&quot;* #,##0.0_);_(&quot;$&quot;* \(#,##0.0\);_(&quot;$&quot;* &quot;-&quot;?_);_(@_)"/>
    <numFmt numFmtId="170" formatCode="0.000"/>
    <numFmt numFmtId="171" formatCode="#,##0.000;[Red]#,##0.000"/>
    <numFmt numFmtId="172" formatCode="0.00\x"/>
    <numFmt numFmtId="173" formatCode="[$-409]d\-mmm;@"/>
    <numFmt numFmtId="174" formatCode="&quot;$&quot;#,##0.00_);[Red]\-&quot;$&quot;#,##0.00"/>
    <numFmt numFmtId="175" formatCode="0.00%;[Red]\-0.00%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9"/>
      <name val="Arial"/>
      <family val="2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Garamond"/>
      <family val="1"/>
    </font>
    <font>
      <b/>
      <sz val="11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2"/>
      <color indexed="9"/>
      <name val="Calibri"/>
      <family val="2"/>
      <scheme val="minor"/>
    </font>
    <font>
      <b/>
      <sz val="12"/>
      <color indexed="14"/>
      <name val="Calibri"/>
      <family val="2"/>
      <scheme val="minor"/>
    </font>
    <font>
      <sz val="10"/>
      <name val="Tahoma"/>
      <family val="2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i/>
      <sz val="11"/>
      <color theme="1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E6B3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</borders>
  <cellStyleXfs count="14">
    <xf numFmtId="0" fontId="0" fillId="0" borderId="0"/>
    <xf numFmtId="1" fontId="10" fillId="0" borderId="0" applyNumberFormat="0" applyFill="0" applyBorder="0" applyAlignment="0">
      <protection locked="0"/>
    </xf>
    <xf numFmtId="1" fontId="19" fillId="0" borderId="0"/>
    <xf numFmtId="166" fontId="25" fillId="0" borderId="0" applyFont="0" applyFill="0" applyBorder="0" applyProtection="0">
      <protection locked="0"/>
    </xf>
    <xf numFmtId="10" fontId="19" fillId="0" borderId="0" applyFont="0" applyFill="0" applyBorder="0" applyProtection="0"/>
    <xf numFmtId="0" fontId="38" fillId="0" borderId="0"/>
    <xf numFmtId="9" fontId="18" fillId="0" borderId="0" applyFont="0" applyFill="0" applyBorder="0" applyAlignment="0" applyProtection="0"/>
    <xf numFmtId="0" fontId="1" fillId="0" borderId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354">
    <xf numFmtId="0" fontId="0" fillId="0" borderId="0" xfId="0"/>
    <xf numFmtId="0" fontId="9" fillId="0" borderId="0" xfId="0" applyFont="1" applyAlignment="1">
      <alignment horizontal="center"/>
    </xf>
    <xf numFmtId="1" fontId="9" fillId="0" borderId="0" xfId="1" applyFont="1" applyFill="1" applyAlignment="1">
      <alignment horizontal="left"/>
      <protection locked="0"/>
    </xf>
    <xf numFmtId="0" fontId="9" fillId="0" borderId="0" xfId="0" applyFont="1" applyFill="1" applyAlignment="1">
      <alignment horizontal="left"/>
    </xf>
    <xf numFmtId="1" fontId="11" fillId="0" borderId="0" xfId="1" applyFont="1" applyFill="1" applyAlignment="1">
      <alignment horizontal="left" wrapText="1" indent="2"/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9" fillId="0" borderId="0" xfId="0" applyFont="1" applyAlignment="1">
      <alignment horizontal="left"/>
    </xf>
    <xf numFmtId="1" fontId="9" fillId="0" borderId="0" xfId="1" applyFont="1" applyFill="1" applyAlignment="1">
      <alignment horizontal="left" wrapText="1"/>
      <protection locked="0"/>
    </xf>
    <xf numFmtId="8" fontId="9" fillId="0" borderId="0" xfId="0" applyNumberFormat="1" applyFont="1" applyFill="1" applyBorder="1" applyProtection="1">
      <protection locked="0"/>
    </xf>
    <xf numFmtId="0" fontId="9" fillId="0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9" fillId="0" borderId="0" xfId="0" applyFont="1" applyFill="1"/>
    <xf numFmtId="1" fontId="14" fillId="0" borderId="0" xfId="1" applyFont="1" applyFill="1">
      <protection locked="0"/>
    </xf>
    <xf numFmtId="0" fontId="0" fillId="0" borderId="0" xfId="0" applyFont="1"/>
    <xf numFmtId="1" fontId="9" fillId="0" borderId="0" xfId="1" applyFont="1" applyFill="1">
      <protection locked="0"/>
    </xf>
    <xf numFmtId="1" fontId="13" fillId="0" borderId="0" xfId="1" applyFont="1" applyFill="1" applyAlignment="1">
      <alignment horizontal="left" indent="1"/>
      <protection locked="0"/>
    </xf>
    <xf numFmtId="0" fontId="9" fillId="0" borderId="0" xfId="0" applyFont="1" applyFill="1" applyAlignment="1">
      <alignment horizontal="right"/>
    </xf>
    <xf numFmtId="1" fontId="12" fillId="0" borderId="0" xfId="1" applyFont="1" applyFill="1">
      <protection locked="0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13" fillId="0" borderId="0" xfId="0" applyFont="1" applyFill="1" applyAlignment="1">
      <alignment horizontal="right" wrapText="1"/>
    </xf>
    <xf numFmtId="1" fontId="19" fillId="0" borderId="0" xfId="2"/>
    <xf numFmtId="1" fontId="19" fillId="3" borderId="0" xfId="2" applyFont="1" applyFill="1" applyBorder="1"/>
    <xf numFmtId="165" fontId="16" fillId="3" borderId="0" xfId="2" applyNumberFormat="1" applyFont="1" applyFill="1" applyBorder="1"/>
    <xf numFmtId="1" fontId="9" fillId="3" borderId="0" xfId="2" applyFont="1" applyFill="1" applyBorder="1"/>
    <xf numFmtId="1" fontId="16" fillId="0" borderId="0" xfId="2" applyFont="1" applyBorder="1"/>
    <xf numFmtId="1" fontId="19" fillId="0" borderId="0" xfId="2" applyFont="1" applyBorder="1"/>
    <xf numFmtId="1" fontId="19" fillId="0" borderId="0" xfId="2" applyBorder="1"/>
    <xf numFmtId="1" fontId="11" fillId="3" borderId="0" xfId="2" applyFont="1" applyFill="1" applyBorder="1"/>
    <xf numFmtId="0" fontId="9" fillId="3" borderId="0" xfId="2" applyNumberFormat="1" applyFont="1" applyFill="1" applyBorder="1"/>
    <xf numFmtId="1" fontId="11" fillId="0" borderId="14" xfId="2" applyFont="1" applyBorder="1" applyAlignment="1">
      <alignment horizontal="center" vertical="center"/>
    </xf>
    <xf numFmtId="1" fontId="24" fillId="0" borderId="15" xfId="2" applyFont="1" applyBorder="1" applyAlignment="1">
      <alignment horizontal="center" wrapText="1"/>
    </xf>
    <xf numFmtId="1" fontId="24" fillId="0" borderId="16" xfId="2" applyFont="1" applyBorder="1" applyAlignment="1">
      <alignment horizontal="center" wrapText="1"/>
    </xf>
    <xf numFmtId="1" fontId="9" fillId="3" borderId="10" xfId="2" applyFont="1" applyFill="1" applyBorder="1" applyAlignment="1">
      <alignment horizontal="left" indent="1"/>
    </xf>
    <xf numFmtId="10" fontId="9" fillId="3" borderId="0" xfId="2" applyNumberFormat="1" applyFont="1" applyFill="1" applyBorder="1" applyAlignment="1">
      <alignment horizontal="center"/>
    </xf>
    <xf numFmtId="42" fontId="9" fillId="3" borderId="0" xfId="3" applyNumberFormat="1" applyFont="1" applyFill="1" applyBorder="1" applyProtection="1"/>
    <xf numFmtId="10" fontId="9" fillId="3" borderId="11" xfId="2" applyNumberFormat="1" applyFont="1" applyFill="1" applyBorder="1" applyAlignment="1">
      <alignment horizontal="center"/>
    </xf>
    <xf numFmtId="41" fontId="9" fillId="3" borderId="0" xfId="3" applyNumberFormat="1" applyFont="1" applyFill="1" applyBorder="1" applyProtection="1"/>
    <xf numFmtId="1" fontId="9" fillId="3" borderId="8" xfId="2" applyFont="1" applyFill="1" applyBorder="1" applyAlignment="1">
      <alignment horizontal="left" indent="1"/>
    </xf>
    <xf numFmtId="10" fontId="9" fillId="3" borderId="1" xfId="2" applyNumberFormat="1" applyFont="1" applyFill="1" applyBorder="1" applyAlignment="1">
      <alignment horizontal="center"/>
    </xf>
    <xf numFmtId="10" fontId="9" fillId="3" borderId="13" xfId="2" applyNumberFormat="1" applyFont="1" applyFill="1" applyBorder="1" applyAlignment="1">
      <alignment horizontal="center"/>
    </xf>
    <xf numFmtId="0" fontId="9" fillId="3" borderId="2" xfId="2" applyNumberFormat="1" applyFont="1" applyFill="1" applyBorder="1"/>
    <xf numFmtId="10" fontId="11" fillId="3" borderId="2" xfId="2" applyNumberFormat="1" applyFont="1" applyFill="1" applyBorder="1" applyAlignment="1">
      <alignment horizontal="center"/>
    </xf>
    <xf numFmtId="10" fontId="11" fillId="3" borderId="0" xfId="2" applyNumberFormat="1" applyFont="1" applyFill="1" applyBorder="1" applyAlignment="1">
      <alignment horizontal="center"/>
    </xf>
    <xf numFmtId="168" fontId="11" fillId="3" borderId="0" xfId="2" applyNumberFormat="1" applyFont="1" applyFill="1" applyBorder="1" applyAlignment="1">
      <alignment horizontal="right"/>
    </xf>
    <xf numFmtId="0" fontId="9" fillId="3" borderId="11" xfId="2" applyNumberFormat="1" applyFont="1" applyFill="1" applyBorder="1"/>
    <xf numFmtId="10" fontId="9" fillId="3" borderId="0" xfId="2" applyNumberFormat="1" applyFont="1" applyFill="1" applyBorder="1" applyAlignment="1" applyProtection="1">
      <alignment horizontal="center"/>
    </xf>
    <xf numFmtId="0" fontId="9" fillId="3" borderId="11" xfId="2" applyNumberFormat="1" applyFont="1" applyFill="1" applyBorder="1" applyAlignment="1">
      <alignment horizontal="center"/>
    </xf>
    <xf numFmtId="2" fontId="9" fillId="3" borderId="11" xfId="2" applyNumberFormat="1" applyFont="1" applyFill="1" applyBorder="1" applyAlignment="1">
      <alignment horizontal="center"/>
    </xf>
    <xf numFmtId="10" fontId="9" fillId="3" borderId="3" xfId="2" applyNumberFormat="1" applyFont="1" applyFill="1" applyBorder="1" applyAlignment="1" applyProtection="1">
      <alignment horizontal="center"/>
    </xf>
    <xf numFmtId="1" fontId="15" fillId="3" borderId="10" xfId="2" applyFont="1" applyFill="1" applyBorder="1"/>
    <xf numFmtId="1" fontId="13" fillId="3" borderId="10" xfId="2" applyFont="1" applyFill="1" applyBorder="1" applyAlignment="1">
      <alignment horizontal="left" indent="1"/>
    </xf>
    <xf numFmtId="10" fontId="11" fillId="3" borderId="5" xfId="2" applyNumberFormat="1" applyFont="1" applyFill="1" applyBorder="1" applyAlignment="1" applyProtection="1">
      <alignment horizontal="center"/>
    </xf>
    <xf numFmtId="1" fontId="12" fillId="3" borderId="10" xfId="2" applyFont="1" applyFill="1" applyBorder="1" applyAlignment="1">
      <alignment horizontal="left" indent="1"/>
    </xf>
    <xf numFmtId="0" fontId="19" fillId="3" borderId="11" xfId="2" applyNumberFormat="1" applyFont="1" applyFill="1" applyBorder="1" applyAlignment="1">
      <alignment horizontal="center"/>
    </xf>
    <xf numFmtId="1" fontId="15" fillId="3" borderId="8" xfId="2" applyFont="1" applyFill="1" applyBorder="1"/>
    <xf numFmtId="1" fontId="19" fillId="0" borderId="1" xfId="2" applyBorder="1"/>
    <xf numFmtId="10" fontId="9" fillId="3" borderId="1" xfId="2" applyNumberFormat="1" applyFont="1" applyFill="1" applyBorder="1" applyAlignment="1" applyProtection="1">
      <alignment horizontal="center"/>
    </xf>
    <xf numFmtId="0" fontId="9" fillId="3" borderId="13" xfId="2" applyNumberFormat="1" applyFont="1" applyFill="1" applyBorder="1" applyAlignment="1">
      <alignment horizontal="center"/>
    </xf>
    <xf numFmtId="1" fontId="9" fillId="3" borderId="10" xfId="2" applyFont="1" applyFill="1" applyBorder="1" applyAlignment="1">
      <alignment horizontal="left" indent="2"/>
    </xf>
    <xf numFmtId="0" fontId="19" fillId="3" borderId="0" xfId="2" applyNumberFormat="1" applyFont="1" applyFill="1" applyBorder="1" applyAlignment="1" applyProtection="1">
      <alignment horizontal="left"/>
    </xf>
    <xf numFmtId="2" fontId="9" fillId="3" borderId="0" xfId="2" applyNumberFormat="1" applyFont="1" applyFill="1" applyBorder="1" applyAlignment="1">
      <alignment horizontal="center"/>
    </xf>
    <xf numFmtId="2" fontId="9" fillId="3" borderId="3" xfId="2" applyNumberFormat="1" applyFont="1" applyFill="1" applyBorder="1" applyAlignment="1" applyProtection="1">
      <alignment horizontal="center"/>
    </xf>
    <xf numFmtId="0" fontId="19" fillId="3" borderId="3" xfId="2" applyNumberFormat="1" applyFont="1" applyFill="1" applyBorder="1" applyAlignment="1" applyProtection="1">
      <alignment vertical="top" wrapText="1"/>
    </xf>
    <xf numFmtId="10" fontId="9" fillId="3" borderId="0" xfId="2" applyNumberFormat="1" applyFont="1" applyFill="1" applyBorder="1" applyAlignment="1" applyProtection="1">
      <alignment horizontal="center" vertical="top"/>
    </xf>
    <xf numFmtId="1" fontId="15" fillId="3" borderId="10" xfId="2" applyFont="1" applyFill="1" applyBorder="1" applyAlignment="1">
      <alignment horizontal="left" vertical="top" indent="2"/>
    </xf>
    <xf numFmtId="2" fontId="9" fillId="3" borderId="0" xfId="2" applyNumberFormat="1" applyFont="1" applyFill="1" applyBorder="1" applyAlignment="1" applyProtection="1">
      <alignment horizontal="center"/>
    </xf>
    <xf numFmtId="10" fontId="19" fillId="0" borderId="0" xfId="2" applyNumberFormat="1" applyFont="1" applyBorder="1"/>
    <xf numFmtId="1" fontId="19" fillId="0" borderId="8" xfId="2" applyBorder="1"/>
    <xf numFmtId="0" fontId="19" fillId="0" borderId="13" xfId="2" applyNumberFormat="1" applyBorder="1"/>
    <xf numFmtId="1" fontId="5" fillId="3" borderId="0" xfId="2" applyFont="1" applyFill="1"/>
    <xf numFmtId="1" fontId="26" fillId="3" borderId="0" xfId="2" applyFont="1" applyFill="1"/>
    <xf numFmtId="1" fontId="27" fillId="3" borderId="0" xfId="2" applyFont="1" applyFill="1"/>
    <xf numFmtId="1" fontId="9" fillId="0" borderId="0" xfId="2" applyFont="1" applyAlignment="1">
      <alignment horizontal="left"/>
    </xf>
    <xf numFmtId="1" fontId="25" fillId="0" borderId="0" xfId="2" applyFont="1"/>
    <xf numFmtId="1" fontId="19" fillId="0" borderId="0" xfId="2" applyFont="1" applyFill="1"/>
    <xf numFmtId="1" fontId="19" fillId="0" borderId="0" xfId="2" applyFill="1"/>
    <xf numFmtId="10" fontId="25" fillId="0" borderId="0" xfId="2" applyNumberFormat="1" applyFont="1" applyProtection="1"/>
    <xf numFmtId="1" fontId="19" fillId="0" borderId="0" xfId="2" applyFont="1" applyFill="1" applyProtection="1"/>
    <xf numFmtId="1" fontId="19" fillId="0" borderId="0" xfId="2" applyFill="1" applyProtection="1"/>
    <xf numFmtId="1" fontId="19" fillId="0" borderId="0" xfId="2" applyProtection="1"/>
    <xf numFmtId="1" fontId="25" fillId="0" borderId="0" xfId="2" applyFont="1" applyProtection="1"/>
    <xf numFmtId="1" fontId="25" fillId="3" borderId="0" xfId="2" applyFont="1" applyFill="1" applyProtection="1"/>
    <xf numFmtId="166" fontId="25" fillId="3" borderId="0" xfId="3" applyNumberFormat="1" applyFont="1" applyFill="1" applyProtection="1"/>
    <xf numFmtId="0" fontId="32" fillId="0" borderId="0" xfId="2" applyNumberFormat="1" applyFont="1" applyFill="1" applyBorder="1" applyAlignment="1" applyProtection="1">
      <alignment vertical="top"/>
    </xf>
    <xf numFmtId="166" fontId="25" fillId="0" borderId="0" xfId="3" applyFont="1" applyProtection="1"/>
    <xf numFmtId="5" fontId="25" fillId="0" borderId="0" xfId="2" applyNumberFormat="1" applyFont="1" applyProtection="1"/>
    <xf numFmtId="1" fontId="9" fillId="0" borderId="0" xfId="2" applyFont="1"/>
    <xf numFmtId="1" fontId="15" fillId="0" borderId="4" xfId="2" applyFont="1" applyBorder="1" applyAlignment="1" applyProtection="1">
      <alignment horizontal="left"/>
    </xf>
    <xf numFmtId="1" fontId="9" fillId="0" borderId="0" xfId="2" applyFont="1" applyAlignment="1" applyProtection="1"/>
    <xf numFmtId="1" fontId="19" fillId="0" borderId="0" xfId="2" applyFont="1" applyProtection="1"/>
    <xf numFmtId="10" fontId="33" fillId="0" borderId="0" xfId="2" applyNumberFormat="1" applyFont="1" applyProtection="1"/>
    <xf numFmtId="1" fontId="9" fillId="0" borderId="0" xfId="2" applyFont="1" applyAlignment="1" applyProtection="1">
      <protection locked="0"/>
    </xf>
    <xf numFmtId="1" fontId="33" fillId="0" borderId="0" xfId="2" applyFont="1" applyProtection="1">
      <protection locked="0"/>
    </xf>
    <xf numFmtId="1" fontId="19" fillId="0" borderId="0" xfId="2" applyProtection="1">
      <protection locked="0"/>
    </xf>
    <xf numFmtId="1" fontId="19" fillId="0" borderId="0" xfId="2" applyFont="1" applyProtection="1">
      <protection locked="0"/>
    </xf>
    <xf numFmtId="170" fontId="33" fillId="0" borderId="0" xfId="2" applyNumberFormat="1" applyFont="1" applyProtection="1">
      <protection locked="0"/>
    </xf>
    <xf numFmtId="2" fontId="33" fillId="0" borderId="0" xfId="2" applyNumberFormat="1" applyFont="1" applyProtection="1">
      <protection locked="0"/>
    </xf>
    <xf numFmtId="1" fontId="33" fillId="0" borderId="0" xfId="2" applyFont="1"/>
    <xf numFmtId="1" fontId="11" fillId="0" borderId="0" xfId="2" applyFont="1" applyBorder="1" applyProtection="1"/>
    <xf numFmtId="1" fontId="9" fillId="0" borderId="0" xfId="2" applyFont="1" applyFill="1" applyProtection="1"/>
    <xf numFmtId="1" fontId="22" fillId="0" borderId="0" xfId="2" applyFont="1" applyFill="1"/>
    <xf numFmtId="1" fontId="36" fillId="2" borderId="0" xfId="2" applyFont="1" applyFill="1" applyBorder="1" applyAlignment="1">
      <alignment vertical="center" wrapText="1"/>
    </xf>
    <xf numFmtId="1" fontId="35" fillId="2" borderId="1" xfId="2" applyFont="1" applyFill="1" applyBorder="1" applyAlignment="1">
      <alignment vertical="center" wrapText="1"/>
    </xf>
    <xf numFmtId="1" fontId="22" fillId="0" borderId="0" xfId="2" applyFont="1" applyFill="1" applyBorder="1"/>
    <xf numFmtId="10" fontId="11" fillId="0" borderId="0" xfId="2" applyNumberFormat="1" applyFont="1" applyFill="1" applyProtection="1"/>
    <xf numFmtId="1" fontId="9" fillId="4" borderId="7" xfId="2" applyFont="1" applyFill="1" applyBorder="1" applyProtection="1"/>
    <xf numFmtId="1" fontId="9" fillId="0" borderId="0" xfId="2" applyFont="1" applyFill="1" applyAlignment="1" applyProtection="1">
      <alignment horizontal="left"/>
      <protection locked="0"/>
    </xf>
    <xf numFmtId="1" fontId="32" fillId="0" borderId="0" xfId="2" applyFont="1" applyFill="1" applyAlignment="1">
      <alignment horizontal="center"/>
    </xf>
    <xf numFmtId="1" fontId="9" fillId="4" borderId="10" xfId="2" applyFont="1" applyFill="1" applyBorder="1" applyProtection="1"/>
    <xf numFmtId="1" fontId="9" fillId="0" borderId="0" xfId="2" applyFont="1" applyFill="1"/>
    <xf numFmtId="1" fontId="9" fillId="0" borderId="0" xfId="2" applyFont="1" applyProtection="1">
      <protection locked="0"/>
    </xf>
    <xf numFmtId="1" fontId="32" fillId="0" borderId="0" xfId="2" applyFont="1" applyAlignment="1">
      <alignment horizontal="center"/>
    </xf>
    <xf numFmtId="1" fontId="9" fillId="0" borderId="0" xfId="2" applyNumberFormat="1" applyFont="1" applyBorder="1" applyProtection="1"/>
    <xf numFmtId="1" fontId="37" fillId="4" borderId="10" xfId="2" applyFont="1" applyFill="1" applyBorder="1" applyProtection="1"/>
    <xf numFmtId="10" fontId="37" fillId="4" borderId="10" xfId="2" applyNumberFormat="1" applyFont="1" applyFill="1" applyBorder="1" applyProtection="1"/>
    <xf numFmtId="1" fontId="15" fillId="0" borderId="0" xfId="2" applyFont="1" applyBorder="1" applyAlignment="1" applyProtection="1">
      <alignment horizontal="left" vertical="top" wrapText="1"/>
    </xf>
    <xf numFmtId="1" fontId="24" fillId="0" borderId="0" xfId="2" applyFont="1" applyBorder="1" applyAlignment="1">
      <alignment horizontal="center" wrapText="1"/>
    </xf>
    <xf numFmtId="0" fontId="9" fillId="3" borderId="0" xfId="2" applyNumberFormat="1" applyFont="1" applyFill="1" applyBorder="1" applyAlignment="1">
      <alignment horizontal="center"/>
    </xf>
    <xf numFmtId="1" fontId="9" fillId="4" borderId="0" xfId="2" applyFont="1" applyFill="1"/>
    <xf numFmtId="1" fontId="15" fillId="3" borderId="10" xfId="2" applyFont="1" applyFill="1" applyBorder="1" applyAlignment="1">
      <alignment horizontal="right" vertical="top"/>
    </xf>
    <xf numFmtId="1" fontId="15" fillId="3" borderId="0" xfId="2" applyFont="1" applyFill="1" applyBorder="1" applyAlignment="1">
      <alignment horizontal="right" vertical="top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0" fontId="9" fillId="3" borderId="0" xfId="6" applyNumberFormat="1" applyFont="1" applyFill="1" applyBorder="1" applyAlignment="1">
      <alignment horizontal="center" vertical="center" wrapText="1"/>
    </xf>
    <xf numFmtId="0" fontId="19" fillId="3" borderId="0" xfId="2" applyNumberFormat="1" applyFont="1" applyFill="1" applyBorder="1" applyAlignment="1">
      <alignment horizontal="center"/>
    </xf>
    <xf numFmtId="1" fontId="19" fillId="0" borderId="2" xfId="2" applyBorder="1"/>
    <xf numFmtId="1" fontId="14" fillId="0" borderId="0" xfId="1" applyFont="1" applyFill="1" applyAlignment="1">
      <alignment horizontal="center"/>
      <protection locked="0"/>
    </xf>
    <xf numFmtId="1" fontId="9" fillId="0" borderId="0" xfId="1" applyFont="1" applyFill="1" applyAlignment="1">
      <alignment horizontal="center"/>
      <protection locked="0"/>
    </xf>
    <xf numFmtId="1" fontId="12" fillId="0" borderId="0" xfId="1" applyFont="1" applyFill="1" applyAlignment="1">
      <alignment horizontal="center"/>
      <protection locked="0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1" fontId="9" fillId="0" borderId="0" xfId="1" applyFont="1" applyFill="1" applyAlignment="1">
      <alignment horizontal="center" wrapText="1"/>
      <protection locked="0"/>
    </xf>
    <xf numFmtId="1" fontId="13" fillId="0" borderId="0" xfId="1" applyFont="1" applyFill="1" applyAlignment="1">
      <alignment horizontal="right" indent="1"/>
      <protection locked="0"/>
    </xf>
    <xf numFmtId="0" fontId="43" fillId="0" borderId="0" xfId="0" applyFont="1" applyBorder="1" applyAlignment="1"/>
    <xf numFmtId="0" fontId="43" fillId="0" borderId="0" xfId="0" applyFont="1" applyAlignment="1"/>
    <xf numFmtId="0" fontId="11" fillId="3" borderId="0" xfId="0" applyFont="1" applyFill="1" applyAlignment="1">
      <alignment horizontal="center"/>
    </xf>
    <xf numFmtId="0" fontId="0" fillId="3" borderId="0" xfId="0" applyFont="1" applyFill="1"/>
    <xf numFmtId="0" fontId="24" fillId="6" borderId="12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/>
    <xf numFmtId="0" fontId="16" fillId="3" borderId="11" xfId="0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0" fillId="3" borderId="10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11" xfId="0" applyFont="1" applyFill="1" applyBorder="1"/>
    <xf numFmtId="0" fontId="44" fillId="0" borderId="0" xfId="0" applyFont="1"/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0" fillId="3" borderId="8" xfId="0" applyFont="1" applyFill="1" applyBorder="1"/>
    <xf numFmtId="0" fontId="0" fillId="3" borderId="1" xfId="0" applyFont="1" applyFill="1" applyBorder="1"/>
    <xf numFmtId="0" fontId="0" fillId="3" borderId="13" xfId="0" applyFont="1" applyFill="1" applyBorder="1"/>
    <xf numFmtId="165" fontId="0" fillId="3" borderId="0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/>
    <xf numFmtId="0" fontId="0" fillId="3" borderId="11" xfId="0" applyNumberFormat="1" applyFont="1" applyFill="1" applyBorder="1" applyAlignment="1"/>
    <xf numFmtId="165" fontId="0" fillId="3" borderId="0" xfId="13" applyNumberFormat="1" applyFont="1" applyFill="1" applyBorder="1" applyAlignment="1">
      <alignment vertical="top"/>
    </xf>
    <xf numFmtId="165" fontId="0" fillId="3" borderId="11" xfId="13" applyNumberFormat="1" applyFont="1" applyFill="1" applyBorder="1" applyAlignment="1">
      <alignment vertical="top"/>
    </xf>
    <xf numFmtId="3" fontId="0" fillId="3" borderId="0" xfId="12" applyNumberFormat="1" applyFont="1" applyFill="1" applyBorder="1" applyAlignment="1">
      <alignment horizontal="left"/>
    </xf>
    <xf numFmtId="0" fontId="0" fillId="0" borderId="8" xfId="0" applyBorder="1"/>
    <xf numFmtId="0" fontId="0" fillId="0" borderId="1" xfId="0" applyBorder="1"/>
    <xf numFmtId="0" fontId="0" fillId="0" borderId="13" xfId="0" applyBorder="1"/>
    <xf numFmtId="1" fontId="2" fillId="5" borderId="0" xfId="0" applyNumberFormat="1" applyFont="1" applyFill="1" applyAlignment="1">
      <alignment horizontal="left"/>
    </xf>
    <xf numFmtId="1" fontId="2" fillId="5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" fontId="5" fillId="5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horizontal="center"/>
    </xf>
    <xf numFmtId="16" fontId="6" fillId="7" borderId="2" xfId="0" applyNumberFormat="1" applyFont="1" applyFill="1" applyBorder="1" applyAlignment="1">
      <alignment horizontal="right"/>
    </xf>
    <xf numFmtId="0" fontId="45" fillId="7" borderId="0" xfId="0" applyNumberFormat="1" applyFont="1" applyFill="1" applyBorder="1" applyAlignment="1">
      <alignment horizontal="right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center"/>
    </xf>
    <xf numFmtId="0" fontId="8" fillId="7" borderId="1" xfId="0" applyNumberFormat="1" applyFont="1" applyFill="1" applyBorder="1" applyAlignment="1">
      <alignment horizontal="right"/>
    </xf>
    <xf numFmtId="1" fontId="13" fillId="0" borderId="0" xfId="1" applyFont="1" applyFill="1" applyAlignment="1">
      <alignment horizontal="left" wrapText="1" indent="2"/>
      <protection locked="0"/>
    </xf>
    <xf numFmtId="1" fontId="4" fillId="5" borderId="0" xfId="2" applyFont="1" applyFill="1"/>
    <xf numFmtId="1" fontId="34" fillId="5" borderId="0" xfId="2" applyFont="1" applyFill="1" applyAlignment="1">
      <alignment horizontal="center"/>
    </xf>
    <xf numFmtId="16" fontId="6" fillId="6" borderId="2" xfId="2" applyNumberFormat="1" applyFont="1" applyFill="1" applyBorder="1"/>
    <xf numFmtId="1" fontId="13" fillId="8" borderId="7" xfId="2" applyNumberFormat="1" applyFont="1" applyFill="1" applyBorder="1" applyAlignment="1" applyProtection="1"/>
    <xf numFmtId="1" fontId="13" fillId="8" borderId="2" xfId="2" applyNumberFormat="1" applyFont="1" applyFill="1" applyBorder="1" applyAlignment="1" applyProtection="1">
      <alignment horizontal="right"/>
    </xf>
    <xf numFmtId="1" fontId="13" fillId="8" borderId="9" xfId="2" applyNumberFormat="1" applyFont="1" applyFill="1" applyBorder="1" applyAlignment="1" applyProtection="1">
      <alignment horizontal="right"/>
    </xf>
    <xf numFmtId="1" fontId="15" fillId="8" borderId="10" xfId="2" applyNumberFormat="1" applyFont="1" applyFill="1" applyBorder="1" applyAlignment="1" applyProtection="1">
      <alignment horizontal="right"/>
    </xf>
    <xf numFmtId="1" fontId="15" fillId="8" borderId="0" xfId="2" applyNumberFormat="1" applyFont="1" applyFill="1" applyBorder="1" applyAlignment="1" applyProtection="1">
      <alignment horizontal="right"/>
    </xf>
    <xf numFmtId="1" fontId="15" fillId="8" borderId="11" xfId="2" applyNumberFormat="1" applyFont="1" applyFill="1" applyBorder="1" applyAlignment="1" applyProtection="1">
      <alignment horizontal="right"/>
    </xf>
    <xf numFmtId="1" fontId="15" fillId="8" borderId="8" xfId="2" applyNumberFormat="1" applyFont="1" applyFill="1" applyBorder="1" applyAlignment="1" applyProtection="1">
      <alignment horizontal="right"/>
    </xf>
    <xf numFmtId="1" fontId="15" fillId="8" borderId="1" xfId="2" applyNumberFormat="1" applyFont="1" applyFill="1" applyBorder="1" applyAlignment="1" applyProtection="1">
      <alignment horizontal="right"/>
    </xf>
    <xf numFmtId="1" fontId="15" fillId="8" borderId="13" xfId="2" applyNumberFormat="1" applyFont="1" applyFill="1" applyBorder="1" applyAlignment="1" applyProtection="1">
      <alignment horizontal="right"/>
    </xf>
    <xf numFmtId="1" fontId="5" fillId="5" borderId="0" xfId="2" applyFont="1" applyFill="1" applyBorder="1" applyAlignment="1">
      <alignment horizontal="left"/>
    </xf>
    <xf numFmtId="1" fontId="23" fillId="5" borderId="0" xfId="2" applyFont="1" applyFill="1" applyBorder="1" applyAlignment="1">
      <alignment horizontal="center"/>
    </xf>
    <xf numFmtId="1" fontId="20" fillId="5" borderId="0" xfId="2" applyFont="1" applyFill="1"/>
    <xf numFmtId="1" fontId="26" fillId="5" borderId="0" xfId="2" applyFont="1" applyFill="1"/>
    <xf numFmtId="1" fontId="28" fillId="5" borderId="0" xfId="2" applyFont="1" applyFill="1"/>
    <xf numFmtId="1" fontId="21" fillId="5" borderId="0" xfId="2" applyFont="1" applyFill="1" applyBorder="1" applyAlignment="1">
      <alignment wrapText="1"/>
    </xf>
    <xf numFmtId="1" fontId="21" fillId="5" borderId="0" xfId="2" applyFont="1" applyFill="1" applyBorder="1" applyAlignment="1">
      <alignment horizontal="left"/>
    </xf>
    <xf numFmtId="1" fontId="8" fillId="6" borderId="1" xfId="2" applyFont="1" applyFill="1" applyBorder="1" applyAlignment="1">
      <alignment horizontal="center"/>
    </xf>
    <xf numFmtId="173" fontId="6" fillId="6" borderId="2" xfId="2" applyNumberFormat="1" applyFont="1" applyFill="1" applyBorder="1"/>
    <xf numFmtId="14" fontId="9" fillId="0" borderId="0" xfId="2" applyNumberFormat="1" applyFont="1"/>
    <xf numFmtId="16" fontId="6" fillId="6" borderId="0" xfId="2" applyNumberFormat="1" applyFont="1" applyFill="1"/>
    <xf numFmtId="1" fontId="25" fillId="8" borderId="7" xfId="2" applyFont="1" applyFill="1" applyBorder="1" applyAlignment="1">
      <alignment horizontal="left"/>
    </xf>
    <xf numFmtId="1" fontId="25" fillId="8" borderId="2" xfId="2" applyFont="1" applyFill="1" applyBorder="1"/>
    <xf numFmtId="1" fontId="25" fillId="8" borderId="9" xfId="2" applyFont="1" applyFill="1" applyBorder="1"/>
    <xf numFmtId="10" fontId="11" fillId="8" borderId="12" xfId="6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10" fontId="25" fillId="8" borderId="10" xfId="2" applyNumberFormat="1" applyFont="1" applyFill="1" applyBorder="1" applyAlignment="1" applyProtection="1">
      <alignment horizontal="right"/>
    </xf>
    <xf numFmtId="10" fontId="25" fillId="8" borderId="0" xfId="2" applyNumberFormat="1" applyFont="1" applyFill="1" applyBorder="1" applyAlignment="1" applyProtection="1">
      <alignment horizontal="right"/>
    </xf>
    <xf numFmtId="10" fontId="25" fillId="8" borderId="11" xfId="2" applyNumberFormat="1" applyFont="1" applyFill="1" applyBorder="1" applyAlignment="1" applyProtection="1">
      <alignment horizontal="right"/>
    </xf>
    <xf numFmtId="1" fontId="25" fillId="8" borderId="10" xfId="2" applyFont="1" applyFill="1" applyBorder="1" applyAlignment="1" applyProtection="1">
      <alignment horizontal="right"/>
    </xf>
    <xf numFmtId="1" fontId="25" fillId="8" borderId="0" xfId="2" applyFont="1" applyFill="1" applyBorder="1" applyAlignment="1" applyProtection="1">
      <alignment horizontal="right"/>
    </xf>
    <xf numFmtId="1" fontId="25" fillId="8" borderId="11" xfId="2" applyFont="1" applyFill="1" applyBorder="1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74" fontId="0" fillId="3" borderId="0" xfId="0" applyNumberFormat="1" applyFont="1" applyFill="1" applyBorder="1" applyAlignment="1">
      <alignment horizontal="left"/>
    </xf>
    <xf numFmtId="175" fontId="0" fillId="3" borderId="0" xfId="0" applyNumberFormat="1" applyFont="1" applyFill="1" applyBorder="1" applyAlignment="1">
      <alignment horizontal="left"/>
    </xf>
    <xf numFmtId="164" fontId="9" fillId="0" borderId="0" xfId="0" applyNumberFormat="1" applyFont="1" applyFill="1" applyBorder="1" applyProtection="1"/>
    <xf numFmtId="164" fontId="9" fillId="0" borderId="3" xfId="0" applyNumberFormat="1" applyFont="1" applyFill="1" applyBorder="1" applyProtection="1"/>
    <xf numFmtId="164" fontId="11" fillId="0" borderId="0" xfId="0" applyNumberFormat="1" applyFont="1" applyFill="1" applyBorder="1" applyProtection="1"/>
    <xf numFmtId="164" fontId="9" fillId="3" borderId="0" xfId="0" applyNumberFormat="1" applyFont="1" applyFill="1" applyBorder="1" applyProtection="1"/>
    <xf numFmtId="164" fontId="11" fillId="0" borderId="4" xfId="0" applyNumberFormat="1" applyFont="1" applyFill="1" applyBorder="1" applyProtection="1"/>
    <xf numFmtId="164" fontId="11" fillId="0" borderId="5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vertical="top"/>
    </xf>
    <xf numFmtId="10" fontId="11" fillId="0" borderId="0" xfId="0" applyNumberFormat="1" applyFont="1" applyProtection="1"/>
    <xf numFmtId="8" fontId="9" fillId="0" borderId="0" xfId="0" applyNumberFormat="1" applyFont="1" applyFill="1" applyProtection="1"/>
    <xf numFmtId="37" fontId="11" fillId="0" borderId="0" xfId="0" applyNumberFormat="1" applyFont="1" applyFill="1" applyBorder="1" applyProtection="1"/>
    <xf numFmtId="0" fontId="0" fillId="0" borderId="0" xfId="0" applyProtection="1"/>
    <xf numFmtId="164" fontId="9" fillId="0" borderId="0" xfId="0" applyNumberFormat="1" applyFont="1" applyFill="1" applyProtection="1"/>
    <xf numFmtId="164" fontId="17" fillId="0" borderId="0" xfId="0" applyNumberFormat="1" applyFont="1" applyFill="1" applyBorder="1" applyProtection="1"/>
    <xf numFmtId="164" fontId="11" fillId="0" borderId="0" xfId="0" applyNumberFormat="1" applyFont="1" applyFill="1" applyProtection="1"/>
    <xf numFmtId="164" fontId="11" fillId="0" borderId="6" xfId="0" applyNumberFormat="1" applyFont="1" applyFill="1" applyBorder="1" applyProtection="1"/>
    <xf numFmtId="164" fontId="13" fillId="0" borderId="0" xfId="0" applyNumberFormat="1" applyFont="1" applyFill="1" applyProtection="1"/>
    <xf numFmtId="10" fontId="9" fillId="0" borderId="0" xfId="4" applyFont="1" applyFill="1" applyBorder="1" applyAlignment="1" applyProtection="1">
      <alignment horizontal="center"/>
    </xf>
    <xf numFmtId="10" fontId="15" fillId="8" borderId="10" xfId="2" applyNumberFormat="1" applyFont="1" applyFill="1" applyBorder="1" applyAlignment="1" applyProtection="1">
      <alignment horizontal="center"/>
    </xf>
    <xf numFmtId="10" fontId="15" fillId="8" borderId="0" xfId="2" applyNumberFormat="1" applyFont="1" applyFill="1" applyBorder="1" applyAlignment="1" applyProtection="1">
      <alignment horizontal="center"/>
    </xf>
    <xf numFmtId="10" fontId="15" fillId="8" borderId="11" xfId="2" applyNumberFormat="1" applyFont="1" applyFill="1" applyBorder="1" applyAlignment="1" applyProtection="1">
      <alignment horizontal="center"/>
    </xf>
    <xf numFmtId="10" fontId="15" fillId="8" borderId="10" xfId="4" applyNumberFormat="1" applyFont="1" applyFill="1" applyBorder="1" applyAlignment="1" applyProtection="1">
      <alignment horizontal="center"/>
    </xf>
    <xf numFmtId="10" fontId="15" fillId="8" borderId="0" xfId="4" applyNumberFormat="1" applyFont="1" applyFill="1" applyBorder="1" applyAlignment="1" applyProtection="1">
      <alignment horizontal="center"/>
    </xf>
    <xf numFmtId="10" fontId="15" fillId="8" borderId="11" xfId="4" applyNumberFormat="1" applyFont="1" applyFill="1" applyBorder="1" applyAlignment="1" applyProtection="1">
      <alignment horizontal="center"/>
    </xf>
    <xf numFmtId="2" fontId="9" fillId="0" borderId="0" xfId="4" applyNumberFormat="1" applyFont="1" applyFill="1" applyBorder="1" applyAlignment="1" applyProtection="1">
      <alignment horizontal="center"/>
    </xf>
    <xf numFmtId="2" fontId="15" fillId="8" borderId="10" xfId="4" applyNumberFormat="1" applyFont="1" applyFill="1" applyBorder="1" applyAlignment="1" applyProtection="1">
      <alignment horizontal="center"/>
    </xf>
    <xf numFmtId="2" fontId="15" fillId="8" borderId="0" xfId="4" applyNumberFormat="1" applyFont="1" applyFill="1" applyBorder="1" applyAlignment="1" applyProtection="1">
      <alignment horizontal="center"/>
    </xf>
    <xf numFmtId="2" fontId="15" fillId="8" borderId="11" xfId="4" applyNumberFormat="1" applyFont="1" applyFill="1" applyBorder="1" applyAlignment="1" applyProtection="1">
      <alignment horizontal="center"/>
    </xf>
    <xf numFmtId="1" fontId="11" fillId="8" borderId="12" xfId="2" applyNumberFormat="1" applyFont="1" applyFill="1" applyBorder="1" applyAlignment="1" applyProtection="1">
      <alignment horizontal="center"/>
    </xf>
    <xf numFmtId="1" fontId="11" fillId="0" borderId="0" xfId="2" applyFont="1" applyAlignment="1" applyProtection="1">
      <alignment horizontal="left"/>
    </xf>
    <xf numFmtId="166" fontId="25" fillId="0" borderId="0" xfId="2" applyNumberFormat="1" applyFont="1" applyAlignment="1" applyProtection="1">
      <alignment horizontal="right"/>
    </xf>
    <xf numFmtId="166" fontId="25" fillId="8" borderId="10" xfId="2" applyNumberFormat="1" applyFont="1" applyFill="1" applyBorder="1" applyAlignment="1" applyProtection="1">
      <alignment horizontal="right"/>
    </xf>
    <xf numFmtId="166" fontId="25" fillId="8" borderId="0" xfId="2" applyNumberFormat="1" applyFont="1" applyFill="1" applyBorder="1" applyAlignment="1" applyProtection="1">
      <alignment horizontal="right"/>
    </xf>
    <xf numFmtId="166" fontId="25" fillId="8" borderId="11" xfId="2" applyNumberFormat="1" applyFont="1" applyFill="1" applyBorder="1" applyAlignment="1" applyProtection="1">
      <alignment horizontal="right"/>
    </xf>
    <xf numFmtId="1" fontId="15" fillId="0" borderId="0" xfId="2" applyFont="1" applyAlignment="1" applyProtection="1">
      <alignment horizontal="left"/>
    </xf>
    <xf numFmtId="10" fontId="29" fillId="0" borderId="0" xfId="2" applyNumberFormat="1" applyFont="1" applyProtection="1"/>
    <xf numFmtId="10" fontId="29" fillId="8" borderId="10" xfId="2" applyNumberFormat="1" applyFont="1" applyFill="1" applyBorder="1" applyAlignment="1" applyProtection="1">
      <alignment horizontal="right"/>
    </xf>
    <xf numFmtId="10" fontId="29" fillId="8" borderId="0" xfId="2" applyNumberFormat="1" applyFont="1" applyFill="1" applyBorder="1" applyAlignment="1" applyProtection="1">
      <alignment horizontal="right"/>
    </xf>
    <xf numFmtId="10" fontId="29" fillId="8" borderId="11" xfId="2" applyNumberFormat="1" applyFont="1" applyFill="1" applyBorder="1" applyAlignment="1" applyProtection="1">
      <alignment horizontal="right"/>
    </xf>
    <xf numFmtId="166" fontId="25" fillId="0" borderId="0" xfId="3" applyFont="1" applyAlignment="1" applyProtection="1">
      <alignment horizontal="right"/>
    </xf>
    <xf numFmtId="166" fontId="25" fillId="8" borderId="10" xfId="3" applyFont="1" applyFill="1" applyBorder="1" applyAlignment="1" applyProtection="1">
      <alignment horizontal="right"/>
    </xf>
    <xf numFmtId="166" fontId="25" fillId="8" borderId="0" xfId="3" applyFont="1" applyFill="1" applyBorder="1" applyAlignment="1" applyProtection="1">
      <alignment horizontal="right"/>
    </xf>
    <xf numFmtId="166" fontId="25" fillId="8" borderId="11" xfId="3" applyFont="1" applyFill="1" applyBorder="1" applyAlignment="1" applyProtection="1">
      <alignment horizontal="right"/>
    </xf>
    <xf numFmtId="2" fontId="29" fillId="0" borderId="0" xfId="2" applyNumberFormat="1" applyFont="1" applyProtection="1"/>
    <xf numFmtId="2" fontId="29" fillId="8" borderId="10" xfId="2" applyNumberFormat="1" applyFont="1" applyFill="1" applyBorder="1" applyAlignment="1" applyProtection="1">
      <alignment horizontal="right"/>
    </xf>
    <xf numFmtId="2" fontId="29" fillId="8" borderId="0" xfId="2" applyNumberFormat="1" applyFont="1" applyFill="1" applyBorder="1" applyAlignment="1" applyProtection="1">
      <alignment horizontal="right"/>
    </xf>
    <xf numFmtId="2" fontId="29" fillId="8" borderId="11" xfId="2" applyNumberFormat="1" applyFont="1" applyFill="1" applyBorder="1" applyAlignment="1" applyProtection="1">
      <alignment horizontal="right"/>
    </xf>
    <xf numFmtId="169" fontId="25" fillId="0" borderId="6" xfId="3" applyNumberFormat="1" applyFont="1" applyBorder="1" applyProtection="1"/>
    <xf numFmtId="166" fontId="25" fillId="8" borderId="18" xfId="3" applyNumberFormat="1" applyFont="1" applyFill="1" applyBorder="1" applyAlignment="1" applyProtection="1">
      <alignment horizontal="right"/>
    </xf>
    <xf numFmtId="166" fontId="25" fillId="8" borderId="6" xfId="3" applyNumberFormat="1" applyFont="1" applyFill="1" applyBorder="1" applyAlignment="1" applyProtection="1">
      <alignment horizontal="right"/>
    </xf>
    <xf numFmtId="44" fontId="25" fillId="8" borderId="6" xfId="3" applyNumberFormat="1" applyFont="1" applyFill="1" applyBorder="1" applyAlignment="1" applyProtection="1">
      <alignment horizontal="right"/>
    </xf>
    <xf numFmtId="166" fontId="25" fillId="8" borderId="19" xfId="3" applyNumberFormat="1" applyFont="1" applyFill="1" applyBorder="1" applyAlignment="1" applyProtection="1">
      <alignment horizontal="right"/>
    </xf>
    <xf numFmtId="1" fontId="9" fillId="0" borderId="0" xfId="2" applyFont="1" applyAlignment="1" applyProtection="1">
      <alignment horizontal="left"/>
    </xf>
    <xf numFmtId="1" fontId="11" fillId="0" borderId="0" xfId="2" applyFont="1" applyAlignment="1" applyProtection="1">
      <alignment horizontal="right"/>
    </xf>
    <xf numFmtId="166" fontId="25" fillId="0" borderId="17" xfId="3" applyFont="1" applyBorder="1" applyProtection="1"/>
    <xf numFmtId="166" fontId="25" fillId="8" borderId="20" xfId="3" applyFont="1" applyFill="1" applyBorder="1" applyAlignment="1" applyProtection="1">
      <alignment horizontal="right"/>
    </xf>
    <xf numFmtId="166" fontId="25" fillId="8" borderId="17" xfId="3" applyFont="1" applyFill="1" applyBorder="1" applyAlignment="1" applyProtection="1">
      <alignment horizontal="right"/>
    </xf>
    <xf numFmtId="166" fontId="25" fillId="8" borderId="21" xfId="3" applyFont="1" applyFill="1" applyBorder="1" applyAlignment="1" applyProtection="1">
      <alignment horizontal="right"/>
    </xf>
    <xf numFmtId="10" fontId="30" fillId="3" borderId="0" xfId="2" applyNumberFormat="1" applyFont="1" applyFill="1" applyBorder="1" applyProtection="1"/>
    <xf numFmtId="170" fontId="30" fillId="0" borderId="0" xfId="2" applyNumberFormat="1" applyFont="1" applyBorder="1" applyProtection="1"/>
    <xf numFmtId="166" fontId="25" fillId="0" borderId="0" xfId="3" applyNumberFormat="1" applyFont="1" applyProtection="1"/>
    <xf numFmtId="1" fontId="9" fillId="0" borderId="0" xfId="2" applyFont="1" applyAlignment="1" applyProtection="1">
      <alignment horizontal="right"/>
    </xf>
    <xf numFmtId="170" fontId="30" fillId="3" borderId="0" xfId="2" applyNumberFormat="1" applyFont="1" applyFill="1" applyBorder="1" applyProtection="1">
      <protection hidden="1"/>
    </xf>
    <xf numFmtId="170" fontId="30" fillId="3" borderId="0" xfId="2" applyNumberFormat="1" applyFont="1" applyFill="1" applyProtection="1">
      <protection hidden="1"/>
    </xf>
    <xf numFmtId="166" fontId="25" fillId="3" borderId="6" xfId="3" applyNumberFormat="1" applyFont="1" applyFill="1" applyBorder="1" applyProtection="1"/>
    <xf numFmtId="0" fontId="11" fillId="0" borderId="0" xfId="4" applyNumberFormat="1" applyFont="1" applyBorder="1" applyAlignment="1" applyProtection="1">
      <alignment horizontal="center"/>
    </xf>
    <xf numFmtId="164" fontId="25" fillId="0" borderId="3" xfId="3" applyNumberFormat="1" applyFont="1" applyBorder="1" applyProtection="1"/>
    <xf numFmtId="166" fontId="11" fillId="0" borderId="0" xfId="2" applyNumberFormat="1" applyFont="1" applyFill="1" applyBorder="1" applyAlignment="1" applyProtection="1">
      <alignment vertical="top"/>
    </xf>
    <xf numFmtId="171" fontId="25" fillId="0" borderId="3" xfId="2" applyNumberFormat="1" applyFont="1" applyBorder="1" applyProtection="1"/>
    <xf numFmtId="172" fontId="15" fillId="0" borderId="0" xfId="2" applyNumberFormat="1" applyFont="1" applyFill="1" applyBorder="1" applyAlignment="1" applyProtection="1">
      <alignment horizontal="right" vertical="top"/>
    </xf>
    <xf numFmtId="164" fontId="25" fillId="0" borderId="0" xfId="3" applyNumberFormat="1" applyFont="1" applyProtection="1"/>
    <xf numFmtId="37" fontId="25" fillId="0" borderId="0" xfId="2" applyNumberFormat="1" applyFont="1" applyAlignment="1" applyProtection="1">
      <alignment horizontal="center"/>
    </xf>
    <xf numFmtId="165" fontId="46" fillId="0" borderId="5" xfId="2" applyNumberFormat="1" applyFont="1" applyBorder="1" applyAlignment="1" applyProtection="1">
      <alignment horizontal="center"/>
    </xf>
    <xf numFmtId="165" fontId="25" fillId="0" borderId="0" xfId="2" applyNumberFormat="1" applyFont="1" applyBorder="1" applyAlignment="1" applyProtection="1">
      <alignment horizontal="center"/>
    </xf>
    <xf numFmtId="165" fontId="40" fillId="0" borderId="0" xfId="2" applyNumberFormat="1" applyFont="1" applyBorder="1" applyAlignment="1" applyProtection="1">
      <alignment horizontal="center"/>
    </xf>
    <xf numFmtId="1" fontId="39" fillId="0" borderId="0" xfId="2" applyFont="1" applyProtection="1"/>
    <xf numFmtId="1" fontId="47" fillId="0" borderId="0" xfId="2" applyFont="1" applyAlignment="1" applyProtection="1">
      <alignment horizontal="center"/>
    </xf>
    <xf numFmtId="1" fontId="47" fillId="3" borderId="0" xfId="2" applyNumberFormat="1" applyFont="1" applyFill="1" applyBorder="1" applyAlignment="1" applyProtection="1">
      <alignment horizontal="center" vertical="center"/>
    </xf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0" borderId="7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11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3" xfId="0" applyFont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10" fillId="3" borderId="0" xfId="1" applyNumberFormat="1" applyFill="1" applyBorder="1" applyAlignment="1" applyProtection="1">
      <alignment horizontal="left"/>
    </xf>
    <xf numFmtId="0" fontId="18" fillId="3" borderId="0" xfId="0" applyNumberFormat="1" applyFont="1" applyFill="1" applyBorder="1" applyAlignment="1" applyProtection="1">
      <alignment horizontal="left"/>
    </xf>
    <xf numFmtId="0" fontId="18" fillId="3" borderId="11" xfId="0" applyNumberFormat="1" applyFont="1" applyFill="1" applyBorder="1" applyAlignment="1" applyProtection="1">
      <alignment horizontal="left"/>
    </xf>
    <xf numFmtId="0" fontId="25" fillId="0" borderId="7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42" fillId="5" borderId="0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1" fontId="20" fillId="5" borderId="0" xfId="2" applyFont="1" applyFill="1" applyAlignment="1">
      <alignment horizontal="left"/>
    </xf>
    <xf numFmtId="1" fontId="20" fillId="5" borderId="1" xfId="2" applyFont="1" applyFill="1" applyBorder="1" applyAlignment="1">
      <alignment horizontal="center" vertical="center"/>
    </xf>
    <xf numFmtId="1" fontId="21" fillId="5" borderId="0" xfId="2" applyFont="1" applyFill="1" applyBorder="1" applyAlignment="1">
      <alignment horizontal="center" vertical="center" wrapText="1"/>
    </xf>
    <xf numFmtId="1" fontId="15" fillId="0" borderId="4" xfId="2" applyFont="1" applyBorder="1" applyAlignment="1" applyProtection="1">
      <alignment horizontal="left" vertical="top" wrapText="1"/>
    </xf>
    <xf numFmtId="1" fontId="15" fillId="0" borderId="0" xfId="2" applyFont="1" applyBorder="1" applyAlignment="1" applyProtection="1">
      <alignment horizontal="left" vertical="top" wrapText="1"/>
    </xf>
    <xf numFmtId="1" fontId="11" fillId="3" borderId="7" xfId="2" applyFont="1" applyFill="1" applyBorder="1" applyAlignment="1">
      <alignment horizontal="center" vertical="center" wrapText="1"/>
    </xf>
    <xf numFmtId="1" fontId="11" fillId="3" borderId="2" xfId="2" applyFont="1" applyFill="1" applyBorder="1" applyAlignment="1">
      <alignment horizontal="center" vertical="center" wrapText="1"/>
    </xf>
    <xf numFmtId="1" fontId="11" fillId="3" borderId="9" xfId="2" applyFont="1" applyFill="1" applyBorder="1" applyAlignment="1">
      <alignment horizontal="center" vertical="center" wrapText="1"/>
    </xf>
    <xf numFmtId="1" fontId="11" fillId="3" borderId="10" xfId="2" applyFont="1" applyFill="1" applyBorder="1" applyAlignment="1">
      <alignment horizontal="center" vertical="center" wrapText="1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" fontId="20" fillId="5" borderId="0" xfId="2" applyFont="1" applyFill="1" applyBorder="1" applyAlignment="1">
      <alignment horizontal="left"/>
    </xf>
    <xf numFmtId="1" fontId="22" fillId="5" borderId="0" xfId="2" applyFont="1" applyFill="1" applyBorder="1" applyAlignment="1">
      <alignment horizontal="left"/>
    </xf>
    <xf numFmtId="167" fontId="11" fillId="3" borderId="2" xfId="2" applyNumberFormat="1" applyFont="1" applyFill="1" applyBorder="1" applyAlignment="1">
      <alignment horizontal="center"/>
    </xf>
    <xf numFmtId="167" fontId="11" fillId="3" borderId="17" xfId="2" applyNumberFormat="1" applyFont="1" applyFill="1" applyBorder="1" applyAlignment="1">
      <alignment horizontal="center"/>
    </xf>
    <xf numFmtId="10" fontId="11" fillId="3" borderId="2" xfId="2" applyNumberFormat="1" applyFont="1" applyFill="1" applyBorder="1" applyAlignment="1">
      <alignment horizontal="center"/>
    </xf>
    <xf numFmtId="10" fontId="11" fillId="3" borderId="17" xfId="2" applyNumberFormat="1" applyFont="1" applyFill="1" applyBorder="1" applyAlignment="1">
      <alignment horizontal="center"/>
    </xf>
    <xf numFmtId="1" fontId="11" fillId="3" borderId="7" xfId="2" applyFont="1" applyFill="1" applyBorder="1" applyAlignment="1">
      <alignment horizontal="center" vertical="center"/>
    </xf>
    <xf numFmtId="1" fontId="11" fillId="3" borderId="2" xfId="2" applyFont="1" applyFill="1" applyBorder="1" applyAlignment="1">
      <alignment horizontal="center" vertical="center"/>
    </xf>
    <xf numFmtId="1" fontId="11" fillId="3" borderId="9" xfId="2" applyFont="1" applyFill="1" applyBorder="1" applyAlignment="1">
      <alignment horizontal="center" vertical="center"/>
    </xf>
    <xf numFmtId="1" fontId="11" fillId="3" borderId="10" xfId="2" applyFont="1" applyFill="1" applyBorder="1" applyAlignment="1">
      <alignment horizontal="center" vertical="center"/>
    </xf>
    <xf numFmtId="1" fontId="11" fillId="3" borderId="0" xfId="2" applyFont="1" applyFill="1" applyBorder="1" applyAlignment="1">
      <alignment horizontal="center" vertical="center"/>
    </xf>
    <xf numFmtId="1" fontId="11" fillId="3" borderId="11" xfId="2" applyFont="1" applyFill="1" applyBorder="1" applyAlignment="1">
      <alignment horizontal="center" vertical="center"/>
    </xf>
    <xf numFmtId="1" fontId="9" fillId="0" borderId="0" xfId="2" applyFont="1" applyAlignment="1" applyProtection="1">
      <alignment horizontal="right"/>
    </xf>
    <xf numFmtId="1" fontId="39" fillId="0" borderId="0" xfId="2" applyFont="1" applyAlignment="1" applyProtection="1">
      <alignment horizontal="right"/>
    </xf>
    <xf numFmtId="1" fontId="47" fillId="0" borderId="0" xfId="2" applyFont="1" applyAlignment="1" applyProtection="1">
      <alignment horizontal="right"/>
    </xf>
    <xf numFmtId="1" fontId="19" fillId="0" borderId="0" xfId="2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" fontId="20" fillId="5" borderId="0" xfId="2" applyFont="1" applyFill="1" applyAlignment="1">
      <alignment horizontal="center" vertical="center"/>
    </xf>
    <xf numFmtId="1" fontId="20" fillId="5" borderId="3" xfId="2" applyFont="1" applyFill="1" applyBorder="1" applyAlignment="1">
      <alignment horizontal="center" vertical="center"/>
    </xf>
    <xf numFmtId="1" fontId="11" fillId="0" borderId="0" xfId="2" applyFont="1" applyAlignment="1" applyProtection="1">
      <alignment horizontal="center" vertical="center"/>
    </xf>
  </cellXfs>
  <cellStyles count="14">
    <cellStyle name="Comma" xfId="12" builtinId="3"/>
    <cellStyle name="Currency" xfId="13" builtinId="4"/>
    <cellStyle name="Currency 2" xfId="3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Hyperlink" xfId="1" builtinId="8"/>
    <cellStyle name="Normal" xfId="0" builtinId="0"/>
    <cellStyle name="Normal 2" xfId="2"/>
    <cellStyle name="Normal 3" xfId="5"/>
    <cellStyle name="Normal 4" xfId="7"/>
    <cellStyle name="Percent" xfId="6" builtinId="5"/>
    <cellStyle name="Percent 2" xfId="4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6759574</xdr:colOff>
      <xdr:row>0</xdr:row>
      <xdr:rowOff>95250</xdr:rowOff>
    </xdr:from>
    <xdr:to>
      <xdr:col>10</xdr:col>
      <xdr:colOff>100012</xdr:colOff>
      <xdr:row>1</xdr:row>
      <xdr:rowOff>107067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0149" y="95250"/>
          <a:ext cx="1331913" cy="3451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5</xdr:row>
          <xdr:rowOff>190500</xdr:rowOff>
        </xdr:from>
        <xdr:to>
          <xdr:col>5</xdr:col>
          <xdr:colOff>266700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428626</xdr:colOff>
      <xdr:row>0</xdr:row>
      <xdr:rowOff>226218</xdr:rowOff>
    </xdr:from>
    <xdr:to>
      <xdr:col>11</xdr:col>
      <xdr:colOff>21169</xdr:colOff>
      <xdr:row>1</xdr:row>
      <xdr:rowOff>195702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3720" y="226218"/>
          <a:ext cx="1330855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595312</xdr:colOff>
      <xdr:row>0</xdr:row>
      <xdr:rowOff>107156</xdr:rowOff>
    </xdr:from>
    <xdr:to>
      <xdr:col>10</xdr:col>
      <xdr:colOff>903886</xdr:colOff>
      <xdr:row>1</xdr:row>
      <xdr:rowOff>149489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89906" y="107156"/>
          <a:ext cx="308574" cy="42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%20Excel%20Add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L33"/>
  <sheetViews>
    <sheetView showGridLines="0" tabSelected="1" zoomScale="90" zoomScaleNormal="90" workbookViewId="0">
      <selection activeCell="D7" sqref="D7"/>
    </sheetView>
  </sheetViews>
  <sheetFormatPr defaultRowHeight="15" x14ac:dyDescent="0.25"/>
  <cols>
    <col min="1" max="1" width="5" customWidth="1"/>
    <col min="2" max="2" width="6.140625" customWidth="1"/>
    <col min="3" max="3" width="19.28515625" customWidth="1"/>
    <col min="4" max="4" width="15.5703125" customWidth="1"/>
    <col min="5" max="5" width="8" customWidth="1"/>
    <col min="6" max="6" width="6.140625" customWidth="1"/>
    <col min="7" max="7" width="5.140625" customWidth="1"/>
    <col min="8" max="8" width="3.7109375" customWidth="1"/>
    <col min="9" max="9" width="116.140625" customWidth="1"/>
    <col min="10" max="10" width="3.7109375" customWidth="1"/>
    <col min="11" max="11" width="3.28515625" customWidth="1"/>
  </cols>
  <sheetData>
    <row r="1" spans="1:12" ht="26.25" customHeight="1" x14ac:dyDescent="0.25">
      <c r="A1" s="314" t="s">
        <v>292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</row>
    <row r="2" spans="1:12" ht="19.5" customHeight="1" x14ac:dyDescent="0.25">
      <c r="A2" s="314"/>
      <c r="B2" s="314"/>
      <c r="C2" s="314"/>
      <c r="D2" s="314"/>
      <c r="E2" s="314"/>
      <c r="F2" s="314"/>
      <c r="G2" s="314"/>
      <c r="H2" s="314"/>
      <c r="I2" s="314"/>
      <c r="J2" s="314"/>
      <c r="K2" s="314"/>
    </row>
    <row r="3" spans="1:12" ht="15" customHeight="1" x14ac:dyDescent="0.6">
      <c r="A3" s="15"/>
      <c r="B3" s="137"/>
      <c r="C3" s="137"/>
      <c r="D3" s="137"/>
      <c r="E3" s="137"/>
      <c r="F3" s="137"/>
      <c r="G3" s="137"/>
      <c r="H3" s="137"/>
      <c r="I3" s="137"/>
      <c r="J3" s="137"/>
    </row>
    <row r="4" spans="1:12" ht="15.75" customHeight="1" thickBot="1" x14ac:dyDescent="0.65">
      <c r="A4" s="15"/>
      <c r="B4" s="138"/>
      <c r="C4" s="138"/>
      <c r="D4" s="138"/>
      <c r="E4" s="138"/>
      <c r="F4" s="138"/>
      <c r="G4" s="138"/>
      <c r="H4" s="138"/>
      <c r="I4" s="138"/>
      <c r="J4" s="138"/>
    </row>
    <row r="5" spans="1:12" ht="15.75" customHeight="1" x14ac:dyDescent="0.25">
      <c r="A5" s="15"/>
      <c r="B5" s="315" t="s">
        <v>223</v>
      </c>
      <c r="C5" s="316"/>
      <c r="D5" s="316"/>
      <c r="E5" s="316"/>
      <c r="F5" s="317"/>
      <c r="G5" s="139"/>
    </row>
    <row r="6" spans="1:12" ht="15.75" customHeight="1" thickBot="1" x14ac:dyDescent="0.3">
      <c r="A6" s="140"/>
      <c r="B6" s="318"/>
      <c r="C6" s="319"/>
      <c r="D6" s="319"/>
      <c r="E6" s="319"/>
      <c r="F6" s="320"/>
      <c r="G6" s="140"/>
    </row>
    <row r="7" spans="1:12" ht="15.75" customHeight="1" thickBot="1" x14ac:dyDescent="0.3">
      <c r="A7" s="140"/>
      <c r="B7" s="292" t="s">
        <v>224</v>
      </c>
      <c r="C7" s="293"/>
      <c r="D7" s="141"/>
      <c r="E7" s="142"/>
      <c r="F7" s="143"/>
      <c r="G7" s="144"/>
    </row>
    <row r="8" spans="1:12" x14ac:dyDescent="0.25">
      <c r="A8" s="15"/>
      <c r="B8" s="145"/>
      <c r="C8" s="146"/>
      <c r="D8" s="142"/>
      <c r="E8" s="142"/>
      <c r="F8" s="147"/>
      <c r="G8" s="15"/>
    </row>
    <row r="9" spans="1:12" x14ac:dyDescent="0.25">
      <c r="A9" s="15"/>
      <c r="B9" s="292" t="s">
        <v>19</v>
      </c>
      <c r="C9" s="293"/>
      <c r="D9" s="303" t="str">
        <f>[1]!IntrinioDataPoint(ticker,"name")</f>
        <v/>
      </c>
      <c r="E9" s="303" t="e">
        <v>#NAME?</v>
      </c>
      <c r="F9" s="304" t="e">
        <v>#NAME?</v>
      </c>
      <c r="G9" s="15"/>
    </row>
    <row r="10" spans="1:12" ht="15" customHeight="1" thickBot="1" x14ac:dyDescent="0.3">
      <c r="A10" s="15"/>
      <c r="B10" s="292"/>
      <c r="C10" s="293"/>
      <c r="D10" s="303"/>
      <c r="E10" s="303"/>
      <c r="F10" s="304"/>
      <c r="G10" s="15"/>
    </row>
    <row r="11" spans="1:12" x14ac:dyDescent="0.25">
      <c r="A11" s="15"/>
      <c r="B11" s="292" t="s">
        <v>225</v>
      </c>
      <c r="C11" s="293"/>
      <c r="D11" s="303" t="str">
        <f>[1]!IntrinioDataPoint(ticker,"cik")</f>
        <v/>
      </c>
      <c r="E11" s="303" t="e">
        <v>#NAME?</v>
      </c>
      <c r="F11" s="304" t="e">
        <v>#NAME?</v>
      </c>
      <c r="G11" s="15"/>
      <c r="H11" s="294" t="str">
        <f>[1]!IntrinioDataPoint(ticker,"long_description")</f>
        <v/>
      </c>
      <c r="I11" s="295"/>
      <c r="J11" s="296"/>
    </row>
    <row r="12" spans="1:12" ht="15" customHeight="1" x14ac:dyDescent="0.25">
      <c r="A12" s="15"/>
      <c r="B12" s="292" t="s">
        <v>216</v>
      </c>
      <c r="C12" s="293"/>
      <c r="D12" s="303" t="str">
        <f>[1]!IntrinioDataPoint(ticker,"country")</f>
        <v/>
      </c>
      <c r="E12" s="303" t="e">
        <v>#NAME?</v>
      </c>
      <c r="F12" s="304" t="e">
        <v>#NAME?</v>
      </c>
      <c r="G12" s="15"/>
      <c r="H12" s="297"/>
      <c r="I12" s="298"/>
      <c r="J12" s="299"/>
      <c r="L12" s="148"/>
    </row>
    <row r="13" spans="1:12" ht="15" customHeight="1" x14ac:dyDescent="0.25">
      <c r="A13" s="15"/>
      <c r="B13" s="292" t="s">
        <v>226</v>
      </c>
      <c r="C13" s="293"/>
      <c r="D13" s="303" t="str">
        <f>[1]!IntrinioDataPoint(ticker,"sic")</f>
        <v/>
      </c>
      <c r="E13" s="303" t="e">
        <v>#NAME?</v>
      </c>
      <c r="F13" s="304" t="e">
        <v>#NAME?</v>
      </c>
      <c r="G13" s="15"/>
      <c r="H13" s="297"/>
      <c r="I13" s="298"/>
      <c r="J13" s="299"/>
    </row>
    <row r="14" spans="1:12" x14ac:dyDescent="0.25">
      <c r="A14" s="15"/>
      <c r="B14" s="292" t="s">
        <v>227</v>
      </c>
      <c r="C14" s="293"/>
      <c r="D14" s="303" t="str">
        <f>[1]!IntrinioDataPoint(ticker,"stock_exchange")</f>
        <v/>
      </c>
      <c r="E14" s="303" t="e">
        <v>#NAME?</v>
      </c>
      <c r="F14" s="304" t="e">
        <v>#NAME?</v>
      </c>
      <c r="G14" s="15"/>
      <c r="H14" s="297"/>
      <c r="I14" s="298"/>
      <c r="J14" s="299"/>
    </row>
    <row r="15" spans="1:12" x14ac:dyDescent="0.25">
      <c r="A15" s="15"/>
      <c r="B15" s="292" t="s">
        <v>217</v>
      </c>
      <c r="C15" s="293"/>
      <c r="D15" s="303" t="str">
        <f>[1]!IntrinioDataPoint(ticker,"ceo")</f>
        <v/>
      </c>
      <c r="E15" s="303" t="e">
        <v>#NAME?</v>
      </c>
      <c r="F15" s="304" t="e">
        <v>#NAME?</v>
      </c>
      <c r="G15" s="15"/>
      <c r="H15" s="297"/>
      <c r="I15" s="298"/>
      <c r="J15" s="299"/>
    </row>
    <row r="16" spans="1:12" ht="15" hidden="1" customHeight="1" x14ac:dyDescent="0.25">
      <c r="A16" s="15"/>
      <c r="B16" s="149"/>
      <c r="C16" s="150"/>
      <c r="D16" s="151" t="str">
        <f>[1]!IntrinioDataPoint(ticker,"company_url")</f>
        <v/>
      </c>
      <c r="E16" s="151"/>
      <c r="F16" s="152"/>
      <c r="G16" s="15"/>
      <c r="H16" s="297"/>
      <c r="I16" s="298"/>
      <c r="J16" s="299"/>
    </row>
    <row r="17" spans="1:10" x14ac:dyDescent="0.25">
      <c r="A17" s="15"/>
      <c r="B17" s="292" t="s">
        <v>228</v>
      </c>
      <c r="C17" s="293" t="s">
        <v>229</v>
      </c>
      <c r="D17" s="305" t="str">
        <f>HYPERLINK(D16,D16)</f>
        <v/>
      </c>
      <c r="E17" s="306" t="e">
        <v>#NAME?</v>
      </c>
      <c r="F17" s="307" t="e">
        <v>#NAME?</v>
      </c>
      <c r="G17" s="15"/>
      <c r="H17" s="297"/>
      <c r="I17" s="298"/>
      <c r="J17" s="299"/>
    </row>
    <row r="18" spans="1:10" ht="15.75" thickBot="1" x14ac:dyDescent="0.3">
      <c r="A18" s="15"/>
      <c r="B18" s="153"/>
      <c r="C18" s="154"/>
      <c r="D18" s="154"/>
      <c r="E18" s="154"/>
      <c r="F18" s="155"/>
      <c r="G18" s="15"/>
      <c r="H18" s="297"/>
      <c r="I18" s="298"/>
      <c r="J18" s="299"/>
    </row>
    <row r="19" spans="1:10" ht="15.75" thickBot="1" x14ac:dyDescent="0.3">
      <c r="A19" s="15"/>
      <c r="B19" s="15"/>
      <c r="C19" s="15"/>
      <c r="D19" s="15"/>
      <c r="E19" s="15"/>
      <c r="F19" s="15"/>
      <c r="G19" s="15"/>
      <c r="H19" s="297"/>
      <c r="I19" s="298"/>
      <c r="J19" s="299"/>
    </row>
    <row r="20" spans="1:10" ht="15" customHeight="1" x14ac:dyDescent="0.25">
      <c r="A20" s="15"/>
      <c r="B20" s="308" t="str">
        <f>IF(ticker="","Last Price Data",ticker &amp; " Last Price Data")</f>
        <v>Last Price Data</v>
      </c>
      <c r="C20" s="309"/>
      <c r="D20" s="309"/>
      <c r="E20" s="309"/>
      <c r="F20" s="310"/>
      <c r="G20" s="15"/>
      <c r="H20" s="297"/>
      <c r="I20" s="298"/>
      <c r="J20" s="299"/>
    </row>
    <row r="21" spans="1:10" ht="15" customHeight="1" x14ac:dyDescent="0.25">
      <c r="A21" s="15"/>
      <c r="B21" s="311"/>
      <c r="C21" s="312"/>
      <c r="D21" s="312"/>
      <c r="E21" s="312"/>
      <c r="F21" s="313"/>
      <c r="G21" s="15"/>
      <c r="H21" s="297"/>
      <c r="I21" s="298"/>
      <c r="J21" s="299"/>
    </row>
    <row r="22" spans="1:10" x14ac:dyDescent="0.25">
      <c r="A22" s="15"/>
      <c r="B22" s="292" t="s">
        <v>230</v>
      </c>
      <c r="C22" s="293"/>
      <c r="D22" s="156" t="str">
        <f>[1]!IntrinioDataPoint(ticker,"price_date")</f>
        <v/>
      </c>
      <c r="E22" s="157"/>
      <c r="F22" s="158"/>
      <c r="G22" s="15"/>
      <c r="H22" s="297"/>
      <c r="I22" s="298"/>
      <c r="J22" s="299"/>
    </row>
    <row r="23" spans="1:10" x14ac:dyDescent="0.25">
      <c r="B23" s="292" t="s">
        <v>297</v>
      </c>
      <c r="C23" s="293"/>
      <c r="D23" s="156" t="str">
        <f>[1]!IntrinioDataPoint(ticker,"price_time")</f>
        <v/>
      </c>
      <c r="E23" s="157"/>
      <c r="F23" s="158"/>
      <c r="H23" s="297"/>
      <c r="I23" s="298"/>
      <c r="J23" s="299"/>
    </row>
    <row r="24" spans="1:10" x14ac:dyDescent="0.25">
      <c r="B24" s="292" t="s">
        <v>218</v>
      </c>
      <c r="C24" s="293"/>
      <c r="D24" s="156" t="str">
        <f>[1]!IntrinioDataPoint(ticker,"open_price")</f>
        <v/>
      </c>
      <c r="E24" s="159"/>
      <c r="F24" s="160"/>
      <c r="H24" s="297"/>
      <c r="I24" s="298"/>
      <c r="J24" s="299"/>
    </row>
    <row r="25" spans="1:10" x14ac:dyDescent="0.25">
      <c r="B25" s="292" t="s">
        <v>219</v>
      </c>
      <c r="C25" s="293"/>
      <c r="D25" s="156" t="str">
        <f>[1]!IntrinioDataPoint(ticker,"high_price")</f>
        <v/>
      </c>
      <c r="E25" s="159"/>
      <c r="F25" s="160"/>
      <c r="H25" s="297"/>
      <c r="I25" s="298"/>
      <c r="J25" s="299"/>
    </row>
    <row r="26" spans="1:10" x14ac:dyDescent="0.25">
      <c r="B26" s="292" t="s">
        <v>220</v>
      </c>
      <c r="C26" s="293"/>
      <c r="D26" s="156" t="str">
        <f>[1]!IntrinioDataPoint(ticker,"low_price")</f>
        <v/>
      </c>
      <c r="E26" s="159"/>
      <c r="F26" s="160"/>
      <c r="H26" s="297"/>
      <c r="I26" s="298"/>
      <c r="J26" s="299"/>
    </row>
    <row r="27" spans="1:10" x14ac:dyDescent="0.25">
      <c r="B27" s="292" t="s">
        <v>221</v>
      </c>
      <c r="C27" s="293"/>
      <c r="D27" s="156" t="str">
        <f>[1]!IntrinioDataPoint(ticker,"close_price")</f>
        <v/>
      </c>
      <c r="E27" s="159"/>
      <c r="F27" s="160"/>
      <c r="H27" s="297"/>
      <c r="I27" s="298"/>
      <c r="J27" s="299"/>
    </row>
    <row r="28" spans="1:10" ht="15.75" thickBot="1" x14ac:dyDescent="0.3">
      <c r="B28" s="292" t="s">
        <v>293</v>
      </c>
      <c r="C28" s="293"/>
      <c r="D28" s="213" t="str">
        <f>[1]!IntrinioDataPoint(ticker,"change")</f>
        <v/>
      </c>
      <c r="E28" s="159"/>
      <c r="F28" s="160"/>
      <c r="H28" s="300"/>
      <c r="I28" s="301"/>
      <c r="J28" s="302"/>
    </row>
    <row r="29" spans="1:10" x14ac:dyDescent="0.25">
      <c r="B29" s="292" t="s">
        <v>294</v>
      </c>
      <c r="C29" s="293"/>
      <c r="D29" s="214" t="str">
        <f>[1]!IntrinioDataPoint(ticker,"percent_change")</f>
        <v/>
      </c>
      <c r="E29" s="159"/>
      <c r="F29" s="160"/>
    </row>
    <row r="30" spans="1:10" ht="15" customHeight="1" x14ac:dyDescent="0.25">
      <c r="B30" s="292" t="s">
        <v>295</v>
      </c>
      <c r="C30" s="293"/>
      <c r="D30" s="156" t="str">
        <f>[1]!IntrinioDataPoint(ticker,"52_week_high")</f>
        <v/>
      </c>
      <c r="E30" s="159"/>
      <c r="F30" s="160"/>
    </row>
    <row r="31" spans="1:10" ht="15" customHeight="1" x14ac:dyDescent="0.25">
      <c r="B31" s="292" t="s">
        <v>296</v>
      </c>
      <c r="C31" s="293"/>
      <c r="D31" s="156" t="str">
        <f>[1]!IntrinioDataPoint(ticker,"52_week_low")</f>
        <v/>
      </c>
      <c r="E31" s="159"/>
      <c r="F31" s="160"/>
    </row>
    <row r="32" spans="1:10" x14ac:dyDescent="0.25">
      <c r="B32" s="292" t="s">
        <v>222</v>
      </c>
      <c r="C32" s="293"/>
      <c r="D32" s="161" t="str">
        <f>[1]!IntrinioDataPoint(ticker,"volume")</f>
        <v/>
      </c>
      <c r="E32" s="159"/>
      <c r="F32" s="160"/>
    </row>
    <row r="33" spans="2:6" ht="15.75" thickBot="1" x14ac:dyDescent="0.3">
      <c r="B33" s="162"/>
      <c r="C33" s="163"/>
      <c r="D33" s="163"/>
      <c r="E33" s="163"/>
      <c r="F33" s="164"/>
    </row>
  </sheetData>
  <mergeCells count="32">
    <mergeCell ref="A1:K2"/>
    <mergeCell ref="B5:F6"/>
    <mergeCell ref="B7:C7"/>
    <mergeCell ref="B9:C9"/>
    <mergeCell ref="D9:F9"/>
    <mergeCell ref="B10:C10"/>
    <mergeCell ref="D10:F10"/>
    <mergeCell ref="B11:C11"/>
    <mergeCell ref="D11:F11"/>
    <mergeCell ref="B12:C12"/>
    <mergeCell ref="D12:F12"/>
    <mergeCell ref="H11:J28"/>
    <mergeCell ref="B22:C22"/>
    <mergeCell ref="B24:C24"/>
    <mergeCell ref="B25:C25"/>
    <mergeCell ref="B26:C26"/>
    <mergeCell ref="B27:C27"/>
    <mergeCell ref="B28:C28"/>
    <mergeCell ref="D14:F14"/>
    <mergeCell ref="B15:C15"/>
    <mergeCell ref="D15:F15"/>
    <mergeCell ref="B17:C17"/>
    <mergeCell ref="D17:F17"/>
    <mergeCell ref="B20:F21"/>
    <mergeCell ref="B13:C13"/>
    <mergeCell ref="D13:F13"/>
    <mergeCell ref="B14:C14"/>
    <mergeCell ref="B23:C23"/>
    <mergeCell ref="B31:C31"/>
    <mergeCell ref="B29:C29"/>
    <mergeCell ref="B30:C30"/>
    <mergeCell ref="B32:C32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171450</xdr:colOff>
                    <xdr:row>5</xdr:row>
                    <xdr:rowOff>190500</xdr:rowOff>
                  </from>
                  <to>
                    <xdr:col>5</xdr:col>
                    <xdr:colOff>266700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I68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 activeCell="C6" sqref="C6"/>
    </sheetView>
  </sheetViews>
  <sheetFormatPr defaultColWidth="9.140625" defaultRowHeight="15" outlineLevelCol="1" x14ac:dyDescent="0.25"/>
  <cols>
    <col min="1" max="1" width="51.7109375" customWidth="1"/>
    <col min="2" max="2" width="33.85546875" style="132" customWidth="1" outlineLevel="1"/>
    <col min="3" max="3" width="3.42578125" style="132" customWidth="1"/>
    <col min="4" max="8" width="13.7109375" customWidth="1"/>
    <col min="9" max="9" width="13.7109375" customWidth="1" outlineLevel="1"/>
    <col min="10" max="14" width="13.85546875" customWidth="1"/>
    <col min="16" max="16" width="13.85546875" customWidth="1"/>
  </cols>
  <sheetData>
    <row r="1" spans="1:9" ht="26.25" customHeight="1" x14ac:dyDescent="0.35">
      <c r="A1" s="165" t="str">
        <f>[1]!IntrinioDataPoint(ticker,"name")</f>
        <v/>
      </c>
      <c r="B1" s="166"/>
      <c r="C1" s="166"/>
      <c r="D1" s="321"/>
      <c r="E1" s="321"/>
      <c r="F1" s="321"/>
      <c r="G1" s="321"/>
      <c r="H1" s="321"/>
      <c r="I1" s="204"/>
    </row>
    <row r="2" spans="1:9" ht="16.5" customHeight="1" thickBot="1" x14ac:dyDescent="0.3">
      <c r="A2" s="167" t="str">
        <f>[1]!IntrinioDataPoint(ticker,"stock_exchange")&amp;IF(ticker="","",": ") &amp;ticker</f>
        <v/>
      </c>
      <c r="B2" s="168"/>
      <c r="C2" s="168"/>
      <c r="D2" s="322"/>
      <c r="E2" s="322"/>
      <c r="F2" s="322"/>
      <c r="G2" s="322"/>
      <c r="H2" s="322"/>
      <c r="I2" s="205"/>
    </row>
    <row r="3" spans="1:9" ht="15.75" x14ac:dyDescent="0.25">
      <c r="A3" s="169"/>
      <c r="B3" s="170"/>
      <c r="C3" s="170"/>
      <c r="D3" s="171" t="str">
        <f>IFERROR([1]!IntrinioFundamentals(ticker,"income_statement","FY",4,"end_date"),"")</f>
        <v/>
      </c>
      <c r="E3" s="171" t="str">
        <f>IFERROR([1]!IntrinioFundamentals(ticker,"income_statement","FY",3,"end_date"),"")</f>
        <v/>
      </c>
      <c r="F3" s="171" t="str">
        <f>IFERROR([1]!IntrinioFundamentals(ticker,"income_statement","FY",2,"end_date"),"")</f>
        <v/>
      </c>
      <c r="G3" s="171" t="str">
        <f>IFERROR([1]!IntrinioFundamentals(ticker,"income_statement","FY",1,"end_date"),"")</f>
        <v/>
      </c>
      <c r="H3" s="171" t="str">
        <f>IFERROR([1]!IntrinioFundamentals(ticker,"income_statement","FY",0,"end_date"),"")</f>
        <v/>
      </c>
      <c r="I3" s="171" t="str">
        <f>IFERROR([1]!IntrinioFundamentals(ticker,"income_statement","TTM",0,"end_date"),"")</f>
        <v/>
      </c>
    </row>
    <row r="4" spans="1:9" ht="15.75" x14ac:dyDescent="0.25">
      <c r="A4" s="169"/>
      <c r="B4" s="170"/>
      <c r="C4" s="170"/>
      <c r="D4" s="172" t="str">
        <f>IFERROR([1]!IntrinioFundamentals(ticker,"income_statement","FY",4,"fiscal_period"),"")</f>
        <v/>
      </c>
      <c r="E4" s="172" t="str">
        <f>IFERROR([1]!IntrinioFundamentals(ticker,"income_statement","FY",3,"fiscal_period"),"")</f>
        <v/>
      </c>
      <c r="F4" s="172" t="str">
        <f>IFERROR([1]!IntrinioFundamentals(ticker,"income_statement","FY",2,"fiscal_period"),"")</f>
        <v/>
      </c>
      <c r="G4" s="172" t="str">
        <f>IFERROR([1]!IntrinioFundamentals(ticker,"income_statement","FY",1,"fiscal_period"),"")</f>
        <v/>
      </c>
      <c r="H4" s="172" t="str">
        <f>IFERROR([1]!IntrinioFundamentals(ticker,"income_statement","FY",0,"fiscal_period"),"")</f>
        <v/>
      </c>
      <c r="I4" s="172" t="str">
        <f>IFERROR([1]!IntrinioFundamentals(ticker,"income_statement","TTM",0,"fiscal_period"),"")</f>
        <v/>
      </c>
    </row>
    <row r="5" spans="1:9" ht="16.5" thickBot="1" x14ac:dyDescent="0.3">
      <c r="A5" s="173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174" t="s">
        <v>231</v>
      </c>
      <c r="C5" s="174"/>
      <c r="D5" s="175" t="str">
        <f>IFERROR([1]!IntrinioFundamentals(ticker,"income_statement","FY",4,"fiscal_year"),"")</f>
        <v/>
      </c>
      <c r="E5" s="175" t="str">
        <f>IFERROR([1]!IntrinioFundamentals(ticker,"income_statement","FY",3,"fiscal_year"),"")</f>
        <v/>
      </c>
      <c r="F5" s="175" t="str">
        <f>IFERROR([1]!IntrinioFundamentals(ticker,"income_statement","FY",2,"fiscal_year"),"")</f>
        <v/>
      </c>
      <c r="G5" s="175" t="str">
        <f>IFERROR([1]!IntrinioFundamentals(ticker,"income_statement","FY",1,"fiscal_year"),"")</f>
        <v/>
      </c>
      <c r="H5" s="175" t="str">
        <f>IFERROR([1]!IntrinioFundamentals(ticker,"income_statement","FY",0,"fiscal_year"),"")</f>
        <v/>
      </c>
      <c r="I5" s="175" t="str">
        <f>IFERROR([1]!IntrinioFundamentals(ticker,"income_statement","TTM",0,"fiscal_year"),"")</f>
        <v/>
      </c>
    </row>
    <row r="6" spans="1:9" ht="15.75" x14ac:dyDescent="0.2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25">
      <c r="A7" s="8" t="s">
        <v>93</v>
      </c>
      <c r="B7" s="1" t="s">
        <v>118</v>
      </c>
      <c r="C7" s="129"/>
      <c r="D7" s="215" t="str">
        <f>IFERROR([1]!IntrinioFinancials(ticker,"income_statement",4,"FY",$B7,rounding),"")</f>
        <v/>
      </c>
      <c r="E7" s="215" t="str">
        <f>IFERROR([1]!IntrinioFinancials(ticker,"income_statement",3,"FY",$B7,rounding),"")</f>
        <v/>
      </c>
      <c r="F7" s="215" t="str">
        <f>IFERROR([1]!IntrinioFinancials(ticker,"income_statement",2,"FY",$B7,rounding),"")</f>
        <v/>
      </c>
      <c r="G7" s="215" t="str">
        <f>IFERROR([1]!IntrinioFinancials(ticker,"income_statement",1,"FY",$B7,rounding),"")</f>
        <v/>
      </c>
      <c r="H7" s="215" t="str">
        <f>IFERROR([1]!IntrinioFinancials(ticker,"income_statement",0,"FY",$B7,rounding),"")</f>
        <v/>
      </c>
      <c r="I7" s="215" t="str">
        <f>IFERROR([1]!IntrinioFinancials(ticker,"income_statement",0,"TTM",$B7,rounding),"")</f>
        <v/>
      </c>
    </row>
    <row r="8" spans="1:9" ht="15.75" x14ac:dyDescent="0.25">
      <c r="A8" s="8" t="s">
        <v>94</v>
      </c>
      <c r="B8" s="1" t="s">
        <v>120</v>
      </c>
      <c r="C8" s="130"/>
      <c r="D8" s="216" t="str">
        <f>IFERROR([1]!IntrinioFinancials(ticker,"income_statement",4,"FY",$B8,rounding),"")</f>
        <v/>
      </c>
      <c r="E8" s="216" t="str">
        <f>IFERROR([1]!IntrinioFinancials(ticker,"income_statement",3,"FY",$B8,rounding),"")</f>
        <v/>
      </c>
      <c r="F8" s="216" t="str">
        <f>IFERROR([1]!IntrinioFinancials(ticker,"income_statement",2,"FY",$B8,rounding),"")</f>
        <v/>
      </c>
      <c r="G8" s="216" t="str">
        <f>IFERROR([1]!IntrinioFinancials(ticker,"income_statement",1,"FY",$B8,rounding),"")</f>
        <v/>
      </c>
      <c r="H8" s="216" t="str">
        <f>IFERROR([1]!IntrinioFinancials(ticker,"income_statement",0,"FY",$B8,rounding),"")</f>
        <v/>
      </c>
      <c r="I8" s="216" t="str">
        <f>IFERROR([1]!IntrinioFinancials(ticker,"income_statement",0,"TTM",$B8,rounding),"")</f>
        <v/>
      </c>
    </row>
    <row r="9" spans="1:9" ht="15.75" x14ac:dyDescent="0.25">
      <c r="A9" s="176" t="s">
        <v>22</v>
      </c>
      <c r="B9" s="1" t="s">
        <v>119</v>
      </c>
      <c r="C9" s="130"/>
      <c r="D9" s="217" t="str">
        <f>IFERROR([1]!IntrinioFinancials(ticker,"income_statement",4,"FY",$B9,rounding),"")</f>
        <v/>
      </c>
      <c r="E9" s="217" t="str">
        <f>IFERROR([1]!IntrinioFinancials(ticker,"income_statement",3,"FY",$B9,rounding),"")</f>
        <v/>
      </c>
      <c r="F9" s="217" t="str">
        <f>IFERROR([1]!IntrinioFinancials(ticker,"income_statement",2,"FY",$B9,rounding),"")</f>
        <v/>
      </c>
      <c r="G9" s="217" t="str">
        <f>IFERROR([1]!IntrinioFinancials(ticker,"income_statement",1,"FY",$B9,rounding),"")</f>
        <v/>
      </c>
      <c r="H9" s="217" t="str">
        <f>IFERROR([1]!IntrinioFinancials(ticker,"income_statement",0,"FY",$B9,rounding),"")</f>
        <v/>
      </c>
      <c r="I9" s="217" t="str">
        <f>IFERROR([1]!IntrinioFinancials(ticker,"income_statement",0,"TTM",$B9,rounding),"")</f>
        <v/>
      </c>
    </row>
    <row r="10" spans="1:9" ht="7.5" customHeight="1" x14ac:dyDescent="0.25">
      <c r="C10" s="130"/>
      <c r="D10" s="218"/>
      <c r="E10" s="218"/>
      <c r="F10" s="218"/>
      <c r="G10" s="218"/>
      <c r="H10" s="218"/>
      <c r="I10" s="218"/>
    </row>
    <row r="11" spans="1:9" ht="15.75" x14ac:dyDescent="0.25">
      <c r="A11" s="3" t="s">
        <v>100</v>
      </c>
      <c r="B11" s="1" t="s">
        <v>122</v>
      </c>
      <c r="C11" s="130"/>
      <c r="D11" s="215" t="str">
        <f>IFERROR([1]!IntrinioFinancials(ticker,"income_statement",4,"FY",$B11,rounding),"")</f>
        <v/>
      </c>
      <c r="E11" s="215" t="str">
        <f>IFERROR([1]!IntrinioFinancials(ticker,"income_statement",3,"FY",$B11,rounding),"")</f>
        <v/>
      </c>
      <c r="F11" s="215" t="str">
        <f>IFERROR([1]!IntrinioFinancials(ticker,"income_statement",2,"FY",$B11,rounding),"")</f>
        <v/>
      </c>
      <c r="G11" s="215" t="str">
        <f>IFERROR([1]!IntrinioFinancials(ticker,"income_statement",1,"FY",$B11,rounding),"")</f>
        <v/>
      </c>
      <c r="H11" s="215" t="str">
        <f>IFERROR([1]!IntrinioFinancials(ticker,"income_statement",0,"FY",$B11,rounding),"")</f>
        <v/>
      </c>
      <c r="I11" s="215" t="str">
        <f>IFERROR([1]!IntrinioFinancials(ticker,"income_statement",0,"TTM",$B11,rounding),"")</f>
        <v/>
      </c>
    </row>
    <row r="12" spans="1:9" ht="15.75" x14ac:dyDescent="0.25">
      <c r="A12" s="5" t="s">
        <v>101</v>
      </c>
      <c r="B12" s="1" t="s">
        <v>124</v>
      </c>
      <c r="C12" s="130"/>
      <c r="D12" s="216" t="str">
        <f>IFERROR([1]!IntrinioFinancials(ticker,"income_statement",4,"FY",$B12,rounding),"")</f>
        <v/>
      </c>
      <c r="E12" s="216" t="str">
        <f>IFERROR([1]!IntrinioFinancials(ticker,"income_statement",3,"FY",$B12,rounding),"")</f>
        <v/>
      </c>
      <c r="F12" s="216" t="str">
        <f>IFERROR([1]!IntrinioFinancials(ticker,"income_statement",2,"FY",$B12,rounding),"")</f>
        <v/>
      </c>
      <c r="G12" s="216" t="str">
        <f>IFERROR([1]!IntrinioFinancials(ticker,"income_statement",1,"FY",$B12,rounding),"")</f>
        <v/>
      </c>
      <c r="H12" s="216" t="str">
        <f>IFERROR([1]!IntrinioFinancials(ticker,"income_statement",0,"FY",$B12,rounding),"")</f>
        <v/>
      </c>
      <c r="I12" s="216" t="str">
        <f>IFERROR([1]!IntrinioFinancials(ticker,"income_statement",0,"TTM",$B12,rounding),"")</f>
        <v/>
      </c>
    </row>
    <row r="13" spans="1:9" ht="15.75" x14ac:dyDescent="0.25">
      <c r="A13" s="176" t="s">
        <v>115</v>
      </c>
      <c r="B13" s="1" t="s">
        <v>123</v>
      </c>
      <c r="C13" s="130"/>
      <c r="D13" s="217" t="str">
        <f>IFERROR([1]!IntrinioFinancials(ticker,"income_statement",4,"FY",$B13,rounding),"")</f>
        <v/>
      </c>
      <c r="E13" s="217" t="str">
        <f>IFERROR([1]!IntrinioFinancials(ticker,"income_statement",3,"FY",$B13,rounding),"")</f>
        <v/>
      </c>
      <c r="F13" s="217" t="str">
        <f>IFERROR([1]!IntrinioFinancials(ticker,"income_statement",2,"FY",$B13,rounding),"")</f>
        <v/>
      </c>
      <c r="G13" s="217" t="str">
        <f>IFERROR([1]!IntrinioFinancials(ticker,"income_statement",1,"FY",$B13,rounding),"")</f>
        <v/>
      </c>
      <c r="H13" s="217" t="str">
        <f>IFERROR([1]!IntrinioFinancials(ticker,"income_statement",0,"FY",$B13,rounding),"")</f>
        <v/>
      </c>
      <c r="I13" s="217" t="str">
        <f>IFERROR([1]!IntrinioFinancials(ticker,"income_statement",0,"TTM",$B13,rounding),"")</f>
        <v/>
      </c>
    </row>
    <row r="14" spans="1:9" ht="7.5" customHeight="1" x14ac:dyDescent="0.25">
      <c r="A14" s="3"/>
      <c r="C14" s="130"/>
      <c r="D14" s="218"/>
      <c r="E14" s="218"/>
      <c r="F14" s="218"/>
      <c r="G14" s="218"/>
      <c r="H14" s="218"/>
      <c r="I14" s="218"/>
    </row>
    <row r="15" spans="1:9" ht="15.75" x14ac:dyDescent="0.25">
      <c r="A15" s="176" t="s">
        <v>125</v>
      </c>
      <c r="B15" s="1" t="s">
        <v>121</v>
      </c>
      <c r="C15" s="130"/>
      <c r="D15" s="217" t="str">
        <f>IFERROR([1]!IntrinioFinancials(ticker,"income_statement",4,"FY",$B15,rounding),"")</f>
        <v/>
      </c>
      <c r="E15" s="217" t="str">
        <f>IFERROR([1]!IntrinioFinancials(ticker,"income_statement",3,"FY",$B15,rounding),"")</f>
        <v/>
      </c>
      <c r="F15" s="217" t="str">
        <f>IFERROR([1]!IntrinioFinancials(ticker,"income_statement",2,"FY",$B15,rounding),"")</f>
        <v/>
      </c>
      <c r="G15" s="217" t="str">
        <f>IFERROR([1]!IntrinioFinancials(ticker,"income_statement",1,"FY",$B15,rounding),"")</f>
        <v/>
      </c>
      <c r="H15" s="217" t="str">
        <f>IFERROR([1]!IntrinioFinancials(ticker,"income_statement",0,"FY",$B15,rounding),"")</f>
        <v/>
      </c>
      <c r="I15" s="217" t="str">
        <f>IFERROR([1]!IntrinioFinancials(ticker,"income_statement",0,"TTM",$B15,rounding),"")</f>
        <v/>
      </c>
    </row>
    <row r="16" spans="1:9" ht="7.5" customHeight="1" x14ac:dyDescent="0.25">
      <c r="A16" s="3"/>
      <c r="C16" s="1"/>
      <c r="D16" s="218"/>
      <c r="E16" s="218"/>
      <c r="F16" s="218"/>
      <c r="G16" s="218"/>
      <c r="H16" s="218"/>
      <c r="I16" s="218"/>
    </row>
    <row r="17" spans="1:9" ht="15.75" x14ac:dyDescent="0.25">
      <c r="A17" s="2" t="s">
        <v>127</v>
      </c>
      <c r="B17" s="1" t="s">
        <v>128</v>
      </c>
      <c r="C17" s="1"/>
      <c r="D17" s="215" t="str">
        <f>IFERROR([1]!IntrinioFinancials(ticker,"income_statement",4,"FY",$B17,rounding),"")</f>
        <v/>
      </c>
      <c r="E17" s="215" t="str">
        <f>IFERROR([1]!IntrinioFinancials(ticker,"income_statement",3,"FY",$B17,rounding),"")</f>
        <v/>
      </c>
      <c r="F17" s="215" t="str">
        <f>IFERROR([1]!IntrinioFinancials(ticker,"income_statement",2,"FY",$B17,rounding),"")</f>
        <v/>
      </c>
      <c r="G17" s="215" t="str">
        <f>IFERROR([1]!IntrinioFinancials(ticker,"income_statement",1,"FY",$B17,rounding),"")</f>
        <v/>
      </c>
      <c r="H17" s="215" t="str">
        <f>IFERROR([1]!IntrinioFinancials(ticker,"income_statement",0,"FY",$B17,rounding),"")</f>
        <v/>
      </c>
      <c r="I17" s="215" t="str">
        <f>IFERROR([1]!IntrinioFinancials(ticker,"income_statement",0,"TTM",$B17,rounding),"")</f>
        <v/>
      </c>
    </row>
    <row r="18" spans="1:9" ht="15.75" x14ac:dyDescent="0.25">
      <c r="A18" s="2" t="s">
        <v>95</v>
      </c>
      <c r="B18" s="1" t="s">
        <v>130</v>
      </c>
      <c r="C18" s="130"/>
      <c r="D18" s="215" t="str">
        <f>IFERROR([1]!IntrinioFinancials(ticker,"income_statement",4,"FY",$B18,rounding),"")</f>
        <v/>
      </c>
      <c r="E18" s="215" t="str">
        <f>IFERROR([1]!IntrinioFinancials(ticker,"income_statement",3,"FY",$B18,rounding),"")</f>
        <v/>
      </c>
      <c r="F18" s="215" t="str">
        <f>IFERROR([1]!IntrinioFinancials(ticker,"income_statement",2,"FY",$B18,rounding),"")</f>
        <v/>
      </c>
      <c r="G18" s="215" t="str">
        <f>IFERROR([1]!IntrinioFinancials(ticker,"income_statement",1,"FY",$B18,rounding),"")</f>
        <v/>
      </c>
      <c r="H18" s="215" t="str">
        <f>IFERROR([1]!IntrinioFinancials(ticker,"income_statement",0,"FY",$B18,rounding),"")</f>
        <v/>
      </c>
      <c r="I18" s="215" t="str">
        <f>IFERROR([1]!IntrinioFinancials(ticker,"income_statement",0,"TTM",$B18,rounding),"")</f>
        <v/>
      </c>
    </row>
    <row r="19" spans="1:9" ht="15.75" x14ac:dyDescent="0.25">
      <c r="A19" s="2" t="s">
        <v>131</v>
      </c>
      <c r="B19" s="1" t="s">
        <v>132</v>
      </c>
      <c r="C19" s="130"/>
      <c r="D19" s="215" t="str">
        <f>IFERROR([1]!IntrinioFinancials(ticker,"income_statement",4,"FY",$B19,rounding),"")</f>
        <v/>
      </c>
      <c r="E19" s="215" t="str">
        <f>IFERROR([1]!IntrinioFinancials(ticker,"income_statement",3,"FY",$B19,rounding),"")</f>
        <v/>
      </c>
      <c r="F19" s="215" t="str">
        <f>IFERROR([1]!IntrinioFinancials(ticker,"income_statement",2,"FY",$B19,rounding),"")</f>
        <v/>
      </c>
      <c r="G19" s="215" t="str">
        <f>IFERROR([1]!IntrinioFinancials(ticker,"income_statement",1,"FY",$B19,rounding),"")</f>
        <v/>
      </c>
      <c r="H19" s="215" t="str">
        <f>IFERROR([1]!IntrinioFinancials(ticker,"income_statement",0,"FY",$B19,rounding),"")</f>
        <v/>
      </c>
      <c r="I19" s="215" t="str">
        <f>IFERROR([1]!IntrinioFinancials(ticker,"income_statement",0,"TTM",$B19,rounding),"")</f>
        <v/>
      </c>
    </row>
    <row r="20" spans="1:9" ht="15.75" x14ac:dyDescent="0.25">
      <c r="A20" s="2" t="s">
        <v>96</v>
      </c>
      <c r="B20" s="1" t="s">
        <v>133</v>
      </c>
      <c r="C20" s="130"/>
      <c r="D20" s="215" t="str">
        <f>IFERROR([1]!IntrinioFinancials(ticker,"income_statement",4,"FY",$B20,rounding),"")</f>
        <v/>
      </c>
      <c r="E20" s="215" t="str">
        <f>IFERROR([1]!IntrinioFinancials(ticker,"income_statement",3,"FY",$B20,rounding),"")</f>
        <v/>
      </c>
      <c r="F20" s="215" t="str">
        <f>IFERROR([1]!IntrinioFinancials(ticker,"income_statement",2,"FY",$B20,rounding),"")</f>
        <v/>
      </c>
      <c r="G20" s="215" t="str">
        <f>IFERROR([1]!IntrinioFinancials(ticker,"income_statement",1,"FY",$B20,rounding),"")</f>
        <v/>
      </c>
      <c r="H20" s="215" t="str">
        <f>IFERROR([1]!IntrinioFinancials(ticker,"income_statement",0,"FY",$B20,rounding),"")</f>
        <v/>
      </c>
      <c r="I20" s="215" t="str">
        <f>IFERROR([1]!IntrinioFinancials(ticker,"income_statement",0,"TTM",$B20,rounding),"")</f>
        <v/>
      </c>
    </row>
    <row r="21" spans="1:9" ht="15.75" x14ac:dyDescent="0.25">
      <c r="A21" s="2" t="s">
        <v>134</v>
      </c>
      <c r="B21" s="1" t="s">
        <v>135</v>
      </c>
      <c r="C21" s="130"/>
      <c r="D21" s="215" t="str">
        <f>IFERROR([1]!IntrinioFinancials(ticker,"income_statement",4,"FY",$B21,rounding),"")</f>
        <v/>
      </c>
      <c r="E21" s="215" t="str">
        <f>IFERROR([1]!IntrinioFinancials(ticker,"income_statement",3,"FY",$B21,rounding),"")</f>
        <v/>
      </c>
      <c r="F21" s="215" t="str">
        <f>IFERROR([1]!IntrinioFinancials(ticker,"income_statement",2,"FY",$B21,rounding),"")</f>
        <v/>
      </c>
      <c r="G21" s="215" t="str">
        <f>IFERROR([1]!IntrinioFinancials(ticker,"income_statement",1,"FY",$B21,rounding),"")</f>
        <v/>
      </c>
      <c r="H21" s="215" t="str">
        <f>IFERROR([1]!IntrinioFinancials(ticker,"income_statement",0,"FY",$B21,rounding),"")</f>
        <v/>
      </c>
      <c r="I21" s="215" t="str">
        <f>IFERROR([1]!IntrinioFinancials(ticker,"income_statement",0,"TTM",$B21,rounding),"")</f>
        <v/>
      </c>
    </row>
    <row r="22" spans="1:9" ht="15.75" x14ac:dyDescent="0.25">
      <c r="A22" s="2" t="s">
        <v>136</v>
      </c>
      <c r="B22" s="1" t="s">
        <v>137</v>
      </c>
      <c r="C22" s="130"/>
      <c r="D22" s="215" t="str">
        <f>IFERROR([1]!IntrinioFinancials(ticker,"income_statement",4,"FY",$B22,rounding),"")</f>
        <v/>
      </c>
      <c r="E22" s="215" t="str">
        <f>IFERROR([1]!IntrinioFinancials(ticker,"income_statement",3,"FY",$B22,rounding),"")</f>
        <v/>
      </c>
      <c r="F22" s="215" t="str">
        <f>IFERROR([1]!IntrinioFinancials(ticker,"income_statement",2,"FY",$B22,rounding),"")</f>
        <v/>
      </c>
      <c r="G22" s="215" t="str">
        <f>IFERROR([1]!IntrinioFinancials(ticker,"income_statement",1,"FY",$B22,rounding),"")</f>
        <v/>
      </c>
      <c r="H22" s="215" t="str">
        <f>IFERROR([1]!IntrinioFinancials(ticker,"income_statement",0,"FY",$B22,rounding),"")</f>
        <v/>
      </c>
      <c r="I22" s="215" t="str">
        <f>IFERROR([1]!IntrinioFinancials(ticker,"income_statement",0,"TTM",$B22,rounding),"")</f>
        <v/>
      </c>
    </row>
    <row r="23" spans="1:9" ht="15.75" x14ac:dyDescent="0.25">
      <c r="A23" s="2" t="s">
        <v>97</v>
      </c>
      <c r="B23" s="1" t="s">
        <v>138</v>
      </c>
      <c r="C23" s="130"/>
      <c r="D23" s="215" t="str">
        <f>IFERROR([1]!IntrinioFinancials(ticker,"income_statement",4,"FY",$B23,rounding),"")</f>
        <v/>
      </c>
      <c r="E23" s="215" t="str">
        <f>IFERROR([1]!IntrinioFinancials(ticker,"income_statement",3,"FY",$B23,rounding),"")</f>
        <v/>
      </c>
      <c r="F23" s="215" t="str">
        <f>IFERROR([1]!IntrinioFinancials(ticker,"income_statement",2,"FY",$B23,rounding),"")</f>
        <v/>
      </c>
      <c r="G23" s="215" t="str">
        <f>IFERROR([1]!IntrinioFinancials(ticker,"income_statement",1,"FY",$B23,rounding),"")</f>
        <v/>
      </c>
      <c r="H23" s="215" t="str">
        <f>IFERROR([1]!IntrinioFinancials(ticker,"income_statement",0,"FY",$B23,rounding),"")</f>
        <v/>
      </c>
      <c r="I23" s="215" t="str">
        <f>IFERROR([1]!IntrinioFinancials(ticker,"income_statement",0,"TTM",$B23,rounding),"")</f>
        <v/>
      </c>
    </row>
    <row r="24" spans="1:9" ht="15.75" x14ac:dyDescent="0.25">
      <c r="A24" s="2" t="s">
        <v>232</v>
      </c>
      <c r="B24" s="1" t="s">
        <v>139</v>
      </c>
      <c r="C24" s="130"/>
      <c r="D24" s="215" t="str">
        <f>IFERROR([1]!IntrinioFinancials(ticker,"income_statement",4,"FY",$B24,rounding),"")</f>
        <v/>
      </c>
      <c r="E24" s="215" t="str">
        <f>IFERROR([1]!IntrinioFinancials(ticker,"income_statement",3,"FY",$B24,rounding),"")</f>
        <v/>
      </c>
      <c r="F24" s="215" t="str">
        <f>IFERROR([1]!IntrinioFinancials(ticker,"income_statement",2,"FY",$B24,rounding),"")</f>
        <v/>
      </c>
      <c r="G24" s="215" t="str">
        <f>IFERROR([1]!IntrinioFinancials(ticker,"income_statement",1,"FY",$B24,rounding),"")</f>
        <v/>
      </c>
      <c r="H24" s="215" t="str">
        <f>IFERROR([1]!IntrinioFinancials(ticker,"income_statement",0,"FY",$B24,rounding),"")</f>
        <v/>
      </c>
      <c r="I24" s="215" t="str">
        <f>IFERROR([1]!IntrinioFinancials(ticker,"income_statement",0,"TTM",$B24,rounding),"")</f>
        <v/>
      </c>
    </row>
    <row r="25" spans="1:9" ht="15.75" x14ac:dyDescent="0.25">
      <c r="A25" s="2" t="s">
        <v>98</v>
      </c>
      <c r="B25" s="1" t="s">
        <v>140</v>
      </c>
      <c r="C25" s="130"/>
      <c r="D25" s="215" t="str">
        <f>IFERROR([1]!IntrinioFinancials(ticker,"income_statement",4,"FY",$B25,rounding),"")</f>
        <v/>
      </c>
      <c r="E25" s="215" t="str">
        <f>IFERROR([1]!IntrinioFinancials(ticker,"income_statement",3,"FY",$B25,rounding),"")</f>
        <v/>
      </c>
      <c r="F25" s="215" t="str">
        <f>IFERROR([1]!IntrinioFinancials(ticker,"income_statement",2,"FY",$B25,rounding),"")</f>
        <v/>
      </c>
      <c r="G25" s="215" t="str">
        <f>IFERROR([1]!IntrinioFinancials(ticker,"income_statement",1,"FY",$B25,rounding),"")</f>
        <v/>
      </c>
      <c r="H25" s="215" t="str">
        <f>IFERROR([1]!IntrinioFinancials(ticker,"income_statement",0,"FY",$B25,rounding),"")</f>
        <v/>
      </c>
      <c r="I25" s="215" t="str">
        <f>IFERROR([1]!IntrinioFinancials(ticker,"income_statement",0,"TTM",$B25,rounding),"")</f>
        <v/>
      </c>
    </row>
    <row r="26" spans="1:9" ht="15.75" x14ac:dyDescent="0.25">
      <c r="A26" s="2" t="s">
        <v>99</v>
      </c>
      <c r="B26" s="1" t="s">
        <v>141</v>
      </c>
      <c r="C26" s="130"/>
      <c r="D26" s="215" t="str">
        <f>IFERROR([1]!IntrinioFinancials(ticker,"income_statement",4,"FY",$B26,rounding),"")</f>
        <v/>
      </c>
      <c r="E26" s="215" t="str">
        <f>IFERROR([1]!IntrinioFinancials(ticker,"income_statement",3,"FY",$B26,rounding),"")</f>
        <v/>
      </c>
      <c r="F26" s="215" t="str">
        <f>IFERROR([1]!IntrinioFinancials(ticker,"income_statement",2,"FY",$B26,rounding),"")</f>
        <v/>
      </c>
      <c r="G26" s="215" t="str">
        <f>IFERROR([1]!IntrinioFinancials(ticker,"income_statement",1,"FY",$B26,rounding),"")</f>
        <v/>
      </c>
      <c r="H26" s="215" t="str">
        <f>IFERROR([1]!IntrinioFinancials(ticker,"income_statement",0,"FY",$B26,rounding),"")</f>
        <v/>
      </c>
      <c r="I26" s="215" t="str">
        <f>IFERROR([1]!IntrinioFinancials(ticker,"income_statement",0,"TTM",$B26,rounding),"")</f>
        <v/>
      </c>
    </row>
    <row r="27" spans="1:9" ht="15.75" x14ac:dyDescent="0.25">
      <c r="A27" s="2" t="s">
        <v>233</v>
      </c>
      <c r="B27" s="1" t="s">
        <v>142</v>
      </c>
      <c r="C27" s="130"/>
      <c r="D27" s="215" t="str">
        <f>IFERROR([1]!IntrinioFinancials(ticker,"income_statement",4,"FY",$B27,rounding),"")</f>
        <v/>
      </c>
      <c r="E27" s="215" t="str">
        <f>IFERROR([1]!IntrinioFinancials(ticker,"income_statement",3,"FY",$B27,rounding),"")</f>
        <v/>
      </c>
      <c r="F27" s="215" t="str">
        <f>IFERROR([1]!IntrinioFinancials(ticker,"income_statement",2,"FY",$B27,rounding),"")</f>
        <v/>
      </c>
      <c r="G27" s="215" t="str">
        <f>IFERROR([1]!IntrinioFinancials(ticker,"income_statement",1,"FY",$B27,rounding),"")</f>
        <v/>
      </c>
      <c r="H27" s="215" t="str">
        <f>IFERROR([1]!IntrinioFinancials(ticker,"income_statement",0,"FY",$B27,rounding),"")</f>
        <v/>
      </c>
      <c r="I27" s="215" t="str">
        <f>IFERROR([1]!IntrinioFinancials(ticker,"income_statement",0,"TTM",$B27,rounding),"")</f>
        <v/>
      </c>
    </row>
    <row r="28" spans="1:9" ht="15.75" x14ac:dyDescent="0.25">
      <c r="A28" s="176" t="s">
        <v>21</v>
      </c>
      <c r="B28" s="1" t="s">
        <v>129</v>
      </c>
      <c r="C28" s="1"/>
      <c r="D28" s="219" t="str">
        <f>IFERROR([1]!IntrinioFinancials(ticker,"income_statement",4,"FY",$B28,rounding),"")</f>
        <v/>
      </c>
      <c r="E28" s="219" t="str">
        <f>IFERROR([1]!IntrinioFinancials(ticker,"income_statement",3,"FY",$B28,rounding),"")</f>
        <v/>
      </c>
      <c r="F28" s="219" t="str">
        <f>IFERROR([1]!IntrinioFinancials(ticker,"income_statement",2,"FY",$B28,rounding),"")</f>
        <v/>
      </c>
      <c r="G28" s="219" t="str">
        <f>IFERROR([1]!IntrinioFinancials(ticker,"income_statement",1,"FY",$B28,rounding),"")</f>
        <v/>
      </c>
      <c r="H28" s="219" t="str">
        <f>IFERROR([1]!IntrinioFinancials(ticker,"income_statement",0,"FY",$B28,rounding),"")</f>
        <v/>
      </c>
      <c r="I28" s="219" t="str">
        <f>IFERROR([1]!IntrinioFinancials(ticker,"income_statement",0,"TTM",$B28,rounding),"")</f>
        <v/>
      </c>
    </row>
    <row r="29" spans="1:9" ht="7.5" customHeight="1" x14ac:dyDescent="0.25">
      <c r="A29" s="4"/>
      <c r="B29" s="1"/>
      <c r="C29" s="1"/>
      <c r="D29" s="217"/>
      <c r="E29" s="217"/>
      <c r="F29" s="217"/>
      <c r="G29" s="217"/>
      <c r="H29" s="217"/>
      <c r="I29" s="217"/>
    </row>
    <row r="30" spans="1:9" ht="15.75" x14ac:dyDescent="0.25">
      <c r="A30" s="176" t="s">
        <v>143</v>
      </c>
      <c r="B30" s="1" t="s">
        <v>126</v>
      </c>
      <c r="C30" s="130"/>
      <c r="D30" s="217" t="str">
        <f>IFERROR([1]!IntrinioFinancials(ticker,"income_statement",4,"FY",$B30,rounding),"")</f>
        <v/>
      </c>
      <c r="E30" s="217" t="str">
        <f>IFERROR([1]!IntrinioFinancials(ticker,"income_statement",3,"FY",$B30,rounding),"")</f>
        <v/>
      </c>
      <c r="F30" s="217" t="str">
        <f>IFERROR([1]!IntrinioFinancials(ticker,"income_statement",2,"FY",$B30,rounding),"")</f>
        <v/>
      </c>
      <c r="G30" s="217" t="str">
        <f>IFERROR([1]!IntrinioFinancials(ticker,"income_statement",1,"FY",$B30,rounding),"")</f>
        <v/>
      </c>
      <c r="H30" s="217" t="str">
        <f>IFERROR([1]!IntrinioFinancials(ticker,"income_statement",0,"FY",$B30,rounding),"")</f>
        <v/>
      </c>
      <c r="I30" s="217" t="str">
        <f>IFERROR([1]!IntrinioFinancials(ticker,"income_statement",0,"TTM",$B30,rounding),"")</f>
        <v/>
      </c>
    </row>
    <row r="31" spans="1:9" ht="9" customHeight="1" x14ac:dyDescent="0.25">
      <c r="A31" s="6"/>
      <c r="B31" s="133"/>
      <c r="C31" s="130"/>
      <c r="D31" s="217"/>
      <c r="E31" s="217"/>
      <c r="F31" s="217"/>
      <c r="G31" s="217"/>
      <c r="H31" s="217"/>
      <c r="I31" s="217"/>
    </row>
    <row r="32" spans="1:9" ht="15.75" x14ac:dyDescent="0.25">
      <c r="A32" s="2" t="s">
        <v>0</v>
      </c>
      <c r="B32" s="1" t="s">
        <v>145</v>
      </c>
      <c r="C32" s="130"/>
      <c r="D32" s="215" t="str">
        <f>IFERROR([1]!IntrinioFinancials(ticker,"income_statement",4,"FY",$B32,rounding),"")</f>
        <v/>
      </c>
      <c r="E32" s="215" t="str">
        <f>IFERROR([1]!IntrinioFinancials(ticker,"income_statement",3,"FY",$B32,rounding),"")</f>
        <v/>
      </c>
      <c r="F32" s="215" t="str">
        <f>IFERROR([1]!IntrinioFinancials(ticker,"income_statement",2,"FY",$B32,rounding),"")</f>
        <v/>
      </c>
      <c r="G32" s="215" t="str">
        <f>IFERROR([1]!IntrinioFinancials(ticker,"income_statement",1,"FY",$B32,rounding),"")</f>
        <v/>
      </c>
      <c r="H32" s="215" t="str">
        <f>IFERROR([1]!IntrinioFinancials(ticker,"income_statement",0,"FY",$B32,rounding),"")</f>
        <v/>
      </c>
      <c r="I32" s="215" t="str">
        <f>IFERROR([1]!IntrinioFinancials(ticker,"income_statement",0,"TTM",$B32,rounding),"")</f>
        <v/>
      </c>
    </row>
    <row r="33" spans="1:9" ht="15.75" x14ac:dyDescent="0.25">
      <c r="A33" s="2" t="s">
        <v>234</v>
      </c>
      <c r="B33" s="1" t="s">
        <v>147</v>
      </c>
      <c r="C33" s="130"/>
      <c r="D33" s="215" t="str">
        <f>IFERROR([1]!IntrinioFinancials(ticker,"income_statement",4,"FY",$B33,rounding),"")</f>
        <v/>
      </c>
      <c r="E33" s="215" t="str">
        <f>IFERROR([1]!IntrinioFinancials(ticker,"income_statement",3,"FY",$B33,rounding),"")</f>
        <v/>
      </c>
      <c r="F33" s="215" t="str">
        <f>IFERROR([1]!IntrinioFinancials(ticker,"income_statement",2,"FY",$B33,rounding),"")</f>
        <v/>
      </c>
      <c r="G33" s="215" t="str">
        <f>IFERROR([1]!IntrinioFinancials(ticker,"income_statement",1,"FY",$B33,rounding),"")</f>
        <v/>
      </c>
      <c r="H33" s="215" t="str">
        <f>IFERROR([1]!IntrinioFinancials(ticker,"income_statement",0,"FY",$B33,rounding),"")</f>
        <v/>
      </c>
      <c r="I33" s="215" t="str">
        <f>IFERROR([1]!IntrinioFinancials(ticker,"income_statement",0,"TTM",$B33,rounding),"")</f>
        <v/>
      </c>
    </row>
    <row r="34" spans="1:9" ht="15.75" x14ac:dyDescent="0.25">
      <c r="A34" s="2" t="s">
        <v>148</v>
      </c>
      <c r="B34" s="1" t="s">
        <v>149</v>
      </c>
      <c r="C34" s="130"/>
      <c r="D34" s="215" t="str">
        <f>IFERROR([1]!IntrinioFinancials(ticker,"income_statement",4,"FY",$B34,rounding),"")</f>
        <v/>
      </c>
      <c r="E34" s="215" t="str">
        <f>IFERROR([1]!IntrinioFinancials(ticker,"income_statement",3,"FY",$B34,rounding),"")</f>
        <v/>
      </c>
      <c r="F34" s="215" t="str">
        <f>IFERROR([1]!IntrinioFinancials(ticker,"income_statement",2,"FY",$B34,rounding),"")</f>
        <v/>
      </c>
      <c r="G34" s="215" t="str">
        <f>IFERROR([1]!IntrinioFinancials(ticker,"income_statement",1,"FY",$B34,rounding),"")</f>
        <v/>
      </c>
      <c r="H34" s="215" t="str">
        <f>IFERROR([1]!IntrinioFinancials(ticker,"income_statement",0,"FY",$B34,rounding),"")</f>
        <v/>
      </c>
      <c r="I34" s="215" t="str">
        <f>IFERROR([1]!IntrinioFinancials(ticker,"income_statement",0,"TTM",$B34,rounding),"")</f>
        <v/>
      </c>
    </row>
    <row r="35" spans="1:9" ht="15.75" x14ac:dyDescent="0.25">
      <c r="A35" s="176" t="s">
        <v>114</v>
      </c>
      <c r="B35" s="1" t="s">
        <v>146</v>
      </c>
      <c r="C35" s="130"/>
      <c r="D35" s="219" t="str">
        <f>IFERROR([1]!IntrinioFinancials(ticker,"income_statement",4,"FY",$B35,rounding),"")</f>
        <v/>
      </c>
      <c r="E35" s="219" t="str">
        <f>IFERROR([1]!IntrinioFinancials(ticker,"income_statement",3,"FY",$B35,rounding),"")</f>
        <v/>
      </c>
      <c r="F35" s="219" t="str">
        <f>IFERROR([1]!IntrinioFinancials(ticker,"income_statement",2,"FY",$B35,rounding),"")</f>
        <v/>
      </c>
      <c r="G35" s="219" t="str">
        <f>IFERROR([1]!IntrinioFinancials(ticker,"income_statement",1,"FY",$B35,rounding),"")</f>
        <v/>
      </c>
      <c r="H35" s="219" t="str">
        <f>IFERROR([1]!IntrinioFinancials(ticker,"income_statement",0,"FY",$B35,rounding),"")</f>
        <v/>
      </c>
      <c r="I35" s="219" t="str">
        <f>IFERROR([1]!IntrinioFinancials(ticker,"income_statement",0,"TTM",$B35,rounding),"")</f>
        <v/>
      </c>
    </row>
    <row r="36" spans="1:9" ht="7.5" customHeight="1" x14ac:dyDescent="0.25">
      <c r="A36" s="4"/>
      <c r="B36" s="1"/>
      <c r="C36" s="130"/>
      <c r="D36" s="217"/>
      <c r="E36" s="217"/>
      <c r="F36" s="217"/>
      <c r="G36" s="217"/>
      <c r="H36" s="217"/>
      <c r="I36" s="217"/>
    </row>
    <row r="37" spans="1:9" ht="15.75" x14ac:dyDescent="0.25">
      <c r="A37" s="176" t="s">
        <v>150</v>
      </c>
      <c r="B37" s="1" t="s">
        <v>144</v>
      </c>
      <c r="C37" s="130"/>
      <c r="D37" s="217" t="str">
        <f>IFERROR([1]!IntrinioFinancials(ticker,"income_statement",4,"FY",$B37,rounding),"")</f>
        <v/>
      </c>
      <c r="E37" s="217" t="str">
        <f>IFERROR([1]!IntrinioFinancials(ticker,"income_statement",3,"FY",$B37,rounding),"")</f>
        <v/>
      </c>
      <c r="F37" s="217" t="str">
        <f>IFERROR([1]!IntrinioFinancials(ticker,"income_statement",2,"FY",$B37,rounding),"")</f>
        <v/>
      </c>
      <c r="G37" s="217" t="str">
        <f>IFERROR([1]!IntrinioFinancials(ticker,"income_statement",1,"FY",$B37,rounding),"")</f>
        <v/>
      </c>
      <c r="H37" s="217" t="str">
        <f>IFERROR([1]!IntrinioFinancials(ticker,"income_statement",0,"FY",$B37,rounding),"")</f>
        <v/>
      </c>
      <c r="I37" s="217" t="str">
        <f>IFERROR([1]!IntrinioFinancials(ticker,"income_statement",0,"TTM",$B37,rounding),"")</f>
        <v/>
      </c>
    </row>
    <row r="38" spans="1:9" ht="8.25" customHeight="1" x14ac:dyDescent="0.25">
      <c r="A38" s="3"/>
      <c r="C38" s="130"/>
      <c r="D38" s="217"/>
      <c r="E38" s="217"/>
      <c r="F38" s="217"/>
      <c r="G38" s="217"/>
      <c r="H38" s="217"/>
      <c r="I38" s="217"/>
    </row>
    <row r="39" spans="1:9" ht="15.75" x14ac:dyDescent="0.25">
      <c r="A39" s="2" t="s">
        <v>152</v>
      </c>
      <c r="B39" s="1" t="s">
        <v>153</v>
      </c>
      <c r="C39" s="130"/>
      <c r="D39" s="215" t="str">
        <f>IFERROR([1]!IntrinioFinancials(ticker,"income_statement",4,"FY",$B39,rounding),"")</f>
        <v/>
      </c>
      <c r="E39" s="215" t="str">
        <f>IFERROR([1]!IntrinioFinancials(ticker,"income_statement",3,"FY",$B39,rounding),"")</f>
        <v/>
      </c>
      <c r="F39" s="215" t="str">
        <f>IFERROR([1]!IntrinioFinancials(ticker,"income_statement",2,"FY",$B39,rounding),"")</f>
        <v/>
      </c>
      <c r="G39" s="215" t="str">
        <f>IFERROR([1]!IntrinioFinancials(ticker,"income_statement",1,"FY",$B39,rounding),"")</f>
        <v/>
      </c>
      <c r="H39" s="215" t="str">
        <f>IFERROR([1]!IntrinioFinancials(ticker,"income_statement",0,"FY",$B39,rounding),"")</f>
        <v/>
      </c>
      <c r="I39" s="215" t="str">
        <f>IFERROR([1]!IntrinioFinancials(ticker,"income_statement",0,"TTM",$B39,rounding),"")</f>
        <v/>
      </c>
    </row>
    <row r="40" spans="1:9" ht="15.75" x14ac:dyDescent="0.25">
      <c r="A40" s="2" t="s">
        <v>11</v>
      </c>
      <c r="B40" s="1" t="s">
        <v>154</v>
      </c>
      <c r="C40" s="130"/>
      <c r="D40" s="218" t="str">
        <f>IFERROR([1]!IntrinioFinancials(ticker,"income_statement",4,"FY",$B40,rounding),"")</f>
        <v/>
      </c>
      <c r="E40" s="218" t="str">
        <f>IFERROR([1]!IntrinioFinancials(ticker,"income_statement",3,"FY",$B40,rounding),"")</f>
        <v/>
      </c>
      <c r="F40" s="218" t="str">
        <f>IFERROR([1]!IntrinioFinancials(ticker,"income_statement",2,"FY",$B40,rounding),"")</f>
        <v/>
      </c>
      <c r="G40" s="218" t="str">
        <f>IFERROR([1]!IntrinioFinancials(ticker,"income_statement",1,"FY",$B40,rounding),"")</f>
        <v/>
      </c>
      <c r="H40" s="218" t="str">
        <f>IFERROR([1]!IntrinioFinancials(ticker,"income_statement",0,"FY",$B40,rounding),"")</f>
        <v/>
      </c>
      <c r="I40" s="218" t="str">
        <f>IFERROR([1]!IntrinioFinancials(ticker,"income_statement",0,"TTM",$B40,rounding),"")</f>
        <v/>
      </c>
    </row>
    <row r="41" spans="1:9" ht="7.5" customHeight="1" x14ac:dyDescent="0.25">
      <c r="A41" s="3"/>
      <c r="C41" s="1"/>
      <c r="D41" s="218"/>
      <c r="E41" s="218"/>
      <c r="F41" s="218"/>
      <c r="G41" s="218"/>
      <c r="H41" s="218"/>
      <c r="I41" s="218"/>
    </row>
    <row r="42" spans="1:9" ht="15.75" x14ac:dyDescent="0.25">
      <c r="A42" s="176" t="s">
        <v>102</v>
      </c>
      <c r="B42" s="1" t="s">
        <v>151</v>
      </c>
      <c r="C42" s="1"/>
      <c r="D42" s="219" t="str">
        <f>IFERROR([1]!IntrinioFinancials(ticker,"income_statement",4,"FY",$B42,rounding),"")</f>
        <v/>
      </c>
      <c r="E42" s="219" t="str">
        <f>IFERROR([1]!IntrinioFinancials(ticker,"income_statement",3,"FY",$B42,rounding),"")</f>
        <v/>
      </c>
      <c r="F42" s="219" t="str">
        <f>IFERROR([1]!IntrinioFinancials(ticker,"income_statement",2,"FY",$B42,rounding),"")</f>
        <v/>
      </c>
      <c r="G42" s="219" t="str">
        <f>IFERROR([1]!IntrinioFinancials(ticker,"income_statement",1,"FY",$B42,rounding),"")</f>
        <v/>
      </c>
      <c r="H42" s="219" t="str">
        <f>IFERROR([1]!IntrinioFinancials(ticker,"income_statement",0,"FY",$B42,rounding),"")</f>
        <v/>
      </c>
      <c r="I42" s="219" t="str">
        <f>IFERROR([1]!IntrinioFinancials(ticker,"income_statement",0,"TTM",$B42,rounding),"")</f>
        <v/>
      </c>
    </row>
    <row r="43" spans="1:9" ht="15.75" x14ac:dyDescent="0.25">
      <c r="A43" s="176" t="s">
        <v>103</v>
      </c>
      <c r="B43" s="1" t="s">
        <v>156</v>
      </c>
      <c r="C43" s="130"/>
      <c r="D43" s="217" t="str">
        <f>IFERROR([1]!IntrinioFinancials(ticker,"income_statement",4,"FY",$B43,rounding),"")</f>
        <v/>
      </c>
      <c r="E43" s="217" t="str">
        <f>IFERROR([1]!IntrinioFinancials(ticker,"income_statement",3,"FY",$B43,rounding),"")</f>
        <v/>
      </c>
      <c r="F43" s="217" t="str">
        <f>IFERROR([1]!IntrinioFinancials(ticker,"income_statement",2,"FY",$B43,rounding),"")</f>
        <v/>
      </c>
      <c r="G43" s="217" t="str">
        <f>IFERROR([1]!IntrinioFinancials(ticker,"income_statement",1,"FY",$B43,rounding),"")</f>
        <v/>
      </c>
      <c r="H43" s="217" t="str">
        <f>IFERROR([1]!IntrinioFinancials(ticker,"income_statement",0,"FY",$B43,rounding),"")</f>
        <v/>
      </c>
      <c r="I43" s="217" t="str">
        <f>IFERROR([1]!IntrinioFinancials(ticker,"income_statement",0,"TTM",$B43,rounding),"")</f>
        <v/>
      </c>
    </row>
    <row r="44" spans="1:9" ht="8.25" customHeight="1" x14ac:dyDescent="0.25">
      <c r="A44" s="3"/>
      <c r="C44" s="130"/>
      <c r="D44" s="217"/>
      <c r="E44" s="217"/>
      <c r="F44" s="217"/>
      <c r="G44" s="217"/>
      <c r="H44" s="217"/>
      <c r="I44" s="217"/>
    </row>
    <row r="45" spans="1:9" ht="15.75" x14ac:dyDescent="0.25">
      <c r="A45" s="2" t="s">
        <v>235</v>
      </c>
      <c r="B45" s="1" t="s">
        <v>236</v>
      </c>
      <c r="C45" s="130"/>
      <c r="D45" s="215" t="str">
        <f>IFERROR([1]!IntrinioFinancials(ticker,"income_statement",4,"FY",$B45,rounding),"")</f>
        <v/>
      </c>
      <c r="E45" s="215" t="str">
        <f>IFERROR([1]!IntrinioFinancials(ticker,"income_statement",3,"FY",$B45,rounding),"")</f>
        <v/>
      </c>
      <c r="F45" s="215" t="str">
        <f>IFERROR([1]!IntrinioFinancials(ticker,"income_statement",2,"FY",$B45,rounding),"")</f>
        <v/>
      </c>
      <c r="G45" s="215" t="str">
        <f>IFERROR([1]!IntrinioFinancials(ticker,"income_statement",1,"FY",$B45,rounding),"")</f>
        <v/>
      </c>
      <c r="H45" s="215" t="str">
        <f>IFERROR([1]!IntrinioFinancials(ticker,"income_statement",0,"FY",$B45,rounding),"")</f>
        <v/>
      </c>
      <c r="I45" s="215" t="str">
        <f>IFERROR([1]!IntrinioFinancials(ticker,"income_statement",0,"TTM",$B45,rounding),"")</f>
        <v/>
      </c>
    </row>
    <row r="46" spans="1:9" ht="15.75" x14ac:dyDescent="0.25">
      <c r="A46" s="2" t="s">
        <v>237</v>
      </c>
      <c r="B46" s="1" t="s">
        <v>238</v>
      </c>
      <c r="C46" s="130"/>
      <c r="D46" s="218" t="str">
        <f>IFERROR([1]!IntrinioFinancials(ticker,"income_statement",4,"FY",$B46,rounding),"")</f>
        <v/>
      </c>
      <c r="E46" s="218" t="str">
        <f>IFERROR([1]!IntrinioFinancials(ticker,"income_statement",3,"FY",$B46,rounding),"")</f>
        <v/>
      </c>
      <c r="F46" s="218" t="str">
        <f>IFERROR([1]!IntrinioFinancials(ticker,"income_statement",2,"FY",$B46,rounding),"")</f>
        <v/>
      </c>
      <c r="G46" s="218" t="str">
        <f>IFERROR([1]!IntrinioFinancials(ticker,"income_statement",1,"FY",$B46,rounding),"")</f>
        <v/>
      </c>
      <c r="H46" s="218" t="str">
        <f>IFERROR([1]!IntrinioFinancials(ticker,"income_statement",0,"FY",$B46,rounding),"")</f>
        <v/>
      </c>
      <c r="I46" s="218" t="str">
        <f>IFERROR([1]!IntrinioFinancials(ticker,"income_statement",0,"TTM",$B46,rounding),"")</f>
        <v/>
      </c>
    </row>
    <row r="47" spans="1:9" ht="7.5" customHeight="1" x14ac:dyDescent="0.25">
      <c r="A47" s="3"/>
      <c r="C47" s="130"/>
      <c r="D47" s="218"/>
      <c r="E47" s="218"/>
      <c r="F47" s="218"/>
      <c r="G47" s="218"/>
      <c r="H47" s="218"/>
      <c r="I47" s="218"/>
    </row>
    <row r="48" spans="1:9" ht="16.5" thickBot="1" x14ac:dyDescent="0.3">
      <c r="A48" s="176" t="s">
        <v>104</v>
      </c>
      <c r="B48" s="1" t="s">
        <v>155</v>
      </c>
      <c r="C48" s="133"/>
      <c r="D48" s="220" t="str">
        <f>IFERROR([1]!IntrinioFinancials(ticker,"income_statement",4,"FY",$B48,rounding),"")</f>
        <v/>
      </c>
      <c r="E48" s="220" t="str">
        <f>IFERROR([1]!IntrinioFinancials(ticker,"income_statement",3,"FY",$B48,rounding),"")</f>
        <v/>
      </c>
      <c r="F48" s="220" t="str">
        <f>IFERROR([1]!IntrinioFinancials(ticker,"income_statement",2,"FY",$B48,rounding),"")</f>
        <v/>
      </c>
      <c r="G48" s="220" t="str">
        <f>IFERROR([1]!IntrinioFinancials(ticker,"income_statement",1,"FY",$B48,rounding),"")</f>
        <v/>
      </c>
      <c r="H48" s="220" t="str">
        <f>IFERROR([1]!IntrinioFinancials(ticker,"income_statement",0,"FY",$B48,rounding),"")</f>
        <v/>
      </c>
      <c r="I48" s="220" t="str">
        <f>IFERROR([1]!IntrinioFinancials(ticker,"income_statement",0,"TTM",$B48,rounding),"")</f>
        <v/>
      </c>
    </row>
    <row r="49" spans="1:9" ht="7.5" customHeight="1" thickTop="1" x14ac:dyDescent="0.25">
      <c r="A49" s="3"/>
      <c r="C49" s="130"/>
      <c r="D49" s="218"/>
      <c r="E49" s="218"/>
      <c r="F49" s="218"/>
      <c r="G49" s="218"/>
      <c r="H49" s="218"/>
      <c r="I49" s="218"/>
    </row>
    <row r="50" spans="1:9" ht="15.75" x14ac:dyDescent="0.25">
      <c r="A50" s="6" t="s">
        <v>105</v>
      </c>
      <c r="B50" s="1" t="s">
        <v>158</v>
      </c>
      <c r="C50" s="130"/>
      <c r="D50" s="217" t="str">
        <f>IFERROR([1]!IntrinioFinancials(ticker,"income_statement",4,"FY",$B50,rounding),"")</f>
        <v/>
      </c>
      <c r="E50" s="217" t="str">
        <f>IFERROR([1]!IntrinioFinancials(ticker,"income_statement",3,"FY",$B50,rounding),"")</f>
        <v/>
      </c>
      <c r="F50" s="217" t="str">
        <f>IFERROR([1]!IntrinioFinancials(ticker,"income_statement",2,"FY",$B50,rounding),"")</f>
        <v/>
      </c>
      <c r="G50" s="217" t="str">
        <f>IFERROR([1]!IntrinioFinancials(ticker,"income_statement",1,"FY",$B50,rounding),"")</f>
        <v/>
      </c>
      <c r="H50" s="217" t="str">
        <f>IFERROR([1]!IntrinioFinancials(ticker,"income_statement",0,"FY",$B50,rounding),"")</f>
        <v/>
      </c>
      <c r="I50" s="217" t="str">
        <f>IFERROR([1]!IntrinioFinancials(ticker,"income_statement",0,"TTM",$B50,rounding),"")</f>
        <v/>
      </c>
    </row>
    <row r="51" spans="1:9" ht="31.5" x14ac:dyDescent="0.25">
      <c r="A51" s="6" t="s">
        <v>106</v>
      </c>
      <c r="B51" s="1" t="s">
        <v>159</v>
      </c>
      <c r="C51" s="130"/>
      <c r="D51" s="217" t="str">
        <f>IFERROR([1]!IntrinioFinancials(ticker,"income_statement",4,"FY",$B51,rounding),"")</f>
        <v/>
      </c>
      <c r="E51" s="217" t="str">
        <f>IFERROR([1]!IntrinioFinancials(ticker,"income_statement",3,"FY",$B51,rounding),"")</f>
        <v/>
      </c>
      <c r="F51" s="217" t="str">
        <f>IFERROR([1]!IntrinioFinancials(ticker,"income_statement",2,"FY",$B51,rounding),"")</f>
        <v/>
      </c>
      <c r="G51" s="217" t="str">
        <f>IFERROR([1]!IntrinioFinancials(ticker,"income_statement",1,"FY",$B51,rounding),"")</f>
        <v/>
      </c>
      <c r="H51" s="217" t="str">
        <f>IFERROR([1]!IntrinioFinancials(ticker,"income_statement",0,"FY",$B51,rounding),"")</f>
        <v/>
      </c>
      <c r="I51" s="217" t="str">
        <f>IFERROR([1]!IntrinioFinancials(ticker,"income_statement",0,"TTM",$B51,rounding),"")</f>
        <v/>
      </c>
    </row>
    <row r="52" spans="1:9" ht="31.5" x14ac:dyDescent="0.25">
      <c r="A52" s="9" t="s">
        <v>239</v>
      </c>
      <c r="B52" s="1" t="s">
        <v>240</v>
      </c>
      <c r="C52" s="130"/>
      <c r="D52" s="221" t="str">
        <f>IFERROR([1]!IntrinioFinancials(ticker,"income_statement",4,"FY",$B52,rounding),"")</f>
        <v/>
      </c>
      <c r="E52" s="221" t="str">
        <f>IFERROR([1]!IntrinioFinancials(ticker,"income_statement",3,"FY",$B52,rounding),"")</f>
        <v/>
      </c>
      <c r="F52" s="221" t="str">
        <f>IFERROR([1]!IntrinioFinancials(ticker,"income_statement",2,"FY",$B52,rounding),"")</f>
        <v/>
      </c>
      <c r="G52" s="221" t="str">
        <f>IFERROR([1]!IntrinioFinancials(ticker,"income_statement",1,"FY",$B52,rounding),"")</f>
        <v/>
      </c>
      <c r="H52" s="221" t="str">
        <f>IFERROR([1]!IntrinioFinancials(ticker,"income_statement",0,"FY",$B52,rounding),"")</f>
        <v/>
      </c>
      <c r="I52" s="221" t="str">
        <f>IFERROR([1]!IntrinioFinancials(ticker,"income_statement",0,"TTM",$B52,rounding),"")</f>
        <v/>
      </c>
    </row>
    <row r="53" spans="1:9" ht="7.5" customHeight="1" x14ac:dyDescent="0.25">
      <c r="A53" s="3"/>
      <c r="C53" s="130"/>
      <c r="D53" s="218"/>
      <c r="E53" s="218"/>
      <c r="F53" s="218"/>
      <c r="G53" s="218"/>
      <c r="H53" s="218"/>
      <c r="I53" s="218"/>
    </row>
    <row r="54" spans="1:9" ht="32.25" thickBot="1" x14ac:dyDescent="0.3">
      <c r="A54" s="176" t="s">
        <v>107</v>
      </c>
      <c r="B54" s="1" t="s">
        <v>157</v>
      </c>
      <c r="D54" s="220" t="str">
        <f>IFERROR([1]!IntrinioFinancials(ticker,"income_statement",4,"FY",$B54,rounding),"")</f>
        <v/>
      </c>
      <c r="E54" s="220" t="str">
        <f>IFERROR([1]!IntrinioFinancials(ticker,"income_statement",3,"FY",$B54,rounding),"")</f>
        <v/>
      </c>
      <c r="F54" s="220" t="str">
        <f>IFERROR([1]!IntrinioFinancials(ticker,"income_statement",2,"FY",$B54,rounding),"")</f>
        <v/>
      </c>
      <c r="G54" s="220" t="str">
        <f>IFERROR([1]!IntrinioFinancials(ticker,"income_statement",1,"FY",$B54,rounding),"")</f>
        <v/>
      </c>
      <c r="H54" s="220" t="str">
        <f>IFERROR([1]!IntrinioFinancials(ticker,"income_statement",0,"FY",$B54,rounding),"")</f>
        <v/>
      </c>
      <c r="I54" s="220" t="str">
        <f>IFERROR([1]!IntrinioFinancials(ticker,"income_statement",0,"TTM",$B54,rounding),"")</f>
        <v/>
      </c>
    </row>
    <row r="55" spans="1:9" ht="7.5" customHeight="1" thickTop="1" x14ac:dyDescent="0.25">
      <c r="A55" s="3"/>
      <c r="D55" s="218"/>
      <c r="E55" s="218"/>
      <c r="F55" s="218"/>
      <c r="G55" s="218"/>
      <c r="H55" s="218"/>
      <c r="I55" s="218"/>
    </row>
    <row r="56" spans="1:9" ht="15.75" x14ac:dyDescent="0.25">
      <c r="A56" s="7" t="s">
        <v>28</v>
      </c>
      <c r="B56" s="134"/>
      <c r="D56" s="222"/>
      <c r="E56" s="222"/>
      <c r="F56" s="222"/>
      <c r="G56" s="222"/>
      <c r="H56" s="222"/>
      <c r="I56" s="222"/>
    </row>
    <row r="57" spans="1:9" ht="15.75" x14ac:dyDescent="0.25">
      <c r="A57" s="6" t="s">
        <v>160</v>
      </c>
      <c r="B57" s="133" t="s">
        <v>161</v>
      </c>
      <c r="D57" s="215" t="str">
        <f>IFERROR([1]!IntrinioFinancials(ticker,"income_statement",4,"FY",$B57,rounding),"")</f>
        <v/>
      </c>
      <c r="E57" s="215" t="str">
        <f>IFERROR([1]!IntrinioFinancials(ticker,"income_statement",3,"FY",$B57,rounding),"")</f>
        <v/>
      </c>
      <c r="F57" s="215" t="str">
        <f>IFERROR([1]!IntrinioFinancials(ticker,"income_statement",2,"FY",$B57,rounding),"")</f>
        <v/>
      </c>
      <c r="G57" s="215" t="str">
        <f>IFERROR([1]!IntrinioFinancials(ticker,"income_statement",1,"FY",$B57,rounding),"")</f>
        <v/>
      </c>
      <c r="H57" s="215" t="str">
        <f>IFERROR([1]!IntrinioFinancials(ticker,"income_statement",0,"FY",$B57,rounding),"")</f>
        <v/>
      </c>
      <c r="I57" s="215" t="str">
        <f>IFERROR([1]!IntrinioFinancials(ticker,"income_statement",0,"TTM",$B57,rounding),"")</f>
        <v/>
      </c>
    </row>
    <row r="58" spans="1:9" ht="15.75" x14ac:dyDescent="0.25">
      <c r="A58" s="9" t="s">
        <v>28</v>
      </c>
      <c r="B58" s="135" t="s">
        <v>162</v>
      </c>
      <c r="D58" s="223" t="str">
        <f>IFERROR([1]!IntrinioFinancials(ticker,"income_statement",4,"FY",$B58,),"")</f>
        <v/>
      </c>
      <c r="E58" s="223" t="str">
        <f>IFERROR([1]!IntrinioFinancials(ticker,"income_statement",3,"FY",$B58,),"")</f>
        <v/>
      </c>
      <c r="F58" s="223" t="str">
        <f>IFERROR([1]!IntrinioFinancials(ticker,"income_statement",2,"FY",$B58,),"")</f>
        <v/>
      </c>
      <c r="G58" s="223" t="str">
        <f>IFERROR([1]!IntrinioFinancials(ticker,"income_statement",1,"FY",$B58,),"")</f>
        <v/>
      </c>
      <c r="H58" s="223" t="str">
        <f>IFERROR([1]!IntrinioFinancials(ticker,"income_statement",0,"FY",$B58,),"")</f>
        <v/>
      </c>
      <c r="I58" s="223" t="str">
        <f>IFERROR([1]!IntrinioFinancials(ticker,"income_statement",0,"TTM",$B58,),"")</f>
        <v/>
      </c>
    </row>
    <row r="59" spans="1:9" ht="7.5" customHeight="1" x14ac:dyDescent="0.25">
      <c r="A59" s="3"/>
      <c r="D59" s="218"/>
      <c r="E59" s="218"/>
      <c r="F59" s="218"/>
      <c r="G59" s="218"/>
      <c r="H59" s="218"/>
      <c r="I59" s="218"/>
    </row>
    <row r="60" spans="1:9" ht="15.75" x14ac:dyDescent="0.25">
      <c r="A60" s="7" t="s">
        <v>29</v>
      </c>
      <c r="B60" s="134"/>
      <c r="D60" s="224"/>
      <c r="E60" s="224"/>
      <c r="F60" s="224"/>
      <c r="G60" s="224"/>
      <c r="H60" s="224"/>
      <c r="I60" s="224"/>
    </row>
    <row r="61" spans="1:9" ht="15.75" x14ac:dyDescent="0.25">
      <c r="A61" s="9" t="s">
        <v>163</v>
      </c>
      <c r="B61" s="135" t="s">
        <v>164</v>
      </c>
      <c r="D61" s="215" t="str">
        <f>IFERROR([1]!IntrinioFinancials(ticker,"income_statement",4,"FY",$B61,rounding),"")</f>
        <v/>
      </c>
      <c r="E61" s="215" t="str">
        <f>IFERROR([1]!IntrinioFinancials(ticker,"income_statement",3,"FY",$B61,rounding),"")</f>
        <v/>
      </c>
      <c r="F61" s="215" t="str">
        <f>IFERROR([1]!IntrinioFinancials(ticker,"income_statement",2,"FY",$B61,rounding),"")</f>
        <v/>
      </c>
      <c r="G61" s="215" t="str">
        <f>IFERROR([1]!IntrinioFinancials(ticker,"income_statement",1,"FY",$B61,rounding),"")</f>
        <v/>
      </c>
      <c r="H61" s="215" t="str">
        <f>IFERROR([1]!IntrinioFinancials(ticker,"income_statement",0,"FY",$B61,rounding),"")</f>
        <v/>
      </c>
      <c r="I61" s="215" t="str">
        <f>IFERROR([1]!IntrinioFinancials(ticker,"income_statement",0,"TTM",$B61,rounding),"")</f>
        <v/>
      </c>
    </row>
    <row r="62" spans="1:9" ht="15.75" x14ac:dyDescent="0.25">
      <c r="A62" s="9" t="s">
        <v>29</v>
      </c>
      <c r="B62" s="135" t="s">
        <v>165</v>
      </c>
      <c r="D62" s="223" t="str">
        <f>IFERROR([1]!IntrinioFinancials(ticker,"income_statement",4,"FY",$B62,),"")</f>
        <v/>
      </c>
      <c r="E62" s="223" t="str">
        <f>IFERROR([1]!IntrinioFinancials(ticker,"income_statement",3,"FY",$B62,),"")</f>
        <v/>
      </c>
      <c r="F62" s="223" t="str">
        <f>IFERROR([1]!IntrinioFinancials(ticker,"income_statement",2,"FY",$B62,),"")</f>
        <v/>
      </c>
      <c r="G62" s="223" t="str">
        <f>IFERROR([1]!IntrinioFinancials(ticker,"income_statement",1,"FY",$B62,),"")</f>
        <v/>
      </c>
      <c r="H62" s="223" t="str">
        <f>IFERROR([1]!IntrinioFinancials(ticker,"income_statement",0,"FY",$B62,),"")</f>
        <v/>
      </c>
      <c r="I62" s="223" t="str">
        <f>IFERROR([1]!IntrinioFinancials(ticker,"income_statement",0,"TTM",$B62,),"")</f>
        <v/>
      </c>
    </row>
    <row r="63" spans="1:9" ht="7.5" customHeight="1" x14ac:dyDescent="0.25">
      <c r="A63" s="3"/>
      <c r="D63" s="218"/>
      <c r="E63" s="218"/>
      <c r="F63" s="218"/>
      <c r="G63" s="218"/>
      <c r="H63" s="218"/>
      <c r="I63" s="218"/>
    </row>
    <row r="64" spans="1:9" ht="15.75" x14ac:dyDescent="0.25">
      <c r="A64" s="7" t="s">
        <v>27</v>
      </c>
      <c r="B64" s="134"/>
      <c r="D64" s="225"/>
      <c r="E64" s="225"/>
      <c r="F64" s="225"/>
      <c r="G64" s="225"/>
      <c r="H64" s="225"/>
      <c r="I64" s="225"/>
    </row>
    <row r="65" spans="1:9" ht="15.75" x14ac:dyDescent="0.25">
      <c r="A65" s="9" t="s">
        <v>166</v>
      </c>
      <c r="B65" s="135" t="s">
        <v>167</v>
      </c>
      <c r="D65" s="223" t="str">
        <f>IFERROR([1]!IntrinioFinancials(ticker,"income_statement",4,"FY",$B65,),"")</f>
        <v/>
      </c>
      <c r="E65" s="223" t="str">
        <f>IFERROR([1]!IntrinioFinancials(ticker,"income_statement",3,"FY",$B65,),"")</f>
        <v/>
      </c>
      <c r="F65" s="223" t="str">
        <f>IFERROR([1]!IntrinioFinancials(ticker,"income_statement",2,"FY",$B65,),"")</f>
        <v/>
      </c>
      <c r="G65" s="223" t="str">
        <f>IFERROR([1]!IntrinioFinancials(ticker,"income_statement",1,"FY",$B65,),"")</f>
        <v/>
      </c>
      <c r="H65" s="223" t="str">
        <f>IFERROR([1]!IntrinioFinancials(ticker,"income_statement",0,"FY",$B65,),"")</f>
        <v/>
      </c>
      <c r="I65" s="223" t="str">
        <f>IFERROR([1]!IntrinioFinancials(ticker,"income_statement",0,"TTM",$B65,),"")</f>
        <v/>
      </c>
    </row>
    <row r="66" spans="1:9" ht="7.5" customHeight="1" x14ac:dyDescent="0.25">
      <c r="A66" s="3"/>
      <c r="D66" s="218"/>
      <c r="E66" s="218"/>
      <c r="F66" s="218"/>
      <c r="G66" s="218"/>
      <c r="H66" s="218"/>
      <c r="I66" s="218"/>
    </row>
    <row r="67" spans="1:9" ht="15.75" x14ac:dyDescent="0.25">
      <c r="A67" s="9"/>
      <c r="B67" s="135"/>
      <c r="D67" s="10"/>
      <c r="E67" s="10"/>
      <c r="F67" s="10"/>
      <c r="G67" s="10"/>
      <c r="H67" s="10"/>
      <c r="I67" s="10"/>
    </row>
    <row r="68" spans="1:9" ht="15.75" x14ac:dyDescent="0.25">
      <c r="A68" s="9"/>
      <c r="B68" s="135"/>
      <c r="D68" s="10"/>
      <c r="E68" s="10"/>
      <c r="F68" s="10"/>
      <c r="G68" s="10"/>
      <c r="H68" s="10"/>
      <c r="I68" s="10"/>
    </row>
  </sheetData>
  <mergeCells count="1">
    <mergeCell ref="D1:H2"/>
  </mergeCells>
  <pageMargins left="0.7" right="0.7" top="0.75" bottom="0.75" header="0.3" footer="0.3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I87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 activeCell="C6" sqref="C6"/>
    </sheetView>
  </sheetViews>
  <sheetFormatPr defaultColWidth="9.140625" defaultRowHeight="15" outlineLevelCol="1" x14ac:dyDescent="0.25"/>
  <cols>
    <col min="1" max="1" width="49.85546875" bestFit="1" customWidth="1"/>
    <col min="2" max="2" width="35" style="132" hidden="1" customWidth="1" outlineLevel="1"/>
    <col min="3" max="3" width="3.42578125" style="132" customWidth="1" collapsed="1"/>
    <col min="4" max="8" width="13.7109375" customWidth="1"/>
    <col min="9" max="9" width="13.7109375" customWidth="1" outlineLevel="1"/>
    <col min="10" max="14" width="13.85546875" customWidth="1"/>
    <col min="16" max="16" width="13.85546875" customWidth="1"/>
  </cols>
  <sheetData>
    <row r="1" spans="1:9" ht="26.25" customHeight="1" x14ac:dyDescent="0.35">
      <c r="A1" s="165" t="str">
        <f>[1]!IntrinioDataPoint(ticker,"name")</f>
        <v/>
      </c>
      <c r="B1" s="166"/>
      <c r="C1" s="166"/>
      <c r="D1" s="321"/>
      <c r="E1" s="321"/>
      <c r="F1" s="321"/>
      <c r="G1" s="321"/>
      <c r="H1" s="321"/>
      <c r="I1" s="321"/>
    </row>
    <row r="2" spans="1:9" ht="16.5" customHeight="1" thickBot="1" x14ac:dyDescent="0.3">
      <c r="A2" s="167" t="str">
        <f>[1]!IntrinioDataPoint(ticker,"stock_exchange")&amp;IF(ticker="","",": ") &amp;ticker</f>
        <v/>
      </c>
      <c r="B2" s="168"/>
      <c r="C2" s="168"/>
      <c r="D2" s="322"/>
      <c r="E2" s="322"/>
      <c r="F2" s="322"/>
      <c r="G2" s="322"/>
      <c r="H2" s="322"/>
      <c r="I2" s="322"/>
    </row>
    <row r="3" spans="1:9" ht="15.75" x14ac:dyDescent="0.25">
      <c r="A3" s="169"/>
      <c r="B3" s="170"/>
      <c r="C3" s="170"/>
      <c r="D3" s="171" t="str">
        <f>IFERROR([1]!IntrinioFundamentals(ticker,"balance_sheet","FY",4,"end_date"),"")</f>
        <v/>
      </c>
      <c r="E3" s="171" t="str">
        <f>IFERROR([1]!IntrinioFundamentals(ticker,"balance_sheet","FY",3,"end_date"),"")</f>
        <v/>
      </c>
      <c r="F3" s="171" t="str">
        <f>IFERROR([1]!IntrinioFundamentals(ticker,"balance_sheet","FY",2,"end_date"),"")</f>
        <v/>
      </c>
      <c r="G3" s="171" t="str">
        <f>IFERROR([1]!IntrinioFundamentals(ticker,"balance_sheet","FY",1,"end_date"),"")</f>
        <v/>
      </c>
      <c r="H3" s="171" t="str">
        <f>IFERROR([1]!IntrinioFundamentals(ticker,"balance_sheet","FY",0,"end_date"),"")</f>
        <v/>
      </c>
      <c r="I3" s="171" t="str">
        <f>IFERROR([1]!IntrinioFundamentals(ticker,"balance_sheet","QTR",0,"end_date"),"")</f>
        <v/>
      </c>
    </row>
    <row r="4" spans="1:9" ht="15.75" x14ac:dyDescent="0.25">
      <c r="A4" s="169"/>
      <c r="B4" s="170"/>
      <c r="C4" s="170"/>
      <c r="D4" s="172" t="str">
        <f>IFERROR([1]!IntrinioFundamentals(ticker,"balance_sheet","FY",4,"fiscal_period"),"")</f>
        <v/>
      </c>
      <c r="E4" s="172" t="str">
        <f>IFERROR([1]!IntrinioFundamentals(ticker,"balance_sheet","FY",3,"fiscal_period"),"")</f>
        <v/>
      </c>
      <c r="F4" s="172" t="str">
        <f>IFERROR([1]!IntrinioFundamentals(ticker,"balance_sheet","FY",2,"fiscal_period"),"")</f>
        <v/>
      </c>
      <c r="G4" s="172" t="str">
        <f>IFERROR([1]!IntrinioFundamentals(ticker,"balance_sheet","FY",1,"fiscal_period"),"")</f>
        <v/>
      </c>
      <c r="H4" s="172" t="str">
        <f>IFERROR([1]!IntrinioFundamentals(ticker,"balance_sheet","FY",0,"fiscal_period"),"")</f>
        <v/>
      </c>
      <c r="I4" s="172" t="str">
        <f>IFERROR([1]!IntrinioFundamentals(ticker,"balance_sheet","QTR",0,"fiscal_period"),"")</f>
        <v/>
      </c>
    </row>
    <row r="5" spans="1:9" ht="16.5" thickBot="1" x14ac:dyDescent="0.3">
      <c r="A5" s="173" t="str">
        <f>"In "&amp;IF(rounding = "A","USD",IF(rounding = "K","Thousands of USD",IF(rounding = "M","Millions of USD",IF(rounding = "B","Billions of USD","USD"))))</f>
        <v>In Millions of USD</v>
      </c>
      <c r="B5" s="174" t="s">
        <v>231</v>
      </c>
      <c r="C5" s="174"/>
      <c r="D5" s="175" t="str">
        <f>IFERROR([1]!IntrinioFundamentals(ticker,"balance_sheet","FY",4,"fiscal_year"),"")</f>
        <v/>
      </c>
      <c r="E5" s="175" t="str">
        <f>IFERROR([1]!IntrinioFundamentals(ticker,"balance_sheet","FY",3,"fiscal_year"),"")</f>
        <v/>
      </c>
      <c r="F5" s="175" t="str">
        <f>IFERROR([1]!IntrinioFundamentals(ticker,"balance_sheet","FY",2,"fiscal_year"),"")</f>
        <v/>
      </c>
      <c r="G5" s="175" t="str">
        <f>IFERROR([1]!IntrinioFundamentals(ticker,"balance_sheet","FY",1,"fiscal_year"),"")</f>
        <v/>
      </c>
      <c r="H5" s="175" t="str">
        <f>IFERROR([1]!IntrinioFundamentals(ticker,"balance_sheet","FY",0,"fiscal_year"),"")</f>
        <v/>
      </c>
      <c r="I5" s="175" t="str">
        <f>IFERROR([1]!IntrinioFundamentals(ticker,"balance_sheet","QTR",0,"fiscal_year"),"")</f>
        <v/>
      </c>
    </row>
    <row r="6" spans="1:9" ht="15.75" x14ac:dyDescent="0.2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25">
      <c r="A7" s="14" t="s">
        <v>23</v>
      </c>
      <c r="B7" s="129"/>
      <c r="C7" s="130"/>
      <c r="D7" s="15"/>
      <c r="E7" s="15"/>
      <c r="F7" s="15"/>
      <c r="G7" s="15"/>
      <c r="H7" s="15"/>
      <c r="I7" s="15"/>
    </row>
    <row r="8" spans="1:9" ht="15.75" x14ac:dyDescent="0.25">
      <c r="A8" s="16" t="s">
        <v>1</v>
      </c>
      <c r="B8" s="130" t="s">
        <v>168</v>
      </c>
      <c r="C8" s="130"/>
      <c r="D8" s="226" t="str">
        <f>IFERROR([1]!IntrinioFinancials(ticker,"balance_sheet",4,"FY",$B8,rounding),"")</f>
        <v/>
      </c>
      <c r="E8" s="226" t="str">
        <f>IFERROR([1]!IntrinioFinancials(ticker,"balance_sheet",3,"FY",$B8,rounding),"")</f>
        <v/>
      </c>
      <c r="F8" s="226" t="str">
        <f>IFERROR([1]!IntrinioFinancials(ticker,"balance_sheet",2,"FY",$B8,rounding),"")</f>
        <v/>
      </c>
      <c r="G8" s="226" t="str">
        <f>IFERROR([1]!IntrinioFinancials(ticker,"balance_sheet",1,"FY",$B8,rounding),"")</f>
        <v/>
      </c>
      <c r="H8" s="226" t="str">
        <f>IFERROR([1]!IntrinioFinancials(ticker,"balance_sheet",0,"FY",$B8,rounding),"")</f>
        <v/>
      </c>
      <c r="I8" s="226" t="str">
        <f>IFERROR([1]!IntrinioFinancials(ticker,"balance_sheet",0,"TTM",$B8,rounding),"")</f>
        <v/>
      </c>
    </row>
    <row r="9" spans="1:9" ht="15.75" x14ac:dyDescent="0.25">
      <c r="A9" s="16" t="s">
        <v>211</v>
      </c>
      <c r="B9" s="130" t="s">
        <v>212</v>
      </c>
      <c r="C9" s="130"/>
      <c r="D9" s="226" t="str">
        <f>IFERROR([1]!IntrinioFinancials(ticker,"balance_sheet",4,"FY",$B9,rounding),"")</f>
        <v/>
      </c>
      <c r="E9" s="226" t="str">
        <f>IFERROR([1]!IntrinioFinancials(ticker,"balance_sheet",3,"FY",$B9,rounding),"")</f>
        <v/>
      </c>
      <c r="F9" s="226" t="str">
        <f>IFERROR([1]!IntrinioFinancials(ticker,"balance_sheet",2,"FY",$B9,rounding),"")</f>
        <v/>
      </c>
      <c r="G9" s="226" t="str">
        <f>IFERROR([1]!IntrinioFinancials(ticker,"balance_sheet",1,"FY",$B9,rounding),"")</f>
        <v/>
      </c>
      <c r="H9" s="226" t="str">
        <f>IFERROR([1]!IntrinioFinancials(ticker,"balance_sheet",0,"FY",$B9,rounding),"")</f>
        <v/>
      </c>
      <c r="I9" s="226" t="str">
        <f>IFERROR([1]!IntrinioFinancials(ticker,"balance_sheet",0,"TTM",$B9,rounding),"")</f>
        <v/>
      </c>
    </row>
    <row r="10" spans="1:9" ht="15.75" x14ac:dyDescent="0.25">
      <c r="A10" s="16" t="s">
        <v>108</v>
      </c>
      <c r="B10" s="130" t="s">
        <v>170</v>
      </c>
      <c r="C10" s="130"/>
      <c r="D10" s="226" t="str">
        <f>IFERROR([1]!IntrinioFinancials(ticker,"balance_sheet",4,"FY",$B10,rounding),"")</f>
        <v/>
      </c>
      <c r="E10" s="226" t="str">
        <f>IFERROR([1]!IntrinioFinancials(ticker,"balance_sheet",3,"FY",$B10,rounding),"")</f>
        <v/>
      </c>
      <c r="F10" s="226" t="str">
        <f>IFERROR([1]!IntrinioFinancials(ticker,"balance_sheet",2,"FY",$B10,rounding),"")</f>
        <v/>
      </c>
      <c r="G10" s="226" t="str">
        <f>IFERROR([1]!IntrinioFinancials(ticker,"balance_sheet",1,"FY",$B10,rounding),"")</f>
        <v/>
      </c>
      <c r="H10" s="226" t="str">
        <f>IFERROR([1]!IntrinioFinancials(ticker,"balance_sheet",0,"FY",$B10,rounding),"")</f>
        <v/>
      </c>
      <c r="I10" s="226" t="str">
        <f>IFERROR([1]!IntrinioFinancials(ticker,"balance_sheet",0,"TTM",$B10,rounding),"")</f>
        <v/>
      </c>
    </row>
    <row r="11" spans="1:9" ht="15.75" x14ac:dyDescent="0.25">
      <c r="A11" s="16" t="s">
        <v>241</v>
      </c>
      <c r="B11" s="130" t="s">
        <v>171</v>
      </c>
      <c r="C11" s="130"/>
      <c r="D11" s="226" t="str">
        <f>IFERROR([1]!IntrinioFinancials(ticker,"balance_sheet",4,"FY",$B11,rounding),"")</f>
        <v/>
      </c>
      <c r="E11" s="226" t="str">
        <f>IFERROR([1]!IntrinioFinancials(ticker,"balance_sheet",3,"FY",$B11,rounding),"")</f>
        <v/>
      </c>
      <c r="F11" s="226" t="str">
        <f>IFERROR([1]!IntrinioFinancials(ticker,"balance_sheet",2,"FY",$B11,rounding),"")</f>
        <v/>
      </c>
      <c r="G11" s="226" t="str">
        <f>IFERROR([1]!IntrinioFinancials(ticker,"balance_sheet",1,"FY",$B11,rounding),"")</f>
        <v/>
      </c>
      <c r="H11" s="226" t="str">
        <f>IFERROR([1]!IntrinioFinancials(ticker,"balance_sheet",0,"FY",$B11,rounding),"")</f>
        <v/>
      </c>
      <c r="I11" s="226" t="str">
        <f>IFERROR([1]!IntrinioFinancials(ticker,"balance_sheet",0,"TTM",$B11,rounding),"")</f>
        <v/>
      </c>
    </row>
    <row r="12" spans="1:9" ht="15.75" x14ac:dyDescent="0.25">
      <c r="A12" s="16" t="s">
        <v>109</v>
      </c>
      <c r="B12" s="130" t="s">
        <v>172</v>
      </c>
      <c r="C12" s="130"/>
      <c r="D12" s="226" t="str">
        <f>IFERROR([1]!IntrinioFinancials(ticker,"balance_sheet",4,"FY",$B12,rounding),"")</f>
        <v/>
      </c>
      <c r="E12" s="226" t="str">
        <f>IFERROR([1]!IntrinioFinancials(ticker,"balance_sheet",3,"FY",$B12,rounding),"")</f>
        <v/>
      </c>
      <c r="F12" s="226" t="str">
        <f>IFERROR([1]!IntrinioFinancials(ticker,"balance_sheet",2,"FY",$B12,rounding),"")</f>
        <v/>
      </c>
      <c r="G12" s="226" t="str">
        <f>IFERROR([1]!IntrinioFinancials(ticker,"balance_sheet",1,"FY",$B12,rounding),"")</f>
        <v/>
      </c>
      <c r="H12" s="226" t="str">
        <f>IFERROR([1]!IntrinioFinancials(ticker,"balance_sheet",0,"FY",$B12,rounding),"")</f>
        <v/>
      </c>
      <c r="I12" s="226" t="str">
        <f>IFERROR([1]!IntrinioFinancials(ticker,"balance_sheet",0,"TTM",$B12,rounding),"")</f>
        <v/>
      </c>
    </row>
    <row r="13" spans="1:9" ht="15.75" x14ac:dyDescent="0.25">
      <c r="A13" s="16" t="s">
        <v>2</v>
      </c>
      <c r="B13" s="130" t="s">
        <v>173</v>
      </c>
      <c r="C13" s="130"/>
      <c r="D13" s="226" t="str">
        <f>IFERROR([1]!IntrinioFinancials(ticker,"balance_sheet",4,"FY",$B13,rounding),"")</f>
        <v/>
      </c>
      <c r="E13" s="226" t="str">
        <f>IFERROR([1]!IntrinioFinancials(ticker,"balance_sheet",3,"FY",$B13,rounding),"")</f>
        <v/>
      </c>
      <c r="F13" s="226" t="str">
        <f>IFERROR([1]!IntrinioFinancials(ticker,"balance_sheet",2,"FY",$B13,rounding),"")</f>
        <v/>
      </c>
      <c r="G13" s="226" t="str">
        <f>IFERROR([1]!IntrinioFinancials(ticker,"balance_sheet",1,"FY",$B13,rounding),"")</f>
        <v/>
      </c>
      <c r="H13" s="226" t="str">
        <f>IFERROR([1]!IntrinioFinancials(ticker,"balance_sheet",0,"FY",$B13,rounding),"")</f>
        <v/>
      </c>
      <c r="I13" s="226" t="str">
        <f>IFERROR([1]!IntrinioFinancials(ticker,"balance_sheet",0,"TTM",$B13,rounding),"")</f>
        <v/>
      </c>
    </row>
    <row r="14" spans="1:9" ht="15.75" x14ac:dyDescent="0.25">
      <c r="A14" s="16" t="s">
        <v>3</v>
      </c>
      <c r="B14" s="130" t="s">
        <v>174</v>
      </c>
      <c r="C14" s="130"/>
      <c r="D14" s="226" t="str">
        <f>IFERROR([1]!IntrinioFinancials(ticker,"balance_sheet",4,"FY",$B14,rounding),"")</f>
        <v/>
      </c>
      <c r="E14" s="226" t="str">
        <f>IFERROR([1]!IntrinioFinancials(ticker,"balance_sheet",3,"FY",$B14,rounding),"")</f>
        <v/>
      </c>
      <c r="F14" s="226" t="str">
        <f>IFERROR([1]!IntrinioFinancials(ticker,"balance_sheet",2,"FY",$B14,rounding),"")</f>
        <v/>
      </c>
      <c r="G14" s="226" t="str">
        <f>IFERROR([1]!IntrinioFinancials(ticker,"balance_sheet",1,"FY",$B14,rounding),"")</f>
        <v/>
      </c>
      <c r="H14" s="226" t="str">
        <f>IFERROR([1]!IntrinioFinancials(ticker,"balance_sheet",0,"FY",$B14,rounding),"")</f>
        <v/>
      </c>
      <c r="I14" s="226" t="str">
        <f>IFERROR([1]!IntrinioFinancials(ticker,"balance_sheet",0,"TTM",$B14,rounding),"")</f>
        <v/>
      </c>
    </row>
    <row r="15" spans="1:9" ht="15.75" x14ac:dyDescent="0.25">
      <c r="A15" s="16" t="s">
        <v>242</v>
      </c>
      <c r="B15" s="130" t="s">
        <v>243</v>
      </c>
      <c r="C15" s="130"/>
      <c r="D15" s="226" t="str">
        <f>IFERROR([1]!IntrinioFinancials(ticker,"balance_sheet",4,"FY",$B15,rounding),"")</f>
        <v/>
      </c>
      <c r="E15" s="226" t="str">
        <f>IFERROR([1]!IntrinioFinancials(ticker,"balance_sheet",3,"FY",$B15,rounding),"")</f>
        <v/>
      </c>
      <c r="F15" s="226" t="str">
        <f>IFERROR([1]!IntrinioFinancials(ticker,"balance_sheet",2,"FY",$B15,rounding),"")</f>
        <v/>
      </c>
      <c r="G15" s="226" t="str">
        <f>IFERROR([1]!IntrinioFinancials(ticker,"balance_sheet",1,"FY",$B15,rounding),"")</f>
        <v/>
      </c>
      <c r="H15" s="226" t="str">
        <f>IFERROR([1]!IntrinioFinancials(ticker,"balance_sheet",0,"FY",$B15,rounding),"")</f>
        <v/>
      </c>
      <c r="I15" s="226" t="str">
        <f>IFERROR([1]!IntrinioFinancials(ticker,"balance_sheet",0,"TTM",$B15,rounding),"")</f>
        <v/>
      </c>
    </row>
    <row r="16" spans="1:9" ht="15.75" x14ac:dyDescent="0.25">
      <c r="A16" s="16" t="s">
        <v>4</v>
      </c>
      <c r="B16" s="130" t="s">
        <v>175</v>
      </c>
      <c r="C16" s="1"/>
      <c r="D16" s="226" t="str">
        <f>IFERROR([1]!IntrinioFinancials(ticker,"balance_sheet",4,"FY",$B16,rounding),"")</f>
        <v/>
      </c>
      <c r="E16" s="226" t="str">
        <f>IFERROR([1]!IntrinioFinancials(ticker,"balance_sheet",3,"FY",$B16,rounding),"")</f>
        <v/>
      </c>
      <c r="F16" s="226" t="str">
        <f>IFERROR([1]!IntrinioFinancials(ticker,"balance_sheet",2,"FY",$B16,rounding),"")</f>
        <v/>
      </c>
      <c r="G16" s="226" t="str">
        <f>IFERROR([1]!IntrinioFinancials(ticker,"balance_sheet",1,"FY",$B16,rounding),"")</f>
        <v/>
      </c>
      <c r="H16" s="226" t="str">
        <f>IFERROR([1]!IntrinioFinancials(ticker,"balance_sheet",0,"FY",$B16,rounding),"")</f>
        <v/>
      </c>
      <c r="I16" s="226" t="str">
        <f>IFERROR([1]!IntrinioFinancials(ticker,"balance_sheet",0,"TTM",$B16,rounding),"")</f>
        <v/>
      </c>
    </row>
    <row r="17" spans="1:9" ht="15.75" x14ac:dyDescent="0.25">
      <c r="A17" s="16" t="s">
        <v>244</v>
      </c>
      <c r="B17" s="130" t="s">
        <v>245</v>
      </c>
      <c r="C17" s="1"/>
      <c r="D17" s="226" t="str">
        <f>IFERROR([1]!IntrinioFinancials(ticker,"balance_sheet",4,"FY",$B17,rounding),"")</f>
        <v/>
      </c>
      <c r="E17" s="226" t="str">
        <f>IFERROR([1]!IntrinioFinancials(ticker,"balance_sheet",3,"FY",$B17,rounding),"")</f>
        <v/>
      </c>
      <c r="F17" s="226" t="str">
        <f>IFERROR([1]!IntrinioFinancials(ticker,"balance_sheet",2,"FY",$B17,rounding),"")</f>
        <v/>
      </c>
      <c r="G17" s="226" t="str">
        <f>IFERROR([1]!IntrinioFinancials(ticker,"balance_sheet",1,"FY",$B17,rounding),"")</f>
        <v/>
      </c>
      <c r="H17" s="226" t="str">
        <f>IFERROR([1]!IntrinioFinancials(ticker,"balance_sheet",0,"FY",$B17,rounding),"")</f>
        <v/>
      </c>
      <c r="I17" s="226" t="str">
        <f>IFERROR([1]!IntrinioFinancials(ticker,"balance_sheet",0,"TTM",$B17,rounding),"")</f>
        <v/>
      </c>
    </row>
    <row r="18" spans="1:9" ht="15.75" x14ac:dyDescent="0.25">
      <c r="A18" s="17" t="s">
        <v>5</v>
      </c>
      <c r="B18" s="130" t="s">
        <v>169</v>
      </c>
      <c r="C18" s="130"/>
      <c r="D18" s="219" t="str">
        <f>IFERROR([1]!IntrinioFinancials(ticker,"balance_sheet",4,"FY",$B18,rounding),"")</f>
        <v/>
      </c>
      <c r="E18" s="219" t="str">
        <f>IFERROR([1]!IntrinioFinancials(ticker,"balance_sheet",3,"FY",$B18,rounding),"")</f>
        <v/>
      </c>
      <c r="F18" s="219" t="str">
        <f>IFERROR([1]!IntrinioFinancials(ticker,"balance_sheet",2,"FY",$B18,rounding),"")</f>
        <v/>
      </c>
      <c r="G18" s="219" t="str">
        <f>IFERROR([1]!IntrinioFinancials(ticker,"balance_sheet",1,"FY",$B18,rounding),"")</f>
        <v/>
      </c>
      <c r="H18" s="219" t="str">
        <f>IFERROR([1]!IntrinioFinancials(ticker,"balance_sheet",0,"FY",$B18,rounding),"")</f>
        <v/>
      </c>
      <c r="I18" s="219" t="str">
        <f>IFERROR([1]!IntrinioFinancials(ticker,"balance_sheet",0,"TTM",$B18,rounding),"")</f>
        <v/>
      </c>
    </row>
    <row r="19" spans="1:9" ht="15.75" x14ac:dyDescent="0.25">
      <c r="A19" s="13"/>
      <c r="B19" s="11"/>
      <c r="C19" s="130"/>
      <c r="D19" s="215"/>
      <c r="E19" s="215"/>
      <c r="F19" s="215"/>
      <c r="G19" s="215"/>
      <c r="H19" s="215"/>
      <c r="I19" s="215"/>
    </row>
    <row r="20" spans="1:9" ht="15.75" x14ac:dyDescent="0.25">
      <c r="A20" s="19" t="s">
        <v>117</v>
      </c>
      <c r="B20" s="131"/>
      <c r="C20" s="130"/>
      <c r="D20" s="217"/>
      <c r="E20" s="217"/>
      <c r="F20" s="217"/>
      <c r="G20" s="217"/>
      <c r="H20" s="217"/>
      <c r="I20" s="217"/>
    </row>
    <row r="21" spans="1:9" ht="15.75" x14ac:dyDescent="0.25">
      <c r="A21" s="16" t="s">
        <v>177</v>
      </c>
      <c r="B21" s="130" t="s">
        <v>178</v>
      </c>
      <c r="C21" s="130"/>
      <c r="D21" s="215" t="str">
        <f>IFERROR([1]!IntrinioFinancials(ticker,"balance_sheet",4,"FY",$B21,rounding),"")</f>
        <v/>
      </c>
      <c r="E21" s="215" t="str">
        <f>IFERROR([1]!IntrinioFinancials(ticker,"balance_sheet",3,"FY",$B21,rounding),"")</f>
        <v/>
      </c>
      <c r="F21" s="215" t="str">
        <f>IFERROR([1]!IntrinioFinancials(ticker,"balance_sheet",2,"FY",$B21,rounding),"")</f>
        <v/>
      </c>
      <c r="G21" s="215" t="str">
        <f>IFERROR([1]!IntrinioFinancials(ticker,"balance_sheet",1,"FY",$B21,rounding),"")</f>
        <v/>
      </c>
      <c r="H21" s="215" t="str">
        <f>IFERROR([1]!IntrinioFinancials(ticker,"balance_sheet",0,"FY",$B21,rounding),"")</f>
        <v/>
      </c>
      <c r="I21" s="215" t="str">
        <f>IFERROR([1]!IntrinioFinancials(ticker,"balance_sheet",0,"TTM",$B21,rounding),"")</f>
        <v/>
      </c>
    </row>
    <row r="22" spans="1:9" ht="15.75" x14ac:dyDescent="0.25">
      <c r="A22" s="16" t="s">
        <v>180</v>
      </c>
      <c r="B22" s="130" t="s">
        <v>181</v>
      </c>
      <c r="C22" s="130"/>
      <c r="D22" s="215" t="str">
        <f>IFERROR([1]!IntrinioFinancials(ticker,"balance_sheet",4,"FY",$B22,rounding),"")</f>
        <v/>
      </c>
      <c r="E22" s="215" t="str">
        <f>IFERROR([1]!IntrinioFinancials(ticker,"balance_sheet",3,"FY",$B22,rounding),"")</f>
        <v/>
      </c>
      <c r="F22" s="215" t="str">
        <f>IFERROR([1]!IntrinioFinancials(ticker,"balance_sheet",2,"FY",$B22,rounding),"")</f>
        <v/>
      </c>
      <c r="G22" s="215" t="str">
        <f>IFERROR([1]!IntrinioFinancials(ticker,"balance_sheet",1,"FY",$B22,rounding),"")</f>
        <v/>
      </c>
      <c r="H22" s="215" t="str">
        <f>IFERROR([1]!IntrinioFinancials(ticker,"balance_sheet",0,"FY",$B22,rounding),"")</f>
        <v/>
      </c>
      <c r="I22" s="215" t="str">
        <f>IFERROR([1]!IntrinioFinancials(ticker,"balance_sheet",0,"TTM",$B22,rounding),"")</f>
        <v/>
      </c>
    </row>
    <row r="23" spans="1:9" ht="15.75" x14ac:dyDescent="0.25">
      <c r="A23" s="17" t="s">
        <v>84</v>
      </c>
      <c r="B23" s="130" t="s">
        <v>179</v>
      </c>
      <c r="C23" s="130"/>
      <c r="D23" s="219" t="str">
        <f>IFERROR([1]!IntrinioFinancials(ticker,"balance_sheet",4,"FY",$B23,rounding),"")</f>
        <v/>
      </c>
      <c r="E23" s="219" t="str">
        <f>IFERROR([1]!IntrinioFinancials(ticker,"balance_sheet",3,"FY",$B23,rounding),"")</f>
        <v/>
      </c>
      <c r="F23" s="219" t="str">
        <f>IFERROR([1]!IntrinioFinancials(ticker,"balance_sheet",2,"FY",$B23,rounding),"")</f>
        <v/>
      </c>
      <c r="G23" s="219" t="str">
        <f>IFERROR([1]!IntrinioFinancials(ticker,"balance_sheet",1,"FY",$B23,rounding),"")</f>
        <v/>
      </c>
      <c r="H23" s="219" t="str">
        <f>IFERROR([1]!IntrinioFinancials(ticker,"balance_sheet",0,"FY",$B23,rounding),"")</f>
        <v/>
      </c>
      <c r="I23" s="219" t="str">
        <f>IFERROR([1]!IntrinioFinancials(ticker,"balance_sheet",0,"TTM",$B23,rounding),"")</f>
        <v/>
      </c>
    </row>
    <row r="24" spans="1:9" ht="15.75" x14ac:dyDescent="0.25">
      <c r="A24" s="18"/>
      <c r="B24" s="11"/>
      <c r="C24" s="130"/>
      <c r="D24" s="217"/>
      <c r="E24" s="217"/>
      <c r="F24" s="217"/>
      <c r="G24" s="217"/>
      <c r="H24" s="217"/>
      <c r="I24" s="217"/>
    </row>
    <row r="25" spans="1:9" ht="15.75" x14ac:dyDescent="0.25">
      <c r="A25" s="19" t="s">
        <v>6</v>
      </c>
      <c r="B25" s="131"/>
      <c r="C25" s="130"/>
      <c r="D25" s="217"/>
      <c r="E25" s="217"/>
      <c r="F25" s="217"/>
      <c r="G25" s="217"/>
      <c r="H25" s="217"/>
      <c r="I25" s="217"/>
    </row>
    <row r="26" spans="1:9" ht="15.75" x14ac:dyDescent="0.25">
      <c r="A26" s="16" t="s">
        <v>110</v>
      </c>
      <c r="B26" s="130" t="s">
        <v>183</v>
      </c>
      <c r="C26" s="130"/>
      <c r="D26" s="215" t="str">
        <f>IFERROR([1]!IntrinioFinancials(ticker,"balance_sheet",4,"FY",$B26,rounding),"")</f>
        <v/>
      </c>
      <c r="E26" s="215" t="str">
        <f>IFERROR([1]!IntrinioFinancials(ticker,"balance_sheet",3,"FY",$B26,rounding),"")</f>
        <v/>
      </c>
      <c r="F26" s="215" t="str">
        <f>IFERROR([1]!IntrinioFinancials(ticker,"balance_sheet",2,"FY",$B26,rounding),"")</f>
        <v/>
      </c>
      <c r="G26" s="215" t="str">
        <f>IFERROR([1]!IntrinioFinancials(ticker,"balance_sheet",1,"FY",$B26,rounding),"")</f>
        <v/>
      </c>
      <c r="H26" s="215" t="str">
        <f>IFERROR([1]!IntrinioFinancials(ticker,"balance_sheet",0,"FY",$B26,rounding),"")</f>
        <v/>
      </c>
      <c r="I26" s="215" t="str">
        <f>IFERROR([1]!IntrinioFinancials(ticker,"balance_sheet",0,"TTM",$B26,rounding),"")</f>
        <v/>
      </c>
    </row>
    <row r="27" spans="1:9" ht="15.75" x14ac:dyDescent="0.25">
      <c r="A27" s="16" t="s">
        <v>246</v>
      </c>
      <c r="B27" s="130" t="s">
        <v>247</v>
      </c>
      <c r="C27" s="130"/>
      <c r="D27" s="215" t="str">
        <f>IFERROR([1]!IntrinioFinancials(ticker,"balance_sheet",4,"FY",$B27,rounding),"")</f>
        <v/>
      </c>
      <c r="E27" s="215" t="str">
        <f>IFERROR([1]!IntrinioFinancials(ticker,"balance_sheet",3,"FY",$B27,rounding),"")</f>
        <v/>
      </c>
      <c r="F27" s="215" t="str">
        <f>IFERROR([1]!IntrinioFinancials(ticker,"balance_sheet",2,"FY",$B27,rounding),"")</f>
        <v/>
      </c>
      <c r="G27" s="215" t="str">
        <f>IFERROR([1]!IntrinioFinancials(ticker,"balance_sheet",1,"FY",$B27,rounding),"")</f>
        <v/>
      </c>
      <c r="H27" s="215" t="str">
        <f>IFERROR([1]!IntrinioFinancials(ticker,"balance_sheet",0,"FY",$B27,rounding),"")</f>
        <v/>
      </c>
      <c r="I27" s="215" t="str">
        <f>IFERROR([1]!IntrinioFinancials(ticker,"balance_sheet",0,"TTM",$B27,rounding),"")</f>
        <v/>
      </c>
    </row>
    <row r="28" spans="1:9" ht="15.75" x14ac:dyDescent="0.25">
      <c r="A28" s="16" t="s">
        <v>12</v>
      </c>
      <c r="B28" s="130" t="s">
        <v>184</v>
      </c>
      <c r="C28" s="130"/>
      <c r="D28" s="215" t="str">
        <f>IFERROR([1]!IntrinioFinancials(ticker,"balance_sheet",4,"FY",$B28,rounding),"")</f>
        <v/>
      </c>
      <c r="E28" s="215" t="str">
        <f>IFERROR([1]!IntrinioFinancials(ticker,"balance_sheet",3,"FY",$B28,rounding),"")</f>
        <v/>
      </c>
      <c r="F28" s="215" t="str">
        <f>IFERROR([1]!IntrinioFinancials(ticker,"balance_sheet",2,"FY",$B28,rounding),"")</f>
        <v/>
      </c>
      <c r="G28" s="215" t="str">
        <f>IFERROR([1]!IntrinioFinancials(ticker,"balance_sheet",1,"FY",$B28,rounding),"")</f>
        <v/>
      </c>
      <c r="H28" s="215" t="str">
        <f>IFERROR([1]!IntrinioFinancials(ticker,"balance_sheet",0,"FY",$B28,rounding),"")</f>
        <v/>
      </c>
      <c r="I28" s="215" t="str">
        <f>IFERROR([1]!IntrinioFinancials(ticker,"balance_sheet",0,"TTM",$B28,rounding),"")</f>
        <v/>
      </c>
    </row>
    <row r="29" spans="1:9" ht="15.75" x14ac:dyDescent="0.25">
      <c r="A29" s="16" t="s">
        <v>13</v>
      </c>
      <c r="B29" s="130" t="s">
        <v>185</v>
      </c>
      <c r="C29" s="130"/>
      <c r="D29" s="215" t="str">
        <f>IFERROR([1]!IntrinioFinancials(ticker,"balance_sheet",4,"FY",$B29,rounding),"")</f>
        <v/>
      </c>
      <c r="E29" s="215" t="str">
        <f>IFERROR([1]!IntrinioFinancials(ticker,"balance_sheet",3,"FY",$B29,rounding),"")</f>
        <v/>
      </c>
      <c r="F29" s="215" t="str">
        <f>IFERROR([1]!IntrinioFinancials(ticker,"balance_sheet",2,"FY",$B29,rounding),"")</f>
        <v/>
      </c>
      <c r="G29" s="215" t="str">
        <f>IFERROR([1]!IntrinioFinancials(ticker,"balance_sheet",1,"FY",$B29,rounding),"")</f>
        <v/>
      </c>
      <c r="H29" s="215" t="str">
        <f>IFERROR([1]!IntrinioFinancials(ticker,"balance_sheet",0,"FY",$B29,rounding),"")</f>
        <v/>
      </c>
      <c r="I29" s="215" t="str">
        <f>IFERROR([1]!IntrinioFinancials(ticker,"balance_sheet",0,"TTM",$B29,rounding),"")</f>
        <v/>
      </c>
    </row>
    <row r="30" spans="1:9" ht="15.75" x14ac:dyDescent="0.25">
      <c r="A30" s="16" t="s">
        <v>248</v>
      </c>
      <c r="B30" s="130" t="s">
        <v>249</v>
      </c>
      <c r="C30" s="130"/>
      <c r="D30" s="215" t="str">
        <f>IFERROR([1]!IntrinioFinancials(ticker,"balance_sheet",4,"FY",$B30,rounding),"")</f>
        <v/>
      </c>
      <c r="E30" s="215" t="str">
        <f>IFERROR([1]!IntrinioFinancials(ticker,"balance_sheet",3,"FY",$B30,rounding),"")</f>
        <v/>
      </c>
      <c r="F30" s="215" t="str">
        <f>IFERROR([1]!IntrinioFinancials(ticker,"balance_sheet",2,"FY",$B30,rounding),"")</f>
        <v/>
      </c>
      <c r="G30" s="215" t="str">
        <f>IFERROR([1]!IntrinioFinancials(ticker,"balance_sheet",1,"FY",$B30,rounding),"")</f>
        <v/>
      </c>
      <c r="H30" s="215" t="str">
        <f>IFERROR([1]!IntrinioFinancials(ticker,"balance_sheet",0,"FY",$B30,rounding),"")</f>
        <v/>
      </c>
      <c r="I30" s="215" t="str">
        <f>IFERROR([1]!IntrinioFinancials(ticker,"balance_sheet",0,"TTM",$B30,rounding),"")</f>
        <v/>
      </c>
    </row>
    <row r="31" spans="1:9" ht="15.75" x14ac:dyDescent="0.25">
      <c r="A31" s="16" t="s">
        <v>250</v>
      </c>
      <c r="B31" s="130" t="s">
        <v>251</v>
      </c>
      <c r="C31" s="1"/>
      <c r="D31" s="215" t="str">
        <f>IFERROR([1]!IntrinioFinancials(ticker,"balance_sheet",4,"FY",$B31,rounding),"")</f>
        <v/>
      </c>
      <c r="E31" s="215" t="str">
        <f>IFERROR([1]!IntrinioFinancials(ticker,"balance_sheet",3,"FY",$B31,rounding),"")</f>
        <v/>
      </c>
      <c r="F31" s="215" t="str">
        <f>IFERROR([1]!IntrinioFinancials(ticker,"balance_sheet",2,"FY",$B31,rounding),"")</f>
        <v/>
      </c>
      <c r="G31" s="215" t="str">
        <f>IFERROR([1]!IntrinioFinancials(ticker,"balance_sheet",1,"FY",$B31,rounding),"")</f>
        <v/>
      </c>
      <c r="H31" s="215" t="str">
        <f>IFERROR([1]!IntrinioFinancials(ticker,"balance_sheet",0,"FY",$B31,rounding),"")</f>
        <v/>
      </c>
      <c r="I31" s="215" t="str">
        <f>IFERROR([1]!IntrinioFinancials(ticker,"balance_sheet",0,"TTM",$B31,rounding),"")</f>
        <v/>
      </c>
    </row>
    <row r="32" spans="1:9" ht="15.75" x14ac:dyDescent="0.25">
      <c r="A32" s="16" t="s">
        <v>252</v>
      </c>
      <c r="B32" s="130" t="s">
        <v>186</v>
      </c>
      <c r="C32" s="1"/>
      <c r="D32" s="215" t="str">
        <f>IFERROR([1]!IntrinioFinancials(ticker,"balance_sheet",4,"FY",$B32,rounding),"")</f>
        <v/>
      </c>
      <c r="E32" s="215" t="str">
        <f>IFERROR([1]!IntrinioFinancials(ticker,"balance_sheet",3,"FY",$B32,rounding),"")</f>
        <v/>
      </c>
      <c r="F32" s="215" t="str">
        <f>IFERROR([1]!IntrinioFinancials(ticker,"balance_sheet",2,"FY",$B32,rounding),"")</f>
        <v/>
      </c>
      <c r="G32" s="215" t="str">
        <f>IFERROR([1]!IntrinioFinancials(ticker,"balance_sheet",1,"FY",$B32,rounding),"")</f>
        <v/>
      </c>
      <c r="H32" s="215" t="str">
        <f>IFERROR([1]!IntrinioFinancials(ticker,"balance_sheet",0,"FY",$B32,rounding),"")</f>
        <v/>
      </c>
      <c r="I32" s="215" t="str">
        <f>IFERROR([1]!IntrinioFinancials(ticker,"balance_sheet",0,"TTM",$B32,rounding),"")</f>
        <v/>
      </c>
    </row>
    <row r="33" spans="1:9" ht="15.75" x14ac:dyDescent="0.25">
      <c r="A33" s="16" t="s">
        <v>253</v>
      </c>
      <c r="B33" s="130" t="s">
        <v>254</v>
      </c>
      <c r="C33" s="130"/>
      <c r="D33" s="215" t="str">
        <f>IFERROR([1]!IntrinioFinancials(ticker,"balance_sheet",4,"FY",$B33,rounding),"")</f>
        <v/>
      </c>
      <c r="E33" s="215" t="str">
        <f>IFERROR([1]!IntrinioFinancials(ticker,"balance_sheet",3,"FY",$B33,rounding),"")</f>
        <v/>
      </c>
      <c r="F33" s="215" t="str">
        <f>IFERROR([1]!IntrinioFinancials(ticker,"balance_sheet",2,"FY",$B33,rounding),"")</f>
        <v/>
      </c>
      <c r="G33" s="215" t="str">
        <f>IFERROR([1]!IntrinioFinancials(ticker,"balance_sheet",1,"FY",$B33,rounding),"")</f>
        <v/>
      </c>
      <c r="H33" s="215" t="str">
        <f>IFERROR([1]!IntrinioFinancials(ticker,"balance_sheet",0,"FY",$B33,rounding),"")</f>
        <v/>
      </c>
      <c r="I33" s="215" t="str">
        <f>IFERROR([1]!IntrinioFinancials(ticker,"balance_sheet",0,"TTM",$B33,rounding),"")</f>
        <v/>
      </c>
    </row>
    <row r="34" spans="1:9" ht="15.75" x14ac:dyDescent="0.25">
      <c r="A34" s="17" t="s">
        <v>213</v>
      </c>
      <c r="B34" s="130" t="s">
        <v>182</v>
      </c>
      <c r="C34" s="130"/>
      <c r="D34" s="219" t="str">
        <f>IFERROR([1]!IntrinioFinancials(ticker,"balance_sheet",4,"FY",$B34,rounding),"")</f>
        <v/>
      </c>
      <c r="E34" s="219" t="str">
        <f>IFERROR([1]!IntrinioFinancials(ticker,"balance_sheet",3,"FY",$B34,rounding),"")</f>
        <v/>
      </c>
      <c r="F34" s="219" t="str">
        <f>IFERROR([1]!IntrinioFinancials(ticker,"balance_sheet",2,"FY",$B34,rounding),"")</f>
        <v/>
      </c>
      <c r="G34" s="219" t="str">
        <f>IFERROR([1]!IntrinioFinancials(ticker,"balance_sheet",1,"FY",$B34,rounding),"")</f>
        <v/>
      </c>
      <c r="H34" s="219" t="str">
        <f>IFERROR([1]!IntrinioFinancials(ticker,"balance_sheet",0,"FY",$B34,rounding),"")</f>
        <v/>
      </c>
      <c r="I34" s="219" t="str">
        <f>IFERROR([1]!IntrinioFinancials(ticker,"balance_sheet",0,"TTM",$B34,rounding),"")</f>
        <v/>
      </c>
    </row>
    <row r="35" spans="1:9" ht="15.75" x14ac:dyDescent="0.25">
      <c r="A35" s="13"/>
      <c r="B35" s="11"/>
      <c r="C35" s="130"/>
      <c r="D35" s="217"/>
      <c r="E35" s="217"/>
      <c r="F35" s="217"/>
      <c r="G35" s="217"/>
      <c r="H35" s="217"/>
      <c r="I35" s="217"/>
    </row>
    <row r="36" spans="1:9" ht="16.5" thickBot="1" x14ac:dyDescent="0.3">
      <c r="A36" s="20" t="s">
        <v>14</v>
      </c>
      <c r="B36" s="130" t="s">
        <v>176</v>
      </c>
      <c r="C36" s="130"/>
      <c r="D36" s="220" t="str">
        <f>IFERROR([1]!IntrinioFinancials(ticker,"balance_sheet",4,"FY",$B36,rounding),"")</f>
        <v/>
      </c>
      <c r="E36" s="220" t="str">
        <f>IFERROR([1]!IntrinioFinancials(ticker,"balance_sheet",3,"FY",$B36,rounding),"")</f>
        <v/>
      </c>
      <c r="F36" s="220" t="str">
        <f>IFERROR([1]!IntrinioFinancials(ticker,"balance_sheet",2,"FY",$B36,rounding),"")</f>
        <v/>
      </c>
      <c r="G36" s="220" t="str">
        <f>IFERROR([1]!IntrinioFinancials(ticker,"balance_sheet",1,"FY",$B36,rounding),"")</f>
        <v/>
      </c>
      <c r="H36" s="220" t="str">
        <f>IFERROR([1]!IntrinioFinancials(ticker,"balance_sheet",0,"FY",$B36,rounding),"")</f>
        <v/>
      </c>
      <c r="I36" s="220" t="str">
        <f>IFERROR([1]!IntrinioFinancials(ticker,"balance_sheet",0,"TTM",$B36,rounding),"")</f>
        <v/>
      </c>
    </row>
    <row r="37" spans="1:9" ht="16.5" thickTop="1" x14ac:dyDescent="0.25">
      <c r="A37" s="21"/>
      <c r="B37" s="12"/>
      <c r="C37" s="130"/>
      <c r="D37" s="227"/>
      <c r="E37" s="227"/>
      <c r="F37" s="227"/>
      <c r="G37" s="227"/>
      <c r="H37" s="227"/>
      <c r="I37" s="227"/>
    </row>
    <row r="38" spans="1:9" ht="15.75" x14ac:dyDescent="0.25">
      <c r="A38" s="12" t="s">
        <v>255</v>
      </c>
      <c r="B38" s="12"/>
      <c r="C38" s="130"/>
      <c r="D38" s="228"/>
      <c r="E38" s="228"/>
      <c r="F38" s="228"/>
      <c r="G38" s="228"/>
      <c r="H38" s="228"/>
      <c r="I38" s="228"/>
    </row>
    <row r="39" spans="1:9" ht="15.75" x14ac:dyDescent="0.25">
      <c r="A39" s="14" t="s">
        <v>24</v>
      </c>
      <c r="B39" s="129"/>
      <c r="C39" s="130"/>
      <c r="D39" s="228"/>
      <c r="E39" s="228"/>
      <c r="F39" s="228"/>
      <c r="G39" s="228"/>
      <c r="H39" s="228"/>
      <c r="I39" s="228"/>
    </row>
    <row r="40" spans="1:9" ht="15.75" x14ac:dyDescent="0.25">
      <c r="A40" s="16" t="s">
        <v>111</v>
      </c>
      <c r="B40" s="130" t="s">
        <v>189</v>
      </c>
      <c r="C40" s="130"/>
      <c r="D40" s="215" t="str">
        <f>IFERROR([1]!IntrinioFinancials(ticker,"balance_sheet",4,"FY",$B40,rounding),"")</f>
        <v/>
      </c>
      <c r="E40" s="215" t="str">
        <f>IFERROR([1]!IntrinioFinancials(ticker,"balance_sheet",3,"FY",$B40,rounding),"")</f>
        <v/>
      </c>
      <c r="F40" s="215" t="str">
        <f>IFERROR([1]!IntrinioFinancials(ticker,"balance_sheet",2,"FY",$B40,rounding),"")</f>
        <v/>
      </c>
      <c r="G40" s="215" t="str">
        <f>IFERROR([1]!IntrinioFinancials(ticker,"balance_sheet",1,"FY",$B40,rounding),"")</f>
        <v/>
      </c>
      <c r="H40" s="215" t="str">
        <f>IFERROR([1]!IntrinioFinancials(ticker,"balance_sheet",0,"FY",$B40,rounding),"")</f>
        <v/>
      </c>
      <c r="I40" s="215" t="str">
        <f>IFERROR([1]!IntrinioFinancials(ticker,"balance_sheet",0,"TTM",$B40,rounding),"")</f>
        <v/>
      </c>
    </row>
    <row r="41" spans="1:9" ht="15.75" x14ac:dyDescent="0.25">
      <c r="A41" s="16" t="s">
        <v>15</v>
      </c>
      <c r="B41" s="130" t="s">
        <v>187</v>
      </c>
      <c r="C41" s="130"/>
      <c r="D41" s="215" t="str">
        <f>IFERROR([1]!IntrinioFinancials(ticker,"balance_sheet",4,"FY",$B41,rounding),"")</f>
        <v/>
      </c>
      <c r="E41" s="215" t="str">
        <f>IFERROR([1]!IntrinioFinancials(ticker,"balance_sheet",3,"FY",$B41,rounding),"")</f>
        <v/>
      </c>
      <c r="F41" s="215" t="str">
        <f>IFERROR([1]!IntrinioFinancials(ticker,"balance_sheet",2,"FY",$B41,rounding),"")</f>
        <v/>
      </c>
      <c r="G41" s="215" t="str">
        <f>IFERROR([1]!IntrinioFinancials(ticker,"balance_sheet",1,"FY",$B41,rounding),"")</f>
        <v/>
      </c>
      <c r="H41" s="215" t="str">
        <f>IFERROR([1]!IntrinioFinancials(ticker,"balance_sheet",0,"FY",$B41,rounding),"")</f>
        <v/>
      </c>
      <c r="I41" s="215" t="str">
        <f>IFERROR([1]!IntrinioFinancials(ticker,"balance_sheet",0,"TTM",$B41,rounding),"")</f>
        <v/>
      </c>
    </row>
    <row r="42" spans="1:9" ht="15.75" x14ac:dyDescent="0.25">
      <c r="A42" s="16" t="s">
        <v>7</v>
      </c>
      <c r="B42" s="130" t="s">
        <v>190</v>
      </c>
      <c r="C42" s="130"/>
      <c r="D42" s="215" t="str">
        <f>IFERROR([1]!IntrinioFinancials(ticker,"balance_sheet",4,"FY",$B42,rounding),"")</f>
        <v/>
      </c>
      <c r="E42" s="215" t="str">
        <f>IFERROR([1]!IntrinioFinancials(ticker,"balance_sheet",3,"FY",$B42,rounding),"")</f>
        <v/>
      </c>
      <c r="F42" s="215" t="str">
        <f>IFERROR([1]!IntrinioFinancials(ticker,"balance_sheet",2,"FY",$B42,rounding),"")</f>
        <v/>
      </c>
      <c r="G42" s="215" t="str">
        <f>IFERROR([1]!IntrinioFinancials(ticker,"balance_sheet",1,"FY",$B42,rounding),"")</f>
        <v/>
      </c>
      <c r="H42" s="215" t="str">
        <f>IFERROR([1]!IntrinioFinancials(ticker,"balance_sheet",0,"FY",$B42,rounding),"")</f>
        <v/>
      </c>
      <c r="I42" s="215" t="str">
        <f>IFERROR([1]!IntrinioFinancials(ticker,"balance_sheet",0,"TTM",$B42,rounding),"")</f>
        <v/>
      </c>
    </row>
    <row r="43" spans="1:9" ht="15.75" x14ac:dyDescent="0.25">
      <c r="A43" s="16" t="s">
        <v>256</v>
      </c>
      <c r="B43" s="130" t="s">
        <v>257</v>
      </c>
      <c r="C43" s="130"/>
      <c r="D43" s="215" t="str">
        <f>IFERROR([1]!IntrinioFinancials(ticker,"balance_sheet",4,"FY",$B43,rounding),"")</f>
        <v/>
      </c>
      <c r="E43" s="215" t="str">
        <f>IFERROR([1]!IntrinioFinancials(ticker,"balance_sheet",3,"FY",$B43,rounding),"")</f>
        <v/>
      </c>
      <c r="F43" s="215" t="str">
        <f>IFERROR([1]!IntrinioFinancials(ticker,"balance_sheet",2,"FY",$B43,rounding),"")</f>
        <v/>
      </c>
      <c r="G43" s="215" t="str">
        <f>IFERROR([1]!IntrinioFinancials(ticker,"balance_sheet",1,"FY",$B43,rounding),"")</f>
        <v/>
      </c>
      <c r="H43" s="215" t="str">
        <f>IFERROR([1]!IntrinioFinancials(ticker,"balance_sheet",0,"FY",$B43,rounding),"")</f>
        <v/>
      </c>
      <c r="I43" s="215" t="str">
        <f>IFERROR([1]!IntrinioFinancials(ticker,"balance_sheet",0,"TTM",$B43,rounding),"")</f>
        <v/>
      </c>
    </row>
    <row r="44" spans="1:9" ht="15.75" x14ac:dyDescent="0.25">
      <c r="A44" s="16" t="s">
        <v>258</v>
      </c>
      <c r="B44" s="130" t="s">
        <v>259</v>
      </c>
      <c r="C44" s="130"/>
      <c r="D44" s="215" t="str">
        <f>IFERROR([1]!IntrinioFinancials(ticker,"balance_sheet",4,"FY",$B44,rounding),"")</f>
        <v/>
      </c>
      <c r="E44" s="215" t="str">
        <f>IFERROR([1]!IntrinioFinancials(ticker,"balance_sheet",3,"FY",$B44,rounding),"")</f>
        <v/>
      </c>
      <c r="F44" s="215" t="str">
        <f>IFERROR([1]!IntrinioFinancials(ticker,"balance_sheet",2,"FY",$B44,rounding),"")</f>
        <v/>
      </c>
      <c r="G44" s="215" t="str">
        <f>IFERROR([1]!IntrinioFinancials(ticker,"balance_sheet",1,"FY",$B44,rounding),"")</f>
        <v/>
      </c>
      <c r="H44" s="215" t="str">
        <f>IFERROR([1]!IntrinioFinancials(ticker,"balance_sheet",0,"FY",$B44,rounding),"")</f>
        <v/>
      </c>
      <c r="I44" s="215" t="str">
        <f>IFERROR([1]!IntrinioFinancials(ticker,"balance_sheet",0,"TTM",$B44,rounding),"")</f>
        <v/>
      </c>
    </row>
    <row r="45" spans="1:9" ht="15.75" x14ac:dyDescent="0.25">
      <c r="A45" s="16" t="s">
        <v>260</v>
      </c>
      <c r="B45" s="130" t="s">
        <v>261</v>
      </c>
      <c r="C45" s="130"/>
      <c r="D45" s="215" t="str">
        <f>IFERROR([1]!IntrinioFinancials(ticker,"balance_sheet",4,"FY",$B45,rounding),"")</f>
        <v/>
      </c>
      <c r="E45" s="215" t="str">
        <f>IFERROR([1]!IntrinioFinancials(ticker,"balance_sheet",3,"FY",$B45,rounding),"")</f>
        <v/>
      </c>
      <c r="F45" s="215" t="str">
        <f>IFERROR([1]!IntrinioFinancials(ticker,"balance_sheet",2,"FY",$B45,rounding),"")</f>
        <v/>
      </c>
      <c r="G45" s="215" t="str">
        <f>IFERROR([1]!IntrinioFinancials(ticker,"balance_sheet",1,"FY",$B45,rounding),"")</f>
        <v/>
      </c>
      <c r="H45" s="215" t="str">
        <f>IFERROR([1]!IntrinioFinancials(ticker,"balance_sheet",0,"FY",$B45,rounding),"")</f>
        <v/>
      </c>
      <c r="I45" s="215" t="str">
        <f>IFERROR([1]!IntrinioFinancials(ticker,"balance_sheet",0,"TTM",$B45,rounding),"")</f>
        <v/>
      </c>
    </row>
    <row r="46" spans="1:9" ht="15.75" x14ac:dyDescent="0.25">
      <c r="A46" s="16" t="s">
        <v>262</v>
      </c>
      <c r="B46" s="130" t="s">
        <v>263</v>
      </c>
      <c r="C46" s="130"/>
      <c r="D46" s="215" t="str">
        <f>IFERROR([1]!IntrinioFinancials(ticker,"balance_sheet",4,"FY",$B46,rounding),"")</f>
        <v/>
      </c>
      <c r="E46" s="215" t="str">
        <f>IFERROR([1]!IntrinioFinancials(ticker,"balance_sheet",3,"FY",$B46,rounding),"")</f>
        <v/>
      </c>
      <c r="F46" s="215" t="str">
        <f>IFERROR([1]!IntrinioFinancials(ticker,"balance_sheet",2,"FY",$B46,rounding),"")</f>
        <v/>
      </c>
      <c r="G46" s="215" t="str">
        <f>IFERROR([1]!IntrinioFinancials(ticker,"balance_sheet",1,"FY",$B46,rounding),"")</f>
        <v/>
      </c>
      <c r="H46" s="215" t="str">
        <f>IFERROR([1]!IntrinioFinancials(ticker,"balance_sheet",0,"FY",$B46,rounding),"")</f>
        <v/>
      </c>
      <c r="I46" s="215" t="str">
        <f>IFERROR([1]!IntrinioFinancials(ticker,"balance_sheet",0,"TTM",$B46,rounding),"")</f>
        <v/>
      </c>
    </row>
    <row r="47" spans="1:9" ht="15.75" x14ac:dyDescent="0.25">
      <c r="A47" s="16" t="s">
        <v>264</v>
      </c>
      <c r="B47" s="130" t="s">
        <v>265</v>
      </c>
      <c r="C47" s="130"/>
      <c r="D47" s="215" t="str">
        <f>IFERROR([1]!IntrinioFinancials(ticker,"balance_sheet",4,"FY",$B47,rounding),"")</f>
        <v/>
      </c>
      <c r="E47" s="215" t="str">
        <f>IFERROR([1]!IntrinioFinancials(ticker,"balance_sheet",3,"FY",$B47,rounding),"")</f>
        <v/>
      </c>
      <c r="F47" s="215" t="str">
        <f>IFERROR([1]!IntrinioFinancials(ticker,"balance_sheet",2,"FY",$B47,rounding),"")</f>
        <v/>
      </c>
      <c r="G47" s="215" t="str">
        <f>IFERROR([1]!IntrinioFinancials(ticker,"balance_sheet",1,"FY",$B47,rounding),"")</f>
        <v/>
      </c>
      <c r="H47" s="215" t="str">
        <f>IFERROR([1]!IntrinioFinancials(ticker,"balance_sheet",0,"FY",$B47,rounding),"")</f>
        <v/>
      </c>
      <c r="I47" s="215" t="str">
        <f>IFERROR([1]!IntrinioFinancials(ticker,"balance_sheet",0,"TTM",$B47,rounding),"")</f>
        <v/>
      </c>
    </row>
    <row r="48" spans="1:9" ht="15.75" x14ac:dyDescent="0.25">
      <c r="A48" s="16" t="s">
        <v>266</v>
      </c>
      <c r="B48" s="130" t="s">
        <v>267</v>
      </c>
      <c r="C48" s="130"/>
      <c r="D48" s="215" t="str">
        <f>IFERROR([1]!IntrinioFinancials(ticker,"balance_sheet",4,"FY",$B48,rounding),"")</f>
        <v/>
      </c>
      <c r="E48" s="215" t="str">
        <f>IFERROR([1]!IntrinioFinancials(ticker,"balance_sheet",3,"FY",$B48,rounding),"")</f>
        <v/>
      </c>
      <c r="F48" s="215" t="str">
        <f>IFERROR([1]!IntrinioFinancials(ticker,"balance_sheet",2,"FY",$B48,rounding),"")</f>
        <v/>
      </c>
      <c r="G48" s="215" t="str">
        <f>IFERROR([1]!IntrinioFinancials(ticker,"balance_sheet",1,"FY",$B48,rounding),"")</f>
        <v/>
      </c>
      <c r="H48" s="215" t="str">
        <f>IFERROR([1]!IntrinioFinancials(ticker,"balance_sheet",0,"FY",$B48,rounding),"")</f>
        <v/>
      </c>
      <c r="I48" s="215" t="str">
        <f>IFERROR([1]!IntrinioFinancials(ticker,"balance_sheet",0,"TTM",$B48,rounding),"")</f>
        <v/>
      </c>
    </row>
    <row r="49" spans="1:9" ht="15.75" x14ac:dyDescent="0.25">
      <c r="A49" s="16" t="s">
        <v>8</v>
      </c>
      <c r="B49" s="130" t="s">
        <v>191</v>
      </c>
      <c r="C49" s="130"/>
      <c r="D49" s="215" t="str">
        <f>IFERROR([1]!IntrinioFinancials(ticker,"balance_sheet",4,"FY",$B49,rounding),"")</f>
        <v/>
      </c>
      <c r="E49" s="215" t="str">
        <f>IFERROR([1]!IntrinioFinancials(ticker,"balance_sheet",3,"FY",$B49,rounding),"")</f>
        <v/>
      </c>
      <c r="F49" s="215" t="str">
        <f>IFERROR([1]!IntrinioFinancials(ticker,"balance_sheet",2,"FY",$B49,rounding),"")</f>
        <v/>
      </c>
      <c r="G49" s="215" t="str">
        <f>IFERROR([1]!IntrinioFinancials(ticker,"balance_sheet",1,"FY",$B49,rounding),"")</f>
        <v/>
      </c>
      <c r="H49" s="215" t="str">
        <f>IFERROR([1]!IntrinioFinancials(ticker,"balance_sheet",0,"FY",$B49,rounding),"")</f>
        <v/>
      </c>
      <c r="I49" s="215" t="str">
        <f>IFERROR([1]!IntrinioFinancials(ticker,"balance_sheet",0,"TTM",$B49,rounding),"")</f>
        <v/>
      </c>
    </row>
    <row r="50" spans="1:9" ht="15.75" x14ac:dyDescent="0.25">
      <c r="A50" s="16" t="s">
        <v>268</v>
      </c>
      <c r="B50" s="130" t="s">
        <v>269</v>
      </c>
      <c r="C50" s="1"/>
      <c r="D50" s="215" t="str">
        <f>IFERROR([1]!IntrinioFinancials(ticker,"balance_sheet",4,"FY",$B50,rounding),"")</f>
        <v/>
      </c>
      <c r="E50" s="215" t="str">
        <f>IFERROR([1]!IntrinioFinancials(ticker,"balance_sheet",3,"FY",$B50,rounding),"")</f>
        <v/>
      </c>
      <c r="F50" s="215" t="str">
        <f>IFERROR([1]!IntrinioFinancials(ticker,"balance_sheet",2,"FY",$B50,rounding),"")</f>
        <v/>
      </c>
      <c r="G50" s="215" t="str">
        <f>IFERROR([1]!IntrinioFinancials(ticker,"balance_sheet",1,"FY",$B50,rounding),"")</f>
        <v/>
      </c>
      <c r="H50" s="215" t="str">
        <f>IFERROR([1]!IntrinioFinancials(ticker,"balance_sheet",0,"FY",$B50,rounding),"")</f>
        <v/>
      </c>
      <c r="I50" s="215" t="str">
        <f>IFERROR([1]!IntrinioFinancials(ticker,"balance_sheet",0,"TTM",$B50,rounding),"")</f>
        <v/>
      </c>
    </row>
    <row r="51" spans="1:9" ht="15.75" x14ac:dyDescent="0.25">
      <c r="A51" s="17" t="s">
        <v>16</v>
      </c>
      <c r="B51" s="130" t="s">
        <v>188</v>
      </c>
      <c r="C51" s="1"/>
      <c r="D51" s="219" t="str">
        <f>IFERROR([1]!IntrinioFinancials(ticker,"balance_sheet",4,"FY",$B51,rounding),"")</f>
        <v/>
      </c>
      <c r="E51" s="219" t="str">
        <f>IFERROR([1]!IntrinioFinancials(ticker,"balance_sheet",3,"FY",$B51,rounding),"")</f>
        <v/>
      </c>
      <c r="F51" s="219" t="str">
        <f>IFERROR([1]!IntrinioFinancials(ticker,"balance_sheet",2,"FY",$B51,rounding),"")</f>
        <v/>
      </c>
      <c r="G51" s="219" t="str">
        <f>IFERROR([1]!IntrinioFinancials(ticker,"balance_sheet",1,"FY",$B51,rounding),"")</f>
        <v/>
      </c>
      <c r="H51" s="219" t="str">
        <f>IFERROR([1]!IntrinioFinancials(ticker,"balance_sheet",0,"FY",$B51,rounding),"")</f>
        <v/>
      </c>
      <c r="I51" s="219" t="str">
        <f>IFERROR([1]!IntrinioFinancials(ticker,"balance_sheet",0,"TTM",$B51,rounding),"")</f>
        <v/>
      </c>
    </row>
    <row r="52" spans="1:9" ht="15.75" x14ac:dyDescent="0.25">
      <c r="C52" s="130"/>
      <c r="D52" s="217"/>
      <c r="E52" s="217"/>
      <c r="F52" s="217"/>
      <c r="G52" s="217"/>
      <c r="H52" s="217"/>
      <c r="I52" s="217"/>
    </row>
    <row r="53" spans="1:9" ht="15.75" x14ac:dyDescent="0.25">
      <c r="A53" s="13" t="s">
        <v>9</v>
      </c>
      <c r="B53" s="130" t="s">
        <v>193</v>
      </c>
      <c r="C53" s="130"/>
      <c r="D53" s="215" t="str">
        <f>IFERROR([1]!IntrinioFinancials(ticker,"balance_sheet",4,"FY",$B53,rounding),"")</f>
        <v/>
      </c>
      <c r="E53" s="215" t="str">
        <f>IFERROR([1]!IntrinioFinancials(ticker,"balance_sheet",3,"FY",$B53,rounding),"")</f>
        <v/>
      </c>
      <c r="F53" s="215" t="str">
        <f>IFERROR([1]!IntrinioFinancials(ticker,"balance_sheet",2,"FY",$B53,rounding),"")</f>
        <v/>
      </c>
      <c r="G53" s="215" t="str">
        <f>IFERROR([1]!IntrinioFinancials(ticker,"balance_sheet",1,"FY",$B53,rounding),"")</f>
        <v/>
      </c>
      <c r="H53" s="215" t="str">
        <f>IFERROR([1]!IntrinioFinancials(ticker,"balance_sheet",0,"FY",$B53,rounding),"")</f>
        <v/>
      </c>
      <c r="I53" s="215" t="str">
        <f>IFERROR([1]!IntrinioFinancials(ticker,"balance_sheet",0,"TTM",$B53,rounding),"")</f>
        <v/>
      </c>
    </row>
    <row r="54" spans="1:9" ht="15.75" x14ac:dyDescent="0.25">
      <c r="A54" s="13" t="s">
        <v>194</v>
      </c>
      <c r="B54" s="130" t="s">
        <v>195</v>
      </c>
      <c r="C54" s="130"/>
      <c r="D54" s="215" t="str">
        <f>IFERROR([1]!IntrinioFinancials(ticker,"balance_sheet",4,"FY",$B54,rounding),"")</f>
        <v/>
      </c>
      <c r="E54" s="215" t="str">
        <f>IFERROR([1]!IntrinioFinancials(ticker,"balance_sheet",3,"FY",$B54,rounding),"")</f>
        <v/>
      </c>
      <c r="F54" s="215" t="str">
        <f>IFERROR([1]!IntrinioFinancials(ticker,"balance_sheet",2,"FY",$B54,rounding),"")</f>
        <v/>
      </c>
      <c r="G54" s="215" t="str">
        <f>IFERROR([1]!IntrinioFinancials(ticker,"balance_sheet",1,"FY",$B54,rounding),"")</f>
        <v/>
      </c>
      <c r="H54" s="215" t="str">
        <f>IFERROR([1]!IntrinioFinancials(ticker,"balance_sheet",0,"FY",$B54,rounding),"")</f>
        <v/>
      </c>
      <c r="I54" s="215" t="str">
        <f>IFERROR([1]!IntrinioFinancials(ticker,"balance_sheet",0,"TTM",$B54,rounding),"")</f>
        <v/>
      </c>
    </row>
    <row r="55" spans="1:9" ht="15.75" x14ac:dyDescent="0.25">
      <c r="A55" s="13" t="s">
        <v>270</v>
      </c>
      <c r="B55" s="130" t="s">
        <v>271</v>
      </c>
      <c r="C55" s="130"/>
      <c r="D55" s="215" t="str">
        <f>IFERROR([1]!IntrinioFinancials(ticker,"balance_sheet",4,"FY",$B55,rounding),"")</f>
        <v/>
      </c>
      <c r="E55" s="215" t="str">
        <f>IFERROR([1]!IntrinioFinancials(ticker,"balance_sheet",3,"FY",$B55,rounding),"")</f>
        <v/>
      </c>
      <c r="F55" s="215" t="str">
        <f>IFERROR([1]!IntrinioFinancials(ticker,"balance_sheet",2,"FY",$B55,rounding),"")</f>
        <v/>
      </c>
      <c r="G55" s="215" t="str">
        <f>IFERROR([1]!IntrinioFinancials(ticker,"balance_sheet",1,"FY",$B55,rounding),"")</f>
        <v/>
      </c>
      <c r="H55" s="215" t="str">
        <f>IFERROR([1]!IntrinioFinancials(ticker,"balance_sheet",0,"FY",$B55,rounding),"")</f>
        <v/>
      </c>
      <c r="I55" s="215" t="str">
        <f>IFERROR([1]!IntrinioFinancials(ticker,"balance_sheet",0,"TTM",$B55,rounding),"")</f>
        <v/>
      </c>
    </row>
    <row r="56" spans="1:9" ht="15.75" x14ac:dyDescent="0.25">
      <c r="A56" s="13" t="s">
        <v>272</v>
      </c>
      <c r="B56" s="130" t="s">
        <v>273</v>
      </c>
      <c r="C56" s="130"/>
      <c r="D56" s="215" t="str">
        <f>IFERROR([1]!IntrinioFinancials(ticker,"balance_sheet",4,"FY",$B56,rounding),"")</f>
        <v/>
      </c>
      <c r="E56" s="215" t="str">
        <f>IFERROR([1]!IntrinioFinancials(ticker,"balance_sheet",3,"FY",$B56,rounding),"")</f>
        <v/>
      </c>
      <c r="F56" s="215" t="str">
        <f>IFERROR([1]!IntrinioFinancials(ticker,"balance_sheet",2,"FY",$B56,rounding),"")</f>
        <v/>
      </c>
      <c r="G56" s="215" t="str">
        <f>IFERROR([1]!IntrinioFinancials(ticker,"balance_sheet",1,"FY",$B56,rounding),"")</f>
        <v/>
      </c>
      <c r="H56" s="215" t="str">
        <f>IFERROR([1]!IntrinioFinancials(ticker,"balance_sheet",0,"FY",$B56,rounding),"")</f>
        <v/>
      </c>
      <c r="I56" s="215" t="str">
        <f>IFERROR([1]!IntrinioFinancials(ticker,"balance_sheet",0,"TTM",$B56,rounding),"")</f>
        <v/>
      </c>
    </row>
    <row r="57" spans="1:9" ht="15.75" x14ac:dyDescent="0.25">
      <c r="A57" s="13" t="s">
        <v>274</v>
      </c>
      <c r="B57" s="130" t="s">
        <v>275</v>
      </c>
      <c r="C57" s="130"/>
      <c r="D57" s="215" t="str">
        <f>IFERROR([1]!IntrinioFinancials(ticker,"balance_sheet",4,"FY",$B57,rounding),"")</f>
        <v/>
      </c>
      <c r="E57" s="215" t="str">
        <f>IFERROR([1]!IntrinioFinancials(ticker,"balance_sheet",3,"FY",$B57,rounding),"")</f>
        <v/>
      </c>
      <c r="F57" s="215" t="str">
        <f>IFERROR([1]!IntrinioFinancials(ticker,"balance_sheet",2,"FY",$B57,rounding),"")</f>
        <v/>
      </c>
      <c r="G57" s="215" t="str">
        <f>IFERROR([1]!IntrinioFinancials(ticker,"balance_sheet",1,"FY",$B57,rounding),"")</f>
        <v/>
      </c>
      <c r="H57" s="215" t="str">
        <f>IFERROR([1]!IntrinioFinancials(ticker,"balance_sheet",0,"FY",$B57,rounding),"")</f>
        <v/>
      </c>
      <c r="I57" s="215" t="str">
        <f>IFERROR([1]!IntrinioFinancials(ticker,"balance_sheet",0,"TTM",$B57,rounding),"")</f>
        <v/>
      </c>
    </row>
    <row r="58" spans="1:9" ht="15.75" x14ac:dyDescent="0.25">
      <c r="A58" s="16" t="s">
        <v>276</v>
      </c>
      <c r="B58" s="130" t="s">
        <v>277</v>
      </c>
      <c r="C58" s="130"/>
      <c r="D58" s="215" t="str">
        <f>IFERROR([1]!IntrinioFinancials(ticker,"balance_sheet",4,"FY",$B58,rounding),"")</f>
        <v/>
      </c>
      <c r="E58" s="215" t="str">
        <f>IFERROR([1]!IntrinioFinancials(ticker,"balance_sheet",3,"FY",$B58,rounding),"")</f>
        <v/>
      </c>
      <c r="F58" s="215" t="str">
        <f>IFERROR([1]!IntrinioFinancials(ticker,"balance_sheet",2,"FY",$B58,rounding),"")</f>
        <v/>
      </c>
      <c r="G58" s="215" t="str">
        <f>IFERROR([1]!IntrinioFinancials(ticker,"balance_sheet",1,"FY",$B58,rounding),"")</f>
        <v/>
      </c>
      <c r="H58" s="215" t="str">
        <f>IFERROR([1]!IntrinioFinancials(ticker,"balance_sheet",0,"FY",$B58,rounding),"")</f>
        <v/>
      </c>
      <c r="I58" s="215" t="str">
        <f>IFERROR([1]!IntrinioFinancials(ticker,"balance_sheet",0,"TTM",$B58,rounding),"")</f>
        <v/>
      </c>
    </row>
    <row r="59" spans="1:9" ht="15.75" x14ac:dyDescent="0.25">
      <c r="A59" s="16" t="s">
        <v>278</v>
      </c>
      <c r="B59" s="130" t="s">
        <v>214</v>
      </c>
      <c r="C59" s="130"/>
      <c r="D59" s="215" t="str">
        <f>IFERROR([1]!IntrinioFinancials(ticker,"balance_sheet",4,"FY",$B59,rounding),"")</f>
        <v/>
      </c>
      <c r="E59" s="215" t="str">
        <f>IFERROR([1]!IntrinioFinancials(ticker,"balance_sheet",3,"FY",$B59,rounding),"")</f>
        <v/>
      </c>
      <c r="F59" s="215" t="str">
        <f>IFERROR([1]!IntrinioFinancials(ticker,"balance_sheet",2,"FY",$B59,rounding),"")</f>
        <v/>
      </c>
      <c r="G59" s="215" t="str">
        <f>IFERROR([1]!IntrinioFinancials(ticker,"balance_sheet",1,"FY",$B59,rounding),"")</f>
        <v/>
      </c>
      <c r="H59" s="215" t="str">
        <f>IFERROR([1]!IntrinioFinancials(ticker,"balance_sheet",0,"FY",$B59,rounding),"")</f>
        <v/>
      </c>
      <c r="I59" s="215" t="str">
        <f>IFERROR([1]!IntrinioFinancials(ticker,"balance_sheet",0,"TTM",$B59,rounding),"")</f>
        <v/>
      </c>
    </row>
    <row r="60" spans="1:9" ht="15.75" x14ac:dyDescent="0.25">
      <c r="A60" s="16" t="s">
        <v>279</v>
      </c>
      <c r="B60" s="130" t="s">
        <v>280</v>
      </c>
      <c r="C60" s="130"/>
      <c r="D60" s="215" t="str">
        <f>IFERROR([1]!IntrinioFinancials(ticker,"balance_sheet",4,"FY",$B60,rounding),"")</f>
        <v/>
      </c>
      <c r="E60" s="215" t="str">
        <f>IFERROR([1]!IntrinioFinancials(ticker,"balance_sheet",3,"FY",$B60,rounding),"")</f>
        <v/>
      </c>
      <c r="F60" s="215" t="str">
        <f>IFERROR([1]!IntrinioFinancials(ticker,"balance_sheet",2,"FY",$B60,rounding),"")</f>
        <v/>
      </c>
      <c r="G60" s="215" t="str">
        <f>IFERROR([1]!IntrinioFinancials(ticker,"balance_sheet",1,"FY",$B60,rounding),"")</f>
        <v/>
      </c>
      <c r="H60" s="215" t="str">
        <f>IFERROR([1]!IntrinioFinancials(ticker,"balance_sheet",0,"FY",$B60,rounding),"")</f>
        <v/>
      </c>
      <c r="I60" s="215" t="str">
        <f>IFERROR([1]!IntrinioFinancials(ticker,"balance_sheet",0,"TTM",$B60,rounding),"")</f>
        <v/>
      </c>
    </row>
    <row r="61" spans="1:9" ht="15.75" x14ac:dyDescent="0.25">
      <c r="A61" s="17" t="s">
        <v>215</v>
      </c>
      <c r="B61" s="130" t="s">
        <v>192</v>
      </c>
      <c r="C61" s="133"/>
      <c r="D61" s="219" t="str">
        <f>IFERROR([1]!IntrinioFinancials(ticker,"balance_sheet",4,"FY",$B61,rounding),"")</f>
        <v/>
      </c>
      <c r="E61" s="219" t="str">
        <f>IFERROR([1]!IntrinioFinancials(ticker,"balance_sheet",3,"FY",$B61,rounding),"")</f>
        <v/>
      </c>
      <c r="F61" s="219" t="str">
        <f>IFERROR([1]!IntrinioFinancials(ticker,"balance_sheet",2,"FY",$B61,rounding),"")</f>
        <v/>
      </c>
      <c r="G61" s="219" t="str">
        <f>IFERROR([1]!IntrinioFinancials(ticker,"balance_sheet",1,"FY",$B61,rounding),"")</f>
        <v/>
      </c>
      <c r="H61" s="219" t="str">
        <f>IFERROR([1]!IntrinioFinancials(ticker,"balance_sheet",0,"FY",$B61,rounding),"")</f>
        <v/>
      </c>
      <c r="I61" s="219" t="str">
        <f>IFERROR([1]!IntrinioFinancials(ticker,"balance_sheet",0,"TTM",$B61,rounding),"")</f>
        <v/>
      </c>
    </row>
    <row r="62" spans="1:9" ht="15.75" x14ac:dyDescent="0.25">
      <c r="C62" s="130"/>
      <c r="D62" s="215"/>
      <c r="E62" s="215"/>
      <c r="F62" s="215"/>
      <c r="G62" s="215"/>
      <c r="H62" s="215"/>
      <c r="I62" s="215"/>
    </row>
    <row r="63" spans="1:9" ht="15.75" x14ac:dyDescent="0.25">
      <c r="A63" s="20" t="s">
        <v>25</v>
      </c>
      <c r="B63" s="130" t="s">
        <v>196</v>
      </c>
      <c r="C63" s="130"/>
      <c r="D63" s="229" t="str">
        <f>IFERROR([1]!IntrinioFinancials(ticker,"balance_sheet",4,"FY",$B63,rounding),"")</f>
        <v/>
      </c>
      <c r="E63" s="229" t="str">
        <f>IFERROR([1]!IntrinioFinancials(ticker,"balance_sheet",3,"FY",$B63,rounding),"")</f>
        <v/>
      </c>
      <c r="F63" s="229" t="str">
        <f>IFERROR([1]!IntrinioFinancials(ticker,"balance_sheet",2,"FY",$B63,rounding),"")</f>
        <v/>
      </c>
      <c r="G63" s="229" t="str">
        <f>IFERROR([1]!IntrinioFinancials(ticker,"balance_sheet",1,"FY",$B63,rounding),"")</f>
        <v/>
      </c>
      <c r="H63" s="229" t="str">
        <f>IFERROR([1]!IntrinioFinancials(ticker,"balance_sheet",0,"FY",$B63,rounding),"")</f>
        <v/>
      </c>
      <c r="I63" s="229" t="str">
        <f>IFERROR([1]!IntrinioFinancials(ticker,"balance_sheet",0,"TTM",$B63,rounding),"")</f>
        <v/>
      </c>
    </row>
    <row r="64" spans="1:9" ht="15.75" x14ac:dyDescent="0.25">
      <c r="A64" s="20"/>
      <c r="B64" s="130"/>
      <c r="C64" s="130"/>
      <c r="D64" s="217"/>
      <c r="E64" s="217"/>
      <c r="F64" s="217"/>
      <c r="G64" s="217"/>
      <c r="H64" s="217"/>
      <c r="I64" s="217"/>
    </row>
    <row r="65" spans="1:9" ht="15.75" x14ac:dyDescent="0.25">
      <c r="A65" s="17" t="s">
        <v>281</v>
      </c>
      <c r="B65" s="130" t="s">
        <v>282</v>
      </c>
      <c r="C65" s="130"/>
      <c r="D65" s="217" t="str">
        <f>IFERROR([1]!IntrinioFinancials(ticker,"balance_sheet",4,"FY",$B65,rounding),"")</f>
        <v/>
      </c>
      <c r="E65" s="217" t="str">
        <f>IFERROR([1]!IntrinioFinancials(ticker,"balance_sheet",3,"FY",$B65,rounding),"")</f>
        <v/>
      </c>
      <c r="F65" s="217" t="str">
        <f>IFERROR([1]!IntrinioFinancials(ticker,"balance_sheet",2,"FY",$B65,rounding),"")</f>
        <v/>
      </c>
      <c r="G65" s="217" t="str">
        <f>IFERROR([1]!IntrinioFinancials(ticker,"balance_sheet",1,"FY",$B65,rounding),"")</f>
        <v/>
      </c>
      <c r="H65" s="217" t="str">
        <f>IFERROR([1]!IntrinioFinancials(ticker,"balance_sheet",0,"FY",$B65,rounding),"")</f>
        <v/>
      </c>
      <c r="I65" s="217" t="str">
        <f>IFERROR([1]!IntrinioFinancials(ticker,"balance_sheet",0,"TTM",$B65,rounding),"")</f>
        <v/>
      </c>
    </row>
    <row r="66" spans="1:9" ht="15.75" x14ac:dyDescent="0.25">
      <c r="A66" s="16"/>
      <c r="B66" s="130"/>
      <c r="C66" s="130"/>
      <c r="D66" s="215"/>
      <c r="E66" s="215"/>
      <c r="F66" s="215"/>
      <c r="G66" s="215"/>
      <c r="H66" s="215"/>
      <c r="I66" s="215"/>
    </row>
    <row r="67" spans="1:9" ht="15.75" x14ac:dyDescent="0.25">
      <c r="A67" s="17" t="s">
        <v>283</v>
      </c>
      <c r="B67" s="130" t="s">
        <v>284</v>
      </c>
      <c r="D67" s="217" t="str">
        <f>IFERROR([1]!IntrinioFinancials(ticker,"balance_sheet",4,"FY",$B67,rounding),"")</f>
        <v/>
      </c>
      <c r="E67" s="217" t="str">
        <f>IFERROR([1]!IntrinioFinancials(ticker,"balance_sheet",3,"FY",$B67,rounding),"")</f>
        <v/>
      </c>
      <c r="F67" s="217" t="str">
        <f>IFERROR([1]!IntrinioFinancials(ticker,"balance_sheet",2,"FY",$B67,rounding),"")</f>
        <v/>
      </c>
      <c r="G67" s="217" t="str">
        <f>IFERROR([1]!IntrinioFinancials(ticker,"balance_sheet",1,"FY",$B67,rounding),"")</f>
        <v/>
      </c>
      <c r="H67" s="217" t="str">
        <f>IFERROR([1]!IntrinioFinancials(ticker,"balance_sheet",0,"FY",$B67,rounding),"")</f>
        <v/>
      </c>
      <c r="I67" s="217" t="str">
        <f>IFERROR([1]!IntrinioFinancials(ticker,"balance_sheet",0,"TTM",$B67,rounding),"")</f>
        <v/>
      </c>
    </row>
    <row r="68" spans="1:9" ht="15.75" x14ac:dyDescent="0.25">
      <c r="A68" s="20"/>
      <c r="B68" s="12"/>
      <c r="D68" s="217"/>
      <c r="E68" s="217"/>
      <c r="F68" s="217"/>
      <c r="G68" s="217"/>
      <c r="H68" s="217"/>
      <c r="I68" s="217"/>
    </row>
    <row r="69" spans="1:9" ht="15.75" x14ac:dyDescent="0.25">
      <c r="A69" s="12" t="s">
        <v>285</v>
      </c>
      <c r="B69" s="129"/>
      <c r="D69" s="230"/>
      <c r="E69" s="230"/>
      <c r="F69" s="230"/>
      <c r="G69" s="230"/>
      <c r="H69" s="230"/>
      <c r="I69" s="230"/>
    </row>
    <row r="70" spans="1:9" ht="15.75" x14ac:dyDescent="0.25">
      <c r="A70" s="14" t="s">
        <v>286</v>
      </c>
      <c r="B70" s="129"/>
      <c r="D70" s="230"/>
      <c r="E70" s="230"/>
      <c r="F70" s="230"/>
      <c r="G70" s="230"/>
      <c r="H70" s="230"/>
      <c r="I70" s="230"/>
    </row>
    <row r="71" spans="1:9" ht="15.75" x14ac:dyDescent="0.25">
      <c r="A71" s="17" t="s">
        <v>198</v>
      </c>
      <c r="B71" s="130" t="s">
        <v>199</v>
      </c>
      <c r="D71" s="217" t="str">
        <f>IFERROR([1]!IntrinioFinancials(ticker,"balance_sheet",4,"FY",$B71,rounding),"")</f>
        <v/>
      </c>
      <c r="E71" s="217" t="str">
        <f>IFERROR([1]!IntrinioFinancials(ticker,"balance_sheet",3,"FY",$B71,rounding),"")</f>
        <v/>
      </c>
      <c r="F71" s="217" t="str">
        <f>IFERROR([1]!IntrinioFinancials(ticker,"balance_sheet",2,"FY",$B71,rounding),"")</f>
        <v/>
      </c>
      <c r="G71" s="217" t="str">
        <f>IFERROR([1]!IntrinioFinancials(ticker,"balance_sheet",1,"FY",$B71,rounding),"")</f>
        <v/>
      </c>
      <c r="H71" s="217" t="str">
        <f>IFERROR([1]!IntrinioFinancials(ticker,"balance_sheet",0,"FY",$B71,rounding),"")</f>
        <v/>
      </c>
      <c r="I71" s="217" t="str">
        <f>IFERROR([1]!IntrinioFinancials(ticker,"balance_sheet",0,"TTM",$B71,rounding),"")</f>
        <v/>
      </c>
    </row>
    <row r="72" spans="1:9" ht="15.75" x14ac:dyDescent="0.25">
      <c r="A72" s="14"/>
      <c r="B72" s="129"/>
      <c r="D72" s="230"/>
      <c r="E72" s="230"/>
      <c r="F72" s="230"/>
      <c r="G72" s="230"/>
      <c r="H72" s="230"/>
      <c r="I72" s="230"/>
    </row>
    <row r="73" spans="1:9" ht="15.75" x14ac:dyDescent="0.25">
      <c r="A73" s="14" t="s">
        <v>287</v>
      </c>
      <c r="B73" s="129"/>
      <c r="D73" s="228"/>
      <c r="E73" s="228"/>
      <c r="F73" s="228"/>
      <c r="G73" s="228"/>
      <c r="H73" s="228"/>
      <c r="I73" s="228"/>
    </row>
    <row r="74" spans="1:9" ht="15.75" x14ac:dyDescent="0.25">
      <c r="A74" s="16" t="s">
        <v>17</v>
      </c>
      <c r="B74" s="130" t="s">
        <v>201</v>
      </c>
      <c r="D74" s="215" t="str">
        <f>IFERROR([1]!IntrinioFinancials(ticker,"balance_sheet",4,"FY",$B74,rounding),"")</f>
        <v/>
      </c>
      <c r="E74" s="215" t="str">
        <f>IFERROR([1]!IntrinioFinancials(ticker,"balance_sheet",3,"FY",$B74,rounding),"")</f>
        <v/>
      </c>
      <c r="F74" s="215" t="str">
        <f>IFERROR([1]!IntrinioFinancials(ticker,"balance_sheet",2,"FY",$B74,rounding),"")</f>
        <v/>
      </c>
      <c r="G74" s="215" t="str">
        <f>IFERROR([1]!IntrinioFinancials(ticker,"balance_sheet",1,"FY",$B74,rounding),"")</f>
        <v/>
      </c>
      <c r="H74" s="215" t="str">
        <f>IFERROR([1]!IntrinioFinancials(ticker,"balance_sheet",0,"FY",$B74,rounding),"")</f>
        <v/>
      </c>
      <c r="I74" s="215" t="str">
        <f>IFERROR([1]!IntrinioFinancials(ticker,"balance_sheet",0,"TTM",$B74,rounding),"")</f>
        <v/>
      </c>
    </row>
    <row r="75" spans="1:9" ht="15.75" x14ac:dyDescent="0.25">
      <c r="A75" s="16" t="s">
        <v>18</v>
      </c>
      <c r="B75" s="130" t="s">
        <v>203</v>
      </c>
      <c r="D75" s="215" t="str">
        <f>IFERROR([1]!IntrinioFinancials(ticker,"balance_sheet",4,"FY",$B75,rounding),"")</f>
        <v/>
      </c>
      <c r="E75" s="215" t="str">
        <f>IFERROR([1]!IntrinioFinancials(ticker,"balance_sheet",3,"FY",$B75,rounding),"")</f>
        <v/>
      </c>
      <c r="F75" s="215" t="str">
        <f>IFERROR([1]!IntrinioFinancials(ticker,"balance_sheet",2,"FY",$B75,rounding),"")</f>
        <v/>
      </c>
      <c r="G75" s="215" t="str">
        <f>IFERROR([1]!IntrinioFinancials(ticker,"balance_sheet",1,"FY",$B75,rounding),"")</f>
        <v/>
      </c>
      <c r="H75" s="215" t="str">
        <f>IFERROR([1]!IntrinioFinancials(ticker,"balance_sheet",0,"FY",$B75,rounding),"")</f>
        <v/>
      </c>
      <c r="I75" s="215" t="str">
        <f>IFERROR([1]!IntrinioFinancials(ticker,"balance_sheet",0,"TTM",$B75,rounding),"")</f>
        <v/>
      </c>
    </row>
    <row r="76" spans="1:9" ht="15.75" x14ac:dyDescent="0.25">
      <c r="A76" s="16" t="s">
        <v>116</v>
      </c>
      <c r="B76" s="130" t="s">
        <v>204</v>
      </c>
      <c r="D76" s="215" t="str">
        <f>IFERROR([1]!IntrinioFinancials(ticker,"balance_sheet",4,"FY",$B76,rounding),"")</f>
        <v/>
      </c>
      <c r="E76" s="215" t="str">
        <f>IFERROR([1]!IntrinioFinancials(ticker,"balance_sheet",3,"FY",$B76,rounding),"")</f>
        <v/>
      </c>
      <c r="F76" s="215" t="str">
        <f>IFERROR([1]!IntrinioFinancials(ticker,"balance_sheet",2,"FY",$B76,rounding),"")</f>
        <v/>
      </c>
      <c r="G76" s="215" t="str">
        <f>IFERROR([1]!IntrinioFinancials(ticker,"balance_sheet",1,"FY",$B76,rounding),"")</f>
        <v/>
      </c>
      <c r="H76" s="215" t="str">
        <f>IFERROR([1]!IntrinioFinancials(ticker,"balance_sheet",0,"FY",$B76,rounding),"")</f>
        <v/>
      </c>
      <c r="I76" s="215" t="str">
        <f>IFERROR([1]!IntrinioFinancials(ticker,"balance_sheet",0,"TTM",$B76,rounding),"")</f>
        <v/>
      </c>
    </row>
    <row r="77" spans="1:9" ht="15.75" x14ac:dyDescent="0.25">
      <c r="A77" s="16" t="s">
        <v>288</v>
      </c>
      <c r="B77" s="130" t="s">
        <v>205</v>
      </c>
      <c r="D77" s="215" t="str">
        <f>IFERROR([1]!IntrinioFinancials(ticker,"balance_sheet",4,"FY",$B77,rounding),"")</f>
        <v/>
      </c>
      <c r="E77" s="215" t="str">
        <f>IFERROR([1]!IntrinioFinancials(ticker,"balance_sheet",3,"FY",$B77,rounding),"")</f>
        <v/>
      </c>
      <c r="F77" s="215" t="str">
        <f>IFERROR([1]!IntrinioFinancials(ticker,"balance_sheet",2,"FY",$B77,rounding),"")</f>
        <v/>
      </c>
      <c r="G77" s="215" t="str">
        <f>IFERROR([1]!IntrinioFinancials(ticker,"balance_sheet",1,"FY",$B77,rounding),"")</f>
        <v/>
      </c>
      <c r="H77" s="215" t="str">
        <f>IFERROR([1]!IntrinioFinancials(ticker,"balance_sheet",0,"FY",$B77,rounding),"")</f>
        <v/>
      </c>
      <c r="I77" s="215" t="str">
        <f>IFERROR([1]!IntrinioFinancials(ticker,"balance_sheet",0,"TTM",$B77,rounding),"")</f>
        <v/>
      </c>
    </row>
    <row r="78" spans="1:9" ht="15.75" x14ac:dyDescent="0.25">
      <c r="A78" s="16" t="s">
        <v>206</v>
      </c>
      <c r="B78" s="130" t="s">
        <v>207</v>
      </c>
      <c r="D78" s="215" t="str">
        <f>IFERROR([1]!IntrinioFinancials(ticker,"balance_sheet",4,"FY",$B78,rounding),"")</f>
        <v/>
      </c>
      <c r="E78" s="215" t="str">
        <f>IFERROR([1]!IntrinioFinancials(ticker,"balance_sheet",3,"FY",$B78,rounding),"")</f>
        <v/>
      </c>
      <c r="F78" s="215" t="str">
        <f>IFERROR([1]!IntrinioFinancials(ticker,"balance_sheet",2,"FY",$B78,rounding),"")</f>
        <v/>
      </c>
      <c r="G78" s="215" t="str">
        <f>IFERROR([1]!IntrinioFinancials(ticker,"balance_sheet",1,"FY",$B78,rounding),"")</f>
        <v/>
      </c>
      <c r="H78" s="215" t="str">
        <f>IFERROR([1]!IntrinioFinancials(ticker,"balance_sheet",0,"FY",$B78,rounding),"")</f>
        <v/>
      </c>
      <c r="I78" s="215" t="str">
        <f>IFERROR([1]!IntrinioFinancials(ticker,"balance_sheet",0,"TTM",$B78,rounding),"")</f>
        <v/>
      </c>
    </row>
    <row r="79" spans="1:9" ht="15.75" x14ac:dyDescent="0.25">
      <c r="A79" s="17" t="s">
        <v>112</v>
      </c>
      <c r="B79" s="130" t="s">
        <v>202</v>
      </c>
      <c r="D79" s="219" t="str">
        <f>IFERROR([1]!IntrinioFinancials(ticker,"balance_sheet",4,"FY",$B79,rounding),"")</f>
        <v/>
      </c>
      <c r="E79" s="219" t="str">
        <f>IFERROR([1]!IntrinioFinancials(ticker,"balance_sheet",3,"FY",$B79,rounding),"")</f>
        <v/>
      </c>
      <c r="F79" s="219" t="str">
        <f>IFERROR([1]!IntrinioFinancials(ticker,"balance_sheet",2,"FY",$B79,rounding),"")</f>
        <v/>
      </c>
      <c r="G79" s="219" t="str">
        <f>IFERROR([1]!IntrinioFinancials(ticker,"balance_sheet",1,"FY",$B79,rounding),"")</f>
        <v/>
      </c>
      <c r="H79" s="219" t="str">
        <f>IFERROR([1]!IntrinioFinancials(ticker,"balance_sheet",0,"FY",$B79,rounding),"")</f>
        <v/>
      </c>
      <c r="I79" s="219" t="str">
        <f>IFERROR([1]!IntrinioFinancials(ticker,"balance_sheet",0,"TTM",$B79,rounding),"")</f>
        <v/>
      </c>
    </row>
    <row r="80" spans="1:9" ht="15.75" x14ac:dyDescent="0.25">
      <c r="D80" s="217"/>
      <c r="E80" s="217"/>
      <c r="F80" s="217"/>
      <c r="G80" s="217"/>
      <c r="H80" s="217"/>
      <c r="I80" s="217"/>
    </row>
    <row r="81" spans="1:9" ht="15.75" x14ac:dyDescent="0.25">
      <c r="A81" s="136" t="s">
        <v>289</v>
      </c>
      <c r="B81" s="130" t="s">
        <v>200</v>
      </c>
      <c r="D81" s="219" t="str">
        <f>IFERROR([1]!IntrinioFinancials(ticker,"balance_sheet",4,"FY",$B81,rounding),"")</f>
        <v/>
      </c>
      <c r="E81" s="219" t="str">
        <f>IFERROR([1]!IntrinioFinancials(ticker,"balance_sheet",3,"FY",$B81,rounding),"")</f>
        <v/>
      </c>
      <c r="F81" s="219" t="str">
        <f>IFERROR([1]!IntrinioFinancials(ticker,"balance_sheet",2,"FY",$B81,rounding),"")</f>
        <v/>
      </c>
      <c r="G81" s="219" t="str">
        <f>IFERROR([1]!IntrinioFinancials(ticker,"balance_sheet",1,"FY",$B81,rounding),"")</f>
        <v/>
      </c>
      <c r="H81" s="219" t="str">
        <f>IFERROR([1]!IntrinioFinancials(ticker,"balance_sheet",0,"FY",$B81,rounding),"")</f>
        <v/>
      </c>
      <c r="I81" s="219" t="str">
        <f>IFERROR([1]!IntrinioFinancials(ticker,"balance_sheet",0,"TTM",$B81,rounding),"")</f>
        <v/>
      </c>
    </row>
    <row r="82" spans="1:9" ht="15.75" x14ac:dyDescent="0.25">
      <c r="D82" s="217"/>
      <c r="E82" s="217"/>
      <c r="F82" s="217"/>
      <c r="G82" s="217"/>
      <c r="H82" s="217"/>
      <c r="I82" s="217"/>
    </row>
    <row r="83" spans="1:9" ht="15.75" x14ac:dyDescent="0.25">
      <c r="A83" s="6" t="s">
        <v>210</v>
      </c>
      <c r="B83" s="133" t="s">
        <v>209</v>
      </c>
      <c r="D83" s="215" t="str">
        <f>IFERROR([1]!IntrinioFinancials(ticker,"balance_sheet",4,"FY",$B83,rounding),"")</f>
        <v/>
      </c>
      <c r="E83" s="215" t="str">
        <f>IFERROR([1]!IntrinioFinancials(ticker,"balance_sheet",3,"FY",$B83,rounding),"")</f>
        <v/>
      </c>
      <c r="F83" s="215" t="str">
        <f>IFERROR([1]!IntrinioFinancials(ticker,"balance_sheet",2,"FY",$B83,rounding),"")</f>
        <v/>
      </c>
      <c r="G83" s="215" t="str">
        <f>IFERROR([1]!IntrinioFinancials(ticker,"balance_sheet",1,"FY",$B83,rounding),"")</f>
        <v/>
      </c>
      <c r="H83" s="215" t="str">
        <f>IFERROR([1]!IntrinioFinancials(ticker,"balance_sheet",0,"FY",$B83,rounding),"")</f>
        <v/>
      </c>
      <c r="I83" s="215" t="str">
        <f>IFERROR([1]!IntrinioFinancials(ticker,"balance_sheet",0,"TTM",$B83,rounding),"")</f>
        <v/>
      </c>
    </row>
    <row r="84" spans="1:9" ht="31.5" x14ac:dyDescent="0.25">
      <c r="A84" s="136" t="s">
        <v>113</v>
      </c>
      <c r="B84" s="133" t="s">
        <v>208</v>
      </c>
      <c r="D84" s="219" t="str">
        <f>IFERROR([1]!IntrinioFinancials(ticker,"balance_sheet",4,"FY",$B84,rounding),"")</f>
        <v/>
      </c>
      <c r="E84" s="219" t="str">
        <f>IFERROR([1]!IntrinioFinancials(ticker,"balance_sheet",3,"FY",$B84,rounding),"")</f>
        <v/>
      </c>
      <c r="F84" s="219" t="str">
        <f>IFERROR([1]!IntrinioFinancials(ticker,"balance_sheet",2,"FY",$B84,rounding),"")</f>
        <v/>
      </c>
      <c r="G84" s="219" t="str">
        <f>IFERROR([1]!IntrinioFinancials(ticker,"balance_sheet",1,"FY",$B84,rounding),"")</f>
        <v/>
      </c>
      <c r="H84" s="219" t="str">
        <f>IFERROR([1]!IntrinioFinancials(ticker,"balance_sheet",0,"FY",$B84,rounding),"")</f>
        <v/>
      </c>
      <c r="I84" s="219" t="str">
        <f>IFERROR([1]!IntrinioFinancials(ticker,"balance_sheet",0,"TTM",$B84,rounding),"")</f>
        <v/>
      </c>
    </row>
    <row r="85" spans="1:9" ht="15.75" x14ac:dyDescent="0.25">
      <c r="A85" s="16"/>
      <c r="D85" s="215"/>
      <c r="E85" s="215"/>
      <c r="F85" s="215"/>
      <c r="G85" s="215"/>
      <c r="H85" s="215"/>
      <c r="I85" s="215"/>
    </row>
    <row r="86" spans="1:9" ht="16.5" thickBot="1" x14ac:dyDescent="0.3">
      <c r="A86" s="22" t="s">
        <v>10</v>
      </c>
      <c r="B86" s="133" t="s">
        <v>197</v>
      </c>
      <c r="D86" s="220" t="str">
        <f>IFERROR([1]!IntrinioFinancials(ticker,"balance_sheet",4,"FY",$B86,rounding),"")</f>
        <v/>
      </c>
      <c r="E86" s="220" t="str">
        <f>IFERROR([1]!IntrinioFinancials(ticker,"balance_sheet",3,"FY",$B86,rounding),"")</f>
        <v/>
      </c>
      <c r="F86" s="220" t="str">
        <f>IFERROR([1]!IntrinioFinancials(ticker,"balance_sheet",2,"FY",$B86,rounding),"")</f>
        <v/>
      </c>
      <c r="G86" s="220" t="str">
        <f>IFERROR([1]!IntrinioFinancials(ticker,"balance_sheet",1,"FY",$B86,rounding),"")</f>
        <v/>
      </c>
      <c r="H86" s="220" t="str">
        <f>IFERROR([1]!IntrinioFinancials(ticker,"balance_sheet",0,"FY",$B86,rounding),"")</f>
        <v/>
      </c>
      <c r="I86" s="220" t="str">
        <f>IFERROR([1]!IntrinioFinancials(ticker,"balance_sheet",0,"TTM",$B86,rounding),"")</f>
        <v/>
      </c>
    </row>
    <row r="87" spans="1:9" ht="15.75" thickTop="1" x14ac:dyDescent="0.25"/>
  </sheetData>
  <mergeCells count="1">
    <mergeCell ref="D1:I2"/>
  </mergeCells>
  <pageMargins left="0.7" right="0.7" top="0.75" bottom="0.75" header="0.3" footer="0.3"/>
  <pageSetup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99"/>
    <pageSetUpPr fitToPage="1"/>
  </sheetPr>
  <dimension ref="A1:Z14"/>
  <sheetViews>
    <sheetView showGridLines="0" zoomScale="90" zoomScaleNormal="90" zoomScaleSheetLayoutView="80" zoomScalePageLayoutView="90" workbookViewId="0">
      <pane xSplit="2" ySplit="4" topLeftCell="C5" activePane="bottomRight" state="frozen"/>
      <selection activeCell="I17" sqref="I17"/>
      <selection pane="topRight" activeCell="I17" sqref="I17"/>
      <selection pane="bottomLeft" activeCell="I17" sqref="I17"/>
      <selection pane="bottomRight" activeCell="C5" sqref="C5"/>
    </sheetView>
  </sheetViews>
  <sheetFormatPr defaultColWidth="0" defaultRowHeight="17.100000000000001" customHeight="1" x14ac:dyDescent="0.25"/>
  <cols>
    <col min="1" max="1" width="25.140625" style="112" bestFit="1" customWidth="1"/>
    <col min="2" max="2" width="25.28515625" style="112" bestFit="1" customWidth="1"/>
    <col min="3" max="12" width="11.28515625" style="89" customWidth="1"/>
    <col min="13" max="13" width="11.28515625" style="121" hidden="1" customWidth="1"/>
    <col min="14" max="26" width="0" style="89" hidden="1" customWidth="1"/>
    <col min="27" max="16384" width="9.140625" style="89" hidden="1"/>
  </cols>
  <sheetData>
    <row r="1" spans="1:13" s="103" customFormat="1" ht="30" customHeight="1" thickBot="1" x14ac:dyDescent="0.4">
      <c r="A1" s="323" t="str">
        <f>[1]!IntrinioDataPoint(ticker,"name")</f>
        <v/>
      </c>
      <c r="B1" s="323" t="e">
        <v>#NAME?</v>
      </c>
      <c r="C1" s="324" t="s">
        <v>90</v>
      </c>
      <c r="D1" s="324"/>
      <c r="E1" s="324"/>
      <c r="F1" s="324"/>
      <c r="G1" s="324"/>
      <c r="H1" s="325" t="s">
        <v>77</v>
      </c>
      <c r="I1" s="325"/>
      <c r="J1" s="325"/>
      <c r="K1" s="325"/>
      <c r="L1" s="325"/>
      <c r="M1" s="325"/>
    </row>
    <row r="2" spans="1:13" s="103" customFormat="1" ht="20.100000000000001" customHeight="1" x14ac:dyDescent="0.25">
      <c r="A2" s="177" t="str">
        <f>[1]!IntrinioDataPoint(ticker,"stock_exchange")&amp;IF(ticker="","",": ") &amp;ticker</f>
        <v/>
      </c>
      <c r="B2" s="177"/>
      <c r="C2" s="197" t="str">
        <f>IFERROR(DATEVALUE('Income Statement'!D3),"")</f>
        <v/>
      </c>
      <c r="D2" s="197" t="str">
        <f>IFERROR(DATEVALUE('Income Statement'!E3),"")</f>
        <v/>
      </c>
      <c r="E2" s="197" t="str">
        <f>IFERROR(DATEVALUE('Income Statement'!F3),"")</f>
        <v/>
      </c>
      <c r="F2" s="197" t="str">
        <f>IFERROR(DATEVALUE('Income Statement'!G3),"")</f>
        <v/>
      </c>
      <c r="G2" s="197" t="str">
        <f>IFERROR(DATEVALUE('Income Statement'!H3),"")</f>
        <v/>
      </c>
      <c r="H2" s="179" t="str">
        <f>IFERROR(DATE(YEAR(G2)+1,MONTH(G2),DAY(G2)),"")</f>
        <v/>
      </c>
      <c r="I2" s="179" t="str">
        <f>IFERROR(DATE(YEAR(H2)+1,MONTH(H2),DAY(H2)),"")</f>
        <v/>
      </c>
      <c r="J2" s="179" t="str">
        <f t="shared" ref="J2:L2" si="0">IFERROR(DATE(YEAR(I2)+1,MONTH(I2),DAY(I2)),"")</f>
        <v/>
      </c>
      <c r="K2" s="179" t="str">
        <f t="shared" si="0"/>
        <v/>
      </c>
      <c r="L2" s="179" t="str">
        <f t="shared" si="0"/>
        <v/>
      </c>
      <c r="M2" s="104"/>
    </row>
    <row r="3" spans="1:13" s="106" customFormat="1" ht="16.5" customHeight="1" thickBot="1" x14ac:dyDescent="0.3">
      <c r="A3" s="178" t="s">
        <v>78</v>
      </c>
      <c r="B3" s="178" t="s">
        <v>79</v>
      </c>
      <c r="C3" s="196" t="str">
        <f>'Income Statement'!D4&amp;" " &amp;'Income Statement'!D5</f>
        <v xml:space="preserve"> </v>
      </c>
      <c r="D3" s="196" t="str">
        <f>'Income Statement'!E4&amp;" " &amp;'Income Statement'!E5</f>
        <v xml:space="preserve"> </v>
      </c>
      <c r="E3" s="196" t="str">
        <f>'Income Statement'!F4&amp;" " &amp;'Income Statement'!F5</f>
        <v xml:space="preserve"> </v>
      </c>
      <c r="F3" s="196" t="str">
        <f>'Income Statement'!G4&amp;" " &amp;'Income Statement'!G5</f>
        <v xml:space="preserve"> </v>
      </c>
      <c r="G3" s="196" t="str">
        <f>'Income Statement'!H4&amp;" " &amp;'Income Statement'!H5</f>
        <v xml:space="preserve"> </v>
      </c>
      <c r="H3" s="196" t="str">
        <f>IFERROR('Income Statement'!$H$4&amp;" " &amp;'Income Statement'!$H$5+1,"")</f>
        <v/>
      </c>
      <c r="I3" s="196" t="str">
        <f>IFERROR('Income Statement'!$H$4&amp;" " &amp;'Income Statement'!$H$5+2,"")</f>
        <v/>
      </c>
      <c r="J3" s="196" t="str">
        <f>IFERROR('Income Statement'!$H$4&amp;" " &amp;'Income Statement'!$H$5+3,"")</f>
        <v/>
      </c>
      <c r="K3" s="196" t="str">
        <f>IFERROR('Income Statement'!$H$4&amp;" " &amp;'Income Statement'!$H$5+4,"")</f>
        <v/>
      </c>
      <c r="L3" s="196" t="str">
        <f>IFERROR('Income Statement'!$H$4&amp;" " &amp;'Income Statement'!$H$5+5,"")</f>
        <v/>
      </c>
      <c r="M3" s="105"/>
    </row>
    <row r="4" spans="1:13" ht="15.75" customHeight="1" x14ac:dyDescent="0.25">
      <c r="A4" s="107"/>
      <c r="B4" s="102"/>
      <c r="C4" s="101"/>
      <c r="D4" s="101"/>
      <c r="E4" s="101"/>
      <c r="F4" s="101"/>
      <c r="G4" s="101"/>
      <c r="H4" s="180" t="s">
        <v>290</v>
      </c>
      <c r="I4" s="181"/>
      <c r="J4" s="181"/>
      <c r="K4" s="181"/>
      <c r="L4" s="182"/>
      <c r="M4" s="108"/>
    </row>
    <row r="5" spans="1:13" ht="5.25" customHeight="1" x14ac:dyDescent="0.25">
      <c r="A5" s="113"/>
      <c r="B5" s="114"/>
      <c r="C5" s="115"/>
      <c r="D5" s="115"/>
      <c r="E5" s="115"/>
      <c r="F5" s="115"/>
      <c r="G5" s="115"/>
      <c r="H5" s="183"/>
      <c r="I5" s="184"/>
      <c r="J5" s="184"/>
      <c r="K5" s="184"/>
      <c r="L5" s="185"/>
      <c r="M5" s="116"/>
    </row>
    <row r="6" spans="1:13" s="112" customFormat="1" ht="15.75" customHeight="1" x14ac:dyDescent="0.25">
      <c r="A6" s="109" t="s">
        <v>86</v>
      </c>
      <c r="B6" s="110" t="s">
        <v>80</v>
      </c>
      <c r="C6" s="231"/>
      <c r="D6" s="231" t="str">
        <f>DCF!C7</f>
        <v/>
      </c>
      <c r="E6" s="231" t="str">
        <f>DCF!D7</f>
        <v/>
      </c>
      <c r="F6" s="231" t="str">
        <f>DCF!E7</f>
        <v/>
      </c>
      <c r="G6" s="231" t="str">
        <f>DCF!F7</f>
        <v/>
      </c>
      <c r="H6" s="232" t="str">
        <f>IFERROR(TEXT(([1]!IntrinioDataPoint(ticker,"current_yr_ave_revenue_est")/1000000)/'Income Statement'!H9-1,"0.00%"),"")</f>
        <v/>
      </c>
      <c r="I6" s="233" t="str">
        <f>IFERROR(TEXT(([1]!IntrinioDataPoint(ticker,"next_yr_ave_revenue_est"))/([1]!IntrinioDataPoint(ticker,"current_yr_ave_revenue_est"))-1,"0.00%"),"")</f>
        <v/>
      </c>
      <c r="J6" s="233" t="str">
        <f>IFERROR(TEXT(I6 - ($I$6 - $L$6) / 3,"0.00%"),"")</f>
        <v/>
      </c>
      <c r="K6" s="233" t="str">
        <f>IFERROR(TEXT(J6-($I$6-$L$6)/3,"0.00%"),"")</f>
        <v/>
      </c>
      <c r="L6" s="234" t="str">
        <f>IFERROR(TEXT(((1+[1]!IntrinioDataPoint(ticker,"long_term_growth_rate"))^(1/5))-1,"0.00%"),"")</f>
        <v/>
      </c>
      <c r="M6" s="111"/>
    </row>
    <row r="7" spans="1:13" ht="5.25" customHeight="1" x14ac:dyDescent="0.25">
      <c r="A7" s="113"/>
      <c r="B7" s="114"/>
      <c r="C7" s="115"/>
      <c r="D7" s="115"/>
      <c r="E7" s="115"/>
      <c r="F7" s="115"/>
      <c r="G7" s="115"/>
      <c r="H7" s="183"/>
      <c r="I7" s="184"/>
      <c r="J7" s="184"/>
      <c r="K7" s="184"/>
      <c r="L7" s="185"/>
      <c r="M7" s="116"/>
    </row>
    <row r="8" spans="1:13" ht="15.75" customHeight="1" x14ac:dyDescent="0.25">
      <c r="A8" s="113" t="s">
        <v>82</v>
      </c>
      <c r="B8" s="114" t="s">
        <v>87</v>
      </c>
      <c r="C8" s="231" t="str">
        <f>DCF!B10</f>
        <v/>
      </c>
      <c r="D8" s="231" t="str">
        <f>DCF!C10</f>
        <v/>
      </c>
      <c r="E8" s="231" t="str">
        <f>DCF!D10</f>
        <v/>
      </c>
      <c r="F8" s="231" t="str">
        <f>DCF!E10</f>
        <v/>
      </c>
      <c r="G8" s="231" t="str">
        <f>DCF!F10</f>
        <v/>
      </c>
      <c r="H8" s="235" t="str">
        <f>IFERROR(TEXT(G8 - ($G$8 -$L$8) / 5,"0.00%"),"")</f>
        <v/>
      </c>
      <c r="I8" s="236" t="str">
        <f t="shared" ref="I8:K8" si="1">IFERROR(TEXT(H8 - ($G$8 -$L$8) / 5,"0.00%"),"")</f>
        <v/>
      </c>
      <c r="J8" s="236" t="str">
        <f t="shared" si="1"/>
        <v/>
      </c>
      <c r="K8" s="236" t="str">
        <f t="shared" si="1"/>
        <v/>
      </c>
      <c r="L8" s="237" t="str">
        <f>IFERROR((5/15*G8)+(4/15*F8)+(3/15*E8)+(2/15*D8)+(1/15*C8),IF(G8="","",IF(E8&lt;&gt;"",(5/10*G8)+(3/10*F8)*(2/10*E8),G8)))</f>
        <v/>
      </c>
      <c r="M8" s="116"/>
    </row>
    <row r="9" spans="1:13" ht="5.25" customHeight="1" x14ac:dyDescent="0.25">
      <c r="A9" s="113"/>
      <c r="B9" s="114"/>
      <c r="C9" s="115"/>
      <c r="D9" s="115"/>
      <c r="E9" s="115"/>
      <c r="F9" s="115"/>
      <c r="G9" s="115"/>
      <c r="H9" s="183"/>
      <c r="I9" s="184"/>
      <c r="J9" s="184"/>
      <c r="K9" s="184"/>
      <c r="L9" s="185"/>
      <c r="M9" s="116"/>
    </row>
    <row r="10" spans="1:13" ht="15.75" customHeight="1" x14ac:dyDescent="0.25">
      <c r="A10" s="109" t="s">
        <v>81</v>
      </c>
      <c r="B10" s="110" t="s">
        <v>88</v>
      </c>
      <c r="C10" s="238" t="str">
        <f>DCF!B14</f>
        <v/>
      </c>
      <c r="D10" s="238" t="str">
        <f>DCF!C14</f>
        <v/>
      </c>
      <c r="E10" s="238" t="str">
        <f>DCF!D14</f>
        <v/>
      </c>
      <c r="F10" s="238" t="str">
        <f>DCF!E14</f>
        <v/>
      </c>
      <c r="G10" s="238" t="str">
        <f>DCF!F14</f>
        <v/>
      </c>
      <c r="H10" s="239" t="str">
        <f>IFERROR(G10 - ($G$10 -$L$10) / 5,"")</f>
        <v/>
      </c>
      <c r="I10" s="240" t="str">
        <f t="shared" ref="I10:K10" si="2">IFERROR(H10 - ($G$10 -$L$10) / 5,"")</f>
        <v/>
      </c>
      <c r="J10" s="240" t="str">
        <f t="shared" si="2"/>
        <v/>
      </c>
      <c r="K10" s="240" t="str">
        <f t="shared" si="2"/>
        <v/>
      </c>
      <c r="L10" s="241" t="str">
        <f>IFERROR((5/15*G10)+(4/15*F10)+(3/15*E10)+(2/15*D10)+(1/15*C10),IF(G10="","",IF(E10&lt;&gt;"",(5/10*G10)+(3/10*F10)*(2/10*E10),G10)))</f>
        <v/>
      </c>
      <c r="M10" s="117"/>
    </row>
    <row r="11" spans="1:13" ht="8.1" customHeight="1" thickBot="1" x14ac:dyDescent="0.3">
      <c r="A11" s="113"/>
      <c r="B11" s="114"/>
      <c r="C11" s="115"/>
      <c r="D11" s="115"/>
      <c r="E11" s="115"/>
      <c r="F11" s="115"/>
      <c r="G11" s="115"/>
      <c r="H11" s="186"/>
      <c r="I11" s="187"/>
      <c r="J11" s="187"/>
      <c r="K11" s="187"/>
      <c r="L11" s="188"/>
      <c r="M11" s="116"/>
    </row>
    <row r="14" spans="1:13" ht="17.100000000000001" customHeight="1" x14ac:dyDescent="0.25">
      <c r="H14" s="198"/>
      <c r="I14" s="198"/>
      <c r="J14" s="198"/>
      <c r="K14" s="198"/>
      <c r="L14" s="198"/>
    </row>
  </sheetData>
  <sheetProtection selectLockedCells="1"/>
  <mergeCells count="3">
    <mergeCell ref="A1:B1"/>
    <mergeCell ref="C1:G1"/>
    <mergeCell ref="H1:M1"/>
  </mergeCells>
  <printOptions horizontalCentered="1"/>
  <pageMargins left="0.25" right="0.25" top="0.25" bottom="0.25" header="0.2" footer="0.2"/>
  <pageSetup scale="81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99"/>
    <pageSetUpPr fitToPage="1"/>
  </sheetPr>
  <dimension ref="A1:L36"/>
  <sheetViews>
    <sheetView showGridLines="0" zoomScale="80" zoomScaleNormal="80" zoomScaleSheetLayoutView="80" zoomScalePageLayoutView="80" workbookViewId="0">
      <selection sqref="A1:C1"/>
    </sheetView>
  </sheetViews>
  <sheetFormatPr defaultColWidth="8.85546875" defaultRowHeight="0" customHeight="1" zeroHeight="1" x14ac:dyDescent="0.2"/>
  <cols>
    <col min="1" max="1" width="2.42578125" style="23" customWidth="1"/>
    <col min="2" max="2" width="44.7109375" style="23" customWidth="1"/>
    <col min="3" max="3" width="11.85546875" style="23" customWidth="1"/>
    <col min="4" max="4" width="14.28515625" style="23" customWidth="1"/>
    <col min="5" max="6" width="11.85546875" style="23" customWidth="1"/>
    <col min="7" max="7" width="4.85546875" style="23" customWidth="1"/>
    <col min="8" max="8" width="40.7109375" style="23" customWidth="1"/>
    <col min="9" max="9" width="11.85546875" style="23" customWidth="1"/>
    <col min="10" max="10" width="14.28515625" style="23" customWidth="1"/>
    <col min="11" max="11" width="11.85546875" style="23" customWidth="1"/>
    <col min="12" max="12" width="1.85546875" style="23" customWidth="1"/>
    <col min="13" max="16384" width="8.85546875" style="23"/>
  </cols>
  <sheetData>
    <row r="1" spans="1:12" ht="30" customHeight="1" x14ac:dyDescent="0.35">
      <c r="A1" s="334" t="str">
        <f>[1]!IntrinioDataPoint(ticker,"name")</f>
        <v/>
      </c>
      <c r="B1" s="334"/>
      <c r="C1" s="334"/>
      <c r="D1" s="194"/>
      <c r="E1" s="194"/>
      <c r="F1" s="195" t="s">
        <v>30</v>
      </c>
      <c r="G1" s="194"/>
      <c r="H1" s="194"/>
      <c r="I1" s="194"/>
      <c r="J1" s="194"/>
      <c r="K1" s="194"/>
      <c r="L1" s="194"/>
    </row>
    <row r="2" spans="1:12" ht="20.100000000000001" customHeight="1" x14ac:dyDescent="0.35">
      <c r="A2" s="335" t="str">
        <f>[1]!IntrinioDataPoint(ticker,"stock_exchange")&amp;IF(ticker="","",": ") &amp;ticker</f>
        <v/>
      </c>
      <c r="B2" s="335"/>
      <c r="C2" s="335"/>
      <c r="D2" s="194"/>
      <c r="E2" s="194"/>
      <c r="F2" s="194"/>
      <c r="G2" s="194"/>
      <c r="H2" s="194"/>
      <c r="I2" s="194"/>
      <c r="J2" s="194"/>
      <c r="K2" s="194"/>
      <c r="L2" s="194"/>
    </row>
    <row r="3" spans="1:12" ht="6.75" customHeight="1" x14ac:dyDescent="0.2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12" ht="6.75" customHeight="1" x14ac:dyDescent="0.25">
      <c r="A4" s="190"/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</row>
    <row r="5" spans="1:12" ht="12.75" x14ac:dyDescent="0.2">
      <c r="A5" s="24"/>
      <c r="B5" s="25"/>
      <c r="C5" s="25"/>
      <c r="D5" s="25"/>
      <c r="E5" s="25"/>
      <c r="F5" s="25"/>
      <c r="G5" s="25"/>
      <c r="H5" s="24"/>
      <c r="I5" s="24"/>
      <c r="J5" s="24"/>
      <c r="K5" s="24"/>
      <c r="L5" s="24"/>
    </row>
    <row r="6" spans="1:12" ht="15.75" customHeight="1" thickBot="1" x14ac:dyDescent="0.3">
      <c r="A6" s="26"/>
      <c r="B6" s="27"/>
      <c r="C6" s="28"/>
      <c r="D6" s="28"/>
      <c r="E6" s="28"/>
      <c r="F6" s="28"/>
      <c r="G6" s="28"/>
      <c r="H6" s="29"/>
      <c r="I6" s="30"/>
      <c r="J6" s="31"/>
      <c r="K6" s="31"/>
      <c r="L6" s="31"/>
    </row>
    <row r="7" spans="1:12" ht="30" x14ac:dyDescent="0.25">
      <c r="A7" s="26"/>
      <c r="B7" s="32" t="s">
        <v>31</v>
      </c>
      <c r="C7" s="33" t="s">
        <v>32</v>
      </c>
      <c r="D7" s="33" t="s">
        <v>33</v>
      </c>
      <c r="E7" s="33" t="s">
        <v>31</v>
      </c>
      <c r="F7" s="34" t="s">
        <v>34</v>
      </c>
      <c r="G7" s="119"/>
      <c r="H7" s="29"/>
      <c r="I7" s="29"/>
      <c r="J7" s="29"/>
      <c r="K7" s="29"/>
      <c r="L7" s="29"/>
    </row>
    <row r="8" spans="1:12" ht="15.75" customHeight="1" thickBot="1" x14ac:dyDescent="0.3">
      <c r="A8" s="26"/>
      <c r="B8" s="35" t="s">
        <v>35</v>
      </c>
      <c r="C8" s="36" t="str">
        <f>D22</f>
        <v/>
      </c>
      <c r="D8" s="37" t="str">
        <f>IFERROR([1]!IntrinioDataPoint(ticker,"debt")/1000000,"")</f>
        <v/>
      </c>
      <c r="E8" s="36" t="str">
        <f>IFERROR(D8/$D$10,"")</f>
        <v/>
      </c>
      <c r="F8" s="38" t="str">
        <f>IFERROR(E8*C8,"")</f>
        <v/>
      </c>
      <c r="G8" s="36"/>
      <c r="H8" s="29"/>
      <c r="I8" s="29"/>
      <c r="J8" s="29"/>
      <c r="K8" s="29"/>
      <c r="L8" s="29"/>
    </row>
    <row r="9" spans="1:12" ht="15.75" customHeight="1" thickBot="1" x14ac:dyDescent="0.3">
      <c r="A9" s="26"/>
      <c r="B9" s="40" t="s">
        <v>26</v>
      </c>
      <c r="C9" s="41" t="str">
        <f>J22</f>
        <v/>
      </c>
      <c r="D9" s="39" t="str">
        <f>IFERROR([1]!IntrinioDataPoint(ticker,"marketcap")/1000000,"")</f>
        <v/>
      </c>
      <c r="E9" s="41" t="str">
        <f>IFERROR(D9/$D$10,"")</f>
        <v/>
      </c>
      <c r="F9" s="42" t="str">
        <f>IFERROR(E9*C9,"")</f>
        <v/>
      </c>
      <c r="G9" s="48"/>
      <c r="H9" s="340" t="s">
        <v>83</v>
      </c>
      <c r="I9" s="341"/>
      <c r="J9" s="341"/>
      <c r="K9" s="342"/>
      <c r="L9" s="29"/>
    </row>
    <row r="10" spans="1:12" ht="15.75" customHeight="1" x14ac:dyDescent="0.25">
      <c r="A10" s="31"/>
      <c r="B10" s="43"/>
      <c r="C10" s="44"/>
      <c r="D10" s="336">
        <f>SUM(D8:D9)</f>
        <v>0</v>
      </c>
      <c r="E10" s="338">
        <f>SUM(E8:E9)</f>
        <v>0</v>
      </c>
      <c r="F10" s="338">
        <f>SUM(F8:F9)</f>
        <v>0</v>
      </c>
      <c r="G10" s="36"/>
      <c r="H10" s="343"/>
      <c r="I10" s="344"/>
      <c r="J10" s="344"/>
      <c r="K10" s="345"/>
      <c r="L10" s="29"/>
    </row>
    <row r="11" spans="1:12" ht="16.5" thickBot="1" x14ac:dyDescent="0.3">
      <c r="A11" s="31"/>
      <c r="B11" s="31"/>
      <c r="C11" s="45"/>
      <c r="D11" s="337"/>
      <c r="E11" s="339"/>
      <c r="F11" s="339"/>
      <c r="G11" s="45"/>
      <c r="H11" s="122" t="s">
        <v>39</v>
      </c>
      <c r="I11" s="123"/>
      <c r="J11" s="48">
        <f>[1]!IntrinioDataPoint("FRED.DGS20","value")/100</f>
        <v>2.5499999999999998E-2</v>
      </c>
      <c r="K11" s="50"/>
      <c r="L11" s="29"/>
    </row>
    <row r="12" spans="1:12" ht="16.5" thickTop="1" x14ac:dyDescent="0.25">
      <c r="A12" s="31"/>
      <c r="B12" s="31"/>
      <c r="C12" s="45"/>
      <c r="D12" s="46"/>
      <c r="E12" s="45"/>
      <c r="F12" s="45"/>
      <c r="G12" s="45"/>
      <c r="H12" s="52"/>
      <c r="I12" s="29"/>
      <c r="J12" s="48"/>
      <c r="K12" s="50"/>
      <c r="L12" s="29"/>
    </row>
    <row r="13" spans="1:12" ht="15.75" customHeight="1" x14ac:dyDescent="0.25">
      <c r="A13" s="31"/>
      <c r="F13" s="31"/>
      <c r="G13" s="45"/>
      <c r="H13" s="55" t="s">
        <v>42</v>
      </c>
      <c r="I13" s="29"/>
      <c r="J13" s="48"/>
      <c r="K13" s="56"/>
      <c r="L13" s="29"/>
    </row>
    <row r="14" spans="1:12" ht="15.75" x14ac:dyDescent="0.25">
      <c r="A14" s="31"/>
      <c r="F14" s="31"/>
      <c r="G14" s="47"/>
      <c r="H14" s="61" t="s">
        <v>43</v>
      </c>
      <c r="I14" s="48">
        <f>[1]!IntrinioDataPoint("DMD.ERP","smoothed_erp")</f>
        <v>6.1199999999999997E-2</v>
      </c>
      <c r="J14" s="62"/>
      <c r="K14" s="47"/>
      <c r="L14" s="29"/>
    </row>
    <row r="15" spans="1:12" ht="16.5" thickBot="1" x14ac:dyDescent="0.3">
      <c r="A15" s="31"/>
      <c r="F15" s="31"/>
      <c r="G15" s="47"/>
      <c r="H15" s="61" t="s">
        <v>44</v>
      </c>
      <c r="I15" s="64" t="str">
        <f>[1]!IntrinioDataPoint(ticker,"beta")</f>
        <v/>
      </c>
      <c r="J15" s="65"/>
      <c r="K15" s="47"/>
      <c r="L15" s="29"/>
    </row>
    <row r="16" spans="1:12" ht="15.75" customHeight="1" x14ac:dyDescent="0.25">
      <c r="A16" s="31"/>
      <c r="B16" s="328" t="s">
        <v>36</v>
      </c>
      <c r="C16" s="329"/>
      <c r="D16" s="329"/>
      <c r="E16" s="330"/>
      <c r="F16" s="31"/>
      <c r="G16" s="49"/>
      <c r="H16" s="122" t="s">
        <v>45</v>
      </c>
      <c r="I16" s="123"/>
      <c r="J16" s="66" t="str">
        <f>IFERROR(I14*I15,"")</f>
        <v/>
      </c>
      <c r="K16" s="47"/>
      <c r="L16" s="29"/>
    </row>
    <row r="17" spans="1:12" ht="15.75" customHeight="1" x14ac:dyDescent="0.25">
      <c r="A17" s="31"/>
      <c r="B17" s="331"/>
      <c r="C17" s="332"/>
      <c r="D17" s="332"/>
      <c r="E17" s="333"/>
      <c r="F17" s="120"/>
      <c r="G17" s="49"/>
      <c r="H17" s="67"/>
      <c r="I17" s="68"/>
      <c r="J17" s="66"/>
      <c r="K17" s="47"/>
      <c r="L17" s="29"/>
    </row>
    <row r="18" spans="1:12" ht="15.75" customHeight="1" thickBot="1" x14ac:dyDescent="0.3">
      <c r="A18" s="31"/>
      <c r="B18" s="35" t="s">
        <v>85</v>
      </c>
      <c r="C18" s="126">
        <f>[1]!IntrinioDataPoint("FRED.DGS20","value")/100</f>
        <v>2.5499999999999998E-2</v>
      </c>
      <c r="D18" s="124"/>
      <c r="E18" s="125"/>
      <c r="F18" s="120"/>
      <c r="G18" s="49"/>
      <c r="H18" s="55" t="s">
        <v>46</v>
      </c>
      <c r="I18" s="68"/>
      <c r="J18" s="62"/>
      <c r="K18" s="47"/>
      <c r="L18" s="29"/>
    </row>
    <row r="19" spans="1:12" ht="15.75" customHeight="1" thickBot="1" x14ac:dyDescent="0.3">
      <c r="A19" s="31"/>
      <c r="B19" s="35" t="s">
        <v>89</v>
      </c>
      <c r="C19" s="242">
        <f>([1]!IntrinioDataPoint("FRED.DBAA","value")/100-C18)*10000</f>
        <v>289.00000000000006</v>
      </c>
      <c r="D19" s="124"/>
      <c r="E19" s="125"/>
      <c r="F19" s="120"/>
      <c r="G19" s="50"/>
      <c r="H19" s="61" t="s">
        <v>47</v>
      </c>
      <c r="I19" s="203">
        <v>0</v>
      </c>
      <c r="J19" s="65"/>
      <c r="K19" s="47"/>
      <c r="L19" s="29"/>
    </row>
    <row r="20" spans="1:12" ht="15.75" customHeight="1" x14ac:dyDescent="0.25">
      <c r="A20" s="31"/>
      <c r="B20" s="35" t="s">
        <v>38</v>
      </c>
      <c r="D20" s="48">
        <f>C18+C19/10000</f>
        <v>5.4400000000000004E-2</v>
      </c>
      <c r="E20" s="49"/>
      <c r="F20" s="63"/>
      <c r="G20" s="50"/>
      <c r="H20" s="122" t="s">
        <v>48</v>
      </c>
      <c r="I20" s="123"/>
      <c r="J20" s="48">
        <f>I19</f>
        <v>0</v>
      </c>
      <c r="K20" s="47"/>
      <c r="L20" s="29"/>
    </row>
    <row r="21" spans="1:12" ht="15.75" x14ac:dyDescent="0.25">
      <c r="A21" s="31"/>
      <c r="B21" s="35" t="s">
        <v>40</v>
      </c>
      <c r="D21" s="51" t="str">
        <f>IFERROR('Income Statement'!H39/'Income Statement'!H37,"")</f>
        <v/>
      </c>
      <c r="E21" s="49"/>
      <c r="F21" s="63"/>
      <c r="G21" s="50"/>
      <c r="H21" s="52"/>
      <c r="I21" s="68"/>
      <c r="J21" s="62"/>
      <c r="K21" s="47"/>
      <c r="L21" s="29"/>
    </row>
    <row r="22" spans="1:12" ht="15.75" customHeight="1" thickBot="1" x14ac:dyDescent="0.3">
      <c r="A22" s="69"/>
      <c r="B22" s="53" t="s">
        <v>41</v>
      </c>
      <c r="C22" s="29"/>
      <c r="D22" s="54" t="str">
        <f>IFERROR(D20*(1-D21),"")</f>
        <v/>
      </c>
      <c r="E22" s="49"/>
      <c r="F22" s="63"/>
      <c r="G22" s="50"/>
      <c r="H22" s="53" t="s">
        <v>37</v>
      </c>
      <c r="I22" s="29"/>
      <c r="J22" s="54" t="str">
        <f>IFERROR(J11+J16+J20,"")</f>
        <v/>
      </c>
      <c r="K22" s="47"/>
      <c r="L22" s="29"/>
    </row>
    <row r="23" spans="1:12" ht="15.75" customHeight="1" thickTop="1" thickBot="1" x14ac:dyDescent="0.3">
      <c r="A23" s="69"/>
      <c r="B23" s="57"/>
      <c r="C23" s="58"/>
      <c r="D23" s="59"/>
      <c r="E23" s="60"/>
      <c r="F23" s="63"/>
      <c r="G23" s="50"/>
      <c r="H23" s="70"/>
      <c r="I23" s="58"/>
      <c r="J23" s="58"/>
      <c r="K23" s="71"/>
      <c r="L23" s="29"/>
    </row>
    <row r="24" spans="1:12" ht="15.75" x14ac:dyDescent="0.25">
      <c r="A24" s="69"/>
      <c r="B24" s="31"/>
      <c r="C24" s="31"/>
      <c r="D24" s="31"/>
      <c r="E24" s="63"/>
      <c r="F24" s="63"/>
      <c r="G24" s="63"/>
      <c r="H24" s="128"/>
      <c r="L24" s="29"/>
    </row>
    <row r="25" spans="1:12" ht="12.75" x14ac:dyDescent="0.2">
      <c r="A25" s="29"/>
      <c r="B25" s="29"/>
      <c r="C25" s="29"/>
      <c r="D25" s="29"/>
      <c r="E25" s="29"/>
      <c r="F25" s="29"/>
      <c r="G25" s="127"/>
      <c r="H25" s="29"/>
      <c r="L25" s="29"/>
    </row>
    <row r="26" spans="1:12" ht="15.75" x14ac:dyDescent="0.25">
      <c r="A26" s="29"/>
      <c r="B26" s="29"/>
      <c r="C26" s="29"/>
      <c r="D26" s="29"/>
      <c r="E26" s="29"/>
      <c r="F26" s="29"/>
      <c r="G26" s="31"/>
      <c r="L26" s="69"/>
    </row>
    <row r="27" spans="1:12" ht="12.75" customHeight="1" x14ac:dyDescent="0.2">
      <c r="A27" s="326" t="s">
        <v>291</v>
      </c>
      <c r="B27" s="326"/>
      <c r="C27" s="326"/>
      <c r="D27" s="326"/>
      <c r="E27" s="326"/>
      <c r="F27" s="326"/>
      <c r="G27" s="326"/>
      <c r="H27" s="326"/>
      <c r="I27" s="326"/>
      <c r="J27" s="326"/>
      <c r="K27" s="326"/>
      <c r="L27" s="69"/>
    </row>
    <row r="28" spans="1:12" ht="15.75" customHeight="1" x14ac:dyDescent="0.2">
      <c r="A28" s="327"/>
      <c r="B28" s="327"/>
      <c r="C28" s="327"/>
      <c r="D28" s="327"/>
      <c r="E28" s="327"/>
      <c r="F28" s="327"/>
      <c r="G28" s="327"/>
      <c r="H28" s="327"/>
      <c r="I28" s="327"/>
      <c r="J28" s="327"/>
      <c r="K28" s="327"/>
      <c r="L28" s="69"/>
    </row>
    <row r="29" spans="1:12" ht="17.25" customHeight="1" x14ac:dyDescent="0.2">
      <c r="A29" s="327"/>
      <c r="B29" s="327"/>
      <c r="C29" s="327"/>
      <c r="D29" s="327"/>
      <c r="E29" s="327"/>
      <c r="F29" s="327"/>
      <c r="G29" s="327"/>
      <c r="H29" s="327"/>
      <c r="I29" s="327"/>
      <c r="J29" s="327"/>
      <c r="K29" s="327"/>
      <c r="L29" s="29"/>
    </row>
    <row r="30" spans="1:12" ht="15.75" x14ac:dyDescent="0.2">
      <c r="G30" s="118"/>
      <c r="L30" s="29"/>
    </row>
    <row r="31" spans="1:12" ht="15.75" x14ac:dyDescent="0.2">
      <c r="G31" s="118"/>
      <c r="L31" s="29"/>
    </row>
    <row r="32" spans="1:12" ht="15.75" x14ac:dyDescent="0.2">
      <c r="G32" s="118"/>
      <c r="L32" s="29"/>
    </row>
    <row r="33" spans="12:12" ht="12.75" x14ac:dyDescent="0.2">
      <c r="L33" s="29"/>
    </row>
    <row r="34" spans="12:12" ht="17.25" customHeight="1" x14ac:dyDescent="0.2"/>
    <row r="35" spans="12:12" ht="14.25" customHeight="1" x14ac:dyDescent="0.2"/>
    <row r="36" spans="12:12" ht="18" customHeight="1" x14ac:dyDescent="0.2"/>
  </sheetData>
  <sheetProtection selectLockedCells="1"/>
  <mergeCells count="8">
    <mergeCell ref="A27:K29"/>
    <mergeCell ref="B16:E17"/>
    <mergeCell ref="A1:C1"/>
    <mergeCell ref="A2:C2"/>
    <mergeCell ref="D10:D11"/>
    <mergeCell ref="E10:E11"/>
    <mergeCell ref="F10:F11"/>
    <mergeCell ref="H9:K10"/>
  </mergeCells>
  <printOptions horizontalCentered="1"/>
  <pageMargins left="0.25" right="0.25" top="0.25" bottom="0.25" header="0.2" footer="0.2"/>
  <pageSetup scale="73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3" tint="0.59999389629810485"/>
    <pageSetUpPr fitToPage="1"/>
  </sheetPr>
  <dimension ref="A1:W151"/>
  <sheetViews>
    <sheetView showGridLines="0" zoomScale="80" zoomScaleNormal="80" zoomScaleSheetLayoutView="80" zoomScalePageLayoutView="80"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ColWidth="8.85546875" defaultRowHeight="0" customHeight="1" zeroHeight="1" x14ac:dyDescent="0.2"/>
  <cols>
    <col min="1" max="1" width="58.28515625" style="100" customWidth="1"/>
    <col min="2" max="6" width="15.140625" style="100" customWidth="1"/>
    <col min="7" max="7" width="16.28515625" style="100" customWidth="1"/>
    <col min="8" max="11" width="15.140625" style="23" customWidth="1"/>
    <col min="12" max="12" width="10.85546875" style="78" customWidth="1"/>
    <col min="13" max="21" width="8.85546875" style="78" customWidth="1"/>
    <col min="22" max="34" width="8.85546875" style="23" customWidth="1"/>
    <col min="35" max="16384" width="8.85546875" style="23"/>
  </cols>
  <sheetData>
    <row r="1" spans="1:21" s="74" customFormat="1" ht="30" customHeight="1" x14ac:dyDescent="0.35">
      <c r="A1" s="191" t="str">
        <f>[1]!IntrinioDataPoint(ticker,"name")</f>
        <v/>
      </c>
      <c r="B1" s="351"/>
      <c r="C1" s="351"/>
      <c r="D1" s="351"/>
      <c r="E1" s="351"/>
      <c r="F1" s="351"/>
      <c r="G1" s="351" t="s">
        <v>91</v>
      </c>
      <c r="H1" s="351"/>
      <c r="I1" s="351"/>
      <c r="J1" s="351"/>
      <c r="K1" s="351"/>
      <c r="L1" s="72"/>
      <c r="M1" s="73"/>
    </row>
    <row r="2" spans="1:21" s="74" customFormat="1" ht="20.100000000000001" customHeight="1" x14ac:dyDescent="0.25">
      <c r="A2" s="177" t="str">
        <f>[1]!IntrinioDataPoint(ticker,"stock_exchange")&amp;IF(ticker="","",": ") &amp;ticker</f>
        <v/>
      </c>
      <c r="B2" s="352"/>
      <c r="C2" s="352"/>
      <c r="D2" s="352"/>
      <c r="E2" s="352"/>
      <c r="F2" s="352"/>
      <c r="G2" s="352"/>
      <c r="H2" s="352"/>
      <c r="I2" s="352"/>
      <c r="J2" s="352"/>
      <c r="K2" s="352"/>
      <c r="L2" s="72"/>
      <c r="M2" s="72"/>
    </row>
    <row r="3" spans="1:21" s="74" customFormat="1" ht="15.75" x14ac:dyDescent="0.25">
      <c r="A3" s="192"/>
      <c r="B3" s="199" t="str">
        <f>Assumptions!C2</f>
        <v/>
      </c>
      <c r="C3" s="199" t="str">
        <f>Assumptions!D2</f>
        <v/>
      </c>
      <c r="D3" s="199" t="str">
        <f>Assumptions!E2</f>
        <v/>
      </c>
      <c r="E3" s="199" t="str">
        <f>Assumptions!F2</f>
        <v/>
      </c>
      <c r="F3" s="199" t="str">
        <f>Assumptions!G2</f>
        <v/>
      </c>
      <c r="G3" s="199" t="str">
        <f>Assumptions!H2</f>
        <v/>
      </c>
      <c r="H3" s="199" t="str">
        <f>Assumptions!I2</f>
        <v/>
      </c>
      <c r="I3" s="199" t="str">
        <f>Assumptions!J2</f>
        <v/>
      </c>
      <c r="J3" s="199" t="str">
        <f>Assumptions!K2</f>
        <v/>
      </c>
      <c r="K3" s="199" t="str">
        <f>Assumptions!L2</f>
        <v/>
      </c>
      <c r="L3" s="72"/>
      <c r="M3" s="72"/>
    </row>
    <row r="4" spans="1:21" s="74" customFormat="1" ht="16.5" thickBot="1" x14ac:dyDescent="0.3">
      <c r="A4" s="193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4" s="196" t="str">
        <f>Assumptions!C3</f>
        <v xml:space="preserve"> </v>
      </c>
      <c r="C4" s="196" t="str">
        <f>Assumptions!D3</f>
        <v xml:space="preserve"> </v>
      </c>
      <c r="D4" s="196" t="str">
        <f>Assumptions!E3</f>
        <v xml:space="preserve"> </v>
      </c>
      <c r="E4" s="196" t="str">
        <f>Assumptions!F3</f>
        <v xml:space="preserve"> </v>
      </c>
      <c r="F4" s="196" t="str">
        <f>Assumptions!G3</f>
        <v xml:space="preserve"> </v>
      </c>
      <c r="G4" s="196" t="str">
        <f>Assumptions!H3</f>
        <v/>
      </c>
      <c r="H4" s="196" t="str">
        <f>Assumptions!I3</f>
        <v/>
      </c>
      <c r="I4" s="196" t="str">
        <f>Assumptions!J3</f>
        <v/>
      </c>
      <c r="J4" s="196" t="str">
        <f>Assumptions!K3</f>
        <v/>
      </c>
      <c r="K4" s="196" t="str">
        <f>Assumptions!L3</f>
        <v/>
      </c>
      <c r="L4" s="72"/>
      <c r="M4" s="72"/>
    </row>
    <row r="5" spans="1:21" ht="15.75" x14ac:dyDescent="0.25">
      <c r="A5" s="75"/>
      <c r="B5" s="76"/>
      <c r="C5" s="76"/>
      <c r="D5" s="76"/>
      <c r="E5" s="76"/>
      <c r="F5" s="76"/>
      <c r="G5" s="200" t="s">
        <v>290</v>
      </c>
      <c r="H5" s="201"/>
      <c r="I5" s="201"/>
      <c r="J5" s="201"/>
      <c r="K5" s="202"/>
      <c r="L5" s="77"/>
      <c r="M5" s="77"/>
    </row>
    <row r="6" spans="1:21" ht="15.75" x14ac:dyDescent="0.25">
      <c r="A6" s="243" t="s">
        <v>20</v>
      </c>
      <c r="B6" s="244" t="str">
        <f>'Income Statement'!D9</f>
        <v/>
      </c>
      <c r="C6" s="244" t="str">
        <f>'Income Statement'!E9</f>
        <v/>
      </c>
      <c r="D6" s="244" t="str">
        <f>'Income Statement'!F9</f>
        <v/>
      </c>
      <c r="E6" s="244" t="str">
        <f>'Income Statement'!G9</f>
        <v/>
      </c>
      <c r="F6" s="244" t="str">
        <f>'Income Statement'!H9</f>
        <v/>
      </c>
      <c r="G6" s="245" t="str">
        <f>IFERROR(F6*(1+G7),"")</f>
        <v/>
      </c>
      <c r="H6" s="246" t="str">
        <f>IFERROR(G6*(1+H7),"")</f>
        <v/>
      </c>
      <c r="I6" s="246" t="str">
        <f>IFERROR(H6*(1+I7),"")</f>
        <v/>
      </c>
      <c r="J6" s="246" t="str">
        <f>IFERROR(I6*(1+J7),"")</f>
        <v/>
      </c>
      <c r="K6" s="247" t="str">
        <f>IFERROR(J6*(1+K7),"")</f>
        <v/>
      </c>
      <c r="L6" s="80"/>
      <c r="M6" s="77"/>
    </row>
    <row r="7" spans="1:21" ht="15.75" x14ac:dyDescent="0.25">
      <c r="A7" s="248" t="s">
        <v>50</v>
      </c>
      <c r="B7" s="249"/>
      <c r="C7" s="249" t="str">
        <f>IFERROR((C6/B6)^(365/(C$3-B$3))-1,"")</f>
        <v/>
      </c>
      <c r="D7" s="249" t="str">
        <f t="shared" ref="D7:F7" si="0">IFERROR((D6/C6)^(365/(D$3-C$3))-1,"")</f>
        <v/>
      </c>
      <c r="E7" s="249" t="str">
        <f t="shared" si="0"/>
        <v/>
      </c>
      <c r="F7" s="249" t="str">
        <f t="shared" si="0"/>
        <v/>
      </c>
      <c r="G7" s="250" t="str">
        <f>Assumptions!H6</f>
        <v/>
      </c>
      <c r="H7" s="251" t="str">
        <f>Assumptions!I6</f>
        <v/>
      </c>
      <c r="I7" s="251" t="str">
        <f>Assumptions!J6</f>
        <v/>
      </c>
      <c r="J7" s="251" t="str">
        <f>Assumptions!K6</f>
        <v/>
      </c>
      <c r="K7" s="252" t="str">
        <f>Assumptions!L6</f>
        <v/>
      </c>
      <c r="L7" s="80"/>
      <c r="M7" s="77"/>
    </row>
    <row r="8" spans="1:21" ht="15.75" x14ac:dyDescent="0.25">
      <c r="A8" s="248"/>
      <c r="B8" s="79"/>
      <c r="C8" s="79"/>
      <c r="D8" s="79"/>
      <c r="E8" s="79"/>
      <c r="F8" s="79"/>
      <c r="G8" s="206"/>
      <c r="H8" s="207"/>
      <c r="I8" s="207"/>
      <c r="J8" s="207"/>
      <c r="K8" s="208"/>
      <c r="L8" s="80"/>
      <c r="M8" s="77"/>
    </row>
    <row r="9" spans="1:21" ht="15.75" x14ac:dyDescent="0.25">
      <c r="A9" s="243" t="s">
        <v>51</v>
      </c>
      <c r="B9" s="253" t="str">
        <f>IFERROR([1]!IntrinioFinancials(ticker,"calculations",'Income Statement'!D5,'Income Statement'!D4,"nopat",rounding),"")</f>
        <v/>
      </c>
      <c r="C9" s="253" t="str">
        <f>IFERROR([1]!IntrinioFinancials(ticker,"calculations",'Income Statement'!E5,'Income Statement'!E4,"nopat",rounding),"")</f>
        <v/>
      </c>
      <c r="D9" s="253" t="str">
        <f>IFERROR([1]!IntrinioFinancials(ticker,"calculations",'Income Statement'!F5,'Income Statement'!F4,"nopat",rounding),"")</f>
        <v/>
      </c>
      <c r="E9" s="253" t="str">
        <f>IFERROR([1]!IntrinioFinancials(ticker,"calculations",'Income Statement'!G5,'Income Statement'!G4,"nopat",rounding),"")</f>
        <v/>
      </c>
      <c r="F9" s="253" t="str">
        <f>IFERROR([1]!IntrinioFinancials(ticker,"calculations",'Income Statement'!H5,'Income Statement'!H4,"nopat",rounding),"")</f>
        <v/>
      </c>
      <c r="G9" s="254" t="str">
        <f>IFERROR(G6*G10,"")</f>
        <v/>
      </c>
      <c r="H9" s="255" t="str">
        <f>IFERROR(H6*H10,"")</f>
        <v/>
      </c>
      <c r="I9" s="255" t="str">
        <f>IFERROR(I6*I10,"")</f>
        <v/>
      </c>
      <c r="J9" s="255" t="str">
        <f>IFERROR(J6*J10,"")</f>
        <v/>
      </c>
      <c r="K9" s="256" t="str">
        <f>IFERROR(K6*K10,"")</f>
        <v/>
      </c>
      <c r="L9" s="80"/>
      <c r="M9" s="77"/>
    </row>
    <row r="10" spans="1:21" ht="15.75" x14ac:dyDescent="0.25">
      <c r="A10" s="248" t="s">
        <v>52</v>
      </c>
      <c r="B10" s="249" t="str">
        <f>IFERROR(B9/B6,"")</f>
        <v/>
      </c>
      <c r="C10" s="249" t="str">
        <f t="shared" ref="C10:E10" si="1">IFERROR(C9/C6,"")</f>
        <v/>
      </c>
      <c r="D10" s="249" t="str">
        <f t="shared" si="1"/>
        <v/>
      </c>
      <c r="E10" s="249" t="str">
        <f t="shared" si="1"/>
        <v/>
      </c>
      <c r="F10" s="249" t="str">
        <f>IFERROR(F9/F6,"")</f>
        <v/>
      </c>
      <c r="G10" s="250" t="str">
        <f>Assumptions!H8</f>
        <v/>
      </c>
      <c r="H10" s="251" t="str">
        <f>Assumptions!I8</f>
        <v/>
      </c>
      <c r="I10" s="251" t="str">
        <f>Assumptions!J8</f>
        <v/>
      </c>
      <c r="J10" s="251" t="str">
        <f>Assumptions!K8</f>
        <v/>
      </c>
      <c r="K10" s="252" t="str">
        <f>Assumptions!L8</f>
        <v/>
      </c>
      <c r="L10" s="80"/>
      <c r="M10" s="77"/>
    </row>
    <row r="11" spans="1:21" ht="15.75" x14ac:dyDescent="0.25">
      <c r="A11" s="248" t="s">
        <v>53</v>
      </c>
      <c r="B11" s="249"/>
      <c r="C11" s="249" t="str">
        <f t="shared" ref="C11:K11" si="2">IFERROR((C9/B9)^(365/(C$3-B$3))-1,"")</f>
        <v/>
      </c>
      <c r="D11" s="249" t="str">
        <f t="shared" si="2"/>
        <v/>
      </c>
      <c r="E11" s="249" t="str">
        <f t="shared" si="2"/>
        <v/>
      </c>
      <c r="F11" s="249" t="str">
        <f t="shared" si="2"/>
        <v/>
      </c>
      <c r="G11" s="250" t="str">
        <f>IFERROR((G9/F9)^(365/(G$3-F$3))-1,"")</f>
        <v/>
      </c>
      <c r="H11" s="251" t="str">
        <f t="shared" si="2"/>
        <v/>
      </c>
      <c r="I11" s="251" t="str">
        <f t="shared" si="2"/>
        <v/>
      </c>
      <c r="J11" s="251" t="str">
        <f t="shared" si="2"/>
        <v/>
      </c>
      <c r="K11" s="252" t="str">
        <f t="shared" si="2"/>
        <v/>
      </c>
      <c r="L11" s="80"/>
      <c r="M11" s="77"/>
    </row>
    <row r="12" spans="1:21" s="82" customFormat="1" ht="15.75" x14ac:dyDescent="0.25">
      <c r="A12" s="248"/>
      <c r="B12" s="79"/>
      <c r="C12" s="79"/>
      <c r="D12" s="79"/>
      <c r="E12" s="79"/>
      <c r="F12" s="79"/>
      <c r="G12" s="206"/>
      <c r="H12" s="207"/>
      <c r="I12" s="207"/>
      <c r="J12" s="207"/>
      <c r="K12" s="208"/>
      <c r="L12" s="80"/>
      <c r="M12" s="80"/>
      <c r="N12" s="81"/>
      <c r="O12" s="81"/>
      <c r="P12" s="81"/>
      <c r="Q12" s="81"/>
      <c r="R12" s="81"/>
      <c r="S12" s="81"/>
      <c r="T12" s="81"/>
      <c r="U12" s="81"/>
    </row>
    <row r="13" spans="1:21" ht="15.75" x14ac:dyDescent="0.25">
      <c r="A13" s="243" t="s">
        <v>54</v>
      </c>
      <c r="B13" s="253" t="str">
        <f>IFERROR([1]!IntrinioFinancials(ticker,"calculations",'Income Statement'!D5,'Income Statement'!D4,"investedcapital",rounding),"")</f>
        <v/>
      </c>
      <c r="C13" s="253" t="str">
        <f>IFERROR([1]!IntrinioFinancials(ticker,"calculations",'Income Statement'!E5,'Income Statement'!E4,"investedcapital",rounding),"")</f>
        <v/>
      </c>
      <c r="D13" s="253" t="str">
        <f>IFERROR([1]!IntrinioFinancials(ticker,"calculations",'Income Statement'!F5,'Income Statement'!F4,"investedcapital",rounding),"")</f>
        <v/>
      </c>
      <c r="E13" s="253" t="str">
        <f>IFERROR([1]!IntrinioFinancials(ticker,"calculations",'Income Statement'!G5,'Income Statement'!G4,"investedcapital",rounding),"")</f>
        <v/>
      </c>
      <c r="F13" s="253" t="str">
        <f>IFERROR([1]!IntrinioFinancials(ticker,"calculations",'Income Statement'!H5,'Income Statement'!H4,"investedcapital",rounding),"")</f>
        <v/>
      </c>
      <c r="G13" s="254" t="str">
        <f>IFERROR(G6/G14,"")</f>
        <v/>
      </c>
      <c r="H13" s="255" t="str">
        <f>IFERROR(H6/H14,"")</f>
        <v/>
      </c>
      <c r="I13" s="255" t="str">
        <f>IFERROR(I6/I14,"")</f>
        <v/>
      </c>
      <c r="J13" s="255" t="str">
        <f>IFERROR(J6/J14,"")</f>
        <v/>
      </c>
      <c r="K13" s="256" t="str">
        <f>IFERROR(K6/K14,"")</f>
        <v/>
      </c>
      <c r="L13" s="80"/>
      <c r="M13" s="77"/>
    </row>
    <row r="14" spans="1:21" ht="15.75" x14ac:dyDescent="0.25">
      <c r="A14" s="248" t="s">
        <v>55</v>
      </c>
      <c r="B14" s="257" t="str">
        <f t="shared" ref="B14:F14" si="3">IFERROR(B6/B13,"")</f>
        <v/>
      </c>
      <c r="C14" s="257" t="str">
        <f t="shared" si="3"/>
        <v/>
      </c>
      <c r="D14" s="257" t="str">
        <f t="shared" si="3"/>
        <v/>
      </c>
      <c r="E14" s="257" t="str">
        <f t="shared" si="3"/>
        <v/>
      </c>
      <c r="F14" s="257" t="str">
        <f t="shared" si="3"/>
        <v/>
      </c>
      <c r="G14" s="258" t="str">
        <f>Assumptions!H10</f>
        <v/>
      </c>
      <c r="H14" s="259" t="str">
        <f>Assumptions!I10</f>
        <v/>
      </c>
      <c r="I14" s="259" t="str">
        <f>Assumptions!J10</f>
        <v/>
      </c>
      <c r="J14" s="259" t="str">
        <f>Assumptions!K10</f>
        <v/>
      </c>
      <c r="K14" s="260" t="str">
        <f>Assumptions!L10</f>
        <v/>
      </c>
      <c r="L14" s="80"/>
      <c r="M14" s="77"/>
    </row>
    <row r="15" spans="1:21" ht="15.75" x14ac:dyDescent="0.25">
      <c r="A15" s="248" t="s">
        <v>56</v>
      </c>
      <c r="B15" s="249" t="str">
        <f>IFERROR((#REF!/#REF!)^(365/(#REF!-#REF!))-1,"")</f>
        <v/>
      </c>
      <c r="C15" s="249" t="str">
        <f t="shared" ref="C15:K15" si="4">IFERROR((C13/B13)^(365/(C$3-B$3))-1,"")</f>
        <v/>
      </c>
      <c r="D15" s="249" t="str">
        <f t="shared" si="4"/>
        <v/>
      </c>
      <c r="E15" s="249" t="str">
        <f>IFERROR((E13/D13)^(365/(E$3-D$3))-1,"")</f>
        <v/>
      </c>
      <c r="F15" s="249" t="str">
        <f>IFERROR((F13/E13)^(365/(F$3-E$3))-1,"")</f>
        <v/>
      </c>
      <c r="G15" s="250" t="str">
        <f>IFERROR((G13/F13)^(365/(G$3-F$3))-1,"")</f>
        <v/>
      </c>
      <c r="H15" s="251" t="str">
        <f>IFERROR((H13/G13)^(365/(H$3-G$3))-1,"")</f>
        <v/>
      </c>
      <c r="I15" s="251" t="str">
        <f t="shared" si="4"/>
        <v/>
      </c>
      <c r="J15" s="251" t="str">
        <f t="shared" si="4"/>
        <v/>
      </c>
      <c r="K15" s="252" t="str">
        <f t="shared" si="4"/>
        <v/>
      </c>
      <c r="L15" s="80"/>
      <c r="M15" s="77"/>
    </row>
    <row r="16" spans="1:21" ht="15.75" x14ac:dyDescent="0.25">
      <c r="A16" s="248"/>
      <c r="B16" s="83"/>
      <c r="C16" s="83"/>
      <c r="D16" s="83"/>
      <c r="E16" s="83"/>
      <c r="F16" s="83"/>
      <c r="G16" s="209"/>
      <c r="H16" s="210"/>
      <c r="I16" s="210"/>
      <c r="J16" s="210"/>
      <c r="K16" s="211"/>
      <c r="L16" s="80"/>
      <c r="M16" s="77"/>
    </row>
    <row r="17" spans="1:23" ht="15.75" x14ac:dyDescent="0.25">
      <c r="A17" s="243" t="s">
        <v>57</v>
      </c>
      <c r="B17" s="261"/>
      <c r="C17" s="261" t="str">
        <f>IFERROR(C13-B13,"")</f>
        <v/>
      </c>
      <c r="D17" s="261" t="str">
        <f t="shared" ref="D17:K17" si="5">IFERROR(D13-C13,"")</f>
        <v/>
      </c>
      <c r="E17" s="261" t="str">
        <f t="shared" si="5"/>
        <v/>
      </c>
      <c r="F17" s="261" t="str">
        <f t="shared" si="5"/>
        <v/>
      </c>
      <c r="G17" s="262" t="str">
        <f t="shared" si="5"/>
        <v/>
      </c>
      <c r="H17" s="263" t="str">
        <f t="shared" si="5"/>
        <v/>
      </c>
      <c r="I17" s="264" t="str">
        <f t="shared" si="5"/>
        <v/>
      </c>
      <c r="J17" s="264" t="str">
        <f t="shared" si="5"/>
        <v/>
      </c>
      <c r="K17" s="265" t="str">
        <f t="shared" si="5"/>
        <v/>
      </c>
      <c r="L17" s="80"/>
      <c r="M17" s="77"/>
    </row>
    <row r="18" spans="1:23" ht="15.75" x14ac:dyDescent="0.25">
      <c r="A18" s="266"/>
      <c r="B18" s="83"/>
      <c r="C18" s="83"/>
      <c r="D18" s="83"/>
      <c r="E18" s="83"/>
      <c r="F18" s="83"/>
      <c r="G18" s="209"/>
      <c r="H18" s="210"/>
      <c r="I18" s="210"/>
      <c r="J18" s="210"/>
      <c r="K18" s="211"/>
      <c r="L18" s="80"/>
      <c r="M18" s="77"/>
    </row>
    <row r="19" spans="1:23" ht="16.5" thickBot="1" x14ac:dyDescent="0.3">
      <c r="A19" s="267" t="s">
        <v>58</v>
      </c>
      <c r="B19" s="268" t="str">
        <f>IFERROR(IF(B17="","",B9-B17),"")</f>
        <v/>
      </c>
      <c r="C19" s="268" t="str">
        <f>IFERROR(C9-C17,"")</f>
        <v/>
      </c>
      <c r="D19" s="268" t="str">
        <f t="shared" ref="D19:K19" si="6">IFERROR(D9-D17,"")</f>
        <v/>
      </c>
      <c r="E19" s="268" t="str">
        <f t="shared" si="6"/>
        <v/>
      </c>
      <c r="F19" s="268" t="str">
        <f t="shared" si="6"/>
        <v/>
      </c>
      <c r="G19" s="269" t="str">
        <f t="shared" si="6"/>
        <v/>
      </c>
      <c r="H19" s="270" t="str">
        <f t="shared" si="6"/>
        <v/>
      </c>
      <c r="I19" s="270" t="str">
        <f t="shared" si="6"/>
        <v/>
      </c>
      <c r="J19" s="270" t="str">
        <f t="shared" si="6"/>
        <v/>
      </c>
      <c r="K19" s="271" t="str">
        <f t="shared" si="6"/>
        <v/>
      </c>
      <c r="L19" s="80"/>
      <c r="M19" s="77"/>
    </row>
    <row r="20" spans="1:23" ht="16.5" thickTop="1" x14ac:dyDescent="0.25">
      <c r="A20" s="266"/>
      <c r="B20" s="83"/>
      <c r="C20" s="83"/>
      <c r="D20" s="83"/>
      <c r="E20" s="83"/>
      <c r="F20" s="83"/>
      <c r="G20" s="84"/>
      <c r="H20" s="84"/>
      <c r="I20" s="84"/>
      <c r="J20" s="84"/>
      <c r="K20" s="84"/>
      <c r="L20" s="80"/>
      <c r="M20" s="77"/>
    </row>
    <row r="21" spans="1:23" ht="15.75" x14ac:dyDescent="0.25">
      <c r="A21" s="346" t="s">
        <v>59</v>
      </c>
      <c r="B21" s="346"/>
      <c r="C21" s="346"/>
      <c r="D21" s="346"/>
      <c r="E21" s="346"/>
      <c r="F21" s="346"/>
      <c r="G21" s="272">
        <f>IFERROR(WACC,"")</f>
        <v>0</v>
      </c>
      <c r="H21" s="272">
        <f t="shared" ref="H21:K21" si="7">IFERROR(WACC,"")</f>
        <v>0</v>
      </c>
      <c r="I21" s="272">
        <f t="shared" si="7"/>
        <v>0</v>
      </c>
      <c r="J21" s="272">
        <f t="shared" si="7"/>
        <v>0</v>
      </c>
      <c r="K21" s="272">
        <f t="shared" si="7"/>
        <v>0</v>
      </c>
      <c r="L21" s="80"/>
      <c r="M21" s="77"/>
    </row>
    <row r="22" spans="1:23" ht="15.75" x14ac:dyDescent="0.25">
      <c r="A22" s="346" t="s">
        <v>60</v>
      </c>
      <c r="B22" s="346"/>
      <c r="C22" s="346"/>
      <c r="D22" s="346"/>
      <c r="E22" s="346"/>
      <c r="F22" s="346"/>
      <c r="G22" s="273">
        <f ca="1">IFERROR(IF((G3-DATE(YEAR(NOW()),MONTH(NOW()),DAY(NOW())))/365&lt;1,IF((G3-DATE(YEAR(NOW()),MONTH(NOW()),DAY(NOW())))/365&lt;0,0,(G3-DATE(YEAR(NOW()),MONTH(NOW()),DAY(NOW())))/365),0),1)</f>
        <v>1</v>
      </c>
      <c r="H22" s="273">
        <f ca="1">IFERROR(IF(((H3-NOW())/365)&gt;1,1,(H3-NOW())/365),1)</f>
        <v>1</v>
      </c>
      <c r="I22" s="273">
        <v>1</v>
      </c>
      <c r="J22" s="273">
        <v>1</v>
      </c>
      <c r="K22" s="273">
        <v>1</v>
      </c>
      <c r="L22" s="80"/>
      <c r="M22" s="77"/>
    </row>
    <row r="23" spans="1:23" ht="15.75" x14ac:dyDescent="0.25">
      <c r="A23" s="346" t="s">
        <v>61</v>
      </c>
      <c r="B23" s="346"/>
      <c r="C23" s="346"/>
      <c r="D23" s="346"/>
      <c r="E23" s="346"/>
      <c r="F23" s="346"/>
      <c r="G23" s="84"/>
      <c r="H23" s="84"/>
      <c r="I23" s="84"/>
      <c r="J23" s="84"/>
      <c r="K23" s="274" t="str">
        <f>IFERROR(K9/(WACC-K7),"")</f>
        <v/>
      </c>
      <c r="L23" s="80"/>
      <c r="M23" s="77"/>
    </row>
    <row r="24" spans="1:23" ht="6" customHeight="1" x14ac:dyDescent="0.25">
      <c r="A24" s="275"/>
      <c r="B24" s="275"/>
      <c r="C24" s="275"/>
      <c r="D24" s="275"/>
      <c r="E24" s="275"/>
      <c r="F24" s="275"/>
      <c r="G24" s="84"/>
      <c r="H24" s="84"/>
      <c r="I24" s="84"/>
      <c r="J24" s="84"/>
      <c r="K24" s="85"/>
      <c r="L24" s="80"/>
      <c r="M24" s="77"/>
    </row>
    <row r="25" spans="1:23" ht="15.75" x14ac:dyDescent="0.25">
      <c r="A25" s="346" t="s">
        <v>62</v>
      </c>
      <c r="B25" s="346"/>
      <c r="C25" s="346"/>
      <c r="D25" s="346"/>
      <c r="E25" s="346"/>
      <c r="F25" s="346"/>
      <c r="G25" s="276">
        <f ca="1">IFERROR(IF((G3-DATE(YEAR(NOW()),MONTH(NOW()),DAY(NOW())))/365&lt;1,IF((G3-DATE(YEAR(NOW()),MONTH(NOW()),DAY(NOW())))/365&lt;0,0,(G3-DATE(YEAR(NOW()),MONTH(NOW()),DAY(NOW())))/365),0),1)</f>
        <v>1</v>
      </c>
      <c r="H25" s="276">
        <f ca="1">IFERROR(IFERROR(IF(((H3-NOW())/365)&gt;1,G25+1,(H3-NOW())/365),1),"")</f>
        <v>1</v>
      </c>
      <c r="I25" s="276">
        <f ca="1">IFERROR(H25+1,"")</f>
        <v>2</v>
      </c>
      <c r="J25" s="276">
        <f ca="1">IFERROR(I25+1,"")</f>
        <v>3</v>
      </c>
      <c r="K25" s="277">
        <f ca="1">IFERROR(J25,"")</f>
        <v>3</v>
      </c>
      <c r="L25" s="80"/>
      <c r="M25" s="77"/>
    </row>
    <row r="26" spans="1:23" ht="15.75" x14ac:dyDescent="0.25">
      <c r="A26" s="346" t="s">
        <v>63</v>
      </c>
      <c r="B26" s="346"/>
      <c r="C26" s="346"/>
      <c r="D26" s="346"/>
      <c r="E26" s="346"/>
      <c r="F26" s="346"/>
      <c r="G26" s="278" t="str">
        <f ca="1">IFERROR(IF(G22=0,0,PV(G21,G25,0,-G19,0)*G22),"")</f>
        <v/>
      </c>
      <c r="H26" s="278" t="str">
        <f ca="1">IFERROR(PV(H21,H25,0,-H19,0)*H22,"")</f>
        <v/>
      </c>
      <c r="I26" s="278" t="str">
        <f t="shared" ref="I26:J26" ca="1" si="8">IFERROR(PV(I21,I25,0,-I19,0),"")</f>
        <v/>
      </c>
      <c r="J26" s="278" t="str">
        <f t="shared" ca="1" si="8"/>
        <v/>
      </c>
      <c r="K26" s="278" t="str">
        <f ca="1">IFERROR(PV(K21,K25,0,-K23,0),"")</f>
        <v/>
      </c>
      <c r="L26" s="80"/>
      <c r="M26" s="77"/>
    </row>
    <row r="27" spans="1:23" ht="15.75" x14ac:dyDescent="0.25">
      <c r="A27" s="275"/>
      <c r="B27" s="275"/>
      <c r="C27" s="275"/>
      <c r="D27" s="275"/>
      <c r="E27" s="275"/>
      <c r="F27" s="275"/>
      <c r="G27" s="85"/>
      <c r="H27" s="85"/>
      <c r="I27" s="85"/>
      <c r="J27" s="85"/>
      <c r="K27" s="85"/>
      <c r="L27" s="80"/>
      <c r="M27" s="77"/>
    </row>
    <row r="28" spans="1:23" ht="15.75" x14ac:dyDescent="0.25">
      <c r="A28" s="91"/>
      <c r="B28" s="91"/>
      <c r="C28" s="353" t="s">
        <v>49</v>
      </c>
      <c r="D28" s="353"/>
      <c r="E28" s="353"/>
      <c r="F28" s="353"/>
      <c r="G28" s="353"/>
      <c r="H28" s="353"/>
      <c r="I28" s="353"/>
      <c r="J28" s="353"/>
      <c r="K28" s="353"/>
      <c r="L28" s="80"/>
      <c r="M28" s="77"/>
    </row>
    <row r="29" spans="1:23" ht="15.75" x14ac:dyDescent="0.25">
      <c r="A29" s="91"/>
      <c r="B29" s="279"/>
      <c r="C29" s="353"/>
      <c r="D29" s="353"/>
      <c r="E29" s="353"/>
      <c r="F29" s="353"/>
      <c r="G29" s="353"/>
      <c r="H29" s="353"/>
      <c r="I29" s="353"/>
      <c r="J29" s="353"/>
      <c r="K29" s="353"/>
      <c r="L29" s="81"/>
    </row>
    <row r="30" spans="1:23" ht="15.75" x14ac:dyDescent="0.25">
      <c r="A30" s="346" t="s">
        <v>64</v>
      </c>
      <c r="B30" s="346"/>
      <c r="C30" s="346"/>
      <c r="D30" s="346"/>
      <c r="E30" s="346"/>
      <c r="F30" s="346"/>
      <c r="G30" s="87" t="str">
        <f ca="1">IF(G26="","",IFERROR(SUM($G$26:$J$26),""))</f>
        <v/>
      </c>
      <c r="H30" s="350"/>
      <c r="I30" s="350"/>
      <c r="J30" s="350"/>
      <c r="K30" s="87"/>
      <c r="L30" s="81"/>
    </row>
    <row r="31" spans="1:23" ht="15.75" x14ac:dyDescent="0.25">
      <c r="A31" s="346" t="s">
        <v>66</v>
      </c>
      <c r="B31" s="346"/>
      <c r="C31" s="346"/>
      <c r="D31" s="346"/>
      <c r="E31" s="346"/>
      <c r="F31" s="346"/>
      <c r="G31" s="280" t="str">
        <f ca="1">IFERROR(K26,"")</f>
        <v/>
      </c>
      <c r="H31" s="350"/>
      <c r="I31" s="350"/>
      <c r="J31" s="350"/>
      <c r="K31" s="86"/>
      <c r="L31" s="81"/>
      <c r="V31" s="78"/>
      <c r="W31" s="78"/>
    </row>
    <row r="32" spans="1:23" ht="15.75" x14ac:dyDescent="0.25">
      <c r="A32" s="346" t="s">
        <v>67</v>
      </c>
      <c r="B32" s="346"/>
      <c r="C32" s="346"/>
      <c r="D32" s="346"/>
      <c r="E32" s="346"/>
      <c r="F32" s="346"/>
      <c r="G32" s="87" t="str">
        <f ca="1">IFERROR(G31+G30,"")</f>
        <v/>
      </c>
      <c r="H32" s="350"/>
      <c r="I32" s="350"/>
      <c r="J32" s="350"/>
      <c r="K32" s="281"/>
      <c r="L32" s="81"/>
      <c r="V32" s="78"/>
      <c r="W32" s="78"/>
    </row>
    <row r="33" spans="1:23" ht="15.75" x14ac:dyDescent="0.25">
      <c r="A33" s="346" t="s">
        <v>68</v>
      </c>
      <c r="B33" s="346"/>
      <c r="C33" s="346"/>
      <c r="D33" s="346"/>
      <c r="E33" s="346"/>
      <c r="F33" s="346"/>
      <c r="G33" s="282">
        <f>IFERROR((1+G21)^0.5,"")</f>
        <v>1</v>
      </c>
      <c r="H33" s="350"/>
      <c r="I33" s="350"/>
      <c r="J33" s="350"/>
      <c r="K33" s="283"/>
      <c r="L33" s="81"/>
      <c r="V33" s="78"/>
      <c r="W33" s="78"/>
    </row>
    <row r="34" spans="1:23" ht="15.75" x14ac:dyDescent="0.25">
      <c r="A34" s="346" t="s">
        <v>65</v>
      </c>
      <c r="B34" s="346"/>
      <c r="C34" s="346"/>
      <c r="D34" s="346"/>
      <c r="E34" s="346"/>
      <c r="F34" s="346"/>
      <c r="G34" s="87" t="str">
        <f ca="1">IFERROR($G$32*$G$33,"")</f>
        <v/>
      </c>
      <c r="H34" s="350"/>
      <c r="I34" s="350"/>
      <c r="J34" s="350"/>
      <c r="K34" s="86"/>
      <c r="L34" s="81"/>
      <c r="V34" s="78"/>
      <c r="W34" s="78"/>
    </row>
    <row r="35" spans="1:23" ht="15.75" x14ac:dyDescent="0.25">
      <c r="A35" s="346"/>
      <c r="B35" s="346"/>
      <c r="C35" s="346"/>
      <c r="D35" s="346"/>
      <c r="E35" s="346"/>
      <c r="F35" s="346"/>
      <c r="G35" s="87"/>
      <c r="H35" s="350"/>
      <c r="I35" s="350"/>
      <c r="J35" s="350"/>
      <c r="K35" s="281"/>
      <c r="L35" s="81"/>
      <c r="V35" s="78"/>
      <c r="W35" s="78"/>
    </row>
    <row r="36" spans="1:23" ht="15.75" x14ac:dyDescent="0.25">
      <c r="A36" s="346" t="s">
        <v>69</v>
      </c>
      <c r="B36" s="346"/>
      <c r="C36" s="346"/>
      <c r="D36" s="346"/>
      <c r="E36" s="346"/>
      <c r="F36" s="346"/>
      <c r="G36" s="284" t="str">
        <f>IFERROR('Balance Sheet'!I8+'Balance Sheet'!I9+'Balance Sheet'!I26,"")</f>
        <v/>
      </c>
      <c r="H36" s="350"/>
      <c r="I36" s="350"/>
      <c r="J36" s="350"/>
      <c r="K36" s="283"/>
      <c r="L36" s="81"/>
      <c r="V36" s="78"/>
      <c r="W36" s="78"/>
    </row>
    <row r="37" spans="1:23" ht="15.75" x14ac:dyDescent="0.25">
      <c r="A37" s="346" t="s">
        <v>70</v>
      </c>
      <c r="B37" s="346"/>
      <c r="C37" s="346"/>
      <c r="D37" s="346"/>
      <c r="E37" s="346"/>
      <c r="F37" s="346"/>
      <c r="G37" s="284" t="str">
        <f>IFERROR(-('Balance Sheet'!I40+'Balance Sheet'!I53+'Balance Sheet'!I54),"")</f>
        <v/>
      </c>
      <c r="H37" s="350"/>
      <c r="I37" s="350"/>
      <c r="J37" s="350"/>
      <c r="K37" s="86"/>
      <c r="L37" s="81"/>
      <c r="V37" s="78"/>
      <c r="W37" s="78"/>
    </row>
    <row r="38" spans="1:23" ht="15.75" x14ac:dyDescent="0.25">
      <c r="A38" s="346" t="s">
        <v>71</v>
      </c>
      <c r="B38" s="346"/>
      <c r="C38" s="346"/>
      <c r="D38" s="346"/>
      <c r="E38" s="346"/>
      <c r="F38" s="346"/>
      <c r="G38" s="280" t="str">
        <f>IFERROR(-('Balance Sheet'!I67+'Balance Sheet'!I71+'Balance Sheet'!I83),"")</f>
        <v/>
      </c>
      <c r="H38" s="350"/>
      <c r="I38" s="350"/>
      <c r="J38" s="350"/>
      <c r="K38" s="281"/>
      <c r="L38" s="81"/>
      <c r="V38" s="78"/>
      <c r="W38" s="78"/>
    </row>
    <row r="39" spans="1:23" ht="15.75" x14ac:dyDescent="0.25">
      <c r="A39" s="346" t="s">
        <v>72</v>
      </c>
      <c r="B39" s="346"/>
      <c r="C39" s="346"/>
      <c r="D39" s="346"/>
      <c r="E39" s="346"/>
      <c r="F39" s="346"/>
      <c r="G39" s="87" t="str">
        <f ca="1">IF(G34="","",IFERROR(SUM($G$34:$G$38),""))</f>
        <v/>
      </c>
      <c r="H39" s="350"/>
      <c r="I39" s="350"/>
      <c r="J39" s="350"/>
      <c r="K39" s="283"/>
      <c r="L39" s="81"/>
      <c r="V39" s="78"/>
      <c r="W39" s="78"/>
    </row>
    <row r="40" spans="1:23" ht="15.75" x14ac:dyDescent="0.25">
      <c r="A40" s="349"/>
      <c r="B40" s="349"/>
      <c r="C40" s="349"/>
      <c r="D40" s="349"/>
      <c r="E40" s="349"/>
      <c r="F40" s="275"/>
      <c r="G40" s="88"/>
      <c r="H40" s="350"/>
      <c r="I40" s="350"/>
      <c r="J40" s="350"/>
      <c r="K40" s="86"/>
      <c r="L40" s="81"/>
      <c r="V40" s="78"/>
      <c r="W40" s="78"/>
    </row>
    <row r="41" spans="1:23" ht="15.75" x14ac:dyDescent="0.25">
      <c r="A41" s="346" t="s">
        <v>73</v>
      </c>
      <c r="B41" s="346"/>
      <c r="C41" s="346"/>
      <c r="D41" s="346"/>
      <c r="E41" s="346"/>
      <c r="F41" s="346"/>
      <c r="G41" s="285" t="str">
        <f>'Income Statement'!I61</f>
        <v/>
      </c>
      <c r="H41" s="350"/>
      <c r="I41" s="350"/>
      <c r="J41" s="350"/>
      <c r="K41" s="281"/>
      <c r="L41" s="81"/>
      <c r="V41" s="78"/>
      <c r="W41" s="78"/>
    </row>
    <row r="42" spans="1:23" ht="24" thickBot="1" x14ac:dyDescent="0.4">
      <c r="A42" s="348" t="s">
        <v>75</v>
      </c>
      <c r="B42" s="348"/>
      <c r="C42" s="348"/>
      <c r="D42" s="348"/>
      <c r="E42" s="348"/>
      <c r="F42" s="348"/>
      <c r="G42" s="286" t="str">
        <f ca="1">IFERROR(G39/G41,"")</f>
        <v/>
      </c>
      <c r="H42" s="350"/>
      <c r="I42" s="350"/>
      <c r="J42" s="350"/>
      <c r="K42" s="283"/>
      <c r="L42" s="81"/>
      <c r="V42" s="78"/>
      <c r="W42" s="78"/>
    </row>
    <row r="43" spans="1:23" ht="6.75" customHeight="1" thickTop="1" x14ac:dyDescent="0.25">
      <c r="A43" s="275"/>
      <c r="B43" s="275"/>
      <c r="C43" s="275"/>
      <c r="D43" s="275"/>
      <c r="E43" s="275"/>
      <c r="F43" s="275"/>
      <c r="G43" s="287"/>
      <c r="H43" s="212"/>
      <c r="I43" s="212"/>
      <c r="J43" s="212"/>
      <c r="K43" s="283"/>
      <c r="L43" s="81"/>
      <c r="V43" s="78"/>
      <c r="W43" s="78"/>
    </row>
    <row r="44" spans="1:23" ht="18.75" x14ac:dyDescent="0.3">
      <c r="A44" s="347" t="s">
        <v>76</v>
      </c>
      <c r="B44" s="347"/>
      <c r="C44" s="347"/>
      <c r="D44" s="347"/>
      <c r="E44" s="347"/>
      <c r="F44" s="347"/>
      <c r="G44" s="288" t="str">
        <f>[1]!IntrinioDataPoint(ticker,"close_price")</f>
        <v/>
      </c>
      <c r="H44" s="212"/>
      <c r="I44" s="212"/>
      <c r="J44" s="212"/>
      <c r="K44" s="283"/>
      <c r="L44" s="81"/>
      <c r="V44" s="78"/>
      <c r="W44" s="78"/>
    </row>
    <row r="45" spans="1:23" ht="21" x14ac:dyDescent="0.35">
      <c r="A45" s="289"/>
      <c r="B45" s="289"/>
      <c r="C45" s="289"/>
      <c r="D45" s="289"/>
      <c r="E45" s="289"/>
      <c r="F45" s="290" t="s">
        <v>74</v>
      </c>
      <c r="G45" s="291" t="str">
        <f ca="1">IFERROR(IF(G42&gt;G44,IF(G42&lt;0,"NA",(G42-G44)/G42*100),IF(G42&lt;0,"NA",-(G44-G42)/G44*100)),"")</f>
        <v/>
      </c>
      <c r="H45" s="350"/>
      <c r="I45" s="350"/>
      <c r="J45" s="350"/>
      <c r="K45" s="86"/>
      <c r="L45" s="81"/>
    </row>
    <row r="46" spans="1:23" ht="15.75" x14ac:dyDescent="0.25">
      <c r="A46" s="90" t="s">
        <v>92</v>
      </c>
      <c r="B46" s="91"/>
      <c r="C46" s="91"/>
      <c r="D46" s="91"/>
      <c r="E46" s="91"/>
      <c r="F46" s="91"/>
      <c r="G46" s="92"/>
      <c r="H46" s="82"/>
      <c r="I46" s="92"/>
      <c r="J46" s="86"/>
      <c r="K46" s="86"/>
    </row>
    <row r="47" spans="1:23" ht="15.75" x14ac:dyDescent="0.25">
      <c r="A47" s="91"/>
      <c r="B47" s="91"/>
      <c r="C47" s="91"/>
      <c r="D47" s="91"/>
      <c r="E47" s="91"/>
      <c r="F47" s="91"/>
      <c r="G47" s="93"/>
      <c r="H47" s="82"/>
      <c r="I47" s="92"/>
      <c r="J47" s="86"/>
      <c r="K47" s="86"/>
    </row>
    <row r="48" spans="1:23" ht="15.75" x14ac:dyDescent="0.25">
      <c r="A48" s="94"/>
      <c r="B48" s="94"/>
      <c r="C48" s="94"/>
      <c r="D48" s="94"/>
      <c r="E48" s="94"/>
      <c r="F48" s="94"/>
      <c r="G48" s="95"/>
      <c r="H48" s="96"/>
      <c r="I48" s="97"/>
      <c r="J48" s="97"/>
      <c r="K48" s="97"/>
    </row>
    <row r="49" spans="1:11" ht="15.75" x14ac:dyDescent="0.25">
      <c r="A49" s="94"/>
      <c r="B49" s="94"/>
      <c r="C49" s="94"/>
      <c r="D49" s="94"/>
      <c r="E49" s="94"/>
      <c r="F49" s="94"/>
      <c r="G49" s="95"/>
      <c r="H49" s="96"/>
      <c r="I49" s="97"/>
      <c r="J49" s="97"/>
      <c r="K49" s="97"/>
    </row>
    <row r="50" spans="1:11" ht="15.75" x14ac:dyDescent="0.25">
      <c r="A50" s="94"/>
      <c r="B50" s="94"/>
      <c r="C50" s="94"/>
      <c r="D50" s="94"/>
      <c r="E50" s="94"/>
      <c r="F50" s="94"/>
      <c r="G50" s="98"/>
      <c r="H50" s="96"/>
      <c r="I50" s="96"/>
      <c r="J50" s="96"/>
      <c r="K50" s="96"/>
    </row>
    <row r="51" spans="1:11" ht="15.75" x14ac:dyDescent="0.25">
      <c r="A51" s="94"/>
      <c r="B51" s="94"/>
      <c r="C51" s="94"/>
      <c r="D51" s="94"/>
      <c r="E51" s="94"/>
      <c r="F51" s="94"/>
      <c r="G51" s="99"/>
      <c r="H51" s="96"/>
      <c r="I51" s="96"/>
      <c r="J51" s="96"/>
      <c r="K51" s="96"/>
    </row>
    <row r="52" spans="1:11" ht="15.75" x14ac:dyDescent="0.25">
      <c r="A52" s="94"/>
      <c r="B52" s="94"/>
      <c r="C52" s="94"/>
      <c r="D52" s="94"/>
      <c r="E52" s="94"/>
      <c r="F52" s="94"/>
      <c r="G52" s="95"/>
      <c r="H52" s="96"/>
      <c r="I52" s="96"/>
      <c r="J52" s="96"/>
      <c r="K52" s="96"/>
    </row>
    <row r="53" spans="1:11" ht="15.75" x14ac:dyDescent="0.25">
      <c r="A53" s="94"/>
      <c r="B53" s="94"/>
      <c r="C53" s="94"/>
      <c r="D53" s="94"/>
      <c r="E53" s="94"/>
      <c r="F53" s="94"/>
      <c r="G53" s="95"/>
      <c r="H53" s="96"/>
      <c r="I53" s="96"/>
      <c r="J53" s="96"/>
      <c r="K53" s="96"/>
    </row>
    <row r="54" spans="1:11" ht="15.75" x14ac:dyDescent="0.25">
      <c r="A54" s="94"/>
      <c r="B54" s="94"/>
      <c r="C54" s="94"/>
      <c r="D54" s="94"/>
      <c r="E54" s="94"/>
      <c r="F54" s="94"/>
      <c r="G54" s="95"/>
      <c r="H54" s="96"/>
      <c r="I54" s="96"/>
      <c r="J54" s="96"/>
      <c r="K54" s="96"/>
    </row>
    <row r="55" spans="1:11" ht="15.75" x14ac:dyDescent="0.25">
      <c r="A55" s="94"/>
      <c r="B55" s="94"/>
      <c r="C55" s="94"/>
      <c r="D55" s="94"/>
      <c r="E55" s="94"/>
      <c r="F55" s="94"/>
      <c r="G55" s="95"/>
      <c r="H55" s="96"/>
      <c r="I55" s="96"/>
      <c r="J55" s="96"/>
      <c r="K55" s="96"/>
    </row>
    <row r="56" spans="1:11" ht="12.75" x14ac:dyDescent="0.2">
      <c r="A56" s="95"/>
      <c r="B56" s="95"/>
      <c r="C56" s="95"/>
      <c r="D56" s="95"/>
      <c r="E56" s="95"/>
      <c r="F56" s="95"/>
      <c r="G56" s="95"/>
      <c r="H56" s="96"/>
      <c r="I56" s="96"/>
      <c r="J56" s="96"/>
      <c r="K56" s="96"/>
    </row>
    <row r="57" spans="1:11" ht="12.75" x14ac:dyDescent="0.2">
      <c r="A57" s="95"/>
      <c r="B57" s="95"/>
      <c r="C57" s="95"/>
      <c r="D57" s="95"/>
      <c r="E57" s="95"/>
      <c r="F57" s="95"/>
      <c r="G57" s="95"/>
      <c r="H57" s="96"/>
      <c r="I57" s="96"/>
      <c r="J57" s="96"/>
      <c r="K57" s="96"/>
    </row>
    <row r="58" spans="1:11" ht="12.75" x14ac:dyDescent="0.2">
      <c r="A58" s="95"/>
      <c r="B58" s="95"/>
      <c r="C58" s="95"/>
      <c r="D58" s="95"/>
      <c r="E58" s="95"/>
      <c r="F58" s="95"/>
      <c r="G58" s="95"/>
      <c r="H58" s="96"/>
      <c r="I58" s="96"/>
      <c r="J58" s="96"/>
      <c r="K58" s="96"/>
    </row>
    <row r="59" spans="1:11" ht="12.75" x14ac:dyDescent="0.2">
      <c r="A59" s="95"/>
      <c r="B59" s="95"/>
      <c r="C59" s="95"/>
      <c r="D59" s="95"/>
      <c r="E59" s="95"/>
      <c r="F59" s="95"/>
      <c r="G59" s="95"/>
      <c r="H59" s="96"/>
      <c r="I59" s="96"/>
      <c r="J59" s="96"/>
      <c r="K59" s="96"/>
    </row>
    <row r="60" spans="1:11" ht="12.75" x14ac:dyDescent="0.2">
      <c r="A60" s="95"/>
      <c r="B60" s="95"/>
      <c r="C60" s="95"/>
      <c r="D60" s="95"/>
      <c r="E60" s="95"/>
      <c r="F60" s="95"/>
      <c r="G60" s="95"/>
      <c r="H60" s="96"/>
      <c r="I60" s="96"/>
      <c r="J60" s="96"/>
      <c r="K60" s="96"/>
    </row>
    <row r="61" spans="1:11" ht="12.75" x14ac:dyDescent="0.2">
      <c r="A61" s="95"/>
      <c r="B61" s="95"/>
      <c r="C61" s="95"/>
      <c r="D61" s="95"/>
      <c r="E61" s="95"/>
      <c r="F61" s="95"/>
      <c r="G61" s="95"/>
      <c r="H61" s="96"/>
      <c r="I61" s="96"/>
      <c r="J61" s="96"/>
      <c r="K61" s="96"/>
    </row>
    <row r="62" spans="1:11" ht="12.75" x14ac:dyDescent="0.2">
      <c r="A62" s="95"/>
      <c r="B62" s="95"/>
      <c r="C62" s="95"/>
      <c r="D62" s="95"/>
      <c r="E62" s="95"/>
      <c r="F62" s="95"/>
      <c r="G62" s="95"/>
      <c r="H62" s="96"/>
      <c r="I62" s="96"/>
      <c r="J62" s="96"/>
      <c r="K62" s="96"/>
    </row>
    <row r="63" spans="1:11" ht="12.75" x14ac:dyDescent="0.2">
      <c r="A63" s="95"/>
      <c r="B63" s="95"/>
      <c r="C63" s="95"/>
      <c r="D63" s="95"/>
      <c r="E63" s="95"/>
      <c r="F63" s="95"/>
      <c r="G63" s="95"/>
      <c r="H63" s="96"/>
      <c r="I63" s="96"/>
      <c r="J63" s="96"/>
      <c r="K63" s="96"/>
    </row>
    <row r="64" spans="1:11" ht="12.75" x14ac:dyDescent="0.2">
      <c r="A64" s="95"/>
      <c r="B64" s="95"/>
      <c r="C64" s="95"/>
      <c r="D64" s="95"/>
      <c r="E64" s="95"/>
      <c r="F64" s="95"/>
      <c r="G64" s="95"/>
      <c r="H64" s="96"/>
      <c r="I64" s="96"/>
      <c r="J64" s="96"/>
      <c r="K64" s="96"/>
    </row>
    <row r="65" spans="1:11" ht="12.75" x14ac:dyDescent="0.2">
      <c r="A65" s="95"/>
      <c r="B65" s="95"/>
      <c r="C65" s="95"/>
      <c r="D65" s="95"/>
      <c r="E65" s="95"/>
      <c r="F65" s="95"/>
      <c r="G65" s="95"/>
      <c r="H65" s="96"/>
      <c r="I65" s="96"/>
      <c r="J65" s="96"/>
      <c r="K65" s="96"/>
    </row>
    <row r="66" spans="1:11" ht="12.75" x14ac:dyDescent="0.2">
      <c r="A66" s="95"/>
      <c r="B66" s="95"/>
      <c r="C66" s="95"/>
      <c r="D66" s="95"/>
      <c r="E66" s="95"/>
      <c r="F66" s="95"/>
      <c r="G66" s="95"/>
      <c r="H66" s="96"/>
      <c r="I66" s="96"/>
      <c r="J66" s="96"/>
      <c r="K66" s="96"/>
    </row>
    <row r="67" spans="1:11" ht="12.75" x14ac:dyDescent="0.2">
      <c r="A67" s="95"/>
      <c r="B67" s="95"/>
      <c r="C67" s="95"/>
      <c r="D67" s="95"/>
      <c r="E67" s="95"/>
      <c r="F67" s="95"/>
      <c r="G67" s="95"/>
      <c r="H67" s="96"/>
      <c r="I67" s="96"/>
      <c r="J67" s="96"/>
      <c r="K67" s="96"/>
    </row>
    <row r="68" spans="1:11" ht="12.75" x14ac:dyDescent="0.2">
      <c r="A68" s="95"/>
      <c r="B68" s="95"/>
      <c r="C68" s="95"/>
      <c r="D68" s="95"/>
      <c r="E68" s="95"/>
      <c r="F68" s="95"/>
      <c r="G68" s="95"/>
      <c r="H68" s="96"/>
      <c r="I68" s="96"/>
      <c r="J68" s="96"/>
      <c r="K68" s="96"/>
    </row>
    <row r="69" spans="1:11" ht="12.75" x14ac:dyDescent="0.2">
      <c r="A69" s="95"/>
      <c r="B69" s="95"/>
      <c r="C69" s="95"/>
      <c r="D69" s="95"/>
      <c r="E69" s="95"/>
      <c r="F69" s="95"/>
      <c r="G69" s="95"/>
      <c r="H69" s="96"/>
      <c r="I69" s="96"/>
      <c r="J69" s="96"/>
      <c r="K69" s="96"/>
    </row>
    <row r="70" spans="1:11" ht="12.75" x14ac:dyDescent="0.2">
      <c r="A70" s="95"/>
      <c r="B70" s="95"/>
      <c r="C70" s="95"/>
      <c r="D70" s="95"/>
      <c r="E70" s="95"/>
      <c r="F70" s="95"/>
      <c r="G70" s="95"/>
      <c r="H70" s="96"/>
      <c r="I70" s="96"/>
      <c r="J70" s="96"/>
      <c r="K70" s="96"/>
    </row>
    <row r="71" spans="1:11" ht="12.75" x14ac:dyDescent="0.2">
      <c r="A71" s="95"/>
      <c r="B71" s="95"/>
      <c r="C71" s="95"/>
      <c r="D71" s="95"/>
      <c r="E71" s="95"/>
      <c r="F71" s="95"/>
      <c r="G71" s="95"/>
      <c r="H71" s="96"/>
      <c r="I71" s="96"/>
      <c r="J71" s="96"/>
      <c r="K71" s="96"/>
    </row>
    <row r="72" spans="1:11" ht="12.75" x14ac:dyDescent="0.2">
      <c r="A72" s="95"/>
      <c r="B72" s="95"/>
      <c r="C72" s="95"/>
      <c r="D72" s="95"/>
      <c r="E72" s="95"/>
      <c r="F72" s="95"/>
      <c r="G72" s="95"/>
      <c r="H72" s="96"/>
      <c r="I72" s="96"/>
      <c r="J72" s="96"/>
      <c r="K72" s="96"/>
    </row>
    <row r="73" spans="1:11" ht="12.75" x14ac:dyDescent="0.2">
      <c r="A73" s="95"/>
      <c r="B73" s="95"/>
      <c r="C73" s="95"/>
      <c r="D73" s="95"/>
      <c r="E73" s="95"/>
      <c r="F73" s="95"/>
      <c r="G73" s="95"/>
      <c r="H73" s="96"/>
      <c r="I73" s="96"/>
      <c r="J73" s="96"/>
      <c r="K73" s="96"/>
    </row>
    <row r="74" spans="1:11" ht="12.75" x14ac:dyDescent="0.2">
      <c r="A74" s="95"/>
      <c r="B74" s="95"/>
      <c r="C74" s="95"/>
      <c r="D74" s="95"/>
      <c r="E74" s="95"/>
      <c r="F74" s="95"/>
      <c r="G74" s="95"/>
      <c r="H74" s="96"/>
      <c r="I74" s="96"/>
      <c r="J74" s="96"/>
      <c r="K74" s="96"/>
    </row>
    <row r="75" spans="1:11" ht="12.75" x14ac:dyDescent="0.2">
      <c r="A75" s="95"/>
      <c r="B75" s="95"/>
      <c r="C75" s="95"/>
      <c r="D75" s="95"/>
      <c r="E75" s="95"/>
      <c r="F75" s="95"/>
      <c r="G75" s="95"/>
      <c r="H75" s="96"/>
      <c r="I75" s="96"/>
      <c r="J75" s="96"/>
      <c r="K75" s="96"/>
    </row>
    <row r="76" spans="1:11" ht="12.75" x14ac:dyDescent="0.2">
      <c r="A76" s="95"/>
      <c r="B76" s="95"/>
      <c r="C76" s="95"/>
      <c r="D76" s="95"/>
      <c r="E76" s="95"/>
      <c r="F76" s="95"/>
      <c r="G76" s="95"/>
      <c r="H76" s="96"/>
      <c r="I76" s="96"/>
      <c r="J76" s="96"/>
      <c r="K76" s="96"/>
    </row>
    <row r="77" spans="1:11" ht="12.75" x14ac:dyDescent="0.2">
      <c r="A77" s="95"/>
      <c r="B77" s="95"/>
      <c r="C77" s="95"/>
      <c r="D77" s="95"/>
      <c r="E77" s="95"/>
      <c r="F77" s="95"/>
      <c r="G77" s="95"/>
      <c r="H77" s="96"/>
      <c r="I77" s="96"/>
      <c r="J77" s="96"/>
      <c r="K77" s="96"/>
    </row>
    <row r="78" spans="1:11" ht="12.75" x14ac:dyDescent="0.2">
      <c r="A78" s="95"/>
      <c r="B78" s="95"/>
      <c r="C78" s="95"/>
      <c r="D78" s="95"/>
      <c r="E78" s="95"/>
      <c r="F78" s="95"/>
      <c r="G78" s="95"/>
      <c r="H78" s="96"/>
      <c r="I78" s="96"/>
      <c r="J78" s="96"/>
      <c r="K78" s="96"/>
    </row>
    <row r="79" spans="1:11" ht="12.75" x14ac:dyDescent="0.2">
      <c r="A79" s="95"/>
      <c r="B79" s="95"/>
      <c r="C79" s="95"/>
      <c r="D79" s="95"/>
      <c r="E79" s="95"/>
      <c r="F79" s="95"/>
      <c r="G79" s="95"/>
      <c r="H79" s="96"/>
      <c r="I79" s="96"/>
      <c r="J79" s="96"/>
      <c r="K79" s="96"/>
    </row>
    <row r="80" spans="1:11" ht="12.75" x14ac:dyDescent="0.2">
      <c r="A80" s="95"/>
      <c r="B80" s="95"/>
      <c r="C80" s="95"/>
      <c r="D80" s="95"/>
      <c r="E80" s="95"/>
      <c r="F80" s="95"/>
      <c r="G80" s="95"/>
      <c r="H80" s="96"/>
      <c r="I80" s="96"/>
      <c r="J80" s="96"/>
      <c r="K80" s="96"/>
    </row>
    <row r="81" spans="1:11" ht="12.75" x14ac:dyDescent="0.2">
      <c r="A81" s="95"/>
      <c r="B81" s="95"/>
      <c r="C81" s="95"/>
      <c r="D81" s="95"/>
      <c r="E81" s="95"/>
      <c r="F81" s="95"/>
      <c r="G81" s="95"/>
      <c r="H81" s="96"/>
      <c r="I81" s="96"/>
      <c r="J81" s="96"/>
      <c r="K81" s="96"/>
    </row>
    <row r="82" spans="1:11" ht="12.75" x14ac:dyDescent="0.2">
      <c r="A82" s="95"/>
      <c r="B82" s="95"/>
      <c r="C82" s="95"/>
      <c r="D82" s="95"/>
      <c r="E82" s="95"/>
      <c r="F82" s="95"/>
      <c r="G82" s="95"/>
      <c r="H82" s="96"/>
      <c r="I82" s="96"/>
      <c r="J82" s="96"/>
      <c r="K82" s="96"/>
    </row>
    <row r="83" spans="1:11" ht="12.75" x14ac:dyDescent="0.2">
      <c r="A83" s="95"/>
      <c r="B83" s="95"/>
      <c r="C83" s="95"/>
      <c r="D83" s="95"/>
      <c r="E83" s="95"/>
      <c r="F83" s="95"/>
      <c r="G83" s="95"/>
      <c r="H83" s="96"/>
      <c r="I83" s="96"/>
      <c r="J83" s="96"/>
      <c r="K83" s="96"/>
    </row>
    <row r="84" spans="1:11" ht="12.75" x14ac:dyDescent="0.2">
      <c r="A84" s="95"/>
      <c r="B84" s="95"/>
      <c r="C84" s="95"/>
      <c r="D84" s="95"/>
      <c r="E84" s="95"/>
      <c r="F84" s="95"/>
      <c r="G84" s="95"/>
      <c r="H84" s="96"/>
      <c r="I84" s="96"/>
      <c r="J84" s="96"/>
      <c r="K84" s="96"/>
    </row>
    <row r="85" spans="1:11" ht="12.75" x14ac:dyDescent="0.2">
      <c r="A85" s="95"/>
      <c r="B85" s="95"/>
      <c r="C85" s="95"/>
      <c r="D85" s="95"/>
      <c r="E85" s="95"/>
      <c r="F85" s="95"/>
      <c r="G85" s="95"/>
      <c r="H85" s="96"/>
      <c r="I85" s="96"/>
      <c r="J85" s="96"/>
      <c r="K85" s="96"/>
    </row>
    <row r="86" spans="1:11" ht="12.75" x14ac:dyDescent="0.2">
      <c r="A86" s="95"/>
      <c r="B86" s="95"/>
      <c r="C86" s="95"/>
      <c r="D86" s="95"/>
      <c r="E86" s="95"/>
      <c r="F86" s="95"/>
      <c r="G86" s="95"/>
      <c r="H86" s="96"/>
      <c r="I86" s="96"/>
      <c r="J86" s="96"/>
      <c r="K86" s="96"/>
    </row>
    <row r="87" spans="1:11" ht="12.75" x14ac:dyDescent="0.2">
      <c r="A87" s="95"/>
      <c r="B87" s="95"/>
      <c r="C87" s="95"/>
      <c r="D87" s="95"/>
      <c r="E87" s="95"/>
      <c r="F87" s="95"/>
      <c r="G87" s="95"/>
      <c r="H87" s="96"/>
      <c r="I87" s="96"/>
      <c r="J87" s="96"/>
      <c r="K87" s="96"/>
    </row>
    <row r="88" spans="1:11" ht="12.75" x14ac:dyDescent="0.2">
      <c r="A88" s="95"/>
      <c r="B88" s="95"/>
      <c r="C88" s="95"/>
      <c r="D88" s="95"/>
      <c r="E88" s="95"/>
      <c r="F88" s="95"/>
      <c r="G88" s="95"/>
      <c r="H88" s="96"/>
      <c r="I88" s="96"/>
      <c r="J88" s="96"/>
      <c r="K88" s="96"/>
    </row>
    <row r="89" spans="1:11" ht="12.75" x14ac:dyDescent="0.2">
      <c r="A89" s="95"/>
      <c r="B89" s="95"/>
      <c r="C89" s="95"/>
      <c r="D89" s="95"/>
      <c r="E89" s="95"/>
      <c r="F89" s="95"/>
      <c r="G89" s="95"/>
      <c r="H89" s="96"/>
      <c r="I89" s="96"/>
      <c r="J89" s="96"/>
      <c r="K89" s="96"/>
    </row>
    <row r="90" spans="1:11" ht="12.75" x14ac:dyDescent="0.2">
      <c r="A90" s="95"/>
      <c r="B90" s="95"/>
      <c r="C90" s="95"/>
      <c r="D90" s="95"/>
      <c r="E90" s="95"/>
      <c r="F90" s="95"/>
      <c r="G90" s="95"/>
      <c r="H90" s="96"/>
      <c r="I90" s="96"/>
      <c r="J90" s="96"/>
      <c r="K90" s="96"/>
    </row>
    <row r="91" spans="1:11" ht="12.75" x14ac:dyDescent="0.2">
      <c r="A91" s="95"/>
      <c r="B91" s="95"/>
      <c r="C91" s="95"/>
      <c r="D91" s="95"/>
      <c r="E91" s="95"/>
      <c r="F91" s="95"/>
      <c r="G91" s="95"/>
      <c r="H91" s="96"/>
      <c r="I91" s="96"/>
      <c r="J91" s="96"/>
      <c r="K91" s="96"/>
    </row>
    <row r="92" spans="1:11" ht="12.75" x14ac:dyDescent="0.2">
      <c r="A92" s="95"/>
      <c r="B92" s="95"/>
      <c r="C92" s="95"/>
      <c r="D92" s="95"/>
      <c r="E92" s="95"/>
      <c r="F92" s="95"/>
      <c r="G92" s="95"/>
      <c r="H92" s="96"/>
      <c r="I92" s="96"/>
      <c r="J92" s="96"/>
      <c r="K92" s="96"/>
    </row>
    <row r="93" spans="1:11" ht="12.75" x14ac:dyDescent="0.2">
      <c r="A93" s="95"/>
      <c r="B93" s="95"/>
      <c r="C93" s="95"/>
      <c r="D93" s="95"/>
      <c r="E93" s="95"/>
      <c r="F93" s="95"/>
      <c r="G93" s="95"/>
      <c r="H93" s="96"/>
      <c r="I93" s="96"/>
      <c r="J93" s="96"/>
      <c r="K93" s="96"/>
    </row>
    <row r="94" spans="1:11" ht="12.75" x14ac:dyDescent="0.2">
      <c r="A94" s="95"/>
      <c r="B94" s="95"/>
      <c r="C94" s="95"/>
      <c r="D94" s="95"/>
      <c r="E94" s="95"/>
      <c r="F94" s="95"/>
      <c r="G94" s="95"/>
      <c r="H94" s="96"/>
      <c r="I94" s="96"/>
      <c r="J94" s="96"/>
      <c r="K94" s="96"/>
    </row>
    <row r="95" spans="1:11" ht="12.75" x14ac:dyDescent="0.2">
      <c r="A95" s="95"/>
      <c r="B95" s="95"/>
      <c r="C95" s="95"/>
      <c r="D95" s="95"/>
      <c r="E95" s="95"/>
      <c r="F95" s="95"/>
      <c r="G95" s="95"/>
      <c r="H95" s="96"/>
      <c r="I95" s="96"/>
      <c r="J95" s="96"/>
      <c r="K95" s="96"/>
    </row>
    <row r="96" spans="1:11" ht="12.75" x14ac:dyDescent="0.2">
      <c r="A96" s="95"/>
      <c r="B96" s="95"/>
      <c r="C96" s="95"/>
      <c r="D96" s="95"/>
      <c r="E96" s="95"/>
      <c r="F96" s="95"/>
      <c r="G96" s="95"/>
      <c r="H96" s="96"/>
      <c r="I96" s="96"/>
      <c r="J96" s="96"/>
      <c r="K96" s="96"/>
    </row>
    <row r="97" spans="1:11" ht="12.75" x14ac:dyDescent="0.2">
      <c r="A97" s="95"/>
      <c r="B97" s="95"/>
      <c r="C97" s="95"/>
      <c r="D97" s="95"/>
      <c r="E97" s="95"/>
      <c r="F97" s="95"/>
      <c r="G97" s="95"/>
      <c r="H97" s="96"/>
      <c r="I97" s="96"/>
      <c r="J97" s="96"/>
      <c r="K97" s="96"/>
    </row>
    <row r="98" spans="1:11" ht="12.75" x14ac:dyDescent="0.2">
      <c r="A98" s="95"/>
      <c r="B98" s="95"/>
      <c r="C98" s="95"/>
      <c r="D98" s="95"/>
      <c r="E98" s="95"/>
      <c r="F98" s="95"/>
      <c r="G98" s="95"/>
      <c r="H98" s="96"/>
      <c r="I98" s="96"/>
      <c r="J98" s="96"/>
      <c r="K98" s="96"/>
    </row>
    <row r="99" spans="1:11" ht="12.75" x14ac:dyDescent="0.2">
      <c r="A99" s="95"/>
      <c r="B99" s="95"/>
      <c r="C99" s="95"/>
      <c r="D99" s="95"/>
      <c r="E99" s="95"/>
      <c r="F99" s="95"/>
      <c r="G99" s="95"/>
      <c r="H99" s="96"/>
      <c r="I99" s="96"/>
      <c r="J99" s="96"/>
      <c r="K99" s="96"/>
    </row>
    <row r="100" spans="1:11" ht="12.75" x14ac:dyDescent="0.2">
      <c r="A100" s="95"/>
      <c r="B100" s="95"/>
      <c r="C100" s="95"/>
      <c r="D100" s="95"/>
      <c r="E100" s="95"/>
      <c r="F100" s="95"/>
      <c r="G100" s="95"/>
      <c r="H100" s="96"/>
      <c r="I100" s="96"/>
      <c r="J100" s="96"/>
      <c r="K100" s="96"/>
    </row>
    <row r="101" spans="1:11" ht="12.75" x14ac:dyDescent="0.2">
      <c r="A101" s="95"/>
      <c r="B101" s="95"/>
      <c r="C101" s="95"/>
      <c r="D101" s="95"/>
      <c r="E101" s="95"/>
      <c r="F101" s="95"/>
      <c r="G101" s="95"/>
      <c r="H101" s="96"/>
      <c r="I101" s="96"/>
      <c r="J101" s="96"/>
      <c r="K101" s="96"/>
    </row>
    <row r="102" spans="1:11" ht="12.75" x14ac:dyDescent="0.2">
      <c r="A102" s="95"/>
      <c r="B102" s="95"/>
      <c r="C102" s="95"/>
      <c r="D102" s="95"/>
      <c r="E102" s="95"/>
      <c r="F102" s="95"/>
      <c r="G102" s="95"/>
      <c r="H102" s="96"/>
      <c r="I102" s="96"/>
      <c r="J102" s="96"/>
      <c r="K102" s="96"/>
    </row>
    <row r="103" spans="1:11" ht="12.75" x14ac:dyDescent="0.2">
      <c r="A103" s="95"/>
      <c r="B103" s="95"/>
      <c r="C103" s="95"/>
      <c r="D103" s="95"/>
      <c r="E103" s="95"/>
      <c r="F103" s="95"/>
      <c r="G103" s="95"/>
      <c r="H103" s="96"/>
      <c r="I103" s="96"/>
      <c r="J103" s="96"/>
      <c r="K103" s="96"/>
    </row>
    <row r="104" spans="1:11" ht="12.75" x14ac:dyDescent="0.2">
      <c r="A104" s="95"/>
      <c r="B104" s="95"/>
      <c r="C104" s="95"/>
      <c r="D104" s="95"/>
      <c r="E104" s="95"/>
      <c r="F104" s="95"/>
      <c r="G104" s="95"/>
      <c r="H104" s="96"/>
      <c r="I104" s="96"/>
      <c r="J104" s="96"/>
      <c r="K104" s="96"/>
    </row>
    <row r="105" spans="1:11" ht="12.75" x14ac:dyDescent="0.2">
      <c r="A105" s="95"/>
      <c r="B105" s="95"/>
      <c r="C105" s="95"/>
      <c r="D105" s="95"/>
      <c r="E105" s="95"/>
      <c r="F105" s="95"/>
      <c r="G105" s="95"/>
      <c r="H105" s="96"/>
      <c r="I105" s="96"/>
      <c r="J105" s="96"/>
      <c r="K105" s="96"/>
    </row>
    <row r="106" spans="1:11" ht="12.75" x14ac:dyDescent="0.2">
      <c r="A106" s="95"/>
      <c r="B106" s="95"/>
      <c r="C106" s="95"/>
      <c r="D106" s="95"/>
      <c r="E106" s="95"/>
      <c r="F106" s="95"/>
      <c r="G106" s="95"/>
      <c r="H106" s="96"/>
      <c r="I106" s="96"/>
      <c r="J106" s="96"/>
      <c r="K106" s="96"/>
    </row>
    <row r="107" spans="1:11" ht="12.75" x14ac:dyDescent="0.2">
      <c r="A107" s="95"/>
      <c r="B107" s="95"/>
      <c r="C107" s="95"/>
      <c r="D107" s="95"/>
      <c r="E107" s="95"/>
      <c r="F107" s="95"/>
      <c r="G107" s="95"/>
      <c r="H107" s="96"/>
      <c r="I107" s="96"/>
      <c r="J107" s="96"/>
      <c r="K107" s="96"/>
    </row>
    <row r="108" spans="1:11" ht="12.75" x14ac:dyDescent="0.2">
      <c r="A108" s="95"/>
      <c r="B108" s="95"/>
      <c r="C108" s="95"/>
      <c r="D108" s="95"/>
      <c r="E108" s="95"/>
      <c r="F108" s="95"/>
      <c r="G108" s="95"/>
      <c r="H108" s="96"/>
      <c r="I108" s="96"/>
      <c r="J108" s="96"/>
      <c r="K108" s="96"/>
    </row>
    <row r="109" spans="1:11" ht="12.75" x14ac:dyDescent="0.2">
      <c r="A109" s="95"/>
      <c r="B109" s="95"/>
      <c r="C109" s="95"/>
      <c r="D109" s="95"/>
      <c r="E109" s="95"/>
      <c r="F109" s="95"/>
      <c r="G109" s="95"/>
      <c r="H109" s="96"/>
      <c r="I109" s="96"/>
      <c r="J109" s="96"/>
      <c r="K109" s="96"/>
    </row>
    <row r="110" spans="1:11" ht="12.75" x14ac:dyDescent="0.2">
      <c r="A110" s="95"/>
      <c r="B110" s="95"/>
      <c r="C110" s="95"/>
      <c r="D110" s="95"/>
      <c r="E110" s="95"/>
      <c r="F110" s="95"/>
      <c r="G110" s="95"/>
      <c r="H110" s="96"/>
      <c r="I110" s="96"/>
      <c r="J110" s="96"/>
      <c r="K110" s="96"/>
    </row>
    <row r="111" spans="1:11" ht="12.75" x14ac:dyDescent="0.2">
      <c r="A111" s="95"/>
      <c r="B111" s="95"/>
      <c r="C111" s="95"/>
      <c r="D111" s="95"/>
      <c r="E111" s="95"/>
      <c r="F111" s="95"/>
      <c r="G111" s="95"/>
      <c r="H111" s="96"/>
      <c r="I111" s="96"/>
      <c r="J111" s="96"/>
      <c r="K111" s="96"/>
    </row>
    <row r="112" spans="1:11" ht="12.75" x14ac:dyDescent="0.2">
      <c r="A112" s="95"/>
      <c r="B112" s="95"/>
      <c r="C112" s="95"/>
      <c r="D112" s="95"/>
      <c r="E112" s="95"/>
      <c r="F112" s="95"/>
      <c r="G112" s="95"/>
      <c r="H112" s="96"/>
      <c r="I112" s="96"/>
      <c r="J112" s="96"/>
      <c r="K112" s="96"/>
    </row>
    <row r="113" spans="1:11" ht="12.75" x14ac:dyDescent="0.2">
      <c r="A113" s="95"/>
      <c r="B113" s="95"/>
      <c r="C113" s="95"/>
      <c r="D113" s="95"/>
      <c r="E113" s="95"/>
      <c r="F113" s="95"/>
      <c r="G113" s="95"/>
      <c r="H113" s="96"/>
      <c r="I113" s="96"/>
      <c r="J113" s="96"/>
      <c r="K113" s="96"/>
    </row>
    <row r="114" spans="1:11" ht="12.75" x14ac:dyDescent="0.2">
      <c r="A114" s="95"/>
      <c r="B114" s="95"/>
      <c r="C114" s="95"/>
      <c r="D114" s="95"/>
      <c r="E114" s="95"/>
      <c r="F114" s="95"/>
      <c r="G114" s="95"/>
      <c r="H114" s="96"/>
      <c r="I114" s="96"/>
      <c r="J114" s="96"/>
      <c r="K114" s="96"/>
    </row>
    <row r="115" spans="1:11" ht="12.75" x14ac:dyDescent="0.2">
      <c r="A115" s="95"/>
      <c r="B115" s="95"/>
      <c r="C115" s="95"/>
      <c r="D115" s="95"/>
      <c r="E115" s="95"/>
      <c r="F115" s="95"/>
      <c r="G115" s="95"/>
      <c r="H115" s="96"/>
      <c r="I115" s="96"/>
      <c r="J115" s="96"/>
      <c r="K115" s="96"/>
    </row>
    <row r="116" spans="1:11" ht="12.75" x14ac:dyDescent="0.2">
      <c r="A116" s="95"/>
      <c r="B116" s="95"/>
      <c r="C116" s="95"/>
      <c r="D116" s="95"/>
      <c r="E116" s="95"/>
      <c r="F116" s="95"/>
      <c r="G116" s="95"/>
      <c r="H116" s="96"/>
      <c r="I116" s="96"/>
      <c r="J116" s="96"/>
      <c r="K116" s="96"/>
    </row>
    <row r="117" spans="1:11" ht="12.75" x14ac:dyDescent="0.2">
      <c r="A117" s="95"/>
      <c r="B117" s="95"/>
      <c r="C117" s="95"/>
      <c r="D117" s="95"/>
      <c r="E117" s="95"/>
      <c r="F117" s="95"/>
      <c r="G117" s="95"/>
      <c r="H117" s="96"/>
      <c r="I117" s="96"/>
      <c r="J117" s="96"/>
      <c r="K117" s="96"/>
    </row>
    <row r="118" spans="1:11" ht="12.75" x14ac:dyDescent="0.2">
      <c r="A118" s="95"/>
      <c r="B118" s="95"/>
      <c r="C118" s="95"/>
      <c r="D118" s="95"/>
      <c r="E118" s="95"/>
      <c r="F118" s="95"/>
      <c r="G118" s="95"/>
      <c r="H118" s="96"/>
      <c r="I118" s="96"/>
      <c r="J118" s="96"/>
      <c r="K118" s="96"/>
    </row>
    <row r="119" spans="1:11" ht="12.75" x14ac:dyDescent="0.2">
      <c r="A119" s="95"/>
      <c r="B119" s="95"/>
      <c r="C119" s="95"/>
      <c r="D119" s="95"/>
      <c r="E119" s="95"/>
      <c r="F119" s="95"/>
      <c r="G119" s="95"/>
      <c r="H119" s="96"/>
      <c r="I119" s="96"/>
      <c r="J119" s="96"/>
      <c r="K119" s="96"/>
    </row>
    <row r="120" spans="1:11" ht="12.75" x14ac:dyDescent="0.2">
      <c r="A120" s="95"/>
      <c r="B120" s="95"/>
      <c r="C120" s="95"/>
      <c r="D120" s="95"/>
      <c r="E120" s="95"/>
      <c r="F120" s="95"/>
      <c r="G120" s="95"/>
      <c r="H120" s="96"/>
      <c r="I120" s="96"/>
      <c r="J120" s="96"/>
      <c r="K120" s="96"/>
    </row>
    <row r="121" spans="1:11" ht="12.75" x14ac:dyDescent="0.2">
      <c r="A121" s="95"/>
      <c r="B121" s="95"/>
      <c r="C121" s="95"/>
      <c r="D121" s="95"/>
      <c r="E121" s="95"/>
      <c r="F121" s="95"/>
      <c r="G121" s="95"/>
      <c r="H121" s="96"/>
      <c r="I121" s="96"/>
      <c r="J121" s="96"/>
      <c r="K121" s="96"/>
    </row>
    <row r="122" spans="1:11" ht="12.75" x14ac:dyDescent="0.2">
      <c r="A122" s="95"/>
      <c r="B122" s="95"/>
      <c r="C122" s="95"/>
      <c r="D122" s="95"/>
      <c r="E122" s="95"/>
      <c r="F122" s="95"/>
      <c r="G122" s="95"/>
      <c r="H122" s="96"/>
      <c r="I122" s="96"/>
      <c r="J122" s="96"/>
      <c r="K122" s="96"/>
    </row>
    <row r="123" spans="1:11" ht="12.75" x14ac:dyDescent="0.2">
      <c r="A123" s="95"/>
      <c r="B123" s="95"/>
      <c r="C123" s="95"/>
      <c r="D123" s="95"/>
      <c r="E123" s="95"/>
      <c r="F123" s="95"/>
      <c r="G123" s="95"/>
      <c r="H123" s="96"/>
      <c r="I123" s="96"/>
      <c r="J123" s="96"/>
      <c r="K123" s="96"/>
    </row>
    <row r="124" spans="1:11" ht="12.75" x14ac:dyDescent="0.2">
      <c r="A124" s="95"/>
      <c r="B124" s="95"/>
      <c r="C124" s="95"/>
      <c r="D124" s="95"/>
      <c r="E124" s="95"/>
      <c r="F124" s="95"/>
      <c r="G124" s="95"/>
      <c r="H124" s="96"/>
      <c r="I124" s="96"/>
      <c r="J124" s="96"/>
      <c r="K124" s="96"/>
    </row>
    <row r="125" spans="1:11" ht="12.75" x14ac:dyDescent="0.2">
      <c r="A125" s="95"/>
      <c r="B125" s="95"/>
      <c r="C125" s="95"/>
      <c r="D125" s="95"/>
      <c r="E125" s="95"/>
      <c r="F125" s="95"/>
      <c r="G125" s="95"/>
      <c r="H125" s="96"/>
      <c r="I125" s="96"/>
      <c r="J125" s="96"/>
      <c r="K125" s="96"/>
    </row>
    <row r="126" spans="1:11" ht="12.75" x14ac:dyDescent="0.2">
      <c r="A126" s="95"/>
      <c r="B126" s="95"/>
      <c r="C126" s="95"/>
      <c r="D126" s="95"/>
      <c r="E126" s="95"/>
      <c r="F126" s="95"/>
      <c r="G126" s="95"/>
      <c r="H126" s="96"/>
      <c r="I126" s="96"/>
      <c r="J126" s="96"/>
      <c r="K126" s="96"/>
    </row>
    <row r="127" spans="1:11" ht="12.75" x14ac:dyDescent="0.2">
      <c r="A127" s="95"/>
      <c r="B127" s="95"/>
      <c r="C127" s="95"/>
      <c r="D127" s="95"/>
      <c r="E127" s="95"/>
      <c r="F127" s="95"/>
      <c r="G127" s="95"/>
      <c r="H127" s="96"/>
      <c r="I127" s="96"/>
      <c r="J127" s="96"/>
      <c r="K127" s="96"/>
    </row>
    <row r="128" spans="1:11" ht="12.75" x14ac:dyDescent="0.2">
      <c r="A128" s="95"/>
      <c r="B128" s="95"/>
      <c r="C128" s="95"/>
      <c r="D128" s="95"/>
      <c r="E128" s="95"/>
      <c r="F128" s="95"/>
      <c r="G128" s="95"/>
      <c r="H128" s="96"/>
      <c r="I128" s="96"/>
      <c r="J128" s="96"/>
      <c r="K128" s="96"/>
    </row>
    <row r="129" spans="1:11" ht="12.75" x14ac:dyDescent="0.2">
      <c r="A129" s="95"/>
      <c r="B129" s="95"/>
      <c r="C129" s="95"/>
      <c r="D129" s="95"/>
      <c r="E129" s="95"/>
      <c r="F129" s="95"/>
      <c r="G129" s="95"/>
      <c r="H129" s="96"/>
      <c r="I129" s="96"/>
      <c r="J129" s="96"/>
      <c r="K129" s="96"/>
    </row>
    <row r="130" spans="1:11" ht="12.75" x14ac:dyDescent="0.2">
      <c r="A130" s="95"/>
      <c r="B130" s="95"/>
      <c r="C130" s="95"/>
      <c r="D130" s="95"/>
      <c r="E130" s="95"/>
      <c r="F130" s="95"/>
      <c r="G130" s="95"/>
      <c r="H130" s="96"/>
      <c r="I130" s="96"/>
      <c r="J130" s="96"/>
      <c r="K130" s="96"/>
    </row>
    <row r="131" spans="1:11" ht="12.75" x14ac:dyDescent="0.2">
      <c r="A131" s="95"/>
      <c r="B131" s="95"/>
      <c r="C131" s="95"/>
      <c r="D131" s="95"/>
      <c r="E131" s="95"/>
      <c r="F131" s="95"/>
      <c r="G131" s="95"/>
      <c r="H131" s="96"/>
      <c r="I131" s="96"/>
      <c r="J131" s="96"/>
      <c r="K131" s="96"/>
    </row>
    <row r="132" spans="1:11" ht="12.75" x14ac:dyDescent="0.2">
      <c r="A132" s="95"/>
      <c r="B132" s="95"/>
      <c r="C132" s="95"/>
      <c r="D132" s="95"/>
      <c r="E132" s="95"/>
      <c r="F132" s="95"/>
      <c r="G132" s="95"/>
      <c r="H132" s="96"/>
      <c r="I132" s="96"/>
      <c r="J132" s="96"/>
      <c r="K132" s="96"/>
    </row>
    <row r="133" spans="1:11" ht="12.75" x14ac:dyDescent="0.2">
      <c r="A133" s="95"/>
      <c r="B133" s="95"/>
      <c r="C133" s="95"/>
      <c r="D133" s="95"/>
      <c r="E133" s="95"/>
      <c r="F133" s="95"/>
      <c r="G133" s="95"/>
      <c r="H133" s="96"/>
      <c r="I133" s="96"/>
      <c r="J133" s="96"/>
      <c r="K133" s="96"/>
    </row>
    <row r="134" spans="1:11" ht="12.75" x14ac:dyDescent="0.2">
      <c r="A134" s="95"/>
      <c r="B134" s="95"/>
      <c r="C134" s="95"/>
      <c r="D134" s="95"/>
      <c r="E134" s="95"/>
      <c r="F134" s="95"/>
      <c r="G134" s="95"/>
      <c r="H134" s="96"/>
      <c r="I134" s="96"/>
      <c r="J134" s="96"/>
      <c r="K134" s="96"/>
    </row>
    <row r="135" spans="1:11" ht="12.75" x14ac:dyDescent="0.2">
      <c r="A135" s="95"/>
      <c r="B135" s="95"/>
      <c r="C135" s="95"/>
      <c r="D135" s="95"/>
      <c r="E135" s="95"/>
      <c r="F135" s="95"/>
      <c r="G135" s="95"/>
      <c r="H135" s="96"/>
      <c r="I135" s="96"/>
      <c r="J135" s="96"/>
      <c r="K135" s="96"/>
    </row>
    <row r="136" spans="1:11" ht="12.75" x14ac:dyDescent="0.2">
      <c r="A136" s="95"/>
      <c r="B136" s="95"/>
      <c r="C136" s="95"/>
      <c r="D136" s="95"/>
      <c r="E136" s="95"/>
      <c r="F136" s="95"/>
      <c r="G136" s="95"/>
      <c r="H136" s="96"/>
      <c r="I136" s="96"/>
      <c r="J136" s="96"/>
      <c r="K136" s="96"/>
    </row>
    <row r="137" spans="1:11" ht="12.75" x14ac:dyDescent="0.2">
      <c r="A137" s="95"/>
      <c r="B137" s="95"/>
      <c r="C137" s="95"/>
      <c r="D137" s="95"/>
      <c r="E137" s="95"/>
      <c r="F137" s="95"/>
      <c r="G137" s="95"/>
      <c r="H137" s="96"/>
      <c r="I137" s="96"/>
      <c r="J137" s="96"/>
      <c r="K137" s="96"/>
    </row>
    <row r="138" spans="1:11" ht="12.75" x14ac:dyDescent="0.2">
      <c r="A138" s="95"/>
      <c r="B138" s="95"/>
      <c r="C138" s="95"/>
      <c r="D138" s="95"/>
      <c r="E138" s="95"/>
      <c r="F138" s="95"/>
      <c r="G138" s="95"/>
      <c r="H138" s="96"/>
      <c r="I138" s="96"/>
      <c r="J138" s="96"/>
      <c r="K138" s="96"/>
    </row>
    <row r="139" spans="1:11" ht="12.75" x14ac:dyDescent="0.2">
      <c r="A139" s="95"/>
      <c r="B139" s="95"/>
      <c r="C139" s="95"/>
      <c r="D139" s="95"/>
      <c r="E139" s="95"/>
      <c r="F139" s="95"/>
      <c r="G139" s="95"/>
      <c r="H139" s="96"/>
      <c r="I139" s="96"/>
      <c r="J139" s="96"/>
      <c r="K139" s="96"/>
    </row>
    <row r="140" spans="1:11" ht="12.75" x14ac:dyDescent="0.2">
      <c r="A140" s="95"/>
      <c r="B140" s="95"/>
      <c r="C140" s="95"/>
      <c r="D140" s="95"/>
      <c r="E140" s="95"/>
      <c r="F140" s="95"/>
      <c r="G140" s="95"/>
      <c r="H140" s="96"/>
      <c r="I140" s="96"/>
      <c r="J140" s="96"/>
      <c r="K140" s="96"/>
    </row>
    <row r="141" spans="1:11" ht="12.75" x14ac:dyDescent="0.2">
      <c r="A141" s="95"/>
      <c r="B141" s="95"/>
      <c r="C141" s="95"/>
      <c r="D141" s="95"/>
      <c r="E141" s="95"/>
      <c r="F141" s="95"/>
      <c r="G141" s="95"/>
      <c r="H141" s="96"/>
      <c r="I141" s="96"/>
      <c r="J141" s="96"/>
      <c r="K141" s="96"/>
    </row>
    <row r="142" spans="1:11" ht="12.75" x14ac:dyDescent="0.2">
      <c r="A142" s="95"/>
      <c r="B142" s="95"/>
      <c r="C142" s="95"/>
      <c r="D142" s="95"/>
      <c r="E142" s="95"/>
      <c r="F142" s="95"/>
      <c r="G142" s="95"/>
      <c r="H142" s="96"/>
      <c r="I142" s="96"/>
      <c r="J142" s="96"/>
      <c r="K142" s="96"/>
    </row>
    <row r="143" spans="1:11" ht="12.75" x14ac:dyDescent="0.2">
      <c r="A143" s="95"/>
      <c r="B143" s="95"/>
      <c r="C143" s="95"/>
      <c r="D143" s="95"/>
      <c r="E143" s="95"/>
      <c r="F143" s="95"/>
      <c r="G143" s="95"/>
      <c r="H143" s="96"/>
      <c r="I143" s="96"/>
      <c r="J143" s="96"/>
      <c r="K143" s="96"/>
    </row>
    <row r="144" spans="1:11" ht="12.75" x14ac:dyDescent="0.2">
      <c r="A144" s="95"/>
      <c r="B144" s="95"/>
      <c r="C144" s="95"/>
      <c r="D144" s="95"/>
      <c r="E144" s="95"/>
      <c r="F144" s="95"/>
      <c r="G144" s="95"/>
      <c r="H144" s="96"/>
      <c r="I144" s="96"/>
      <c r="J144" s="96"/>
      <c r="K144" s="96"/>
    </row>
    <row r="145" spans="1:11" ht="12.75" x14ac:dyDescent="0.2">
      <c r="A145" s="95"/>
      <c r="B145" s="95"/>
      <c r="C145" s="95"/>
      <c r="D145" s="95"/>
      <c r="E145" s="95"/>
      <c r="F145" s="95"/>
      <c r="G145" s="95"/>
      <c r="H145" s="96"/>
      <c r="I145" s="96"/>
      <c r="J145" s="96"/>
      <c r="K145" s="96"/>
    </row>
    <row r="146" spans="1:11" ht="12.75" x14ac:dyDescent="0.2">
      <c r="A146" s="95"/>
      <c r="B146" s="95"/>
      <c r="C146" s="95"/>
      <c r="D146" s="95"/>
      <c r="E146" s="95"/>
      <c r="F146" s="95"/>
      <c r="G146" s="95"/>
      <c r="H146" s="96"/>
      <c r="I146" s="96"/>
      <c r="J146" s="96"/>
      <c r="K146" s="96"/>
    </row>
    <row r="147" spans="1:11" ht="12.75" x14ac:dyDescent="0.2"/>
    <row r="148" spans="1:11" ht="12.75" x14ac:dyDescent="0.2"/>
    <row r="149" spans="1:11" ht="12.75" x14ac:dyDescent="0.2"/>
    <row r="150" spans="1:11" ht="12.75" x14ac:dyDescent="0.2"/>
    <row r="151" spans="1:11" ht="12.75" x14ac:dyDescent="0.2"/>
  </sheetData>
  <sheetProtection selectLockedCells="1"/>
  <mergeCells count="37">
    <mergeCell ref="H35:J35"/>
    <mergeCell ref="H41:J41"/>
    <mergeCell ref="H42:J42"/>
    <mergeCell ref="H45:J45"/>
    <mergeCell ref="H36:J36"/>
    <mergeCell ref="H37:J37"/>
    <mergeCell ref="H38:J38"/>
    <mergeCell ref="H39:J39"/>
    <mergeCell ref="H40:J40"/>
    <mergeCell ref="B1:F2"/>
    <mergeCell ref="G1:K2"/>
    <mergeCell ref="A30:F30"/>
    <mergeCell ref="C28:G29"/>
    <mergeCell ref="H28:K29"/>
    <mergeCell ref="H30:J30"/>
    <mergeCell ref="A26:F26"/>
    <mergeCell ref="A21:F21"/>
    <mergeCell ref="A22:F22"/>
    <mergeCell ref="A23:F23"/>
    <mergeCell ref="A25:F25"/>
    <mergeCell ref="A31:F31"/>
    <mergeCell ref="H31:J31"/>
    <mergeCell ref="A32:F32"/>
    <mergeCell ref="A33:F33"/>
    <mergeCell ref="A34:F34"/>
    <mergeCell ref="H32:J32"/>
    <mergeCell ref="H33:J33"/>
    <mergeCell ref="H34:J34"/>
    <mergeCell ref="A35:F35"/>
    <mergeCell ref="A36:F36"/>
    <mergeCell ref="A44:F44"/>
    <mergeCell ref="A42:F42"/>
    <mergeCell ref="A37:F37"/>
    <mergeCell ref="A38:F38"/>
    <mergeCell ref="A39:F39"/>
    <mergeCell ref="A40:E40"/>
    <mergeCell ref="A41:F41"/>
  </mergeCells>
  <conditionalFormatting sqref="G45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rintOptions horizontalCentered="1"/>
  <pageMargins left="0.25" right="0.25" top="0.25" bottom="0.25" header="0.2" footer="0.2"/>
  <pageSetup scale="39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Control Panel</vt:lpstr>
      <vt:lpstr>Income Statement</vt:lpstr>
      <vt:lpstr>Balance Sheet</vt:lpstr>
      <vt:lpstr>Assumptions</vt:lpstr>
      <vt:lpstr>WACC Model</vt:lpstr>
      <vt:lpstr>DCF</vt:lpstr>
      <vt:lpstr>ticker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Valuation</dc:title>
  <dc:creator>Intrinio</dc:creator>
  <cp:lastModifiedBy>Joey French</cp:lastModifiedBy>
  <dcterms:created xsi:type="dcterms:W3CDTF">2014-03-08T02:46:06Z</dcterms:created>
  <dcterms:modified xsi:type="dcterms:W3CDTF">2016-01-12T05:34:27Z</dcterms:modified>
</cp:coreProperties>
</file>