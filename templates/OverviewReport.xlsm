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ntrinio\Dropbox\Projects\Intrinio Excel Addin\Templates\"/>
    </mc:Choice>
  </mc:AlternateContent>
  <bookViews>
    <workbookView xWindow="0" yWindow="0" windowWidth="21600" windowHeight="8805"/>
  </bookViews>
  <sheets>
    <sheet name="Control Panel" sheetId="7" r:id="rId1"/>
    <sheet name="Profile" sheetId="1" r:id="rId2"/>
    <sheet name="Key Items" sheetId="3" r:id="rId3"/>
    <sheet name="Key Estimates" sheetId="8" r:id="rId4"/>
    <sheet name="Income Metrics" sheetId="10" r:id="rId5"/>
    <sheet name="ROIC Metrics" sheetId="16" r:id="rId6"/>
    <sheet name="NWC Metrics" sheetId="18" r:id="rId7"/>
    <sheet name="Debt Metrics" sheetId="13" r:id="rId8"/>
    <sheet name="DCF" sheetId="9" r:id="rId9"/>
    <sheet name="Comps Overview" sheetId="12" r:id="rId10"/>
    <sheet name="Income Comps" sheetId="11" r:id="rId11"/>
    <sheet name="ROIC Comps" sheetId="17" r:id="rId12"/>
    <sheet name="NWC Comps" sheetId="19" r:id="rId13"/>
    <sheet name="Debt Comps" sheetId="14" r:id="rId14"/>
  </sheets>
  <externalReferences>
    <externalReference r:id="rId15"/>
  </externalReferences>
  <definedNames>
    <definedName name="comp1">'Control Panel'!$C$12</definedName>
    <definedName name="comp2">'Control Panel'!$C$13</definedName>
    <definedName name="comp3">'Control Panel'!$C$14</definedName>
    <definedName name="comp4">'Control Panel'!$C$15</definedName>
    <definedName name="comp5">'Control Panel'!$C$16</definedName>
    <definedName name="last_price">Profile!$M$21</definedName>
    <definedName name="name">'Control Panel'!$C$8</definedName>
    <definedName name="_xlnm.Print_Area" localSheetId="9">'Comps Overview'!$A$1:$J$18</definedName>
    <definedName name="_xlnm.Print_Area" localSheetId="0">'Control Panel'!$A$1:$G$17</definedName>
    <definedName name="_xlnm.Print_Area" localSheetId="8">DCF!$A$1:$J$41</definedName>
    <definedName name="_xlnm.Print_Area" localSheetId="13">'Debt Comps'!$A$1:$K$27</definedName>
    <definedName name="_xlnm.Print_Area" localSheetId="7">'Debt Metrics'!$A$1:$L$27</definedName>
    <definedName name="_xlnm.Print_Area" localSheetId="10">'Income Comps'!$A$1:$K$24</definedName>
    <definedName name="_xlnm.Print_Area" localSheetId="4">'Income Metrics'!$A$1:$L$28</definedName>
    <definedName name="_xlnm.Print_Area" localSheetId="3">'Key Estimates'!$A$1:$M$20</definedName>
    <definedName name="_xlnm.Print_Area" localSheetId="2">'Key Items'!$A$1:$K$26</definedName>
    <definedName name="_xlnm.Print_Area" localSheetId="12">'NWC Comps'!$A$1:$K$27</definedName>
    <definedName name="_xlnm.Print_Area" localSheetId="6">'NWC Metrics'!$A$1:$L$29</definedName>
    <definedName name="_xlnm.Print_Area" localSheetId="1">Profile!$A$1:$N$37</definedName>
    <definedName name="_xlnm.Print_Area" localSheetId="11">'ROIC Comps'!$A$1:$K$26</definedName>
    <definedName name="_xlnm.Print_Area" localSheetId="5">'ROIC Metrics'!$A$1:$L$29</definedName>
    <definedName name="report_date">'Control Panel'!$C$10</definedName>
    <definedName name="rounding">"M"</definedName>
    <definedName name="ticker">'Control Panel'!$C$5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2" l="1"/>
  <c r="C16" i="12"/>
  <c r="C14" i="12"/>
  <c r="C12" i="12"/>
  <c r="C10" i="12"/>
  <c r="C8" i="12"/>
  <c r="G36" i="9"/>
  <c r="G37" i="9"/>
  <c r="H32" i="14"/>
  <c r="H3" i="14"/>
  <c r="H17" i="14"/>
  <c r="G32" i="14"/>
  <c r="G3" i="14"/>
  <c r="G17" i="14"/>
  <c r="F32" i="14"/>
  <c r="F3" i="14"/>
  <c r="F17" i="14"/>
  <c r="E32" i="14"/>
  <c r="E3" i="14"/>
  <c r="E17" i="14"/>
  <c r="D32" i="14"/>
  <c r="D3" i="14"/>
  <c r="D17" i="14"/>
  <c r="C3" i="14"/>
  <c r="C17" i="14"/>
  <c r="H16" i="14"/>
  <c r="G16" i="14"/>
  <c r="F16" i="14"/>
  <c r="E16" i="14"/>
  <c r="D16" i="14"/>
  <c r="C16" i="14"/>
  <c r="H14" i="14"/>
  <c r="G14" i="14"/>
  <c r="F14" i="14"/>
  <c r="E14" i="14"/>
  <c r="D14" i="14"/>
  <c r="C14" i="14"/>
  <c r="H13" i="14"/>
  <c r="G13" i="14"/>
  <c r="F13" i="14"/>
  <c r="E13" i="14"/>
  <c r="D13" i="14"/>
  <c r="C13" i="14"/>
  <c r="H11" i="14"/>
  <c r="G11" i="14"/>
  <c r="F11" i="14"/>
  <c r="E11" i="14"/>
  <c r="D11" i="14"/>
  <c r="C11" i="14"/>
  <c r="H9" i="14"/>
  <c r="G9" i="14"/>
  <c r="F9" i="14"/>
  <c r="E9" i="14"/>
  <c r="D9" i="14"/>
  <c r="C9" i="14"/>
  <c r="H8" i="14"/>
  <c r="G8" i="14"/>
  <c r="F8" i="14"/>
  <c r="E8" i="14"/>
  <c r="D8" i="14"/>
  <c r="C8" i="14"/>
  <c r="H7" i="14"/>
  <c r="G7" i="14"/>
  <c r="F7" i="14"/>
  <c r="E7" i="14"/>
  <c r="D7" i="14"/>
  <c r="C7" i="14"/>
  <c r="H6" i="14"/>
  <c r="G6" i="14"/>
  <c r="F6" i="14"/>
  <c r="E6" i="14"/>
  <c r="D6" i="14"/>
  <c r="C6" i="14"/>
  <c r="H5" i="14"/>
  <c r="G5" i="14"/>
  <c r="F5" i="14"/>
  <c r="E5" i="14"/>
  <c r="D5" i="14"/>
  <c r="C5" i="14"/>
  <c r="H30" i="19"/>
  <c r="H3" i="19"/>
  <c r="H15" i="19"/>
  <c r="G30" i="19"/>
  <c r="G3" i="19"/>
  <c r="G15" i="19"/>
  <c r="F30" i="19"/>
  <c r="F3" i="19"/>
  <c r="F15" i="19"/>
  <c r="E30" i="19"/>
  <c r="E3" i="19"/>
  <c r="E15" i="19"/>
  <c r="D30" i="19"/>
  <c r="D3" i="19"/>
  <c r="D15" i="19"/>
  <c r="C3" i="19"/>
  <c r="C15" i="19"/>
  <c r="H14" i="19"/>
  <c r="G14" i="19"/>
  <c r="F14" i="19"/>
  <c r="E14" i="19"/>
  <c r="D14" i="19"/>
  <c r="C14" i="19"/>
  <c r="H13" i="19"/>
  <c r="G13" i="19"/>
  <c r="F13" i="19"/>
  <c r="E13" i="19"/>
  <c r="D13" i="19"/>
  <c r="C13" i="19"/>
  <c r="H12" i="19"/>
  <c r="G12" i="19"/>
  <c r="F12" i="19"/>
  <c r="E12" i="19"/>
  <c r="D12" i="19"/>
  <c r="C12" i="19"/>
  <c r="H11" i="19"/>
  <c r="G11" i="19"/>
  <c r="F11" i="19"/>
  <c r="E11" i="19"/>
  <c r="D11" i="19"/>
  <c r="C11" i="19"/>
  <c r="H8" i="19"/>
  <c r="G8" i="19"/>
  <c r="F8" i="19"/>
  <c r="E8" i="19"/>
  <c r="D8" i="19"/>
  <c r="C8" i="19"/>
  <c r="H7" i="19"/>
  <c r="G7" i="19"/>
  <c r="F7" i="19"/>
  <c r="E7" i="19"/>
  <c r="D7" i="19"/>
  <c r="C7" i="19"/>
  <c r="H6" i="19"/>
  <c r="G6" i="19"/>
  <c r="F6" i="19"/>
  <c r="E6" i="19"/>
  <c r="D6" i="19"/>
  <c r="C6" i="19"/>
  <c r="H5" i="19"/>
  <c r="G5" i="19"/>
  <c r="F5" i="19"/>
  <c r="E5" i="19"/>
  <c r="D5" i="19"/>
  <c r="C5" i="19"/>
  <c r="H29" i="17"/>
  <c r="H3" i="17"/>
  <c r="H14" i="17"/>
  <c r="G29" i="17"/>
  <c r="G3" i="17"/>
  <c r="G14" i="17"/>
  <c r="F29" i="17"/>
  <c r="F3" i="17"/>
  <c r="F14" i="17"/>
  <c r="E29" i="17"/>
  <c r="E3" i="17"/>
  <c r="E14" i="17"/>
  <c r="D29" i="17"/>
  <c r="D3" i="17"/>
  <c r="D14" i="17"/>
  <c r="C3" i="17"/>
  <c r="C14" i="17"/>
  <c r="H13" i="17"/>
  <c r="G13" i="17"/>
  <c r="F13" i="17"/>
  <c r="E13" i="17"/>
  <c r="D13" i="17"/>
  <c r="C13" i="17"/>
  <c r="H12" i="17"/>
  <c r="G12" i="17"/>
  <c r="F12" i="17"/>
  <c r="E12" i="17"/>
  <c r="D12" i="17"/>
  <c r="C12" i="17"/>
  <c r="H11" i="17"/>
  <c r="G11" i="17"/>
  <c r="F11" i="17"/>
  <c r="E11" i="17"/>
  <c r="D11" i="17"/>
  <c r="C11" i="17"/>
  <c r="H10" i="17"/>
  <c r="G10" i="17"/>
  <c r="F10" i="17"/>
  <c r="E10" i="17"/>
  <c r="D10" i="17"/>
  <c r="C10" i="17"/>
  <c r="H7" i="17"/>
  <c r="G7" i="17"/>
  <c r="F7" i="17"/>
  <c r="E7" i="17"/>
  <c r="D7" i="17"/>
  <c r="C7" i="17"/>
  <c r="H6" i="17"/>
  <c r="G6" i="17"/>
  <c r="F6" i="17"/>
  <c r="E6" i="17"/>
  <c r="D6" i="17"/>
  <c r="C6" i="17"/>
  <c r="H5" i="17"/>
  <c r="G5" i="17"/>
  <c r="F5" i="17"/>
  <c r="E5" i="17"/>
  <c r="D5" i="17"/>
  <c r="C5" i="17"/>
  <c r="H28" i="11"/>
  <c r="H12" i="11"/>
  <c r="H24" i="11"/>
  <c r="G28" i="11"/>
  <c r="G12" i="11"/>
  <c r="G24" i="11"/>
  <c r="F28" i="11"/>
  <c r="F12" i="11"/>
  <c r="F24" i="11"/>
  <c r="E28" i="11"/>
  <c r="E12" i="11"/>
  <c r="E24" i="11"/>
  <c r="D28" i="11"/>
  <c r="D12" i="11"/>
  <c r="D24" i="11"/>
  <c r="C12" i="11"/>
  <c r="C24" i="11"/>
  <c r="H23" i="11"/>
  <c r="G23" i="11"/>
  <c r="F23" i="11"/>
  <c r="E23" i="11"/>
  <c r="D23" i="11"/>
  <c r="C23" i="11"/>
  <c r="H22" i="11"/>
  <c r="G22" i="11"/>
  <c r="F22" i="11"/>
  <c r="E22" i="11"/>
  <c r="D22" i="11"/>
  <c r="C22" i="11"/>
  <c r="H21" i="11"/>
  <c r="G21" i="11"/>
  <c r="F21" i="11"/>
  <c r="E21" i="11"/>
  <c r="D21" i="11"/>
  <c r="C21" i="11"/>
  <c r="H20" i="11"/>
  <c r="G20" i="11"/>
  <c r="F20" i="11"/>
  <c r="E20" i="11"/>
  <c r="D20" i="11"/>
  <c r="C20" i="11"/>
  <c r="H19" i="11"/>
  <c r="G19" i="11"/>
  <c r="F19" i="11"/>
  <c r="E19" i="11"/>
  <c r="D19" i="11"/>
  <c r="C19" i="11"/>
  <c r="H18" i="11"/>
  <c r="G18" i="11"/>
  <c r="F18" i="11"/>
  <c r="E18" i="11"/>
  <c r="D18" i="11"/>
  <c r="C18" i="11"/>
  <c r="H17" i="11"/>
  <c r="G17" i="11"/>
  <c r="F17" i="11"/>
  <c r="E17" i="11"/>
  <c r="D17" i="11"/>
  <c r="C17" i="11"/>
  <c r="H16" i="11"/>
  <c r="G16" i="11"/>
  <c r="F16" i="11"/>
  <c r="E16" i="11"/>
  <c r="D16" i="11"/>
  <c r="C16" i="11"/>
  <c r="H15" i="11"/>
  <c r="G15" i="11"/>
  <c r="F15" i="11"/>
  <c r="E15" i="11"/>
  <c r="D15" i="11"/>
  <c r="C15" i="11"/>
  <c r="H14" i="11"/>
  <c r="G14" i="11"/>
  <c r="F14" i="11"/>
  <c r="E14" i="11"/>
  <c r="D14" i="11"/>
  <c r="C14" i="11"/>
  <c r="H13" i="11"/>
  <c r="G13" i="11"/>
  <c r="F13" i="11"/>
  <c r="E13" i="11"/>
  <c r="D13" i="11"/>
  <c r="C13" i="11"/>
  <c r="B17" i="12"/>
  <c r="I16" i="12"/>
  <c r="H16" i="12"/>
  <c r="G16" i="12"/>
  <c r="F16" i="12"/>
  <c r="E16" i="12"/>
  <c r="D16" i="12"/>
  <c r="B16" i="12"/>
  <c r="B15" i="12"/>
  <c r="I14" i="12"/>
  <c r="H14" i="12"/>
  <c r="G14" i="12"/>
  <c r="F14" i="12"/>
  <c r="E14" i="12"/>
  <c r="D14" i="12"/>
  <c r="B14" i="12"/>
  <c r="B13" i="12"/>
  <c r="I12" i="12"/>
  <c r="H12" i="12"/>
  <c r="G12" i="12"/>
  <c r="F12" i="12"/>
  <c r="E12" i="12"/>
  <c r="D12" i="12"/>
  <c r="B12" i="12"/>
  <c r="B11" i="12"/>
  <c r="I10" i="12"/>
  <c r="H10" i="12"/>
  <c r="G10" i="12"/>
  <c r="F10" i="12"/>
  <c r="E10" i="12"/>
  <c r="D10" i="12"/>
  <c r="B10" i="12"/>
  <c r="B9" i="12"/>
  <c r="I8" i="12"/>
  <c r="H8" i="12"/>
  <c r="G8" i="12"/>
  <c r="F8" i="12"/>
  <c r="E8" i="12"/>
  <c r="D8" i="12"/>
  <c r="B8" i="12"/>
  <c r="B7" i="12"/>
  <c r="I6" i="12"/>
  <c r="H6" i="12"/>
  <c r="G6" i="12"/>
  <c r="F6" i="12"/>
  <c r="E6" i="12"/>
  <c r="D6" i="12"/>
  <c r="B6" i="12"/>
  <c r="D40" i="9"/>
  <c r="G39" i="9"/>
  <c r="J38" i="9"/>
  <c r="J37" i="9"/>
  <c r="D37" i="9"/>
  <c r="J36" i="9"/>
  <c r="D34" i="9"/>
  <c r="D33" i="9"/>
  <c r="H31" i="9"/>
  <c r="H30" i="9"/>
  <c r="C12" i="9"/>
  <c r="C15" i="9"/>
  <c r="C6" i="9"/>
  <c r="C13" i="9"/>
  <c r="H13" i="9"/>
  <c r="C9" i="9"/>
  <c r="C10" i="9"/>
  <c r="H10" i="9"/>
  <c r="H7" i="9"/>
  <c r="E7" i="9"/>
  <c r="D7" i="9"/>
  <c r="C7" i="9"/>
  <c r="H4" i="9"/>
  <c r="G4" i="9"/>
  <c r="F4" i="9"/>
  <c r="E4" i="9"/>
  <c r="D4" i="9"/>
  <c r="C4" i="9"/>
  <c r="C3" i="9"/>
  <c r="G30" i="13"/>
  <c r="G29" i="13"/>
  <c r="K18" i="13"/>
  <c r="J29" i="13"/>
  <c r="J30" i="13"/>
  <c r="J18" i="13"/>
  <c r="I29" i="13"/>
  <c r="I30" i="13"/>
  <c r="I18" i="13"/>
  <c r="H29" i="13"/>
  <c r="H30" i="13"/>
  <c r="H18" i="13"/>
  <c r="G18" i="13"/>
  <c r="F30" i="13"/>
  <c r="F18" i="13"/>
  <c r="E30" i="13"/>
  <c r="E29" i="13"/>
  <c r="E18" i="13"/>
  <c r="D30" i="13"/>
  <c r="D29" i="13"/>
  <c r="D18" i="13"/>
  <c r="C30" i="13"/>
  <c r="C29" i="13"/>
  <c r="C18" i="13"/>
  <c r="K17" i="13"/>
  <c r="J17" i="13"/>
  <c r="I17" i="13"/>
  <c r="H17" i="13"/>
  <c r="G17" i="13"/>
  <c r="F17" i="13"/>
  <c r="E17" i="13"/>
  <c r="D17" i="13"/>
  <c r="C17" i="13"/>
  <c r="K15" i="13"/>
  <c r="J15" i="13"/>
  <c r="I15" i="13"/>
  <c r="H15" i="13"/>
  <c r="G15" i="13"/>
  <c r="F15" i="13"/>
  <c r="E15" i="13"/>
  <c r="D15" i="13"/>
  <c r="C15" i="13"/>
  <c r="K14" i="13"/>
  <c r="J14" i="13"/>
  <c r="I14" i="13"/>
  <c r="H14" i="13"/>
  <c r="G14" i="13"/>
  <c r="F14" i="13"/>
  <c r="E14" i="13"/>
  <c r="D14" i="13"/>
  <c r="C14" i="13"/>
  <c r="K12" i="13"/>
  <c r="J12" i="13"/>
  <c r="I12" i="13"/>
  <c r="H12" i="13"/>
  <c r="G12" i="13"/>
  <c r="F12" i="13"/>
  <c r="E12" i="13"/>
  <c r="D12" i="13"/>
  <c r="C12" i="13"/>
  <c r="K10" i="13"/>
  <c r="J10" i="13"/>
  <c r="I10" i="13"/>
  <c r="H10" i="13"/>
  <c r="G10" i="13"/>
  <c r="F10" i="13"/>
  <c r="E10" i="13"/>
  <c r="D10" i="13"/>
  <c r="C10" i="13"/>
  <c r="K9" i="13"/>
  <c r="J9" i="13"/>
  <c r="I9" i="13"/>
  <c r="H9" i="13"/>
  <c r="G9" i="13"/>
  <c r="F9" i="13"/>
  <c r="E9" i="13"/>
  <c r="D9" i="13"/>
  <c r="C9" i="13"/>
  <c r="K8" i="13"/>
  <c r="J8" i="13"/>
  <c r="I8" i="13"/>
  <c r="H8" i="13"/>
  <c r="G8" i="13"/>
  <c r="F8" i="13"/>
  <c r="E8" i="13"/>
  <c r="D8" i="13"/>
  <c r="C8" i="13"/>
  <c r="K7" i="13"/>
  <c r="J7" i="13"/>
  <c r="I7" i="13"/>
  <c r="H7" i="13"/>
  <c r="G7" i="13"/>
  <c r="F7" i="13"/>
  <c r="E7" i="13"/>
  <c r="D7" i="13"/>
  <c r="C7" i="13"/>
  <c r="K6" i="13"/>
  <c r="J6" i="13"/>
  <c r="I6" i="13"/>
  <c r="H6" i="13"/>
  <c r="G6" i="13"/>
  <c r="F6" i="13"/>
  <c r="E6" i="13"/>
  <c r="D6" i="13"/>
  <c r="C6" i="13"/>
  <c r="K4" i="13"/>
  <c r="J4" i="13"/>
  <c r="I4" i="13"/>
  <c r="H4" i="13"/>
  <c r="F4" i="13"/>
  <c r="E4" i="13"/>
  <c r="D4" i="13"/>
  <c r="C4" i="13"/>
  <c r="G31" i="18"/>
  <c r="G30" i="18"/>
  <c r="K16" i="18"/>
  <c r="J30" i="18"/>
  <c r="J31" i="18"/>
  <c r="J16" i="18"/>
  <c r="I30" i="18"/>
  <c r="I31" i="18"/>
  <c r="I16" i="18"/>
  <c r="H30" i="18"/>
  <c r="H31" i="18"/>
  <c r="H16" i="18"/>
  <c r="G16" i="18"/>
  <c r="F31" i="18"/>
  <c r="F16" i="18"/>
  <c r="E31" i="18"/>
  <c r="E30" i="18"/>
  <c r="E16" i="18"/>
  <c r="D31" i="18"/>
  <c r="D30" i="18"/>
  <c r="D16" i="18"/>
  <c r="C31" i="18"/>
  <c r="C30" i="18"/>
  <c r="C16" i="18"/>
  <c r="K15" i="18"/>
  <c r="J15" i="18"/>
  <c r="I15" i="18"/>
  <c r="H15" i="18"/>
  <c r="G15" i="18"/>
  <c r="F15" i="18"/>
  <c r="E15" i="18"/>
  <c r="D15" i="18"/>
  <c r="C15" i="18"/>
  <c r="K14" i="18"/>
  <c r="J14" i="18"/>
  <c r="I14" i="18"/>
  <c r="H14" i="18"/>
  <c r="G14" i="18"/>
  <c r="F14" i="18"/>
  <c r="E14" i="18"/>
  <c r="D14" i="18"/>
  <c r="C14" i="18"/>
  <c r="K13" i="18"/>
  <c r="J13" i="18"/>
  <c r="I13" i="18"/>
  <c r="H13" i="18"/>
  <c r="G13" i="18"/>
  <c r="F13" i="18"/>
  <c r="E13" i="18"/>
  <c r="D13" i="18"/>
  <c r="C13" i="18"/>
  <c r="K12" i="18"/>
  <c r="J12" i="18"/>
  <c r="I12" i="18"/>
  <c r="H12" i="18"/>
  <c r="G12" i="18"/>
  <c r="F12" i="18"/>
  <c r="E12" i="18"/>
  <c r="D12" i="18"/>
  <c r="C12" i="18"/>
  <c r="K9" i="18"/>
  <c r="J9" i="18"/>
  <c r="I9" i="18"/>
  <c r="H9" i="18"/>
  <c r="G9" i="18"/>
  <c r="F9" i="18"/>
  <c r="E9" i="18"/>
  <c r="D9" i="18"/>
  <c r="C9" i="18"/>
  <c r="K8" i="18"/>
  <c r="J8" i="18"/>
  <c r="I8" i="18"/>
  <c r="H8" i="18"/>
  <c r="G8" i="18"/>
  <c r="F8" i="18"/>
  <c r="E8" i="18"/>
  <c r="D8" i="18"/>
  <c r="C8" i="18"/>
  <c r="K7" i="18"/>
  <c r="J7" i="18"/>
  <c r="I7" i="18"/>
  <c r="H7" i="18"/>
  <c r="G7" i="18"/>
  <c r="F7" i="18"/>
  <c r="E7" i="18"/>
  <c r="D7" i="18"/>
  <c r="C7" i="18"/>
  <c r="K6" i="18"/>
  <c r="J6" i="18"/>
  <c r="I6" i="18"/>
  <c r="H6" i="18"/>
  <c r="G6" i="18"/>
  <c r="F6" i="18"/>
  <c r="E6" i="18"/>
  <c r="D6" i="18"/>
  <c r="C6" i="18"/>
  <c r="K4" i="18"/>
  <c r="J4" i="18"/>
  <c r="I4" i="18"/>
  <c r="H4" i="18"/>
  <c r="F4" i="18"/>
  <c r="E4" i="18"/>
  <c r="D4" i="18"/>
  <c r="C4" i="18"/>
  <c r="G31" i="16"/>
  <c r="G30" i="16"/>
  <c r="K15" i="16"/>
  <c r="J30" i="16"/>
  <c r="J31" i="16"/>
  <c r="J15" i="16"/>
  <c r="I30" i="16"/>
  <c r="I31" i="16"/>
  <c r="I15" i="16"/>
  <c r="H30" i="16"/>
  <c r="H31" i="16"/>
  <c r="H15" i="16"/>
  <c r="G15" i="16"/>
  <c r="F31" i="16"/>
  <c r="F15" i="16"/>
  <c r="E31" i="16"/>
  <c r="E30" i="16"/>
  <c r="E15" i="16"/>
  <c r="D31" i="16"/>
  <c r="D30" i="16"/>
  <c r="D15" i="16"/>
  <c r="C31" i="16"/>
  <c r="C30" i="16"/>
  <c r="C15" i="16"/>
  <c r="K14" i="16"/>
  <c r="J14" i="16"/>
  <c r="I14" i="16"/>
  <c r="H14" i="16"/>
  <c r="G14" i="16"/>
  <c r="F14" i="16"/>
  <c r="E14" i="16"/>
  <c r="D14" i="16"/>
  <c r="C14" i="16"/>
  <c r="K13" i="16"/>
  <c r="J13" i="16"/>
  <c r="I13" i="16"/>
  <c r="H13" i="16"/>
  <c r="G13" i="16"/>
  <c r="F13" i="16"/>
  <c r="E13" i="16"/>
  <c r="D13" i="16"/>
  <c r="C13" i="16"/>
  <c r="K12" i="16"/>
  <c r="J12" i="16"/>
  <c r="I12" i="16"/>
  <c r="H12" i="16"/>
  <c r="G12" i="16"/>
  <c r="F12" i="16"/>
  <c r="E12" i="16"/>
  <c r="D12" i="16"/>
  <c r="C12" i="16"/>
  <c r="K11" i="16"/>
  <c r="J11" i="16"/>
  <c r="I11" i="16"/>
  <c r="H11" i="16"/>
  <c r="G11" i="16"/>
  <c r="F11" i="16"/>
  <c r="E11" i="16"/>
  <c r="D11" i="16"/>
  <c r="C11" i="16"/>
  <c r="K8" i="16"/>
  <c r="J8" i="16"/>
  <c r="I8" i="16"/>
  <c r="H8" i="16"/>
  <c r="G8" i="16"/>
  <c r="F8" i="16"/>
  <c r="E8" i="16"/>
  <c r="D8" i="16"/>
  <c r="C8" i="16"/>
  <c r="K7" i="16"/>
  <c r="J7" i="16"/>
  <c r="I7" i="16"/>
  <c r="H7" i="16"/>
  <c r="G7" i="16"/>
  <c r="F7" i="16"/>
  <c r="E7" i="16"/>
  <c r="D7" i="16"/>
  <c r="C7" i="16"/>
  <c r="K6" i="16"/>
  <c r="J6" i="16"/>
  <c r="I6" i="16"/>
  <c r="H6" i="16"/>
  <c r="G6" i="16"/>
  <c r="F6" i="16"/>
  <c r="E6" i="16"/>
  <c r="D6" i="16"/>
  <c r="C6" i="16"/>
  <c r="K4" i="16"/>
  <c r="J4" i="16"/>
  <c r="I4" i="16"/>
  <c r="H4" i="16"/>
  <c r="F4" i="16"/>
  <c r="E4" i="16"/>
  <c r="D4" i="16"/>
  <c r="C4" i="16"/>
  <c r="G30" i="10"/>
  <c r="G29" i="10"/>
  <c r="K18" i="10"/>
  <c r="J29" i="10"/>
  <c r="J30" i="10"/>
  <c r="J18" i="10"/>
  <c r="I29" i="10"/>
  <c r="I30" i="10"/>
  <c r="I18" i="10"/>
  <c r="H29" i="10"/>
  <c r="H30" i="10"/>
  <c r="H18" i="10"/>
  <c r="G18" i="10"/>
  <c r="F30" i="10"/>
  <c r="F18" i="10"/>
  <c r="E30" i="10"/>
  <c r="E29" i="10"/>
  <c r="E18" i="10"/>
  <c r="D30" i="10"/>
  <c r="D29" i="10"/>
  <c r="D18" i="10"/>
  <c r="C30" i="10"/>
  <c r="C29" i="10"/>
  <c r="C18" i="10"/>
  <c r="K17" i="10"/>
  <c r="J17" i="10"/>
  <c r="I17" i="10"/>
  <c r="H17" i="10"/>
  <c r="G17" i="10"/>
  <c r="F17" i="10"/>
  <c r="E17" i="10"/>
  <c r="D17" i="10"/>
  <c r="C17" i="10"/>
  <c r="K16" i="10"/>
  <c r="J16" i="10"/>
  <c r="I16" i="10"/>
  <c r="H16" i="10"/>
  <c r="G16" i="10"/>
  <c r="F16" i="10"/>
  <c r="E16" i="10"/>
  <c r="D16" i="10"/>
  <c r="C16" i="10"/>
  <c r="K15" i="10"/>
  <c r="J15" i="10"/>
  <c r="I15" i="10"/>
  <c r="H15" i="10"/>
  <c r="G15" i="10"/>
  <c r="F15" i="10"/>
  <c r="E15" i="10"/>
  <c r="D15" i="10"/>
  <c r="C15" i="10"/>
  <c r="K14" i="10"/>
  <c r="J14" i="10"/>
  <c r="I14" i="10"/>
  <c r="H14" i="10"/>
  <c r="G14" i="10"/>
  <c r="F14" i="10"/>
  <c r="E14" i="10"/>
  <c r="D14" i="10"/>
  <c r="C14" i="10"/>
  <c r="K13" i="10"/>
  <c r="J13" i="10"/>
  <c r="I13" i="10"/>
  <c r="H13" i="10"/>
  <c r="G13" i="10"/>
  <c r="F13" i="10"/>
  <c r="E13" i="10"/>
  <c r="D13" i="10"/>
  <c r="C13" i="10"/>
  <c r="K12" i="10"/>
  <c r="J12" i="10"/>
  <c r="I12" i="10"/>
  <c r="H12" i="10"/>
  <c r="G12" i="10"/>
  <c r="F12" i="10"/>
  <c r="E12" i="10"/>
  <c r="D12" i="10"/>
  <c r="C12" i="10"/>
  <c r="K11" i="10"/>
  <c r="J11" i="10"/>
  <c r="I11" i="10"/>
  <c r="H11" i="10"/>
  <c r="G11" i="10"/>
  <c r="F11" i="10"/>
  <c r="E11" i="10"/>
  <c r="D11" i="10"/>
  <c r="C11" i="10"/>
  <c r="K10" i="10"/>
  <c r="J10" i="10"/>
  <c r="I10" i="10"/>
  <c r="H10" i="10"/>
  <c r="G10" i="10"/>
  <c r="F10" i="10"/>
  <c r="E10" i="10"/>
  <c r="D10" i="10"/>
  <c r="C10" i="10"/>
  <c r="K9" i="10"/>
  <c r="J9" i="10"/>
  <c r="I9" i="10"/>
  <c r="H9" i="10"/>
  <c r="G9" i="10"/>
  <c r="F9" i="10"/>
  <c r="E9" i="10"/>
  <c r="D9" i="10"/>
  <c r="C9" i="10"/>
  <c r="K8" i="10"/>
  <c r="J8" i="10"/>
  <c r="I8" i="10"/>
  <c r="H8" i="10"/>
  <c r="G8" i="10"/>
  <c r="F8" i="10"/>
  <c r="E8" i="10"/>
  <c r="D8" i="10"/>
  <c r="C8" i="10"/>
  <c r="K7" i="10"/>
  <c r="J7" i="10"/>
  <c r="I7" i="10"/>
  <c r="H7" i="10"/>
  <c r="G7" i="10"/>
  <c r="F7" i="10"/>
  <c r="E7" i="10"/>
  <c r="D7" i="10"/>
  <c r="C7" i="10"/>
  <c r="K6" i="10"/>
  <c r="J6" i="10"/>
  <c r="I6" i="10"/>
  <c r="H6" i="10"/>
  <c r="G6" i="10"/>
  <c r="F6" i="10"/>
  <c r="E6" i="10"/>
  <c r="D6" i="10"/>
  <c r="C6" i="10"/>
  <c r="K5" i="10"/>
  <c r="J5" i="10"/>
  <c r="I5" i="10"/>
  <c r="H5" i="10"/>
  <c r="G5" i="10"/>
  <c r="F5" i="10"/>
  <c r="E5" i="10"/>
  <c r="D5" i="10"/>
  <c r="C5" i="10"/>
  <c r="K4" i="10"/>
  <c r="J4" i="10"/>
  <c r="I4" i="10"/>
  <c r="H4" i="10"/>
  <c r="F4" i="10"/>
  <c r="E4" i="10"/>
  <c r="D4" i="10"/>
  <c r="C4" i="10"/>
  <c r="L18" i="8"/>
  <c r="K18" i="8"/>
  <c r="F18" i="8"/>
  <c r="E18" i="8"/>
  <c r="J17" i="8"/>
  <c r="I17" i="8"/>
  <c r="H17" i="8"/>
  <c r="G17" i="8"/>
  <c r="D17" i="8"/>
  <c r="C17" i="8"/>
  <c r="L16" i="8"/>
  <c r="K16" i="8"/>
  <c r="J16" i="8"/>
  <c r="I16" i="8"/>
  <c r="H16" i="8"/>
  <c r="G16" i="8"/>
  <c r="F16" i="8"/>
  <c r="E16" i="8"/>
  <c r="D16" i="8"/>
  <c r="C16" i="8"/>
  <c r="L14" i="8"/>
  <c r="K14" i="8"/>
  <c r="F14" i="8"/>
  <c r="E14" i="8"/>
  <c r="L13" i="8"/>
  <c r="K13" i="8"/>
  <c r="J13" i="8"/>
  <c r="I13" i="8"/>
  <c r="H13" i="8"/>
  <c r="G13" i="8"/>
  <c r="F13" i="8"/>
  <c r="E13" i="8"/>
  <c r="D13" i="8"/>
  <c r="C13" i="8"/>
  <c r="L9" i="8"/>
  <c r="K9" i="8"/>
  <c r="F9" i="8"/>
  <c r="E9" i="8"/>
  <c r="J8" i="8"/>
  <c r="I8" i="8"/>
  <c r="H8" i="8"/>
  <c r="G8" i="8"/>
  <c r="D8" i="8"/>
  <c r="C8" i="8"/>
  <c r="L7" i="8"/>
  <c r="K7" i="8"/>
  <c r="J7" i="8"/>
  <c r="I7" i="8"/>
  <c r="H7" i="8"/>
  <c r="G7" i="8"/>
  <c r="F7" i="8"/>
  <c r="E7" i="8"/>
  <c r="D7" i="8"/>
  <c r="C7" i="8"/>
  <c r="L5" i="8"/>
  <c r="K5" i="8"/>
  <c r="F5" i="8"/>
  <c r="E5" i="8"/>
  <c r="L4" i="8"/>
  <c r="K4" i="8"/>
  <c r="J4" i="8"/>
  <c r="I4" i="8"/>
  <c r="H4" i="8"/>
  <c r="G4" i="8"/>
  <c r="F4" i="8"/>
  <c r="E4" i="8"/>
  <c r="D4" i="8"/>
  <c r="C4" i="8"/>
  <c r="C26" i="3"/>
  <c r="C25" i="3"/>
  <c r="C21" i="3"/>
  <c r="C20" i="3"/>
  <c r="C19" i="3"/>
  <c r="C18" i="3"/>
  <c r="AB9" i="3"/>
  <c r="AC9" i="3"/>
  <c r="AE9" i="3"/>
  <c r="N12" i="3"/>
  <c r="N13" i="3"/>
  <c r="N14" i="3"/>
  <c r="N15" i="3"/>
  <c r="N16" i="3"/>
  <c r="AE16" i="3"/>
  <c r="AD9" i="3"/>
  <c r="AD16" i="3"/>
  <c r="AC16" i="3"/>
  <c r="AB16" i="3"/>
  <c r="AA16" i="3"/>
  <c r="P9" i="3"/>
  <c r="Q9" i="3"/>
  <c r="R9" i="3"/>
  <c r="S9" i="3"/>
  <c r="T9" i="3"/>
  <c r="U9" i="3"/>
  <c r="V9" i="3"/>
  <c r="W9" i="3"/>
  <c r="X9" i="3"/>
  <c r="Y9" i="3"/>
  <c r="Z9" i="3"/>
  <c r="Z16" i="3"/>
  <c r="Y16" i="3"/>
  <c r="X16" i="3"/>
  <c r="W16" i="3"/>
  <c r="V16" i="3"/>
  <c r="U16" i="3"/>
  <c r="T16" i="3"/>
  <c r="S16" i="3"/>
  <c r="R16" i="3"/>
  <c r="Q16" i="3"/>
  <c r="O8" i="3"/>
  <c r="P8" i="3"/>
  <c r="O7" i="3"/>
  <c r="P7" i="3"/>
  <c r="P16" i="3"/>
  <c r="O16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C15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C14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C13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C12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C11" i="3"/>
  <c r="J10" i="3"/>
  <c r="I10" i="3"/>
  <c r="H10" i="3"/>
  <c r="C10" i="3"/>
  <c r="H9" i="3"/>
  <c r="I9" i="3"/>
  <c r="J9" i="3"/>
  <c r="H8" i="3"/>
  <c r="I8" i="3"/>
  <c r="J8" i="3"/>
  <c r="H7" i="3"/>
  <c r="I7" i="3"/>
  <c r="J7" i="3"/>
  <c r="C7" i="3"/>
  <c r="J6" i="3"/>
  <c r="I6" i="3"/>
  <c r="H6" i="3"/>
  <c r="C6" i="3"/>
  <c r="J5" i="3"/>
  <c r="I5" i="3"/>
  <c r="H5" i="3"/>
  <c r="C10" i="7"/>
  <c r="Y9" i="1"/>
  <c r="Y8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AA71" i="1"/>
  <c r="Y71" i="1"/>
  <c r="AA70" i="1"/>
  <c r="Y70" i="1"/>
  <c r="AA69" i="1"/>
  <c r="Y69" i="1"/>
  <c r="AA68" i="1"/>
  <c r="Y68" i="1"/>
  <c r="AA67" i="1"/>
  <c r="Y67" i="1"/>
  <c r="AA66" i="1"/>
  <c r="Y66" i="1"/>
  <c r="AA65" i="1"/>
  <c r="Y65" i="1"/>
  <c r="AA64" i="1"/>
  <c r="Y64" i="1"/>
  <c r="AA63" i="1"/>
  <c r="Y63" i="1"/>
  <c r="AA62" i="1"/>
  <c r="Y62" i="1"/>
  <c r="AA61" i="1"/>
  <c r="Y61" i="1"/>
  <c r="AA60" i="1"/>
  <c r="Y60" i="1"/>
  <c r="AA59" i="1"/>
  <c r="Y59" i="1"/>
  <c r="AA58" i="1"/>
  <c r="Y58" i="1"/>
  <c r="AA57" i="1"/>
  <c r="Y57" i="1"/>
  <c r="AA56" i="1"/>
  <c r="Y56" i="1"/>
  <c r="AA55" i="1"/>
  <c r="Y55" i="1"/>
  <c r="AA54" i="1"/>
  <c r="Y54" i="1"/>
  <c r="AA53" i="1"/>
  <c r="Y53" i="1"/>
  <c r="AA52" i="1"/>
  <c r="Y52" i="1"/>
  <c r="AA51" i="1"/>
  <c r="Y51" i="1"/>
  <c r="AA50" i="1"/>
  <c r="Y50" i="1"/>
  <c r="AA49" i="1"/>
  <c r="Y49" i="1"/>
  <c r="AA48" i="1"/>
  <c r="Y48" i="1"/>
  <c r="AA47" i="1"/>
  <c r="Y47" i="1"/>
  <c r="AA46" i="1"/>
  <c r="Y46" i="1"/>
  <c r="AA45" i="1"/>
  <c r="Y45" i="1"/>
  <c r="AA44" i="1"/>
  <c r="Y44" i="1"/>
  <c r="AA43" i="1"/>
  <c r="Y43" i="1"/>
  <c r="AA42" i="1"/>
  <c r="Y42" i="1"/>
  <c r="AA41" i="1"/>
  <c r="Y41" i="1"/>
  <c r="AA40" i="1"/>
  <c r="Y40" i="1"/>
  <c r="AA39" i="1"/>
  <c r="Y39" i="1"/>
  <c r="AA38" i="1"/>
  <c r="Y38" i="1"/>
  <c r="AA37" i="1"/>
  <c r="Y37" i="1"/>
  <c r="P37" i="1"/>
  <c r="F37" i="1"/>
  <c r="AA36" i="1"/>
  <c r="Y36" i="1"/>
  <c r="AA35" i="1"/>
  <c r="Y35" i="1"/>
  <c r="AA34" i="1"/>
  <c r="Y34" i="1"/>
  <c r="AA33" i="1"/>
  <c r="Y33" i="1"/>
  <c r="AA32" i="1"/>
  <c r="Y32" i="1"/>
  <c r="AA31" i="1"/>
  <c r="Y31" i="1"/>
  <c r="AA30" i="1"/>
  <c r="Y30" i="1"/>
  <c r="N30" i="1"/>
  <c r="AA29" i="1"/>
  <c r="Y29" i="1"/>
  <c r="N29" i="1"/>
  <c r="AA28" i="1"/>
  <c r="Y28" i="1"/>
  <c r="AA27" i="1"/>
  <c r="Y27" i="1"/>
  <c r="AA26" i="1"/>
  <c r="Y26" i="1"/>
  <c r="AA25" i="1"/>
  <c r="Y25" i="1"/>
  <c r="AA24" i="1"/>
  <c r="Y24" i="1"/>
  <c r="AA12" i="1"/>
  <c r="N24" i="1"/>
  <c r="AA23" i="1"/>
  <c r="Y23" i="1"/>
  <c r="AA22" i="1"/>
  <c r="Y22" i="1"/>
  <c r="AA21" i="1"/>
  <c r="Y21" i="1"/>
  <c r="M21" i="1"/>
  <c r="AA20" i="1"/>
  <c r="Y20" i="1"/>
  <c r="AA19" i="1"/>
  <c r="Y19" i="1"/>
  <c r="AA18" i="1"/>
  <c r="Y18" i="1"/>
  <c r="AA17" i="1"/>
  <c r="Y17" i="1"/>
  <c r="AA16" i="1"/>
  <c r="Y16" i="1"/>
  <c r="AA15" i="1"/>
  <c r="Y15" i="1"/>
  <c r="AA14" i="1"/>
  <c r="Y14" i="1"/>
  <c r="AA13" i="1"/>
  <c r="Y13" i="1"/>
  <c r="Y12" i="1"/>
  <c r="V8" i="1"/>
  <c r="W8" i="1"/>
  <c r="U8" i="1"/>
  <c r="T7" i="1"/>
  <c r="T8" i="1"/>
  <c r="S7" i="1"/>
  <c r="S8" i="1"/>
  <c r="R7" i="1"/>
  <c r="R8" i="1"/>
  <c r="Q7" i="1"/>
  <c r="Q8" i="1"/>
  <c r="P7" i="1"/>
  <c r="P8" i="1"/>
  <c r="Y6" i="1"/>
  <c r="B6" i="1"/>
  <c r="Y5" i="1"/>
  <c r="L4" i="1"/>
  <c r="J4" i="1"/>
  <c r="H4" i="1"/>
  <c r="F4" i="1"/>
  <c r="D4" i="1"/>
  <c r="B4" i="1"/>
  <c r="C8" i="7"/>
  <c r="C32" i="14"/>
  <c r="C30" i="19"/>
  <c r="C28" i="11"/>
  <c r="C29" i="17"/>
  <c r="B15" i="19"/>
  <c r="B14" i="19"/>
  <c r="B13" i="19"/>
  <c r="B12" i="19"/>
  <c r="B11" i="19"/>
  <c r="B10" i="19"/>
  <c r="B8" i="19"/>
  <c r="B7" i="19"/>
  <c r="B6" i="19"/>
  <c r="B5" i="19"/>
  <c r="B4" i="19"/>
  <c r="B14" i="17"/>
  <c r="B13" i="17"/>
  <c r="B12" i="17"/>
  <c r="B11" i="17"/>
  <c r="B10" i="17"/>
  <c r="B9" i="17"/>
  <c r="B7" i="17"/>
  <c r="B6" i="17"/>
  <c r="B5" i="17"/>
  <c r="B4" i="17"/>
  <c r="I36" i="9"/>
  <c r="G13" i="3"/>
  <c r="S6" i="1"/>
  <c r="R6" i="1"/>
  <c r="Q6" i="1"/>
  <c r="P6" i="1"/>
  <c r="J8" i="14"/>
  <c r="I8" i="14"/>
  <c r="J14" i="14"/>
  <c r="I14" i="14"/>
  <c r="J17" i="14"/>
  <c r="I17" i="14"/>
  <c r="I5" i="14"/>
  <c r="J5" i="14"/>
  <c r="I7" i="14"/>
  <c r="J7" i="14"/>
  <c r="I9" i="14"/>
  <c r="J9" i="14"/>
  <c r="I13" i="14"/>
  <c r="J13" i="14"/>
  <c r="I16" i="14"/>
  <c r="J16" i="14"/>
  <c r="J6" i="14"/>
  <c r="I6" i="14"/>
  <c r="J11" i="14"/>
  <c r="I11" i="14"/>
  <c r="I6" i="19"/>
  <c r="J6" i="19"/>
  <c r="I8" i="19"/>
  <c r="J8" i="19"/>
  <c r="I12" i="19"/>
  <c r="J12" i="19"/>
  <c r="I14" i="19"/>
  <c r="J14" i="19"/>
  <c r="I5" i="19"/>
  <c r="J5" i="19"/>
  <c r="I7" i="19"/>
  <c r="J7" i="19"/>
  <c r="I11" i="19"/>
  <c r="J11" i="19"/>
  <c r="I13" i="19"/>
  <c r="J13" i="19"/>
  <c r="I15" i="19"/>
  <c r="J15" i="19"/>
  <c r="J10" i="17"/>
  <c r="I10" i="17"/>
  <c r="I14" i="17"/>
  <c r="J14" i="17"/>
  <c r="J5" i="17"/>
  <c r="I5" i="17"/>
  <c r="J7" i="17"/>
  <c r="I7" i="17"/>
  <c r="I11" i="17"/>
  <c r="J11" i="17"/>
  <c r="J13" i="17"/>
  <c r="I13" i="17"/>
  <c r="I12" i="17"/>
  <c r="J12" i="17"/>
  <c r="I6" i="17"/>
  <c r="J6" i="17"/>
  <c r="J19" i="11"/>
  <c r="I19" i="11"/>
  <c r="J21" i="11"/>
  <c r="I21" i="11"/>
  <c r="I14" i="11"/>
  <c r="J14" i="11"/>
  <c r="I16" i="11"/>
  <c r="J16" i="11"/>
  <c r="I18" i="11"/>
  <c r="J18" i="11"/>
  <c r="I20" i="11"/>
  <c r="J20" i="11"/>
  <c r="I22" i="11"/>
  <c r="C26" i="11"/>
  <c r="D26" i="11"/>
  <c r="E26" i="11"/>
  <c r="F26" i="11"/>
  <c r="G26" i="11"/>
  <c r="H26" i="11"/>
  <c r="J22" i="11"/>
  <c r="C27" i="11"/>
  <c r="D27" i="11"/>
  <c r="E27" i="11"/>
  <c r="F27" i="11"/>
  <c r="G27" i="11"/>
  <c r="H27" i="11"/>
  <c r="J24" i="11"/>
  <c r="I24" i="11"/>
  <c r="J13" i="11"/>
  <c r="I13" i="11"/>
  <c r="J15" i="11"/>
  <c r="I15" i="11"/>
  <c r="J17" i="11"/>
  <c r="I17" i="11"/>
  <c r="H32" i="9"/>
  <c r="I30" i="9"/>
  <c r="F7" i="9"/>
  <c r="G7" i="9"/>
  <c r="I31" i="9"/>
  <c r="J40" i="9"/>
  <c r="G31" i="9"/>
  <c r="J31" i="9"/>
  <c r="D3" i="9"/>
  <c r="G4" i="13"/>
  <c r="G4" i="18"/>
  <c r="G4" i="16"/>
  <c r="G4" i="10"/>
  <c r="E6" i="8"/>
  <c r="E17" i="8"/>
  <c r="L8" i="8"/>
  <c r="F10" i="8"/>
  <c r="L15" i="8"/>
  <c r="K6" i="8"/>
  <c r="E8" i="8"/>
  <c r="K10" i="8"/>
  <c r="E15" i="8"/>
  <c r="K17" i="8"/>
  <c r="E19" i="8"/>
  <c r="L6" i="8"/>
  <c r="F8" i="8"/>
  <c r="L10" i="8"/>
  <c r="F15" i="8"/>
  <c r="L17" i="8"/>
  <c r="F19" i="8"/>
  <c r="E10" i="8"/>
  <c r="K15" i="8"/>
  <c r="K19" i="8"/>
  <c r="K8" i="8"/>
  <c r="F6" i="8"/>
  <c r="F17" i="8"/>
  <c r="L19" i="8"/>
  <c r="G15" i="3"/>
  <c r="H15" i="3"/>
  <c r="H25" i="3"/>
  <c r="G9" i="3"/>
  <c r="G16" i="3"/>
  <c r="H16" i="3"/>
  <c r="H22" i="3"/>
  <c r="H26" i="3"/>
  <c r="G22" i="3"/>
  <c r="G26" i="3"/>
  <c r="G10" i="3"/>
  <c r="H23" i="3"/>
  <c r="G23" i="3"/>
  <c r="G7" i="3"/>
  <c r="G14" i="3"/>
  <c r="H14" i="3"/>
  <c r="G17" i="3"/>
  <c r="H17" i="3"/>
  <c r="H24" i="3"/>
  <c r="G24" i="3"/>
  <c r="G8" i="3"/>
  <c r="G18" i="3"/>
  <c r="H18" i="3"/>
  <c r="G25" i="3"/>
  <c r="C22" i="3"/>
  <c r="C4" i="3"/>
  <c r="C5" i="3"/>
  <c r="C24" i="3"/>
  <c r="U7" i="1"/>
  <c r="B22" i="3"/>
  <c r="W7" i="1"/>
  <c r="V7" i="1"/>
  <c r="B19" i="3"/>
  <c r="B37" i="1"/>
  <c r="C23" i="3"/>
  <c r="Z12" i="1"/>
  <c r="Z70" i="1"/>
  <c r="Z68" i="1"/>
  <c r="Z66" i="1"/>
  <c r="Z64" i="1"/>
  <c r="Z62" i="1"/>
  <c r="Z60" i="1"/>
  <c r="Z58" i="1"/>
  <c r="Z56" i="1"/>
  <c r="Z54" i="1"/>
  <c r="Z52" i="1"/>
  <c r="Z50" i="1"/>
  <c r="Z48" i="1"/>
  <c r="Z46" i="1"/>
  <c r="Z44" i="1"/>
  <c r="Z42" i="1"/>
  <c r="Z40" i="1"/>
  <c r="Z38" i="1"/>
  <c r="Z36" i="1"/>
  <c r="Z34" i="1"/>
  <c r="Z32" i="1"/>
  <c r="Z30" i="1"/>
  <c r="Z28" i="1"/>
  <c r="Z26" i="1"/>
  <c r="Z24" i="1"/>
  <c r="Z22" i="1"/>
  <c r="Z20" i="1"/>
  <c r="Z18" i="1"/>
  <c r="Z16" i="1"/>
  <c r="Z14" i="1"/>
  <c r="N28" i="1"/>
  <c r="N25" i="1"/>
  <c r="N27" i="1"/>
  <c r="N26" i="1"/>
  <c r="Z71" i="1"/>
  <c r="Z69" i="1"/>
  <c r="Z67" i="1"/>
  <c r="Z65" i="1"/>
  <c r="Z63" i="1"/>
  <c r="Z61" i="1"/>
  <c r="Z59" i="1"/>
  <c r="Z57" i="1"/>
  <c r="Z55" i="1"/>
  <c r="Z53" i="1"/>
  <c r="Z51" i="1"/>
  <c r="Z49" i="1"/>
  <c r="Z47" i="1"/>
  <c r="Z45" i="1"/>
  <c r="Z43" i="1"/>
  <c r="Z41" i="1"/>
  <c r="Z39" i="1"/>
  <c r="Z37" i="1"/>
  <c r="Z35" i="1"/>
  <c r="Z33" i="1"/>
  <c r="Z31" i="1"/>
  <c r="Z29" i="1"/>
  <c r="Z27" i="1"/>
  <c r="Z25" i="1"/>
  <c r="Z23" i="1"/>
  <c r="Z21" i="1"/>
  <c r="Z19" i="1"/>
  <c r="Z17" i="1"/>
  <c r="Z15" i="1"/>
  <c r="Z13" i="1"/>
  <c r="C17" i="9"/>
  <c r="D6" i="9"/>
  <c r="G38" i="9"/>
  <c r="G40" i="9"/>
  <c r="G30" i="9"/>
  <c r="J30" i="9"/>
  <c r="J32" i="9"/>
  <c r="D19" i="9"/>
  <c r="I32" i="9"/>
  <c r="D24" i="9"/>
  <c r="D20" i="9"/>
  <c r="E3" i="9"/>
  <c r="D13" i="9"/>
  <c r="E13" i="9"/>
  <c r="F13" i="9"/>
  <c r="G13" i="9"/>
  <c r="D10" i="9"/>
  <c r="E10" i="9"/>
  <c r="F10" i="9"/>
  <c r="G10" i="9"/>
  <c r="G5" i="3"/>
  <c r="B24" i="3"/>
  <c r="B21" i="3"/>
  <c r="B20" i="3"/>
  <c r="B23" i="3"/>
  <c r="E19" i="9"/>
  <c r="D30" i="9"/>
  <c r="E24" i="9"/>
  <c r="F24" i="9"/>
  <c r="G24" i="9"/>
  <c r="H24" i="9"/>
  <c r="E20" i="9"/>
  <c r="F3" i="9"/>
  <c r="G3" i="9"/>
  <c r="H3" i="9"/>
  <c r="D12" i="9"/>
  <c r="D15" i="9"/>
  <c r="D9" i="9"/>
  <c r="E6" i="9"/>
  <c r="G6" i="3"/>
  <c r="F6" i="9"/>
  <c r="E9" i="9"/>
  <c r="E12" i="9"/>
  <c r="E15" i="9"/>
  <c r="E17" i="9"/>
  <c r="E25" i="9"/>
  <c r="F19" i="9"/>
  <c r="D17" i="9"/>
  <c r="D25" i="9"/>
  <c r="F9" i="9"/>
  <c r="F12" i="9"/>
  <c r="F15" i="9"/>
  <c r="F17" i="9"/>
  <c r="F25" i="9"/>
  <c r="G19" i="9"/>
  <c r="G6" i="9"/>
  <c r="G9" i="9"/>
  <c r="G12" i="9"/>
  <c r="G15" i="9"/>
  <c r="G17" i="9"/>
  <c r="G25" i="9"/>
  <c r="D27" i="9"/>
  <c r="H6" i="9"/>
  <c r="H19" i="9"/>
  <c r="H21" i="9"/>
  <c r="H9" i="9"/>
  <c r="H12" i="9"/>
  <c r="H15" i="9"/>
  <c r="H22" i="9"/>
  <c r="H25" i="9"/>
  <c r="D28" i="9"/>
  <c r="D29" i="9"/>
  <c r="D31" i="9"/>
  <c r="D35" i="9"/>
  <c r="D38" i="9"/>
  <c r="D41" i="9"/>
  <c r="H17" i="9"/>
</calcChain>
</file>

<file path=xl/sharedStrings.xml><?xml version="1.0" encoding="utf-8"?>
<sst xmlns="http://schemas.openxmlformats.org/spreadsheetml/2006/main" count="324" uniqueCount="234">
  <si>
    <t>EV (M)</t>
  </si>
  <si>
    <t>Sales (M)</t>
  </si>
  <si>
    <t>Start Date</t>
  </si>
  <si>
    <t>End Date</t>
  </si>
  <si>
    <t>Frequency</t>
  </si>
  <si>
    <t>Close</t>
  </si>
  <si>
    <t>Sequence</t>
  </si>
  <si>
    <t>monthly</t>
  </si>
  <si>
    <t xml:space="preserve"> Formula Date</t>
  </si>
  <si>
    <t>Current</t>
  </si>
  <si>
    <t>Beta</t>
  </si>
  <si>
    <t>PE TTM</t>
  </si>
  <si>
    <t>52WK High</t>
  </si>
  <si>
    <t>52WK Low</t>
  </si>
  <si>
    <t>Trading Information</t>
  </si>
  <si>
    <t>Current Price</t>
  </si>
  <si>
    <t>52 Week Range</t>
  </si>
  <si>
    <t>Key Statistics</t>
  </si>
  <si>
    <t>Ent Value (M)</t>
  </si>
  <si>
    <t>Dividend (Ann)</t>
  </si>
  <si>
    <t>Estimates</t>
  </si>
  <si>
    <t>Target Price</t>
  </si>
  <si>
    <t>Mkt Cap (M)</t>
  </si>
  <si>
    <t>Shares Out (M)</t>
  </si>
  <si>
    <t>Valuation</t>
  </si>
  <si>
    <t>Profitability (%)</t>
  </si>
  <si>
    <t>Gross Margin</t>
  </si>
  <si>
    <t>EBITDA Margin</t>
  </si>
  <si>
    <t>EBIT Margin</t>
  </si>
  <si>
    <t>ROE</t>
  </si>
  <si>
    <t>Growth (%)</t>
  </si>
  <si>
    <t xml:space="preserve">EBIT </t>
  </si>
  <si>
    <t xml:space="preserve">EBITDA </t>
  </si>
  <si>
    <t>roe</t>
  </si>
  <si>
    <t>profitmargin</t>
  </si>
  <si>
    <t>pricetoearnings</t>
  </si>
  <si>
    <t>tag</t>
  </si>
  <si>
    <t>grossmargin</t>
  </si>
  <si>
    <t>operatingmargin</t>
  </si>
  <si>
    <t>ebitmargin</t>
  </si>
  <si>
    <t>Days to Cover</t>
  </si>
  <si>
    <t>ebitdamargin</t>
  </si>
  <si>
    <t>yearly</t>
  </si>
  <si>
    <t>pricetorevenue</t>
  </si>
  <si>
    <t>pricetobook</t>
  </si>
  <si>
    <t>evtofcff</t>
  </si>
  <si>
    <t>evtorevenue</t>
  </si>
  <si>
    <t>evtoebitda</t>
  </si>
  <si>
    <t>Industry</t>
  </si>
  <si>
    <t>LT Growth</t>
  </si>
  <si>
    <t>TTM</t>
  </si>
  <si>
    <t>Ticker Symbol:</t>
  </si>
  <si>
    <t>YTD Return</t>
  </si>
  <si>
    <t>3M Return</t>
  </si>
  <si>
    <t>1YR Return</t>
  </si>
  <si>
    <t>Sector</t>
  </si>
  <si>
    <t>Company Name:</t>
  </si>
  <si>
    <t>Report Date:</t>
  </si>
  <si>
    <t>dilutedeps</t>
  </si>
  <si>
    <t>CFY</t>
  </si>
  <si>
    <t>NFY</t>
  </si>
  <si>
    <t>5 Yr Ave</t>
  </si>
  <si>
    <t>Avg Daily Vol (3m)</t>
  </si>
  <si>
    <t>52_week_high</t>
  </si>
  <si>
    <t>52_week_low</t>
  </si>
  <si>
    <t>Trend</t>
  </si>
  <si>
    <t>Revenue</t>
  </si>
  <si>
    <t>5 Yr CAGR</t>
  </si>
  <si>
    <t>Price / Earnings</t>
  </si>
  <si>
    <t>Price / Revenue</t>
  </si>
  <si>
    <t>Price / Book</t>
  </si>
  <si>
    <t>EV / EBITDA</t>
  </si>
  <si>
    <t>EV / Revenue</t>
  </si>
  <si>
    <t>EV / FCFF</t>
  </si>
  <si>
    <t>EPS</t>
  </si>
  <si>
    <t>revenuegrowth</t>
  </si>
  <si>
    <t>ebitdagrowth</t>
  </si>
  <si>
    <t>ebitgrowth</t>
  </si>
  <si>
    <t>epsgrowth</t>
  </si>
  <si>
    <t>Key Items</t>
  </si>
  <si>
    <t>Profile</t>
  </si>
  <si>
    <t>Dividend Yield (Ann)</t>
  </si>
  <si>
    <t>Key Estimates</t>
  </si>
  <si>
    <t>Earnings</t>
  </si>
  <si>
    <t>Annual</t>
  </si>
  <si>
    <t>Quarterly</t>
  </si>
  <si>
    <t>EPS - High Est.</t>
  </si>
  <si>
    <t>EPS - Low Est.</t>
  </si>
  <si>
    <t xml:space="preserve">   Y/Y Growth (%)</t>
  </si>
  <si>
    <t>Revenue - High Est.</t>
  </si>
  <si>
    <t>Revenue - Low Est.</t>
  </si>
  <si>
    <t>Revenue (M)</t>
  </si>
  <si>
    <t>Comps:</t>
  </si>
  <si>
    <t>CEO</t>
  </si>
  <si>
    <t>NOPAT</t>
  </si>
  <si>
    <t>Invested Capital</t>
  </si>
  <si>
    <t>Weighted Average Cost of Capital</t>
  </si>
  <si>
    <t>Partial Period Adjustment</t>
  </si>
  <si>
    <t>Discount Periods</t>
  </si>
  <si>
    <t xml:space="preserve">Cumulative PV of FCFF </t>
  </si>
  <si>
    <t xml:space="preserve">Indicated Value of Invested Capital </t>
  </si>
  <si>
    <t xml:space="preserve">Mid-year Adjustment Factor </t>
  </si>
  <si>
    <t xml:space="preserve">Intrinsic Value of Invested Capital </t>
  </si>
  <si>
    <t>Intrinsic Value of Equity</t>
  </si>
  <si>
    <t>Diluted Shares Outstanding</t>
  </si>
  <si>
    <t>Intrinsic Value per Share</t>
  </si>
  <si>
    <t>Current Price per Share</t>
  </si>
  <si>
    <t>MoS Score</t>
  </si>
  <si>
    <t>Capital Structure</t>
  </si>
  <si>
    <t>Cost of Capital</t>
  </si>
  <si>
    <t>Market Value
($mm)</t>
  </si>
  <si>
    <t>WACC</t>
  </si>
  <si>
    <t>Equity</t>
  </si>
  <si>
    <t>Credit Spread (bps)</t>
  </si>
  <si>
    <t>Cost of Debt, before Tax</t>
  </si>
  <si>
    <t>Marginal Tax Rate</t>
  </si>
  <si>
    <t>Equity Risk Premium (ERP)</t>
  </si>
  <si>
    <t>Risk-Free Rate (20Yr)</t>
  </si>
  <si>
    <t>Debt</t>
  </si>
  <si>
    <t xml:space="preserve">   Growth</t>
  </si>
  <si>
    <t xml:space="preserve">   Margin</t>
  </si>
  <si>
    <t xml:space="preserve">   Turnover</t>
  </si>
  <si>
    <r>
      <t xml:space="preserve">Inc / </t>
    </r>
    <r>
      <rPr>
        <b/>
        <sz val="12"/>
        <color rgb="FFFF0000"/>
        <rFont val="Trebuchet MS"/>
        <family val="2"/>
        <scheme val="minor"/>
      </rPr>
      <t>(Dec)</t>
    </r>
    <r>
      <rPr>
        <b/>
        <sz val="12"/>
        <rFont val="Trebuchet MS"/>
        <family val="2"/>
        <scheme val="minor"/>
      </rPr>
      <t xml:space="preserve"> in IC</t>
    </r>
  </si>
  <si>
    <t>FCFF</t>
  </si>
  <si>
    <t>Discounted FCFF</t>
  </si>
  <si>
    <t>Terminal Value of IC</t>
  </si>
  <si>
    <t xml:space="preserve">Less: Net Debt and Lease Obligations </t>
  </si>
  <si>
    <t>Less: Pref Stock &amp; Noncontrolling Int</t>
  </si>
  <si>
    <t>Capital 
Structure</t>
  </si>
  <si>
    <t>CSRP</t>
  </si>
  <si>
    <t>Cost of Equity</t>
  </si>
  <si>
    <t>Cost of Debt</t>
  </si>
  <si>
    <t>Operating Income</t>
  </si>
  <si>
    <t>Net Income</t>
  </si>
  <si>
    <t>Diluted EPS</t>
  </si>
  <si>
    <t>Gross Profit</t>
  </si>
  <si>
    <t xml:space="preserve">   Margin (%)</t>
  </si>
  <si>
    <t>FY</t>
  </si>
  <si>
    <t>QTR</t>
  </si>
  <si>
    <t>EBITDA</t>
  </si>
  <si>
    <t>EBIT</t>
  </si>
  <si>
    <t xml:space="preserve">PV of Terminal Value </t>
  </si>
  <si>
    <t>Projected -&gt;</t>
  </si>
  <si>
    <t>Income Metrics</t>
  </si>
  <si>
    <t>Mean</t>
  </si>
  <si>
    <t>Median</t>
  </si>
  <si>
    <t>Income Metrics - Comps</t>
  </si>
  <si>
    <t>nm</t>
  </si>
  <si>
    <t>Enterprise</t>
  </si>
  <si>
    <t>Next Earnings</t>
  </si>
  <si>
    <t>Value</t>
  </si>
  <si>
    <t>Company</t>
  </si>
  <si>
    <t>Ticker</t>
  </si>
  <si>
    <t>Employees</t>
  </si>
  <si>
    <t>Date</t>
  </si>
  <si>
    <t>Comps Overview</t>
  </si>
  <si>
    <t>(M)</t>
  </si>
  <si>
    <t>Revenue - Act/Ave Est</t>
  </si>
  <si>
    <t>EPS - Act/Ave Est</t>
  </si>
  <si>
    <t>Dividend Ex-Date</t>
  </si>
  <si>
    <t>Debt Metrics</t>
  </si>
  <si>
    <t>Short-Term Debt to Total Capital</t>
  </si>
  <si>
    <t>Long-Term Debt to Total Capital</t>
  </si>
  <si>
    <t>Preferred Equity to Total Capital</t>
  </si>
  <si>
    <t>Noncontrolling Interests to Total Capital</t>
  </si>
  <si>
    <t>Common Equity to Total Capital</t>
  </si>
  <si>
    <t>Capital Structure:</t>
  </si>
  <si>
    <t>stdebttocap</t>
  </si>
  <si>
    <t>ltdebttocap</t>
  </si>
  <si>
    <t>preferredtocap</t>
  </si>
  <si>
    <t>noncontrolinttocap</t>
  </si>
  <si>
    <t>commontocap</t>
  </si>
  <si>
    <t>debttoebitda</t>
  </si>
  <si>
    <t>netdebttoebitda</t>
  </si>
  <si>
    <t>Debt to EBITDA</t>
  </si>
  <si>
    <t>Net Debt to EBITDA</t>
  </si>
  <si>
    <t>Solvency:</t>
  </si>
  <si>
    <t>EBIT to Int Exp</t>
  </si>
  <si>
    <t>EBIT Less CapEx to Int Exp</t>
  </si>
  <si>
    <t>Terminal NOPAT Multiple</t>
  </si>
  <si>
    <t>Discounted Cash Flow Valuation</t>
  </si>
  <si>
    <t>Leverage:</t>
  </si>
  <si>
    <t>Debt to Equity</t>
  </si>
  <si>
    <t>debttoequity</t>
  </si>
  <si>
    <t>ROIC Disaggregation:</t>
  </si>
  <si>
    <t>NOPAT Margin</t>
  </si>
  <si>
    <t>x Invested Capital Turnover</t>
  </si>
  <si>
    <t>nopatmargin</t>
  </si>
  <si>
    <t>investedcapitalturnover</t>
  </si>
  <si>
    <t>roic</t>
  </si>
  <si>
    <t>Company URL</t>
  </si>
  <si>
    <t>ROE Disaggregation:</t>
  </si>
  <si>
    <t>Net Nonoperating Expense Percent</t>
  </si>
  <si>
    <t>ROIC-NNEP Spread</t>
  </si>
  <si>
    <t>x Financial Leverage</t>
  </si>
  <si>
    <t>= Return on Net Nonoperating Assets (RNNOA)</t>
  </si>
  <si>
    <t>Return on Equity (ROE) = ROIC + RNNOA</t>
  </si>
  <si>
    <t>= Return on Invested Capital (ROIC)</t>
  </si>
  <si>
    <t>Days Sales Outstanding (DSO)</t>
  </si>
  <si>
    <t>- Days Payable Outstanding (DPO)</t>
  </si>
  <si>
    <t>+ Days Inventory Outstanding (DIO)</t>
  </si>
  <si>
    <t>= Cash Conversion Cycle (CCC)</t>
  </si>
  <si>
    <t>Cash Conversion Cycle:</t>
  </si>
  <si>
    <t>Liquidity:</t>
  </si>
  <si>
    <t>Current Ratio</t>
  </si>
  <si>
    <t>Quick Ratio</t>
  </si>
  <si>
    <t>Debt-free, Cash-free NWC to Revenue</t>
  </si>
  <si>
    <t>Debt-free NWC to Revenue</t>
  </si>
  <si>
    <t>NWC to Revenue</t>
  </si>
  <si>
    <t>Net Working Capital &amp; Liquidity Metrics</t>
  </si>
  <si>
    <t>Debt Metrics - Comps</t>
  </si>
  <si>
    <t>Net Working Capital Metrics - Comps</t>
  </si>
  <si>
    <t>ROIC / ROE Metrics - Comps</t>
  </si>
  <si>
    <t>ROIC / ROE Metrics</t>
  </si>
  <si>
    <t>HQ Address</t>
  </si>
  <si>
    <t>Profit Margin</t>
  </si>
  <si>
    <t>netincomegrowth</t>
  </si>
  <si>
    <t>Next Earnings Date</t>
  </si>
  <si>
    <t>nnep</t>
  </si>
  <si>
    <t>roicnnepspread</t>
  </si>
  <si>
    <t>finleverage</t>
  </si>
  <si>
    <t>rnnoa</t>
  </si>
  <si>
    <t>dso</t>
  </si>
  <si>
    <t>dio</t>
  </si>
  <si>
    <t>dpo</t>
  </si>
  <si>
    <t>ccc</t>
  </si>
  <si>
    <t>currentratio</t>
  </si>
  <si>
    <t>quickratio</t>
  </si>
  <si>
    <t>dfcfnwctorev</t>
  </si>
  <si>
    <t>dfnwctorev</t>
  </si>
  <si>
    <t>nwctorev</t>
  </si>
  <si>
    <t>ebittointerestex</t>
  </si>
  <si>
    <t>ebitlesscapextointerestex</t>
  </si>
  <si>
    <t>Chart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</si>
</sst>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mm\-dd\-yyyy"/>
    <numFmt numFmtId="166" formatCode="yyyy"/>
    <numFmt numFmtId="167" formatCode="&quot;$&quot;#,##0.00"/>
    <numFmt numFmtId="168" formatCode="yyyy\-mm\-dd"/>
    <numFmt numFmtId="169" formatCode="0.0\x"/>
    <numFmt numFmtId="170" formatCode="0.0%"/>
    <numFmt numFmtId="171" formatCode="0.0"/>
    <numFmt numFmtId="172" formatCode="&quot;$&quot;#,##0"/>
    <numFmt numFmtId="173" formatCode="[$-409]m/d/yy\ h:mm\ AM/PM;@"/>
    <numFmt numFmtId="174" formatCode="_(&quot;$&quot;* #,##0.0_);_(&quot;$&quot;* \(#,##0.0\);_(&quot;$&quot;* &quot;-&quot;??_);_(@_)"/>
    <numFmt numFmtId="175" formatCode="0.000"/>
    <numFmt numFmtId="176" formatCode="#,##0.000;[Red]#,##0.000"/>
    <numFmt numFmtId="177" formatCode="0.00\x"/>
    <numFmt numFmtId="178" formatCode="_(&quot;$&quot;* #,##0_);_(&quot;$&quot;* \(#,##0\);_(&quot;$&quot;* &quot;-&quot;??_);_(@_)"/>
    <numFmt numFmtId="179" formatCode="_(&quot;$&quot;* #,##0_);_(&quot;$&quot;* \(#,##0\);_(&quot;$&quot;* &quot;-&quot;?_);_(@_)"/>
    <numFmt numFmtId="180" formatCode="_(* #,##0_);_(* \(#,##0\);_(* &quot;-&quot;?_);_(@_)"/>
    <numFmt numFmtId="181" formatCode="[$-F400]h:mm:ss\ AM/PM"/>
    <numFmt numFmtId="182" formatCode="_(* #,##0_);_(* \(#,##0\);_(* &quot;-&quot;??_);_(@_)"/>
    <numFmt numFmtId="183" formatCode="* _(&quot;$&quot;#,##0_);* \(&quot;$&quot;#,##0\);* _(&quot;-&quot;?_);_(@_)"/>
  </numFmts>
  <fonts count="29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2"/>
      <color theme="1"/>
      <name val="Trebuchet MS"/>
      <family val="2"/>
      <scheme val="minor"/>
    </font>
    <font>
      <sz val="12"/>
      <color theme="1"/>
      <name val="Trebuchet MS"/>
      <family val="2"/>
      <scheme val="minor"/>
    </font>
    <font>
      <b/>
      <sz val="12"/>
      <color theme="0"/>
      <name val="Trebuchet MS"/>
      <family val="2"/>
      <scheme val="minor"/>
    </font>
    <font>
      <b/>
      <sz val="12"/>
      <name val="Trebuchet MS"/>
      <family val="2"/>
      <scheme val="minor"/>
    </font>
    <font>
      <b/>
      <sz val="11"/>
      <color rgb="FF0070C0"/>
      <name val="Trebuchet MS"/>
      <family val="2"/>
      <scheme val="minor"/>
    </font>
    <font>
      <sz val="11"/>
      <color rgb="FF0070C0"/>
      <name val="Trebuchet MS"/>
      <family val="2"/>
      <scheme val="minor"/>
    </font>
    <font>
      <sz val="10"/>
      <name val="Trebuchet MS"/>
      <family val="2"/>
      <scheme val="minor"/>
    </font>
    <font>
      <sz val="10"/>
      <color indexed="8"/>
      <name val="Trebuchet MS"/>
      <family val="2"/>
      <scheme val="minor"/>
    </font>
    <font>
      <i/>
      <sz val="12"/>
      <color indexed="8"/>
      <name val="Trebuchet MS"/>
      <family val="2"/>
      <scheme val="minor"/>
    </font>
    <font>
      <b/>
      <sz val="12"/>
      <color indexed="8"/>
      <name val="Trebuchet MS"/>
      <family val="2"/>
      <scheme val="minor"/>
    </font>
    <font>
      <sz val="12"/>
      <name val="Trebuchet MS"/>
      <family val="2"/>
      <scheme val="minor"/>
    </font>
    <font>
      <i/>
      <sz val="12"/>
      <name val="Trebuchet MS"/>
      <family val="2"/>
      <scheme val="minor"/>
    </font>
    <font>
      <i/>
      <sz val="12"/>
      <color theme="1"/>
      <name val="Trebuchet MS"/>
      <family val="2"/>
      <scheme val="minor"/>
    </font>
    <font>
      <b/>
      <sz val="12"/>
      <color rgb="FFFF0000"/>
      <name val="Trebuchet MS"/>
      <family val="2"/>
      <scheme val="minor"/>
    </font>
    <font>
      <sz val="11"/>
      <name val="Trebuchet MS"/>
      <family val="2"/>
      <scheme val="minor"/>
    </font>
    <font>
      <b/>
      <sz val="16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sz val="14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b/>
      <i/>
      <sz val="12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0"/>
      <name val="Arial"/>
      <family val="2"/>
    </font>
    <font>
      <b/>
      <sz val="12"/>
      <name val="Trebuchet MS"/>
      <family val="2"/>
      <scheme val="major"/>
    </font>
    <font>
      <sz val="12"/>
      <name val="Trebuchet MS"/>
      <family val="2"/>
      <scheme val="major"/>
    </font>
    <font>
      <u/>
      <sz val="11"/>
      <color theme="5"/>
      <name val="Trebuchet MS"/>
      <family val="2"/>
      <scheme val="minor"/>
    </font>
    <font>
      <sz val="11"/>
      <color rgb="FF00000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/>
      <right style="thin">
        <color theme="4" tint="0.39991454817346722"/>
      </right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/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7558519241921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88402966399123"/>
      </top>
      <bottom/>
      <diagonal/>
    </border>
    <border>
      <left/>
      <right/>
      <top style="thin">
        <color theme="4" tint="0.39988402966399123"/>
      </top>
      <bottom/>
      <diagonal/>
    </border>
    <border>
      <left/>
      <right style="thin">
        <color theme="4" tint="0.39988402966399123"/>
      </right>
      <top style="thin">
        <color theme="4" tint="0.39988402966399123"/>
      </top>
      <bottom/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88402966399123"/>
      </bottom>
      <diagonal/>
    </border>
    <border>
      <left/>
      <right/>
      <top style="thin">
        <color theme="4" tint="0.39991454817346722"/>
      </top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88402966399123"/>
      </bottom>
      <diagonal/>
    </border>
    <border>
      <left/>
      <right/>
      <top/>
      <bottom style="thin">
        <color theme="4" tint="0.39988402966399123"/>
      </bottom>
      <diagonal/>
    </border>
    <border>
      <left/>
      <right style="thin">
        <color theme="4" tint="0.39988402966399123"/>
      </right>
      <top/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91454817346722"/>
      </bottom>
      <diagonal/>
    </border>
    <border>
      <left/>
      <right/>
      <top/>
      <bottom style="thin">
        <color theme="4" tint="0.39991454817346722"/>
      </bottom>
      <diagonal/>
    </border>
    <border>
      <left/>
      <right style="thin">
        <color theme="4" tint="0.39988402966399123"/>
      </right>
      <top/>
      <bottom style="thin">
        <color theme="4" tint="0.39991454817346722"/>
      </bottom>
      <diagonal/>
    </border>
    <border>
      <left style="thin">
        <color theme="4" tint="0.39985351115451523"/>
      </left>
      <right/>
      <top style="thin">
        <color theme="4" tint="0.39985351115451523"/>
      </top>
      <bottom/>
      <diagonal/>
    </border>
    <border>
      <left/>
      <right/>
      <top style="thin">
        <color theme="4" tint="0.39985351115451523"/>
      </top>
      <bottom/>
      <diagonal/>
    </border>
    <border>
      <left/>
      <right style="thin">
        <color theme="4" tint="0.39985351115451523"/>
      </right>
      <top style="thin">
        <color theme="4" tint="0.39985351115451523"/>
      </top>
      <bottom/>
      <diagonal/>
    </border>
    <border>
      <left style="thin">
        <color theme="4" tint="0.39985351115451523"/>
      </left>
      <right/>
      <top/>
      <bottom style="thin">
        <color theme="4" tint="0.39985351115451523"/>
      </bottom>
      <diagonal/>
    </border>
    <border>
      <left/>
      <right/>
      <top/>
      <bottom style="thin">
        <color theme="4" tint="0.39985351115451523"/>
      </bottom>
      <diagonal/>
    </border>
    <border>
      <left/>
      <right style="thin">
        <color theme="4" tint="0.39985351115451523"/>
      </right>
      <top/>
      <bottom style="thin">
        <color theme="4" tint="0.39985351115451523"/>
      </bottom>
      <diagonal/>
    </border>
    <border>
      <left style="thin">
        <color theme="4" tint="0.39982299264503923"/>
      </left>
      <right/>
      <top style="thin">
        <color theme="4" tint="0.39982299264503923"/>
      </top>
      <bottom style="thin">
        <color theme="4" tint="0.39982299264503923"/>
      </bottom>
      <diagonal/>
    </border>
    <border>
      <left/>
      <right/>
      <top style="thin">
        <color theme="4" tint="0.399822992645039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2299264503923"/>
      </top>
      <bottom style="thin">
        <color theme="4" tint="0.39982299264503923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 style="thin">
        <color theme="4" tint="0.39985351115451523"/>
      </left>
      <right/>
      <top style="thin">
        <color theme="4" tint="0.39988402966399123"/>
      </top>
      <bottom/>
      <diagonal/>
    </border>
    <border>
      <left/>
      <right style="thin">
        <color theme="4" tint="0.39985351115451523"/>
      </right>
      <top style="thin">
        <color theme="4" tint="0.39988402966399123"/>
      </top>
      <bottom/>
      <diagonal/>
    </border>
    <border>
      <left style="thin">
        <color theme="4" tint="0.39985351115451523"/>
      </left>
      <right/>
      <top/>
      <bottom style="thin">
        <color theme="4" tint="0.39988402966399123"/>
      </bottom>
      <diagonal/>
    </border>
    <border>
      <left/>
      <right style="thin">
        <color theme="4" tint="0.39985351115451523"/>
      </right>
      <top/>
      <bottom style="thin">
        <color theme="4" tint="0.39988402966399123"/>
      </bottom>
      <diagonal/>
    </border>
    <border>
      <left style="thin">
        <color theme="4" tint="0.39985351115451523"/>
      </left>
      <right/>
      <top/>
      <bottom/>
      <diagonal/>
    </border>
    <border>
      <left/>
      <right style="thin">
        <color theme="4" tint="0.39985351115451523"/>
      </right>
      <top/>
      <bottom/>
      <diagonal/>
    </border>
    <border>
      <left style="thin">
        <color theme="4" tint="0.39985351115451523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5351115451523"/>
      </right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/>
      <diagonal/>
    </border>
    <border>
      <left/>
      <right style="thin">
        <color theme="4" tint="0.39982299264503923"/>
      </right>
      <top/>
      <bottom style="thin">
        <color theme="4" tint="0.39988402966399123"/>
      </bottom>
      <diagonal/>
    </border>
    <border>
      <left/>
      <right style="thin">
        <color theme="4" tint="0.39982299264503923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hair">
        <color indexed="23"/>
      </bottom>
      <diagonal/>
    </border>
    <border>
      <left style="thin">
        <color theme="4" tint="0.39985351115451523"/>
      </left>
      <right/>
      <top style="thin">
        <color theme="4" tint="0.399884029663991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/>
      <diagonal/>
    </border>
    <border>
      <left style="thin">
        <color theme="4" tint="0.39985351115451523"/>
      </left>
      <right/>
      <top/>
      <bottom style="thin">
        <color theme="4" tint="0.39982299264503923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88402966399123"/>
      </top>
      <bottom/>
      <diagonal/>
    </border>
    <border>
      <left/>
      <right style="thin">
        <color theme="4" tint="0.39994506668294322"/>
      </right>
      <top/>
      <bottom/>
      <diagonal/>
    </border>
    <border>
      <left/>
      <right/>
      <top style="thin">
        <color theme="4" tint="0.39988402966399123"/>
      </top>
      <bottom style="thin">
        <color theme="4" tint="0.39982299264503923"/>
      </bottom>
      <diagonal/>
    </border>
    <border>
      <left style="thin">
        <color theme="4" tint="0.39985351115451523"/>
      </left>
      <right/>
      <top style="thin">
        <color theme="4" tint="0.39982299264503923"/>
      </top>
      <bottom style="thin">
        <color theme="4" tint="0.39991454817346722"/>
      </bottom>
      <diagonal/>
    </border>
    <border>
      <left/>
      <right/>
      <top style="thin">
        <color theme="4" tint="0.39982299264503923"/>
      </top>
      <bottom style="thin">
        <color theme="4" tint="0.39991454817346722"/>
      </bottom>
      <diagonal/>
    </border>
    <border>
      <left/>
      <right/>
      <top style="thin">
        <color theme="4" tint="0.39982299264503923"/>
      </top>
      <bottom/>
      <diagonal/>
    </border>
    <border>
      <left/>
      <right/>
      <top/>
      <bottom style="thin">
        <color theme="4" tint="0.39982299264503923"/>
      </bottom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" fontId="9" fillId="0" borderId="0"/>
    <xf numFmtId="174" fontId="3" fillId="0" borderId="0" applyFont="0" applyFill="0" applyBorder="0" applyProtection="0">
      <protection locked="0"/>
    </xf>
    <xf numFmtId="181" fontId="24" fillId="0" borderId="0"/>
    <xf numFmtId="0" fontId="27" fillId="0" borderId="0" applyNumberFormat="0" applyFill="0" applyBorder="0" applyAlignment="0" applyProtection="0"/>
  </cellStyleXfs>
  <cellXfs count="403">
    <xf numFmtId="0" fontId="0" fillId="0" borderId="0" xfId="0"/>
    <xf numFmtId="22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166" fontId="0" fillId="0" borderId="0" xfId="0" applyNumberFormat="1"/>
    <xf numFmtId="10" fontId="0" fillId="0" borderId="0" xfId="2" applyNumberFormat="1" applyFont="1"/>
    <xf numFmtId="0" fontId="0" fillId="0" borderId="0" xfId="0" applyAlignment="1">
      <alignment vertical="top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1" applyNumberFormat="1" applyFont="1"/>
    <xf numFmtId="2" fontId="0" fillId="0" borderId="0" xfId="1" applyNumberFormat="1" applyFont="1"/>
    <xf numFmtId="168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/>
    <xf numFmtId="169" fontId="0" fillId="0" borderId="0" xfId="0" applyNumberFormat="1"/>
    <xf numFmtId="170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 applyBorder="1"/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0" xfId="0" applyFont="1" applyAlignment="1">
      <alignment vertical="top" wrapText="1"/>
    </xf>
    <xf numFmtId="9" fontId="4" fillId="0" borderId="0" xfId="2" applyFont="1" applyAlignment="1">
      <alignment vertical="top" wrapText="1"/>
    </xf>
    <xf numFmtId="0" fontId="4" fillId="3" borderId="3" xfId="0" applyFont="1" applyFill="1" applyBorder="1" applyAlignment="1"/>
    <xf numFmtId="0" fontId="4" fillId="0" borderId="3" xfId="0" applyFont="1" applyBorder="1" applyAlignment="1">
      <alignment wrapText="1"/>
    </xf>
    <xf numFmtId="0" fontId="4" fillId="3" borderId="3" xfId="0" applyFont="1" applyFill="1" applyBorder="1" applyAlignment="1">
      <alignment wrapText="1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171" fontId="4" fillId="0" borderId="3" xfId="0" applyNumberFormat="1" applyFont="1" applyBorder="1" applyAlignment="1">
      <alignment horizontal="center" wrapText="1"/>
    </xf>
    <xf numFmtId="171" fontId="4" fillId="3" borderId="3" xfId="0" applyNumberFormat="1" applyFont="1" applyFill="1" applyBorder="1" applyAlignment="1">
      <alignment horizontal="center" wrapText="1"/>
    </xf>
    <xf numFmtId="0" fontId="4" fillId="3" borderId="5" xfId="0" applyFont="1" applyFill="1" applyBorder="1" applyAlignment="1"/>
    <xf numFmtId="170" fontId="4" fillId="3" borderId="5" xfId="2" applyNumberFormat="1" applyFont="1" applyFill="1" applyBorder="1" applyAlignment="1">
      <alignment horizontal="center"/>
    </xf>
    <xf numFmtId="0" fontId="4" fillId="0" borderId="5" xfId="0" applyFont="1" applyBorder="1" applyAlignment="1">
      <alignment wrapText="1"/>
    </xf>
    <xf numFmtId="170" fontId="4" fillId="0" borderId="5" xfId="2" applyNumberFormat="1" applyFont="1" applyBorder="1" applyAlignment="1">
      <alignment horizontal="center" wrapText="1"/>
    </xf>
    <xf numFmtId="0" fontId="4" fillId="3" borderId="7" xfId="0" applyFont="1" applyFill="1" applyBorder="1" applyAlignment="1"/>
    <xf numFmtId="0" fontId="4" fillId="0" borderId="7" xfId="0" applyFont="1" applyBorder="1" applyAlignment="1"/>
    <xf numFmtId="167" fontId="4" fillId="0" borderId="8" xfId="1" applyNumberFormat="1" applyFont="1" applyBorder="1" applyAlignment="1">
      <alignment horizontal="right"/>
    </xf>
    <xf numFmtId="172" fontId="4" fillId="0" borderId="8" xfId="1" applyNumberFormat="1" applyFont="1" applyBorder="1" applyAlignment="1">
      <alignment horizontal="right"/>
    </xf>
    <xf numFmtId="3" fontId="4" fillId="3" borderId="8" xfId="1" applyNumberFormat="1" applyFont="1" applyFill="1" applyBorder="1" applyAlignment="1">
      <alignment horizontal="right"/>
    </xf>
    <xf numFmtId="10" fontId="4" fillId="3" borderId="8" xfId="2" applyNumberFormat="1" applyFont="1" applyFill="1" applyBorder="1" applyAlignment="1">
      <alignment horizontal="right"/>
    </xf>
    <xf numFmtId="37" fontId="4" fillId="3" borderId="8" xfId="3" applyNumberFormat="1" applyFont="1" applyFill="1" applyBorder="1" applyAlignment="1">
      <alignment wrapText="1"/>
    </xf>
    <xf numFmtId="2" fontId="4" fillId="0" borderId="8" xfId="0" applyNumberFormat="1" applyFont="1" applyBorder="1" applyAlignment="1">
      <alignment horizontal="right" wrapText="1"/>
    </xf>
    <xf numFmtId="0" fontId="0" fillId="0" borderId="0" xfId="0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0" fillId="0" borderId="0" xfId="0" applyBorder="1" applyAlignment="1">
      <alignment horizontal="left" vertical="top" wrapText="1"/>
    </xf>
    <xf numFmtId="0" fontId="4" fillId="0" borderId="11" xfId="0" applyFont="1" applyBorder="1" applyAlignment="1"/>
    <xf numFmtId="171" fontId="4" fillId="0" borderId="12" xfId="0" applyNumberFormat="1" applyFont="1" applyBorder="1" applyAlignment="1">
      <alignment horizontal="center" wrapText="1"/>
    </xf>
    <xf numFmtId="0" fontId="4" fillId="3" borderId="11" xfId="0" applyFont="1" applyFill="1" applyBorder="1" applyAlignment="1">
      <alignment wrapText="1"/>
    </xf>
    <xf numFmtId="171" fontId="4" fillId="3" borderId="12" xfId="0" applyNumberFormat="1" applyFont="1" applyFill="1" applyBorder="1" applyAlignment="1">
      <alignment horizontal="center" wrapText="1"/>
    </xf>
    <xf numFmtId="0" fontId="4" fillId="0" borderId="13" xfId="0" applyFont="1" applyBorder="1" applyAlignment="1"/>
    <xf numFmtId="0" fontId="4" fillId="0" borderId="14" xfId="0" applyFont="1" applyBorder="1" applyAlignment="1">
      <alignment wrapText="1"/>
    </xf>
    <xf numFmtId="171" fontId="4" fillId="0" borderId="14" xfId="0" applyNumberFormat="1" applyFont="1" applyBorder="1" applyAlignment="1">
      <alignment horizontal="center" wrapText="1"/>
    </xf>
    <xf numFmtId="171" fontId="4" fillId="0" borderId="15" xfId="0" applyNumberFormat="1" applyFont="1" applyBorder="1" applyAlignment="1">
      <alignment horizontal="center" wrapText="1"/>
    </xf>
    <xf numFmtId="0" fontId="4" fillId="3" borderId="19" xfId="0" applyFont="1" applyFill="1" applyBorder="1" applyAlignment="1"/>
    <xf numFmtId="170" fontId="4" fillId="3" borderId="20" xfId="2" applyNumberFormat="1" applyFont="1" applyFill="1" applyBorder="1" applyAlignment="1">
      <alignment horizontal="center"/>
    </xf>
    <xf numFmtId="0" fontId="4" fillId="0" borderId="19" xfId="0" applyFont="1" applyBorder="1" applyAlignment="1"/>
    <xf numFmtId="170" fontId="4" fillId="0" borderId="20" xfId="2" applyNumberFormat="1" applyFont="1" applyBorder="1" applyAlignment="1">
      <alignment horizontal="center" wrapText="1"/>
    </xf>
    <xf numFmtId="0" fontId="4" fillId="3" borderId="21" xfId="0" applyFont="1" applyFill="1" applyBorder="1" applyAlignment="1"/>
    <xf numFmtId="0" fontId="4" fillId="3" borderId="22" xfId="0" applyFont="1" applyFill="1" applyBorder="1" applyAlignment="1"/>
    <xf numFmtId="170" fontId="4" fillId="3" borderId="22" xfId="2" applyNumberFormat="1" applyFont="1" applyFill="1" applyBorder="1" applyAlignment="1">
      <alignment horizontal="center"/>
    </xf>
    <xf numFmtId="170" fontId="4" fillId="3" borderId="23" xfId="2" applyNumberFormat="1" applyFont="1" applyFill="1" applyBorder="1" applyAlignment="1">
      <alignment horizontal="center"/>
    </xf>
    <xf numFmtId="0" fontId="4" fillId="3" borderId="9" xfId="0" applyFont="1" applyFill="1" applyBorder="1" applyAlignment="1"/>
    <xf numFmtId="0" fontId="4" fillId="3" borderId="0" xfId="0" applyFont="1" applyFill="1" applyBorder="1" applyAlignment="1"/>
    <xf numFmtId="171" fontId="4" fillId="3" borderId="0" xfId="0" applyNumberFormat="1" applyFont="1" applyFill="1" applyBorder="1" applyAlignment="1">
      <alignment horizontal="center"/>
    </xf>
    <xf numFmtId="171" fontId="4" fillId="3" borderId="10" xfId="0" applyNumberFormat="1" applyFont="1" applyFill="1" applyBorder="1" applyAlignment="1">
      <alignment horizontal="center"/>
    </xf>
    <xf numFmtId="0" fontId="5" fillId="4" borderId="24" xfId="0" applyFont="1" applyFill="1" applyBorder="1"/>
    <xf numFmtId="0" fontId="3" fillId="4" borderId="25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/>
    </xf>
    <xf numFmtId="0" fontId="4" fillId="3" borderId="27" xfId="0" applyFont="1" applyFill="1" applyBorder="1" applyAlignment="1"/>
    <xf numFmtId="0" fontId="4" fillId="3" borderId="28" xfId="0" applyFont="1" applyFill="1" applyBorder="1" applyAlignment="1"/>
    <xf numFmtId="170" fontId="4" fillId="3" borderId="28" xfId="2" applyNumberFormat="1" applyFont="1" applyFill="1" applyBorder="1" applyAlignment="1">
      <alignment horizontal="center"/>
    </xf>
    <xf numFmtId="170" fontId="4" fillId="3" borderId="29" xfId="2" applyNumberFormat="1" applyFont="1" applyFill="1" applyBorder="1" applyAlignment="1">
      <alignment horizontal="center"/>
    </xf>
    <xf numFmtId="0" fontId="5" fillId="4" borderId="33" xfId="0" applyFont="1" applyFill="1" applyBorder="1"/>
    <xf numFmtId="0" fontId="3" fillId="4" borderId="34" xfId="0" applyFont="1" applyFill="1" applyBorder="1" applyAlignment="1">
      <alignment horizontal="center"/>
    </xf>
    <xf numFmtId="0" fontId="3" fillId="4" borderId="35" xfId="0" applyFont="1" applyFill="1" applyBorder="1" applyAlignment="1">
      <alignment horizontal="center"/>
    </xf>
    <xf numFmtId="0" fontId="4" fillId="3" borderId="36" xfId="0" applyFont="1" applyFill="1" applyBorder="1" applyAlignment="1"/>
    <xf numFmtId="0" fontId="4" fillId="3" borderId="37" xfId="0" applyFont="1" applyFill="1" applyBorder="1" applyAlignment="1"/>
    <xf numFmtId="170" fontId="4" fillId="3" borderId="37" xfId="2" applyNumberFormat="1" applyFont="1" applyFill="1" applyBorder="1" applyAlignment="1"/>
    <xf numFmtId="170" fontId="4" fillId="3" borderId="38" xfId="2" applyNumberFormat="1" applyFont="1" applyFill="1" applyBorder="1" applyAlignment="1"/>
    <xf numFmtId="0" fontId="4" fillId="0" borderId="36" xfId="0" applyFont="1" applyBorder="1" applyAlignment="1"/>
    <xf numFmtId="0" fontId="4" fillId="0" borderId="37" xfId="0" applyFont="1" applyBorder="1" applyAlignment="1">
      <alignment wrapText="1"/>
    </xf>
    <xf numFmtId="170" fontId="4" fillId="0" borderId="37" xfId="2" applyNumberFormat="1" applyFont="1" applyBorder="1" applyAlignment="1">
      <alignment wrapText="1"/>
    </xf>
    <xf numFmtId="170" fontId="4" fillId="0" borderId="38" xfId="2" applyNumberFormat="1" applyFont="1" applyBorder="1" applyAlignment="1">
      <alignment wrapText="1"/>
    </xf>
    <xf numFmtId="0" fontId="4" fillId="3" borderId="39" xfId="0" applyFont="1" applyFill="1" applyBorder="1" applyAlignment="1"/>
    <xf numFmtId="167" fontId="4" fillId="3" borderId="40" xfId="1" applyNumberFormat="1" applyFont="1" applyFill="1" applyBorder="1" applyAlignment="1">
      <alignment horizontal="right"/>
    </xf>
    <xf numFmtId="172" fontId="4" fillId="3" borderId="40" xfId="1" applyNumberFormat="1" applyFont="1" applyFill="1" applyBorder="1" applyAlignment="1">
      <alignment horizontal="right"/>
    </xf>
    <xf numFmtId="0" fontId="1" fillId="0" borderId="0" xfId="0" applyFont="1" applyAlignment="1">
      <alignment horizontal="right" indent="1"/>
    </xf>
    <xf numFmtId="0" fontId="3" fillId="0" borderId="0" xfId="0" applyFont="1" applyBorder="1"/>
    <xf numFmtId="0" fontId="4" fillId="0" borderId="2" xfId="0" applyFont="1" applyBorder="1"/>
    <xf numFmtId="172" fontId="4" fillId="0" borderId="0" xfId="1" applyNumberFormat="1" applyFont="1" applyAlignment="1">
      <alignment horizontal="left"/>
    </xf>
    <xf numFmtId="14" fontId="4" fillId="0" borderId="0" xfId="0" applyNumberFormat="1" applyFont="1" applyBorder="1"/>
    <xf numFmtId="0" fontId="4" fillId="0" borderId="0" xfId="0" applyFont="1" applyAlignment="1">
      <alignment horizontal="center"/>
    </xf>
    <xf numFmtId="167" fontId="6" fillId="0" borderId="0" xfId="1" applyNumberFormat="1" applyFont="1" applyAlignment="1">
      <alignment horizontal="left"/>
    </xf>
    <xf numFmtId="170" fontId="4" fillId="3" borderId="40" xfId="2" applyNumberFormat="1" applyFont="1" applyFill="1" applyBorder="1" applyAlignment="1">
      <alignment horizontal="right"/>
    </xf>
    <xf numFmtId="0" fontId="3" fillId="4" borderId="4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1" fillId="4" borderId="16" xfId="0" applyFont="1" applyFill="1" applyBorder="1" applyAlignment="1">
      <alignment vertical="center"/>
    </xf>
    <xf numFmtId="0" fontId="1" fillId="4" borderId="41" xfId="0" applyFont="1" applyFill="1" applyBorder="1" applyAlignment="1"/>
    <xf numFmtId="0" fontId="1" fillId="4" borderId="44" xfId="0" applyFont="1" applyFill="1" applyBorder="1" applyAlignment="1">
      <alignment horizontal="center"/>
    </xf>
    <xf numFmtId="0" fontId="1" fillId="4" borderId="25" xfId="0" applyFont="1" applyFill="1" applyBorder="1" applyAlignment="1">
      <alignment horizontal="center"/>
    </xf>
    <xf numFmtId="0" fontId="0" fillId="3" borderId="9" xfId="0" applyFont="1" applyFill="1" applyBorder="1" applyAlignment="1"/>
    <xf numFmtId="167" fontId="0" fillId="3" borderId="46" xfId="0" applyNumberFormat="1" applyFont="1" applyFill="1" applyBorder="1" applyAlignment="1">
      <alignment horizontal="right"/>
    </xf>
    <xf numFmtId="167" fontId="0" fillId="3" borderId="0" xfId="0" applyNumberFormat="1" applyFont="1" applyFill="1" applyBorder="1" applyAlignment="1">
      <alignment horizontal="right"/>
    </xf>
    <xf numFmtId="172" fontId="0" fillId="3" borderId="0" xfId="0" applyNumberFormat="1" applyFont="1" applyFill="1" applyBorder="1" applyAlignment="1">
      <alignment horizontal="right"/>
    </xf>
    <xf numFmtId="0" fontId="0" fillId="0" borderId="13" xfId="0" applyFont="1" applyBorder="1" applyAlignment="1"/>
    <xf numFmtId="170" fontId="0" fillId="0" borderId="48" xfId="2" applyNumberFormat="1" applyFont="1" applyBorder="1" applyAlignment="1">
      <alignment horizontal="right" wrapText="1"/>
    </xf>
    <xf numFmtId="170" fontId="0" fillId="0" borderId="14" xfId="2" applyNumberFormat="1" applyFont="1" applyBorder="1" applyAlignment="1">
      <alignment horizontal="right" wrapText="1"/>
    </xf>
    <xf numFmtId="9" fontId="0" fillId="0" borderId="48" xfId="2" applyFont="1" applyBorder="1" applyAlignment="1">
      <alignment horizontal="center" wrapText="1"/>
    </xf>
    <xf numFmtId="9" fontId="0" fillId="0" borderId="14" xfId="2" applyFont="1" applyBorder="1" applyAlignment="1">
      <alignment horizontal="center" wrapText="1"/>
    </xf>
    <xf numFmtId="172" fontId="0" fillId="3" borderId="46" xfId="0" applyNumberFormat="1" applyFont="1" applyFill="1" applyBorder="1" applyAlignment="1">
      <alignment horizontal="right"/>
    </xf>
    <xf numFmtId="0" fontId="0" fillId="0" borderId="0" xfId="0" applyFont="1" applyAlignment="1">
      <alignment vertical="top" wrapText="1"/>
    </xf>
    <xf numFmtId="0" fontId="7" fillId="4" borderId="25" xfId="0" applyFont="1" applyFill="1" applyBorder="1" applyAlignment="1">
      <alignment horizontal="center"/>
    </xf>
    <xf numFmtId="0" fontId="7" fillId="4" borderId="45" xfId="0" applyFont="1" applyFill="1" applyBorder="1" applyAlignment="1">
      <alignment horizontal="center"/>
    </xf>
    <xf numFmtId="172" fontId="8" fillId="3" borderId="0" xfId="0" applyNumberFormat="1" applyFont="1" applyFill="1" applyBorder="1" applyAlignment="1">
      <alignment horizontal="right"/>
    </xf>
    <xf numFmtId="172" fontId="8" fillId="3" borderId="47" xfId="0" applyNumberFormat="1" applyFont="1" applyFill="1" applyBorder="1" applyAlignment="1">
      <alignment horizontal="right"/>
    </xf>
    <xf numFmtId="170" fontId="8" fillId="0" borderId="14" xfId="2" applyNumberFormat="1" applyFont="1" applyBorder="1" applyAlignment="1">
      <alignment horizontal="right" wrapText="1"/>
    </xf>
    <xf numFmtId="170" fontId="8" fillId="0" borderId="49" xfId="2" applyNumberFormat="1" applyFont="1" applyBorder="1" applyAlignment="1">
      <alignment horizontal="right" wrapText="1"/>
    </xf>
    <xf numFmtId="0" fontId="7" fillId="4" borderId="51" xfId="0" applyFont="1" applyFill="1" applyBorder="1" applyAlignment="1">
      <alignment horizontal="center"/>
    </xf>
    <xf numFmtId="167" fontId="8" fillId="3" borderId="0" xfId="0" applyNumberFormat="1" applyFont="1" applyFill="1" applyBorder="1" applyAlignment="1">
      <alignment horizontal="right"/>
    </xf>
    <xf numFmtId="167" fontId="8" fillId="3" borderId="47" xfId="0" applyNumberFormat="1" applyFont="1" applyFill="1" applyBorder="1" applyAlignment="1">
      <alignment horizontal="right"/>
    </xf>
    <xf numFmtId="167" fontId="8" fillId="3" borderId="52" xfId="0" applyNumberFormat="1" applyFont="1" applyFill="1" applyBorder="1" applyAlignment="1">
      <alignment horizontal="right"/>
    </xf>
    <xf numFmtId="0" fontId="1" fillId="5" borderId="1" xfId="0" applyFont="1" applyFill="1" applyBorder="1" applyAlignment="1">
      <alignment horizontal="center"/>
    </xf>
    <xf numFmtId="0" fontId="0" fillId="5" borderId="53" xfId="0" applyFill="1" applyBorder="1" applyAlignment="1">
      <alignment horizontal="center"/>
    </xf>
    <xf numFmtId="0" fontId="0" fillId="5" borderId="54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1" fontId="13" fillId="0" borderId="0" xfId="4" applyFont="1" applyAlignment="1">
      <alignment horizontal="left"/>
    </xf>
    <xf numFmtId="1" fontId="3" fillId="0" borderId="0" xfId="4" applyFont="1"/>
    <xf numFmtId="10" fontId="3" fillId="0" borderId="0" xfId="4" applyNumberFormat="1" applyFont="1" applyProtection="1"/>
    <xf numFmtId="1" fontId="3" fillId="0" borderId="0" xfId="4" applyFont="1" applyProtection="1"/>
    <xf numFmtId="1" fontId="13" fillId="0" borderId="0" xfId="4" applyFont="1" applyAlignment="1" applyProtection="1">
      <alignment horizontal="left"/>
    </xf>
    <xf numFmtId="1" fontId="6" fillId="0" borderId="0" xfId="4" applyFont="1" applyAlignment="1" applyProtection="1">
      <alignment horizontal="right"/>
    </xf>
    <xf numFmtId="1" fontId="3" fillId="6" borderId="0" xfId="4" applyFont="1" applyFill="1" applyProtection="1"/>
    <xf numFmtId="10" fontId="4" fillId="6" borderId="0" xfId="4" applyNumberFormat="1" applyFont="1" applyFill="1" applyBorder="1" applyProtection="1"/>
    <xf numFmtId="175" fontId="4" fillId="0" borderId="0" xfId="4" applyNumberFormat="1" applyFont="1" applyBorder="1" applyProtection="1"/>
    <xf numFmtId="174" fontId="3" fillId="0" borderId="0" xfId="5" applyNumberFormat="1" applyFont="1" applyProtection="1"/>
    <xf numFmtId="1" fontId="13" fillId="0" borderId="0" xfId="4" applyFont="1" applyAlignment="1" applyProtection="1">
      <alignment horizontal="right"/>
    </xf>
    <xf numFmtId="174" fontId="3" fillId="6" borderId="0" xfId="5" applyNumberFormat="1" applyFont="1" applyFill="1" applyProtection="1"/>
    <xf numFmtId="175" fontId="4" fillId="6" borderId="0" xfId="4" applyNumberFormat="1" applyFont="1" applyFill="1" applyBorder="1" applyProtection="1">
      <protection hidden="1"/>
    </xf>
    <xf numFmtId="175" fontId="4" fillId="6" borderId="0" xfId="4" applyNumberFormat="1" applyFont="1" applyFill="1" applyProtection="1">
      <protection hidden="1"/>
    </xf>
    <xf numFmtId="174" fontId="3" fillId="0" borderId="0" xfId="5" applyFont="1" applyProtection="1"/>
    <xf numFmtId="0" fontId="17" fillId="0" borderId="0" xfId="4" applyNumberFormat="1" applyFont="1" applyFill="1" applyBorder="1" applyAlignment="1" applyProtection="1">
      <alignment vertical="top"/>
    </xf>
    <xf numFmtId="174" fontId="6" fillId="0" borderId="0" xfId="4" applyNumberFormat="1" applyFont="1" applyFill="1" applyBorder="1" applyAlignment="1" applyProtection="1">
      <alignment vertical="top"/>
    </xf>
    <xf numFmtId="176" fontId="3" fillId="0" borderId="68" xfId="4" applyNumberFormat="1" applyFont="1" applyBorder="1" applyProtection="1"/>
    <xf numFmtId="177" fontId="14" fillId="0" borderId="0" xfId="4" applyNumberFormat="1" applyFont="1" applyFill="1" applyBorder="1" applyAlignment="1" applyProtection="1">
      <alignment horizontal="right" vertical="top"/>
    </xf>
    <xf numFmtId="1" fontId="9" fillId="0" borderId="0" xfId="4" applyAlignment="1" applyProtection="1">
      <alignment horizontal="right"/>
    </xf>
    <xf numFmtId="5" fontId="3" fillId="0" borderId="0" xfId="4" applyNumberFormat="1" applyFont="1" applyProtection="1"/>
    <xf numFmtId="37" fontId="3" fillId="0" borderId="0" xfId="4" applyNumberFormat="1" applyFont="1" applyAlignment="1" applyProtection="1">
      <alignment horizontal="center"/>
    </xf>
    <xf numFmtId="167" fontId="19" fillId="0" borderId="69" xfId="4" applyNumberFormat="1" applyFont="1" applyBorder="1" applyAlignment="1" applyProtection="1">
      <alignment horizontal="center"/>
    </xf>
    <xf numFmtId="167" fontId="3" fillId="0" borderId="0" xfId="4" applyNumberFormat="1" applyFont="1" applyBorder="1" applyAlignment="1" applyProtection="1">
      <alignment horizontal="center"/>
    </xf>
    <xf numFmtId="0" fontId="13" fillId="0" borderId="0" xfId="4" applyNumberFormat="1" applyFont="1" applyFill="1" applyBorder="1" applyAlignment="1" applyProtection="1">
      <alignment horizontal="right" vertical="top"/>
    </xf>
    <xf numFmtId="167" fontId="21" fillId="0" borderId="0" xfId="4" applyNumberFormat="1" applyFont="1" applyBorder="1" applyAlignment="1" applyProtection="1">
      <alignment horizontal="center"/>
    </xf>
    <xf numFmtId="1" fontId="20" fillId="0" borderId="0" xfId="4" applyFont="1" applyProtection="1"/>
    <xf numFmtId="1" fontId="18" fillId="0" borderId="0" xfId="4" applyFont="1" applyAlignment="1" applyProtection="1">
      <alignment horizontal="center"/>
    </xf>
    <xf numFmtId="1" fontId="18" fillId="6" borderId="0" xfId="4" applyNumberFormat="1" applyFont="1" applyFill="1" applyBorder="1" applyAlignment="1" applyProtection="1">
      <alignment horizontal="center" vertical="center"/>
    </xf>
    <xf numFmtId="174" fontId="3" fillId="6" borderId="0" xfId="5" applyNumberFormat="1" applyFont="1" applyFill="1" applyBorder="1" applyProtection="1"/>
    <xf numFmtId="16" fontId="11" fillId="0" borderId="0" xfId="4" applyNumberFormat="1" applyFont="1" applyFill="1"/>
    <xf numFmtId="1" fontId="12" fillId="0" borderId="0" xfId="4" applyFont="1" applyFill="1" applyBorder="1" applyAlignment="1">
      <alignment horizontal="center"/>
    </xf>
    <xf numFmtId="1" fontId="3" fillId="0" borderId="0" xfId="4" applyFont="1" applyFill="1" applyBorder="1"/>
    <xf numFmtId="174" fontId="3" fillId="0" borderId="0" xfId="4" applyNumberFormat="1" applyFont="1" applyFill="1" applyBorder="1" applyAlignment="1" applyProtection="1">
      <alignment horizontal="right"/>
    </xf>
    <xf numFmtId="10" fontId="15" fillId="0" borderId="0" xfId="4" applyNumberFormat="1" applyFont="1" applyFill="1" applyBorder="1" applyAlignment="1" applyProtection="1">
      <alignment horizontal="right"/>
    </xf>
    <xf numFmtId="10" fontId="3" fillId="0" borderId="0" xfId="4" applyNumberFormat="1" applyFont="1" applyFill="1" applyBorder="1" applyAlignment="1" applyProtection="1">
      <alignment horizontal="right"/>
    </xf>
    <xf numFmtId="174" fontId="3" fillId="0" borderId="0" xfId="5" applyFont="1" applyFill="1" applyBorder="1" applyAlignment="1" applyProtection="1">
      <alignment horizontal="right"/>
    </xf>
    <xf numFmtId="2" fontId="15" fillId="0" borderId="0" xfId="4" applyNumberFormat="1" applyFont="1" applyFill="1" applyBorder="1" applyAlignment="1" applyProtection="1">
      <alignment horizontal="right"/>
    </xf>
    <xf numFmtId="1" fontId="3" fillId="0" borderId="0" xfId="4" applyFont="1" applyFill="1" applyBorder="1" applyAlignment="1" applyProtection="1">
      <alignment horizontal="right"/>
    </xf>
    <xf numFmtId="174" fontId="3" fillId="0" borderId="0" xfId="5" applyNumberFormat="1" applyFont="1" applyFill="1" applyBorder="1" applyAlignment="1" applyProtection="1">
      <alignment horizontal="right"/>
    </xf>
    <xf numFmtId="1" fontId="3" fillId="0" borderId="57" xfId="4" applyFont="1" applyFill="1" applyBorder="1" applyAlignment="1">
      <alignment horizontal="left"/>
    </xf>
    <xf numFmtId="1" fontId="3" fillId="0" borderId="58" xfId="4" applyFont="1" applyFill="1" applyBorder="1"/>
    <xf numFmtId="1" fontId="3" fillId="0" borderId="59" xfId="4" applyFont="1" applyFill="1" applyBorder="1"/>
    <xf numFmtId="10" fontId="3" fillId="0" borderId="60" xfId="4" applyNumberFormat="1" applyFont="1" applyFill="1" applyBorder="1" applyAlignment="1" applyProtection="1">
      <alignment horizontal="right"/>
    </xf>
    <xf numFmtId="10" fontId="3" fillId="0" borderId="61" xfId="4" applyNumberFormat="1" applyFont="1" applyFill="1" applyBorder="1" applyAlignment="1" applyProtection="1">
      <alignment horizontal="right"/>
    </xf>
    <xf numFmtId="1" fontId="3" fillId="0" borderId="60" xfId="4" applyFont="1" applyFill="1" applyBorder="1" applyAlignment="1" applyProtection="1">
      <alignment horizontal="right"/>
    </xf>
    <xf numFmtId="1" fontId="3" fillId="0" borderId="61" xfId="4" applyFont="1" applyFill="1" applyBorder="1" applyAlignment="1" applyProtection="1">
      <alignment horizontal="right"/>
    </xf>
    <xf numFmtId="10" fontId="13" fillId="6" borderId="0" xfId="4" applyNumberFormat="1" applyFont="1" applyFill="1" applyBorder="1" applyAlignment="1">
      <alignment horizontal="center"/>
    </xf>
    <xf numFmtId="41" fontId="13" fillId="6" borderId="0" xfId="5" applyNumberFormat="1" applyFont="1" applyFill="1" applyBorder="1" applyProtection="1"/>
    <xf numFmtId="0" fontId="13" fillId="6" borderId="0" xfId="4" applyNumberFormat="1" applyFont="1" applyFill="1" applyBorder="1"/>
    <xf numFmtId="10" fontId="6" fillId="6" borderId="0" xfId="4" applyNumberFormat="1" applyFont="1" applyFill="1" applyBorder="1" applyAlignment="1">
      <alignment horizontal="center"/>
    </xf>
    <xf numFmtId="10" fontId="13" fillId="6" borderId="0" xfId="2" applyNumberFormat="1" applyFont="1" applyFill="1" applyBorder="1" applyAlignment="1">
      <alignment horizontal="center" vertical="center" wrapText="1"/>
    </xf>
    <xf numFmtId="10" fontId="13" fillId="6" borderId="0" xfId="4" applyNumberFormat="1" applyFont="1" applyFill="1" applyBorder="1" applyAlignment="1" applyProtection="1">
      <alignment horizontal="center"/>
    </xf>
    <xf numFmtId="10" fontId="13" fillId="6" borderId="68" xfId="4" applyNumberFormat="1" applyFont="1" applyFill="1" applyBorder="1" applyAlignment="1" applyProtection="1">
      <alignment horizontal="center"/>
    </xf>
    <xf numFmtId="10" fontId="6" fillId="6" borderId="69" xfId="4" applyNumberFormat="1" applyFont="1" applyFill="1" applyBorder="1" applyAlignment="1" applyProtection="1">
      <alignment horizontal="center"/>
    </xf>
    <xf numFmtId="0" fontId="13" fillId="0" borderId="0" xfId="4" applyNumberFormat="1" applyFont="1" applyFill="1" applyBorder="1" applyAlignment="1" applyProtection="1">
      <alignment vertical="top"/>
    </xf>
    <xf numFmtId="0" fontId="9" fillId="6" borderId="0" xfId="4" applyNumberFormat="1" applyFont="1" applyFill="1" applyBorder="1" applyAlignment="1" applyProtection="1">
      <alignment horizontal="left"/>
    </xf>
    <xf numFmtId="2" fontId="13" fillId="6" borderId="0" xfId="4" applyNumberFormat="1" applyFont="1" applyFill="1" applyBorder="1" applyAlignment="1" applyProtection="1">
      <alignment horizontal="center"/>
    </xf>
    <xf numFmtId="1" fontId="13" fillId="6" borderId="60" xfId="4" applyFont="1" applyFill="1" applyBorder="1" applyAlignment="1">
      <alignment horizontal="right" indent="1"/>
    </xf>
    <xf numFmtId="1" fontId="22" fillId="6" borderId="60" xfId="4" applyFont="1" applyFill="1" applyBorder="1" applyAlignment="1">
      <alignment horizontal="right" indent="1"/>
    </xf>
    <xf numFmtId="1" fontId="13" fillId="6" borderId="0" xfId="4" applyFont="1" applyFill="1" applyBorder="1" applyAlignment="1">
      <alignment horizontal="left" indent="1"/>
    </xf>
    <xf numFmtId="1" fontId="13" fillId="6" borderId="0" xfId="4" applyFont="1" applyFill="1" applyBorder="1" applyAlignment="1">
      <alignment horizontal="right" indent="1"/>
    </xf>
    <xf numFmtId="1" fontId="13" fillId="6" borderId="0" xfId="4" applyFont="1" applyFill="1" applyBorder="1" applyAlignment="1">
      <alignment horizontal="left" indent="2"/>
    </xf>
    <xf numFmtId="0" fontId="0" fillId="0" borderId="0" xfId="0" applyBorder="1"/>
    <xf numFmtId="10" fontId="6" fillId="6" borderId="65" xfId="4" applyNumberFormat="1" applyFont="1" applyFill="1" applyBorder="1" applyAlignment="1" applyProtection="1">
      <alignment horizontal="center"/>
    </xf>
    <xf numFmtId="178" fontId="6" fillId="6" borderId="0" xfId="4" applyNumberFormat="1" applyFont="1" applyFill="1" applyBorder="1" applyAlignment="1">
      <alignment horizontal="center"/>
    </xf>
    <xf numFmtId="1" fontId="13" fillId="6" borderId="74" xfId="4" applyFont="1" applyFill="1" applyBorder="1" applyAlignment="1">
      <alignment horizontal="left" indent="1"/>
    </xf>
    <xf numFmtId="10" fontId="13" fillId="6" borderId="74" xfId="4" applyNumberFormat="1" applyFont="1" applyFill="1" applyBorder="1" applyAlignment="1">
      <alignment horizontal="center"/>
    </xf>
    <xf numFmtId="42" fontId="13" fillId="6" borderId="74" xfId="5" applyNumberFormat="1" applyFont="1" applyFill="1" applyBorder="1" applyProtection="1"/>
    <xf numFmtId="1" fontId="6" fillId="0" borderId="0" xfId="4" applyFont="1" applyAlignment="1" applyProtection="1">
      <alignment horizontal="right" indent="1"/>
    </xf>
    <xf numFmtId="178" fontId="3" fillId="0" borderId="0" xfId="4" applyNumberFormat="1" applyFont="1" applyAlignment="1" applyProtection="1">
      <alignment horizontal="right"/>
    </xf>
    <xf numFmtId="178" fontId="3" fillId="0" borderId="60" xfId="4" applyNumberFormat="1" applyFont="1" applyFill="1" applyBorder="1" applyAlignment="1" applyProtection="1">
      <alignment horizontal="right"/>
    </xf>
    <xf numFmtId="178" fontId="3" fillId="0" borderId="0" xfId="4" applyNumberFormat="1" applyFont="1" applyFill="1" applyBorder="1" applyAlignment="1" applyProtection="1">
      <alignment horizontal="right"/>
    </xf>
    <xf numFmtId="178" fontId="3" fillId="0" borderId="61" xfId="4" applyNumberFormat="1" applyFont="1" applyFill="1" applyBorder="1" applyAlignment="1" applyProtection="1">
      <alignment horizontal="right"/>
    </xf>
    <xf numFmtId="170" fontId="15" fillId="0" borderId="0" xfId="4" applyNumberFormat="1" applyFont="1" applyProtection="1"/>
    <xf numFmtId="170" fontId="15" fillId="2" borderId="70" xfId="4" applyNumberFormat="1" applyFont="1" applyFill="1" applyBorder="1" applyAlignment="1" applyProtection="1">
      <alignment horizontal="right"/>
    </xf>
    <xf numFmtId="170" fontId="15" fillId="2" borderId="71" xfId="4" applyNumberFormat="1" applyFont="1" applyFill="1" applyBorder="1" applyAlignment="1" applyProtection="1">
      <alignment horizontal="right"/>
    </xf>
    <xf numFmtId="170" fontId="15" fillId="2" borderId="72" xfId="4" applyNumberFormat="1" applyFont="1" applyFill="1" applyBorder="1" applyAlignment="1" applyProtection="1">
      <alignment horizontal="right"/>
    </xf>
    <xf numFmtId="171" fontId="15" fillId="0" borderId="0" xfId="4" applyNumberFormat="1" applyFont="1" applyProtection="1"/>
    <xf numFmtId="171" fontId="15" fillId="2" borderId="70" xfId="3" applyNumberFormat="1" applyFont="1" applyFill="1" applyBorder="1" applyAlignment="1" applyProtection="1">
      <alignment horizontal="right"/>
    </xf>
    <xf numFmtId="171" fontId="15" fillId="2" borderId="71" xfId="3" applyNumberFormat="1" applyFont="1" applyFill="1" applyBorder="1" applyAlignment="1" applyProtection="1">
      <alignment horizontal="right"/>
    </xf>
    <xf numFmtId="171" fontId="15" fillId="2" borderId="72" xfId="3" applyNumberFormat="1" applyFont="1" applyFill="1" applyBorder="1" applyAlignment="1" applyProtection="1">
      <alignment horizontal="right"/>
    </xf>
    <xf numFmtId="178" fontId="3" fillId="0" borderId="0" xfId="5" applyNumberFormat="1" applyFont="1" applyAlignment="1" applyProtection="1">
      <alignment horizontal="right"/>
    </xf>
    <xf numFmtId="178" fontId="3" fillId="0" borderId="60" xfId="5" applyNumberFormat="1" applyFont="1" applyFill="1" applyBorder="1" applyAlignment="1" applyProtection="1">
      <alignment horizontal="right"/>
    </xf>
    <xf numFmtId="178" fontId="3" fillId="0" borderId="0" xfId="5" applyNumberFormat="1" applyFont="1" applyFill="1" applyBorder="1" applyAlignment="1" applyProtection="1">
      <alignment horizontal="right"/>
    </xf>
    <xf numFmtId="178" fontId="3" fillId="0" borderId="61" xfId="5" applyNumberFormat="1" applyFont="1" applyFill="1" applyBorder="1" applyAlignment="1" applyProtection="1">
      <alignment horizontal="right"/>
    </xf>
    <xf numFmtId="179" fontId="3" fillId="0" borderId="62" xfId="5" applyNumberFormat="1" applyFont="1" applyBorder="1" applyProtection="1"/>
    <xf numFmtId="179" fontId="3" fillId="0" borderId="63" xfId="5" applyNumberFormat="1" applyFont="1" applyFill="1" applyBorder="1" applyAlignment="1" applyProtection="1">
      <alignment horizontal="right"/>
    </xf>
    <xf numFmtId="179" fontId="3" fillId="0" borderId="62" xfId="5" applyNumberFormat="1" applyFont="1" applyFill="1" applyBorder="1" applyAlignment="1" applyProtection="1">
      <alignment horizontal="right"/>
    </xf>
    <xf numFmtId="179" fontId="3" fillId="0" borderId="64" xfId="5" applyNumberFormat="1" applyFont="1" applyFill="1" applyBorder="1" applyAlignment="1" applyProtection="1">
      <alignment horizontal="right"/>
    </xf>
    <xf numFmtId="179" fontId="3" fillId="0" borderId="0" xfId="4" applyNumberFormat="1" applyFont="1" applyProtection="1"/>
    <xf numFmtId="179" fontId="3" fillId="0" borderId="60" xfId="4" applyNumberFormat="1" applyFont="1" applyFill="1" applyBorder="1" applyAlignment="1" applyProtection="1">
      <alignment horizontal="right"/>
    </xf>
    <xf numFmtId="179" fontId="3" fillId="0" borderId="0" xfId="4" applyNumberFormat="1" applyFont="1" applyFill="1" applyBorder="1" applyAlignment="1" applyProtection="1">
      <alignment horizontal="right"/>
    </xf>
    <xf numFmtId="179" fontId="3" fillId="0" borderId="61" xfId="4" applyNumberFormat="1" applyFont="1" applyFill="1" applyBorder="1" applyAlignment="1" applyProtection="1">
      <alignment horizontal="right"/>
    </xf>
    <xf numFmtId="179" fontId="3" fillId="0" borderId="65" xfId="5" applyNumberFormat="1" applyFont="1" applyBorder="1" applyProtection="1"/>
    <xf numFmtId="179" fontId="3" fillId="0" borderId="66" xfId="5" applyNumberFormat="1" applyFont="1" applyFill="1" applyBorder="1" applyAlignment="1" applyProtection="1">
      <alignment horizontal="right"/>
    </xf>
    <xf numFmtId="179" fontId="3" fillId="0" borderId="65" xfId="5" applyNumberFormat="1" applyFont="1" applyFill="1" applyBorder="1" applyAlignment="1" applyProtection="1">
      <alignment horizontal="right"/>
    </xf>
    <xf numFmtId="179" fontId="3" fillId="0" borderId="67" xfId="5" applyNumberFormat="1" applyFont="1" applyFill="1" applyBorder="1" applyAlignment="1" applyProtection="1">
      <alignment horizontal="right"/>
    </xf>
    <xf numFmtId="178" fontId="3" fillId="0" borderId="0" xfId="5" applyNumberFormat="1" applyFont="1" applyProtection="1"/>
    <xf numFmtId="178" fontId="3" fillId="6" borderId="0" xfId="5" applyNumberFormat="1" applyFont="1" applyFill="1" applyProtection="1"/>
    <xf numFmtId="178" fontId="3" fillId="6" borderId="65" xfId="5" applyNumberFormat="1" applyFont="1" applyFill="1" applyBorder="1" applyProtection="1"/>
    <xf numFmtId="178" fontId="3" fillId="0" borderId="75" xfId="5" applyNumberFormat="1" applyFont="1" applyBorder="1" applyProtection="1"/>
    <xf numFmtId="180" fontId="3" fillId="0" borderId="68" xfId="5" applyNumberFormat="1" applyFont="1" applyBorder="1" applyProtection="1"/>
    <xf numFmtId="178" fontId="6" fillId="6" borderId="69" xfId="4" applyNumberFormat="1" applyFont="1" applyFill="1" applyBorder="1" applyAlignment="1">
      <alignment horizontal="center"/>
    </xf>
    <xf numFmtId="10" fontId="6" fillId="6" borderId="69" xfId="4" applyNumberFormat="1" applyFont="1" applyFill="1" applyBorder="1" applyAlignment="1">
      <alignment horizontal="center"/>
    </xf>
    <xf numFmtId="1" fontId="22" fillId="6" borderId="0" xfId="4" applyFont="1" applyFill="1" applyBorder="1" applyAlignment="1">
      <alignment horizontal="right" indent="1"/>
    </xf>
    <xf numFmtId="10" fontId="6" fillId="2" borderId="1" xfId="2" applyNumberFormat="1" applyFont="1" applyFill="1" applyBorder="1" applyAlignment="1" applyProtection="1">
      <alignment horizontal="center"/>
      <protection locked="0"/>
    </xf>
    <xf numFmtId="1" fontId="6" fillId="2" borderId="1" xfId="4" applyNumberFormat="1" applyFont="1" applyFill="1" applyBorder="1" applyAlignment="1" applyProtection="1">
      <alignment horizontal="center"/>
    </xf>
    <xf numFmtId="1" fontId="6" fillId="0" borderId="68" xfId="4" applyFont="1" applyBorder="1" applyAlignment="1">
      <alignment horizontal="center" vertical="center" wrapText="1"/>
    </xf>
    <xf numFmtId="1" fontId="6" fillId="0" borderId="68" xfId="4" applyFont="1" applyBorder="1" applyAlignment="1">
      <alignment horizontal="center" wrapText="1"/>
    </xf>
    <xf numFmtId="0" fontId="23" fillId="0" borderId="0" xfId="0" applyFont="1"/>
    <xf numFmtId="0" fontId="23" fillId="0" borderId="0" xfId="0" applyFont="1" applyAlignment="1">
      <alignment vertical="top" wrapText="1"/>
    </xf>
    <xf numFmtId="0" fontId="4" fillId="0" borderId="0" xfId="0" applyFont="1" applyAlignment="1">
      <alignment horizontal="right" vertical="top" wrapText="1"/>
    </xf>
    <xf numFmtId="0" fontId="0" fillId="3" borderId="9" xfId="0" applyFont="1" applyFill="1" applyBorder="1" applyAlignment="1">
      <alignment vertical="center"/>
    </xf>
    <xf numFmtId="172" fontId="0" fillId="3" borderId="42" xfId="0" applyNumberFormat="1" applyFont="1" applyFill="1" applyBorder="1" applyAlignment="1">
      <alignment horizontal="right" vertical="center"/>
    </xf>
    <xf numFmtId="172" fontId="0" fillId="3" borderId="0" xfId="0" applyNumberFormat="1" applyFont="1" applyFill="1" applyBorder="1" applyAlignment="1">
      <alignment horizontal="right" vertical="center"/>
    </xf>
    <xf numFmtId="0" fontId="23" fillId="0" borderId="13" xfId="0" applyFont="1" applyBorder="1" applyAlignment="1">
      <alignment vertical="center"/>
    </xf>
    <xf numFmtId="170" fontId="23" fillId="0" borderId="48" xfId="2" applyNumberFormat="1" applyFont="1" applyBorder="1" applyAlignment="1">
      <alignment horizontal="right" vertical="center" wrapText="1"/>
    </xf>
    <xf numFmtId="170" fontId="23" fillId="0" borderId="14" xfId="2" applyNumberFormat="1" applyFont="1" applyBorder="1" applyAlignment="1">
      <alignment horizontal="right" vertical="center" wrapText="1"/>
    </xf>
    <xf numFmtId="167" fontId="0" fillId="3" borderId="42" xfId="1" applyNumberFormat="1" applyFont="1" applyFill="1" applyBorder="1" applyAlignment="1">
      <alignment horizontal="right" vertical="center"/>
    </xf>
    <xf numFmtId="167" fontId="0" fillId="3" borderId="0" xfId="1" applyNumberFormat="1" applyFont="1" applyFill="1" applyBorder="1" applyAlignment="1">
      <alignment horizontal="right" vertical="center"/>
    </xf>
    <xf numFmtId="170" fontId="4" fillId="0" borderId="0" xfId="0" applyNumberFormat="1" applyFont="1" applyAlignment="1">
      <alignment vertical="top" wrapText="1"/>
    </xf>
    <xf numFmtId="0" fontId="13" fillId="0" borderId="0" xfId="6" applyNumberFormat="1" applyFont="1" applyBorder="1" applyAlignment="1">
      <alignment wrapText="1"/>
    </xf>
    <xf numFmtId="0" fontId="13" fillId="0" borderId="0" xfId="6" applyNumberFormat="1" applyFont="1" applyBorder="1" applyAlignment="1">
      <alignment horizontal="center"/>
    </xf>
    <xf numFmtId="182" fontId="13" fillId="0" borderId="0" xfId="3" applyNumberFormat="1" applyFont="1" applyBorder="1" applyAlignment="1">
      <alignment horizontal="right"/>
    </xf>
    <xf numFmtId="182" fontId="13" fillId="0" borderId="0" xfId="3" applyNumberFormat="1" applyFont="1" applyBorder="1" applyAlignment="1">
      <alignment horizontal="center" wrapText="1"/>
    </xf>
    <xf numFmtId="183" fontId="13" fillId="0" borderId="0" xfId="6" applyNumberFormat="1" applyFont="1" applyBorder="1" applyAlignment="1">
      <alignment horizontal="right"/>
    </xf>
    <xf numFmtId="0" fontId="0" fillId="0" borderId="0" xfId="0" applyAlignment="1">
      <alignment vertical="center"/>
    </xf>
    <xf numFmtId="0" fontId="25" fillId="7" borderId="0" xfId="6" applyNumberFormat="1" applyFont="1" applyFill="1" applyBorder="1" applyAlignment="1">
      <alignment vertical="center"/>
    </xf>
    <xf numFmtId="0" fontId="26" fillId="7" borderId="0" xfId="6" applyNumberFormat="1" applyFont="1" applyFill="1" applyBorder="1" applyAlignment="1">
      <alignment vertical="center"/>
    </xf>
    <xf numFmtId="181" fontId="25" fillId="7" borderId="0" xfId="6" applyFont="1" applyFill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0" fontId="25" fillId="7" borderId="0" xfId="6" applyNumberFormat="1" applyFont="1" applyFill="1" applyBorder="1" applyAlignment="1">
      <alignment horizontal="left" vertical="center"/>
    </xf>
    <xf numFmtId="0" fontId="25" fillId="7" borderId="0" xfId="6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 applyAlignment="1">
      <alignment wrapText="1"/>
    </xf>
    <xf numFmtId="0" fontId="13" fillId="2" borderId="0" xfId="6" applyNumberFormat="1" applyFont="1" applyFill="1" applyBorder="1" applyAlignment="1">
      <alignment horizontal="center"/>
    </xf>
    <xf numFmtId="182" fontId="13" fillId="2" borderId="0" xfId="3" applyNumberFormat="1" applyFont="1" applyFill="1" applyBorder="1" applyAlignment="1">
      <alignment horizontal="right"/>
    </xf>
    <xf numFmtId="182" fontId="13" fillId="2" borderId="0" xfId="3" applyNumberFormat="1" applyFont="1" applyFill="1" applyBorder="1" applyAlignment="1">
      <alignment horizontal="center" wrapText="1"/>
    </xf>
    <xf numFmtId="183" fontId="13" fillId="2" borderId="0" xfId="6" applyNumberFormat="1" applyFont="1" applyFill="1" applyBorder="1" applyAlignment="1">
      <alignment horizontal="right"/>
    </xf>
    <xf numFmtId="0" fontId="1" fillId="3" borderId="9" xfId="0" applyFont="1" applyFill="1" applyBorder="1" applyAlignment="1">
      <alignment vertical="center"/>
    </xf>
    <xf numFmtId="170" fontId="0" fillId="3" borderId="42" xfId="0" applyNumberFormat="1" applyFont="1" applyFill="1" applyBorder="1" applyAlignment="1">
      <alignment horizontal="right" vertical="center"/>
    </xf>
    <xf numFmtId="170" fontId="0" fillId="3" borderId="0" xfId="0" applyNumberFormat="1" applyFont="1" applyFill="1" applyBorder="1" applyAlignment="1">
      <alignment horizontal="right" vertical="center"/>
    </xf>
    <xf numFmtId="170" fontId="0" fillId="0" borderId="48" xfId="2" applyNumberFormat="1" applyFont="1" applyBorder="1" applyAlignment="1">
      <alignment horizontal="right" vertical="center" wrapText="1"/>
    </xf>
    <xf numFmtId="170" fontId="0" fillId="0" borderId="14" xfId="2" applyNumberFormat="1" applyFont="1" applyBorder="1" applyAlignment="1">
      <alignment horizontal="right" vertical="center" wrapText="1"/>
    </xf>
    <xf numFmtId="0" fontId="1" fillId="4" borderId="45" xfId="0" applyFont="1" applyFill="1" applyBorder="1" applyAlignment="1">
      <alignment horizontal="center"/>
    </xf>
    <xf numFmtId="172" fontId="0" fillId="3" borderId="46" xfId="0" applyNumberFormat="1" applyFont="1" applyFill="1" applyBorder="1" applyAlignment="1">
      <alignment horizontal="right" vertical="center"/>
    </xf>
    <xf numFmtId="172" fontId="0" fillId="3" borderId="47" xfId="0" applyNumberFormat="1" applyFont="1" applyFill="1" applyBorder="1" applyAlignment="1">
      <alignment horizontal="right" vertical="center"/>
    </xf>
    <xf numFmtId="170" fontId="23" fillId="0" borderId="49" xfId="2" applyNumberFormat="1" applyFont="1" applyBorder="1" applyAlignment="1">
      <alignment horizontal="right" vertical="center" wrapText="1"/>
    </xf>
    <xf numFmtId="167" fontId="0" fillId="3" borderId="46" xfId="1" applyNumberFormat="1" applyFont="1" applyFill="1" applyBorder="1" applyAlignment="1">
      <alignment horizontal="right" vertical="center"/>
    </xf>
    <xf numFmtId="167" fontId="0" fillId="3" borderId="47" xfId="1" applyNumberFormat="1" applyFont="1" applyFill="1" applyBorder="1" applyAlignment="1">
      <alignment horizontal="right" vertical="center"/>
    </xf>
    <xf numFmtId="170" fontId="0" fillId="0" borderId="49" xfId="2" applyNumberFormat="1" applyFont="1" applyBorder="1" applyAlignment="1">
      <alignment horizontal="right" vertical="center" wrapText="1"/>
    </xf>
    <xf numFmtId="170" fontId="0" fillId="3" borderId="46" xfId="0" applyNumberFormat="1" applyFont="1" applyFill="1" applyBorder="1" applyAlignment="1">
      <alignment horizontal="right" vertical="center"/>
    </xf>
    <xf numFmtId="170" fontId="0" fillId="3" borderId="47" xfId="0" applyNumberFormat="1" applyFont="1" applyFill="1" applyBorder="1" applyAlignment="1">
      <alignment horizontal="right" vertical="center"/>
    </xf>
    <xf numFmtId="2" fontId="0" fillId="0" borderId="48" xfId="3" applyNumberFormat="1" applyFont="1" applyBorder="1" applyAlignment="1">
      <alignment horizontal="right" vertical="center" wrapText="1"/>
    </xf>
    <xf numFmtId="2" fontId="0" fillId="0" borderId="14" xfId="3" applyNumberFormat="1" applyFont="1" applyBorder="1" applyAlignment="1">
      <alignment horizontal="right" vertical="center" wrapText="1"/>
    </xf>
    <xf numFmtId="2" fontId="0" fillId="0" borderId="49" xfId="3" applyNumberFormat="1" applyFont="1" applyBorder="1" applyAlignment="1">
      <alignment horizontal="right" vertical="center" wrapText="1"/>
    </xf>
    <xf numFmtId="2" fontId="0" fillId="3" borderId="46" xfId="3" applyNumberFormat="1" applyFont="1" applyFill="1" applyBorder="1" applyAlignment="1">
      <alignment horizontal="right" vertical="center"/>
    </xf>
    <xf numFmtId="2" fontId="0" fillId="3" borderId="0" xfId="3" applyNumberFormat="1" applyFont="1" applyFill="1" applyBorder="1" applyAlignment="1">
      <alignment horizontal="right" vertical="center"/>
    </xf>
    <xf numFmtId="2" fontId="0" fillId="3" borderId="47" xfId="3" applyNumberFormat="1" applyFont="1" applyFill="1" applyBorder="1" applyAlignment="1">
      <alignment horizontal="right" vertical="center"/>
    </xf>
    <xf numFmtId="2" fontId="0" fillId="3" borderId="42" xfId="3" applyNumberFormat="1" applyFont="1" applyFill="1" applyBorder="1" applyAlignment="1">
      <alignment horizontal="right" vertical="center"/>
    </xf>
    <xf numFmtId="0" fontId="0" fillId="3" borderId="9" xfId="0" applyFont="1" applyFill="1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2" fontId="0" fillId="3" borderId="0" xfId="0" applyNumberFormat="1" applyFont="1" applyFill="1" applyBorder="1" applyAlignment="1">
      <alignment horizontal="right" vertical="center"/>
    </xf>
    <xf numFmtId="2" fontId="23" fillId="0" borderId="14" xfId="2" applyNumberFormat="1" applyFont="1" applyBorder="1" applyAlignment="1">
      <alignment horizontal="right" vertical="center" wrapText="1"/>
    </xf>
    <xf numFmtId="170" fontId="2" fillId="0" borderId="14" xfId="2" applyNumberFormat="1" applyFont="1" applyBorder="1" applyAlignment="1">
      <alignment horizontal="right" vertical="center" wrapText="1"/>
    </xf>
    <xf numFmtId="170" fontId="2" fillId="3" borderId="17" xfId="2" applyNumberFormat="1" applyFont="1" applyFill="1" applyBorder="1" applyAlignment="1">
      <alignment horizontal="right" vertical="center"/>
    </xf>
    <xf numFmtId="2" fontId="2" fillId="0" borderId="14" xfId="2" applyNumberFormat="1" applyFont="1" applyBorder="1" applyAlignment="1">
      <alignment horizontal="right" vertical="center" wrapText="1"/>
    </xf>
    <xf numFmtId="2" fontId="2" fillId="3" borderId="17" xfId="2" applyNumberFormat="1" applyFont="1" applyFill="1" applyBorder="1" applyAlignment="1">
      <alignment horizontal="right" vertical="center"/>
    </xf>
    <xf numFmtId="172" fontId="0" fillId="3" borderId="77" xfId="0" applyNumberFormat="1" applyFont="1" applyFill="1" applyBorder="1" applyAlignment="1">
      <alignment horizontal="right" vertical="center"/>
    </xf>
    <xf numFmtId="172" fontId="0" fillId="3" borderId="78" xfId="0" applyNumberFormat="1" applyFont="1" applyFill="1" applyBorder="1" applyAlignment="1">
      <alignment horizontal="right" vertical="center"/>
    </xf>
    <xf numFmtId="170" fontId="2" fillId="0" borderId="79" xfId="2" applyNumberFormat="1" applyFont="1" applyBorder="1" applyAlignment="1">
      <alignment horizontal="right" vertical="center" wrapText="1"/>
    </xf>
    <xf numFmtId="170" fontId="2" fillId="0" borderId="38" xfId="2" applyNumberFormat="1" applyFont="1" applyBorder="1" applyAlignment="1">
      <alignment horizontal="right" vertical="center" wrapText="1"/>
    </xf>
    <xf numFmtId="170" fontId="2" fillId="3" borderId="79" xfId="2" applyNumberFormat="1" applyFont="1" applyFill="1" applyBorder="1" applyAlignment="1">
      <alignment horizontal="right" vertical="center"/>
    </xf>
    <xf numFmtId="170" fontId="2" fillId="3" borderId="38" xfId="2" applyNumberFormat="1" applyFont="1" applyFill="1" applyBorder="1" applyAlignment="1">
      <alignment horizontal="right" vertical="center"/>
    </xf>
    <xf numFmtId="172" fontId="0" fillId="3" borderId="79" xfId="0" applyNumberFormat="1" applyFont="1" applyFill="1" applyBorder="1" applyAlignment="1">
      <alignment horizontal="right" vertical="center"/>
    </xf>
    <xf numFmtId="172" fontId="0" fillId="3" borderId="38" xfId="0" applyNumberFormat="1" applyFont="1" applyFill="1" applyBorder="1" applyAlignment="1">
      <alignment horizontal="right" vertical="center"/>
    </xf>
    <xf numFmtId="2" fontId="2" fillId="0" borderId="79" xfId="2" applyNumberFormat="1" applyFont="1" applyBorder="1" applyAlignment="1">
      <alignment horizontal="right" vertical="center" wrapText="1"/>
    </xf>
    <xf numFmtId="2" fontId="2" fillId="0" borderId="38" xfId="2" applyNumberFormat="1" applyFont="1" applyBorder="1" applyAlignment="1">
      <alignment horizontal="right" vertical="center" wrapText="1"/>
    </xf>
    <xf numFmtId="2" fontId="2" fillId="3" borderId="79" xfId="2" applyNumberFormat="1" applyFont="1" applyFill="1" applyBorder="1" applyAlignment="1">
      <alignment horizontal="right" vertical="center"/>
    </xf>
    <xf numFmtId="2" fontId="2" fillId="3" borderId="38" xfId="2" applyNumberFormat="1" applyFont="1" applyFill="1" applyBorder="1" applyAlignment="1">
      <alignment horizontal="right" vertical="center"/>
    </xf>
    <xf numFmtId="2" fontId="0" fillId="3" borderId="79" xfId="0" applyNumberFormat="1" applyFont="1" applyFill="1" applyBorder="1" applyAlignment="1">
      <alignment horizontal="right" vertical="center"/>
    </xf>
    <xf numFmtId="2" fontId="0" fillId="3" borderId="38" xfId="0" applyNumberFormat="1" applyFont="1" applyFill="1" applyBorder="1" applyAlignment="1">
      <alignment horizontal="right" vertical="center"/>
    </xf>
    <xf numFmtId="2" fontId="23" fillId="0" borderId="79" xfId="2" applyNumberFormat="1" applyFont="1" applyBorder="1" applyAlignment="1">
      <alignment horizontal="right" vertical="center" wrapText="1"/>
    </xf>
    <xf numFmtId="2" fontId="23" fillId="0" borderId="38" xfId="2" applyNumberFormat="1" applyFont="1" applyBorder="1" applyAlignment="1">
      <alignment horizontal="right" vertical="center" wrapText="1"/>
    </xf>
    <xf numFmtId="169" fontId="4" fillId="2" borderId="1" xfId="4" applyNumberFormat="1" applyFont="1" applyFill="1" applyBorder="1" applyAlignment="1" applyProtection="1">
      <alignment horizontal="right"/>
    </xf>
    <xf numFmtId="0" fontId="1" fillId="3" borderId="9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1" fontId="13" fillId="0" borderId="0" xfId="4" applyFont="1" applyAlignment="1" applyProtection="1">
      <alignment horizontal="right"/>
    </xf>
    <xf numFmtId="0" fontId="0" fillId="0" borderId="13" xfId="0" quotePrefix="1" applyFont="1" applyBorder="1" applyAlignment="1">
      <alignment horizontal="left" vertical="center" indent="1"/>
    </xf>
    <xf numFmtId="2" fontId="0" fillId="3" borderId="46" xfId="0" applyNumberFormat="1" applyFont="1" applyFill="1" applyBorder="1" applyAlignment="1">
      <alignment horizontal="right" vertical="center"/>
    </xf>
    <xf numFmtId="2" fontId="0" fillId="3" borderId="47" xfId="0" applyNumberFormat="1" applyFont="1" applyFill="1" applyBorder="1" applyAlignment="1">
      <alignment horizontal="right" vertical="center"/>
    </xf>
    <xf numFmtId="2" fontId="0" fillId="3" borderId="42" xfId="0" applyNumberFormat="1" applyFont="1" applyFill="1" applyBorder="1" applyAlignment="1">
      <alignment horizontal="right" vertical="center"/>
    </xf>
    <xf numFmtId="0" fontId="4" fillId="0" borderId="0" xfId="0" applyFont="1" applyBorder="1"/>
    <xf numFmtId="172" fontId="4" fillId="0" borderId="0" xfId="1" applyNumberFormat="1" applyFont="1" applyBorder="1" applyAlignment="1">
      <alignment horizontal="left"/>
    </xf>
    <xf numFmtId="170" fontId="0" fillId="3" borderId="46" xfId="2" applyNumberFormat="1" applyFont="1" applyFill="1" applyBorder="1" applyAlignment="1">
      <alignment horizontal="right" vertical="center"/>
    </xf>
    <xf numFmtId="170" fontId="0" fillId="3" borderId="0" xfId="2" applyNumberFormat="1" applyFont="1" applyFill="1" applyBorder="1" applyAlignment="1">
      <alignment horizontal="right" vertical="center"/>
    </xf>
    <xf numFmtId="170" fontId="0" fillId="3" borderId="47" xfId="2" applyNumberFormat="1" applyFont="1" applyFill="1" applyBorder="1" applyAlignment="1">
      <alignment horizontal="right" vertical="center"/>
    </xf>
    <xf numFmtId="170" fontId="0" fillId="3" borderId="42" xfId="2" applyNumberFormat="1" applyFont="1" applyFill="1" applyBorder="1" applyAlignment="1">
      <alignment horizontal="right" vertical="center"/>
    </xf>
    <xf numFmtId="2" fontId="0" fillId="0" borderId="48" xfId="2" applyNumberFormat="1" applyFont="1" applyBorder="1" applyAlignment="1">
      <alignment horizontal="right" vertical="center" wrapText="1"/>
    </xf>
    <xf numFmtId="2" fontId="0" fillId="0" borderId="14" xfId="2" applyNumberFormat="1" applyFont="1" applyBorder="1" applyAlignment="1">
      <alignment horizontal="right" vertical="center" wrapText="1"/>
    </xf>
    <xf numFmtId="2" fontId="0" fillId="0" borderId="49" xfId="2" applyNumberFormat="1" applyFont="1" applyBorder="1" applyAlignment="1">
      <alignment horizontal="right" vertical="center" wrapText="1"/>
    </xf>
    <xf numFmtId="0" fontId="0" fillId="3" borderId="9" xfId="0" quotePrefix="1" applyFont="1" applyFill="1" applyBorder="1" applyAlignment="1">
      <alignment horizontal="left" vertical="center" indent="1"/>
    </xf>
    <xf numFmtId="0" fontId="0" fillId="0" borderId="0" xfId="0" quotePrefix="1" applyFont="1" applyBorder="1" applyAlignment="1">
      <alignment horizontal="left" vertical="center" indent="1"/>
    </xf>
    <xf numFmtId="170" fontId="0" fillId="0" borderId="0" xfId="2" applyNumberFormat="1" applyFont="1" applyBorder="1" applyAlignment="1">
      <alignment horizontal="right" vertical="center" wrapText="1"/>
    </xf>
    <xf numFmtId="0" fontId="0" fillId="0" borderId="22" xfId="0" quotePrefix="1" applyFont="1" applyBorder="1" applyAlignment="1">
      <alignment horizontal="left" vertical="center" indent="1"/>
    </xf>
    <xf numFmtId="170" fontId="0" fillId="0" borderId="22" xfId="2" applyNumberFormat="1" applyFont="1" applyBorder="1" applyAlignment="1">
      <alignment horizontal="right" vertical="center" wrapText="1"/>
    </xf>
    <xf numFmtId="170" fontId="0" fillId="0" borderId="82" xfId="2" applyNumberFormat="1" applyFont="1" applyBorder="1" applyAlignment="1">
      <alignment horizontal="right" vertical="center" wrapText="1"/>
    </xf>
    <xf numFmtId="2" fontId="0" fillId="3" borderId="83" xfId="0" applyNumberFormat="1" applyFont="1" applyFill="1" applyBorder="1" applyAlignment="1">
      <alignment horizontal="right" vertical="center"/>
    </xf>
    <xf numFmtId="172" fontId="0" fillId="3" borderId="84" xfId="0" applyNumberFormat="1" applyFont="1" applyFill="1" applyBorder="1" applyAlignment="1">
      <alignment horizontal="right" vertical="center"/>
    </xf>
    <xf numFmtId="170" fontId="0" fillId="3" borderId="83" xfId="2" applyNumberFormat="1" applyFont="1" applyFill="1" applyBorder="1" applyAlignment="1">
      <alignment horizontal="right" vertical="center"/>
    </xf>
    <xf numFmtId="2" fontId="0" fillId="0" borderId="82" xfId="2" applyNumberFormat="1" applyFont="1" applyBorder="1" applyAlignment="1">
      <alignment horizontal="right" vertical="center" wrapText="1"/>
    </xf>
    <xf numFmtId="171" fontId="0" fillId="3" borderId="46" xfId="0" applyNumberFormat="1" applyFont="1" applyFill="1" applyBorder="1" applyAlignment="1">
      <alignment horizontal="right" vertical="center"/>
    </xf>
    <xf numFmtId="171" fontId="0" fillId="3" borderId="0" xfId="0" applyNumberFormat="1" applyFont="1" applyFill="1" applyBorder="1" applyAlignment="1">
      <alignment horizontal="right" vertical="center"/>
    </xf>
    <xf numFmtId="171" fontId="0" fillId="3" borderId="47" xfId="0" applyNumberFormat="1" applyFont="1" applyFill="1" applyBorder="1" applyAlignment="1">
      <alignment horizontal="right" vertical="center"/>
    </xf>
    <xf numFmtId="171" fontId="0" fillId="3" borderId="42" xfId="0" applyNumberFormat="1" applyFont="1" applyFill="1" applyBorder="1" applyAlignment="1">
      <alignment horizontal="right" vertical="center"/>
    </xf>
    <xf numFmtId="171" fontId="0" fillId="0" borderId="48" xfId="2" applyNumberFormat="1" applyFont="1" applyBorder="1" applyAlignment="1">
      <alignment horizontal="right" vertical="center" wrapText="1"/>
    </xf>
    <xf numFmtId="171" fontId="0" fillId="0" borderId="14" xfId="2" applyNumberFormat="1" applyFont="1" applyBorder="1" applyAlignment="1">
      <alignment horizontal="right" vertical="center" wrapText="1"/>
    </xf>
    <xf numFmtId="171" fontId="0" fillId="0" borderId="49" xfId="2" applyNumberFormat="1" applyFont="1" applyBorder="1" applyAlignment="1">
      <alignment horizontal="right" vertical="center" wrapText="1"/>
    </xf>
    <xf numFmtId="171" fontId="0" fillId="3" borderId="46" xfId="2" applyNumberFormat="1" applyFont="1" applyFill="1" applyBorder="1" applyAlignment="1">
      <alignment horizontal="right" vertical="center"/>
    </xf>
    <xf numFmtId="171" fontId="0" fillId="3" borderId="0" xfId="2" applyNumberFormat="1" applyFont="1" applyFill="1" applyBorder="1" applyAlignment="1">
      <alignment horizontal="right" vertical="center"/>
    </xf>
    <xf numFmtId="171" fontId="0" fillId="3" borderId="47" xfId="2" applyNumberFormat="1" applyFont="1" applyFill="1" applyBorder="1" applyAlignment="1">
      <alignment horizontal="right" vertical="center"/>
    </xf>
    <xf numFmtId="171" fontId="0" fillId="3" borderId="42" xfId="2" applyNumberFormat="1" applyFont="1" applyFill="1" applyBorder="1" applyAlignment="1">
      <alignment horizontal="right" vertical="center"/>
    </xf>
    <xf numFmtId="172" fontId="0" fillId="3" borderId="17" xfId="0" applyNumberFormat="1" applyFont="1" applyFill="1" applyBorder="1" applyAlignment="1">
      <alignment horizontal="right" vertical="center"/>
    </xf>
    <xf numFmtId="172" fontId="0" fillId="3" borderId="43" xfId="0" applyNumberFormat="1" applyFont="1" applyFill="1" applyBorder="1" applyAlignment="1">
      <alignment horizontal="right" vertical="center"/>
    </xf>
    <xf numFmtId="172" fontId="0" fillId="3" borderId="85" xfId="0" applyNumberFormat="1" applyFont="1" applyFill="1" applyBorder="1" applyAlignment="1">
      <alignment horizontal="right" vertical="center"/>
    </xf>
    <xf numFmtId="171" fontId="0" fillId="0" borderId="79" xfId="2" applyNumberFormat="1" applyFont="1" applyBorder="1" applyAlignment="1">
      <alignment horizontal="right" vertical="center" wrapText="1"/>
    </xf>
    <xf numFmtId="171" fontId="0" fillId="0" borderId="37" xfId="2" applyNumberFormat="1" applyFont="1" applyBorder="1" applyAlignment="1">
      <alignment horizontal="right" vertical="center" wrapText="1"/>
    </xf>
    <xf numFmtId="171" fontId="0" fillId="3" borderId="79" xfId="0" applyNumberFormat="1" applyFont="1" applyFill="1" applyBorder="1" applyAlignment="1">
      <alignment horizontal="right" vertical="center"/>
    </xf>
    <xf numFmtId="171" fontId="0" fillId="3" borderId="37" xfId="0" applyNumberFormat="1" applyFont="1" applyFill="1" applyBorder="1" applyAlignment="1">
      <alignment horizontal="right" vertical="center"/>
    </xf>
    <xf numFmtId="170" fontId="0" fillId="0" borderId="79" xfId="2" applyNumberFormat="1" applyFont="1" applyBorder="1" applyAlignment="1">
      <alignment horizontal="right" vertical="center" wrapText="1"/>
    </xf>
    <xf numFmtId="170" fontId="0" fillId="0" borderId="37" xfId="2" applyNumberFormat="1" applyFont="1" applyBorder="1" applyAlignment="1">
      <alignment horizontal="right" vertical="center" wrapText="1"/>
    </xf>
    <xf numFmtId="171" fontId="0" fillId="3" borderId="79" xfId="2" applyNumberFormat="1" applyFont="1" applyFill="1" applyBorder="1" applyAlignment="1">
      <alignment horizontal="right" vertical="center"/>
    </xf>
    <xf numFmtId="171" fontId="0" fillId="3" borderId="37" xfId="2" applyNumberFormat="1" applyFont="1" applyFill="1" applyBorder="1" applyAlignment="1">
      <alignment horizontal="right" vertical="center"/>
    </xf>
    <xf numFmtId="170" fontId="0" fillId="3" borderId="79" xfId="2" applyNumberFormat="1" applyFont="1" applyFill="1" applyBorder="1" applyAlignment="1">
      <alignment horizontal="right" vertical="center"/>
    </xf>
    <xf numFmtId="170" fontId="0" fillId="3" borderId="37" xfId="2" applyNumberFormat="1" applyFont="1" applyFill="1" applyBorder="1" applyAlignment="1">
      <alignment horizontal="right" vertical="center"/>
    </xf>
    <xf numFmtId="170" fontId="0" fillId="0" borderId="86" xfId="2" applyNumberFormat="1" applyFont="1" applyBorder="1" applyAlignment="1">
      <alignment horizontal="right" vertical="center" wrapText="1"/>
    </xf>
    <xf numFmtId="170" fontId="0" fillId="0" borderId="87" xfId="2" applyNumberFormat="1" applyFont="1" applyBorder="1" applyAlignment="1">
      <alignment horizontal="right" vertical="center" wrapText="1"/>
    </xf>
    <xf numFmtId="171" fontId="0" fillId="3" borderId="80" xfId="0" applyNumberFormat="1" applyFont="1" applyFill="1" applyBorder="1" applyAlignment="1">
      <alignment horizontal="right" vertical="center"/>
    </xf>
    <xf numFmtId="171" fontId="0" fillId="3" borderId="88" xfId="0" applyNumberFormat="1" applyFont="1" applyFill="1" applyBorder="1" applyAlignment="1">
      <alignment horizontal="right" vertical="center"/>
    </xf>
    <xf numFmtId="172" fontId="0" fillId="3" borderId="81" xfId="0" applyNumberFormat="1" applyFont="1" applyFill="1" applyBorder="1" applyAlignment="1">
      <alignment horizontal="right" vertical="center"/>
    </xf>
    <xf numFmtId="172" fontId="0" fillId="3" borderId="89" xfId="0" applyNumberFormat="1" applyFont="1" applyFill="1" applyBorder="1" applyAlignment="1">
      <alignment horizontal="right" vertical="center"/>
    </xf>
    <xf numFmtId="1" fontId="14" fillId="0" borderId="0" xfId="4" applyFont="1" applyAlignment="1" applyProtection="1">
      <alignment horizontal="right"/>
    </xf>
    <xf numFmtId="1" fontId="10" fillId="0" borderId="61" xfId="4" applyFont="1" applyFill="1" applyBorder="1"/>
    <xf numFmtId="1" fontId="12" fillId="0" borderId="61" xfId="4" applyFont="1" applyFill="1" applyBorder="1" applyAlignment="1">
      <alignment horizontal="center"/>
    </xf>
    <xf numFmtId="16" fontId="11" fillId="7" borderId="58" xfId="4" applyNumberFormat="1" applyFont="1" applyFill="1" applyBorder="1" applyAlignment="1">
      <alignment horizontal="right"/>
    </xf>
    <xf numFmtId="16" fontId="11" fillId="7" borderId="59" xfId="4" applyNumberFormat="1" applyFont="1" applyFill="1" applyBorder="1" applyAlignment="1">
      <alignment horizontal="right"/>
    </xf>
    <xf numFmtId="1" fontId="12" fillId="7" borderId="56" xfId="4" applyFont="1" applyFill="1" applyBorder="1" applyAlignment="1">
      <alignment horizontal="right"/>
    </xf>
    <xf numFmtId="1" fontId="12" fillId="7" borderId="73" xfId="4" applyFont="1" applyFill="1" applyBorder="1" applyAlignment="1">
      <alignment horizontal="right"/>
    </xf>
    <xf numFmtId="172" fontId="2" fillId="0" borderId="0" xfId="1" applyNumberFormat="1" applyFont="1" applyAlignment="1">
      <alignment horizontal="left"/>
    </xf>
    <xf numFmtId="0" fontId="27" fillId="0" borderId="0" xfId="7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73" fontId="0" fillId="0" borderId="0" xfId="0" applyNumberFormat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4" borderId="42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50" xfId="0" applyFont="1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1" fontId="13" fillId="0" borderId="0" xfId="4" applyFont="1" applyAlignment="1" applyProtection="1">
      <alignment horizontal="right"/>
    </xf>
    <xf numFmtId="1" fontId="20" fillId="0" borderId="0" xfId="4" applyFont="1" applyAlignment="1" applyProtection="1">
      <alignment horizontal="right"/>
    </xf>
    <xf numFmtId="1" fontId="18" fillId="0" borderId="0" xfId="4" applyFont="1" applyAlignment="1" applyProtection="1">
      <alignment horizontal="right"/>
    </xf>
    <xf numFmtId="0" fontId="17" fillId="0" borderId="76" xfId="6" applyNumberFormat="1" applyFont="1" applyBorder="1" applyAlignment="1">
      <alignment horizontal="left" vertical="top" wrapText="1"/>
    </xf>
    <xf numFmtId="0" fontId="17" fillId="2" borderId="76" xfId="6" applyNumberFormat="1" applyFont="1" applyFill="1" applyBorder="1" applyAlignment="1">
      <alignment horizontal="left" vertical="top" wrapText="1"/>
    </xf>
  </cellXfs>
  <cellStyles count="8">
    <cellStyle name="Comma" xfId="3" builtinId="3"/>
    <cellStyle name="Currency" xfId="1" builtinId="4"/>
    <cellStyle name="Currency 2" xfId="5"/>
    <cellStyle name="Hyperlink" xfId="7" builtinId="8" customBuiltin="1"/>
    <cellStyle name="Normal" xfId="0" builtinId="0"/>
    <cellStyle name="Normal 10" xfId="6"/>
    <cellStyle name="Normal 2" xfId="4"/>
    <cellStyle name="Percent" xfId="2" builtinId="5"/>
  </cellStyles>
  <dxfs count="26"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EPS</a:t>
            </a:r>
          </a:p>
        </c:rich>
      </c:tx>
      <c:layout>
        <c:manualLayout>
          <c:xMode val="edge"/>
          <c:yMode val="edge"/>
          <c:x val="1.0397860830338927E-3"/>
          <c:y val="3.4995625546806669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180015207596258"/>
          <c:y val="0.13365855383608874"/>
          <c:w val="0.85076119674984774"/>
          <c:h val="0.761207018827860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Profile!$P$5</c:f>
              <c:strCache>
                <c:ptCount val="1"/>
                <c:pt idx="0">
                  <c:v>dilutedeps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F1-43CD-BEE0-DFFBA25DE8A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F1-43CD-BEE0-DFFBA25DE8A7}"/>
              </c:ext>
            </c:extLst>
          </c:dPt>
          <c:cat>
            <c:strRef>
              <c:f>Profile!$P$7:$V$7</c:f>
              <c:strCache>
                <c:ptCount val="7"/>
                <c:pt idx="0">
                  <c:v>#VALUE!</c:v>
                </c:pt>
                <c:pt idx="1">
                  <c:v>#VALUE!</c:v>
                </c:pt>
                <c:pt idx="2">
                  <c:v>#VALUE!</c:v>
                </c:pt>
                <c:pt idx="3">
                  <c:v>#VALUE!</c:v>
                </c:pt>
                <c:pt idx="5">
                  <c:v>#VALUE!</c:v>
                </c:pt>
                <c:pt idx="6">
                  <c:v>#VALUE!</c:v>
                </c:pt>
              </c:strCache>
            </c:strRef>
          </c:cat>
          <c:val>
            <c:numRef>
              <c:f>Profile!$P$8:$V$8</c:f>
              <c:numCache>
                <c:formatCode>_-"$"* #,##0.00_-;\-"$"* #,##0.00_-;_-"$"*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1-43CD-BEE0-DFFBA25DE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overlap val="-24"/>
        <c:axId val="362814448"/>
        <c:axId val="362812880"/>
      </c:barChart>
      <c:catAx>
        <c:axId val="36281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2880"/>
        <c:crosses val="autoZero"/>
        <c:auto val="1"/>
        <c:lblAlgn val="ctr"/>
        <c:lblOffset val="100"/>
        <c:noMultiLvlLbl val="1"/>
      </c:catAx>
      <c:valAx>
        <c:axId val="36281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048263597010399E-2"/>
          <c:y val="7.9884441528142322E-2"/>
          <c:w val="0.77792540872518912"/>
          <c:h val="0.8123797025371827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Profile!$Z$12:$Z$71</c:f>
              <c:numCache>
                <c:formatCode>m/d/yyyy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cat>
          <c:val>
            <c:numRef>
              <c:f>Profile!$AA$12:$AA$71</c:f>
              <c:numCache>
                <c:formatCode>_-"$"* #,##0.00_-;\-"$"* #,##0.00_-;_-"$"* "-"??_-;_-@_-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7-4C8C-B5EB-AD5538557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076880"/>
        <c:axId val="949070224"/>
      </c:lineChart>
      <c:dateAx>
        <c:axId val="949076880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070224"/>
        <c:crosses val="autoZero"/>
        <c:auto val="1"/>
        <c:lblOffset val="100"/>
        <c:baseTimeUnit val="days"/>
        <c:majorUnit val="6"/>
        <c:majorTimeUnit val="months"/>
      </c:dateAx>
      <c:valAx>
        <c:axId val="949070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0768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Revenue Growth &amp; Profit Margin</a:t>
            </a:r>
          </a:p>
        </c:rich>
      </c:tx>
      <c:layout>
        <c:manualLayout>
          <c:xMode val="edge"/>
          <c:yMode val="edge"/>
          <c:x val="9.26052773722421E-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118712781597592E-2"/>
          <c:y val="0.15132126211906008"/>
          <c:w val="0.89185236124454104"/>
          <c:h val="0.66534700787137657"/>
        </c:manualLayout>
      </c:layout>
      <c:barChart>
        <c:barDir val="col"/>
        <c:grouping val="clustered"/>
        <c:varyColors val="0"/>
        <c:ser>
          <c:idx val="1"/>
          <c:order val="1"/>
          <c:tx>
            <c:v>Profit Margin (lhs)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'Income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'Income Metrics'!$C$16:$G$16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0"/>
        <c:ser>
          <c:idx val="0"/>
          <c:order val="0"/>
          <c:tx>
            <c:v>Revenue Growth (rhs)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'Income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'Income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596287"/>
        <c:axId val="1345610431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Margin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1345610431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Revenue Growth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596287"/>
        <c:crosses val="max"/>
        <c:crossBetween val="between"/>
      </c:valAx>
      <c:catAx>
        <c:axId val="13455962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5610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92583155348743"/>
          <c:y val="0.90311127498798138"/>
          <c:w val="0.33214823239598446"/>
          <c:h val="9.0360861024040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Return on Investment</a:t>
            </a: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ROIC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Metrics'!$C$8:$G$8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21-41AC-965B-8596363BF1A1}"/>
            </c:ext>
          </c:extLst>
        </c:ser>
        <c:ser>
          <c:idx val="0"/>
          <c:order val="1"/>
          <c:tx>
            <c:v>ROE</c:v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Metrics'!$C$15:$G$15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3-4DBE-A90E-194C032BB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919927622683526"/>
          <c:y val="0.90845278955515174"/>
          <c:w val="0.15996436712871503"/>
          <c:h val="5.731664015099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NOPAT &amp; Invested Capital Turnover</a:t>
            </a:r>
          </a:p>
        </c:rich>
      </c:tx>
      <c:layout>
        <c:manualLayout>
          <c:xMode val="edge"/>
          <c:yMode val="edge"/>
          <c:x val="1.3135289906943447E-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NOPAT Margin (lhs)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lineChart>
        <c:grouping val="stacked"/>
        <c:varyColors val="0"/>
        <c:ser>
          <c:idx val="0"/>
          <c:order val="1"/>
          <c:tx>
            <c:v>Invested Capital Turnover (rhs)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'ROIC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'ROIC Metrics'!$C$7:$G$7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61199"/>
        <c:axId val="380762447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380762447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61199"/>
        <c:crosses val="max"/>
        <c:crossBetween val="between"/>
      </c:valAx>
      <c:catAx>
        <c:axId val="380761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76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22957925713832"/>
          <c:y val="0.90845278955515174"/>
          <c:w val="0.67905531694901788"/>
          <c:h val="8.6979931350267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Cash Conversion Cycle</a:t>
            </a:r>
          </a:p>
          <a:p>
            <a:pPr>
              <a:defRPr sz="1200">
                <a:solidFill>
                  <a:schemeClr val="tx1"/>
                </a:solidFill>
              </a:defRPr>
            </a:pP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52133270222071"/>
          <c:y val="0.13003601764512648"/>
          <c:w val="0.88289169644780119"/>
          <c:h val="0.68131088138479379"/>
        </c:manualLayout>
      </c:layout>
      <c:barChart>
        <c:barDir val="col"/>
        <c:grouping val="stacked"/>
        <c:varyColors val="0"/>
        <c:ser>
          <c:idx val="5"/>
          <c:order val="0"/>
          <c:tx>
            <c:v>DSO</c:v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Metrics'!$C$6:$G$6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1-4588-9A84-839CDD474CF7}"/>
            </c:ext>
          </c:extLst>
        </c:ser>
        <c:ser>
          <c:idx val="0"/>
          <c:order val="1"/>
          <c:tx>
            <c:v>DIO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Metrics'!$C$7:$G$7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01-4588-9A84-839CDD474CF7}"/>
            </c:ext>
          </c:extLst>
        </c:ser>
        <c:ser>
          <c:idx val="1"/>
          <c:order val="2"/>
          <c:tx>
            <c:v>DPO</c:v>
          </c:tx>
          <c:spPr>
            <a:solidFill>
              <a:schemeClr val="accent4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Metrics'!$C$8:$G$8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01-4588-9A84-839CDD474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3365231"/>
        <c:axId val="1343366479"/>
      </c:barChart>
      <c:lineChart>
        <c:grouping val="standard"/>
        <c:varyColors val="0"/>
        <c:ser>
          <c:idx val="2"/>
          <c:order val="3"/>
          <c:tx>
            <c:v>CCC</c:v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Metrics'!$C$9:$G$9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01-4588-9A84-839CDD474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365231"/>
        <c:axId val="1343366479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239267941789999"/>
          <c:y val="0.90845278955515174"/>
          <c:w val="0.47850697435629691"/>
          <c:h val="6.3721657664958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NWC &amp; Current Ratio</a:t>
            </a:r>
          </a:p>
        </c:rich>
      </c:tx>
      <c:layout>
        <c:manualLayout>
          <c:xMode val="edge"/>
          <c:yMode val="edge"/>
          <c:x val="1.3135289906943447E-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DFCF NWC / Rev (lhs)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Metrics'!$C$14:$G$14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9-4904-BB9D-7B49C2C15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lineChart>
        <c:grouping val="stacked"/>
        <c:varyColors val="0"/>
        <c:ser>
          <c:idx val="0"/>
          <c:order val="1"/>
          <c:tx>
            <c:v>Current Ratio (rhs)</c:v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'NWC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'NWC Metrics'!$C$12:$G$12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39-4904-BB9D-7B49C2C15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61199"/>
        <c:axId val="380762447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380762447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61199"/>
        <c:crosses val="max"/>
        <c:crossBetween val="between"/>
      </c:valAx>
      <c:catAx>
        <c:axId val="380761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76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8492205519764593E-2"/>
          <c:y val="0.90845278955515174"/>
          <c:w val="0.87349976139346219"/>
          <c:h val="8.6979931350267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Capital Structure</a:t>
            </a:r>
          </a:p>
        </c:rich>
      </c:tx>
      <c:layout>
        <c:manualLayout>
          <c:xMode val="edge"/>
          <c:yMode val="edge"/>
          <c:x val="9.26052773722421E-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864944171603375E-2"/>
          <c:y val="0.13003601764512648"/>
          <c:w val="0.86685142964927242"/>
          <c:h val="0.68131088138479379"/>
        </c:manualLayout>
      </c:layout>
      <c:barChart>
        <c:barDir val="col"/>
        <c:grouping val="stacked"/>
        <c:varyColors val="0"/>
        <c:ser>
          <c:idx val="4"/>
          <c:order val="0"/>
          <c:tx>
            <c:v>Common Equity</c:v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Metrics'!$C$10:$G$10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4B-4235-9429-013AA02CB549}"/>
            </c:ext>
          </c:extLst>
        </c:ser>
        <c:ser>
          <c:idx val="3"/>
          <c:order val="1"/>
          <c:tx>
            <c:v>Noncontrolling Interests</c:v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Metrics'!$C$9:$G$9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4B-4235-9429-013AA02CB549}"/>
            </c:ext>
          </c:extLst>
        </c:ser>
        <c:ser>
          <c:idx val="2"/>
          <c:order val="2"/>
          <c:tx>
            <c:v>Preferred Equity</c:v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Metrics'!$C$8:$G$8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4B-4235-9429-013AA02CB549}"/>
            </c:ext>
          </c:extLst>
        </c:ser>
        <c:ser>
          <c:idx val="0"/>
          <c:order val="3"/>
          <c:tx>
            <c:v>Long-Term Debt</c:v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Metrics'!$C$7:$G$7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4B-4235-9429-013AA02CB549}"/>
            </c:ext>
          </c:extLst>
        </c:ser>
        <c:ser>
          <c:idx val="1"/>
          <c:order val="4"/>
          <c:tx>
            <c:v>Short-Term Debt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Metrics'!$C$6:$G$6</c:f>
              <c:numCache>
                <c:formatCode>0.0%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4B-4235-9429-013AA02CB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43365231"/>
        <c:axId val="1343366479"/>
      </c:barChart>
      <c:lineChart>
        <c:grouping val="standard"/>
        <c:varyColors val="0"/>
        <c:ser>
          <c:idx val="5"/>
          <c:order val="5"/>
          <c:tx>
            <c:strRef>
              <c:f>'Debt Metrics'!$B$14</c:f>
              <c:strCache>
                <c:ptCount val="1"/>
                <c:pt idx="0">
                  <c:v>EBIT to Int Exp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'Debt Metrics'!$C$4:$G$4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'Debt Metrics'!$C$14:$G$14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4B-4235-9429-013AA02CB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5135823"/>
        <c:axId val="2025123759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Capital Structure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2025123759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EBIT / Int Exp</a:t>
                </a:r>
              </a:p>
            </c:rich>
          </c:tx>
          <c:layout>
            <c:manualLayout>
              <c:xMode val="edge"/>
              <c:yMode val="edge"/>
              <c:x val="0.98140067486641702"/>
              <c:y val="0.31309039133143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35823"/>
        <c:crosses val="max"/>
        <c:crossBetween val="between"/>
      </c:valAx>
      <c:catAx>
        <c:axId val="20251358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251237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20686125466658E-2"/>
          <c:y val="0.90311107203160557"/>
          <c:w val="0.82131476261759495"/>
          <c:h val="9.68889279683943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Comparable Companies</a:t>
            </a:r>
            <a:r>
              <a:rPr lang="en-US" sz="1200" baseline="0">
                <a:solidFill>
                  <a:schemeClr val="tx1"/>
                </a:solidFill>
              </a:rPr>
              <a:t> </a:t>
            </a:r>
            <a:r>
              <a:rPr lang="en-US" sz="1200">
                <a:solidFill>
                  <a:schemeClr val="tx1"/>
                </a:solidFill>
              </a:rPr>
              <a:t>Profit Margin</a:t>
            </a:r>
          </a:p>
        </c:rich>
      </c:tx>
      <c:layout>
        <c:manualLayout>
          <c:xMode val="edge"/>
          <c:yMode val="edge"/>
          <c:x val="9.2609238373397048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326380603524304"/>
          <c:y val="0.15132126211906008"/>
          <c:w val="0.61160810528636034"/>
          <c:h val="0.81682339463977738"/>
        </c:manualLayout>
      </c:layout>
      <c:barChart>
        <c:barDir val="col"/>
        <c:grouping val="clustered"/>
        <c:varyColors val="1"/>
        <c:ser>
          <c:idx val="1"/>
          <c:order val="0"/>
          <c:tx>
            <c:strRef>
              <c:f>'Income Comps'!$B$22</c:f>
              <c:strCache>
                <c:ptCount val="1"/>
                <c:pt idx="0">
                  <c:v>   Margin (%)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A-00A8-4EC2-8693-19C59691EA3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6-938B-4DFC-839A-96B56D155E7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7-938B-4DFC-839A-96B56D155E7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8-938B-4DFC-839A-96B56D155E7B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9-938B-4DFC-839A-96B56D155E7B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0800" dist="381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l"/>
              </a:scene3d>
              <a:sp3d prstMaterial="plastic">
                <a:bevelT w="0" h="0"/>
              </a:sp3d>
            </c:spPr>
            <c:extLst>
              <c:ext xmlns:c16="http://schemas.microsoft.com/office/drawing/2014/chart" uri="{C3380CC4-5D6E-409C-BE32-E72D297353CC}">
                <c16:uniqueId val="{00000002-938B-4DFC-839A-96B56D155E7B}"/>
              </c:ext>
            </c:extLst>
          </c:dPt>
          <c:cat>
            <c:multiLvlStrRef>
              <c:f>'Income Comps'!$C$12:$H$12</c:f>
            </c:multiLvlStrRef>
          </c:cat>
          <c:val>
            <c:numRef>
              <c:f>'Income Comps'!$C$22:$H$22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1"/>
        <c:ser>
          <c:idx val="2"/>
          <c:order val="1"/>
          <c:tx>
            <c:strRef>
              <c:f>'Income Comps'!$B$27</c:f>
              <c:strCache>
                <c:ptCount val="1"/>
                <c:pt idx="0">
                  <c:v>Median</c:v>
                </c:pt>
              </c:strCache>
            </c:strRef>
          </c:tx>
          <c:spPr>
            <a:ln w="34925" cap="rnd">
              <a:solidFill>
                <a:srgbClr val="00B0F0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38B-4DFC-839A-96B56D155E7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8B-4DFC-839A-96B56D155E7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8B-4DFC-839A-96B56D155E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8B-4DFC-839A-96B56D155E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8B-4DFC-839A-96B56D155E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'Income Comps'!$D$12:$I$12</c:f>
              <c:strCache>
                <c:ptCount val="6"/>
                <c:pt idx="5">
                  <c:v>Mean</c:v>
                </c:pt>
              </c:strCache>
            </c:strRef>
          </c:cat>
          <c:val>
            <c:numRef>
              <c:f>'Income Comps'!$C$27:$H$27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365231"/>
        <c:axId val="1343366479"/>
      </c:lineChart>
      <c:catAx>
        <c:axId val="13433652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 Margin</a:t>
                </a:r>
              </a:p>
            </c:rich>
          </c:tx>
          <c:layout>
            <c:manualLayout>
              <c:xMode val="edge"/>
              <c:yMode val="edge"/>
              <c:x val="0.13360180132529809"/>
              <c:y val="0.4045167082090209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ROIC / ROE</a:t>
            </a:r>
          </a:p>
        </c:rich>
      </c:tx>
      <c:layout>
        <c:manualLayout>
          <c:xMode val="edge"/>
          <c:yMode val="edge"/>
          <c:x val="8.7668066474620079E-3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745297513725402"/>
          <c:h val="0.75292153718547006"/>
        </c:manualLayout>
      </c:layout>
      <c:barChart>
        <c:barDir val="col"/>
        <c:grouping val="clustered"/>
        <c:varyColors val="1"/>
        <c:ser>
          <c:idx val="0"/>
          <c:order val="0"/>
          <c:tx>
            <c:v>ROIC</c:v>
          </c:tx>
          <c:spPr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'ROIC Comps'!$C$7:$H$7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'ROIC Comps'!$C$29:$H$29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5183-4971-B80F-F56F14285E3E}"/>
            </c:ext>
          </c:extLst>
        </c:ser>
        <c:ser>
          <c:idx val="1"/>
          <c:order val="1"/>
          <c:tx>
            <c:v>ROE</c:v>
          </c:tx>
          <c:spPr>
            <a:solidFill>
              <a:schemeClr val="accent3"/>
            </a:solidFill>
          </c:spPr>
          <c:invertIfNegative val="0"/>
          <c:val>
            <c:numRef>
              <c:f>'ROIC Comps'!$C$14:$H$14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'ROIC Comps'!$C$29:$H$29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5183-4971-B80F-F56F14285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25191663"/>
        <c:axId val="2025196655"/>
      </c:barChart>
      <c:valAx>
        <c:axId val="2025196655"/>
        <c:scaling>
          <c:orientation val="minMax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619511536582494"/>
          <c:y val="0.91965380853573053"/>
          <c:w val="8.303198153802549E-2"/>
          <c:h val="6.34694332430050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Cash Conversion Cycle</a:t>
            </a:r>
          </a:p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 sz="1200"/>
          </a:p>
        </c:rich>
      </c:tx>
      <c:layout>
        <c:manualLayout>
          <c:xMode val="edge"/>
          <c:yMode val="edge"/>
          <c:x val="8.1160289379131117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745297513725402"/>
          <c:h val="0.84423154037034476"/>
        </c:manualLayout>
      </c:layout>
      <c:barChart>
        <c:barDir val="col"/>
        <c:grouping val="clustered"/>
        <c:varyColors val="1"/>
        <c:ser>
          <c:idx val="0"/>
          <c:order val="0"/>
          <c:tx>
            <c:v>DSO</c:v>
          </c:tx>
          <c:invertIfNegative val="0"/>
          <c:val>
            <c:numRef>
              <c:f>'NWC Comps'!$C$5:$H$5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'NWC Comps'!$C$30:$H$30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DFB-460F-9320-C796702A65B2}"/>
            </c:ext>
          </c:extLst>
        </c:ser>
        <c:ser>
          <c:idx val="1"/>
          <c:order val="1"/>
          <c:tx>
            <c:v>DIO</c:v>
          </c:tx>
          <c:invertIfNegative val="0"/>
          <c:val>
            <c:numRef>
              <c:f>'NWC Comps'!$C$6:$H$6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'NWC Comps'!$C$30:$H$30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DFB-460F-9320-C796702A65B2}"/>
            </c:ext>
          </c:extLst>
        </c:ser>
        <c:ser>
          <c:idx val="2"/>
          <c:order val="2"/>
          <c:tx>
            <c:v>DPO</c:v>
          </c:tx>
          <c:spPr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'NWC Comps'!$C$7:$H$7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'NWC Comps'!$C$30:$H$30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DFB-460F-9320-C796702A6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025191663"/>
        <c:axId val="2025196655"/>
      </c:barChart>
      <c:valAx>
        <c:axId val="2025196655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31600605350941"/>
          <c:y val="0.91965380853573053"/>
          <c:w val="0.22777216571649064"/>
          <c:h val="8.03461914642694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Comparable Companies Capital Structure</a:t>
            </a:r>
          </a:p>
        </c:rich>
      </c:tx>
      <c:layout>
        <c:manualLayout>
          <c:xMode val="edge"/>
          <c:yMode val="edge"/>
          <c:x val="1.0073595901250362E-2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22258181221006"/>
          <c:h val="0.74800602401944216"/>
        </c:manualLayout>
      </c:layout>
      <c:barChart>
        <c:barDir val="col"/>
        <c:grouping val="stacked"/>
        <c:varyColors val="1"/>
        <c:ser>
          <c:idx val="4"/>
          <c:order val="0"/>
          <c:tx>
            <c:v>Common Equity</c:v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Comps'!$C$9:$H$9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6-44A8-4667-8012-957219B571F4}"/>
            </c:ext>
          </c:extLst>
        </c:ser>
        <c:ser>
          <c:idx val="3"/>
          <c:order val="1"/>
          <c:tx>
            <c:v>Noncontrolling Interests</c:v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Comps'!$C$8:$H$8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5-44A8-4667-8012-957219B571F4}"/>
            </c:ext>
          </c:extLst>
        </c:ser>
        <c:ser>
          <c:idx val="2"/>
          <c:order val="2"/>
          <c:tx>
            <c:v>Preferred Equity</c:v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Comps'!$C$7:$H$7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4-44A8-4667-8012-957219B571F4}"/>
            </c:ext>
          </c:extLst>
        </c:ser>
        <c:ser>
          <c:idx val="0"/>
          <c:order val="3"/>
          <c:tx>
            <c:v>Long-Term Debt</c:v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Comps'!$C$6:$H$6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3-44A8-4667-8012-957219B571F4}"/>
            </c:ext>
          </c:extLst>
        </c:ser>
        <c:ser>
          <c:idx val="1"/>
          <c:order val="4"/>
          <c:tx>
            <c:v>Short-Term Debt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'Debt Comps'!$C$5:$H$5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'Debt Comps'!$C$32:$H$32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44A8-4667-8012-957219B57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025191663"/>
        <c:axId val="2025196655"/>
      </c:barChart>
      <c:valAx>
        <c:axId val="2025196655"/>
        <c:scaling>
          <c:orientation val="minMax"/>
          <c:max val="1"/>
        </c:scaling>
        <c:delete val="0"/>
        <c:axPos val="r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197894402373377"/>
          <c:y val="0.91965380853573053"/>
          <c:w val="0.62216554178100725"/>
          <c:h val="7.6231728119187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28575</xdr:rowOff>
        </xdr:from>
        <xdr:to>
          <xdr:col>5</xdr:col>
          <xdr:colOff>57150</xdr:colOff>
          <xdr:row>5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28575</xdr:rowOff>
        </xdr:from>
        <xdr:to>
          <xdr:col>6</xdr:col>
          <xdr:colOff>200025</xdr:colOff>
          <xdr:row>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Print w/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3</xdr:row>
          <xdr:rowOff>28575</xdr:rowOff>
        </xdr:from>
        <xdr:to>
          <xdr:col>7</xdr:col>
          <xdr:colOff>352425</xdr:colOff>
          <xdr:row>5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Print w/o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Comps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</xdr:colOff>
      <xdr:row>19</xdr:row>
      <xdr:rowOff>104775</xdr:rowOff>
    </xdr:from>
    <xdr:to>
      <xdr:col>5</xdr:col>
      <xdr:colOff>166687</xdr:colOff>
      <xdr:row>34</xdr:row>
      <xdr:rowOff>65483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199430</xdr:colOff>
      <xdr:row>19</xdr:row>
      <xdr:rowOff>42266</xdr:rowOff>
    </xdr:from>
    <xdr:to>
      <xdr:col>12</xdr:col>
      <xdr:colOff>0</xdr:colOff>
      <xdr:row>34</xdr:row>
      <xdr:rowOff>88699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50600</xdr:colOff>
      <xdr:row>18</xdr:row>
      <xdr:rowOff>142874</xdr:rowOff>
    </xdr:from>
    <xdr:to>
      <xdr:col>10</xdr:col>
      <xdr:colOff>803670</xdr:colOff>
      <xdr:row>27</xdr:row>
      <xdr:rowOff>244078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50602</xdr:colOff>
      <xdr:row>16</xdr:row>
      <xdr:rowOff>53577</xdr:rowOff>
    </xdr:from>
    <xdr:to>
      <xdr:col>4</xdr:col>
      <xdr:colOff>251817</xdr:colOff>
      <xdr:row>28</xdr:row>
      <xdr:rowOff>196453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375048</xdr:colOff>
      <xdr:row>16</xdr:row>
      <xdr:rowOff>41670</xdr:rowOff>
    </xdr:from>
    <xdr:to>
      <xdr:col>10</xdr:col>
      <xdr:colOff>760810</xdr:colOff>
      <xdr:row>28</xdr:row>
      <xdr:rowOff>232172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148828</xdr:colOff>
      <xdr:row>17</xdr:row>
      <xdr:rowOff>53577</xdr:rowOff>
    </xdr:from>
    <xdr:to>
      <xdr:col>4</xdr:col>
      <xdr:colOff>251817</xdr:colOff>
      <xdr:row>28</xdr:row>
      <xdr:rowOff>125015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375048</xdr:colOff>
      <xdr:row>17</xdr:row>
      <xdr:rowOff>41670</xdr:rowOff>
    </xdr:from>
    <xdr:to>
      <xdr:col>10</xdr:col>
      <xdr:colOff>760810</xdr:colOff>
      <xdr:row>28</xdr:row>
      <xdr:rowOff>208359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50601</xdr:colOff>
      <xdr:row>18</xdr:row>
      <xdr:rowOff>53578</xdr:rowOff>
    </xdr:from>
    <xdr:to>
      <xdr:col>10</xdr:col>
      <xdr:colOff>767953</xdr:colOff>
      <xdr:row>26</xdr:row>
      <xdr:rowOff>249436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20834</xdr:colOff>
      <xdr:row>2</xdr:row>
      <xdr:rowOff>5953</xdr:rowOff>
    </xdr:from>
    <xdr:to>
      <xdr:col>9</xdr:col>
      <xdr:colOff>773904</xdr:colOff>
      <xdr:row>11</xdr:row>
      <xdr:rowOff>83344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26787</xdr:colOff>
      <xdr:row>14</xdr:row>
      <xdr:rowOff>101202</xdr:rowOff>
    </xdr:from>
    <xdr:to>
      <xdr:col>9</xdr:col>
      <xdr:colOff>779857</xdr:colOff>
      <xdr:row>25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166687</xdr:colOff>
      <xdr:row>15</xdr:row>
      <xdr:rowOff>101202</xdr:rowOff>
    </xdr:from>
    <xdr:to>
      <xdr:col>9</xdr:col>
      <xdr:colOff>779857</xdr:colOff>
      <xdr:row>26</xdr:row>
      <xdr:rowOff>148827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26787</xdr:colOff>
      <xdr:row>17</xdr:row>
      <xdr:rowOff>101202</xdr:rowOff>
    </xdr:from>
    <xdr:to>
      <xdr:col>9</xdr:col>
      <xdr:colOff>779857</xdr:colOff>
      <xdr:row>26</xdr:row>
      <xdr:rowOff>220265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ntrinio\Dropbox\Projects\Intrinio%20Excel%20Addin\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Data"/>
      <definedName name="IntrinioHistoricalPric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Facet">
  <a:themeElements>
    <a:clrScheme name="Facet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B4:F16"/>
  <sheetViews>
    <sheetView showGridLines="0" tabSelected="1" topLeftCell="B1" zoomScaleNormal="100" zoomScaleSheetLayoutView="80" workbookViewId="0">
      <selection activeCell="C5" sqref="C5"/>
    </sheetView>
  </sheetViews>
  <sheetFormatPr defaultRowHeight="14.25" x14ac:dyDescent="0.45"/>
  <cols>
    <col min="1" max="1" width="9.1328125" customWidth="1"/>
    <col min="2" max="2" width="18.86328125" customWidth="1"/>
    <col min="3" max="3" width="11.59765625" customWidth="1"/>
    <col min="4" max="4" width="2.73046875" customWidth="1"/>
  </cols>
  <sheetData>
    <row r="4" spans="2:6" ht="14.65" thickBot="1" x14ac:dyDescent="0.5"/>
    <row r="5" spans="2:6" ht="16.5" customHeight="1" thickBot="1" x14ac:dyDescent="0.5">
      <c r="B5" s="93" t="s">
        <v>51</v>
      </c>
      <c r="C5" s="128"/>
    </row>
    <row r="6" spans="2:6" x14ac:dyDescent="0.45">
      <c r="B6" s="22"/>
    </row>
    <row r="7" spans="2:6" x14ac:dyDescent="0.45">
      <c r="B7" s="22"/>
    </row>
    <row r="8" spans="2:6" x14ac:dyDescent="0.45">
      <c r="B8" s="93" t="s">
        <v>56</v>
      </c>
      <c r="C8" s="383" t="str">
        <f>[1]!IntrinioDataPoint(ticker,"name")</f>
        <v/>
      </c>
      <c r="D8" s="383"/>
      <c r="E8" s="383"/>
      <c r="F8" s="383"/>
    </row>
    <row r="9" spans="2:6" x14ac:dyDescent="0.45">
      <c r="B9" s="22"/>
    </row>
    <row r="10" spans="2:6" x14ac:dyDescent="0.45">
      <c r="B10" s="93" t="s">
        <v>57</v>
      </c>
      <c r="C10" s="384">
        <f ca="1">NOW()</f>
        <v>42715.730744560184</v>
      </c>
      <c r="D10" s="384"/>
      <c r="E10" s="384"/>
      <c r="F10" s="384"/>
    </row>
    <row r="11" spans="2:6" ht="14.65" thickBot="1" x14ac:dyDescent="0.5"/>
    <row r="12" spans="2:6" x14ac:dyDescent="0.45">
      <c r="B12" s="93" t="s">
        <v>92</v>
      </c>
      <c r="C12" s="129"/>
    </row>
    <row r="13" spans="2:6" x14ac:dyDescent="0.45">
      <c r="C13" s="130"/>
    </row>
    <row r="14" spans="2:6" x14ac:dyDescent="0.45">
      <c r="C14" s="130"/>
    </row>
    <row r="15" spans="2:6" x14ac:dyDescent="0.45">
      <c r="C15" s="130"/>
    </row>
    <row r="16" spans="2:6" ht="14.65" thickBot="1" x14ac:dyDescent="0.5">
      <c r="C16" s="131"/>
    </row>
  </sheetData>
  <mergeCells count="2">
    <mergeCell ref="C8:F8"/>
    <mergeCell ref="C10:F10"/>
  </mergeCells>
  <printOptions horizontalCentered="1" verticalCentered="1"/>
  <pageMargins left="0.7" right="0.7" top="0.75" bottom="0.75" header="0.3" footer="0.3"/>
  <pageSetup orientation="landscape" r:id="rId1"/>
  <headerFooter>
    <oddHeader>&amp;L ()          &amp;RReport Date: 11/26/2016</oddHead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">
                <anchor moveWithCells="1" sizeWithCells="1">
                  <from>
                    <xdr:col>4</xdr:col>
                    <xdr:colOff>104775</xdr:colOff>
                    <xdr:row>3</xdr:row>
                    <xdr:rowOff>28575</xdr:rowOff>
                  </from>
                  <to>
                    <xdr:col>5</xdr:col>
                    <xdr:colOff>57150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PrintReportWComps">
                <anchor moveWithCells="1">
                  <from>
                    <xdr:col>5</xdr:col>
                    <xdr:colOff>57150</xdr:colOff>
                    <xdr:row>3</xdr:row>
                    <xdr:rowOff>28575</xdr:rowOff>
                  </from>
                  <to>
                    <xdr:col>6</xdr:col>
                    <xdr:colOff>200025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PrintReportWOComps">
                <anchor moveWithCells="1">
                  <from>
                    <xdr:col>6</xdr:col>
                    <xdr:colOff>209550</xdr:colOff>
                    <xdr:row>3</xdr:row>
                    <xdr:rowOff>28575</xdr:rowOff>
                  </from>
                  <to>
                    <xdr:col>7</xdr:col>
                    <xdr:colOff>352425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fitToPage="1"/>
  </sheetPr>
  <dimension ref="A1:AA81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15.46484375" customWidth="1"/>
    <col min="3" max="3" width="1.73046875" customWidth="1"/>
    <col min="4" max="4" width="32.1328125" customWidth="1"/>
    <col min="5" max="5" width="1.73046875" customWidth="1"/>
    <col min="6" max="6" width="14.1328125" customWidth="1"/>
    <col min="7" max="7" width="1.73046875" customWidth="1"/>
    <col min="8" max="8" width="14.1328125" customWidth="1"/>
    <col min="9" max="9" width="1.73046875" customWidth="1"/>
    <col min="10" max="10" width="14.1328125" customWidth="1"/>
    <col min="11" max="11" width="1.73046875" customWidth="1"/>
    <col min="12" max="12" width="4" style="18" customWidth="1"/>
    <col min="13" max="13" width="10.46484375" customWidth="1"/>
    <col min="14" max="14" width="11.59765625" style="18" customWidth="1"/>
    <col min="16" max="23" width="9.1328125" customWidth="1"/>
    <col min="24" max="24" width="12" customWidth="1"/>
    <col min="25" max="25" width="13.1328125" bestFit="1" customWidth="1"/>
    <col min="26" max="26" width="13.1328125" style="18" customWidth="1"/>
  </cols>
  <sheetData>
    <row r="1" spans="1:27" s="18" customFormat="1" ht="15.4" x14ac:dyDescent="0.45">
      <c r="A1" s="23" t="s">
        <v>80</v>
      </c>
      <c r="B1" s="23"/>
    </row>
    <row r="2" spans="1:27" s="18" customFormat="1" ht="8.4499999999999993" customHeight="1" x14ac:dyDescent="0.45"/>
    <row r="3" spans="1:27" ht="15.4" x14ac:dyDescent="0.45">
      <c r="B3" s="94" t="s">
        <v>55</v>
      </c>
      <c r="C3" s="95"/>
      <c r="D3" s="94" t="s">
        <v>48</v>
      </c>
      <c r="E3" s="95"/>
      <c r="F3" s="94" t="s">
        <v>22</v>
      </c>
      <c r="G3" s="95"/>
      <c r="H3" s="94" t="s">
        <v>0</v>
      </c>
      <c r="I3" s="95"/>
      <c r="J3" s="94" t="s">
        <v>1</v>
      </c>
      <c r="K3" s="95"/>
      <c r="L3" s="94" t="s">
        <v>93</v>
      </c>
      <c r="M3" s="27"/>
    </row>
    <row r="4" spans="1:27" ht="15.4" x14ac:dyDescent="0.45">
      <c r="B4" s="27" t="str">
        <f>[1]!IntrinioDataPoint(ticker,"sector")</f>
        <v/>
      </c>
      <c r="C4" s="95"/>
      <c r="D4" s="27" t="str">
        <f>[1]!IntrinioDataPoint(ticker,"industry_group")</f>
        <v/>
      </c>
      <c r="E4" s="95"/>
      <c r="F4" s="96" t="e">
        <f>[1]!IntrinioDataPoint(ticker,"marketcap")/1000000</f>
        <v>#VALUE!</v>
      </c>
      <c r="G4" s="95"/>
      <c r="H4" s="96" t="e">
        <f>[1]!IntrinioDataPoint(ticker,"enterprisevalue")/1000000</f>
        <v>#VALUE!</v>
      </c>
      <c r="I4" s="95"/>
      <c r="J4" s="96" t="e">
        <f>[1]!IntrinioDataPoint(ticker,"totalrevenue")/1000000</f>
        <v>#VALUE!</v>
      </c>
      <c r="K4" s="95"/>
      <c r="L4" s="97" t="str">
        <f>[1]!IntrinioDataPoint(ticker,"ceo")</f>
        <v/>
      </c>
      <c r="M4" s="27"/>
    </row>
    <row r="5" spans="1:27" ht="15.4" x14ac:dyDescent="0.45">
      <c r="B5" s="27"/>
      <c r="C5" s="27"/>
      <c r="D5" s="98"/>
      <c r="E5" s="27"/>
      <c r="F5" s="27"/>
      <c r="G5" s="27"/>
      <c r="H5" s="27"/>
      <c r="I5" s="27"/>
      <c r="J5" s="27"/>
      <c r="K5" s="27"/>
      <c r="L5" s="27"/>
      <c r="M5" s="27"/>
      <c r="P5" t="s">
        <v>58</v>
      </c>
      <c r="X5" t="s">
        <v>63</v>
      </c>
      <c r="Y5" s="4" t="str">
        <f>[1]!IntrinioDataPoint(ticker,X5)</f>
        <v/>
      </c>
      <c r="Z5" s="4"/>
    </row>
    <row r="6" spans="1:27" ht="14.25" customHeight="1" x14ac:dyDescent="0.45">
      <c r="B6" s="385" t="str">
        <f>[1]!IntrinioDataPoint(ticker,"long_description")</f>
        <v/>
      </c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17"/>
      <c r="P6" s="18">
        <f>+Q6+1</f>
        <v>4</v>
      </c>
      <c r="Q6" s="18">
        <f>+R6+1</f>
        <v>3</v>
      </c>
      <c r="R6" s="18">
        <f>+S6+1</f>
        <v>2</v>
      </c>
      <c r="S6">
        <f>+T6+1</f>
        <v>1</v>
      </c>
      <c r="T6">
        <v>0</v>
      </c>
      <c r="X6" t="s">
        <v>64</v>
      </c>
      <c r="Y6" s="4" t="str">
        <f>[1]!IntrinioDataPoint(ticker,X6)</f>
        <v/>
      </c>
      <c r="Z6" s="4"/>
    </row>
    <row r="7" spans="1:27" x14ac:dyDescent="0.45">
      <c r="B7" s="385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17"/>
      <c r="P7" s="21" t="e">
        <f>Q7-1</f>
        <v>#VALUE!</v>
      </c>
      <c r="Q7" s="21" t="e">
        <f>R7-1</f>
        <v>#VALUE!</v>
      </c>
      <c r="R7" s="21" t="e">
        <f>S7-1</f>
        <v>#VALUE!</v>
      </c>
      <c r="S7" s="21" t="e">
        <f>T7-1</f>
        <v>#VALUE!</v>
      </c>
      <c r="T7" s="21" t="str">
        <f>[1]!IntrinioFundamentals(ticker,"income_statement","FY",T6,"fiscal_year")</f>
        <v/>
      </c>
      <c r="U7" s="26" t="e">
        <f>T7+1&amp;"E"</f>
        <v>#VALUE!</v>
      </c>
      <c r="V7" s="26" t="e">
        <f>T7+2&amp;"E"</f>
        <v>#VALUE!</v>
      </c>
      <c r="W7" s="26" t="e">
        <f>T7+3&amp;"E"</f>
        <v>#VALUE!</v>
      </c>
    </row>
    <row r="8" spans="1:27" x14ac:dyDescent="0.45">
      <c r="B8" s="385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17"/>
      <c r="P8" s="4" t="e">
        <f>[1]!IntrinioFinancials(ticker,"income_statement",P7,"FY",$P$5)</f>
        <v>#VALUE!</v>
      </c>
      <c r="Q8" s="4" t="e">
        <f>[1]!IntrinioFinancials(ticker,"income_statement",Q7,"FY",$P$5)</f>
        <v>#VALUE!</v>
      </c>
      <c r="R8" s="4" t="e">
        <f>[1]!IntrinioFinancials(ticker,"income_statement",R7,"FY",$P$5)</f>
        <v>#VALUE!</v>
      </c>
      <c r="S8" s="4" t="e">
        <f>[1]!IntrinioFinancials(ticker,"income_statement",S7,"FY",$P$5)</f>
        <v>#VALUE!</v>
      </c>
      <c r="T8" s="4" t="e">
        <f>[1]!IntrinioFinancials(ticker,"income_statement",T7,"FY",$P$5)</f>
        <v>#VALUE!</v>
      </c>
      <c r="U8" s="4" t="str">
        <f>[1]!IntrinioDataPoint(ticker,"current_yr_ave_eps_est")</f>
        <v/>
      </c>
      <c r="V8" s="4" t="str">
        <f>[1]!IntrinioDataPoint(ticker,"next_yr_ave_eps_est")</f>
        <v/>
      </c>
      <c r="W8" s="4" t="e">
        <f>V8*(1+([1]!IntrinioDataPoint(ticker,"long_term_growth_rate")*0.2))</f>
        <v>#VALUE!</v>
      </c>
      <c r="X8" t="s">
        <v>2</v>
      </c>
      <c r="Y8" s="3" t="str">
        <f ca="1">TEXT(Y9-365*5,"YYYY-MM-DD")</f>
        <v>2011-12-13</v>
      </c>
      <c r="Z8" s="3"/>
    </row>
    <row r="9" spans="1:27" x14ac:dyDescent="0.45">
      <c r="B9" s="385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17"/>
      <c r="X9" t="s">
        <v>3</v>
      </c>
      <c r="Y9" s="3" t="str">
        <f ca="1">TEXT(report_date,"YYYY-MM-DD")</f>
        <v>2016-12-11</v>
      </c>
      <c r="Z9" s="3"/>
    </row>
    <row r="10" spans="1:27" x14ac:dyDescent="0.45">
      <c r="B10" s="385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17"/>
      <c r="U10" s="9"/>
      <c r="X10" t="s">
        <v>4</v>
      </c>
      <c r="Y10" t="s">
        <v>7</v>
      </c>
    </row>
    <row r="11" spans="1:27" x14ac:dyDescent="0.45"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17"/>
      <c r="X11" t="s">
        <v>6</v>
      </c>
      <c r="Y11" s="24" t="s">
        <v>8</v>
      </c>
      <c r="Z11" s="382" t="s">
        <v>233</v>
      </c>
      <c r="AA11" s="24" t="s">
        <v>5</v>
      </c>
    </row>
    <row r="12" spans="1:27" x14ac:dyDescent="0.45"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17"/>
      <c r="X12">
        <v>0</v>
      </c>
      <c r="Y12" s="2" t="str">
        <f ca="1">IFERROR([1]!IntrinioHistoricalPrices(ticker,"date",$X12,$Y$8,$Y$9,$Y$10),"")</f>
        <v/>
      </c>
      <c r="Z12" s="2" t="e">
        <f ca="1">DATE(YEAR(Y12),MONTH(Y12),DAY(Y12))</f>
        <v>#VALUE!</v>
      </c>
      <c r="AA12" s="4" t="str">
        <f ca="1">IFERROR([1]!IntrinioHistoricalPrices(ticker,"adj_close",$X12,$Y$8,$Y$9,$Y$10),"")</f>
        <v/>
      </c>
    </row>
    <row r="13" spans="1:27" x14ac:dyDescent="0.45">
      <c r="B13" s="385"/>
      <c r="C13" s="385"/>
      <c r="D13" s="385"/>
      <c r="E13" s="385"/>
      <c r="F13" s="385"/>
      <c r="G13" s="385"/>
      <c r="H13" s="385"/>
      <c r="I13" s="385"/>
      <c r="J13" s="385"/>
      <c r="K13" s="385"/>
      <c r="L13" s="385"/>
      <c r="M13" s="385"/>
      <c r="N13" s="17"/>
      <c r="X13">
        <f>X12+1</f>
        <v>1</v>
      </c>
      <c r="Y13" s="2" t="str">
        <f ca="1">IFERROR([1]!IntrinioHistoricalPrices(ticker,"date",$X13,$Y$8,$Y$9,$Y$10),"")</f>
        <v/>
      </c>
      <c r="Z13" s="2" t="e">
        <f t="shared" ref="Z13:Z71" ca="1" si="0">DATE(YEAR(Y13),MONTH(Y13),DAY(Y13))</f>
        <v>#VALUE!</v>
      </c>
      <c r="AA13" s="4" t="str">
        <f ca="1">IFERROR([1]!IntrinioHistoricalPrices(ticker,"adj_close",$X13,$Y$8,$Y$9,$Y$10),"")</f>
        <v/>
      </c>
    </row>
    <row r="14" spans="1:27" x14ac:dyDescent="0.45">
      <c r="B14" s="385"/>
      <c r="C14" s="385"/>
      <c r="D14" s="385"/>
      <c r="E14" s="385"/>
      <c r="F14" s="385"/>
      <c r="G14" s="385"/>
      <c r="H14" s="385"/>
      <c r="I14" s="385"/>
      <c r="J14" s="385"/>
      <c r="K14" s="385"/>
      <c r="L14" s="385"/>
      <c r="M14" s="385"/>
      <c r="N14" s="17"/>
      <c r="Q14" s="2"/>
      <c r="X14" s="18">
        <f t="shared" ref="X14:X71" si="1">X13+1</f>
        <v>2</v>
      </c>
      <c r="Y14" s="2" t="str">
        <f ca="1">IFERROR([1]!IntrinioHistoricalPrices(ticker,"date",$X14,$Y$8,$Y$9,$Y$10),"")</f>
        <v/>
      </c>
      <c r="Z14" s="2" t="e">
        <f t="shared" ca="1" si="0"/>
        <v>#VALUE!</v>
      </c>
      <c r="AA14" s="4" t="str">
        <f ca="1">IFERROR([1]!IntrinioHistoricalPrices(ticker,"adj_close",$X14,$Y$8,$Y$9,$Y$10),"")</f>
        <v/>
      </c>
    </row>
    <row r="15" spans="1:27" x14ac:dyDescent="0.45">
      <c r="B15" s="385"/>
      <c r="C15" s="385"/>
      <c r="D15" s="385"/>
      <c r="E15" s="385"/>
      <c r="F15" s="385"/>
      <c r="G15" s="385"/>
      <c r="H15" s="385"/>
      <c r="I15" s="385"/>
      <c r="J15" s="385"/>
      <c r="K15" s="385"/>
      <c r="L15" s="385"/>
      <c r="M15" s="385"/>
      <c r="N15" s="17"/>
      <c r="Q15" s="2"/>
      <c r="X15" s="18">
        <f t="shared" si="1"/>
        <v>3</v>
      </c>
      <c r="Y15" s="2" t="str">
        <f ca="1">IFERROR([1]!IntrinioHistoricalPrices(ticker,"date",$X15,$Y$8,$Y$9,$Y$10),"")</f>
        <v/>
      </c>
      <c r="Z15" s="2" t="e">
        <f t="shared" ca="1" si="0"/>
        <v>#VALUE!</v>
      </c>
      <c r="AA15" s="4" t="str">
        <f ca="1">IFERROR([1]!IntrinioHistoricalPrices(ticker,"adj_close",$X15,$Y$8,$Y$9,$Y$10),"")</f>
        <v/>
      </c>
    </row>
    <row r="16" spans="1:27" x14ac:dyDescent="0.45"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17"/>
      <c r="X16" s="18">
        <f t="shared" si="1"/>
        <v>4</v>
      </c>
      <c r="Y16" s="2" t="str">
        <f ca="1">IFERROR([1]!IntrinioHistoricalPrices(ticker,"date",$X16,$Y$8,$Y$9,$Y$10),"")</f>
        <v/>
      </c>
      <c r="Z16" s="2" t="e">
        <f t="shared" ca="1" si="0"/>
        <v>#VALUE!</v>
      </c>
      <c r="AA16" s="4" t="str">
        <f ca="1">IFERROR([1]!IntrinioHistoricalPrices(ticker,"adj_close",$X16,$Y$8,$Y$9,$Y$10),"")</f>
        <v/>
      </c>
    </row>
    <row r="17" spans="2:27" x14ac:dyDescent="0.45"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17"/>
      <c r="X17" s="18">
        <f t="shared" si="1"/>
        <v>5</v>
      </c>
      <c r="Y17" s="2" t="str">
        <f ca="1">IFERROR([1]!IntrinioHistoricalPrices(ticker,"date",$X17,$Y$8,$Y$9,$Y$10),"")</f>
        <v/>
      </c>
      <c r="Z17" s="2" t="e">
        <f t="shared" ca="1" si="0"/>
        <v>#VALUE!</v>
      </c>
      <c r="AA17" s="4" t="str">
        <f ca="1">IFERROR([1]!IntrinioHistoricalPrices(ticker,"adj_close",$X17,$Y$8,$Y$9,$Y$10),"")</f>
        <v/>
      </c>
    </row>
    <row r="18" spans="2:27" x14ac:dyDescent="0.45"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17"/>
      <c r="X18" s="18">
        <f t="shared" si="1"/>
        <v>6</v>
      </c>
      <c r="Y18" s="2" t="str">
        <f ca="1">IFERROR([1]!IntrinioHistoricalPrices(ticker,"date",$X18,$Y$8,$Y$9,$Y$10),"")</f>
        <v/>
      </c>
      <c r="Z18" s="2" t="e">
        <f t="shared" ca="1" si="0"/>
        <v>#VALUE!</v>
      </c>
      <c r="AA18" s="4" t="str">
        <f ca="1">IFERROR([1]!IntrinioHistoricalPrices(ticker,"adj_close",$X18,$Y$8,$Y$9,$Y$10),"")</f>
        <v/>
      </c>
    </row>
    <row r="19" spans="2:27" x14ac:dyDescent="0.45"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17"/>
      <c r="P19" s="3"/>
      <c r="X19" s="18">
        <f t="shared" si="1"/>
        <v>7</v>
      </c>
      <c r="Y19" s="2" t="str">
        <f ca="1">IFERROR([1]!IntrinioHistoricalPrices(ticker,"date",$X19,$Y$8,$Y$9,$Y$10),"")</f>
        <v/>
      </c>
      <c r="Z19" s="2" t="e">
        <f t="shared" ca="1" si="0"/>
        <v>#VALUE!</v>
      </c>
      <c r="AA19" s="4" t="str">
        <f ca="1">IFERROR([1]!IntrinioHistoricalPrices(ticker,"adj_close",$X19,$Y$8,$Y$9,$Y$10),"")</f>
        <v/>
      </c>
    </row>
    <row r="20" spans="2:27" x14ac:dyDescent="0.45"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6"/>
      <c r="P20" s="3"/>
      <c r="X20" s="18">
        <f t="shared" si="1"/>
        <v>8</v>
      </c>
      <c r="Y20" s="2" t="str">
        <f ca="1">IFERROR([1]!IntrinioHistoricalPrices(ticker,"date",$X20,$Y$8,$Y$9,$Y$10),"")</f>
        <v/>
      </c>
      <c r="Z20" s="2" t="e">
        <f t="shared" ca="1" si="0"/>
        <v>#VALUE!</v>
      </c>
      <c r="AA20" s="4" t="str">
        <f ca="1">IFERROR([1]!IntrinioHistoricalPrices(ticker,"adj_close",$X20,$Y$8,$Y$9,$Y$10),"")</f>
        <v/>
      </c>
    </row>
    <row r="21" spans="2:27" ht="15.4" x14ac:dyDescent="0.45">
      <c r="B21" s="17"/>
      <c r="C21" s="17"/>
      <c r="D21" s="17"/>
      <c r="E21" s="17"/>
      <c r="F21" s="17"/>
      <c r="G21" s="17"/>
      <c r="H21" s="17"/>
      <c r="I21" s="17"/>
      <c r="J21" s="17"/>
      <c r="K21" s="17"/>
      <c r="M21" s="99" t="str">
        <f>[1]!IntrinioDataPoint(ticker,"close_price")</f>
        <v/>
      </c>
      <c r="N21" s="16"/>
      <c r="X21" s="18">
        <f t="shared" si="1"/>
        <v>9</v>
      </c>
      <c r="Y21" s="2" t="str">
        <f ca="1">IFERROR([1]!IntrinioHistoricalPrices(ticker,"date",$X21,$Y$8,$Y$9,$Y$10),"")</f>
        <v/>
      </c>
      <c r="Z21" s="2" t="e">
        <f t="shared" ca="1" si="0"/>
        <v>#VALUE!</v>
      </c>
      <c r="AA21" s="4" t="str">
        <f ca="1">IFERROR([1]!IntrinioHistoricalPrices(ticker,"adj_close",$X21,$Y$8,$Y$9,$Y$10),"")</f>
        <v/>
      </c>
    </row>
    <row r="22" spans="2:27" x14ac:dyDescent="0.45"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6"/>
      <c r="M22" s="17"/>
      <c r="N22" s="17"/>
      <c r="X22" s="18">
        <f t="shared" si="1"/>
        <v>10</v>
      </c>
      <c r="Y22" s="2" t="str">
        <f ca="1">IFERROR([1]!IntrinioHistoricalPrices(ticker,"date",$X22,$Y$8,$Y$9,$Y$10),"")</f>
        <v/>
      </c>
      <c r="Z22" s="2" t="e">
        <f t="shared" ca="1" si="0"/>
        <v>#VALUE!</v>
      </c>
      <c r="AA22" s="4" t="str">
        <f ca="1">IFERROR([1]!IntrinioHistoricalPrices(ticker,"adj_close",$X22,$Y$8,$Y$9,$Y$10),"")</f>
        <v/>
      </c>
    </row>
    <row r="23" spans="2:27" x14ac:dyDescent="0.45">
      <c r="L23" s="24"/>
      <c r="P23" s="3"/>
      <c r="X23" s="18">
        <f t="shared" si="1"/>
        <v>11</v>
      </c>
      <c r="Y23" s="2" t="str">
        <f ca="1">IFERROR([1]!IntrinioHistoricalPrices(ticker,"date",$X23,$Y$8,$Y$9,$Y$10),"")</f>
        <v/>
      </c>
      <c r="Z23" s="2" t="e">
        <f t="shared" ca="1" si="0"/>
        <v>#VALUE!</v>
      </c>
      <c r="AA23" s="4" t="str">
        <f ca="1">IFERROR([1]!IntrinioHistoricalPrices(ticker,"adj_close",$X23,$Y$8,$Y$9,$Y$10),"")</f>
        <v/>
      </c>
    </row>
    <row r="24" spans="2:27" x14ac:dyDescent="0.45">
      <c r="M24" s="22" t="s">
        <v>52</v>
      </c>
      <c r="N24" s="20" t="e">
        <f ca="1">AA12/[1]!IntrinioHistoricalPrices(ticker,"adj_close",1,$Y$8,$Y$9,"yearly")-1</f>
        <v>#VALUE!</v>
      </c>
      <c r="P24" s="3"/>
      <c r="X24" s="18">
        <f t="shared" si="1"/>
        <v>12</v>
      </c>
      <c r="Y24" s="2" t="str">
        <f ca="1">IFERROR([1]!IntrinioHistoricalPrices(ticker,"date",$X24,$Y$8,$Y$9,$Y$10),"")</f>
        <v/>
      </c>
      <c r="Z24" s="2" t="e">
        <f t="shared" ca="1" si="0"/>
        <v>#VALUE!</v>
      </c>
      <c r="AA24" s="4" t="str">
        <f ca="1">IFERROR([1]!IntrinioHistoricalPrices(ticker,"adj_close",$X24,$Y$8,$Y$9,$Y$10),"")</f>
        <v/>
      </c>
    </row>
    <row r="25" spans="2:27" x14ac:dyDescent="0.45">
      <c r="M25" s="22" t="s">
        <v>53</v>
      </c>
      <c r="N25" s="20" t="e">
        <f ca="1">M21/AA15-1</f>
        <v>#VALUE!</v>
      </c>
      <c r="P25" s="3"/>
      <c r="X25" s="18">
        <f t="shared" si="1"/>
        <v>13</v>
      </c>
      <c r="Y25" s="2" t="str">
        <f ca="1">IFERROR([1]!IntrinioHistoricalPrices(ticker,"date",$X25,$Y$8,$Y$9,$Y$10),"")</f>
        <v/>
      </c>
      <c r="Z25" s="2" t="e">
        <f t="shared" ca="1" si="0"/>
        <v>#VALUE!</v>
      </c>
      <c r="AA25" s="4" t="str">
        <f ca="1">IFERROR([1]!IntrinioHistoricalPrices(ticker,"adj_close",$X25,$Y$8,$Y$9,$Y$10),"")</f>
        <v/>
      </c>
    </row>
    <row r="26" spans="2:27" x14ac:dyDescent="0.45">
      <c r="M26" s="22" t="s">
        <v>54</v>
      </c>
      <c r="N26" s="20" t="e">
        <f ca="1">AA12/AA24-1</f>
        <v>#VALUE!</v>
      </c>
      <c r="P26" s="3"/>
      <c r="X26" s="18">
        <f t="shared" si="1"/>
        <v>14</v>
      </c>
      <c r="Y26" s="2" t="str">
        <f ca="1">IFERROR([1]!IntrinioHistoricalPrices(ticker,"date",$X26,$Y$8,$Y$9,$Y$10),"")</f>
        <v/>
      </c>
      <c r="Z26" s="2" t="e">
        <f t="shared" ca="1" si="0"/>
        <v>#VALUE!</v>
      </c>
      <c r="AA26" s="4" t="str">
        <f ca="1">IFERROR([1]!IntrinioHistoricalPrices(ticker,"adj_close",$X26,$Y$8,$Y$9,$Y$10),"")</f>
        <v/>
      </c>
    </row>
    <row r="27" spans="2:27" x14ac:dyDescent="0.45">
      <c r="M27" s="22" t="s">
        <v>12</v>
      </c>
      <c r="N27" s="20" t="e">
        <f ca="1">AA12/Y5-1</f>
        <v>#VALUE!</v>
      </c>
      <c r="P27" s="3"/>
      <c r="X27" s="18">
        <f t="shared" si="1"/>
        <v>15</v>
      </c>
      <c r="Y27" s="2" t="str">
        <f ca="1">IFERROR([1]!IntrinioHistoricalPrices(ticker,"date",$X27,$Y$8,$Y$9,$Y$10),"")</f>
        <v/>
      </c>
      <c r="Z27" s="2" t="e">
        <f t="shared" ca="1" si="0"/>
        <v>#VALUE!</v>
      </c>
      <c r="AA27" s="4" t="str">
        <f ca="1">IFERROR([1]!IntrinioHistoricalPrices(ticker,"adj_close",$X27,$Y$8,$Y$9,$Y$10),"")</f>
        <v/>
      </c>
    </row>
    <row r="28" spans="2:27" x14ac:dyDescent="0.45">
      <c r="M28" s="22" t="s">
        <v>13</v>
      </c>
      <c r="N28" s="20" t="e">
        <f ca="1">AA13/Y6-1</f>
        <v>#VALUE!</v>
      </c>
      <c r="P28" s="3"/>
      <c r="X28" s="18">
        <f t="shared" si="1"/>
        <v>16</v>
      </c>
      <c r="Y28" s="2" t="str">
        <f ca="1">IFERROR([1]!IntrinioHistoricalPrices(ticker,"date",$X28,$Y$8,$Y$9,$Y$10),"")</f>
        <v/>
      </c>
      <c r="Z28" s="2" t="e">
        <f t="shared" ca="1" si="0"/>
        <v>#VALUE!</v>
      </c>
      <c r="AA28" s="4" t="str">
        <f ca="1">IFERROR([1]!IntrinioHistoricalPrices(ticker,"adj_close",$X28,$Y$8,$Y$9,$Y$10),"")</f>
        <v/>
      </c>
    </row>
    <row r="29" spans="2:27" x14ac:dyDescent="0.45">
      <c r="M29" s="22" t="s">
        <v>10</v>
      </c>
      <c r="N29" t="str">
        <f>[1]!IntrinioDataPoint(ticker,"beta")</f>
        <v/>
      </c>
      <c r="P29" s="3"/>
      <c r="X29" s="18">
        <f t="shared" si="1"/>
        <v>17</v>
      </c>
      <c r="Y29" s="2" t="str">
        <f ca="1">IFERROR([1]!IntrinioHistoricalPrices(ticker,"date",$X29,$Y$8,$Y$9,$Y$10),"")</f>
        <v/>
      </c>
      <c r="Z29" s="2" t="e">
        <f t="shared" ca="1" si="0"/>
        <v>#VALUE!</v>
      </c>
      <c r="AA29" s="4" t="str">
        <f ca="1">IFERROR([1]!IntrinioHistoricalPrices(ticker,"adj_close",$X29,$Y$8,$Y$9,$Y$10),"")</f>
        <v/>
      </c>
    </row>
    <row r="30" spans="2:27" x14ac:dyDescent="0.45">
      <c r="M30" s="22" t="s">
        <v>11</v>
      </c>
      <c r="N30" s="19" t="str">
        <f>[1]!IntrinioDataPoint(ticker,"pricetoearnings")</f>
        <v/>
      </c>
      <c r="P30" s="3"/>
      <c r="X30" s="18">
        <f t="shared" si="1"/>
        <v>18</v>
      </c>
      <c r="Y30" s="2" t="str">
        <f ca="1">IFERROR([1]!IntrinioHistoricalPrices(ticker,"date",$X30,$Y$8,$Y$9,$Y$10),"")</f>
        <v/>
      </c>
      <c r="Z30" s="2" t="e">
        <f t="shared" ca="1" si="0"/>
        <v>#VALUE!</v>
      </c>
      <c r="AA30" s="4" t="str">
        <f ca="1">IFERROR([1]!IntrinioHistoricalPrices(ticker,"adj_close",$X30,$Y$8,$Y$9,$Y$10),"")</f>
        <v/>
      </c>
    </row>
    <row r="31" spans="2:27" x14ac:dyDescent="0.45">
      <c r="N31" s="19"/>
      <c r="P31" s="3"/>
      <c r="X31" s="18">
        <f t="shared" si="1"/>
        <v>19</v>
      </c>
      <c r="Y31" s="2" t="str">
        <f ca="1">IFERROR([1]!IntrinioHistoricalPrices(ticker,"date",$X31,$Y$8,$Y$9,$Y$10),"")</f>
        <v/>
      </c>
      <c r="Z31" s="2" t="e">
        <f t="shared" ca="1" si="0"/>
        <v>#VALUE!</v>
      </c>
      <c r="AA31" s="4" t="str">
        <f ca="1">IFERROR([1]!IntrinioHistoricalPrices(ticker,"adj_close",$X31,$Y$8,$Y$9,$Y$10),"")</f>
        <v/>
      </c>
    </row>
    <row r="32" spans="2:27" x14ac:dyDescent="0.45">
      <c r="P32" s="3"/>
      <c r="X32" s="18">
        <f t="shared" si="1"/>
        <v>20</v>
      </c>
      <c r="Y32" s="2" t="str">
        <f ca="1">IFERROR([1]!IntrinioHistoricalPrices(ticker,"date",$X32,$Y$8,$Y$9,$Y$10),"")</f>
        <v/>
      </c>
      <c r="Z32" s="2" t="e">
        <f t="shared" ca="1" si="0"/>
        <v>#VALUE!</v>
      </c>
      <c r="AA32" s="4" t="str">
        <f ca="1">IFERROR([1]!IntrinioHistoricalPrices(ticker,"adj_close",$X32,$Y$8,$Y$9,$Y$10),"")</f>
        <v/>
      </c>
    </row>
    <row r="33" spans="2:27" x14ac:dyDescent="0.45">
      <c r="P33" s="3"/>
      <c r="X33" s="18">
        <f t="shared" si="1"/>
        <v>21</v>
      </c>
      <c r="Y33" s="2" t="str">
        <f ca="1">IFERROR([1]!IntrinioHistoricalPrices(ticker,"date",$X33,$Y$8,$Y$9,$Y$10),"")</f>
        <v/>
      </c>
      <c r="Z33" s="2" t="e">
        <f t="shared" ca="1" si="0"/>
        <v>#VALUE!</v>
      </c>
      <c r="AA33" s="4" t="str">
        <f ca="1">IFERROR([1]!IntrinioHistoricalPrices(ticker,"adj_close",$X33,$Y$8,$Y$9,$Y$10),"")</f>
        <v/>
      </c>
    </row>
    <row r="34" spans="2:27" x14ac:dyDescent="0.45">
      <c r="B34" s="18"/>
      <c r="C34" s="18"/>
      <c r="D34" s="18"/>
      <c r="E34" s="18"/>
      <c r="F34" s="18"/>
      <c r="G34" s="18"/>
      <c r="H34" s="18"/>
      <c r="I34" s="18"/>
      <c r="J34" s="18"/>
      <c r="K34" s="18"/>
      <c r="M34" s="18"/>
      <c r="P34" s="3"/>
      <c r="X34" s="18">
        <f t="shared" si="1"/>
        <v>22</v>
      </c>
      <c r="Y34" s="2" t="str">
        <f ca="1">IFERROR([1]!IntrinioHistoricalPrices(ticker,"date",$X34,$Y$8,$Y$9,$Y$10),"")</f>
        <v/>
      </c>
      <c r="Z34" s="2" t="e">
        <f t="shared" ca="1" si="0"/>
        <v>#VALUE!</v>
      </c>
      <c r="AA34" s="4" t="str">
        <f ca="1">IFERROR([1]!IntrinioHistoricalPrices(ticker,"adj_close",$X34,$Y$8,$Y$9,$Y$10),"")</f>
        <v/>
      </c>
    </row>
    <row r="35" spans="2:27" x14ac:dyDescent="0.45">
      <c r="B35" s="18"/>
      <c r="C35" s="18"/>
      <c r="D35" s="18"/>
      <c r="E35" s="18"/>
      <c r="F35" s="18"/>
      <c r="G35" s="18"/>
      <c r="H35" s="18"/>
      <c r="I35" s="18"/>
      <c r="J35" s="18"/>
      <c r="K35" s="18"/>
      <c r="M35" s="18"/>
      <c r="P35" s="3"/>
      <c r="X35" s="18">
        <f t="shared" si="1"/>
        <v>23</v>
      </c>
      <c r="Y35" s="2" t="str">
        <f ca="1">IFERROR([1]!IntrinioHistoricalPrices(ticker,"date",$X35,$Y$8,$Y$9,$Y$10),"")</f>
        <v/>
      </c>
      <c r="Z35" s="2" t="e">
        <f t="shared" ca="1" si="0"/>
        <v>#VALUE!</v>
      </c>
      <c r="AA35" s="4" t="str">
        <f ca="1">IFERROR([1]!IntrinioHistoricalPrices(ticker,"adj_close",$X35,$Y$8,$Y$9,$Y$10),"")</f>
        <v/>
      </c>
    </row>
    <row r="36" spans="2:27" ht="15.4" x14ac:dyDescent="0.45">
      <c r="B36" s="94" t="s">
        <v>190</v>
      </c>
      <c r="C36" s="324"/>
      <c r="D36" s="94"/>
      <c r="E36" s="95"/>
      <c r="F36" s="94" t="s">
        <v>214</v>
      </c>
      <c r="G36" s="324"/>
      <c r="H36" s="94"/>
      <c r="I36" s="324"/>
      <c r="J36" s="94"/>
      <c r="K36" s="324"/>
      <c r="L36" s="94"/>
      <c r="M36" s="117"/>
      <c r="N36" s="17"/>
      <c r="P36" s="3"/>
      <c r="X36" s="18">
        <f t="shared" si="1"/>
        <v>24</v>
      </c>
      <c r="Y36" s="2" t="str">
        <f ca="1">IFERROR([1]!IntrinioHistoricalPrices(ticker,"date",$X36,$Y$8,$Y$9,$Y$10),"")</f>
        <v/>
      </c>
      <c r="Z36" s="2" t="e">
        <f t="shared" ca="1" si="0"/>
        <v>#VALUE!</v>
      </c>
      <c r="AA36" s="4" t="str">
        <f ca="1">IFERROR([1]!IntrinioHistoricalPrices(ticker,"adj_close",$X36,$Y$8,$Y$9,$Y$10),"")</f>
        <v/>
      </c>
    </row>
    <row r="37" spans="2:27" ht="15.4" x14ac:dyDescent="0.45">
      <c r="B37" s="381" t="str">
        <f>HYPERLINK(P37,P37)</f>
        <v/>
      </c>
      <c r="C37" s="324"/>
      <c r="D37" s="27"/>
      <c r="E37" s="95"/>
      <c r="F37" s="380" t="str">
        <f>[1]!IntrinioDataPoint(ticker,"business_address")</f>
        <v/>
      </c>
      <c r="G37" s="324"/>
      <c r="H37" s="325"/>
      <c r="I37" s="324"/>
      <c r="J37" s="325"/>
      <c r="K37" s="324"/>
      <c r="L37" s="97"/>
      <c r="M37" s="117"/>
      <c r="N37" s="17"/>
      <c r="P37" s="3" t="str">
        <f>[1]!IntrinioDataPoint(ticker,"company_url")</f>
        <v/>
      </c>
      <c r="X37" s="18">
        <f t="shared" si="1"/>
        <v>25</v>
      </c>
      <c r="Y37" s="2" t="str">
        <f ca="1">IFERROR([1]!IntrinioHistoricalPrices(ticker,"date",$X37,$Y$8,$Y$9,$Y$10),"")</f>
        <v/>
      </c>
      <c r="Z37" s="2" t="e">
        <f t="shared" ca="1" si="0"/>
        <v>#VALUE!</v>
      </c>
      <c r="AA37" s="4" t="str">
        <f ca="1">IFERROR([1]!IntrinioHistoricalPrices(ticker,"adj_close",$X37,$Y$8,$Y$9,$Y$10),"")</f>
        <v/>
      </c>
    </row>
    <row r="38" spans="2:27" x14ac:dyDescent="0.45">
      <c r="P38" s="3"/>
      <c r="Q38" s="25"/>
      <c r="X38" s="18">
        <f t="shared" si="1"/>
        <v>26</v>
      </c>
      <c r="Y38" s="2" t="str">
        <f ca="1">IFERROR([1]!IntrinioHistoricalPrices(ticker,"date",$X38,$Y$8,$Y$9,$Y$10),"")</f>
        <v/>
      </c>
      <c r="Z38" s="2" t="e">
        <f t="shared" ca="1" si="0"/>
        <v>#VALUE!</v>
      </c>
      <c r="AA38" s="4" t="str">
        <f ca="1">IFERROR([1]!IntrinioHistoricalPrices(ticker,"adj_close",$X38,$Y$8,$Y$9,$Y$10),"")</f>
        <v/>
      </c>
    </row>
    <row r="39" spans="2:27" x14ac:dyDescent="0.45">
      <c r="P39" s="3"/>
      <c r="X39" s="18">
        <f t="shared" si="1"/>
        <v>27</v>
      </c>
      <c r="Y39" s="2" t="str">
        <f ca="1">IFERROR([1]!IntrinioHistoricalPrices(ticker,"date",$X39,$Y$8,$Y$9,$Y$10),"")</f>
        <v/>
      </c>
      <c r="Z39" s="2" t="e">
        <f t="shared" ca="1" si="0"/>
        <v>#VALUE!</v>
      </c>
      <c r="AA39" s="4" t="str">
        <f ca="1">IFERROR([1]!IntrinioHistoricalPrices(ticker,"adj_close",$X39,$Y$8,$Y$9,$Y$10),"")</f>
        <v/>
      </c>
    </row>
    <row r="40" spans="2:27" x14ac:dyDescent="0.45">
      <c r="P40" s="3"/>
      <c r="X40" s="18">
        <f t="shared" si="1"/>
        <v>28</v>
      </c>
      <c r="Y40" s="2" t="str">
        <f ca="1">IFERROR([1]!IntrinioHistoricalPrices(ticker,"date",$X40,$Y$8,$Y$9,$Y$10),"")</f>
        <v/>
      </c>
      <c r="Z40" s="2" t="e">
        <f t="shared" ca="1" si="0"/>
        <v>#VALUE!</v>
      </c>
      <c r="AA40" s="4" t="str">
        <f ca="1">IFERROR([1]!IntrinioHistoricalPrices(ticker,"adj_close",$X40,$Y$8,$Y$9,$Y$10),"")</f>
        <v/>
      </c>
    </row>
    <row r="41" spans="2:27" x14ac:dyDescent="0.45">
      <c r="P41" s="3"/>
      <c r="X41" s="18">
        <f t="shared" si="1"/>
        <v>29</v>
      </c>
      <c r="Y41" s="2" t="str">
        <f ca="1">IFERROR([1]!IntrinioHistoricalPrices(ticker,"date",$X41,$Y$8,$Y$9,$Y$10),"")</f>
        <v/>
      </c>
      <c r="Z41" s="2" t="e">
        <f t="shared" ca="1" si="0"/>
        <v>#VALUE!</v>
      </c>
      <c r="AA41" s="4" t="str">
        <f ca="1">IFERROR([1]!IntrinioHistoricalPrices(ticker,"adj_close",$X41,$Y$8,$Y$9,$Y$10),"")</f>
        <v/>
      </c>
    </row>
    <row r="42" spans="2:27" x14ac:dyDescent="0.45">
      <c r="P42" s="3"/>
      <c r="X42" s="18">
        <f t="shared" si="1"/>
        <v>30</v>
      </c>
      <c r="Y42" s="2" t="str">
        <f ca="1">IFERROR([1]!IntrinioHistoricalPrices(ticker,"date",$X42,$Y$8,$Y$9,$Y$10),"")</f>
        <v/>
      </c>
      <c r="Z42" s="2" t="e">
        <f t="shared" ca="1" si="0"/>
        <v>#VALUE!</v>
      </c>
      <c r="AA42" s="4" t="str">
        <f ca="1">IFERROR([1]!IntrinioHistoricalPrices(ticker,"adj_close",$X42,$Y$8,$Y$9,$Y$10),"")</f>
        <v/>
      </c>
    </row>
    <row r="43" spans="2:27" x14ac:dyDescent="0.45">
      <c r="P43" s="3"/>
      <c r="X43" s="18">
        <f t="shared" si="1"/>
        <v>31</v>
      </c>
      <c r="Y43" s="2" t="str">
        <f ca="1">IFERROR([1]!IntrinioHistoricalPrices(ticker,"date",$X43,$Y$8,$Y$9,$Y$10),"")</f>
        <v/>
      </c>
      <c r="Z43" s="2" t="e">
        <f t="shared" ca="1" si="0"/>
        <v>#VALUE!</v>
      </c>
      <c r="AA43" s="4" t="str">
        <f ca="1">IFERROR([1]!IntrinioHistoricalPrices(ticker,"adj_close",$X43,$Y$8,$Y$9,$Y$10),"")</f>
        <v/>
      </c>
    </row>
    <row r="44" spans="2:27" x14ac:dyDescent="0.45">
      <c r="P44" s="3"/>
      <c r="X44" s="18">
        <f t="shared" si="1"/>
        <v>32</v>
      </c>
      <c r="Y44" s="2" t="str">
        <f ca="1">IFERROR([1]!IntrinioHistoricalPrices(ticker,"date",$X44,$Y$8,$Y$9,$Y$10),"")</f>
        <v/>
      </c>
      <c r="Z44" s="2" t="e">
        <f t="shared" ca="1" si="0"/>
        <v>#VALUE!</v>
      </c>
      <c r="AA44" s="4" t="str">
        <f ca="1">IFERROR([1]!IntrinioHistoricalPrices(ticker,"adj_close",$X44,$Y$8,$Y$9,$Y$10),"")</f>
        <v/>
      </c>
    </row>
    <row r="45" spans="2:27" x14ac:dyDescent="0.45">
      <c r="P45" s="3"/>
      <c r="X45" s="18">
        <f t="shared" si="1"/>
        <v>33</v>
      </c>
      <c r="Y45" s="2" t="str">
        <f ca="1">IFERROR([1]!IntrinioHistoricalPrices(ticker,"date",$X45,$Y$8,$Y$9,$Y$10),"")</f>
        <v/>
      </c>
      <c r="Z45" s="2" t="e">
        <f t="shared" ca="1" si="0"/>
        <v>#VALUE!</v>
      </c>
      <c r="AA45" s="4" t="str">
        <f ca="1">IFERROR([1]!IntrinioHistoricalPrices(ticker,"adj_close",$X45,$Y$8,$Y$9,$Y$10),"")</f>
        <v/>
      </c>
    </row>
    <row r="46" spans="2:27" x14ac:dyDescent="0.45">
      <c r="P46" s="3"/>
      <c r="X46" s="18">
        <f t="shared" si="1"/>
        <v>34</v>
      </c>
      <c r="Y46" s="2" t="str">
        <f ca="1">IFERROR([1]!IntrinioHistoricalPrices(ticker,"date",$X46,$Y$8,$Y$9,$Y$10),"")</f>
        <v/>
      </c>
      <c r="Z46" s="2" t="e">
        <f t="shared" ca="1" si="0"/>
        <v>#VALUE!</v>
      </c>
      <c r="AA46" s="4" t="str">
        <f ca="1">IFERROR([1]!IntrinioHistoricalPrices(ticker,"adj_close",$X46,$Y$8,$Y$9,$Y$10),"")</f>
        <v/>
      </c>
    </row>
    <row r="47" spans="2:27" x14ac:dyDescent="0.45">
      <c r="P47" s="3"/>
      <c r="X47" s="18">
        <f t="shared" si="1"/>
        <v>35</v>
      </c>
      <c r="Y47" s="2" t="str">
        <f ca="1">IFERROR([1]!IntrinioHistoricalPrices(ticker,"date",$X47,$Y$8,$Y$9,$Y$10),"")</f>
        <v/>
      </c>
      <c r="Z47" s="2" t="e">
        <f t="shared" ca="1" si="0"/>
        <v>#VALUE!</v>
      </c>
      <c r="AA47" s="4" t="str">
        <f ca="1">IFERROR([1]!IntrinioHistoricalPrices(ticker,"adj_close",$X47,$Y$8,$Y$9,$Y$10),"")</f>
        <v/>
      </c>
    </row>
    <row r="48" spans="2:27" x14ac:dyDescent="0.45">
      <c r="P48" s="3"/>
      <c r="X48" s="18">
        <f t="shared" si="1"/>
        <v>36</v>
      </c>
      <c r="Y48" s="2" t="str">
        <f ca="1">IFERROR([1]!IntrinioHistoricalPrices(ticker,"date",$X48,$Y$8,$Y$9,$Y$10),"")</f>
        <v/>
      </c>
      <c r="Z48" s="2" t="e">
        <f t="shared" ca="1" si="0"/>
        <v>#VALUE!</v>
      </c>
      <c r="AA48" s="4" t="str">
        <f ca="1">IFERROR([1]!IntrinioHistoricalPrices(ticker,"adj_close",$X48,$Y$8,$Y$9,$Y$10),"")</f>
        <v/>
      </c>
    </row>
    <row r="49" spans="16:27" x14ac:dyDescent="0.45">
      <c r="P49" s="3"/>
      <c r="X49" s="18">
        <f t="shared" si="1"/>
        <v>37</v>
      </c>
      <c r="Y49" s="2" t="str">
        <f ca="1">IFERROR([1]!IntrinioHistoricalPrices(ticker,"date",$X49,$Y$8,$Y$9,$Y$10),"")</f>
        <v/>
      </c>
      <c r="Z49" s="2" t="e">
        <f t="shared" ca="1" si="0"/>
        <v>#VALUE!</v>
      </c>
      <c r="AA49" s="4" t="str">
        <f ca="1">IFERROR([1]!IntrinioHistoricalPrices(ticker,"adj_close",$X49,$Y$8,$Y$9,$Y$10),"")</f>
        <v/>
      </c>
    </row>
    <row r="50" spans="16:27" x14ac:dyDescent="0.45">
      <c r="P50" s="3"/>
      <c r="X50" s="18">
        <f t="shared" si="1"/>
        <v>38</v>
      </c>
      <c r="Y50" s="2" t="str">
        <f ca="1">IFERROR([1]!IntrinioHistoricalPrices(ticker,"date",$X50,$Y$8,$Y$9,$Y$10),"")</f>
        <v/>
      </c>
      <c r="Z50" s="2" t="e">
        <f t="shared" ca="1" si="0"/>
        <v>#VALUE!</v>
      </c>
      <c r="AA50" s="4" t="str">
        <f ca="1">IFERROR([1]!IntrinioHistoricalPrices(ticker,"adj_close",$X50,$Y$8,$Y$9,$Y$10),"")</f>
        <v/>
      </c>
    </row>
    <row r="51" spans="16:27" x14ac:dyDescent="0.45">
      <c r="P51" s="3"/>
      <c r="X51" s="18">
        <f t="shared" si="1"/>
        <v>39</v>
      </c>
      <c r="Y51" s="2" t="str">
        <f ca="1">IFERROR([1]!IntrinioHistoricalPrices(ticker,"date",$X51,$Y$8,$Y$9,$Y$10),"")</f>
        <v/>
      </c>
      <c r="Z51" s="2" t="e">
        <f t="shared" ca="1" si="0"/>
        <v>#VALUE!</v>
      </c>
      <c r="AA51" s="4" t="str">
        <f ca="1">IFERROR([1]!IntrinioHistoricalPrices(ticker,"adj_close",$X51,$Y$8,$Y$9,$Y$10),"")</f>
        <v/>
      </c>
    </row>
    <row r="52" spans="16:27" x14ac:dyDescent="0.45">
      <c r="P52" s="3"/>
      <c r="X52" s="18">
        <f t="shared" si="1"/>
        <v>40</v>
      </c>
      <c r="Y52" s="2" t="str">
        <f ca="1">IFERROR([1]!IntrinioHistoricalPrices(ticker,"date",$X52,$Y$8,$Y$9,$Y$10),"")</f>
        <v/>
      </c>
      <c r="Z52" s="2" t="e">
        <f t="shared" ca="1" si="0"/>
        <v>#VALUE!</v>
      </c>
      <c r="AA52" s="4" t="str">
        <f ca="1">IFERROR([1]!IntrinioHistoricalPrices(ticker,"adj_close",$X52,$Y$8,$Y$9,$Y$10),"")</f>
        <v/>
      </c>
    </row>
    <row r="53" spans="16:27" x14ac:dyDescent="0.45">
      <c r="P53" s="3"/>
      <c r="X53" s="18">
        <f t="shared" si="1"/>
        <v>41</v>
      </c>
      <c r="Y53" s="2" t="str">
        <f ca="1">IFERROR([1]!IntrinioHistoricalPrices(ticker,"date",$X53,$Y$8,$Y$9,$Y$10),"")</f>
        <v/>
      </c>
      <c r="Z53" s="2" t="e">
        <f t="shared" ca="1" si="0"/>
        <v>#VALUE!</v>
      </c>
      <c r="AA53" s="4" t="str">
        <f ca="1">IFERROR([1]!IntrinioHistoricalPrices(ticker,"adj_close",$X53,$Y$8,$Y$9,$Y$10),"")</f>
        <v/>
      </c>
    </row>
    <row r="54" spans="16:27" x14ac:dyDescent="0.45">
      <c r="P54" s="3"/>
      <c r="X54" s="18">
        <f t="shared" si="1"/>
        <v>42</v>
      </c>
      <c r="Y54" s="2" t="str">
        <f ca="1">IFERROR([1]!IntrinioHistoricalPrices(ticker,"date",$X54,$Y$8,$Y$9,$Y$10),"")</f>
        <v/>
      </c>
      <c r="Z54" s="2" t="e">
        <f t="shared" ca="1" si="0"/>
        <v>#VALUE!</v>
      </c>
      <c r="AA54" s="4" t="str">
        <f ca="1">IFERROR([1]!IntrinioHistoricalPrices(ticker,"adj_close",$X54,$Y$8,$Y$9,$Y$10),"")</f>
        <v/>
      </c>
    </row>
    <row r="55" spans="16:27" x14ac:dyDescent="0.45">
      <c r="P55" s="3"/>
      <c r="X55" s="18">
        <f t="shared" si="1"/>
        <v>43</v>
      </c>
      <c r="Y55" s="2" t="str">
        <f ca="1">IFERROR([1]!IntrinioHistoricalPrices(ticker,"date",$X55,$Y$8,$Y$9,$Y$10),"")</f>
        <v/>
      </c>
      <c r="Z55" s="2" t="e">
        <f t="shared" ca="1" si="0"/>
        <v>#VALUE!</v>
      </c>
      <c r="AA55" s="4" t="str">
        <f ca="1">IFERROR([1]!IntrinioHistoricalPrices(ticker,"adj_close",$X55,$Y$8,$Y$9,$Y$10),"")</f>
        <v/>
      </c>
    </row>
    <row r="56" spans="16:27" x14ac:dyDescent="0.45">
      <c r="P56" s="3"/>
      <c r="X56" s="18">
        <f t="shared" si="1"/>
        <v>44</v>
      </c>
      <c r="Y56" s="2" t="str">
        <f ca="1">IFERROR([1]!IntrinioHistoricalPrices(ticker,"date",$X56,$Y$8,$Y$9,$Y$10),"")</f>
        <v/>
      </c>
      <c r="Z56" s="2" t="e">
        <f t="shared" ca="1" si="0"/>
        <v>#VALUE!</v>
      </c>
      <c r="AA56" s="4" t="str">
        <f ca="1">IFERROR([1]!IntrinioHistoricalPrices(ticker,"adj_close",$X56,$Y$8,$Y$9,$Y$10),"")</f>
        <v/>
      </c>
    </row>
    <row r="57" spans="16:27" x14ac:dyDescent="0.45">
      <c r="P57" s="3"/>
      <c r="X57" s="18">
        <f t="shared" si="1"/>
        <v>45</v>
      </c>
      <c r="Y57" s="2" t="str">
        <f ca="1">IFERROR([1]!IntrinioHistoricalPrices(ticker,"date",$X57,$Y$8,$Y$9,$Y$10),"")</f>
        <v/>
      </c>
      <c r="Z57" s="2" t="e">
        <f t="shared" ca="1" si="0"/>
        <v>#VALUE!</v>
      </c>
      <c r="AA57" s="4" t="str">
        <f ca="1">IFERROR([1]!IntrinioHistoricalPrices(ticker,"adj_close",$X57,$Y$8,$Y$9,$Y$10),"")</f>
        <v/>
      </c>
    </row>
    <row r="58" spans="16:27" x14ac:dyDescent="0.45">
      <c r="P58" s="3"/>
      <c r="X58" s="18">
        <f t="shared" si="1"/>
        <v>46</v>
      </c>
      <c r="Y58" s="2" t="str">
        <f ca="1">IFERROR([1]!IntrinioHistoricalPrices(ticker,"date",$X58,$Y$8,$Y$9,$Y$10),"")</f>
        <v/>
      </c>
      <c r="Z58" s="2" t="e">
        <f t="shared" ca="1" si="0"/>
        <v>#VALUE!</v>
      </c>
      <c r="AA58" s="4" t="str">
        <f ca="1">IFERROR([1]!IntrinioHistoricalPrices(ticker,"adj_close",$X58,$Y$8,$Y$9,$Y$10),"")</f>
        <v/>
      </c>
    </row>
    <row r="59" spans="16:27" x14ac:dyDescent="0.45">
      <c r="P59" s="3"/>
      <c r="X59" s="18">
        <f t="shared" si="1"/>
        <v>47</v>
      </c>
      <c r="Y59" s="2" t="str">
        <f ca="1">IFERROR([1]!IntrinioHistoricalPrices(ticker,"date",$X59,$Y$8,$Y$9,$Y$10),"")</f>
        <v/>
      </c>
      <c r="Z59" s="2" t="e">
        <f t="shared" ca="1" si="0"/>
        <v>#VALUE!</v>
      </c>
      <c r="AA59" s="4" t="str">
        <f ca="1">IFERROR([1]!IntrinioHistoricalPrices(ticker,"adj_close",$X59,$Y$8,$Y$9,$Y$10),"")</f>
        <v/>
      </c>
    </row>
    <row r="60" spans="16:27" x14ac:dyDescent="0.45">
      <c r="P60" s="3"/>
      <c r="X60" s="18">
        <f t="shared" si="1"/>
        <v>48</v>
      </c>
      <c r="Y60" s="2" t="str">
        <f ca="1">IFERROR([1]!IntrinioHistoricalPrices(ticker,"date",$X60,$Y$8,$Y$9,$Y$10),"")</f>
        <v/>
      </c>
      <c r="Z60" s="2" t="e">
        <f t="shared" ca="1" si="0"/>
        <v>#VALUE!</v>
      </c>
      <c r="AA60" s="4" t="str">
        <f ca="1">IFERROR([1]!IntrinioHistoricalPrices(ticker,"adj_close",$X60,$Y$8,$Y$9,$Y$10),"")</f>
        <v/>
      </c>
    </row>
    <row r="61" spans="16:27" x14ac:dyDescent="0.45">
      <c r="P61" s="3"/>
      <c r="X61" s="18">
        <f t="shared" si="1"/>
        <v>49</v>
      </c>
      <c r="Y61" s="2" t="str">
        <f ca="1">IFERROR([1]!IntrinioHistoricalPrices(ticker,"date",$X61,$Y$8,$Y$9,$Y$10),"")</f>
        <v/>
      </c>
      <c r="Z61" s="2" t="e">
        <f t="shared" ca="1" si="0"/>
        <v>#VALUE!</v>
      </c>
      <c r="AA61" s="4" t="str">
        <f ca="1">IFERROR([1]!IntrinioHistoricalPrices(ticker,"adj_close",$X61,$Y$8,$Y$9,$Y$10),"")</f>
        <v/>
      </c>
    </row>
    <row r="62" spans="16:27" x14ac:dyDescent="0.45">
      <c r="P62" s="3"/>
      <c r="X62" s="18">
        <f t="shared" si="1"/>
        <v>50</v>
      </c>
      <c r="Y62" s="2" t="str">
        <f ca="1">IFERROR([1]!IntrinioHistoricalPrices(ticker,"date",$X62,$Y$8,$Y$9,$Y$10),"")</f>
        <v/>
      </c>
      <c r="Z62" s="2" t="e">
        <f t="shared" ca="1" si="0"/>
        <v>#VALUE!</v>
      </c>
      <c r="AA62" s="4" t="str">
        <f ca="1">IFERROR([1]!IntrinioHistoricalPrices(ticker,"adj_close",$X62,$Y$8,$Y$9,$Y$10),"")</f>
        <v/>
      </c>
    </row>
    <row r="63" spans="16:27" x14ac:dyDescent="0.45">
      <c r="P63" s="3"/>
      <c r="X63" s="18">
        <f t="shared" si="1"/>
        <v>51</v>
      </c>
      <c r="Y63" s="2" t="str">
        <f ca="1">IFERROR([1]!IntrinioHistoricalPrices(ticker,"date",$X63,$Y$8,$Y$9,$Y$10),"")</f>
        <v/>
      </c>
      <c r="Z63" s="2" t="e">
        <f t="shared" ca="1" si="0"/>
        <v>#VALUE!</v>
      </c>
      <c r="AA63" s="4" t="str">
        <f ca="1">IFERROR([1]!IntrinioHistoricalPrices(ticker,"adj_close",$X63,$Y$8,$Y$9,$Y$10),"")</f>
        <v/>
      </c>
    </row>
    <row r="64" spans="16:27" x14ac:dyDescent="0.45">
      <c r="P64" s="3"/>
      <c r="X64" s="18">
        <f t="shared" si="1"/>
        <v>52</v>
      </c>
      <c r="Y64" s="2" t="str">
        <f ca="1">IFERROR([1]!IntrinioHistoricalPrices(ticker,"date",$X64,$Y$8,$Y$9,$Y$10),"")</f>
        <v/>
      </c>
      <c r="Z64" s="2" t="e">
        <f t="shared" ca="1" si="0"/>
        <v>#VALUE!</v>
      </c>
      <c r="AA64" s="4" t="str">
        <f ca="1">IFERROR([1]!IntrinioHistoricalPrices(ticker,"adj_close",$X64,$Y$8,$Y$9,$Y$10),"")</f>
        <v/>
      </c>
    </row>
    <row r="65" spans="16:27" x14ac:dyDescent="0.45">
      <c r="P65" s="3"/>
      <c r="X65" s="18">
        <f t="shared" si="1"/>
        <v>53</v>
      </c>
      <c r="Y65" s="2" t="str">
        <f ca="1">IFERROR([1]!IntrinioHistoricalPrices(ticker,"date",$X65,$Y$8,$Y$9,$Y$10),"")</f>
        <v/>
      </c>
      <c r="Z65" s="2" t="e">
        <f t="shared" ca="1" si="0"/>
        <v>#VALUE!</v>
      </c>
      <c r="AA65" s="4" t="str">
        <f ca="1">IFERROR([1]!IntrinioHistoricalPrices(ticker,"adj_close",$X65,$Y$8,$Y$9,$Y$10),"")</f>
        <v/>
      </c>
    </row>
    <row r="66" spans="16:27" x14ac:dyDescent="0.45">
      <c r="P66" s="3"/>
      <c r="X66" s="18">
        <f t="shared" si="1"/>
        <v>54</v>
      </c>
      <c r="Y66" s="2" t="str">
        <f ca="1">IFERROR([1]!IntrinioHistoricalPrices(ticker,"date",$X66,$Y$8,$Y$9,$Y$10),"")</f>
        <v/>
      </c>
      <c r="Z66" s="2" t="e">
        <f t="shared" ca="1" si="0"/>
        <v>#VALUE!</v>
      </c>
      <c r="AA66" s="4" t="str">
        <f ca="1">IFERROR([1]!IntrinioHistoricalPrices(ticker,"adj_close",$X66,$Y$8,$Y$9,$Y$10),"")</f>
        <v/>
      </c>
    </row>
    <row r="67" spans="16:27" x14ac:dyDescent="0.45">
      <c r="P67" s="3"/>
      <c r="X67" s="18">
        <f t="shared" si="1"/>
        <v>55</v>
      </c>
      <c r="Y67" s="2" t="str">
        <f ca="1">IFERROR([1]!IntrinioHistoricalPrices(ticker,"date",$X67,$Y$8,$Y$9,$Y$10),"")</f>
        <v/>
      </c>
      <c r="Z67" s="2" t="e">
        <f t="shared" ca="1" si="0"/>
        <v>#VALUE!</v>
      </c>
      <c r="AA67" s="4" t="str">
        <f ca="1">IFERROR([1]!IntrinioHistoricalPrices(ticker,"adj_close",$X67,$Y$8,$Y$9,$Y$10),"")</f>
        <v/>
      </c>
    </row>
    <row r="68" spans="16:27" x14ac:dyDescent="0.45">
      <c r="P68" s="3"/>
      <c r="X68" s="18">
        <f t="shared" si="1"/>
        <v>56</v>
      </c>
      <c r="Y68" s="2" t="str">
        <f ca="1">IFERROR([1]!IntrinioHistoricalPrices(ticker,"date",$X68,$Y$8,$Y$9,$Y$10),"")</f>
        <v/>
      </c>
      <c r="Z68" s="2" t="e">
        <f t="shared" ca="1" si="0"/>
        <v>#VALUE!</v>
      </c>
      <c r="AA68" s="4" t="str">
        <f ca="1">IFERROR([1]!IntrinioHistoricalPrices(ticker,"adj_close",$X68,$Y$8,$Y$9,$Y$10),"")</f>
        <v/>
      </c>
    </row>
    <row r="69" spans="16:27" x14ac:dyDescent="0.45">
      <c r="P69" s="3"/>
      <c r="X69" s="18">
        <f t="shared" si="1"/>
        <v>57</v>
      </c>
      <c r="Y69" s="2" t="str">
        <f ca="1">IFERROR([1]!IntrinioHistoricalPrices(ticker,"date",$X69,$Y$8,$Y$9,$Y$10),"")</f>
        <v/>
      </c>
      <c r="Z69" s="2" t="e">
        <f t="shared" ca="1" si="0"/>
        <v>#VALUE!</v>
      </c>
      <c r="AA69" s="4" t="str">
        <f ca="1">IFERROR([1]!IntrinioHistoricalPrices(ticker,"adj_close",$X69,$Y$8,$Y$9,$Y$10),"")</f>
        <v/>
      </c>
    </row>
    <row r="70" spans="16:27" x14ac:dyDescent="0.45">
      <c r="P70" s="3"/>
      <c r="X70" s="18">
        <f t="shared" si="1"/>
        <v>58</v>
      </c>
      <c r="Y70" s="2" t="str">
        <f ca="1">IFERROR([1]!IntrinioHistoricalPrices(ticker,"date",$X70,$Y$8,$Y$9,$Y$10),"")</f>
        <v/>
      </c>
      <c r="Z70" s="2" t="e">
        <f t="shared" ca="1" si="0"/>
        <v>#VALUE!</v>
      </c>
      <c r="AA70" s="4" t="str">
        <f ca="1">IFERROR([1]!IntrinioHistoricalPrices(ticker,"adj_close",$X70,$Y$8,$Y$9,$Y$10),"")</f>
        <v/>
      </c>
    </row>
    <row r="71" spans="16:27" x14ac:dyDescent="0.45">
      <c r="P71" s="3"/>
      <c r="X71" s="18">
        <f t="shared" si="1"/>
        <v>59</v>
      </c>
      <c r="Y71" s="2" t="str">
        <f ca="1">[1]!IntrinioHistoricalPrices(ticker,"date",$X71,$Y$8,$Y$9,$Y$10)</f>
        <v/>
      </c>
      <c r="Z71" s="2" t="e">
        <f t="shared" ca="1" si="0"/>
        <v>#VALUE!</v>
      </c>
      <c r="AA71" s="4" t="str">
        <f ca="1">[1]!IntrinioHistoricalPrices(ticker,"adj_close",$X71,$Y$8,$Y$9,$Y$10)</f>
        <v/>
      </c>
    </row>
    <row r="72" spans="16:27" x14ac:dyDescent="0.45">
      <c r="P72" s="3"/>
    </row>
    <row r="73" spans="16:27" x14ac:dyDescent="0.45">
      <c r="P73" s="3"/>
    </row>
    <row r="74" spans="16:27" x14ac:dyDescent="0.45">
      <c r="P74" s="3"/>
    </row>
    <row r="75" spans="16:27" x14ac:dyDescent="0.45">
      <c r="P75" s="3"/>
    </row>
    <row r="76" spans="16:27" x14ac:dyDescent="0.45">
      <c r="P76" s="3"/>
    </row>
    <row r="77" spans="16:27" x14ac:dyDescent="0.45">
      <c r="P77" s="3"/>
    </row>
    <row r="78" spans="16:27" x14ac:dyDescent="0.45">
      <c r="P78" s="3"/>
    </row>
    <row r="79" spans="16:27" x14ac:dyDescent="0.45">
      <c r="P79" s="3"/>
    </row>
    <row r="80" spans="16:27" x14ac:dyDescent="0.45">
      <c r="P80" s="3"/>
    </row>
    <row r="81" spans="22:24" x14ac:dyDescent="0.45">
      <c r="V81" s="3"/>
      <c r="W81" s="3"/>
      <c r="X81" s="4"/>
    </row>
  </sheetData>
  <sortState ref="X12:AA71">
    <sortCondition descending="1" ref="X12"/>
  </sortState>
  <mergeCells count="1">
    <mergeCell ref="B6:M19"/>
  </mergeCells>
  <conditionalFormatting sqref="N24:N26">
    <cfRule type="cellIs" dxfId="25" priority="5" operator="greaterThan">
      <formula>0</formula>
    </cfRule>
    <cfRule type="cellIs" dxfId="24" priority="6" operator="lessThan">
      <formula>0</formula>
    </cfRule>
  </conditionalFormatting>
  <pageMargins left="0.7" right="0.7" top="0.75" bottom="0.75" header="0.3" footer="0.3"/>
  <pageSetup scale="91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  <pageSetUpPr fitToPage="1"/>
  </sheetPr>
  <dimension ref="A1:AM108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23.59765625" customWidth="1"/>
    <col min="3" max="3" width="24.46484375" customWidth="1"/>
    <col min="4" max="4" width="3.86328125" customWidth="1"/>
    <col min="5" max="5" width="16.59765625" bestFit="1" customWidth="1"/>
    <col min="6" max="6" width="18.3984375" customWidth="1"/>
    <col min="7" max="7" width="12.3984375" style="18" customWidth="1"/>
    <col min="8" max="10" width="12.3984375" customWidth="1"/>
    <col min="11" max="11" width="0.86328125" style="18" customWidth="1"/>
    <col min="12" max="12" width="15.3984375" customWidth="1"/>
    <col min="13" max="13" width="14.3984375" customWidth="1"/>
    <col min="14" max="14" width="12.1328125" customWidth="1"/>
    <col min="15" max="25" width="18.1328125" customWidth="1"/>
    <col min="26" max="31" width="18.1328125" style="18" customWidth="1"/>
  </cols>
  <sheetData>
    <row r="1" spans="1:39" s="18" customFormat="1" ht="15.4" x14ac:dyDescent="0.45">
      <c r="A1" s="23" t="s">
        <v>79</v>
      </c>
      <c r="B1" s="23"/>
      <c r="C1" s="23"/>
    </row>
    <row r="2" spans="1:39" s="18" customFormat="1" x14ac:dyDescent="0.45"/>
    <row r="3" spans="1:39" ht="21.75" customHeight="1" x14ac:dyDescent="0.45">
      <c r="B3" s="101" t="s">
        <v>14</v>
      </c>
      <c r="C3" s="102"/>
      <c r="D3" s="27"/>
      <c r="E3" s="386" t="s">
        <v>24</v>
      </c>
      <c r="F3" s="387"/>
      <c r="G3" s="387"/>
      <c r="H3" s="387"/>
      <c r="I3" s="387"/>
      <c r="J3" s="388"/>
    </row>
    <row r="4" spans="1:39" ht="21.95" customHeight="1" x14ac:dyDescent="0.45">
      <c r="B4" s="90" t="s">
        <v>15</v>
      </c>
      <c r="C4" s="91" t="str">
        <f>last_price</f>
        <v/>
      </c>
      <c r="D4" s="27"/>
      <c r="E4" s="72"/>
      <c r="F4" s="73" t="s">
        <v>65</v>
      </c>
      <c r="G4" s="73" t="s">
        <v>61</v>
      </c>
      <c r="H4" s="73" t="s">
        <v>50</v>
      </c>
      <c r="I4" s="73" t="s">
        <v>59</v>
      </c>
      <c r="J4" s="74" t="s">
        <v>60</v>
      </c>
      <c r="L4" s="1"/>
    </row>
    <row r="5" spans="1:39" ht="21.95" customHeight="1" x14ac:dyDescent="0.45">
      <c r="B5" s="42" t="s">
        <v>16</v>
      </c>
      <c r="C5" s="43" t="str">
        <f>CONCATENATE("$", Profile!Y6," - ","$",Profile!Y5)</f>
        <v>$ - $</v>
      </c>
      <c r="D5" s="27"/>
      <c r="E5" s="68" t="s">
        <v>68</v>
      </c>
      <c r="F5" s="69"/>
      <c r="G5" s="70" t="e">
        <f ca="1">AVERAGE(O11:O15)</f>
        <v>#DIV/0!</v>
      </c>
      <c r="H5" s="70" t="str">
        <f>[1]!IntrinioDataPoint(ticker,"pricetoearnings")</f>
        <v/>
      </c>
      <c r="I5" s="70" t="str">
        <f>[1]!IntrinioDataPoint(ticker,"pricetocurrentyearearnings")</f>
        <v/>
      </c>
      <c r="J5" s="71" t="str">
        <f>[1]!IntrinioDataPoint(ticker,"pricetonextyearearnings")</f>
        <v/>
      </c>
    </row>
    <row r="6" spans="1:39" ht="21.95" customHeight="1" x14ac:dyDescent="0.45">
      <c r="B6" s="41" t="s">
        <v>62</v>
      </c>
      <c r="C6" s="47" t="str">
        <f>[1]!IntrinioDataPoint(ticker,"average_daily_volume")</f>
        <v/>
      </c>
      <c r="D6" s="28"/>
      <c r="E6" s="52" t="s">
        <v>69</v>
      </c>
      <c r="F6" s="31"/>
      <c r="G6" s="35" t="e">
        <f ca="1">AVERAGE(P11:P15)</f>
        <v>#DIV/0!</v>
      </c>
      <c r="H6" s="35" t="str">
        <f>[1]!IntrinioDataPoint(ticker,"pricetorevenue")</f>
        <v/>
      </c>
      <c r="I6" s="35" t="str">
        <f>[1]!IntrinioDataPoint(ticker,"pricetocurrentyearrevenue")</f>
        <v/>
      </c>
      <c r="J6" s="53" t="str">
        <f>[1]!IntrinioDataPoint(ticker,"pricetonextyearrevenue")</f>
        <v/>
      </c>
      <c r="K6" s="17"/>
      <c r="L6" s="7"/>
      <c r="M6" s="7"/>
      <c r="N6" t="s">
        <v>36</v>
      </c>
      <c r="O6" t="s">
        <v>35</v>
      </c>
      <c r="P6" s="12" t="s">
        <v>43</v>
      </c>
      <c r="Q6" s="12" t="s">
        <v>44</v>
      </c>
      <c r="R6" s="12" t="s">
        <v>47</v>
      </c>
      <c r="S6" s="12" t="s">
        <v>45</v>
      </c>
      <c r="T6" s="12" t="s">
        <v>46</v>
      </c>
      <c r="U6" s="11" t="s">
        <v>37</v>
      </c>
      <c r="V6" s="11" t="s">
        <v>41</v>
      </c>
      <c r="W6" s="11" t="s">
        <v>38</v>
      </c>
      <c r="X6" s="11" t="s">
        <v>39</v>
      </c>
      <c r="Y6" s="11" t="s">
        <v>34</v>
      </c>
      <c r="Z6" s="18" t="s">
        <v>33</v>
      </c>
      <c r="AA6" s="18" t="s">
        <v>75</v>
      </c>
      <c r="AB6" s="18" t="s">
        <v>76</v>
      </c>
      <c r="AC6" s="18" t="s">
        <v>77</v>
      </c>
      <c r="AD6" s="18" t="s">
        <v>216</v>
      </c>
      <c r="AE6" s="18" t="s">
        <v>78</v>
      </c>
    </row>
    <row r="7" spans="1:39" ht="21.95" customHeight="1" x14ac:dyDescent="0.45">
      <c r="B7" s="42" t="s">
        <v>40</v>
      </c>
      <c r="C7" s="48" t="e">
        <f>ROUND([1]!IntrinioDataPoint(ticker,"days_to_cover"),1)&amp;" Days"</f>
        <v>#VALUE!</v>
      </c>
      <c r="D7" s="28"/>
      <c r="E7" s="54" t="s">
        <v>70</v>
      </c>
      <c r="F7" s="32"/>
      <c r="G7" s="36" t="e">
        <f>AVERAGE(Q11:Q15)</f>
        <v>#DIV/0!</v>
      </c>
      <c r="H7" s="36" t="str">
        <f>[1]!IntrinioDataPoint(ticker,"pricetobook")</f>
        <v/>
      </c>
      <c r="I7" s="36" t="e">
        <f>H7*(1-[1]!IntrinioDataPoint(ticker,"current_yr_ave_eps_growth_est"))</f>
        <v>#VALUE!</v>
      </c>
      <c r="J7" s="55" t="e">
        <f>I7*(1-[1]!IntrinioDataPoint(ticker,"next_yr_ave_eps_growth_est"))</f>
        <v>#VALUE!</v>
      </c>
      <c r="K7" s="17"/>
      <c r="L7" s="7"/>
      <c r="M7" s="7"/>
      <c r="N7" s="9" t="s">
        <v>2</v>
      </c>
      <c r="O7" s="3" t="str">
        <f ca="1">TEXT(O8-365*5,"YYYY-MM-DD")</f>
        <v>2011-12-13</v>
      </c>
      <c r="P7" s="3" t="str">
        <f ca="1">O7</f>
        <v>2011-12-13</v>
      </c>
      <c r="U7" s="3"/>
      <c r="V7" s="3"/>
      <c r="W7" s="3"/>
      <c r="X7" s="3"/>
      <c r="Y7" s="3"/>
      <c r="Z7" s="3"/>
      <c r="AA7" s="3"/>
      <c r="AB7" s="3"/>
      <c r="AC7" s="3"/>
      <c r="AD7" s="3"/>
      <c r="AE7" s="3"/>
    </row>
    <row r="8" spans="1:39" ht="21.95" customHeight="1" x14ac:dyDescent="0.45">
      <c r="B8" s="28"/>
      <c r="C8" s="28"/>
      <c r="D8" s="28"/>
      <c r="E8" s="52" t="s">
        <v>71</v>
      </c>
      <c r="F8" s="31"/>
      <c r="G8" s="35" t="e">
        <f>AVERAGE(R11:R15)</f>
        <v>#DIV/0!</v>
      </c>
      <c r="H8" s="35" t="str">
        <f>[1]!IntrinioDataPoint(ticker,"evtoebitda")</f>
        <v/>
      </c>
      <c r="I8" s="35" t="e">
        <f>H8*(1-[1]!IntrinioDataPoint(ticker,"current_yr_ave_eps_growth_est"))</f>
        <v>#VALUE!</v>
      </c>
      <c r="J8" s="53" t="e">
        <f>I8*(1-[1]!IntrinioDataPoint(ticker,"next_yr_ave_eps_growth_est"))</f>
        <v>#VALUE!</v>
      </c>
      <c r="K8" s="17"/>
      <c r="L8" s="7"/>
      <c r="M8" s="7"/>
      <c r="N8" s="9" t="s">
        <v>3</v>
      </c>
      <c r="O8" s="3" t="str">
        <f ca="1">TEXT(NOW(),"YYYY-MM-DD")</f>
        <v>2016-12-11</v>
      </c>
      <c r="P8" s="3" t="str">
        <f ca="1">O8</f>
        <v>2016-12-11</v>
      </c>
      <c r="U8" s="3"/>
      <c r="V8" s="3"/>
      <c r="W8" s="3"/>
      <c r="X8" s="3"/>
      <c r="Y8" s="3"/>
      <c r="Z8" s="3"/>
      <c r="AA8" s="3"/>
      <c r="AB8" s="3"/>
      <c r="AC8" s="3"/>
      <c r="AD8" s="3"/>
      <c r="AE8" s="3"/>
    </row>
    <row r="9" spans="1:39" ht="21.75" customHeight="1" x14ac:dyDescent="0.45">
      <c r="B9" s="392" t="s">
        <v>17</v>
      </c>
      <c r="C9" s="393"/>
      <c r="D9" s="28"/>
      <c r="E9" s="54" t="s">
        <v>73</v>
      </c>
      <c r="F9" s="30"/>
      <c r="G9" s="36" t="str">
        <f>IFERROR(AVERAGE(S11:S15),"nm")</f>
        <v>nm</v>
      </c>
      <c r="H9" s="36" t="str">
        <f>[1]!IntrinioDataPoint(ticker,"evtofcff")</f>
        <v/>
      </c>
      <c r="I9" s="36" t="str">
        <f>IFERROR(H9*(1-[1]!IntrinioDataPoint(ticker,"current_yr_ave_eps_growth_est")),"nm")</f>
        <v>nm</v>
      </c>
      <c r="J9" s="55" t="str">
        <f>IFERROR(I9*(1-[1]!IntrinioDataPoint(ticker,"next_yr_ave_eps_growth_est")),"nm")</f>
        <v>nm</v>
      </c>
      <c r="K9" s="17"/>
      <c r="L9" s="7"/>
      <c r="M9" s="7"/>
      <c r="N9" s="9" t="s">
        <v>4</v>
      </c>
      <c r="O9" s="9" t="s">
        <v>42</v>
      </c>
      <c r="P9" t="str">
        <f>O9</f>
        <v>yearly</v>
      </c>
      <c r="Q9" t="str">
        <f t="shared" ref="Q9:Z9" si="0">P9</f>
        <v>yearly</v>
      </c>
      <c r="R9" t="str">
        <f t="shared" si="0"/>
        <v>yearly</v>
      </c>
      <c r="S9" t="str">
        <f t="shared" si="0"/>
        <v>yearly</v>
      </c>
      <c r="T9" t="str">
        <f t="shared" si="0"/>
        <v>yearly</v>
      </c>
      <c r="U9" s="11" t="str">
        <f t="shared" si="0"/>
        <v>yearly</v>
      </c>
      <c r="V9" s="11" t="str">
        <f t="shared" si="0"/>
        <v>yearly</v>
      </c>
      <c r="W9" s="11" t="str">
        <f t="shared" si="0"/>
        <v>yearly</v>
      </c>
      <c r="X9" s="11" t="str">
        <f t="shared" si="0"/>
        <v>yearly</v>
      </c>
      <c r="Y9" s="11" t="str">
        <f t="shared" si="0"/>
        <v>yearly</v>
      </c>
      <c r="Z9" s="18" t="str">
        <f t="shared" si="0"/>
        <v>yearly</v>
      </c>
      <c r="AA9" s="18" t="s">
        <v>42</v>
      </c>
      <c r="AB9" s="18" t="str">
        <f>AA9</f>
        <v>yearly</v>
      </c>
      <c r="AC9" s="18" t="str">
        <f>AB9</f>
        <v>yearly</v>
      </c>
      <c r="AD9" s="18" t="str">
        <f>AB9</f>
        <v>yearly</v>
      </c>
      <c r="AE9" s="18" t="str">
        <f>AC9</f>
        <v>yearly</v>
      </c>
    </row>
    <row r="10" spans="1:39" ht="21.95" customHeight="1" x14ac:dyDescent="0.45">
      <c r="B10" s="90" t="s">
        <v>22</v>
      </c>
      <c r="C10" s="92" t="e">
        <f>[1]!IntrinioDataPoint(ticker,"marketcap")/1000000</f>
        <v>#VALUE!</v>
      </c>
      <c r="D10" s="28"/>
      <c r="E10" s="56" t="s">
        <v>72</v>
      </c>
      <c r="F10" s="57"/>
      <c r="G10" s="58" t="e">
        <f>AVERAGE(T11:T15)</f>
        <v>#DIV/0!</v>
      </c>
      <c r="H10" s="58" t="str">
        <f>[1]!IntrinioDataPoint(ticker,"evtorevenue")</f>
        <v/>
      </c>
      <c r="I10" s="58" t="str">
        <f>[1]!IntrinioDataPoint(ticker,"evtocurrentyearrevenue")</f>
        <v/>
      </c>
      <c r="J10" s="59" t="str">
        <f>[1]!IntrinioDataPoint(ticker,"evtonextyearrevenue")</f>
        <v/>
      </c>
      <c r="K10" s="17"/>
      <c r="L10" s="7"/>
      <c r="M10" s="7"/>
      <c r="N10" s="9" t="s">
        <v>6</v>
      </c>
      <c r="O10" s="9"/>
      <c r="U10" s="11"/>
      <c r="V10" s="11"/>
      <c r="W10" s="11"/>
      <c r="X10" s="11"/>
      <c r="Y10" s="11"/>
      <c r="AA10"/>
      <c r="AB10"/>
      <c r="AC10"/>
    </row>
    <row r="11" spans="1:39" ht="21.95" customHeight="1" x14ac:dyDescent="0.45">
      <c r="B11" s="42" t="s">
        <v>18</v>
      </c>
      <c r="C11" s="44" t="e">
        <f>[1]!IntrinioDataPoint(ticker,"enterprisevalue")/1000000</f>
        <v>#VALUE!</v>
      </c>
      <c r="D11" s="28"/>
      <c r="E11" s="28"/>
      <c r="F11" s="28"/>
      <c r="G11" s="28"/>
      <c r="H11" s="28"/>
      <c r="I11" s="28"/>
      <c r="J11" s="28"/>
      <c r="K11" s="17"/>
      <c r="L11" s="7"/>
      <c r="M11" s="7"/>
      <c r="N11" s="9">
        <v>0</v>
      </c>
      <c r="O11" s="14" t="str">
        <f ca="1">IFERROR([1]!IntrinioHistoricalData(ticker,O$6,$N11,O$7,O$8,O$9),"")</f>
        <v/>
      </c>
      <c r="P11" s="13" t="str">
        <f ca="1">IFERROR([1]!IntrinioHistoricalData(ticker,P$6,$N11,P$7,P$8,P$9),"")</f>
        <v/>
      </c>
      <c r="Q11" s="13" t="str">
        <f>IFERROR([1]!IntrinioHistoricalData(ticker,Q$6,$N11,Q$7,Q$8,Q$9),"")</f>
        <v/>
      </c>
      <c r="R11" s="13" t="str">
        <f>IFERROR([1]!IntrinioHistoricalData(ticker,R$6,$N11,R$7,R$8,R$9),"")</f>
        <v/>
      </c>
      <c r="S11" s="13" t="str">
        <f>IFERROR([1]!IntrinioHistoricalData(ticker,S$6,$N11,S$7,S$8,S$9),"")</f>
        <v/>
      </c>
      <c r="T11" s="13" t="str">
        <f>IFERROR([1]!IntrinioHistoricalData(ticker,T$6,$N11,T$7,T$8,T$9),"")</f>
        <v/>
      </c>
      <c r="U11" s="6" t="str">
        <f>IFERROR([1]!IntrinioHistoricalData(ticker,U$6,$N11,U$7,U$8,U$9),"")</f>
        <v/>
      </c>
      <c r="V11" s="6" t="str">
        <f>IFERROR([1]!IntrinioHistoricalData(ticker,V$6,$N11,V$7,V$8,V$9),"")</f>
        <v/>
      </c>
      <c r="W11" s="6" t="str">
        <f>IFERROR([1]!IntrinioHistoricalData(ticker,W$6,$N11,W$7,W$8,W$9),"")</f>
        <v/>
      </c>
      <c r="X11" s="6" t="str">
        <f>IFERROR([1]!IntrinioHistoricalData(ticker,X$6,$N11,X$7,X$8,X$9),"")</f>
        <v/>
      </c>
      <c r="Y11" s="6" t="str">
        <f>IFERROR([1]!IntrinioHistoricalData(ticker,Y$6,$N11,Y$7,Y$8,Y$9),"")</f>
        <v/>
      </c>
      <c r="Z11" s="6" t="str">
        <f>IFERROR([1]!IntrinioHistoricalData(ticker,Z$6,$N11,Z$7,Z$8,Z$9),"")</f>
        <v/>
      </c>
      <c r="AA11" s="6" t="str">
        <f>IFERROR([1]!IntrinioHistoricalData(ticker,AA$6,$N11,AA$7,AA$8,AA$9),"")</f>
        <v/>
      </c>
      <c r="AB11" s="6" t="str">
        <f>IFERROR([1]!IntrinioHistoricalData(ticker,AB$6,$N11,AB$7,AB$8,AB$9),"")</f>
        <v/>
      </c>
      <c r="AC11" s="6" t="str">
        <f>IFERROR([1]!IntrinioHistoricalData(ticker,AC$6,$N11,AC$7,AC$8,AC$9),"")</f>
        <v/>
      </c>
      <c r="AD11" s="6" t="str">
        <f>IFERROR([1]!IntrinioHistoricalData(ticker,AD$6,$N11,AD$7,AD$8,AD$9),"")</f>
        <v/>
      </c>
      <c r="AE11" s="6" t="str">
        <f>IFERROR([1]!IntrinioHistoricalData(ticker,AE$6,$N11,AE$7,AE$8,AE$9),"")</f>
        <v/>
      </c>
    </row>
    <row r="12" spans="1:39" ht="21.95" customHeight="1" x14ac:dyDescent="0.45">
      <c r="B12" s="41" t="s">
        <v>23</v>
      </c>
      <c r="C12" s="45" t="e">
        <f>[1]!IntrinioDataPoint(ticker,"weightedavebasicsharesos")/1000000</f>
        <v>#VALUE!</v>
      </c>
      <c r="D12" s="28"/>
      <c r="E12" s="389" t="s">
        <v>25</v>
      </c>
      <c r="F12" s="390"/>
      <c r="G12" s="390"/>
      <c r="H12" s="391"/>
      <c r="I12" s="33"/>
      <c r="J12" s="33"/>
      <c r="K12" s="17"/>
      <c r="L12" s="7"/>
      <c r="M12" s="7"/>
      <c r="N12" s="9">
        <f>N11+1</f>
        <v>1</v>
      </c>
      <c r="O12" s="14" t="str">
        <f ca="1">IFERROR([1]!IntrinioHistoricalData(ticker,O$6,$N12,O$7,O$8,O$9),"")</f>
        <v/>
      </c>
      <c r="P12" s="13" t="str">
        <f ca="1">IFERROR([1]!IntrinioHistoricalData(ticker,P$6,$N12,P$7,P$8,P$9),"")</f>
        <v/>
      </c>
      <c r="Q12" s="13" t="str">
        <f>IFERROR([1]!IntrinioHistoricalData(ticker,Q$6,$N12,Q$7,Q$8,Q$9),"")</f>
        <v/>
      </c>
      <c r="R12" s="13" t="str">
        <f>IFERROR([1]!IntrinioHistoricalData(ticker,R$6,$N12,R$7,R$8,R$9),"")</f>
        <v/>
      </c>
      <c r="S12" s="13" t="str">
        <f>IFERROR([1]!IntrinioHistoricalData(ticker,S$6,$N12,S$7,S$8,S$9),"")</f>
        <v/>
      </c>
      <c r="T12" s="13" t="str">
        <f>IFERROR([1]!IntrinioHistoricalData(ticker,T$6,$N12,T$7,T$8,T$9),"")</f>
        <v/>
      </c>
      <c r="U12" s="6" t="str">
        <f>IFERROR([1]!IntrinioHistoricalData(ticker,U$6,$N12,U$7,U$8,U$9),"")</f>
        <v/>
      </c>
      <c r="V12" s="6" t="str">
        <f>IFERROR([1]!IntrinioHistoricalData(ticker,V$6,$N12,V$7,V$8,V$9),"")</f>
        <v/>
      </c>
      <c r="W12" s="6" t="str">
        <f>IFERROR([1]!IntrinioHistoricalData(ticker,W$6,$N12,W$7,W$8,W$9),"")</f>
        <v/>
      </c>
      <c r="X12" s="6" t="str">
        <f>IFERROR([1]!IntrinioHistoricalData(ticker,X$6,$N12,X$7,X$8,X$9),"")</f>
        <v/>
      </c>
      <c r="Y12" s="6" t="str">
        <f>IFERROR([1]!IntrinioHistoricalData(ticker,Y$6,$N12,Y$7,Y$8,Y$9),"")</f>
        <v/>
      </c>
      <c r="Z12" s="6" t="str">
        <f>IFERROR([1]!IntrinioHistoricalData(ticker,Z$6,$N12,Z$7,Z$8,Z$9),"")</f>
        <v/>
      </c>
      <c r="AA12" s="6" t="str">
        <f>IFERROR([1]!IntrinioHistoricalData(ticker,AA$6,$N12,AA$7,AA$8,AA$9),"")</f>
        <v/>
      </c>
      <c r="AB12" s="6" t="str">
        <f>IFERROR([1]!IntrinioHistoricalData(ticker,AB$6,$N12,AB$7,AB$8,AB$9),"")</f>
        <v/>
      </c>
      <c r="AC12" s="6" t="str">
        <f>IFERROR([1]!IntrinioHistoricalData(ticker,AC$6,$N12,AC$7,AC$8,AC$9),"")</f>
        <v/>
      </c>
      <c r="AD12" s="6" t="str">
        <f>IFERROR([1]!IntrinioHistoricalData(ticker,AD$6,$N12,AD$7,AD$8,AD$9),"")</f>
        <v/>
      </c>
      <c r="AE12" s="6" t="str">
        <f>IFERROR([1]!IntrinioHistoricalData(ticker,AE$6,$N12,AE$7,AE$8,AE$9),"")</f>
        <v/>
      </c>
    </row>
    <row r="13" spans="1:39" ht="21.95" customHeight="1" x14ac:dyDescent="0.45">
      <c r="B13" s="42" t="s">
        <v>19</v>
      </c>
      <c r="C13" s="43" t="str">
        <f>[1]!IntrinioDataPoint(ticker,"forward_dividend_rate")</f>
        <v/>
      </c>
      <c r="D13" s="28"/>
      <c r="E13" s="79"/>
      <c r="F13" s="80" t="s">
        <v>65</v>
      </c>
      <c r="G13" s="80" t="str">
        <f>G4</f>
        <v>5 Yr Ave</v>
      </c>
      <c r="H13" s="81" t="s">
        <v>9</v>
      </c>
      <c r="I13" s="34"/>
      <c r="J13" s="34"/>
      <c r="K13" s="49"/>
      <c r="L13" s="49"/>
      <c r="M13" s="7"/>
      <c r="N13" s="9">
        <f>N12+1</f>
        <v>2</v>
      </c>
      <c r="O13" s="14" t="str">
        <f ca="1">IFERROR([1]!IntrinioHistoricalData(ticker,O$6,$N13,O$7,O$8,O$9),"")</f>
        <v/>
      </c>
      <c r="P13" s="13" t="str">
        <f ca="1">IFERROR([1]!IntrinioHistoricalData(ticker,P$6,$N13,P$7,P$8,P$9),"")</f>
        <v/>
      </c>
      <c r="Q13" s="13" t="str">
        <f>IFERROR([1]!IntrinioHistoricalData(ticker,Q$6,$N13,Q$7,Q$8,Q$9),"")</f>
        <v/>
      </c>
      <c r="R13" s="13" t="str">
        <f>IFERROR([1]!IntrinioHistoricalData(ticker,R$6,$N13,R$7,R$8,R$9),"")</f>
        <v/>
      </c>
      <c r="S13" s="13" t="str">
        <f>IFERROR([1]!IntrinioHistoricalData(ticker,S$6,$N13,S$7,S$8,S$9),"")</f>
        <v/>
      </c>
      <c r="T13" s="13" t="str">
        <f>IFERROR([1]!IntrinioHistoricalData(ticker,T$6,$N13,T$7,T$8,T$9),"")</f>
        <v/>
      </c>
      <c r="U13" s="6" t="str">
        <f>IFERROR([1]!IntrinioHistoricalData(ticker,U$6,$N13,U$7,U$8,U$9),"")</f>
        <v/>
      </c>
      <c r="V13" s="6" t="str">
        <f>IFERROR([1]!IntrinioHistoricalData(ticker,V$6,$N13,V$7,V$8,V$9),"")</f>
        <v/>
      </c>
      <c r="W13" s="6" t="str">
        <f>IFERROR([1]!IntrinioHistoricalData(ticker,W$6,$N13,W$7,W$8,W$9),"")</f>
        <v/>
      </c>
      <c r="X13" s="6" t="str">
        <f>IFERROR([1]!IntrinioHistoricalData(ticker,X$6,$N13,X$7,X$8,X$9),"")</f>
        <v/>
      </c>
      <c r="Y13" s="6" t="str">
        <f>IFERROR([1]!IntrinioHistoricalData(ticker,Y$6,$N13,Y$7,Y$8,Y$9),"")</f>
        <v/>
      </c>
      <c r="Z13" s="6" t="str">
        <f>IFERROR([1]!IntrinioHistoricalData(ticker,Z$6,$N13,Z$7,Z$8,Z$9),"")</f>
        <v/>
      </c>
      <c r="AA13" s="6" t="str">
        <f>IFERROR([1]!IntrinioHistoricalData(ticker,AA$6,$N13,AA$7,AA$8,AA$9),"")</f>
        <v/>
      </c>
      <c r="AB13" s="6" t="str">
        <f>IFERROR([1]!IntrinioHistoricalData(ticker,AB$6,$N13,AB$7,AB$8,AB$9),"")</f>
        <v/>
      </c>
      <c r="AC13" s="6" t="str">
        <f>IFERROR([1]!IntrinioHistoricalData(ticker,AC$6,$N13,AC$7,AC$8,AC$9),"")</f>
        <v/>
      </c>
      <c r="AD13" s="6" t="str">
        <f>IFERROR([1]!IntrinioHistoricalData(ticker,AD$6,$N13,AD$7,AD$8,AD$9),"")</f>
        <v/>
      </c>
      <c r="AE13" s="6" t="str">
        <f>IFERROR([1]!IntrinioHistoricalData(ticker,AE$6,$N13,AE$7,AE$8,AE$9),"")</f>
        <v/>
      </c>
    </row>
    <row r="14" spans="1:39" ht="21.95" customHeight="1" x14ac:dyDescent="0.45">
      <c r="B14" s="41" t="s">
        <v>81</v>
      </c>
      <c r="C14" s="46" t="str">
        <f>[1]!IntrinioDataPoint(ticker,"forward_dividend_yield")</f>
        <v/>
      </c>
      <c r="D14" s="28"/>
      <c r="E14" s="75" t="s">
        <v>26</v>
      </c>
      <c r="F14" s="76"/>
      <c r="G14" s="77" t="e">
        <f>AVERAGE($U$11:$U$15)</f>
        <v>#DIV/0!</v>
      </c>
      <c r="H14" s="78" t="str">
        <f>U11</f>
        <v/>
      </c>
      <c r="I14" s="29"/>
      <c r="J14" s="50"/>
      <c r="K14" s="49"/>
      <c r="L14" s="49"/>
      <c r="M14" s="7"/>
      <c r="N14" s="9">
        <f>N13+1</f>
        <v>3</v>
      </c>
      <c r="O14" s="14" t="str">
        <f ca="1">IFERROR([1]!IntrinioHistoricalData(ticker,O$6,$N14,O$7,O$8,O$9),"")</f>
        <v/>
      </c>
      <c r="P14" s="13" t="str">
        <f ca="1">IFERROR([1]!IntrinioHistoricalData(ticker,P$6,$N14,P$7,P$8,P$9),"")</f>
        <v/>
      </c>
      <c r="Q14" s="13" t="str">
        <f>IFERROR([1]!IntrinioHistoricalData(ticker,Q$6,$N14,Q$7,Q$8,Q$9),"")</f>
        <v/>
      </c>
      <c r="R14" s="13" t="str">
        <f>IFERROR([1]!IntrinioHistoricalData(ticker,R$6,$N14,R$7,R$8,R$9),"")</f>
        <v/>
      </c>
      <c r="S14" s="13" t="str">
        <f>IFERROR([1]!IntrinioHistoricalData(ticker,S$6,$N14,S$7,S$8,S$9),"")</f>
        <v/>
      </c>
      <c r="T14" s="13" t="str">
        <f>IFERROR([1]!IntrinioHistoricalData(ticker,T$6,$N14,T$7,T$8,T$9),"")</f>
        <v/>
      </c>
      <c r="U14" s="6" t="str">
        <f>IFERROR([1]!IntrinioHistoricalData(ticker,U$6,$N14,U$7,U$8,U$9),"")</f>
        <v/>
      </c>
      <c r="V14" s="6" t="str">
        <f>IFERROR([1]!IntrinioHistoricalData(ticker,V$6,$N14,V$7,V$8,V$9),"")</f>
        <v/>
      </c>
      <c r="W14" s="6" t="str">
        <f>IFERROR([1]!IntrinioHistoricalData(ticker,W$6,$N14,W$7,W$8,W$9),"")</f>
        <v/>
      </c>
      <c r="X14" s="6" t="str">
        <f>IFERROR([1]!IntrinioHistoricalData(ticker,X$6,$N14,X$7,X$8,X$9),"")</f>
        <v/>
      </c>
      <c r="Y14" s="6" t="str">
        <f>IFERROR([1]!IntrinioHistoricalData(ticker,Y$6,$N14,Y$7,Y$8,Y$9),"")</f>
        <v/>
      </c>
      <c r="Z14" s="6" t="str">
        <f>IFERROR([1]!IntrinioHistoricalData(ticker,Z$6,$N14,Z$7,Z$8,Z$9),"")</f>
        <v/>
      </c>
      <c r="AA14" s="6" t="str">
        <f>IFERROR([1]!IntrinioHistoricalData(ticker,AA$6,$N14,AA$7,AA$8,AA$9),"")</f>
        <v/>
      </c>
      <c r="AB14" s="6" t="str">
        <f>IFERROR([1]!IntrinioHistoricalData(ticker,AB$6,$N14,AB$7,AB$8,AB$9),"")</f>
        <v/>
      </c>
      <c r="AC14" s="6" t="str">
        <f>IFERROR([1]!IntrinioHistoricalData(ticker,AC$6,$N14,AC$7,AC$8,AC$9),"")</f>
        <v/>
      </c>
      <c r="AD14" s="6" t="str">
        <f>IFERROR([1]!IntrinioHistoricalData(ticker,AD$6,$N14,AD$7,AD$8,AD$9),"")</f>
        <v/>
      </c>
      <c r="AE14" s="6" t="str">
        <f>IFERROR([1]!IntrinioHistoricalData(ticker,AE$6,$N14,AE$7,AE$8,AE$9),"")</f>
        <v/>
      </c>
    </row>
    <row r="15" spans="1:39" ht="21.95" customHeight="1" x14ac:dyDescent="0.45">
      <c r="B15" s="42" t="s">
        <v>159</v>
      </c>
      <c r="C15" s="43" t="str">
        <f>IF([1]!IntrinioDataPoint(ticker,"dividend_ex_date")="","",[1]!IntrinioDataPoint(ticker,"dividend_ex_date"))</f>
        <v/>
      </c>
      <c r="D15" s="28"/>
      <c r="E15" s="62" t="s">
        <v>27</v>
      </c>
      <c r="F15" s="39"/>
      <c r="G15" s="40" t="e">
        <f>AVERAGE($V$11:$V$15)</f>
        <v>#DIV/0!</v>
      </c>
      <c r="H15" s="63" t="str">
        <f>V11</f>
        <v/>
      </c>
      <c r="I15" s="29"/>
      <c r="J15" s="50"/>
      <c r="K15" s="49"/>
      <c r="L15" s="49"/>
      <c r="M15" s="7"/>
      <c r="N15" s="9">
        <f>N14+1</f>
        <v>4</v>
      </c>
      <c r="O15" s="14" t="str">
        <f ca="1">IFERROR([1]!IntrinioHistoricalData(ticker,O$6,$N15,O$7,O$8,O$9),"")</f>
        <v/>
      </c>
      <c r="P15" s="13" t="str">
        <f ca="1">IFERROR([1]!IntrinioHistoricalData(ticker,P$6,$N15,P$7,P$8,P$9),"")</f>
        <v/>
      </c>
      <c r="Q15" s="13" t="str">
        <f>IFERROR([1]!IntrinioHistoricalData(ticker,Q$6,$N15,Q$7,Q$8,Q$9),"")</f>
        <v/>
      </c>
      <c r="R15" s="13" t="str">
        <f>IFERROR([1]!IntrinioHistoricalData(ticker,R$6,$N15,R$7,R$8,R$9),"")</f>
        <v/>
      </c>
      <c r="S15" s="13" t="str">
        <f>IFERROR([1]!IntrinioHistoricalData(ticker,S$6,$N15,S$7,S$8,S$9),"")</f>
        <v/>
      </c>
      <c r="T15" s="13" t="str">
        <f>IFERROR([1]!IntrinioHistoricalData(ticker,T$6,$N15,T$7,T$8,T$9),"")</f>
        <v/>
      </c>
      <c r="U15" s="6" t="str">
        <f>IFERROR([1]!IntrinioHistoricalData(ticker,U$6,$N15,U$7,U$8,U$9),"")</f>
        <v/>
      </c>
      <c r="V15" s="6" t="str">
        <f>IFERROR([1]!IntrinioHistoricalData(ticker,V$6,$N15,V$7,V$8,V$9),"")</f>
        <v/>
      </c>
      <c r="W15" s="6" t="str">
        <f>IFERROR([1]!IntrinioHistoricalData(ticker,W$6,$N15,W$7,W$8,W$9),"")</f>
        <v/>
      </c>
      <c r="X15" s="6" t="str">
        <f>IFERROR([1]!IntrinioHistoricalData(ticker,X$6,$N15,X$7,X$8,X$9),"")</f>
        <v/>
      </c>
      <c r="Y15" s="6" t="str">
        <f>IFERROR([1]!IntrinioHistoricalData(ticker,Y$6,$N15,Y$7,Y$8,Y$9),"")</f>
        <v/>
      </c>
      <c r="Z15" s="6" t="str">
        <f>IFERROR([1]!IntrinioHistoricalData(ticker,Z$6,$N15,Z$7,Z$8,Z$9),"")</f>
        <v/>
      </c>
      <c r="AA15" s="6" t="str">
        <f>IFERROR([1]!IntrinioHistoricalData(ticker,AA$6,$N15,AA$7,AA$8,AA$9),"")</f>
        <v/>
      </c>
      <c r="AB15" s="6" t="str">
        <f>IFERROR([1]!IntrinioHistoricalData(ticker,AB$6,$N15,AB$7,AB$8,AB$9),"")</f>
        <v/>
      </c>
      <c r="AC15" s="6" t="str">
        <f>IFERROR([1]!IntrinioHistoricalData(ticker,AC$6,$N15,AC$7,AC$8,AC$9),"")</f>
        <v/>
      </c>
      <c r="AD15" s="6" t="str">
        <f>IFERROR([1]!IntrinioHistoricalData(ticker,AD$6,$N15,AD$7,AD$8,AD$9),"")</f>
        <v/>
      </c>
      <c r="AE15" s="6" t="str">
        <f>IFERROR([1]!IntrinioHistoricalData(ticker,AE$6,$N15,AE$7,AE$8,AE$9),"")</f>
        <v/>
      </c>
    </row>
    <row r="16" spans="1:39" ht="21.95" customHeight="1" x14ac:dyDescent="0.45">
      <c r="B16" s="28"/>
      <c r="C16" s="28"/>
      <c r="D16" s="28"/>
      <c r="E16" s="60" t="s">
        <v>28</v>
      </c>
      <c r="F16" s="37"/>
      <c r="G16" s="38" t="e">
        <f>AVERAGE($W$11:$W$15)</f>
        <v>#DIV/0!</v>
      </c>
      <c r="H16" s="61" t="str">
        <f>W11</f>
        <v/>
      </c>
      <c r="I16" s="29"/>
      <c r="J16" s="50"/>
      <c r="K16" s="49"/>
      <c r="L16" s="49"/>
      <c r="M16" s="7"/>
      <c r="N16" s="9">
        <f>N15+1</f>
        <v>5</v>
      </c>
      <c r="O16" s="14" t="str">
        <f ca="1">IFERROR([1]!IntrinioHistoricalData(ticker,O$6,$N16,O$7,O$8,O$9),"")</f>
        <v/>
      </c>
      <c r="P16" s="13" t="str">
        <f ca="1">IFERROR([1]!IntrinioHistoricalData(ticker,P$6,$N16,P$7,P$8,P$9),"")</f>
        <v/>
      </c>
      <c r="Q16" s="13" t="str">
        <f>IFERROR([1]!IntrinioHistoricalData(ticker,Q$6,$N16,Q$7,Q$8,Q$9),"")</f>
        <v/>
      </c>
      <c r="R16" s="13" t="str">
        <f>IFERROR([1]!IntrinioHistoricalData(ticker,R$6,$N16,R$7,R$8,R$9),"")</f>
        <v/>
      </c>
      <c r="S16" s="13" t="str">
        <f>IFERROR([1]!IntrinioHistoricalData(ticker,S$6,$N16,S$7,S$8,S$9),"")</f>
        <v/>
      </c>
      <c r="T16" s="13" t="str">
        <f>IFERROR([1]!IntrinioHistoricalData(ticker,T$6,$N16,T$7,T$8,T$9),"")</f>
        <v/>
      </c>
      <c r="U16" s="6" t="str">
        <f>IFERROR([1]!IntrinioHistoricalData(ticker,U$6,$N16,U$7,U$8,U$9),"")</f>
        <v/>
      </c>
      <c r="V16" s="6" t="str">
        <f>IFERROR([1]!IntrinioHistoricalData(ticker,V$6,$N16,V$7,V$8,V$9),"")</f>
        <v/>
      </c>
      <c r="W16" s="6" t="str">
        <f>IFERROR([1]!IntrinioHistoricalData(ticker,W$6,$N16,W$7,W$8,W$9),"")</f>
        <v/>
      </c>
      <c r="X16" s="6" t="str">
        <f>IFERROR([1]!IntrinioHistoricalData(ticker,X$6,$N16,X$7,X$8,X$9),"")</f>
        <v/>
      </c>
      <c r="Y16" s="6" t="str">
        <f>IFERROR([1]!IntrinioHistoricalData(ticker,Y$6,$N16,Y$7,Y$8,Y$9),"")</f>
        <v/>
      </c>
      <c r="Z16" s="6" t="str">
        <f>IFERROR([1]!IntrinioHistoricalData(ticker,Z$6,$N16,Z$7,Z$8,Z$9),"")</f>
        <v/>
      </c>
      <c r="AA16" s="6" t="str">
        <f>IFERROR([1]!IntrinioHistoricalData(ticker,AA$6,$N16,AA$7,AA$8,AA$9),"")</f>
        <v/>
      </c>
      <c r="AB16" s="6" t="str">
        <f>IFERROR([1]!IntrinioHistoricalData(ticker,AB$6,$N16,AB$7,AB$8,AB$9),"")</f>
        <v/>
      </c>
      <c r="AC16" s="6" t="str">
        <f>IFERROR([1]!IntrinioHistoricalData(ticker,AC$6,$N16,AC$7,AC$8,AC$9),"")</f>
        <v/>
      </c>
      <c r="AD16" s="6" t="str">
        <f>IFERROR([1]!IntrinioHistoricalData(ticker,AD$6,$N16,AD$7,AD$8,AD$9),"")</f>
        <v/>
      </c>
      <c r="AE16" s="6" t="str">
        <f>IFERROR([1]!IntrinioHistoricalData(ticker,AE$6,$N16,AE$7,AE$8,AE$9),"")</f>
        <v/>
      </c>
      <c r="AF16" s="8"/>
      <c r="AG16" s="8"/>
      <c r="AH16" s="8"/>
      <c r="AI16" s="8"/>
      <c r="AJ16" s="8"/>
      <c r="AK16" s="8"/>
      <c r="AL16" s="8"/>
      <c r="AM16" s="8"/>
    </row>
    <row r="17" spans="1:39" ht="21.95" customHeight="1" x14ac:dyDescent="0.45">
      <c r="B17" s="392" t="s">
        <v>20</v>
      </c>
      <c r="C17" s="393"/>
      <c r="D17" s="28"/>
      <c r="E17" s="62" t="s">
        <v>215</v>
      </c>
      <c r="F17" s="39"/>
      <c r="G17" s="40" t="e">
        <f>AVERAGE($Y$11:$Y$15)</f>
        <v>#DIV/0!</v>
      </c>
      <c r="H17" s="63" t="str">
        <f>Y11</f>
        <v/>
      </c>
      <c r="I17" s="29"/>
      <c r="J17" s="50"/>
      <c r="K17" s="49"/>
      <c r="L17" s="49"/>
      <c r="M17" s="7"/>
      <c r="N17" s="9"/>
      <c r="O17" s="14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</row>
    <row r="18" spans="1:39" ht="21.95" customHeight="1" x14ac:dyDescent="0.45">
      <c r="B18" s="90" t="s">
        <v>217</v>
      </c>
      <c r="C18" s="92" t="str">
        <f>[1]!IntrinioDataPoint(ticker,"next_earnings_date")</f>
        <v/>
      </c>
      <c r="D18" s="28"/>
      <c r="E18" s="64" t="s">
        <v>29</v>
      </c>
      <c r="F18" s="65"/>
      <c r="G18" s="66" t="e">
        <f>AVERAGE($Z$11:$Z$15)</f>
        <v>#DIV/0!</v>
      </c>
      <c r="H18" s="67" t="str">
        <f>Z11</f>
        <v/>
      </c>
      <c r="I18" s="29"/>
      <c r="J18" s="50"/>
      <c r="K18" s="49"/>
      <c r="L18" s="49"/>
      <c r="M18" s="7"/>
      <c r="N18" s="9"/>
      <c r="O18" s="14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</row>
    <row r="19" spans="1:39" ht="21.75" customHeight="1" x14ac:dyDescent="0.45">
      <c r="B19" s="90" t="str">
        <f>"Revenue (M) - "&amp;Profile!$T$7&amp;"A"</f>
        <v>Revenue (M) - A</v>
      </c>
      <c r="C19" s="92" t="e">
        <f>[1]!IntrinioFinancials(ticker,"income_statement",0,"FY","totalrevenue","A")/1000000</f>
        <v>#VALUE!</v>
      </c>
      <c r="D19" s="28"/>
      <c r="E19" s="28"/>
      <c r="F19" s="28"/>
      <c r="G19" s="28"/>
      <c r="H19" s="28"/>
      <c r="I19" s="28"/>
      <c r="J19" s="50"/>
      <c r="K19" s="49"/>
      <c r="L19" s="49"/>
      <c r="M19" s="7"/>
      <c r="N19" s="9"/>
      <c r="O19" s="14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</row>
    <row r="20" spans="1:39" ht="21.95" customHeight="1" x14ac:dyDescent="0.45">
      <c r="B20" s="42" t="e">
        <f>"Revenue (M) - "&amp;Profile!$U$7</f>
        <v>#VALUE!</v>
      </c>
      <c r="C20" s="44" t="e">
        <f>[1]!IntrinioDataPoint(ticker,"current_yr_ave_revenue_est")/1000000</f>
        <v>#VALUE!</v>
      </c>
      <c r="D20" s="28"/>
      <c r="E20" s="389" t="s">
        <v>30</v>
      </c>
      <c r="F20" s="390"/>
      <c r="G20" s="390"/>
      <c r="H20" s="391"/>
      <c r="I20" s="33"/>
      <c r="J20" s="33"/>
      <c r="K20" s="49"/>
      <c r="L20" s="49"/>
      <c r="M20" s="7"/>
      <c r="N20" s="9"/>
      <c r="O20" s="14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</row>
    <row r="21" spans="1:39" ht="21.95" customHeight="1" x14ac:dyDescent="0.45">
      <c r="B21" s="90" t="e">
        <f>"Revenue (M) - "&amp;Profile!$V$7</f>
        <v>#VALUE!</v>
      </c>
      <c r="C21" s="92" t="e">
        <f>[1]!IntrinioDataPoint(ticker,"next_yr_ave_revenue_est")/1000000</f>
        <v>#VALUE!</v>
      </c>
      <c r="D21" s="28"/>
      <c r="E21" s="79"/>
      <c r="F21" s="80" t="s">
        <v>65</v>
      </c>
      <c r="G21" s="80" t="s">
        <v>67</v>
      </c>
      <c r="H21" s="81" t="s">
        <v>9</v>
      </c>
      <c r="I21" s="34"/>
      <c r="J21" s="34"/>
      <c r="K21" s="49"/>
      <c r="L21" s="49"/>
      <c r="M21" s="7"/>
      <c r="N21" s="9"/>
      <c r="O21" s="14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</row>
    <row r="22" spans="1:39" ht="21.95" customHeight="1" x14ac:dyDescent="0.45">
      <c r="B22" s="42" t="str">
        <f>"EPS - "&amp;Profile!$T$7&amp;"A"</f>
        <v>EPS - A</v>
      </c>
      <c r="C22" s="43" t="e">
        <f>Profile!$T$8</f>
        <v>#VALUE!</v>
      </c>
      <c r="D22" s="28"/>
      <c r="E22" s="82" t="s">
        <v>66</v>
      </c>
      <c r="F22" s="83"/>
      <c r="G22" s="84" t="e">
        <f>((1*(1+AA15)*(1+AA14)*(1+AA13)*(1+AA12)*(1+AA11))^(1/5))-1</f>
        <v>#VALUE!</v>
      </c>
      <c r="H22" s="85" t="str">
        <f>AA11</f>
        <v/>
      </c>
      <c r="I22" s="29"/>
      <c r="J22" s="50"/>
      <c r="K22" s="49"/>
      <c r="L22" s="49"/>
      <c r="M22" s="7"/>
      <c r="N22" s="9"/>
      <c r="O22" s="14"/>
      <c r="P22" s="8"/>
      <c r="Q22" s="8"/>
      <c r="R22" s="8"/>
      <c r="S22" s="8"/>
      <c r="T22" s="8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8"/>
      <c r="AG22" s="8"/>
      <c r="AH22" s="8"/>
      <c r="AI22" s="8"/>
      <c r="AJ22" s="8"/>
      <c r="AK22" s="8"/>
      <c r="AL22" s="8"/>
      <c r="AM22" s="8"/>
    </row>
    <row r="23" spans="1:39" ht="21.95" customHeight="1" x14ac:dyDescent="0.45">
      <c r="B23" s="90" t="e">
        <f>"EPS - "&amp;Profile!$U$7</f>
        <v>#VALUE!</v>
      </c>
      <c r="C23" s="91" t="str">
        <f>Profile!$U$8</f>
        <v/>
      </c>
      <c r="D23" s="28"/>
      <c r="E23" s="86" t="s">
        <v>32</v>
      </c>
      <c r="F23" s="87"/>
      <c r="G23" s="88" t="e">
        <f>((1*(1+AB15)*(1+AB14)*(1+AB13)*(1+AB12)*(1+AB11))^(1/5))-1</f>
        <v>#VALUE!</v>
      </c>
      <c r="H23" s="89" t="str">
        <f>AB11</f>
        <v/>
      </c>
      <c r="I23" s="29"/>
      <c r="J23" s="50"/>
      <c r="K23" s="51"/>
      <c r="L23" s="49"/>
      <c r="M23" s="7"/>
      <c r="N23" s="9"/>
      <c r="O23" s="14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</row>
    <row r="24" spans="1:39" ht="21.95" customHeight="1" x14ac:dyDescent="0.45">
      <c r="B24" s="42" t="e">
        <f>"EPS - "&amp;Profile!$V$7</f>
        <v>#VALUE!</v>
      </c>
      <c r="C24" s="43" t="str">
        <f>Profile!$V$8</f>
        <v/>
      </c>
      <c r="D24" s="27"/>
      <c r="E24" s="82" t="s">
        <v>31</v>
      </c>
      <c r="F24" s="83"/>
      <c r="G24" s="84" t="e">
        <f>((1*(1+AC15)*(1+AC14)*(1+AC13)*(1+AC12)*(1+AC11))^(1/5))-1</f>
        <v>#VALUE!</v>
      </c>
      <c r="H24" s="85" t="str">
        <f>AC11</f>
        <v/>
      </c>
      <c r="I24" s="29"/>
      <c r="J24" s="28"/>
      <c r="K24" s="16"/>
      <c r="L24" s="7"/>
      <c r="M24" s="7"/>
      <c r="N24" s="9"/>
      <c r="O24" s="14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</row>
    <row r="25" spans="1:39" s="8" customFormat="1" ht="21.95" customHeight="1" x14ac:dyDescent="0.45">
      <c r="A25" s="18"/>
      <c r="B25" s="90" t="s">
        <v>49</v>
      </c>
      <c r="C25" s="100" t="str">
        <f>[1]!IntrinioDataPoint(ticker,"long_term_growth_rate")</f>
        <v/>
      </c>
      <c r="D25" s="27"/>
      <c r="E25" s="86" t="s">
        <v>133</v>
      </c>
      <c r="F25" s="87"/>
      <c r="G25" s="88" t="e">
        <f>((1*(1+AD15)*(1+AD14)*(1+AD13)*(1+AD12)*(1+AD11))^(1/5))-1</f>
        <v>#VALUE!</v>
      </c>
      <c r="H25" s="89" t="str">
        <f>AD11</f>
        <v/>
      </c>
      <c r="I25" s="29"/>
      <c r="J25" s="28"/>
      <c r="K25" s="17"/>
      <c r="L25" s="7"/>
      <c r="M25" s="7"/>
      <c r="N25" s="9"/>
      <c r="O25" s="14"/>
      <c r="P25"/>
      <c r="Q25"/>
      <c r="R25"/>
      <c r="S25"/>
      <c r="T2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/>
      <c r="AG25"/>
      <c r="AH25"/>
      <c r="AI25"/>
      <c r="AJ25"/>
      <c r="AK25"/>
      <c r="AL25"/>
      <c r="AM25"/>
    </row>
    <row r="26" spans="1:39" ht="21.95" customHeight="1" x14ac:dyDescent="0.45">
      <c r="B26" s="42" t="s">
        <v>21</v>
      </c>
      <c r="C26" s="43" t="str">
        <f>[1]!IntrinioDataPoint(ticker,"analyst_target_price")</f>
        <v/>
      </c>
      <c r="D26" s="27"/>
      <c r="E26" s="82" t="s">
        <v>74</v>
      </c>
      <c r="F26" s="83"/>
      <c r="G26" s="84" t="e">
        <f>((1*(1+AE15)*(1+AE14)*(1+AE13)*(1+AE12)*(1+AE11))^(1/5))-1</f>
        <v>#VALUE!</v>
      </c>
      <c r="H26" s="85" t="str">
        <f>AE11</f>
        <v/>
      </c>
      <c r="I26" s="28"/>
      <c r="J26" s="28"/>
      <c r="N26" s="9"/>
      <c r="O26" s="14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</row>
    <row r="27" spans="1:39" ht="23.85" customHeight="1" x14ac:dyDescent="0.45">
      <c r="B27" s="28"/>
      <c r="C27" s="28"/>
      <c r="D27" s="27"/>
      <c r="E27" s="27"/>
      <c r="F27" s="28"/>
      <c r="G27" s="28"/>
      <c r="H27" s="28"/>
      <c r="I27" s="28"/>
      <c r="J27" s="28"/>
      <c r="N27" s="9"/>
      <c r="O27" s="14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</row>
    <row r="28" spans="1:39" ht="15.75" customHeight="1" x14ac:dyDescent="0.45">
      <c r="B28" s="27"/>
      <c r="C28" s="27"/>
      <c r="E28" s="27"/>
      <c r="F28" s="28"/>
      <c r="G28" s="28"/>
      <c r="H28" s="28"/>
      <c r="K28" s="20"/>
      <c r="N28" s="9"/>
      <c r="O28" s="14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</row>
    <row r="29" spans="1:39" ht="15.4" x14ac:dyDescent="0.45">
      <c r="B29" s="27"/>
      <c r="C29" s="27"/>
      <c r="G29" s="3"/>
      <c r="H29" s="3"/>
      <c r="K29" s="20"/>
      <c r="N29" s="9"/>
      <c r="O29" s="14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</row>
    <row r="30" spans="1:39" ht="15.4" x14ac:dyDescent="0.45">
      <c r="B30" s="27"/>
      <c r="C30" s="27"/>
      <c r="G30" s="3"/>
      <c r="H30" s="3"/>
      <c r="K30" s="20"/>
      <c r="N30" s="9"/>
      <c r="O30" s="14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</row>
    <row r="31" spans="1:39" s="8" customFormat="1" x14ac:dyDescent="0.45">
      <c r="A31" s="18"/>
      <c r="B31"/>
      <c r="C31"/>
      <c r="E31"/>
      <c r="F31"/>
      <c r="G31" s="3"/>
      <c r="H31" s="3"/>
      <c r="I31"/>
      <c r="J31"/>
      <c r="K31" s="20"/>
      <c r="N31" s="9"/>
      <c r="O31" s="14"/>
      <c r="P31"/>
      <c r="Q31"/>
      <c r="R31"/>
      <c r="S31"/>
      <c r="T31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/>
      <c r="AG31"/>
      <c r="AH31"/>
      <c r="AI31"/>
      <c r="AJ31"/>
      <c r="AK31"/>
      <c r="AL31"/>
      <c r="AM31"/>
    </row>
    <row r="32" spans="1:39" x14ac:dyDescent="0.45">
      <c r="G32" s="3"/>
      <c r="H32" s="3"/>
      <c r="K32" s="20"/>
      <c r="N32" s="9"/>
      <c r="O32" s="4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</row>
    <row r="33" spans="2:31" x14ac:dyDescent="0.45">
      <c r="G33" s="3"/>
      <c r="H33" s="3"/>
      <c r="I33" s="8"/>
      <c r="J33" s="8"/>
      <c r="N33" s="9"/>
      <c r="O33" s="4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</row>
    <row r="34" spans="2:31" x14ac:dyDescent="0.45">
      <c r="E34" s="8"/>
      <c r="F34" s="8"/>
      <c r="G34" s="3"/>
      <c r="H34" s="3"/>
      <c r="K34" s="19"/>
      <c r="N34" s="9"/>
      <c r="O34" s="4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</row>
    <row r="35" spans="2:31" x14ac:dyDescent="0.45">
      <c r="B35" s="8"/>
      <c r="C35" s="8"/>
      <c r="G35" s="3"/>
      <c r="H35" s="3"/>
      <c r="N35" s="9"/>
      <c r="O35" s="4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</row>
    <row r="36" spans="2:31" x14ac:dyDescent="0.45">
      <c r="G36" s="3"/>
      <c r="H36" s="3"/>
      <c r="N36" s="9"/>
      <c r="O36" s="4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</row>
    <row r="37" spans="2:31" x14ac:dyDescent="0.45">
      <c r="G37" s="3"/>
      <c r="H37" s="3"/>
      <c r="N37" s="9"/>
      <c r="O37" s="4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</row>
    <row r="38" spans="2:31" x14ac:dyDescent="0.45">
      <c r="G38" s="3"/>
      <c r="H38" s="3"/>
      <c r="N38" s="9"/>
      <c r="O38" s="4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</row>
    <row r="39" spans="2:31" x14ac:dyDescent="0.45">
      <c r="G39" s="3"/>
      <c r="H39" s="3"/>
      <c r="N39" s="9"/>
      <c r="O39" s="4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</row>
    <row r="40" spans="2:31" x14ac:dyDescent="0.45">
      <c r="G40" s="3"/>
      <c r="H40" s="3"/>
      <c r="N40" s="9"/>
      <c r="O40" s="4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</row>
    <row r="41" spans="2:31" x14ac:dyDescent="0.45">
      <c r="G41" s="3"/>
      <c r="H41" s="3"/>
      <c r="N41" s="9"/>
      <c r="O41" s="4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</row>
    <row r="42" spans="2:31" x14ac:dyDescent="0.45">
      <c r="G42" s="3"/>
      <c r="H42" s="3"/>
      <c r="N42" s="9"/>
      <c r="O42" s="4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</row>
    <row r="43" spans="2:31" x14ac:dyDescent="0.45">
      <c r="G43" s="3"/>
      <c r="H43" s="3"/>
      <c r="N43" s="9"/>
      <c r="O43" s="4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</row>
    <row r="44" spans="2:31" x14ac:dyDescent="0.45">
      <c r="G44" s="3"/>
      <c r="H44" s="3"/>
      <c r="N44" s="9"/>
      <c r="O44" s="4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</row>
    <row r="45" spans="2:31" x14ac:dyDescent="0.45">
      <c r="G45" s="3"/>
      <c r="H45" s="3"/>
      <c r="N45" s="9"/>
      <c r="O45" s="4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</row>
    <row r="46" spans="2:31" x14ac:dyDescent="0.45">
      <c r="N46" s="9"/>
      <c r="O46" s="4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</row>
    <row r="47" spans="2:31" x14ac:dyDescent="0.45">
      <c r="N47" s="9"/>
      <c r="O47" s="4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</row>
    <row r="48" spans="2:31" x14ac:dyDescent="0.45">
      <c r="N48" s="9"/>
      <c r="O48" s="4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</row>
    <row r="49" spans="14:31" x14ac:dyDescent="0.45">
      <c r="N49" s="9"/>
      <c r="O49" s="4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</row>
    <row r="50" spans="14:31" x14ac:dyDescent="0.45">
      <c r="N50" s="9"/>
      <c r="O50" s="4"/>
      <c r="U50" s="4"/>
      <c r="V50" s="10"/>
      <c r="W50" s="4"/>
      <c r="AA50" s="6"/>
      <c r="AB50" s="6"/>
      <c r="AC50" s="6"/>
      <c r="AD50" s="6"/>
      <c r="AE50" s="6"/>
    </row>
    <row r="51" spans="14:31" x14ac:dyDescent="0.45">
      <c r="N51" s="9"/>
      <c r="O51" s="4"/>
      <c r="U51" s="4"/>
      <c r="V51" s="10"/>
      <c r="W51" s="4"/>
      <c r="AA51" s="6"/>
      <c r="AB51" s="6"/>
      <c r="AC51" s="6"/>
      <c r="AD51" s="6"/>
      <c r="AE51" s="6"/>
    </row>
    <row r="52" spans="14:31" x14ac:dyDescent="0.45">
      <c r="N52" s="9"/>
      <c r="O52" s="4"/>
      <c r="U52" s="4"/>
      <c r="V52" s="10"/>
      <c r="W52" s="4"/>
      <c r="AA52" s="6"/>
      <c r="AB52" s="6"/>
      <c r="AC52" s="6"/>
      <c r="AD52" s="6"/>
      <c r="AE52" s="6"/>
    </row>
    <row r="53" spans="14:31" x14ac:dyDescent="0.45">
      <c r="N53" s="9"/>
      <c r="O53" s="4"/>
      <c r="U53" s="4"/>
      <c r="V53" s="10"/>
      <c r="W53" s="4"/>
      <c r="AA53" s="6"/>
      <c r="AB53" s="6"/>
      <c r="AC53" s="6"/>
      <c r="AD53" s="6"/>
      <c r="AE53" s="6"/>
    </row>
    <row r="54" spans="14:31" x14ac:dyDescent="0.45">
      <c r="N54" s="9"/>
      <c r="O54" s="4"/>
      <c r="U54" s="4"/>
      <c r="V54" s="10"/>
      <c r="W54" s="4"/>
      <c r="AA54" s="6"/>
      <c r="AB54" s="6"/>
      <c r="AC54" s="6"/>
      <c r="AD54" s="6"/>
      <c r="AE54" s="6"/>
    </row>
    <row r="55" spans="14:31" x14ac:dyDescent="0.45">
      <c r="N55" s="9"/>
      <c r="O55" s="4"/>
      <c r="U55" s="4"/>
      <c r="V55" s="10"/>
      <c r="W55" s="4"/>
      <c r="AA55" s="6"/>
      <c r="AB55" s="6"/>
      <c r="AC55" s="6"/>
      <c r="AD55" s="6"/>
      <c r="AE55" s="6"/>
    </row>
    <row r="56" spans="14:31" x14ac:dyDescent="0.45">
      <c r="N56" s="9"/>
      <c r="O56" s="4"/>
      <c r="U56" s="4"/>
      <c r="V56" s="10"/>
      <c r="W56" s="4"/>
      <c r="AA56" s="6"/>
      <c r="AB56" s="6"/>
      <c r="AC56" s="6"/>
      <c r="AD56" s="6"/>
      <c r="AE56" s="6"/>
    </row>
    <row r="57" spans="14:31" x14ac:dyDescent="0.45">
      <c r="N57" s="9"/>
      <c r="O57" s="4"/>
      <c r="U57" s="4"/>
      <c r="V57" s="10"/>
      <c r="W57" s="4"/>
      <c r="AA57" s="6"/>
      <c r="AB57" s="6"/>
      <c r="AC57" s="6"/>
      <c r="AD57" s="6"/>
      <c r="AE57" s="6"/>
    </row>
    <row r="58" spans="14:31" x14ac:dyDescent="0.45">
      <c r="N58" s="9"/>
      <c r="O58" s="4"/>
      <c r="U58" s="4"/>
      <c r="V58" s="10"/>
      <c r="W58" s="4"/>
      <c r="AA58" s="6"/>
      <c r="AB58" s="6"/>
      <c r="AC58" s="6"/>
      <c r="AD58" s="6"/>
      <c r="AE58" s="6"/>
    </row>
    <row r="59" spans="14:31" x14ac:dyDescent="0.45">
      <c r="N59" s="9"/>
      <c r="O59" s="4"/>
      <c r="U59" s="4"/>
      <c r="V59" s="10"/>
      <c r="W59" s="4"/>
      <c r="AA59" s="6"/>
      <c r="AB59" s="6"/>
      <c r="AC59" s="6"/>
      <c r="AD59" s="6"/>
      <c r="AE59" s="6"/>
    </row>
    <row r="60" spans="14:31" x14ac:dyDescent="0.45">
      <c r="N60" s="9"/>
      <c r="O60" s="4"/>
      <c r="U60" s="4"/>
      <c r="V60" s="10"/>
      <c r="W60" s="4"/>
      <c r="AA60" s="6"/>
      <c r="AB60" s="6"/>
      <c r="AC60" s="6"/>
      <c r="AD60" s="6"/>
      <c r="AE60" s="6"/>
    </row>
    <row r="61" spans="14:31" x14ac:dyDescent="0.45">
      <c r="N61" s="9"/>
      <c r="O61" s="4"/>
      <c r="U61" s="4"/>
      <c r="V61" s="10"/>
      <c r="W61" s="4"/>
      <c r="AA61" s="6"/>
      <c r="AB61" s="6"/>
      <c r="AC61" s="6"/>
      <c r="AD61" s="6"/>
      <c r="AE61" s="6"/>
    </row>
    <row r="62" spans="14:31" x14ac:dyDescent="0.45">
      <c r="N62" s="9"/>
      <c r="O62" s="4"/>
      <c r="U62" s="4"/>
      <c r="V62" s="10"/>
      <c r="W62" s="4"/>
      <c r="AA62" s="6"/>
      <c r="AB62" s="6"/>
      <c r="AC62" s="6"/>
      <c r="AD62" s="6"/>
      <c r="AE62" s="6"/>
    </row>
    <row r="63" spans="14:31" x14ac:dyDescent="0.45">
      <c r="N63" s="9"/>
      <c r="O63" s="4"/>
      <c r="U63" s="4"/>
      <c r="V63" s="10"/>
      <c r="W63" s="4"/>
      <c r="AA63" s="6"/>
      <c r="AB63" s="6"/>
      <c r="AC63" s="6"/>
      <c r="AD63" s="6"/>
      <c r="AE63" s="6"/>
    </row>
    <row r="64" spans="14:31" x14ac:dyDescent="0.45">
      <c r="N64" s="9"/>
      <c r="O64" s="4"/>
      <c r="U64" s="4"/>
      <c r="V64" s="10"/>
      <c r="W64" s="4"/>
      <c r="AA64" s="6"/>
      <c r="AB64" s="6"/>
      <c r="AC64" s="6"/>
      <c r="AD64" s="6"/>
      <c r="AE64" s="6"/>
    </row>
    <row r="65" spans="14:31" x14ac:dyDescent="0.45">
      <c r="N65" s="9"/>
      <c r="O65" s="4"/>
      <c r="U65" s="4"/>
      <c r="V65" s="10"/>
      <c r="W65" s="4"/>
      <c r="AA65" s="6"/>
      <c r="AB65" s="6"/>
      <c r="AC65" s="6"/>
      <c r="AD65" s="6"/>
      <c r="AE65" s="6"/>
    </row>
    <row r="66" spans="14:31" x14ac:dyDescent="0.45">
      <c r="N66" s="9"/>
      <c r="O66" s="4"/>
      <c r="U66" s="4"/>
      <c r="V66" s="10"/>
      <c r="W66" s="4"/>
      <c r="AA66" s="6"/>
      <c r="AB66" s="6"/>
      <c r="AC66" s="6"/>
      <c r="AD66" s="6"/>
      <c r="AE66" s="6"/>
    </row>
    <row r="67" spans="14:31" x14ac:dyDescent="0.45">
      <c r="N67" s="9"/>
      <c r="O67" s="4"/>
      <c r="U67" s="4"/>
      <c r="V67" s="10"/>
      <c r="W67" s="4"/>
      <c r="AA67" s="6"/>
      <c r="AB67" s="6"/>
      <c r="AC67" s="6"/>
      <c r="AD67" s="6"/>
      <c r="AE67" s="6"/>
    </row>
    <row r="68" spans="14:31" x14ac:dyDescent="0.45">
      <c r="N68" s="9"/>
      <c r="O68" s="4"/>
      <c r="U68" s="4"/>
      <c r="V68" s="10"/>
      <c r="W68" s="4"/>
      <c r="AA68" s="6"/>
      <c r="AB68" s="6"/>
      <c r="AC68" s="6"/>
      <c r="AD68" s="6"/>
      <c r="AE68" s="6"/>
    </row>
    <row r="69" spans="14:31" x14ac:dyDescent="0.45">
      <c r="N69" s="9"/>
      <c r="O69" s="4"/>
      <c r="U69" s="4"/>
      <c r="V69" s="10"/>
      <c r="W69" s="4"/>
      <c r="AA69" s="6"/>
      <c r="AB69" s="6"/>
      <c r="AC69" s="6"/>
      <c r="AD69" s="6"/>
      <c r="AE69" s="6"/>
    </row>
    <row r="70" spans="14:31" x14ac:dyDescent="0.45">
      <c r="N70" s="9"/>
      <c r="O70" s="4"/>
      <c r="U70" s="4"/>
      <c r="V70" s="10"/>
      <c r="W70" s="4"/>
      <c r="AA70" s="6"/>
      <c r="AB70" s="6"/>
      <c r="AC70" s="6"/>
      <c r="AD70" s="6"/>
      <c r="AE70" s="6"/>
    </row>
    <row r="71" spans="14:31" x14ac:dyDescent="0.45">
      <c r="N71" s="9"/>
      <c r="O71" s="4"/>
      <c r="U71" s="4"/>
      <c r="V71" s="10"/>
      <c r="W71" s="4"/>
      <c r="AA71" s="6"/>
      <c r="AB71" s="6"/>
      <c r="AC71" s="6"/>
      <c r="AD71" s="6"/>
      <c r="AE71" s="6"/>
    </row>
    <row r="72" spans="14:31" x14ac:dyDescent="0.45">
      <c r="N72" s="3"/>
      <c r="O72" s="5"/>
      <c r="U72" s="4"/>
    </row>
    <row r="73" spans="14:31" x14ac:dyDescent="0.45">
      <c r="N73" s="15"/>
      <c r="Y73" s="3"/>
      <c r="Z73" s="3"/>
      <c r="AA73" s="3"/>
      <c r="AB73" s="3"/>
      <c r="AC73" s="3"/>
      <c r="AD73" s="3"/>
      <c r="AE73" s="3"/>
    </row>
    <row r="74" spans="14:31" x14ac:dyDescent="0.45">
      <c r="N74" s="15"/>
      <c r="Y74" s="3"/>
      <c r="Z74" s="3"/>
      <c r="AA74" s="3"/>
      <c r="AB74" s="3"/>
      <c r="AC74" s="3"/>
      <c r="AD74" s="3"/>
      <c r="AE74" s="3"/>
    </row>
    <row r="75" spans="14:31" x14ac:dyDescent="0.45">
      <c r="N75" s="3"/>
      <c r="Y75" s="3"/>
      <c r="Z75" s="3"/>
      <c r="AA75" s="3"/>
      <c r="AB75" s="3"/>
      <c r="AC75" s="3"/>
      <c r="AD75" s="3"/>
      <c r="AE75" s="3"/>
    </row>
    <row r="76" spans="14:31" x14ac:dyDescent="0.45">
      <c r="N76" s="3"/>
      <c r="Y76" s="3"/>
      <c r="Z76" s="3"/>
      <c r="AA76" s="3"/>
      <c r="AB76" s="3"/>
      <c r="AC76" s="3"/>
      <c r="AD76" s="3"/>
      <c r="AE76" s="3"/>
    </row>
    <row r="77" spans="14:31" x14ac:dyDescent="0.45"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</row>
    <row r="78" spans="14:31" x14ac:dyDescent="0.45"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</row>
    <row r="79" spans="14:31" x14ac:dyDescent="0.45"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</row>
    <row r="80" spans="14:31" x14ac:dyDescent="0.45">
      <c r="N80" s="3"/>
      <c r="Y80" s="3"/>
      <c r="Z80" s="3"/>
      <c r="AA80" s="3"/>
      <c r="AB80" s="3"/>
      <c r="AC80" s="3"/>
      <c r="AD80" s="3"/>
      <c r="AE80" s="3"/>
    </row>
    <row r="81" spans="14:31" x14ac:dyDescent="0.45">
      <c r="N81" s="3"/>
      <c r="Y81" s="3"/>
      <c r="Z81" s="3"/>
      <c r="AA81" s="3"/>
      <c r="AB81" s="3"/>
      <c r="AC81" s="3"/>
      <c r="AD81" s="3"/>
      <c r="AE81" s="3"/>
    </row>
    <row r="82" spans="14:31" x14ac:dyDescent="0.45">
      <c r="N82" s="3"/>
      <c r="Y82" s="3"/>
      <c r="Z82" s="3"/>
      <c r="AA82" s="3"/>
      <c r="AB82" s="3"/>
      <c r="AC82" s="3"/>
      <c r="AD82" s="3"/>
      <c r="AE82" s="3"/>
    </row>
    <row r="83" spans="14:31" x14ac:dyDescent="0.45">
      <c r="N83" s="3"/>
      <c r="Y83" s="3"/>
      <c r="Z83" s="3"/>
      <c r="AA83" s="3"/>
      <c r="AB83" s="3"/>
      <c r="AC83" s="3"/>
      <c r="AD83" s="3"/>
      <c r="AE83" s="3"/>
    </row>
    <row r="84" spans="14:31" x14ac:dyDescent="0.45">
      <c r="N84" s="3"/>
      <c r="Y84" s="3"/>
      <c r="Z84" s="3"/>
      <c r="AA84" s="3"/>
      <c r="AB84" s="3"/>
      <c r="AC84" s="3"/>
      <c r="AD84" s="3"/>
      <c r="AE84" s="3"/>
    </row>
    <row r="85" spans="14:31" x14ac:dyDescent="0.45">
      <c r="N85" s="3"/>
      <c r="Y85" s="3"/>
      <c r="Z85" s="3"/>
      <c r="AA85" s="3"/>
      <c r="AB85" s="3"/>
      <c r="AC85" s="3"/>
      <c r="AD85" s="3"/>
      <c r="AE85" s="3"/>
    </row>
    <row r="86" spans="14:31" x14ac:dyDescent="0.45">
      <c r="N86" s="3"/>
      <c r="Y86" s="3"/>
      <c r="Z86" s="3"/>
      <c r="AA86" s="3"/>
      <c r="AB86" s="3"/>
      <c r="AC86" s="3"/>
      <c r="AD86" s="3"/>
      <c r="AE86" s="3"/>
    </row>
    <row r="87" spans="14:31" x14ac:dyDescent="0.45">
      <c r="N87" s="3"/>
      <c r="Y87" s="3"/>
      <c r="Z87" s="3"/>
      <c r="AA87" s="3"/>
      <c r="AB87" s="3"/>
      <c r="AC87" s="3"/>
      <c r="AD87" s="3"/>
      <c r="AE87" s="3"/>
    </row>
    <row r="88" spans="14:31" x14ac:dyDescent="0.45">
      <c r="N88" s="3"/>
      <c r="Y88" s="3"/>
      <c r="Z88" s="3"/>
      <c r="AA88" s="3"/>
      <c r="AB88" s="3"/>
      <c r="AC88" s="3"/>
      <c r="AD88" s="3"/>
      <c r="AE88" s="3"/>
    </row>
    <row r="89" spans="14:31" x14ac:dyDescent="0.45">
      <c r="N89" s="3"/>
      <c r="Y89" s="3"/>
      <c r="Z89" s="3"/>
      <c r="AA89" s="3"/>
      <c r="AB89" s="3"/>
      <c r="AC89" s="3"/>
      <c r="AD89" s="3"/>
      <c r="AE89" s="3"/>
    </row>
    <row r="90" spans="14:31" x14ac:dyDescent="0.45">
      <c r="N90" s="3"/>
      <c r="Y90" s="3"/>
      <c r="Z90" s="3"/>
      <c r="AA90" s="3"/>
      <c r="AB90" s="3"/>
      <c r="AC90" s="3"/>
      <c r="AD90" s="3"/>
      <c r="AE90" s="3"/>
    </row>
    <row r="91" spans="14:31" x14ac:dyDescent="0.45">
      <c r="N91" s="3"/>
      <c r="Y91" s="3"/>
      <c r="Z91" s="3"/>
      <c r="AA91" s="3"/>
      <c r="AB91" s="3"/>
      <c r="AC91" s="3"/>
      <c r="AD91" s="3"/>
      <c r="AE91" s="3"/>
    </row>
    <row r="92" spans="14:31" x14ac:dyDescent="0.45">
      <c r="N92" s="3"/>
      <c r="Y92" s="3"/>
      <c r="Z92" s="3"/>
      <c r="AA92" s="3"/>
      <c r="AB92" s="3"/>
      <c r="AC92" s="3"/>
      <c r="AD92" s="3"/>
      <c r="AE92" s="3"/>
    </row>
    <row r="93" spans="14:31" x14ac:dyDescent="0.45">
      <c r="N93" s="3"/>
      <c r="Y93" s="3"/>
      <c r="Z93" s="3"/>
      <c r="AA93" s="3"/>
      <c r="AB93" s="3"/>
      <c r="AC93" s="3"/>
      <c r="AD93" s="3"/>
      <c r="AE93" s="3"/>
    </row>
    <row r="94" spans="14:31" x14ac:dyDescent="0.45">
      <c r="N94" s="3"/>
      <c r="Y94" s="3"/>
      <c r="Z94" s="3"/>
      <c r="AA94" s="3"/>
      <c r="AB94" s="3"/>
      <c r="AC94" s="3"/>
      <c r="AD94" s="3"/>
      <c r="AE94" s="3"/>
    </row>
    <row r="95" spans="14:31" x14ac:dyDescent="0.45">
      <c r="N95" s="3"/>
      <c r="S95" s="3"/>
      <c r="Y95" s="3"/>
      <c r="Z95" s="3"/>
      <c r="AA95" s="3"/>
      <c r="AB95" s="3"/>
      <c r="AC95" s="3"/>
      <c r="AD95" s="3"/>
      <c r="AE95" s="3"/>
    </row>
    <row r="96" spans="14:31" x14ac:dyDescent="0.45">
      <c r="N96" s="3"/>
      <c r="S96" s="3"/>
      <c r="Y96" s="3"/>
      <c r="Z96" s="3"/>
      <c r="AA96" s="3"/>
      <c r="AB96" s="3"/>
      <c r="AC96" s="3"/>
      <c r="AD96" s="3"/>
      <c r="AE96" s="3"/>
    </row>
    <row r="97" spans="14:31" x14ac:dyDescent="0.45">
      <c r="N97" s="3"/>
      <c r="S97" s="3"/>
      <c r="Y97" s="3"/>
      <c r="Z97" s="3"/>
      <c r="AA97" s="3"/>
      <c r="AB97" s="3"/>
      <c r="AC97" s="3"/>
      <c r="AD97" s="3"/>
      <c r="AE97" s="3"/>
    </row>
    <row r="98" spans="14:31" x14ac:dyDescent="0.45">
      <c r="S98" s="3"/>
    </row>
    <row r="99" spans="14:31" x14ac:dyDescent="0.45">
      <c r="S99" s="3"/>
    </row>
    <row r="100" spans="14:31" x14ac:dyDescent="0.45">
      <c r="S100" s="3"/>
    </row>
    <row r="101" spans="14:31" x14ac:dyDescent="0.45">
      <c r="S101" s="3"/>
    </row>
    <row r="102" spans="14:31" x14ac:dyDescent="0.45">
      <c r="S102" s="3"/>
    </row>
    <row r="103" spans="14:31" x14ac:dyDescent="0.45">
      <c r="S103" s="3"/>
    </row>
    <row r="104" spans="14:31" x14ac:dyDescent="0.45">
      <c r="S104" s="3"/>
    </row>
    <row r="105" spans="14:31" x14ac:dyDescent="0.45">
      <c r="S105" s="3"/>
    </row>
    <row r="106" spans="14:31" x14ac:dyDescent="0.45">
      <c r="S106" s="3"/>
    </row>
    <row r="107" spans="14:31" x14ac:dyDescent="0.45">
      <c r="S107" s="3"/>
    </row>
    <row r="108" spans="14:31" x14ac:dyDescent="0.45">
      <c r="S108" s="3"/>
    </row>
  </sheetData>
  <mergeCells count="5">
    <mergeCell ref="E3:J3"/>
    <mergeCell ref="E12:H12"/>
    <mergeCell ref="E20:H20"/>
    <mergeCell ref="B17:C17"/>
    <mergeCell ref="B9:C9"/>
  </mergeCells>
  <conditionalFormatting sqref="K28:K30">
    <cfRule type="cellIs" dxfId="23" priority="1" operator="greaterThan">
      <formula>0</formula>
    </cfRule>
    <cfRule type="cellIs" dxfId="22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 ()          &amp;RReport Date: 11/26/2016</oddHeader>
    <oddFooter>&amp;L&amp;G&amp;R&amp;P</oddFooter>
  </headerFooter>
  <legacyDrawingHF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Items'!Z11:Z16</xm:f>
              <xm:sqref>F18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Items'!AE11:AE16</xm:f>
              <xm:sqref>F26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Items'!AC11:AC16</xm:f>
              <xm:sqref>F24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Items'!AB11:AB16</xm:f>
              <xm:sqref>F23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Items'!AA11:AA16</xm:f>
              <xm:sqref>F22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Items'!O11:O16</xm:f>
              <xm:sqref>F5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Items'!U11:U16</xm:f>
              <xm:sqref>F14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Items'!V11:V16</xm:f>
              <xm:sqref>F15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Items'!W11:W16</xm:f>
              <xm:sqref>F16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Items'!Y11:Y16</xm:f>
              <xm:sqref>F17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Items'!P11:P16</xm:f>
              <xm:sqref>F6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Items'!Q11:Q16</xm:f>
              <xm:sqref>F7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Items'!R11:R16</xm:f>
              <xm:sqref>F8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Items'!T11:T16</xm:f>
              <xm:sqref>F10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Items'!S11:S16</xm:f>
              <xm:sqref>F9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Items'!AD11:AD16</xm:f>
              <xm:sqref>F25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/>
    <pageSetUpPr fitToPage="1"/>
  </sheetPr>
  <dimension ref="A1:O40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24.3984375" style="18" customWidth="1"/>
    <col min="3" max="12" width="11.1328125" style="18" customWidth="1"/>
    <col min="13" max="13" width="0.86328125" style="18" customWidth="1"/>
    <col min="14" max="14" width="15.3984375" style="18" customWidth="1"/>
    <col min="15" max="15" width="14.3984375" style="18" customWidth="1"/>
    <col min="16" max="16384" width="9.1328125" style="18"/>
  </cols>
  <sheetData>
    <row r="1" spans="1:15" ht="15.4" x14ac:dyDescent="0.45">
      <c r="A1" s="23" t="s">
        <v>82</v>
      </c>
    </row>
    <row r="3" spans="1:15" ht="21.75" customHeight="1" x14ac:dyDescent="0.45">
      <c r="B3" s="103"/>
      <c r="C3" s="394" t="s">
        <v>84</v>
      </c>
      <c r="D3" s="395"/>
      <c r="E3" s="395"/>
      <c r="F3" s="397"/>
      <c r="G3" s="394" t="s">
        <v>85</v>
      </c>
      <c r="H3" s="395"/>
      <c r="I3" s="395"/>
      <c r="J3" s="395"/>
      <c r="K3" s="395"/>
      <c r="L3" s="396"/>
    </row>
    <row r="4" spans="1:15" ht="21.95" customHeight="1" x14ac:dyDescent="0.45">
      <c r="B4" s="104" t="s">
        <v>91</v>
      </c>
      <c r="C4" s="105" t="str">
        <f>"FY "&amp;[1]!IntrinioFundamentals(ticker,"income_statement","FY",1,"fiscal_year")&amp;"A"</f>
        <v>FY A</v>
      </c>
      <c r="D4" s="106" t="str">
        <f>"FY "&amp;[1]!IntrinioFundamentals(ticker,"income_statement","FY",0,"fiscal_year")&amp;"A"</f>
        <v>FY A</v>
      </c>
      <c r="E4" s="118" t="e">
        <f>"FY "&amp;[1]!IntrinioFundamentals(ticker,"income_statement","FY",0,"fiscal_year")+1&amp;"E"</f>
        <v>#VALUE!</v>
      </c>
      <c r="F4" s="119" t="e">
        <f>"FY "&amp;[1]!IntrinioFundamentals(ticker,"income_statement","FY",0,"fiscal_year")+2&amp;"E"</f>
        <v>#VALUE!</v>
      </c>
      <c r="G4" s="105" t="str">
        <f>[1]!IntrinioFundamentals(ticker,"income_statement","QTR",3,"fiscal_period")&amp;" "&amp;[1]!IntrinioFundamentals(ticker,"income_statement","QTR",3,"fiscal_year")&amp;"A"</f>
        <v xml:space="preserve"> A</v>
      </c>
      <c r="H4" s="106" t="str">
        <f>[1]!IntrinioFundamentals(ticker,"income_statement","QTR",2,"fiscal_period")&amp;" "&amp;[1]!IntrinioFundamentals(ticker,"income_statement","QTR",2,"fiscal_year")&amp;"A"</f>
        <v xml:space="preserve"> A</v>
      </c>
      <c r="I4" s="106" t="str">
        <f>[1]!IntrinioFundamentals(ticker,"income_statement","QTR",1,"fiscal_period")&amp;" "&amp;[1]!IntrinioFundamentals(ticker,"income_statement","QTR",1,"fiscal_year")&amp;"A"</f>
        <v xml:space="preserve"> A</v>
      </c>
      <c r="J4" s="106" t="str">
        <f>[1]!IntrinioFundamentals(ticker,"income_statement","QTR",0,"fiscal_period")&amp;" "&amp;[1]!IntrinioFundamentals(ticker,"income_statement","QTR",0,"fiscal_year")&amp;"A"</f>
        <v xml:space="preserve"> A</v>
      </c>
      <c r="K4" s="118" t="e">
        <f>[1]!IntrinioFundamentals(ticker,"income_statement","QTR",3,"fiscal_period")&amp;" "&amp;[1]!IntrinioFundamentals(ticker,"income_statement","QTR",3,"fiscal_year")+1&amp;"E"</f>
        <v>#VALUE!</v>
      </c>
      <c r="L4" s="124" t="e">
        <f>[1]!IntrinioFundamentals(ticker,"income_statement","QTR",2,"fiscal_period")&amp;" "&amp;[1]!IntrinioFundamentals(ticker,"income_statement","QTR",2,"fiscal_year")+1&amp;"E"</f>
        <v>#VALUE!</v>
      </c>
      <c r="N4" s="1"/>
    </row>
    <row r="5" spans="1:15" ht="21.95" customHeight="1" x14ac:dyDescent="0.45">
      <c r="B5" s="107" t="s">
        <v>89</v>
      </c>
      <c r="C5" s="108"/>
      <c r="D5" s="109"/>
      <c r="E5" s="120" t="e">
        <f>[1]!IntrinioDataPoint(ticker,"current_yr_high_revenue_est")/1000000</f>
        <v>#VALUE!</v>
      </c>
      <c r="F5" s="121" t="e">
        <f>[1]!IntrinioDataPoint(ticker,"next_yr_high_revenue_est")/1000000</f>
        <v>#VALUE!</v>
      </c>
      <c r="G5" s="108"/>
      <c r="H5" s="109"/>
      <c r="I5" s="109"/>
      <c r="J5" s="109"/>
      <c r="K5" s="120" t="e">
        <f>[1]!IntrinioDataPoint(ticker,"current_qtr_high_revenue_est")/1000000</f>
        <v>#VALUE!</v>
      </c>
      <c r="L5" s="121" t="e">
        <f>[1]!IntrinioDataPoint(ticker,"next_qtr_high_revenue_est")/1000000</f>
        <v>#VALUE!</v>
      </c>
    </row>
    <row r="6" spans="1:15" ht="21.95" customHeight="1" x14ac:dyDescent="0.45">
      <c r="B6" s="111" t="s">
        <v>88</v>
      </c>
      <c r="C6" s="112"/>
      <c r="D6" s="113"/>
      <c r="E6" s="122" t="e">
        <f>E5/D7-1</f>
        <v>#VALUE!</v>
      </c>
      <c r="F6" s="123" t="e">
        <f>F5/E5-1</f>
        <v>#VALUE!</v>
      </c>
      <c r="G6" s="114"/>
      <c r="H6" s="115"/>
      <c r="I6" s="115"/>
      <c r="J6" s="115"/>
      <c r="K6" s="122" t="e">
        <f>K5/G7-1</f>
        <v>#VALUE!</v>
      </c>
      <c r="L6" s="123" t="e">
        <f>L5/H7-1</f>
        <v>#VALUE!</v>
      </c>
      <c r="M6" s="17"/>
      <c r="N6" s="17"/>
      <c r="O6" s="17"/>
    </row>
    <row r="7" spans="1:15" ht="21.95" customHeight="1" x14ac:dyDescent="0.45">
      <c r="B7" s="107" t="s">
        <v>157</v>
      </c>
      <c r="C7" s="116" t="e">
        <f>[1]!IntrinioFinancials(ticker,"income_statement",1,"FY","totalrevenue","A")/1000000</f>
        <v>#VALUE!</v>
      </c>
      <c r="D7" s="110" t="e">
        <f>[1]!IntrinioFinancials(ticker,"income_statement",0,"FY","totalrevenue","A")/1000000</f>
        <v>#VALUE!</v>
      </c>
      <c r="E7" s="120" t="e">
        <f>[1]!IntrinioDataPoint(ticker,"current_yr_ave_revenue_est")/1000000</f>
        <v>#VALUE!</v>
      </c>
      <c r="F7" s="121" t="e">
        <f>[1]!IntrinioDataPoint(ticker,"next_yr_ave_revenue_est")/1000000</f>
        <v>#VALUE!</v>
      </c>
      <c r="G7" s="116" t="e">
        <f>[1]!IntrinioFinancials(ticker,"income_statement",3,"QTR","totalrevenue","A")/1000000</f>
        <v>#VALUE!</v>
      </c>
      <c r="H7" s="110" t="e">
        <f>[1]!IntrinioFinancials(ticker,"income_statement",2,"QTR","totalrevenue","A")/1000000</f>
        <v>#VALUE!</v>
      </c>
      <c r="I7" s="110" t="e">
        <f>[1]!IntrinioFinancials(ticker,"income_statement",1,"QTR","totalrevenue","A")/1000000</f>
        <v>#VALUE!</v>
      </c>
      <c r="J7" s="110" t="e">
        <f>[1]!IntrinioFinancials(ticker,"income_statement",0,"QTR","totalrevenue","A")/1000000</f>
        <v>#VALUE!</v>
      </c>
      <c r="K7" s="120" t="e">
        <f>[1]!IntrinioDataPoint(ticker,"current_qtr_ave_revenue_est")/1000000</f>
        <v>#VALUE!</v>
      </c>
      <c r="L7" s="121" t="e">
        <f>[1]!IntrinioDataPoint(ticker,"next_qtr_ave_revenue_est")/1000000</f>
        <v>#VALUE!</v>
      </c>
      <c r="M7" s="17"/>
      <c r="N7" s="17"/>
      <c r="O7" s="17"/>
    </row>
    <row r="8" spans="1:15" ht="21.95" customHeight="1" x14ac:dyDescent="0.45">
      <c r="B8" s="111" t="s">
        <v>88</v>
      </c>
      <c r="C8" s="112" t="str">
        <f>[1]!IntrinioFinancials(ticker,"calculations",1,"FY","revenuegrowth")</f>
        <v/>
      </c>
      <c r="D8" s="113" t="str">
        <f>[1]!IntrinioFinancials(ticker,"calculations",0,"FY","revenuegrowth")</f>
        <v/>
      </c>
      <c r="E8" s="122" t="e">
        <f>E7/D7-1</f>
        <v>#VALUE!</v>
      </c>
      <c r="F8" s="123" t="e">
        <f>F7/E7-1</f>
        <v>#VALUE!</v>
      </c>
      <c r="G8" s="112" t="str">
        <f>[1]!IntrinioFinancials(ticker,"calculations",3,"QTR","revenuegrowth")</f>
        <v/>
      </c>
      <c r="H8" s="113" t="str">
        <f>[1]!IntrinioFinancials(ticker,"calculations",2,"QTR","revenuegrowth")</f>
        <v/>
      </c>
      <c r="I8" s="113" t="str">
        <f>[1]!IntrinioFinancials(ticker,"calculations",1,"QTR","revenuegrowth")</f>
        <v/>
      </c>
      <c r="J8" s="113" t="str">
        <f>[1]!IntrinioFinancials(ticker,"calculations",0,"QTR","revenuegrowth")</f>
        <v/>
      </c>
      <c r="K8" s="122" t="e">
        <f>K7/G7-1</f>
        <v>#VALUE!</v>
      </c>
      <c r="L8" s="123" t="e">
        <f>L7/H7-1</f>
        <v>#VALUE!</v>
      </c>
      <c r="M8" s="17"/>
      <c r="N8" s="17"/>
      <c r="O8" s="17"/>
    </row>
    <row r="9" spans="1:15" ht="21.75" customHeight="1" x14ac:dyDescent="0.45">
      <c r="B9" s="107" t="s">
        <v>90</v>
      </c>
      <c r="C9" s="108"/>
      <c r="D9" s="109"/>
      <c r="E9" s="120" t="e">
        <f>[1]!IntrinioDataPoint(ticker,"current_yr_low_revenue_est")/1000000</f>
        <v>#VALUE!</v>
      </c>
      <c r="F9" s="121" t="e">
        <f>[1]!IntrinioDataPoint(ticker,"next_yr_low_revenue_est")/1000000</f>
        <v>#VALUE!</v>
      </c>
      <c r="G9" s="108"/>
      <c r="H9" s="109"/>
      <c r="I9" s="109"/>
      <c r="J9" s="109"/>
      <c r="K9" s="120" t="e">
        <f>[1]!IntrinioDataPoint(ticker,"current_qtr_low_revenue_est")/1000000</f>
        <v>#VALUE!</v>
      </c>
      <c r="L9" s="121" t="e">
        <f>[1]!IntrinioDataPoint(ticker,"next_qtr_low_revenue_est")/1000000</f>
        <v>#VALUE!</v>
      </c>
      <c r="M9" s="17"/>
      <c r="N9" s="17"/>
      <c r="O9" s="17"/>
    </row>
    <row r="10" spans="1:15" ht="21.95" customHeight="1" x14ac:dyDescent="0.45">
      <c r="B10" s="111" t="s">
        <v>88</v>
      </c>
      <c r="C10" s="112"/>
      <c r="D10" s="113"/>
      <c r="E10" s="122" t="e">
        <f>E9/D7-1</f>
        <v>#VALUE!</v>
      </c>
      <c r="F10" s="123" t="e">
        <f>F9/E9-1</f>
        <v>#VALUE!</v>
      </c>
      <c r="G10" s="114"/>
      <c r="H10" s="115"/>
      <c r="I10" s="115"/>
      <c r="J10" s="115"/>
      <c r="K10" s="122" t="e">
        <f>K9/G7-1</f>
        <v>#VALUE!</v>
      </c>
      <c r="L10" s="123" t="e">
        <f>L9/H7-1</f>
        <v>#VALUE!</v>
      </c>
      <c r="M10" s="17"/>
      <c r="N10" s="17"/>
      <c r="O10" s="17"/>
    </row>
    <row r="11" spans="1:15" ht="21.95" customHeight="1" x14ac:dyDescent="0.45">
      <c r="B11" s="117"/>
      <c r="C11" s="117"/>
      <c r="D11" s="117"/>
      <c r="E11" s="117"/>
      <c r="F11" s="117"/>
      <c r="G11" s="117"/>
      <c r="H11" s="117"/>
      <c r="I11" s="117"/>
      <c r="J11" s="117"/>
      <c r="K11" s="117"/>
      <c r="L11" s="117"/>
      <c r="M11" s="17"/>
      <c r="N11" s="17"/>
      <c r="O11" s="17"/>
    </row>
    <row r="12" spans="1:15" ht="21.95" customHeight="1" x14ac:dyDescent="0.45">
      <c r="B12" s="103"/>
      <c r="C12" s="394" t="s">
        <v>84</v>
      </c>
      <c r="D12" s="395"/>
      <c r="E12" s="395"/>
      <c r="F12" s="397"/>
      <c r="G12" s="394" t="s">
        <v>85</v>
      </c>
      <c r="H12" s="395"/>
      <c r="I12" s="395"/>
      <c r="J12" s="395"/>
      <c r="K12" s="395"/>
      <c r="L12" s="396"/>
      <c r="M12" s="17"/>
      <c r="N12" s="17"/>
      <c r="O12" s="17"/>
    </row>
    <row r="13" spans="1:15" ht="21.95" customHeight="1" x14ac:dyDescent="0.45">
      <c r="B13" s="104" t="s">
        <v>83</v>
      </c>
      <c r="C13" s="105" t="str">
        <f>"FY "&amp;[1]!IntrinioFundamentals(ticker,"income_statement","FY",1,"fiscal_year")&amp;"A"</f>
        <v>FY A</v>
      </c>
      <c r="D13" s="106" t="str">
        <f>"FY "&amp;[1]!IntrinioFundamentals(ticker,"income_statement","FY",0,"fiscal_year")&amp;"A"</f>
        <v>FY A</v>
      </c>
      <c r="E13" s="118" t="e">
        <f>"FY "&amp;[1]!IntrinioFundamentals(ticker,"income_statement","FY",0,"fiscal_year")+1&amp;"E"</f>
        <v>#VALUE!</v>
      </c>
      <c r="F13" s="119" t="e">
        <f>"FY "&amp;[1]!IntrinioFundamentals(ticker,"income_statement","FY",0,"fiscal_year")+2&amp;"E"</f>
        <v>#VALUE!</v>
      </c>
      <c r="G13" s="105" t="str">
        <f>[1]!IntrinioFundamentals(ticker,"income_statement","QTR",3,"fiscal_period")&amp;" "&amp;[1]!IntrinioFundamentals(ticker,"income_statement","QTR",3,"fiscal_year")&amp;"A"</f>
        <v xml:space="preserve"> A</v>
      </c>
      <c r="H13" s="106" t="str">
        <f>[1]!IntrinioFundamentals(ticker,"income_statement","QTR",2,"fiscal_period")&amp;" "&amp;[1]!IntrinioFundamentals(ticker,"income_statement","QTR",2,"fiscal_year")&amp;"A"</f>
        <v xml:space="preserve"> A</v>
      </c>
      <c r="I13" s="106" t="str">
        <f>[1]!IntrinioFundamentals(ticker,"income_statement","QTR",1,"fiscal_period")&amp;" "&amp;[1]!IntrinioFundamentals(ticker,"income_statement","QTR",1,"fiscal_year")&amp;"A"</f>
        <v xml:space="preserve"> A</v>
      </c>
      <c r="J13" s="106" t="str">
        <f>[1]!IntrinioFundamentals(ticker,"income_statement","QTR",0,"fiscal_period")&amp;" "&amp;[1]!IntrinioFundamentals(ticker,"income_statement","QTR",0,"fiscal_year")&amp;"A"</f>
        <v xml:space="preserve"> A</v>
      </c>
      <c r="K13" s="118" t="e">
        <f>[1]!IntrinioFundamentals(ticker,"income_statement","QTR",3,"fiscal_period")&amp;" "&amp;[1]!IntrinioFundamentals(ticker,"income_statement","QTR",3,"fiscal_year")+1&amp;"E"</f>
        <v>#VALUE!</v>
      </c>
      <c r="L13" s="124" t="e">
        <f>[1]!IntrinioFundamentals(ticker,"income_statement","QTR",2,"fiscal_period")&amp;" "&amp;[1]!IntrinioFundamentals(ticker,"income_statement","QTR",2,"fiscal_year")+1&amp;"E"</f>
        <v>#VALUE!</v>
      </c>
      <c r="M13" s="49"/>
      <c r="N13" s="49"/>
      <c r="O13" s="17"/>
    </row>
    <row r="14" spans="1:15" ht="21.95" customHeight="1" x14ac:dyDescent="0.45">
      <c r="B14" s="107" t="s">
        <v>86</v>
      </c>
      <c r="C14" s="108"/>
      <c r="D14" s="109"/>
      <c r="E14" s="125" t="str">
        <f>[1]!IntrinioDataPoint(ticker,"current_yr_high_eps_est")</f>
        <v/>
      </c>
      <c r="F14" s="126" t="str">
        <f>[1]!IntrinioDataPoint(ticker,"next_yr_high_eps_est")</f>
        <v/>
      </c>
      <c r="G14" s="108"/>
      <c r="H14" s="109"/>
      <c r="I14" s="109"/>
      <c r="J14" s="109"/>
      <c r="K14" s="125" t="str">
        <f>[1]!IntrinioDataPoint(ticker,"current_qtr_high_eps_est")</f>
        <v/>
      </c>
      <c r="L14" s="127" t="str">
        <f>[1]!IntrinioDataPoint(ticker,"next_qtr_high_eps_est")</f>
        <v/>
      </c>
      <c r="M14" s="49"/>
      <c r="N14" s="49"/>
      <c r="O14" s="17"/>
    </row>
    <row r="15" spans="1:15" ht="21.95" customHeight="1" x14ac:dyDescent="0.45">
      <c r="B15" s="111" t="s">
        <v>88</v>
      </c>
      <c r="C15" s="112"/>
      <c r="D15" s="113"/>
      <c r="E15" s="122" t="e">
        <f>E14/D16-1</f>
        <v>#VALUE!</v>
      </c>
      <c r="F15" s="123" t="e">
        <f>F14/E14-1</f>
        <v>#VALUE!</v>
      </c>
      <c r="G15" s="114"/>
      <c r="H15" s="115"/>
      <c r="I15" s="115"/>
      <c r="J15" s="115"/>
      <c r="K15" s="122" t="e">
        <f>K14/G16-1</f>
        <v>#VALUE!</v>
      </c>
      <c r="L15" s="123" t="e">
        <f>L14/H16-1</f>
        <v>#VALUE!</v>
      </c>
      <c r="M15" s="49"/>
      <c r="N15" s="49"/>
      <c r="O15" s="17"/>
    </row>
    <row r="16" spans="1:15" ht="21.95" customHeight="1" x14ac:dyDescent="0.45">
      <c r="B16" s="107" t="s">
        <v>158</v>
      </c>
      <c r="C16" s="108" t="str">
        <f>[1]!IntrinioFinancials(ticker,"income_statement",1,"FY","dilutedeps")</f>
        <v/>
      </c>
      <c r="D16" s="109" t="str">
        <f>[1]!IntrinioFinancials(ticker,"income_statement",0,"FY","dilutedeps")</f>
        <v/>
      </c>
      <c r="E16" s="125" t="str">
        <f>[1]!IntrinioDataPoint(ticker,"current_yr_ave_eps_est")</f>
        <v/>
      </c>
      <c r="F16" s="126" t="str">
        <f>[1]!IntrinioDataPoint(ticker,"next_yr_ave_eps_est")</f>
        <v/>
      </c>
      <c r="G16" s="108" t="str">
        <f>[1]!IntrinioFinancials(ticker,"income_statement",3,"QTR","dilutedeps")</f>
        <v/>
      </c>
      <c r="H16" s="109" t="str">
        <f>[1]!IntrinioFinancials(ticker,"income_statement",2,"QTR","dilutedeps")</f>
        <v/>
      </c>
      <c r="I16" s="109" t="str">
        <f>[1]!IntrinioFinancials(ticker,"income_statement",1,"QTR","dilutedeps")</f>
        <v/>
      </c>
      <c r="J16" s="109" t="str">
        <f>[1]!IntrinioFinancials(ticker,"income_statement",0,"QTR","dilutedeps")</f>
        <v/>
      </c>
      <c r="K16" s="125" t="str">
        <f>[1]!IntrinioDataPoint(ticker,"current_qtr_ave_eps_est")</f>
        <v/>
      </c>
      <c r="L16" s="127" t="str">
        <f>[1]!IntrinioDataPoint(ticker,"next_qtr_ave_eps_est")</f>
        <v/>
      </c>
      <c r="M16" s="49"/>
      <c r="N16" s="49"/>
      <c r="O16" s="17"/>
    </row>
    <row r="17" spans="2:15" ht="21.95" customHeight="1" x14ac:dyDescent="0.45">
      <c r="B17" s="111" t="s">
        <v>88</v>
      </c>
      <c r="C17" s="112" t="str">
        <f>[1]!IntrinioFinancials(ticker,"calculations",1,"FY","epsgrowth")</f>
        <v/>
      </c>
      <c r="D17" s="113" t="str">
        <f>[1]!IntrinioFinancials(ticker,"calculations",0,"FY","epsgrowth")</f>
        <v/>
      </c>
      <c r="E17" s="122" t="e">
        <f>E16/D16-1</f>
        <v>#VALUE!</v>
      </c>
      <c r="F17" s="123" t="e">
        <f>F16/E16-1</f>
        <v>#VALUE!</v>
      </c>
      <c r="G17" s="112" t="str">
        <f>[1]!IntrinioFinancials(ticker,"calculations",3,"QTR","epsgrowth")</f>
        <v/>
      </c>
      <c r="H17" s="113" t="str">
        <f>[1]!IntrinioFinancials(ticker,"calculations",2,"QTR","epsgrowth")</f>
        <v/>
      </c>
      <c r="I17" s="113" t="str">
        <f>[1]!IntrinioFinancials(ticker,"calculations",1,"QTR","epsgrowth")</f>
        <v/>
      </c>
      <c r="J17" s="113" t="str">
        <f>[1]!IntrinioFinancials(ticker,"calculations",0,"QTR","epsgrowth")</f>
        <v/>
      </c>
      <c r="K17" s="122" t="e">
        <f>K16/G16-1</f>
        <v>#VALUE!</v>
      </c>
      <c r="L17" s="123" t="e">
        <f>L16/H16-1</f>
        <v>#VALUE!</v>
      </c>
      <c r="M17" s="49"/>
      <c r="N17" s="49"/>
      <c r="O17" s="17"/>
    </row>
    <row r="18" spans="2:15" ht="21.95" customHeight="1" x14ac:dyDescent="0.45">
      <c r="B18" s="107" t="s">
        <v>87</v>
      </c>
      <c r="C18" s="108"/>
      <c r="D18" s="109"/>
      <c r="E18" s="125" t="str">
        <f>[1]!IntrinioDataPoint(ticker,"current_yr_low_eps_est")</f>
        <v/>
      </c>
      <c r="F18" s="126" t="str">
        <f>[1]!IntrinioDataPoint(ticker,"next_yr_low_eps_est")</f>
        <v/>
      </c>
      <c r="G18" s="108"/>
      <c r="H18" s="109"/>
      <c r="I18" s="109"/>
      <c r="J18" s="109"/>
      <c r="K18" s="125" t="str">
        <f>[1]!IntrinioDataPoint(ticker,"current_qtr_low_eps_est")</f>
        <v/>
      </c>
      <c r="L18" s="127" t="str">
        <f>[1]!IntrinioDataPoint(ticker,"next_qtr_low_eps_est")</f>
        <v/>
      </c>
      <c r="M18" s="49"/>
      <c r="N18" s="49"/>
      <c r="O18" s="17"/>
    </row>
    <row r="19" spans="2:15" ht="21.75" customHeight="1" x14ac:dyDescent="0.45">
      <c r="B19" s="111" t="s">
        <v>88</v>
      </c>
      <c r="C19" s="112"/>
      <c r="D19" s="113"/>
      <c r="E19" s="122" t="e">
        <f>E18/D16-1</f>
        <v>#VALUE!</v>
      </c>
      <c r="F19" s="123" t="e">
        <f>F18/E18-1</f>
        <v>#VALUE!</v>
      </c>
      <c r="G19" s="114"/>
      <c r="H19" s="115"/>
      <c r="I19" s="115"/>
      <c r="J19" s="115"/>
      <c r="K19" s="122" t="e">
        <f>K18/G16-1</f>
        <v>#VALUE!</v>
      </c>
      <c r="L19" s="123" t="e">
        <f>L18/H16-1</f>
        <v>#VALUE!</v>
      </c>
      <c r="M19" s="49"/>
      <c r="N19" s="49"/>
      <c r="O19" s="17"/>
    </row>
    <row r="20" spans="2:15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49"/>
      <c r="N20" s="49"/>
      <c r="O20" s="17"/>
    </row>
    <row r="21" spans="2:15" ht="21.95" customHeight="1" x14ac:dyDescent="0.45"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49"/>
      <c r="N21" s="49"/>
      <c r="O21" s="17"/>
    </row>
    <row r="22" spans="2:15" ht="21.95" customHeight="1" x14ac:dyDescent="0.45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49"/>
      <c r="N22" s="49"/>
      <c r="O22" s="17"/>
    </row>
    <row r="23" spans="2:15" ht="21.95" customHeight="1" x14ac:dyDescent="0.45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51"/>
      <c r="N23" s="49"/>
      <c r="O23" s="17"/>
    </row>
    <row r="24" spans="2:15" ht="21.95" customHeight="1" x14ac:dyDescent="0.45"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16"/>
      <c r="N24" s="17"/>
      <c r="O24" s="17"/>
    </row>
    <row r="25" spans="2:15" ht="21.95" customHeight="1" x14ac:dyDescent="0.45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17"/>
      <c r="N25" s="17"/>
      <c r="O25" s="17"/>
    </row>
    <row r="26" spans="2:15" ht="21.95" customHeight="1" x14ac:dyDescent="0.45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</row>
    <row r="27" spans="2:15" ht="23.85" customHeight="1" x14ac:dyDescent="0.45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</row>
    <row r="28" spans="2:15" ht="15.75" customHeight="1" x14ac:dyDescent="0.45">
      <c r="C28" s="3"/>
      <c r="D28" s="3"/>
      <c r="E28" s="3"/>
      <c r="G28" s="3"/>
      <c r="H28" s="3"/>
      <c r="I28" s="3"/>
      <c r="J28" s="3"/>
      <c r="K28" s="3"/>
      <c r="M28" s="20"/>
    </row>
    <row r="29" spans="2:15" x14ac:dyDescent="0.45">
      <c r="C29" s="3"/>
      <c r="D29" s="3"/>
      <c r="E29" s="3"/>
      <c r="G29" s="3"/>
      <c r="H29" s="3"/>
      <c r="I29" s="3"/>
      <c r="J29" s="3"/>
      <c r="K29" s="3"/>
      <c r="M29" s="20"/>
    </row>
    <row r="30" spans="2:15" x14ac:dyDescent="0.45">
      <c r="C30" s="3"/>
      <c r="D30" s="3"/>
      <c r="E30" s="3"/>
      <c r="G30" s="3"/>
      <c r="H30" s="3"/>
      <c r="I30" s="3"/>
      <c r="J30" s="3"/>
      <c r="K30" s="3"/>
      <c r="M30" s="20"/>
    </row>
    <row r="31" spans="2:15" x14ac:dyDescent="0.45">
      <c r="C31" s="3"/>
      <c r="D31" s="3"/>
      <c r="E31" s="3"/>
      <c r="G31" s="3"/>
      <c r="H31" s="3"/>
      <c r="I31" s="3"/>
      <c r="J31" s="3"/>
      <c r="K31" s="3"/>
      <c r="M31" s="20"/>
    </row>
    <row r="32" spans="2:15" x14ac:dyDescent="0.45">
      <c r="C32" s="3"/>
      <c r="D32" s="3"/>
      <c r="E32" s="3"/>
      <c r="G32" s="3"/>
      <c r="H32" s="3"/>
      <c r="I32" s="3"/>
      <c r="J32" s="3"/>
      <c r="K32" s="3"/>
      <c r="M32" s="20"/>
    </row>
    <row r="33" spans="3:13" x14ac:dyDescent="0.45">
      <c r="C33" s="3"/>
      <c r="D33" s="3"/>
      <c r="E33" s="3"/>
      <c r="G33" s="3"/>
      <c r="H33" s="3"/>
      <c r="I33" s="3"/>
      <c r="J33" s="3"/>
      <c r="K33" s="3"/>
    </row>
    <row r="34" spans="3:13" x14ac:dyDescent="0.45">
      <c r="C34" s="3"/>
      <c r="D34" s="3"/>
      <c r="E34" s="3"/>
      <c r="G34" s="3"/>
      <c r="H34" s="3"/>
      <c r="I34" s="3"/>
      <c r="J34" s="3"/>
      <c r="K34" s="3"/>
      <c r="M34" s="19"/>
    </row>
    <row r="35" spans="3:13" x14ac:dyDescent="0.45">
      <c r="C35" s="3"/>
      <c r="D35" s="3"/>
      <c r="E35" s="3"/>
      <c r="G35" s="3"/>
      <c r="H35" s="3"/>
      <c r="I35" s="3"/>
      <c r="J35" s="3"/>
      <c r="K35" s="3"/>
    </row>
    <row r="36" spans="3:13" x14ac:dyDescent="0.45">
      <c r="C36" s="3"/>
      <c r="D36" s="3"/>
      <c r="E36" s="3"/>
      <c r="G36" s="3"/>
      <c r="H36" s="3"/>
      <c r="I36" s="3"/>
      <c r="J36" s="3"/>
      <c r="K36" s="3"/>
    </row>
    <row r="37" spans="3:13" x14ac:dyDescent="0.45">
      <c r="C37" s="3"/>
      <c r="D37" s="3"/>
      <c r="E37" s="3"/>
      <c r="G37" s="3"/>
      <c r="H37" s="3"/>
      <c r="I37" s="3"/>
      <c r="J37" s="3"/>
      <c r="K37" s="3"/>
    </row>
    <row r="38" spans="3:13" x14ac:dyDescent="0.45">
      <c r="C38" s="3"/>
      <c r="D38" s="3"/>
      <c r="E38" s="3"/>
      <c r="G38" s="3"/>
      <c r="H38" s="3"/>
      <c r="I38" s="3"/>
      <c r="J38" s="3"/>
      <c r="K38" s="3"/>
    </row>
    <row r="39" spans="3:13" x14ac:dyDescent="0.45">
      <c r="C39" s="3"/>
      <c r="D39" s="3"/>
      <c r="E39" s="3"/>
      <c r="G39" s="3"/>
      <c r="H39" s="3"/>
      <c r="I39" s="3"/>
      <c r="J39" s="3"/>
      <c r="K39" s="3"/>
    </row>
    <row r="40" spans="3:13" x14ac:dyDescent="0.45">
      <c r="C40" s="3"/>
      <c r="D40" s="3"/>
      <c r="E40" s="3"/>
      <c r="G40" s="3"/>
      <c r="H40" s="3"/>
      <c r="I40" s="3"/>
      <c r="J40" s="3"/>
      <c r="K40" s="3"/>
    </row>
  </sheetData>
  <mergeCells count="4">
    <mergeCell ref="G12:L12"/>
    <mergeCell ref="C3:F3"/>
    <mergeCell ref="G3:L3"/>
    <mergeCell ref="C12:F12"/>
  </mergeCells>
  <conditionalFormatting sqref="M28:M30">
    <cfRule type="cellIs" dxfId="21" priority="3" operator="greaterThan">
      <formula>0</formula>
    </cfRule>
    <cfRule type="cellIs" dxfId="20" priority="4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 ()          &amp;RReport Date: 11/26/2016</oddHeader>
    <oddFooter>&amp;L&amp;G&amp;R&amp;P</oddFooter>
  </headerFooter>
  <ignoredErrors>
    <ignoredError sqref="F8 F17" formula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  <pageSetUpPr fitToPage="1"/>
  </sheetPr>
  <dimension ref="A1:N48"/>
  <sheetViews>
    <sheetView showGridLines="0" view="pageBreakPreview" zoomScale="80" zoomScaleNormal="100" zoomScaleSheetLayoutView="80" workbookViewId="0">
      <selection activeCell="C5" sqref="C5"/>
    </sheetView>
  </sheetViews>
  <sheetFormatPr defaultColWidth="9.1328125" defaultRowHeight="14.25" x14ac:dyDescent="0.45"/>
  <cols>
    <col min="1" max="1" width="2.3984375" style="18" customWidth="1"/>
    <col min="2" max="2" width="18.265625" style="18" customWidth="1"/>
    <col min="3" max="11" width="11.3984375" style="18" customWidth="1"/>
    <col min="12" max="12" width="0.86328125" style="18" customWidth="1"/>
    <col min="13" max="13" width="15.3984375" style="18" customWidth="1"/>
    <col min="14" max="14" width="14.3984375" style="18" customWidth="1"/>
    <col min="15" max="16384" width="9.1328125" style="18"/>
  </cols>
  <sheetData>
    <row r="1" spans="1:14" ht="15.4" x14ac:dyDescent="0.45">
      <c r="A1" s="23" t="s">
        <v>143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95" customHeight="1" x14ac:dyDescent="0.45">
      <c r="B4" s="104"/>
      <c r="C4" s="105" t="str">
        <f>"FY "&amp;[1]!IntrinioFundamentals(ticker,"income_statement",C29,C30,"fiscal_year")</f>
        <v xml:space="preserve">FY </v>
      </c>
      <c r="D4" s="106" t="str">
        <f>"FY "&amp;[1]!IntrinioFundamentals(ticker,"income_statement",D29,D30,"fiscal_year")</f>
        <v xml:space="preserve">FY </v>
      </c>
      <c r="E4" s="106" t="str">
        <f>"FY "&amp;[1]!IntrinioFundamentals(ticker,"income_statement",E29,E30,"fiscal_year")</f>
        <v xml:space="preserve">FY </v>
      </c>
      <c r="F4" s="106" t="str">
        <f>"FY "&amp;[1]!IntrinioFundamentals(ticker,"income_statement",F29,F30,"fiscal_year")</f>
        <v xml:space="preserve">FY </v>
      </c>
      <c r="G4" s="276" t="str">
        <f>G29&amp; " " &amp;G30</f>
        <v xml:space="preserve"> </v>
      </c>
      <c r="H4" s="105" t="str">
        <f>[1]!IntrinioFundamentals(ticker,"income_statement",H29,H30,"fiscal_period")&amp;" "&amp;[1]!IntrinioFundamentals(ticker,"income_statement",H29,H30,"fiscal_year")</f>
        <v xml:space="preserve"> </v>
      </c>
      <c r="I4" s="106" t="str">
        <f>[1]!IntrinioFundamentals(ticker,"income_statement",I29,I30,"fiscal_period")&amp;" "&amp;[1]!IntrinioFundamentals(ticker,"income_statement",I29,I30,"fiscal_year")</f>
        <v xml:space="preserve"> </v>
      </c>
      <c r="J4" s="106" t="str">
        <f>[1]!IntrinioFundamentals(ticker,"income_statement",J29,J30,"fiscal_period")&amp;" "&amp;[1]!IntrinioFundamentals(ticker,"income_statement",J29,J30,"fiscal_year")</f>
        <v xml:space="preserve"> </v>
      </c>
      <c r="K4" s="106" t="str">
        <f>[1]!IntrinioFundamentals(ticker,"income_statement",K29,K30,"fiscal_period")&amp;" "&amp;[1]!IntrinioFundamentals(ticker,"income_statement",K29,K30,"fiscal_year")</f>
        <v xml:space="preserve"> </v>
      </c>
      <c r="M4" s="1"/>
    </row>
    <row r="5" spans="1:14" ht="21.95" customHeight="1" x14ac:dyDescent="0.45">
      <c r="B5" s="245" t="s">
        <v>66</v>
      </c>
      <c r="C5" s="277" t="e">
        <f>[1]!IntrinioFinancials(ticker,"income_statement",C$30,C$29,"totalrevenue","A")/1000000</f>
        <v>#VALUE!</v>
      </c>
      <c r="D5" s="247" t="e">
        <f>[1]!IntrinioFinancials(ticker,"income_statement",D$30,D$29,"totalrevenue","A")/1000000</f>
        <v>#VALUE!</v>
      </c>
      <c r="E5" s="247" t="e">
        <f>[1]!IntrinioFinancials(ticker,"income_statement",E$30,E$29,"totalrevenue","A")/1000000</f>
        <v>#VALUE!</v>
      </c>
      <c r="F5" s="247" t="e">
        <f>[1]!IntrinioFinancials(ticker,"income_statement",F$30,F$29,"totalrevenue","A")/1000000</f>
        <v>#VALUE!</v>
      </c>
      <c r="G5" s="278" t="e">
        <f>[1]!IntrinioFinancials(ticker,"income_statement",G$30,G$29,"totalrevenue","A")/1000000</f>
        <v>#VALUE!</v>
      </c>
      <c r="H5" s="246" t="e">
        <f>[1]!IntrinioFinancials(ticker,"income_statement",H$30,H$29,"totalrevenue","A")/1000000</f>
        <v>#VALUE!</v>
      </c>
      <c r="I5" s="247" t="e">
        <f>[1]!IntrinioFinancials(ticker,"income_statement",I$30,I$29,"totalrevenue","A")/1000000</f>
        <v>#VALUE!</v>
      </c>
      <c r="J5" s="247" t="e">
        <f>[1]!IntrinioFinancials(ticker,"income_statement",J$30,J$29,"totalrevenue","A")/1000000</f>
        <v>#VALUE!</v>
      </c>
      <c r="K5" s="247" t="e">
        <f>[1]!IntrinioFinancials(ticker,"income_statement",K$30,K$29,"totalrevenue","A")/1000000</f>
        <v>#VALUE!</v>
      </c>
    </row>
    <row r="6" spans="1:14" s="242" customFormat="1" ht="13.9" x14ac:dyDescent="0.45">
      <c r="B6" s="248" t="s">
        <v>88</v>
      </c>
      <c r="C6" s="249" t="str">
        <f>[1]!IntrinioFinancials(ticker,"calculations",C$30,C$29,"revenuegrowth")</f>
        <v/>
      </c>
      <c r="D6" s="250" t="str">
        <f>[1]!IntrinioFinancials(ticker,"calculations",D$30,D$29,"revenuegrowth")</f>
        <v/>
      </c>
      <c r="E6" s="250" t="str">
        <f>[1]!IntrinioFinancials(ticker,"calculations",E$30,E$29,"revenuegrowth")</f>
        <v/>
      </c>
      <c r="F6" s="250" t="str">
        <f>[1]!IntrinioFinancials(ticker,"calculations",F$30,F$29,"revenuegrowth")</f>
        <v/>
      </c>
      <c r="G6" s="279" t="e">
        <f>[1]!IntrinioFinancials(ticker,"calculations",G$30,G$29,"revenuegrowth")</f>
        <v>#VALUE!</v>
      </c>
      <c r="H6" s="249" t="str">
        <f>[1]!IntrinioFinancials(ticker,"calculations",H$30,H$29,"revenuegrowth")</f>
        <v/>
      </c>
      <c r="I6" s="250" t="str">
        <f>[1]!IntrinioFinancials(ticker,"calculations",I$30,I$29,"revenuegrowth")</f>
        <v/>
      </c>
      <c r="J6" s="250" t="str">
        <f>[1]!IntrinioFinancials(ticker,"calculations",J$30,J$29,"revenuegrowth")</f>
        <v/>
      </c>
      <c r="K6" s="250" t="str">
        <f>[1]!IntrinioFinancials(ticker,"calculations",K$30,K$29,"revenuegrowth")</f>
        <v/>
      </c>
      <c r="L6" s="243"/>
      <c r="M6" s="243"/>
      <c r="N6" s="243"/>
    </row>
    <row r="7" spans="1:14" ht="21.95" customHeight="1" x14ac:dyDescent="0.45">
      <c r="B7" s="245" t="s">
        <v>135</v>
      </c>
      <c r="C7" s="277" t="e">
        <f>[1]!IntrinioFinancials(ticker,"income_statement",C$30,C$29,"totalgrossprofit","A")/1000000</f>
        <v>#VALUE!</v>
      </c>
      <c r="D7" s="247" t="e">
        <f>[1]!IntrinioFinancials(ticker,"income_statement",D$30,D$29,"totalgrossprofit","A")/1000000</f>
        <v>#VALUE!</v>
      </c>
      <c r="E7" s="247" t="e">
        <f>[1]!IntrinioFinancials(ticker,"income_statement",E$30,E$29,"totalgrossprofit","A")/1000000</f>
        <v>#VALUE!</v>
      </c>
      <c r="F7" s="247" t="e">
        <f>[1]!IntrinioFinancials(ticker,"income_statement",F$30,F$29,"totalgrossprofit","A")/1000000</f>
        <v>#VALUE!</v>
      </c>
      <c r="G7" s="278" t="e">
        <f>[1]!IntrinioFinancials(ticker,"income_statement",G$30,G$29,"totalgrossprofit","A")/1000000</f>
        <v>#VALUE!</v>
      </c>
      <c r="H7" s="246" t="e">
        <f>[1]!IntrinioFinancials(ticker,"income_statement",H$30,H$29,"totalgrossprofit","A")/1000000</f>
        <v>#VALUE!</v>
      </c>
      <c r="I7" s="247" t="e">
        <f>[1]!IntrinioFinancials(ticker,"income_statement",I$30,I$29,"totalgrossprofit","A")/1000000</f>
        <v>#VALUE!</v>
      </c>
      <c r="J7" s="247" t="e">
        <f>[1]!IntrinioFinancials(ticker,"income_statement",J$30,J$29,"totalgrossprofit","A")/1000000</f>
        <v>#VALUE!</v>
      </c>
      <c r="K7" s="247" t="e">
        <f>[1]!IntrinioFinancials(ticker,"income_statement",K$30,K$29,"totalgrossprofit","A")/1000000</f>
        <v>#VALUE!</v>
      </c>
      <c r="L7" s="17"/>
      <c r="M7" s="17"/>
      <c r="N7" s="17"/>
    </row>
    <row r="8" spans="1:14" s="242" customFormat="1" ht="13.9" x14ac:dyDescent="0.45">
      <c r="B8" s="248" t="s">
        <v>136</v>
      </c>
      <c r="C8" s="249" t="str">
        <f>[1]!IntrinioFinancials(ticker,"calculations",C$30,C$29,"grossmargin")</f>
        <v/>
      </c>
      <c r="D8" s="250" t="str">
        <f>[1]!IntrinioFinancials(ticker,"calculations",D$30,D$29,"grossmargin")</f>
        <v/>
      </c>
      <c r="E8" s="250" t="str">
        <f>[1]!IntrinioFinancials(ticker,"calculations",E$30,E$29,"grossmargin")</f>
        <v/>
      </c>
      <c r="F8" s="250" t="str">
        <f>[1]!IntrinioFinancials(ticker,"calculations",F$30,F$29,"grossmargin")</f>
        <v/>
      </c>
      <c r="G8" s="279" t="e">
        <f>[1]!IntrinioFinancials(ticker,"calculations",G$30,G$29,"grossmargin")</f>
        <v>#VALUE!</v>
      </c>
      <c r="H8" s="249" t="str">
        <f>[1]!IntrinioFinancials(ticker,"calculations",H$30,H$29,"grossmargin")</f>
        <v/>
      </c>
      <c r="I8" s="250" t="str">
        <f>[1]!IntrinioFinancials(ticker,"calculations",I$30,I$29,"grossmargin")</f>
        <v/>
      </c>
      <c r="J8" s="250" t="str">
        <f>[1]!IntrinioFinancials(ticker,"calculations",J$30,J$29,"grossmargin")</f>
        <v/>
      </c>
      <c r="K8" s="250" t="str">
        <f>[1]!IntrinioFinancials(ticker,"calculations",K$30,K$29,"grossmargin")</f>
        <v/>
      </c>
      <c r="L8" s="243"/>
      <c r="M8" s="243"/>
      <c r="N8" s="243"/>
    </row>
    <row r="9" spans="1:14" ht="21.75" customHeight="1" x14ac:dyDescent="0.45">
      <c r="B9" s="245" t="s">
        <v>132</v>
      </c>
      <c r="C9" s="277" t="e">
        <f>[1]!IntrinioFinancials(ticker,"income_statement",C$30,C$29,"totaloperatingincome","A")/1000000</f>
        <v>#VALUE!</v>
      </c>
      <c r="D9" s="247" t="e">
        <f>[1]!IntrinioFinancials(ticker,"income_statement",D$30,D$29,"totaloperatingincome","A")/1000000</f>
        <v>#VALUE!</v>
      </c>
      <c r="E9" s="247" t="e">
        <f>[1]!IntrinioFinancials(ticker,"income_statement",E$30,E$29,"totaloperatingincome","A")/1000000</f>
        <v>#VALUE!</v>
      </c>
      <c r="F9" s="247" t="e">
        <f>[1]!IntrinioFinancials(ticker,"income_statement",F$30,F$29,"totaloperatingincome","A")/1000000</f>
        <v>#VALUE!</v>
      </c>
      <c r="G9" s="278" t="e">
        <f>[1]!IntrinioFinancials(ticker,"income_statement",G$30,G$29,"totaloperatingincome","A")/1000000</f>
        <v>#VALUE!</v>
      </c>
      <c r="H9" s="246" t="e">
        <f>[1]!IntrinioFinancials(ticker,"income_statement",H$30,H$29,"totaloperatingincome","A")/1000000</f>
        <v>#VALUE!</v>
      </c>
      <c r="I9" s="247" t="e">
        <f>[1]!IntrinioFinancials(ticker,"income_statement",I$30,I$29,"totaloperatingincome","A")/1000000</f>
        <v>#VALUE!</v>
      </c>
      <c r="J9" s="247" t="e">
        <f>[1]!IntrinioFinancials(ticker,"income_statement",J$30,J$29,"totaloperatingincome","A")/1000000</f>
        <v>#VALUE!</v>
      </c>
      <c r="K9" s="247" t="e">
        <f>[1]!IntrinioFinancials(ticker,"income_statement",K$30,K$29,"totaloperatingincome","A")/1000000</f>
        <v>#VALUE!</v>
      </c>
      <c r="L9" s="17"/>
      <c r="M9" s="17"/>
      <c r="N9" s="17"/>
    </row>
    <row r="10" spans="1:14" s="242" customFormat="1" ht="13.9" x14ac:dyDescent="0.45">
      <c r="B10" s="248" t="s">
        <v>136</v>
      </c>
      <c r="C10" s="249" t="str">
        <f>[1]!IntrinioFinancials(ticker,"calculations",C$30,C$29,"operatingmargin")</f>
        <v/>
      </c>
      <c r="D10" s="250" t="str">
        <f>[1]!IntrinioFinancials(ticker,"calculations",D$30,D$29,"operatingmargin")</f>
        <v/>
      </c>
      <c r="E10" s="250" t="str">
        <f>[1]!IntrinioFinancials(ticker,"calculations",E$30,E$29,"operatingmargin")</f>
        <v/>
      </c>
      <c r="F10" s="250" t="str">
        <f>[1]!IntrinioFinancials(ticker,"calculations",F$30,F$29,"operatingmargin")</f>
        <v/>
      </c>
      <c r="G10" s="279" t="e">
        <f>[1]!IntrinioFinancials(ticker,"calculations",G$30,G$29,"operatingmargin")</f>
        <v>#VALUE!</v>
      </c>
      <c r="H10" s="249" t="str">
        <f>[1]!IntrinioFinancials(ticker,"calculations",H$30,H$29,"operatingmargin")</f>
        <v/>
      </c>
      <c r="I10" s="250" t="str">
        <f>[1]!IntrinioFinancials(ticker,"calculations",I$30,I$29,"operatingmargin")</f>
        <v/>
      </c>
      <c r="J10" s="250" t="str">
        <f>[1]!IntrinioFinancials(ticker,"calculations",J$30,J$29,"operatingmargin")</f>
        <v/>
      </c>
      <c r="K10" s="250" t="str">
        <f>[1]!IntrinioFinancials(ticker,"calculations",K$30,K$29,"operatingmargin")</f>
        <v/>
      </c>
      <c r="L10" s="243"/>
      <c r="M10" s="243"/>
      <c r="N10" s="243"/>
    </row>
    <row r="11" spans="1:14" ht="21.75" customHeight="1" x14ac:dyDescent="0.45">
      <c r="B11" s="245" t="s">
        <v>139</v>
      </c>
      <c r="C11" s="277" t="e">
        <f>[1]!IntrinioFinancials(ticker,"calculations",C$30,C$29,"ebit","A")/1000000</f>
        <v>#VALUE!</v>
      </c>
      <c r="D11" s="247" t="e">
        <f>[1]!IntrinioFinancials(ticker,"calculations",D$30,D$29,"ebit","A")/1000000</f>
        <v>#VALUE!</v>
      </c>
      <c r="E11" s="247" t="e">
        <f>[1]!IntrinioFinancials(ticker,"calculations",E$30,E$29,"ebit","A")/1000000</f>
        <v>#VALUE!</v>
      </c>
      <c r="F11" s="247" t="e">
        <f>[1]!IntrinioFinancials(ticker,"calculations",F$30,F$29,"ebit","A")/1000000</f>
        <v>#VALUE!</v>
      </c>
      <c r="G11" s="278" t="e">
        <f>[1]!IntrinioFinancials(ticker,"calculations",G$30,G$29,"ebit","A")/1000000</f>
        <v>#VALUE!</v>
      </c>
      <c r="H11" s="246" t="e">
        <f>[1]!IntrinioFinancials(ticker,"calculations",H$30,H$29,"ebit","A")/1000000</f>
        <v>#VALUE!</v>
      </c>
      <c r="I11" s="247" t="e">
        <f>[1]!IntrinioFinancials(ticker,"calculations",I$30,I$29,"ebit","A")/1000000</f>
        <v>#VALUE!</v>
      </c>
      <c r="J11" s="247" t="e">
        <f>[1]!IntrinioFinancials(ticker,"calculations",J$30,J$29,"ebit","A")/1000000</f>
        <v>#VALUE!</v>
      </c>
      <c r="K11" s="247" t="e">
        <f>[1]!IntrinioFinancials(ticker,"calculations",K$30,K$29,"ebit","A")/1000000</f>
        <v>#VALUE!</v>
      </c>
      <c r="L11" s="17"/>
      <c r="M11" s="17"/>
      <c r="N11" s="17"/>
    </row>
    <row r="12" spans="1:14" s="242" customFormat="1" ht="13.9" x14ac:dyDescent="0.45">
      <c r="B12" s="248" t="s">
        <v>136</v>
      </c>
      <c r="C12" s="249" t="str">
        <f>[1]!IntrinioFinancials(ticker,"calculations",C$30,C$29,"ebitmargin")</f>
        <v/>
      </c>
      <c r="D12" s="250" t="str">
        <f>[1]!IntrinioFinancials(ticker,"calculations",D$30,D$29,"ebitmargin")</f>
        <v/>
      </c>
      <c r="E12" s="250" t="str">
        <f>[1]!IntrinioFinancials(ticker,"calculations",E$30,E$29,"ebitmargin")</f>
        <v/>
      </c>
      <c r="F12" s="250" t="str">
        <f>[1]!IntrinioFinancials(ticker,"calculations",F$30,F$29,"ebitmargin")</f>
        <v/>
      </c>
      <c r="G12" s="279" t="e">
        <f>[1]!IntrinioFinancials(ticker,"calculations",G$30,G$29,"ebitmargin")</f>
        <v>#VALUE!</v>
      </c>
      <c r="H12" s="249" t="str">
        <f>[1]!IntrinioFinancials(ticker,"calculations",H$30,H$29,"ebitmargin")</f>
        <v/>
      </c>
      <c r="I12" s="250" t="str">
        <f>[1]!IntrinioFinancials(ticker,"calculations",I$30,I$29,"ebitmargin")</f>
        <v/>
      </c>
      <c r="J12" s="250" t="str">
        <f>[1]!IntrinioFinancials(ticker,"calculations",J$30,J$29,"ebitmargin")</f>
        <v/>
      </c>
      <c r="K12" s="250" t="str">
        <f>[1]!IntrinioFinancials(ticker,"calculations",K$30,K$29,"ebitmargin")</f>
        <v/>
      </c>
      <c r="L12" s="243"/>
      <c r="M12" s="243"/>
      <c r="N12" s="243"/>
    </row>
    <row r="13" spans="1:14" ht="21.75" customHeight="1" x14ac:dyDescent="0.45">
      <c r="B13" s="245" t="s">
        <v>140</v>
      </c>
      <c r="C13" s="277" t="e">
        <f>[1]!IntrinioFinancials(ticker,"calculations",C$30,C$29,"ebitda","A")/1000000</f>
        <v>#VALUE!</v>
      </c>
      <c r="D13" s="247" t="e">
        <f>[1]!IntrinioFinancials(ticker,"calculations",D$30,D$29,"ebitda","A")/1000000</f>
        <v>#VALUE!</v>
      </c>
      <c r="E13" s="247" t="e">
        <f>[1]!IntrinioFinancials(ticker,"calculations",E$30,E$29,"ebitda","A")/1000000</f>
        <v>#VALUE!</v>
      </c>
      <c r="F13" s="247" t="e">
        <f>[1]!IntrinioFinancials(ticker,"calculations",F$30,F$29,"ebitda","A")/1000000</f>
        <v>#VALUE!</v>
      </c>
      <c r="G13" s="278" t="e">
        <f>[1]!IntrinioFinancials(ticker,"calculations",G$30,G$29,"ebitda","A")/1000000</f>
        <v>#VALUE!</v>
      </c>
      <c r="H13" s="246" t="e">
        <f>[1]!IntrinioFinancials(ticker,"calculations",H$30,H$29,"ebitda","A")/1000000</f>
        <v>#VALUE!</v>
      </c>
      <c r="I13" s="247" t="e">
        <f>[1]!IntrinioFinancials(ticker,"calculations",I$30,I$29,"ebitda","A")/1000000</f>
        <v>#VALUE!</v>
      </c>
      <c r="J13" s="247" t="e">
        <f>[1]!IntrinioFinancials(ticker,"calculations",J$30,J$29,"ebitda","A")/1000000</f>
        <v>#VALUE!</v>
      </c>
      <c r="K13" s="247" t="e">
        <f>[1]!IntrinioFinancials(ticker,"calculations",K$30,K$29,"ebitda","A")/1000000</f>
        <v>#VALUE!</v>
      </c>
      <c r="L13" s="17"/>
      <c r="M13" s="17"/>
      <c r="N13" s="17"/>
    </row>
    <row r="14" spans="1:14" s="242" customFormat="1" ht="13.9" x14ac:dyDescent="0.45">
      <c r="B14" s="248" t="s">
        <v>136</v>
      </c>
      <c r="C14" s="249" t="str">
        <f>[1]!IntrinioFinancials(ticker,"calculations",C$30,C$29,"ebitdamargin")</f>
        <v/>
      </c>
      <c r="D14" s="250" t="str">
        <f>[1]!IntrinioFinancials(ticker,"calculations",D$30,D$29,"ebitdamargin")</f>
        <v/>
      </c>
      <c r="E14" s="250" t="str">
        <f>[1]!IntrinioFinancials(ticker,"calculations",E$30,E$29,"ebitdamargin")</f>
        <v/>
      </c>
      <c r="F14" s="250" t="str">
        <f>[1]!IntrinioFinancials(ticker,"calculations",F$30,F$29,"ebitdamargin")</f>
        <v/>
      </c>
      <c r="G14" s="279" t="e">
        <f>[1]!IntrinioFinancials(ticker,"calculations",G$30,G$29,"ebitdamargin")</f>
        <v>#VALUE!</v>
      </c>
      <c r="H14" s="249" t="str">
        <f>[1]!IntrinioFinancials(ticker,"calculations",H$30,H$29,"ebitdamargin")</f>
        <v/>
      </c>
      <c r="I14" s="250" t="str">
        <f>[1]!IntrinioFinancials(ticker,"calculations",I$30,I$29,"ebitdamargin")</f>
        <v/>
      </c>
      <c r="J14" s="250" t="str">
        <f>[1]!IntrinioFinancials(ticker,"calculations",J$30,J$29,"ebitdamargin")</f>
        <v/>
      </c>
      <c r="K14" s="250" t="str">
        <f>[1]!IntrinioFinancials(ticker,"calculations",K$30,K$29,"ebitdamargin")</f>
        <v/>
      </c>
      <c r="L14" s="243"/>
      <c r="M14" s="243"/>
      <c r="N14" s="243"/>
    </row>
    <row r="15" spans="1:14" ht="21.75" customHeight="1" x14ac:dyDescent="0.45">
      <c r="B15" s="245" t="s">
        <v>133</v>
      </c>
      <c r="C15" s="277" t="e">
        <f>[1]!IntrinioFinancials(ticker,"income_statement",C$30,C$29,"netincome","A")/1000000</f>
        <v>#VALUE!</v>
      </c>
      <c r="D15" s="247" t="e">
        <f>[1]!IntrinioFinancials(ticker,"income_statement",D$30,D$29,"netincome","A")/1000000</f>
        <v>#VALUE!</v>
      </c>
      <c r="E15" s="247" t="e">
        <f>[1]!IntrinioFinancials(ticker,"income_statement",E$30,E$29,"netincome","A")/1000000</f>
        <v>#VALUE!</v>
      </c>
      <c r="F15" s="247" t="e">
        <f>[1]!IntrinioFinancials(ticker,"income_statement",F$30,F$29,"netincome","A")/1000000</f>
        <v>#VALUE!</v>
      </c>
      <c r="G15" s="278" t="e">
        <f>[1]!IntrinioFinancials(ticker,"income_statement",G$30,G$29,"netincome","A")/1000000</f>
        <v>#VALUE!</v>
      </c>
      <c r="H15" s="246" t="e">
        <f>[1]!IntrinioFinancials(ticker,"income_statement",H$30,H$29,"netincome","A")/1000000</f>
        <v>#VALUE!</v>
      </c>
      <c r="I15" s="247" t="e">
        <f>[1]!IntrinioFinancials(ticker,"income_statement",I$30,I$29,"netincome","A")/1000000</f>
        <v>#VALUE!</v>
      </c>
      <c r="J15" s="247" t="e">
        <f>[1]!IntrinioFinancials(ticker,"income_statement",J$30,J$29,"netincome","A")/1000000</f>
        <v>#VALUE!</v>
      </c>
      <c r="K15" s="247" t="e">
        <f>[1]!IntrinioFinancials(ticker,"income_statement",K$30,K$29,"netincome","A")/1000000</f>
        <v>#VALUE!</v>
      </c>
      <c r="L15" s="17"/>
      <c r="M15" s="17"/>
      <c r="N15" s="17"/>
    </row>
    <row r="16" spans="1:14" s="242" customFormat="1" ht="13.9" x14ac:dyDescent="0.45">
      <c r="B16" s="248" t="s">
        <v>136</v>
      </c>
      <c r="C16" s="249" t="str">
        <f>[1]!IntrinioFinancials(ticker,"calculations",C$30,C$29,"profitmargin")</f>
        <v/>
      </c>
      <c r="D16" s="250" t="str">
        <f>[1]!IntrinioFinancials(ticker,"calculations",D$30,D$29,"profitmargin")</f>
        <v/>
      </c>
      <c r="E16" s="250" t="str">
        <f>[1]!IntrinioFinancials(ticker,"calculations",E$30,E$29,"profitmargin")</f>
        <v/>
      </c>
      <c r="F16" s="250" t="str">
        <f>[1]!IntrinioFinancials(ticker,"calculations",F$30,F$29,"profitmargin")</f>
        <v/>
      </c>
      <c r="G16" s="279" t="e">
        <f>[1]!IntrinioFinancials(ticker,"calculations",G$30,G$29,"profitmargin")</f>
        <v>#VALUE!</v>
      </c>
      <c r="H16" s="249" t="str">
        <f>[1]!IntrinioFinancials(ticker,"calculations",H$30,H$29,"profitmargin")</f>
        <v/>
      </c>
      <c r="I16" s="250" t="str">
        <f>[1]!IntrinioFinancials(ticker,"calculations",I$30,I$29,"profitmargin")</f>
        <v/>
      </c>
      <c r="J16" s="250" t="str">
        <f>[1]!IntrinioFinancials(ticker,"calculations",J$30,J$29,"profitmargin")</f>
        <v/>
      </c>
      <c r="K16" s="250" t="str">
        <f>[1]!IntrinioFinancials(ticker,"calculations",K$30,K$29,"profitmargin")</f>
        <v/>
      </c>
      <c r="L16" s="243"/>
      <c r="M16" s="243"/>
      <c r="N16" s="243"/>
    </row>
    <row r="17" spans="2:14" ht="21.75" customHeight="1" x14ac:dyDescent="0.45">
      <c r="B17" s="245" t="s">
        <v>134</v>
      </c>
      <c r="C17" s="280" t="str">
        <f>[1]!IntrinioFinancials(ticker,"income_statement",C$30,C$29,"dilutedeps")</f>
        <v/>
      </c>
      <c r="D17" s="252" t="str">
        <f>[1]!IntrinioFinancials(ticker,"income_statement",D$30,D$29,"dilutedeps")</f>
        <v/>
      </c>
      <c r="E17" s="252" t="str">
        <f>[1]!IntrinioFinancials(ticker,"income_statement",E$30,E$29,"dilutedeps")</f>
        <v/>
      </c>
      <c r="F17" s="252" t="str">
        <f>[1]!IntrinioFinancials(ticker,"income_statement",F$30,F$29,"dilutedeps")</f>
        <v/>
      </c>
      <c r="G17" s="281" t="e">
        <f>[1]!IntrinioFinancials(ticker,"income_statement",G$30,G$29,"dilutedeps")</f>
        <v>#VALUE!</v>
      </c>
      <c r="H17" s="251" t="str">
        <f>[1]!IntrinioFinancials(ticker,"income_statement",H$30,H$29,"dilutedeps")</f>
        <v/>
      </c>
      <c r="I17" s="252" t="str">
        <f>[1]!IntrinioFinancials(ticker,"income_statement",I$30,I$29,"dilutedeps")</f>
        <v/>
      </c>
      <c r="J17" s="252" t="str">
        <f>[1]!IntrinioFinancials(ticker,"income_statement",J$30,J$29,"dilutedeps")</f>
        <v/>
      </c>
      <c r="K17" s="252" t="str">
        <f>[1]!IntrinioFinancials(ticker,"income_statement",K$30,K$29,"dilutedeps")</f>
        <v/>
      </c>
      <c r="L17" s="17"/>
      <c r="M17" s="17"/>
      <c r="N17" s="17"/>
    </row>
    <row r="18" spans="2:14" s="242" customFormat="1" ht="13.9" x14ac:dyDescent="0.45">
      <c r="B18" s="248" t="s">
        <v>88</v>
      </c>
      <c r="C18" s="249" t="str">
        <f>[1]!IntrinioFinancials(ticker,"calculations",C$30,C$29,"epsgrowth")</f>
        <v/>
      </c>
      <c r="D18" s="250" t="str">
        <f>[1]!IntrinioFinancials(ticker,"calculations",D$30,D$29,"epsgrowth")</f>
        <v/>
      </c>
      <c r="E18" s="250" t="str">
        <f>[1]!IntrinioFinancials(ticker,"calculations",E$30,E$29,"epsgrowth")</f>
        <v/>
      </c>
      <c r="F18" s="250" t="str">
        <f>[1]!IntrinioFinancials(ticker,"calculations",F$30,F$29,"epsgrowth")</f>
        <v/>
      </c>
      <c r="G18" s="279" t="e">
        <f>[1]!IntrinioFinancials(ticker,"calculations",G$30,G$29,"epsgrowth")</f>
        <v>#VALUE!</v>
      </c>
      <c r="H18" s="249" t="str">
        <f>[1]!IntrinioFinancials(ticker,"calculations",H$30,H$29,"epsgrowth")</f>
        <v/>
      </c>
      <c r="I18" s="250" t="str">
        <f>[1]!IntrinioFinancials(ticker,"calculations",I$30,I$29,"epsgrowth")</f>
        <v/>
      </c>
      <c r="J18" s="250" t="str">
        <f>[1]!IntrinioFinancials(ticker,"calculations",J$30,J$29,"epsgrowth")</f>
        <v/>
      </c>
      <c r="K18" s="250" t="str">
        <f>[1]!IntrinioFinancials(ticker,"calculations",K$30,K$29,"epsgrowth")</f>
        <v/>
      </c>
      <c r="L18" s="243"/>
      <c r="M18" s="243"/>
      <c r="N18" s="243"/>
    </row>
    <row r="19" spans="2:14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95" customHeight="1" x14ac:dyDescent="0.45">
      <c r="B29" s="28"/>
      <c r="C29" s="244" t="str">
        <f>D29</f>
        <v>FY</v>
      </c>
      <c r="D29" s="244" t="str">
        <f>E29</f>
        <v>FY</v>
      </c>
      <c r="E29" s="244" t="str">
        <f>F29</f>
        <v>FY</v>
      </c>
      <c r="F29" s="244" t="s">
        <v>137</v>
      </c>
      <c r="G29" s="244" t="str">
        <f>[1]!IntrinioFundamentals(ticker,"income_statement","TTM",G31,"fiscal_period")</f>
        <v/>
      </c>
      <c r="H29" s="244" t="str">
        <f>I29</f>
        <v>QTR</v>
      </c>
      <c r="I29" s="244" t="str">
        <f>J29</f>
        <v>QTR</v>
      </c>
      <c r="J29" s="244" t="str">
        <f>K29</f>
        <v>QTR</v>
      </c>
      <c r="K29" s="244" t="s">
        <v>138</v>
      </c>
      <c r="L29" s="49"/>
      <c r="M29" s="49"/>
      <c r="N29" s="17"/>
    </row>
    <row r="30" spans="2:14" ht="21.95" customHeight="1" x14ac:dyDescent="0.45">
      <c r="B30" s="28"/>
      <c r="C30" s="28">
        <f t="shared" ref="C30:I30" si="0">D30+1</f>
        <v>3</v>
      </c>
      <c r="D30" s="28">
        <f t="shared" si="0"/>
        <v>2</v>
      </c>
      <c r="E30" s="28">
        <f>F30+1</f>
        <v>1</v>
      </c>
      <c r="F30" s="28">
        <f>IF(G29="FY",1,0)</f>
        <v>0</v>
      </c>
      <c r="G30" s="28" t="str">
        <f>[1]!IntrinioFundamentals(ticker,"income_statement","TTM",G31,"fiscal_year")</f>
        <v/>
      </c>
      <c r="H30" s="28">
        <f t="shared" si="0"/>
        <v>3</v>
      </c>
      <c r="I30" s="28">
        <f t="shared" si="0"/>
        <v>2</v>
      </c>
      <c r="J30" s="28">
        <f>K30+1</f>
        <v>1</v>
      </c>
      <c r="K30" s="28">
        <v>0</v>
      </c>
      <c r="L30" s="49"/>
      <c r="M30" s="49"/>
      <c r="N30" s="17"/>
    </row>
    <row r="31" spans="2:14" ht="21.95" customHeight="1" x14ac:dyDescent="0.45">
      <c r="B31" s="28"/>
      <c r="C31" s="28"/>
      <c r="D31" s="28"/>
      <c r="E31" s="28"/>
      <c r="F31" s="28"/>
      <c r="G31" s="28">
        <v>0</v>
      </c>
      <c r="H31" s="28"/>
      <c r="I31" s="28"/>
      <c r="J31" s="28"/>
      <c r="K31" s="28"/>
      <c r="L31" s="51"/>
      <c r="M31" s="49"/>
      <c r="N31" s="17"/>
    </row>
    <row r="32" spans="2:14" ht="21.95" customHeight="1" x14ac:dyDescent="0.4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6"/>
      <c r="M32" s="17"/>
      <c r="N32" s="17"/>
    </row>
    <row r="33" spans="2:14" ht="21.9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7"/>
      <c r="M33" s="17"/>
      <c r="N33" s="17"/>
    </row>
    <row r="34" spans="2:14" ht="21.9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4" ht="23.8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15.75" customHeight="1" x14ac:dyDescent="0.45">
      <c r="C36" s="3"/>
      <c r="D36" s="3"/>
      <c r="E36" s="3"/>
      <c r="F36" s="3"/>
      <c r="G36" s="3"/>
      <c r="H36" s="3"/>
      <c r="I36" s="3"/>
      <c r="J36" s="3"/>
      <c r="K36" s="3"/>
      <c r="L36" s="20"/>
    </row>
    <row r="37" spans="2:14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  <c r="L42" s="19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</sheetData>
  <mergeCells count="2">
    <mergeCell ref="H3:K3"/>
    <mergeCell ref="C3:G3"/>
  </mergeCells>
  <conditionalFormatting sqref="L36:L38">
    <cfRule type="cellIs" dxfId="19" priority="1" operator="greaterThan">
      <formula>0</formula>
    </cfRule>
    <cfRule type="cellIs" dxfId="18" priority="2" operator="lessThan">
      <formula>0</formula>
    </cfRule>
  </conditionalFormatting>
  <pageMargins left="0.7" right="0.7" top="0.75" bottom="0.75" header="0.3" footer="0.3"/>
  <pageSetup scale="88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/>
    <pageSetUpPr fitToPage="1"/>
  </sheetPr>
  <dimension ref="A1:N49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3.4648437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46484375" style="18" bestFit="1" customWidth="1"/>
    <col min="15" max="16384" width="9.1328125" style="18"/>
  </cols>
  <sheetData>
    <row r="1" spans="1:14" ht="15.4" x14ac:dyDescent="0.45">
      <c r="A1" s="23" t="s">
        <v>213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95" customHeight="1" x14ac:dyDescent="0.45">
      <c r="B4" s="104"/>
      <c r="C4" s="105" t="str">
        <f>"FY "&amp;[1]!IntrinioFundamentals(ticker,"income_statement",C30,C31,"fiscal_year")</f>
        <v xml:space="preserve">FY </v>
      </c>
      <c r="D4" s="106" t="str">
        <f>"FY "&amp;[1]!IntrinioFundamentals(ticker,"income_statement",D30,D31,"fiscal_year")</f>
        <v xml:space="preserve">FY </v>
      </c>
      <c r="E4" s="106" t="str">
        <f>"FY "&amp;[1]!IntrinioFundamentals(ticker,"income_statement",E30,E31,"fiscal_year")</f>
        <v xml:space="preserve">FY </v>
      </c>
      <c r="F4" s="106" t="str">
        <f>"FY "&amp;[1]!IntrinioFundamentals(ticker,"income_statement",F30,F31,"fiscal_year")</f>
        <v xml:space="preserve">FY </v>
      </c>
      <c r="G4" s="276" t="str">
        <f>G30&amp; " " &amp;G31</f>
        <v xml:space="preserve"> </v>
      </c>
      <c r="H4" s="105" t="str">
        <f>[1]!IntrinioFundamentals(ticker,"income_statement",H30,H31,"fiscal_period")&amp;" "&amp;[1]!IntrinioFundamentals(ticker,"income_statement",H30,H31,"fiscal_year")</f>
        <v xml:space="preserve"> </v>
      </c>
      <c r="I4" s="106" t="str">
        <f>[1]!IntrinioFundamentals(ticker,"income_statement",I30,I31,"fiscal_period")&amp;" "&amp;[1]!IntrinioFundamentals(ticker,"income_statement",I30,I31,"fiscal_year")</f>
        <v xml:space="preserve"> </v>
      </c>
      <c r="J4" s="106" t="str">
        <f>[1]!IntrinioFundamentals(ticker,"income_statement",J30,J31,"fiscal_period")&amp;" "&amp;[1]!IntrinioFundamentals(ticker,"income_statement",J30,J31,"fiscal_year")</f>
        <v xml:space="preserve"> </v>
      </c>
      <c r="K4" s="106" t="str">
        <f>[1]!IntrinioFundamentals(ticker,"income_statement",K30,K31,"fiscal_period")&amp;" "&amp;[1]!IntrinioFundamentals(ticker,"income_statement",K30,K31,"fiscal_year")</f>
        <v xml:space="preserve"> </v>
      </c>
      <c r="M4" s="1"/>
    </row>
    <row r="5" spans="1:14" ht="21.4" customHeight="1" x14ac:dyDescent="0.45">
      <c r="B5" s="271" t="s">
        <v>184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185</v>
      </c>
      <c r="C6" s="274" t="str">
        <f>[1]!IntrinioFinancials(ticker,"calculations",C$31,C$30,$N6)</f>
        <v/>
      </c>
      <c r="D6" s="275" t="str">
        <f>[1]!IntrinioFinancials(ticker,"calculations",D$31,D$30,$N6)</f>
        <v/>
      </c>
      <c r="E6" s="275" t="str">
        <f>[1]!IntrinioFinancials(ticker,"calculations",E$31,E$30,$N6)</f>
        <v/>
      </c>
      <c r="F6" s="275" t="str">
        <f>[1]!IntrinioFinancials(ticker,"calculations",F$31,F$30,$N6)</f>
        <v/>
      </c>
      <c r="G6" s="282" t="e">
        <f>[1]!IntrinioFinancials(ticker,"calculations",G$31,G$30,$N6)</f>
        <v>#VALUE!</v>
      </c>
      <c r="H6" s="274" t="str">
        <f>[1]!IntrinioFinancials(ticker,"calculations",H$31,H$30,$N6)</f>
        <v/>
      </c>
      <c r="I6" s="275" t="str">
        <f>[1]!IntrinioFinancials(ticker,"calculations",I$31,I$30,$N6)</f>
        <v/>
      </c>
      <c r="J6" s="275" t="str">
        <f>[1]!IntrinioFinancials(ticker,"calculations",J$31,J$30,$N6)</f>
        <v/>
      </c>
      <c r="K6" s="275" t="str">
        <f>[1]!IntrinioFinancials(ticker,"calculations",K$31,K$30,$N6)</f>
        <v/>
      </c>
      <c r="L6" s="243"/>
      <c r="M6" s="243"/>
      <c r="N6" s="243" t="s">
        <v>187</v>
      </c>
    </row>
    <row r="7" spans="1:14" ht="21.4" customHeight="1" x14ac:dyDescent="0.45">
      <c r="B7" s="292" t="s">
        <v>186</v>
      </c>
      <c r="C7" s="321" t="str">
        <f>[1]!IntrinioFinancials(ticker,"calculations",C$31,C$30,$N7)</f>
        <v/>
      </c>
      <c r="D7" s="294" t="str">
        <f>[1]!IntrinioFinancials(ticker,"calculations",D$31,D$30,$N7)</f>
        <v/>
      </c>
      <c r="E7" s="294" t="str">
        <f>[1]!IntrinioFinancials(ticker,"calculations",E$31,E$30,$N7)</f>
        <v/>
      </c>
      <c r="F7" s="294" t="str">
        <f>[1]!IntrinioFinancials(ticker,"calculations",F$31,F$30,$N7)</f>
        <v/>
      </c>
      <c r="G7" s="322" t="e">
        <f>[1]!IntrinioFinancials(ticker,"calculations",G$31,G$30,$N7)</f>
        <v>#VALUE!</v>
      </c>
      <c r="H7" s="323" t="str">
        <f>[1]!IntrinioFinancials(ticker,"calculations",H$31,H$30,$N7)</f>
        <v/>
      </c>
      <c r="I7" s="294" t="str">
        <f>[1]!IntrinioFinancials(ticker,"calculations",I$31,I$30,$N7)</f>
        <v/>
      </c>
      <c r="J7" s="294" t="str">
        <f>[1]!IntrinioFinancials(ticker,"calculations",J$31,J$30,$N7)</f>
        <v/>
      </c>
      <c r="K7" s="294" t="str">
        <f>[1]!IntrinioFinancials(ticker,"calculations",K$31,K$30,$N7)</f>
        <v/>
      </c>
      <c r="L7" s="17"/>
      <c r="M7" s="17"/>
      <c r="N7" s="17" t="s">
        <v>188</v>
      </c>
    </row>
    <row r="8" spans="1:14" ht="21.4" customHeight="1" x14ac:dyDescent="0.45">
      <c r="B8" s="320" t="s">
        <v>197</v>
      </c>
      <c r="C8" s="274" t="str">
        <f>[1]!IntrinioFinancials(ticker,"calculations",C$31,C$30,$N8)</f>
        <v/>
      </c>
      <c r="D8" s="275" t="str">
        <f>[1]!IntrinioFinancials(ticker,"calculations",D$31,D$30,$N8)</f>
        <v/>
      </c>
      <c r="E8" s="275" t="str">
        <f>[1]!IntrinioFinancials(ticker,"calculations",E$31,E$30,$N8)</f>
        <v/>
      </c>
      <c r="F8" s="275" t="str">
        <f>[1]!IntrinioFinancials(ticker,"calculations",F$31,F$30,$N8)</f>
        <v/>
      </c>
      <c r="G8" s="282" t="e">
        <f>[1]!IntrinioFinancials(ticker,"calculations",G$31,G$30,$N8)</f>
        <v>#VALUE!</v>
      </c>
      <c r="H8" s="274" t="str">
        <f>[1]!IntrinioFinancials(ticker,"calculations",H$31,H$30,$N8)</f>
        <v/>
      </c>
      <c r="I8" s="275" t="str">
        <f>[1]!IntrinioFinancials(ticker,"calculations",I$31,I$30,$N8)</f>
        <v/>
      </c>
      <c r="J8" s="275" t="str">
        <f>[1]!IntrinioFinancials(ticker,"calculations",J$31,J$30,$N8)</f>
        <v/>
      </c>
      <c r="K8" s="275" t="str">
        <f>[1]!IntrinioFinancials(ticker,"calculations",K$31,K$30,$N8)</f>
        <v/>
      </c>
      <c r="L8" s="17"/>
      <c r="M8" s="17"/>
      <c r="N8" s="17" t="s">
        <v>189</v>
      </c>
    </row>
    <row r="9" spans="1:14" ht="21.4" customHeight="1" x14ac:dyDescent="0.45">
      <c r="B9" s="336"/>
      <c r="C9" s="337"/>
      <c r="D9" s="337"/>
      <c r="E9" s="337"/>
      <c r="F9" s="337"/>
      <c r="G9" s="337"/>
      <c r="H9" s="337"/>
      <c r="I9" s="337"/>
      <c r="J9" s="337"/>
      <c r="K9" s="337"/>
      <c r="L9" s="17"/>
      <c r="M9" s="17"/>
      <c r="N9" s="17"/>
    </row>
    <row r="10" spans="1:14" ht="21.4" customHeight="1" x14ac:dyDescent="0.45">
      <c r="B10" s="271" t="s">
        <v>191</v>
      </c>
      <c r="C10" s="277"/>
      <c r="D10" s="247"/>
      <c r="E10" s="247"/>
      <c r="F10" s="247"/>
      <c r="G10" s="278"/>
      <c r="H10" s="277"/>
      <c r="I10" s="247"/>
      <c r="J10" s="247"/>
      <c r="K10" s="247"/>
    </row>
    <row r="11" spans="1:14" s="242" customFormat="1" ht="21.4" customHeight="1" x14ac:dyDescent="0.45">
      <c r="B11" s="293" t="s">
        <v>192</v>
      </c>
      <c r="C11" s="274" t="str">
        <f>[1]!IntrinioFinancials(ticker,"calculations",C$31,C$30,$N11)</f>
        <v/>
      </c>
      <c r="D11" s="275" t="str">
        <f>[1]!IntrinioFinancials(ticker,"calculations",D$31,D$30,$N11)</f>
        <v/>
      </c>
      <c r="E11" s="275" t="str">
        <f>[1]!IntrinioFinancials(ticker,"calculations",E$31,E$30,$N11)</f>
        <v/>
      </c>
      <c r="F11" s="275" t="str">
        <f>[1]!IntrinioFinancials(ticker,"calculations",F$31,F$30,$N11)</f>
        <v/>
      </c>
      <c r="G11" s="282" t="e">
        <f>[1]!IntrinioFinancials(ticker,"calculations",G$31,G$30,$N11)</f>
        <v>#VALUE!</v>
      </c>
      <c r="H11" s="274" t="str">
        <f>[1]!IntrinioFinancials(ticker,"calculations",H$31,H$30,$N11)</f>
        <v/>
      </c>
      <c r="I11" s="275" t="str">
        <f>[1]!IntrinioFinancials(ticker,"calculations",I$31,I$30,$N11)</f>
        <v/>
      </c>
      <c r="J11" s="275" t="str">
        <f>[1]!IntrinioFinancials(ticker,"calculations",J$31,J$30,$N11)</f>
        <v/>
      </c>
      <c r="K11" s="275" t="str">
        <f>[1]!IntrinioFinancials(ticker,"calculations",K$31,K$30,$N11)</f>
        <v/>
      </c>
      <c r="L11" s="243"/>
      <c r="M11" s="243"/>
      <c r="N11" s="243" t="s">
        <v>218</v>
      </c>
    </row>
    <row r="12" spans="1:14" ht="21.4" customHeight="1" x14ac:dyDescent="0.45">
      <c r="B12" s="292" t="s">
        <v>193</v>
      </c>
      <c r="C12" s="326" t="str">
        <f>[1]!IntrinioFinancials(ticker,"calculations",C$31,C$30,$N12)</f>
        <v/>
      </c>
      <c r="D12" s="327" t="str">
        <f>[1]!IntrinioFinancials(ticker,"calculations",D$31,D$30,$N12)</f>
        <v/>
      </c>
      <c r="E12" s="327" t="str">
        <f>[1]!IntrinioFinancials(ticker,"calculations",E$31,E$30,$N12)</f>
        <v/>
      </c>
      <c r="F12" s="327" t="str">
        <f>[1]!IntrinioFinancials(ticker,"calculations",F$31,F$30,$N12)</f>
        <v/>
      </c>
      <c r="G12" s="328" t="e">
        <f>[1]!IntrinioFinancials(ticker,"calculations",G$31,G$30,$N12)</f>
        <v>#VALUE!</v>
      </c>
      <c r="H12" s="329" t="str">
        <f>[1]!IntrinioFinancials(ticker,"calculations",H$31,H$30,$N12)</f>
        <v/>
      </c>
      <c r="I12" s="327" t="str">
        <f>[1]!IntrinioFinancials(ticker,"calculations",I$31,I$30,$N12)</f>
        <v/>
      </c>
      <c r="J12" s="327" t="str">
        <f>[1]!IntrinioFinancials(ticker,"calculations",J$31,J$30,$N12)</f>
        <v/>
      </c>
      <c r="K12" s="327" t="str">
        <f>[1]!IntrinioFinancials(ticker,"calculations",K$31,K$30,$N12)</f>
        <v/>
      </c>
      <c r="N12" s="243" t="s">
        <v>219</v>
      </c>
    </row>
    <row r="13" spans="1:14" s="242" customFormat="1" ht="21.4" customHeight="1" x14ac:dyDescent="0.45">
      <c r="B13" s="293" t="s">
        <v>194</v>
      </c>
      <c r="C13" s="330" t="str">
        <f>[1]!IntrinioFinancials(ticker,"calculations",C$31,C$30,$N13)</f>
        <v/>
      </c>
      <c r="D13" s="331" t="str">
        <f>[1]!IntrinioFinancials(ticker,"calculations",D$31,D$30,$N13)</f>
        <v/>
      </c>
      <c r="E13" s="331" t="str">
        <f>[1]!IntrinioFinancials(ticker,"calculations",E$31,E$30,$N13)</f>
        <v/>
      </c>
      <c r="F13" s="331" t="str">
        <f>[1]!IntrinioFinancials(ticker,"calculations",F$31,F$30,$N13)</f>
        <v/>
      </c>
      <c r="G13" s="332" t="e">
        <f>[1]!IntrinioFinancials(ticker,"calculations",G$31,G$30,$N13)</f>
        <v>#VALUE!</v>
      </c>
      <c r="H13" s="330" t="str">
        <f>[1]!IntrinioFinancials(ticker,"calculations",H$31,H$30,$N13)</f>
        <v/>
      </c>
      <c r="I13" s="331" t="str">
        <f>[1]!IntrinioFinancials(ticker,"calculations",I$31,I$30,$N13)</f>
        <v/>
      </c>
      <c r="J13" s="331" t="str">
        <f>[1]!IntrinioFinancials(ticker,"calculations",J$31,J$30,$N13)</f>
        <v/>
      </c>
      <c r="K13" s="331" t="str">
        <f>[1]!IntrinioFinancials(ticker,"calculations",K$31,K$30,$N13)</f>
        <v/>
      </c>
      <c r="L13" s="243"/>
      <c r="M13" s="243"/>
      <c r="N13" s="243" t="s">
        <v>220</v>
      </c>
    </row>
    <row r="14" spans="1:14" ht="21.4" customHeight="1" x14ac:dyDescent="0.45">
      <c r="B14" s="333" t="s">
        <v>195</v>
      </c>
      <c r="C14" s="326" t="str">
        <f>[1]!IntrinioFinancials(ticker,"calculations",C$31,C$30,$N14)</f>
        <v/>
      </c>
      <c r="D14" s="327" t="str">
        <f>[1]!IntrinioFinancials(ticker,"calculations",D$31,D$30,$N14)</f>
        <v/>
      </c>
      <c r="E14" s="327" t="str">
        <f>[1]!IntrinioFinancials(ticker,"calculations",E$31,E$30,$N14)</f>
        <v/>
      </c>
      <c r="F14" s="327" t="str">
        <f>[1]!IntrinioFinancials(ticker,"calculations",F$31,F$30,$N14)</f>
        <v/>
      </c>
      <c r="G14" s="328" t="e">
        <f>[1]!IntrinioFinancials(ticker,"calculations",G$31,G$30,$N14)</f>
        <v>#VALUE!</v>
      </c>
      <c r="H14" s="329" t="str">
        <f>[1]!IntrinioFinancials(ticker,"calculations",H$31,H$30,$N14)</f>
        <v/>
      </c>
      <c r="I14" s="327" t="str">
        <f>[1]!IntrinioFinancials(ticker,"calculations",I$31,I$30,$N14)</f>
        <v/>
      </c>
      <c r="J14" s="327" t="str">
        <f>[1]!IntrinioFinancials(ticker,"calculations",J$31,J$30,$N14)</f>
        <v/>
      </c>
      <c r="K14" s="327" t="str">
        <f>[1]!IntrinioFinancials(ticker,"calculations",K$31,K$30,$N14)</f>
        <v/>
      </c>
      <c r="L14" s="17"/>
      <c r="M14" s="17"/>
      <c r="N14" s="243" t="s">
        <v>221</v>
      </c>
    </row>
    <row r="15" spans="1:14" ht="21.4" customHeight="1" x14ac:dyDescent="0.45">
      <c r="B15" s="320" t="s">
        <v>196</v>
      </c>
      <c r="C15" s="274" t="str">
        <f>[1]!IntrinioFinancials(ticker,"calculations",C$31,C$30,$N15)</f>
        <v/>
      </c>
      <c r="D15" s="275" t="str">
        <f>[1]!IntrinioFinancials(ticker,"calculations",D$31,D$30,$N15)</f>
        <v/>
      </c>
      <c r="E15" s="275" t="str">
        <f>[1]!IntrinioFinancials(ticker,"calculations",E$31,E$30,$N15)</f>
        <v/>
      </c>
      <c r="F15" s="275" t="str">
        <f>[1]!IntrinioFinancials(ticker,"calculations",F$31,F$30,$N15)</f>
        <v/>
      </c>
      <c r="G15" s="282" t="e">
        <f>[1]!IntrinioFinancials(ticker,"calculations",G$31,G$30,$N15)</f>
        <v>#VALUE!</v>
      </c>
      <c r="H15" s="274" t="str">
        <f>[1]!IntrinioFinancials(ticker,"calculations",H$31,H$30,$N15)</f>
        <v/>
      </c>
      <c r="I15" s="275" t="str">
        <f>[1]!IntrinioFinancials(ticker,"calculations",I$31,I$30,$N15)</f>
        <v/>
      </c>
      <c r="J15" s="275" t="str">
        <f>[1]!IntrinioFinancials(ticker,"calculations",J$31,J$30,$N15)</f>
        <v/>
      </c>
      <c r="K15" s="275" t="str">
        <f>[1]!IntrinioFinancials(ticker,"calculations",K$31,K$30,$N15)</f>
        <v/>
      </c>
      <c r="N15" s="243" t="s">
        <v>33</v>
      </c>
    </row>
    <row r="16" spans="1:14" ht="12.95" customHeight="1" x14ac:dyDescent="0.45">
      <c r="B16" s="334"/>
      <c r="C16" s="335"/>
      <c r="D16" s="335"/>
      <c r="E16" s="335"/>
      <c r="F16" s="335"/>
      <c r="G16" s="335"/>
      <c r="H16" s="335"/>
      <c r="I16" s="335"/>
      <c r="J16" s="335"/>
      <c r="K16" s="335"/>
      <c r="N16" s="243"/>
    </row>
    <row r="17" spans="2:14" ht="21.9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7"/>
      <c r="M17" s="17"/>
      <c r="N17" s="17"/>
    </row>
    <row r="18" spans="2:14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7"/>
      <c r="M18" s="17"/>
      <c r="N18" s="17"/>
    </row>
    <row r="19" spans="2:14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17"/>
      <c r="M28" s="17"/>
      <c r="N28" s="17"/>
    </row>
    <row r="29" spans="2:14" ht="21.9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49"/>
      <c r="M29" s="49"/>
      <c r="N29" s="17"/>
    </row>
    <row r="30" spans="2:14" ht="21.95" customHeight="1" x14ac:dyDescent="0.45">
      <c r="B30" s="28"/>
      <c r="C30" s="244" t="str">
        <f>D30</f>
        <v>FY</v>
      </c>
      <c r="D30" s="244" t="str">
        <f>E30</f>
        <v>FY</v>
      </c>
      <c r="E30" s="244" t="str">
        <f>F30</f>
        <v>FY</v>
      </c>
      <c r="F30" s="244" t="s">
        <v>137</v>
      </c>
      <c r="G30" s="244" t="str">
        <f>[1]!IntrinioFundamentals(ticker,"income_statement","TTM",G32,"fiscal_period")</f>
        <v/>
      </c>
      <c r="H30" s="244" t="str">
        <f>I30</f>
        <v>QTR</v>
      </c>
      <c r="I30" s="244" t="str">
        <f>J30</f>
        <v>QTR</v>
      </c>
      <c r="J30" s="244" t="str">
        <f>K30</f>
        <v>QTR</v>
      </c>
      <c r="K30" s="244" t="s">
        <v>138</v>
      </c>
      <c r="L30" s="49"/>
      <c r="M30" s="49"/>
      <c r="N30" s="17"/>
    </row>
    <row r="31" spans="2:14" ht="21.95" customHeight="1" x14ac:dyDescent="0.45">
      <c r="B31" s="28"/>
      <c r="C31" s="28">
        <f t="shared" ref="C31:I31" si="0">D31+1</f>
        <v>3</v>
      </c>
      <c r="D31" s="28">
        <f t="shared" si="0"/>
        <v>2</v>
      </c>
      <c r="E31" s="28">
        <f>F31+1</f>
        <v>1</v>
      </c>
      <c r="F31" s="28">
        <f>IF(G30="FY",1,0)</f>
        <v>0</v>
      </c>
      <c r="G31" s="28" t="str">
        <f>[1]!IntrinioFundamentals(ticker,"income_statement","TTM",G32,"fiscal_year")</f>
        <v/>
      </c>
      <c r="H31" s="28">
        <f t="shared" si="0"/>
        <v>3</v>
      </c>
      <c r="I31" s="28">
        <f t="shared" si="0"/>
        <v>2</v>
      </c>
      <c r="J31" s="28">
        <f>K31+1</f>
        <v>1</v>
      </c>
      <c r="K31" s="28">
        <v>0</v>
      </c>
      <c r="L31" s="49"/>
      <c r="M31" s="49"/>
      <c r="N31" s="17"/>
    </row>
    <row r="32" spans="2:14" ht="21.95" customHeight="1" x14ac:dyDescent="0.45">
      <c r="B32" s="28"/>
      <c r="C32" s="28"/>
      <c r="D32" s="28"/>
      <c r="E32" s="28"/>
      <c r="F32" s="28"/>
      <c r="G32" s="28">
        <v>0</v>
      </c>
      <c r="H32" s="28"/>
      <c r="I32" s="28"/>
      <c r="J32" s="28"/>
      <c r="K32" s="28"/>
      <c r="L32" s="51"/>
      <c r="M32" s="49"/>
      <c r="N32" s="17"/>
    </row>
    <row r="33" spans="2:14" ht="21.9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6"/>
      <c r="M33" s="17"/>
      <c r="N33" s="17"/>
    </row>
    <row r="34" spans="2:14" ht="21.9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7"/>
      <c r="M34" s="17"/>
      <c r="N34" s="17"/>
    </row>
    <row r="35" spans="2:14" ht="21.9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23.8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4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C3:G3"/>
    <mergeCell ref="H3:K3"/>
  </mergeCells>
  <conditionalFormatting sqref="L37:L39">
    <cfRule type="cellIs" dxfId="17" priority="1" operator="greaterThan">
      <formula>0</formula>
    </cfRule>
    <cfRule type="cellIs" dxfId="16" priority="2" operator="lessThan">
      <formula>0</formula>
    </cfRule>
  </conditionalFormatting>
  <pageMargins left="0.7" right="0.7" top="0.75" bottom="0.75" header="0.3" footer="0.3"/>
  <pageSetup scale="79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/>
    <pageSetUpPr fitToPage="1"/>
  </sheetPr>
  <dimension ref="A1:N49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3.4648437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46484375" style="18" bestFit="1" customWidth="1"/>
    <col min="15" max="16384" width="9.1328125" style="18"/>
  </cols>
  <sheetData>
    <row r="1" spans="1:14" ht="15.4" x14ac:dyDescent="0.45">
      <c r="A1" s="23" t="s">
        <v>209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95" customHeight="1" x14ac:dyDescent="0.45">
      <c r="B4" s="104"/>
      <c r="C4" s="105" t="str">
        <f>"FY "&amp;[1]!IntrinioFundamentals(ticker,"income_statement",C30,C31,"fiscal_year")</f>
        <v xml:space="preserve">FY </v>
      </c>
      <c r="D4" s="106" t="str">
        <f>"FY "&amp;[1]!IntrinioFundamentals(ticker,"income_statement",D30,D31,"fiscal_year")</f>
        <v xml:space="preserve">FY </v>
      </c>
      <c r="E4" s="106" t="str">
        <f>"FY "&amp;[1]!IntrinioFundamentals(ticker,"income_statement",E30,E31,"fiscal_year")</f>
        <v xml:space="preserve">FY </v>
      </c>
      <c r="F4" s="106" t="str">
        <f>"FY "&amp;[1]!IntrinioFundamentals(ticker,"income_statement",F30,F31,"fiscal_year")</f>
        <v xml:space="preserve">FY </v>
      </c>
      <c r="G4" s="276" t="str">
        <f>G30&amp; " " &amp;G31</f>
        <v xml:space="preserve"> </v>
      </c>
      <c r="H4" s="105" t="str">
        <f>[1]!IntrinioFundamentals(ticker,"income_statement",H30,H31,"fiscal_period")&amp;" "&amp;[1]!IntrinioFundamentals(ticker,"income_statement",H30,H31,"fiscal_year")</f>
        <v xml:space="preserve"> </v>
      </c>
      <c r="I4" s="106" t="str">
        <f>[1]!IntrinioFundamentals(ticker,"income_statement",I30,I31,"fiscal_period")&amp;" "&amp;[1]!IntrinioFundamentals(ticker,"income_statement",I30,I31,"fiscal_year")</f>
        <v xml:space="preserve"> </v>
      </c>
      <c r="J4" s="106" t="str">
        <f>[1]!IntrinioFundamentals(ticker,"income_statement",J30,J31,"fiscal_period")&amp;" "&amp;[1]!IntrinioFundamentals(ticker,"income_statement",J30,J31,"fiscal_year")</f>
        <v xml:space="preserve"> </v>
      </c>
      <c r="K4" s="106" t="str">
        <f>[1]!IntrinioFundamentals(ticker,"income_statement",K30,K31,"fiscal_period")&amp;" "&amp;[1]!IntrinioFundamentals(ticker,"income_statement",K30,K31,"fiscal_year")</f>
        <v xml:space="preserve"> </v>
      </c>
      <c r="M4" s="1"/>
    </row>
    <row r="5" spans="1:14" ht="21.4" customHeight="1" x14ac:dyDescent="0.45">
      <c r="B5" s="271" t="s">
        <v>202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198</v>
      </c>
      <c r="C6" s="347" t="str">
        <f>[1]!IntrinioFinancials(ticker,"calculations",C$31,C$30,$N6)</f>
        <v/>
      </c>
      <c r="D6" s="348" t="str">
        <f>[1]!IntrinioFinancials(ticker,"calculations",D$31,D$30,$N6)</f>
        <v/>
      </c>
      <c r="E6" s="348" t="str">
        <f>[1]!IntrinioFinancials(ticker,"calculations",E$31,E$30,$N6)</f>
        <v/>
      </c>
      <c r="F6" s="348" t="str">
        <f>[1]!IntrinioFinancials(ticker,"calculations",F$31,F$30,$N6)</f>
        <v/>
      </c>
      <c r="G6" s="349" t="e">
        <f>[1]!IntrinioFinancials(ticker,"calculations",G$31,G$30,$N6)</f>
        <v>#VALUE!</v>
      </c>
      <c r="H6" s="347" t="str">
        <f>[1]!IntrinioFinancials(ticker,"calculations",H$31,H$30,$N6)</f>
        <v/>
      </c>
      <c r="I6" s="348" t="str">
        <f>[1]!IntrinioFinancials(ticker,"calculations",I$31,I$30,$N6)</f>
        <v/>
      </c>
      <c r="J6" s="348" t="str">
        <f>[1]!IntrinioFinancials(ticker,"calculations",J$31,J$30,$N6)</f>
        <v/>
      </c>
      <c r="K6" s="348" t="str">
        <f>[1]!IntrinioFinancials(ticker,"calculations",K$31,K$30,$N6)</f>
        <v/>
      </c>
      <c r="L6" s="243"/>
      <c r="M6" s="243"/>
      <c r="N6" s="243" t="s">
        <v>222</v>
      </c>
    </row>
    <row r="7" spans="1:14" ht="21.4" customHeight="1" x14ac:dyDescent="0.45">
      <c r="B7" s="333" t="s">
        <v>200</v>
      </c>
      <c r="C7" s="343" t="str">
        <f>[1]!IntrinioFinancials(ticker,"calculations",C$31,C$30,$N7)</f>
        <v/>
      </c>
      <c r="D7" s="344" t="str">
        <f>[1]!IntrinioFinancials(ticker,"calculations",D$31,D$30,$N7)</f>
        <v/>
      </c>
      <c r="E7" s="344" t="str">
        <f>[1]!IntrinioFinancials(ticker,"calculations",E$31,E$30,$N7)</f>
        <v/>
      </c>
      <c r="F7" s="344" t="str">
        <f>[1]!IntrinioFinancials(ticker,"calculations",F$31,F$30,$N7)</f>
        <v/>
      </c>
      <c r="G7" s="345" t="e">
        <f>[1]!IntrinioFinancials(ticker,"calculations",G$31,G$30,$N7)</f>
        <v>#VALUE!</v>
      </c>
      <c r="H7" s="346" t="str">
        <f>[1]!IntrinioFinancials(ticker,"calculations",H$31,H$30,$N7)</f>
        <v/>
      </c>
      <c r="I7" s="344" t="str">
        <f>[1]!IntrinioFinancials(ticker,"calculations",I$31,I$30,$N7)</f>
        <v/>
      </c>
      <c r="J7" s="344" t="str">
        <f>[1]!IntrinioFinancials(ticker,"calculations",J$31,J$30,$N7)</f>
        <v/>
      </c>
      <c r="K7" s="344" t="str">
        <f>[1]!IntrinioFinancials(ticker,"calculations",K$31,K$30,$N7)</f>
        <v/>
      </c>
      <c r="L7" s="17"/>
      <c r="M7" s="17"/>
      <c r="N7" s="243" t="s">
        <v>223</v>
      </c>
    </row>
    <row r="8" spans="1:14" ht="21.4" customHeight="1" x14ac:dyDescent="0.45">
      <c r="B8" s="320" t="s">
        <v>199</v>
      </c>
      <c r="C8" s="347" t="e">
        <f>-[1]!IntrinioFinancials(ticker,"calculations",C$31,C$30,$N8)</f>
        <v>#VALUE!</v>
      </c>
      <c r="D8" s="348" t="e">
        <f>-[1]!IntrinioFinancials(ticker,"calculations",D$31,D$30,$N8)</f>
        <v>#VALUE!</v>
      </c>
      <c r="E8" s="348" t="e">
        <f>-[1]!IntrinioFinancials(ticker,"calculations",E$31,E$30,$N8)</f>
        <v>#VALUE!</v>
      </c>
      <c r="F8" s="348" t="e">
        <f>-[1]!IntrinioFinancials(ticker,"calculations",F$31,F$30,$N8)</f>
        <v>#VALUE!</v>
      </c>
      <c r="G8" s="349" t="e">
        <f>-[1]!IntrinioFinancials(ticker,"calculations",G$31,G$30,$N8)</f>
        <v>#VALUE!</v>
      </c>
      <c r="H8" s="347" t="e">
        <f>-[1]!IntrinioFinancials(ticker,"calculations",H$31,H$30,$N8)</f>
        <v>#VALUE!</v>
      </c>
      <c r="I8" s="348" t="e">
        <f>-[1]!IntrinioFinancials(ticker,"calculations",I$31,I$30,$N8)</f>
        <v>#VALUE!</v>
      </c>
      <c r="J8" s="348" t="e">
        <f>-[1]!IntrinioFinancials(ticker,"calculations",J$31,J$30,$N8)</f>
        <v>#VALUE!</v>
      </c>
      <c r="K8" s="348" t="e">
        <f>-[1]!IntrinioFinancials(ticker,"calculations",K$31,K$30,$N8)</f>
        <v>#VALUE!</v>
      </c>
      <c r="L8" s="17"/>
      <c r="M8" s="17"/>
      <c r="N8" s="243" t="s">
        <v>224</v>
      </c>
    </row>
    <row r="9" spans="1:14" ht="21.4" customHeight="1" x14ac:dyDescent="0.45">
      <c r="B9" s="333" t="s">
        <v>201</v>
      </c>
      <c r="C9" s="343" t="str">
        <f>[1]!IntrinioFinancials(ticker,"calculations",C$31,C$30,$N9)</f>
        <v/>
      </c>
      <c r="D9" s="344" t="str">
        <f>[1]!IntrinioFinancials(ticker,"calculations",D$31,D$30,$N9)</f>
        <v/>
      </c>
      <c r="E9" s="344" t="str">
        <f>[1]!IntrinioFinancials(ticker,"calculations",E$31,E$30,$N9)</f>
        <v/>
      </c>
      <c r="F9" s="344" t="str">
        <f>[1]!IntrinioFinancials(ticker,"calculations",F$31,F$30,$N9)</f>
        <v/>
      </c>
      <c r="G9" s="345" t="e">
        <f>[1]!IntrinioFinancials(ticker,"calculations",G$31,G$30,$N9)</f>
        <v>#VALUE!</v>
      </c>
      <c r="H9" s="346" t="str">
        <f>[1]!IntrinioFinancials(ticker,"calculations",H$31,H$30,$N9)</f>
        <v/>
      </c>
      <c r="I9" s="344" t="str">
        <f>[1]!IntrinioFinancials(ticker,"calculations",I$31,I$30,$N9)</f>
        <v/>
      </c>
      <c r="J9" s="344" t="str">
        <f>[1]!IntrinioFinancials(ticker,"calculations",J$31,J$30,$N9)</f>
        <v/>
      </c>
      <c r="K9" s="344" t="str">
        <f>[1]!IntrinioFinancials(ticker,"calculations",K$31,K$30,$N9)</f>
        <v/>
      </c>
      <c r="L9" s="17"/>
      <c r="M9" s="17"/>
      <c r="N9" s="243" t="s">
        <v>225</v>
      </c>
    </row>
    <row r="10" spans="1:14" ht="21.4" customHeight="1" x14ac:dyDescent="0.45">
      <c r="B10" s="336"/>
      <c r="C10" s="337"/>
      <c r="D10" s="337"/>
      <c r="E10" s="337"/>
      <c r="F10" s="337"/>
      <c r="G10" s="337"/>
      <c r="H10" s="337"/>
      <c r="I10" s="337"/>
      <c r="J10" s="337"/>
      <c r="K10" s="337"/>
      <c r="L10" s="17"/>
      <c r="M10" s="17"/>
      <c r="N10" s="17"/>
    </row>
    <row r="11" spans="1:14" ht="21.4" customHeight="1" x14ac:dyDescent="0.45">
      <c r="B11" s="271" t="s">
        <v>203</v>
      </c>
      <c r="C11" s="277"/>
      <c r="D11" s="247"/>
      <c r="E11" s="247"/>
      <c r="F11" s="247"/>
      <c r="G11" s="278"/>
      <c r="H11" s="277"/>
      <c r="I11" s="247"/>
      <c r="J11" s="247"/>
      <c r="K11" s="247"/>
    </row>
    <row r="12" spans="1:14" s="242" customFormat="1" ht="21.4" customHeight="1" x14ac:dyDescent="0.45">
      <c r="B12" s="293" t="s">
        <v>204</v>
      </c>
      <c r="C12" s="347" t="str">
        <f>[1]!IntrinioFinancials(ticker,"calculations",C$31,C$30,$N12)</f>
        <v/>
      </c>
      <c r="D12" s="348" t="str">
        <f>[1]!IntrinioFinancials(ticker,"calculations",D$31,D$30,$N12)</f>
        <v/>
      </c>
      <c r="E12" s="348" t="str">
        <f>[1]!IntrinioFinancials(ticker,"calculations",E$31,E$30,$N12)</f>
        <v/>
      </c>
      <c r="F12" s="348" t="str">
        <f>[1]!IntrinioFinancials(ticker,"calculations",F$31,F$30,$N12)</f>
        <v/>
      </c>
      <c r="G12" s="349" t="e">
        <f>[1]!IntrinioFinancials(ticker,"calculations",G$31,G$30,$N12)</f>
        <v>#VALUE!</v>
      </c>
      <c r="H12" s="347" t="str">
        <f>[1]!IntrinioFinancials(ticker,"calculations",H$31,H$30,$N12)</f>
        <v/>
      </c>
      <c r="I12" s="348" t="str">
        <f>[1]!IntrinioFinancials(ticker,"calculations",I$31,I$30,$N12)</f>
        <v/>
      </c>
      <c r="J12" s="348" t="str">
        <f>[1]!IntrinioFinancials(ticker,"calculations",J$31,J$30,$N12)</f>
        <v/>
      </c>
      <c r="K12" s="348" t="str">
        <f>[1]!IntrinioFinancials(ticker,"calculations",K$31,K$30,$N12)</f>
        <v/>
      </c>
      <c r="L12" s="243"/>
      <c r="M12" s="243"/>
      <c r="N12" s="243" t="s">
        <v>226</v>
      </c>
    </row>
    <row r="13" spans="1:14" ht="21.4" customHeight="1" x14ac:dyDescent="0.45">
      <c r="B13" s="292" t="s">
        <v>205</v>
      </c>
      <c r="C13" s="350" t="str">
        <f>[1]!IntrinioFinancials(ticker,"calculations",C$31,C$30,$N13)</f>
        <v/>
      </c>
      <c r="D13" s="351" t="str">
        <f>[1]!IntrinioFinancials(ticker,"calculations",D$31,D$30,$N13)</f>
        <v/>
      </c>
      <c r="E13" s="351" t="str">
        <f>[1]!IntrinioFinancials(ticker,"calculations",E$31,E$30,$N13)</f>
        <v/>
      </c>
      <c r="F13" s="351" t="str">
        <f>[1]!IntrinioFinancials(ticker,"calculations",F$31,F$30,$N13)</f>
        <v/>
      </c>
      <c r="G13" s="352" t="e">
        <f>[1]!IntrinioFinancials(ticker,"calculations",G$31,G$30,$N13)</f>
        <v>#VALUE!</v>
      </c>
      <c r="H13" s="353" t="str">
        <f>[1]!IntrinioFinancials(ticker,"calculations",H$31,H$30,$N13)</f>
        <v/>
      </c>
      <c r="I13" s="351" t="str">
        <f>[1]!IntrinioFinancials(ticker,"calculations",I$31,I$30,$N13)</f>
        <v/>
      </c>
      <c r="J13" s="351" t="str">
        <f>[1]!IntrinioFinancials(ticker,"calculations",J$31,J$30,$N13)</f>
        <v/>
      </c>
      <c r="K13" s="351" t="str">
        <f>[1]!IntrinioFinancials(ticker,"calculations",K$31,K$30,$N13)</f>
        <v/>
      </c>
      <c r="N13" s="243" t="s">
        <v>227</v>
      </c>
    </row>
    <row r="14" spans="1:14" s="242" customFormat="1" ht="21.4" customHeight="1" x14ac:dyDescent="0.45">
      <c r="B14" s="293" t="s">
        <v>206</v>
      </c>
      <c r="C14" s="274" t="str">
        <f>[1]!IntrinioFinancials(ticker,"calculations",C$31,C$30,$N14)</f>
        <v/>
      </c>
      <c r="D14" s="275" t="str">
        <f>[1]!IntrinioFinancials(ticker,"calculations",D$31,D$30,$N14)</f>
        <v/>
      </c>
      <c r="E14" s="275" t="str">
        <f>[1]!IntrinioFinancials(ticker,"calculations",E$31,E$30,$N14)</f>
        <v/>
      </c>
      <c r="F14" s="275" t="str">
        <f>[1]!IntrinioFinancials(ticker,"calculations",F$31,F$30,$N14)</f>
        <v/>
      </c>
      <c r="G14" s="282" t="e">
        <f>[1]!IntrinioFinancials(ticker,"calculations",G$31,G$30,$N14)</f>
        <v>#VALUE!</v>
      </c>
      <c r="H14" s="274" t="str">
        <f>[1]!IntrinioFinancials(ticker,"calculations",H$31,H$30,$N14)</f>
        <v/>
      </c>
      <c r="I14" s="275" t="str">
        <f>[1]!IntrinioFinancials(ticker,"calculations",I$31,I$30,$N14)</f>
        <v/>
      </c>
      <c r="J14" s="275" t="str">
        <f>[1]!IntrinioFinancials(ticker,"calculations",J$31,J$30,$N14)</f>
        <v/>
      </c>
      <c r="K14" s="275" t="str">
        <f>[1]!IntrinioFinancials(ticker,"calculations",K$31,K$30,$N14)</f>
        <v/>
      </c>
      <c r="L14" s="243"/>
      <c r="M14" s="243"/>
      <c r="N14" s="243" t="s">
        <v>228</v>
      </c>
    </row>
    <row r="15" spans="1:14" ht="21.4" customHeight="1" x14ac:dyDescent="0.45">
      <c r="B15" s="333" t="s">
        <v>207</v>
      </c>
      <c r="C15" s="326" t="str">
        <f>[1]!IntrinioFinancials(ticker,"calculations",C$31,C$30,$N15)</f>
        <v/>
      </c>
      <c r="D15" s="327" t="str">
        <f>[1]!IntrinioFinancials(ticker,"calculations",D$31,D$30,$N15)</f>
        <v/>
      </c>
      <c r="E15" s="327" t="str">
        <f>[1]!IntrinioFinancials(ticker,"calculations",E$31,E$30,$N15)</f>
        <v/>
      </c>
      <c r="F15" s="327" t="str">
        <f>[1]!IntrinioFinancials(ticker,"calculations",F$31,F$30,$N15)</f>
        <v/>
      </c>
      <c r="G15" s="328" t="e">
        <f>[1]!IntrinioFinancials(ticker,"calculations",G$31,G$30,$N15)</f>
        <v>#VALUE!</v>
      </c>
      <c r="H15" s="329" t="str">
        <f>[1]!IntrinioFinancials(ticker,"calculations",H$31,H$30,$N15)</f>
        <v/>
      </c>
      <c r="I15" s="327" t="str">
        <f>[1]!IntrinioFinancials(ticker,"calculations",I$31,I$30,$N15)</f>
        <v/>
      </c>
      <c r="J15" s="327" t="str">
        <f>[1]!IntrinioFinancials(ticker,"calculations",J$31,J$30,$N15)</f>
        <v/>
      </c>
      <c r="K15" s="327" t="str">
        <f>[1]!IntrinioFinancials(ticker,"calculations",K$31,K$30,$N15)</f>
        <v/>
      </c>
      <c r="L15" s="17"/>
      <c r="M15" s="17"/>
      <c r="N15" s="243" t="s">
        <v>229</v>
      </c>
    </row>
    <row r="16" spans="1:14" ht="21.4" customHeight="1" x14ac:dyDescent="0.45">
      <c r="B16" s="320" t="s">
        <v>208</v>
      </c>
      <c r="C16" s="274" t="str">
        <f>[1]!IntrinioFinancials(ticker,"calculations",C$31,C$30,$N16)</f>
        <v/>
      </c>
      <c r="D16" s="275" t="str">
        <f>[1]!IntrinioFinancials(ticker,"calculations",D$31,D$30,$N16)</f>
        <v/>
      </c>
      <c r="E16" s="275" t="str">
        <f>[1]!IntrinioFinancials(ticker,"calculations",E$31,E$30,$N16)</f>
        <v/>
      </c>
      <c r="F16" s="275" t="str">
        <f>[1]!IntrinioFinancials(ticker,"calculations",F$31,F$30,$N16)</f>
        <v/>
      </c>
      <c r="G16" s="282" t="e">
        <f>[1]!IntrinioFinancials(ticker,"calculations",G$31,G$30,$N16)</f>
        <v>#VALUE!</v>
      </c>
      <c r="H16" s="274" t="str">
        <f>[1]!IntrinioFinancials(ticker,"calculations",H$31,H$30,$N16)</f>
        <v/>
      </c>
      <c r="I16" s="275" t="str">
        <f>[1]!IntrinioFinancials(ticker,"calculations",I$31,I$30,$N16)</f>
        <v/>
      </c>
      <c r="J16" s="275" t="str">
        <f>[1]!IntrinioFinancials(ticker,"calculations",J$31,J$30,$N16)</f>
        <v/>
      </c>
      <c r="K16" s="275" t="str">
        <f>[1]!IntrinioFinancials(ticker,"calculations",K$31,K$30,$N16)</f>
        <v/>
      </c>
      <c r="N16" s="243" t="s">
        <v>230</v>
      </c>
    </row>
    <row r="17" spans="2:14" ht="12.95" customHeight="1" x14ac:dyDescent="0.45">
      <c r="B17" s="334"/>
      <c r="C17" s="335"/>
      <c r="D17" s="335"/>
      <c r="E17" s="335"/>
      <c r="F17" s="335"/>
      <c r="G17" s="335"/>
      <c r="H17" s="335"/>
      <c r="I17" s="335"/>
      <c r="J17" s="335"/>
      <c r="K17" s="335"/>
      <c r="N17" s="243"/>
    </row>
    <row r="18" spans="2:14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17"/>
      <c r="L18" s="17"/>
      <c r="M18" s="17"/>
      <c r="N18" s="17"/>
    </row>
    <row r="19" spans="2:14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49"/>
      <c r="M27" s="49"/>
      <c r="N27" s="17"/>
    </row>
    <row r="28" spans="2:14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9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49"/>
      <c r="M29" s="49"/>
      <c r="N29" s="17"/>
    </row>
    <row r="30" spans="2:14" ht="21.95" customHeight="1" x14ac:dyDescent="0.45">
      <c r="B30" s="28"/>
      <c r="C30" s="244" t="str">
        <f>D30</f>
        <v>FY</v>
      </c>
      <c r="D30" s="244" t="str">
        <f>E30</f>
        <v>FY</v>
      </c>
      <c r="E30" s="244" t="str">
        <f>F30</f>
        <v>FY</v>
      </c>
      <c r="F30" s="244" t="s">
        <v>137</v>
      </c>
      <c r="G30" s="244" t="str">
        <f>[1]!IntrinioFundamentals(ticker,"income_statement","TTM",G32,"fiscal_period")</f>
        <v/>
      </c>
      <c r="H30" s="244" t="str">
        <f>I30</f>
        <v>QTR</v>
      </c>
      <c r="I30" s="244" t="str">
        <f>J30</f>
        <v>QTR</v>
      </c>
      <c r="J30" s="244" t="str">
        <f>K30</f>
        <v>QTR</v>
      </c>
      <c r="K30" s="244" t="s">
        <v>138</v>
      </c>
      <c r="L30" s="49"/>
      <c r="M30" s="49"/>
      <c r="N30" s="17"/>
    </row>
    <row r="31" spans="2:14" ht="21.95" customHeight="1" x14ac:dyDescent="0.45">
      <c r="B31" s="28"/>
      <c r="C31" s="28">
        <f t="shared" ref="C31:I31" si="0">D31+1</f>
        <v>3</v>
      </c>
      <c r="D31" s="28">
        <f t="shared" si="0"/>
        <v>2</v>
      </c>
      <c r="E31" s="28">
        <f>F31+1</f>
        <v>1</v>
      </c>
      <c r="F31" s="28">
        <f>IF(G30="FY",1,0)</f>
        <v>0</v>
      </c>
      <c r="G31" s="28" t="str">
        <f>[1]!IntrinioFundamentals(ticker,"income_statement","TTM",G32,"fiscal_year")</f>
        <v/>
      </c>
      <c r="H31" s="28">
        <f t="shared" si="0"/>
        <v>3</v>
      </c>
      <c r="I31" s="28">
        <f t="shared" si="0"/>
        <v>2</v>
      </c>
      <c r="J31" s="28">
        <f>K31+1</f>
        <v>1</v>
      </c>
      <c r="K31" s="28">
        <v>0</v>
      </c>
      <c r="L31" s="49"/>
      <c r="M31" s="49"/>
      <c r="N31" s="17"/>
    </row>
    <row r="32" spans="2:14" ht="21.95" customHeight="1" x14ac:dyDescent="0.45">
      <c r="B32" s="28"/>
      <c r="C32" s="28"/>
      <c r="D32" s="28"/>
      <c r="E32" s="28"/>
      <c r="F32" s="28"/>
      <c r="G32" s="28">
        <v>0</v>
      </c>
      <c r="H32" s="28"/>
      <c r="I32" s="28"/>
      <c r="J32" s="28"/>
      <c r="K32" s="28"/>
      <c r="L32" s="51"/>
      <c r="M32" s="49"/>
      <c r="N32" s="17"/>
    </row>
    <row r="33" spans="2:14" ht="21.9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6"/>
      <c r="M33" s="17"/>
      <c r="N33" s="17"/>
    </row>
    <row r="34" spans="2:14" ht="21.9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17"/>
      <c r="M34" s="17"/>
      <c r="N34" s="17"/>
    </row>
    <row r="35" spans="2:14" ht="21.9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23.8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4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C3:G3"/>
    <mergeCell ref="H3:K3"/>
  </mergeCells>
  <conditionalFormatting sqref="L37:L39">
    <cfRule type="cellIs" dxfId="15" priority="1" operator="greaterThan">
      <formula>0</formula>
    </cfRule>
    <cfRule type="cellIs" dxfId="14" priority="2" operator="lessThan">
      <formula>0</formula>
    </cfRule>
  </conditionalFormatting>
  <pageMargins left="0.7" right="0.7" top="0.75" bottom="0.75" header="0.3" footer="0.3"/>
  <pageSetup scale="79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/>
    <pageSetUpPr fitToPage="1"/>
  </sheetPr>
  <dimension ref="A1:N48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265625" style="18" bestFit="1" customWidth="1"/>
    <col min="3" max="11" width="10.86328125" style="18" customWidth="1"/>
    <col min="12" max="12" width="0.86328125" style="18" customWidth="1"/>
    <col min="13" max="13" width="15.3984375" style="18" customWidth="1"/>
    <col min="14" max="14" width="23.46484375" style="18" bestFit="1" customWidth="1"/>
    <col min="15" max="16384" width="9.1328125" style="18"/>
  </cols>
  <sheetData>
    <row r="1" spans="1:14" ht="15.4" x14ac:dyDescent="0.45">
      <c r="A1" s="23" t="s">
        <v>160</v>
      </c>
    </row>
    <row r="3" spans="1:14" ht="21.75" customHeight="1" x14ac:dyDescent="0.45">
      <c r="B3" s="103"/>
      <c r="C3" s="394" t="s">
        <v>84</v>
      </c>
      <c r="D3" s="395"/>
      <c r="E3" s="395"/>
      <c r="F3" s="395"/>
      <c r="G3" s="397"/>
      <c r="H3" s="394" t="s">
        <v>85</v>
      </c>
      <c r="I3" s="395"/>
      <c r="J3" s="395"/>
      <c r="K3" s="395"/>
    </row>
    <row r="4" spans="1:14" ht="21.95" customHeight="1" x14ac:dyDescent="0.45">
      <c r="B4" s="104"/>
      <c r="C4" s="105" t="str">
        <f>"FY "&amp;[1]!IntrinioFundamentals(ticker,"income_statement",C29,C30,"fiscal_year")</f>
        <v xml:space="preserve">FY </v>
      </c>
      <c r="D4" s="106" t="str">
        <f>"FY "&amp;[1]!IntrinioFundamentals(ticker,"income_statement",D29,D30,"fiscal_year")</f>
        <v xml:space="preserve">FY </v>
      </c>
      <c r="E4" s="106" t="str">
        <f>"FY "&amp;[1]!IntrinioFundamentals(ticker,"income_statement",E29,E30,"fiscal_year")</f>
        <v xml:space="preserve">FY </v>
      </c>
      <c r="F4" s="106" t="str">
        <f>"FY "&amp;[1]!IntrinioFundamentals(ticker,"income_statement",F29,F30,"fiscal_year")</f>
        <v xml:space="preserve">FY </v>
      </c>
      <c r="G4" s="276" t="str">
        <f>G29&amp; " " &amp;G30</f>
        <v xml:space="preserve"> </v>
      </c>
      <c r="H4" s="105" t="str">
        <f>[1]!IntrinioFundamentals(ticker,"income_statement",H29,H30,"fiscal_period")&amp;" "&amp;[1]!IntrinioFundamentals(ticker,"income_statement",H29,H30,"fiscal_year")</f>
        <v xml:space="preserve"> </v>
      </c>
      <c r="I4" s="106" t="str">
        <f>[1]!IntrinioFundamentals(ticker,"income_statement",I29,I30,"fiscal_period")&amp;" "&amp;[1]!IntrinioFundamentals(ticker,"income_statement",I29,I30,"fiscal_year")</f>
        <v xml:space="preserve"> </v>
      </c>
      <c r="J4" s="106" t="str">
        <f>[1]!IntrinioFundamentals(ticker,"income_statement",J29,J30,"fiscal_period")&amp;" "&amp;[1]!IntrinioFundamentals(ticker,"income_statement",J29,J30,"fiscal_year")</f>
        <v xml:space="preserve"> </v>
      </c>
      <c r="K4" s="106" t="str">
        <f>[1]!IntrinioFundamentals(ticker,"income_statement",K29,K30,"fiscal_period")&amp;" "&amp;[1]!IntrinioFundamentals(ticker,"income_statement",K29,K30,"fiscal_year")</f>
        <v xml:space="preserve"> </v>
      </c>
      <c r="M4" s="1"/>
    </row>
    <row r="5" spans="1:14" ht="21.4" customHeight="1" x14ac:dyDescent="0.45">
      <c r="B5" s="271" t="s">
        <v>166</v>
      </c>
      <c r="C5" s="277"/>
      <c r="D5" s="247"/>
      <c r="E5" s="247"/>
      <c r="F5" s="247"/>
      <c r="G5" s="278"/>
      <c r="H5" s="246"/>
      <c r="I5" s="247"/>
      <c r="J5" s="247"/>
      <c r="K5" s="247"/>
    </row>
    <row r="6" spans="1:14" s="242" customFormat="1" ht="21.4" customHeight="1" x14ac:dyDescent="0.45">
      <c r="B6" s="293" t="s">
        <v>161</v>
      </c>
      <c r="C6" s="274" t="str">
        <f>[1]!IntrinioFinancials(ticker,"calculations",C$30,C$29,$N6)</f>
        <v/>
      </c>
      <c r="D6" s="275" t="str">
        <f>[1]!IntrinioFinancials(ticker,"calculations",D$30,D$29,$N6)</f>
        <v/>
      </c>
      <c r="E6" s="275" t="str">
        <f>[1]!IntrinioFinancials(ticker,"calculations",E$30,E$29,$N6)</f>
        <v/>
      </c>
      <c r="F6" s="275" t="str">
        <f>[1]!IntrinioFinancials(ticker,"calculations",F$30,F$29,$N6)</f>
        <v/>
      </c>
      <c r="G6" s="282" t="e">
        <f>[1]!IntrinioFinancials(ticker,"calculations",G$30,G$29,$N6)</f>
        <v>#VALUE!</v>
      </c>
      <c r="H6" s="274" t="str">
        <f>[1]!IntrinioFinancials(ticker,"calculations",H$30,H$29,$N6)</f>
        <v/>
      </c>
      <c r="I6" s="275" t="str">
        <f>[1]!IntrinioFinancials(ticker,"calculations",I$30,I$29,$N6)</f>
        <v/>
      </c>
      <c r="J6" s="275" t="str">
        <f>[1]!IntrinioFinancials(ticker,"calculations",J$30,J$29,$N6)</f>
        <v/>
      </c>
      <c r="K6" s="275" t="str">
        <f>[1]!IntrinioFinancials(ticker,"calculations",K$30,K$29,$N6)</f>
        <v/>
      </c>
      <c r="L6" s="243"/>
      <c r="M6" s="243"/>
      <c r="N6" s="243" t="s">
        <v>167</v>
      </c>
    </row>
    <row r="7" spans="1:14" ht="21.4" customHeight="1" x14ac:dyDescent="0.45">
      <c r="B7" s="292" t="s">
        <v>162</v>
      </c>
      <c r="C7" s="283" t="str">
        <f>[1]!IntrinioFinancials(ticker,"calculations",C$30,C$29,$N7)</f>
        <v/>
      </c>
      <c r="D7" s="273" t="str">
        <f>[1]!IntrinioFinancials(ticker,"calculations",D$30,D$29,$N7)</f>
        <v/>
      </c>
      <c r="E7" s="273" t="str">
        <f>[1]!IntrinioFinancials(ticker,"calculations",E$30,E$29,$N7)</f>
        <v/>
      </c>
      <c r="F7" s="273" t="str">
        <f>[1]!IntrinioFinancials(ticker,"calculations",F$30,F$29,$N7)</f>
        <v/>
      </c>
      <c r="G7" s="284" t="e">
        <f>[1]!IntrinioFinancials(ticker,"calculations",G$30,G$29,$N7)</f>
        <v>#VALUE!</v>
      </c>
      <c r="H7" s="272" t="str">
        <f>[1]!IntrinioFinancials(ticker,"calculations",H$30,H$29,$N7)</f>
        <v/>
      </c>
      <c r="I7" s="273" t="str">
        <f>[1]!IntrinioFinancials(ticker,"calculations",I$30,I$29,$N7)</f>
        <v/>
      </c>
      <c r="J7" s="273" t="str">
        <f>[1]!IntrinioFinancials(ticker,"calculations",J$30,J$29,$N7)</f>
        <v/>
      </c>
      <c r="K7" s="273" t="str">
        <f>[1]!IntrinioFinancials(ticker,"calculations",K$30,K$29,$N7)</f>
        <v/>
      </c>
      <c r="L7" s="17"/>
      <c r="M7" s="17"/>
      <c r="N7" s="17" t="s">
        <v>168</v>
      </c>
    </row>
    <row r="8" spans="1:14" ht="21.4" customHeight="1" x14ac:dyDescent="0.45">
      <c r="B8" s="293" t="s">
        <v>163</v>
      </c>
      <c r="C8" s="274" t="str">
        <f>[1]!IntrinioFinancials(ticker,"calculations",C$30,C$29,$N8)</f>
        <v/>
      </c>
      <c r="D8" s="275" t="str">
        <f>[1]!IntrinioFinancials(ticker,"calculations",D$30,D$29,$N8)</f>
        <v/>
      </c>
      <c r="E8" s="275" t="str">
        <f>[1]!IntrinioFinancials(ticker,"calculations",E$30,E$29,$N8)</f>
        <v/>
      </c>
      <c r="F8" s="275" t="str">
        <f>[1]!IntrinioFinancials(ticker,"calculations",F$30,F$29,$N8)</f>
        <v/>
      </c>
      <c r="G8" s="282" t="e">
        <f>[1]!IntrinioFinancials(ticker,"calculations",G$30,G$29,$N8)</f>
        <v>#VALUE!</v>
      </c>
      <c r="H8" s="274" t="str">
        <f>[1]!IntrinioFinancials(ticker,"calculations",H$30,H$29,$N8)</f>
        <v/>
      </c>
      <c r="I8" s="275" t="str">
        <f>[1]!IntrinioFinancials(ticker,"calculations",I$30,I$29,$N8)</f>
        <v/>
      </c>
      <c r="J8" s="275" t="str">
        <f>[1]!IntrinioFinancials(ticker,"calculations",J$30,J$29,$N8)</f>
        <v/>
      </c>
      <c r="K8" s="275" t="str">
        <f>[1]!IntrinioFinancials(ticker,"calculations",K$30,K$29,$N8)</f>
        <v/>
      </c>
      <c r="L8" s="17"/>
      <c r="M8" s="17"/>
      <c r="N8" s="17" t="s">
        <v>169</v>
      </c>
    </row>
    <row r="9" spans="1:14" s="242" customFormat="1" ht="21.4" customHeight="1" x14ac:dyDescent="0.45">
      <c r="B9" s="292" t="s">
        <v>164</v>
      </c>
      <c r="C9" s="283" t="str">
        <f>[1]!IntrinioFinancials(ticker,"calculations",C$30,C$29,$N9)</f>
        <v/>
      </c>
      <c r="D9" s="273" t="str">
        <f>[1]!IntrinioFinancials(ticker,"calculations",D$30,D$29,$N9)</f>
        <v/>
      </c>
      <c r="E9" s="273" t="str">
        <f>[1]!IntrinioFinancials(ticker,"calculations",E$30,E$29,$N9)</f>
        <v/>
      </c>
      <c r="F9" s="273" t="str">
        <f>[1]!IntrinioFinancials(ticker,"calculations",F$30,F$29,$N9)</f>
        <v/>
      </c>
      <c r="G9" s="284" t="e">
        <f>[1]!IntrinioFinancials(ticker,"calculations",G$30,G$29,$N9)</f>
        <v>#VALUE!</v>
      </c>
      <c r="H9" s="272" t="str">
        <f>[1]!IntrinioFinancials(ticker,"calculations",H$30,H$29,$N9)</f>
        <v/>
      </c>
      <c r="I9" s="273" t="str">
        <f>[1]!IntrinioFinancials(ticker,"calculations",I$30,I$29,$N9)</f>
        <v/>
      </c>
      <c r="J9" s="273" t="str">
        <f>[1]!IntrinioFinancials(ticker,"calculations",J$30,J$29,$N9)</f>
        <v/>
      </c>
      <c r="K9" s="273" t="str">
        <f>[1]!IntrinioFinancials(ticker,"calculations",K$30,K$29,$N9)</f>
        <v/>
      </c>
      <c r="L9" s="243"/>
      <c r="M9" s="243"/>
      <c r="N9" s="243" t="s">
        <v>170</v>
      </c>
    </row>
    <row r="10" spans="1:14" ht="21.4" customHeight="1" x14ac:dyDescent="0.45">
      <c r="B10" s="293" t="s">
        <v>165</v>
      </c>
      <c r="C10" s="274" t="str">
        <f>[1]!IntrinioFinancials(ticker,"calculations",C$30,C$29,$N10)</f>
        <v/>
      </c>
      <c r="D10" s="275" t="str">
        <f>[1]!IntrinioFinancials(ticker,"calculations",D$30,D$29,$N10)</f>
        <v/>
      </c>
      <c r="E10" s="275" t="str">
        <f>[1]!IntrinioFinancials(ticker,"calculations",E$30,E$29,$N10)</f>
        <v/>
      </c>
      <c r="F10" s="275" t="str">
        <f>[1]!IntrinioFinancials(ticker,"calculations",F$30,F$29,$N10)</f>
        <v/>
      </c>
      <c r="G10" s="282" t="e">
        <f>[1]!IntrinioFinancials(ticker,"calculations",G$30,G$29,$N10)</f>
        <v>#VALUE!</v>
      </c>
      <c r="H10" s="274" t="str">
        <f>[1]!IntrinioFinancials(ticker,"calculations",H$30,H$29,$N10)</f>
        <v/>
      </c>
      <c r="I10" s="275" t="str">
        <f>[1]!IntrinioFinancials(ticker,"calculations",I$30,I$29,$N10)</f>
        <v/>
      </c>
      <c r="J10" s="275" t="str">
        <f>[1]!IntrinioFinancials(ticker,"calculations",J$30,J$29,$N10)</f>
        <v/>
      </c>
      <c r="K10" s="275" t="str">
        <f>[1]!IntrinioFinancials(ticker,"calculations",K$30,K$29,$N10)</f>
        <v/>
      </c>
      <c r="L10" s="17"/>
      <c r="M10" s="17"/>
      <c r="N10" s="17" t="s">
        <v>171</v>
      </c>
    </row>
    <row r="11" spans="1:14" ht="21.4" customHeight="1" x14ac:dyDescent="0.45">
      <c r="B11" s="271" t="s">
        <v>181</v>
      </c>
      <c r="C11" s="277"/>
      <c r="D11" s="247"/>
      <c r="E11" s="247"/>
      <c r="F11" s="247"/>
      <c r="G11" s="278"/>
      <c r="H11" s="246"/>
      <c r="I11" s="247"/>
      <c r="J11" s="247"/>
      <c r="K11" s="247"/>
    </row>
    <row r="12" spans="1:14" s="242" customFormat="1" ht="21.4" customHeight="1" x14ac:dyDescent="0.45">
      <c r="B12" s="293" t="s">
        <v>182</v>
      </c>
      <c r="C12" s="285" t="str">
        <f>[1]!IntrinioFinancials(ticker,"calculations",C$30,C$29,$N12)</f>
        <v/>
      </c>
      <c r="D12" s="286" t="str">
        <f>[1]!IntrinioFinancials(ticker,"calculations",D$30,D$29,$N12)</f>
        <v/>
      </c>
      <c r="E12" s="286" t="str">
        <f>[1]!IntrinioFinancials(ticker,"calculations",E$30,E$29,$N12)</f>
        <v/>
      </c>
      <c r="F12" s="286" t="str">
        <f>[1]!IntrinioFinancials(ticker,"calculations",F$30,F$29,$N12)</f>
        <v/>
      </c>
      <c r="G12" s="287" t="e">
        <f>[1]!IntrinioFinancials(ticker,"calculations",G$30,G$29,$N12)</f>
        <v>#VALUE!</v>
      </c>
      <c r="H12" s="285" t="str">
        <f>[1]!IntrinioFinancials(ticker,"calculations",H$30,H$29,$N12)</f>
        <v/>
      </c>
      <c r="I12" s="286" t="str">
        <f>[1]!IntrinioFinancials(ticker,"calculations",I$30,I$29,$N12)</f>
        <v/>
      </c>
      <c r="J12" s="286" t="str">
        <f>[1]!IntrinioFinancials(ticker,"calculations",J$30,J$29,$N12)</f>
        <v/>
      </c>
      <c r="K12" s="286" t="str">
        <f>[1]!IntrinioFinancials(ticker,"calculations",K$30,K$29,$N12)</f>
        <v/>
      </c>
      <c r="L12" s="243"/>
      <c r="M12" s="243"/>
      <c r="N12" s="243" t="s">
        <v>183</v>
      </c>
    </row>
    <row r="13" spans="1:14" ht="21.4" customHeight="1" x14ac:dyDescent="0.45">
      <c r="B13" s="317" t="s">
        <v>166</v>
      </c>
      <c r="C13" s="288"/>
      <c r="D13" s="289"/>
      <c r="E13" s="289"/>
      <c r="F13" s="289"/>
      <c r="G13" s="290"/>
      <c r="H13" s="291"/>
      <c r="I13" s="289"/>
      <c r="J13" s="289"/>
      <c r="K13" s="289"/>
    </row>
    <row r="14" spans="1:14" s="242" customFormat="1" ht="21.4" customHeight="1" x14ac:dyDescent="0.45">
      <c r="B14" s="293" t="s">
        <v>177</v>
      </c>
      <c r="C14" s="285" t="str">
        <f>[1]!IntrinioFinancials(ticker,"calculations",C$30,C$29,$N14)</f>
        <v/>
      </c>
      <c r="D14" s="286" t="str">
        <f>[1]!IntrinioFinancials(ticker,"calculations",D$30,D$29,$N14)</f>
        <v/>
      </c>
      <c r="E14" s="286" t="str">
        <f>[1]!IntrinioFinancials(ticker,"calculations",E$30,E$29,$N14)</f>
        <v/>
      </c>
      <c r="F14" s="286" t="str">
        <f>[1]!IntrinioFinancials(ticker,"calculations",F$30,F$29,$N14)</f>
        <v/>
      </c>
      <c r="G14" s="287" t="e">
        <f>[1]!IntrinioFinancials(ticker,"calculations",G$30,G$29,$N14)</f>
        <v>#VALUE!</v>
      </c>
      <c r="H14" s="285" t="str">
        <f>[1]!IntrinioFinancials(ticker,"calculations",H$30,H$29,$N14)</f>
        <v/>
      </c>
      <c r="I14" s="286" t="str">
        <f>[1]!IntrinioFinancials(ticker,"calculations",I$30,I$29,$N14)</f>
        <v/>
      </c>
      <c r="J14" s="286" t="str">
        <f>[1]!IntrinioFinancials(ticker,"calculations",J$30,J$29,$N14)</f>
        <v/>
      </c>
      <c r="K14" s="286" t="str">
        <f>[1]!IntrinioFinancials(ticker,"calculations",K$30,K$29,$N14)</f>
        <v/>
      </c>
      <c r="L14" s="243"/>
      <c r="M14" s="243"/>
      <c r="N14" s="243" t="s">
        <v>231</v>
      </c>
    </row>
    <row r="15" spans="1:14" ht="21.4" customHeight="1" x14ac:dyDescent="0.45">
      <c r="B15" s="292" t="s">
        <v>178</v>
      </c>
      <c r="C15" s="288" t="str">
        <f>[1]!IntrinioFinancials(ticker,"calculations",C$30,C$29,$N15)</f>
        <v/>
      </c>
      <c r="D15" s="289" t="str">
        <f>[1]!IntrinioFinancials(ticker,"calculations",D$30,D$29,$N15)</f>
        <v/>
      </c>
      <c r="E15" s="289" t="str">
        <f>[1]!IntrinioFinancials(ticker,"calculations",E$30,E$29,$N15)</f>
        <v/>
      </c>
      <c r="F15" s="289" t="str">
        <f>[1]!IntrinioFinancials(ticker,"calculations",F$30,F$29,$N15)</f>
        <v/>
      </c>
      <c r="G15" s="290" t="e">
        <f>[1]!IntrinioFinancials(ticker,"calculations",G$30,G$29,$N15)</f>
        <v>#VALUE!</v>
      </c>
      <c r="H15" s="291" t="str">
        <f>[1]!IntrinioFinancials(ticker,"calculations",H$30,H$29,$N15)</f>
        <v/>
      </c>
      <c r="I15" s="289" t="str">
        <f>[1]!IntrinioFinancials(ticker,"calculations",I$30,I$29,$N15)</f>
        <v/>
      </c>
      <c r="J15" s="289" t="str">
        <f>[1]!IntrinioFinancials(ticker,"calculations",J$30,J$29,$N15)</f>
        <v/>
      </c>
      <c r="K15" s="289" t="str">
        <f>[1]!IntrinioFinancials(ticker,"calculations",K$30,K$29,$N15)</f>
        <v/>
      </c>
      <c r="L15" s="17"/>
      <c r="M15" s="17"/>
      <c r="N15" s="17" t="s">
        <v>232</v>
      </c>
    </row>
    <row r="16" spans="1:14" ht="21.4" customHeight="1" x14ac:dyDescent="0.45">
      <c r="B16" s="318" t="s">
        <v>176</v>
      </c>
      <c r="C16" s="285"/>
      <c r="D16" s="286"/>
      <c r="E16" s="286"/>
      <c r="F16" s="286"/>
      <c r="G16" s="287"/>
      <c r="H16" s="285"/>
      <c r="I16" s="286"/>
      <c r="J16" s="286"/>
      <c r="K16" s="286"/>
    </row>
    <row r="17" spans="2:14" s="242" customFormat="1" ht="21.4" customHeight="1" x14ac:dyDescent="0.45">
      <c r="B17" s="292" t="s">
        <v>174</v>
      </c>
      <c r="C17" s="288" t="str">
        <f>[1]!IntrinioFinancials(ticker,"calculations",C$30,C$29,$N17)</f>
        <v/>
      </c>
      <c r="D17" s="289" t="str">
        <f>[1]!IntrinioFinancials(ticker,"calculations",D$30,D$29,$N17)</f>
        <v/>
      </c>
      <c r="E17" s="289" t="str">
        <f>[1]!IntrinioFinancials(ticker,"calculations",E$30,E$29,$N17)</f>
        <v/>
      </c>
      <c r="F17" s="289" t="str">
        <f>[1]!IntrinioFinancials(ticker,"calculations",F$30,F$29,$N17)</f>
        <v/>
      </c>
      <c r="G17" s="290" t="e">
        <f>[1]!IntrinioFinancials(ticker,"calculations",G$30,G$29,$N17)</f>
        <v>#VALUE!</v>
      </c>
      <c r="H17" s="291" t="str">
        <f>[1]!IntrinioFinancials(ticker,"calculations",H$30,H$29,$N17)</f>
        <v/>
      </c>
      <c r="I17" s="289" t="str">
        <f>[1]!IntrinioFinancials(ticker,"calculations",I$30,I$29,$N17)</f>
        <v/>
      </c>
      <c r="J17" s="289" t="str">
        <f>[1]!IntrinioFinancials(ticker,"calculations",J$30,J$29,$N17)</f>
        <v/>
      </c>
      <c r="K17" s="289" t="str">
        <f>[1]!IntrinioFinancials(ticker,"calculations",K$30,K$29,$N17)</f>
        <v/>
      </c>
      <c r="L17" s="243"/>
      <c r="M17" s="243"/>
      <c r="N17" s="243" t="s">
        <v>172</v>
      </c>
    </row>
    <row r="18" spans="2:14" ht="21.4" customHeight="1" x14ac:dyDescent="0.45">
      <c r="B18" s="293" t="s">
        <v>175</v>
      </c>
      <c r="C18" s="285" t="str">
        <f>[1]!IntrinioFinancials(ticker,"calculations",C$30,C$29,$N18)</f>
        <v/>
      </c>
      <c r="D18" s="286" t="str">
        <f>[1]!IntrinioFinancials(ticker,"calculations",D$30,D$29,$N18)</f>
        <v/>
      </c>
      <c r="E18" s="286" t="str">
        <f>[1]!IntrinioFinancials(ticker,"calculations",E$30,E$29,$N18)</f>
        <v/>
      </c>
      <c r="F18" s="286" t="str">
        <f>[1]!IntrinioFinancials(ticker,"calculations",F$30,F$29,$N18)</f>
        <v/>
      </c>
      <c r="G18" s="287" t="e">
        <f>[1]!IntrinioFinancials(ticker,"calculations",G$30,G$29,$N18)</f>
        <v>#VALUE!</v>
      </c>
      <c r="H18" s="285" t="str">
        <f>[1]!IntrinioFinancials(ticker,"calculations",H$30,H$29,$N18)</f>
        <v/>
      </c>
      <c r="I18" s="286" t="str">
        <f>[1]!IntrinioFinancials(ticker,"calculations",I$30,I$29,$N18)</f>
        <v/>
      </c>
      <c r="J18" s="286" t="str">
        <f>[1]!IntrinioFinancials(ticker,"calculations",J$30,J$29,$N18)</f>
        <v/>
      </c>
      <c r="K18" s="286" t="str">
        <f>[1]!IntrinioFinancials(ticker,"calculations",K$30,K$29,$N18)</f>
        <v/>
      </c>
      <c r="L18" s="17"/>
      <c r="M18" s="17"/>
      <c r="N18" s="17" t="s">
        <v>173</v>
      </c>
    </row>
    <row r="19" spans="2:14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17"/>
      <c r="L19" s="17"/>
      <c r="M19" s="17"/>
      <c r="N19" s="17"/>
    </row>
    <row r="20" spans="2:14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17"/>
      <c r="L20" s="17"/>
      <c r="M20" s="17"/>
      <c r="N20" s="17"/>
    </row>
    <row r="21" spans="2:14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17"/>
      <c r="L21" s="17"/>
      <c r="M21" s="17"/>
      <c r="N21" s="17"/>
    </row>
    <row r="22" spans="2:14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17"/>
      <c r="L22" s="17"/>
      <c r="M22" s="17"/>
      <c r="N22" s="17"/>
    </row>
    <row r="23" spans="2:14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17"/>
      <c r="L23" s="17"/>
      <c r="M23" s="17"/>
      <c r="N23" s="17"/>
    </row>
    <row r="24" spans="2:14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17"/>
      <c r="L24" s="17"/>
      <c r="M24" s="17"/>
      <c r="N24" s="17"/>
    </row>
    <row r="25" spans="2:14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17"/>
      <c r="L25" s="17"/>
      <c r="M25" s="17"/>
      <c r="N25" s="17"/>
    </row>
    <row r="26" spans="2:14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17"/>
      <c r="L26" s="17"/>
      <c r="M26" s="17"/>
      <c r="N26" s="17"/>
    </row>
    <row r="27" spans="2:14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17"/>
      <c r="L27" s="17"/>
      <c r="M27" s="17"/>
      <c r="N27" s="17"/>
    </row>
    <row r="28" spans="2:14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17"/>
      <c r="L28" s="49"/>
      <c r="M28" s="49"/>
      <c r="N28" s="17"/>
    </row>
    <row r="29" spans="2:14" ht="21.95" customHeight="1" x14ac:dyDescent="0.45">
      <c r="B29" s="28"/>
      <c r="C29" s="244" t="str">
        <f>D29</f>
        <v>FY</v>
      </c>
      <c r="D29" s="244" t="str">
        <f>E29</f>
        <v>FY</v>
      </c>
      <c r="E29" s="244" t="str">
        <f>F29</f>
        <v>FY</v>
      </c>
      <c r="F29" s="244" t="s">
        <v>137</v>
      </c>
      <c r="G29" s="244" t="str">
        <f>[1]!IntrinioFundamentals(ticker,"income_statement","TTM",G31,"fiscal_period")</f>
        <v/>
      </c>
      <c r="H29" s="244" t="str">
        <f>I29</f>
        <v>QTR</v>
      </c>
      <c r="I29" s="244" t="str">
        <f>J29</f>
        <v>QTR</v>
      </c>
      <c r="J29" s="244" t="str">
        <f>K29</f>
        <v>QTR</v>
      </c>
      <c r="K29" s="244" t="s">
        <v>138</v>
      </c>
      <c r="L29" s="49"/>
      <c r="M29" s="49"/>
      <c r="N29" s="17"/>
    </row>
    <row r="30" spans="2:14" ht="21.95" customHeight="1" x14ac:dyDescent="0.45">
      <c r="B30" s="28"/>
      <c r="C30" s="28">
        <f t="shared" ref="C30:I30" si="0">D30+1</f>
        <v>3</v>
      </c>
      <c r="D30" s="28">
        <f t="shared" si="0"/>
        <v>2</v>
      </c>
      <c r="E30" s="28">
        <f>F30+1</f>
        <v>1</v>
      </c>
      <c r="F30" s="28">
        <f>IF(G29="FY",1,0)</f>
        <v>0</v>
      </c>
      <c r="G30" s="28" t="str">
        <f>[1]!IntrinioFundamentals(ticker,"income_statement","TTM",G31,"fiscal_year")</f>
        <v/>
      </c>
      <c r="H30" s="28">
        <f t="shared" si="0"/>
        <v>3</v>
      </c>
      <c r="I30" s="28">
        <f t="shared" si="0"/>
        <v>2</v>
      </c>
      <c r="J30" s="28">
        <f>K30+1</f>
        <v>1</v>
      </c>
      <c r="K30" s="28">
        <v>0</v>
      </c>
      <c r="L30" s="49"/>
      <c r="M30" s="49"/>
      <c r="N30" s="17"/>
    </row>
    <row r="31" spans="2:14" ht="21.95" customHeight="1" x14ac:dyDescent="0.45">
      <c r="B31" s="28"/>
      <c r="C31" s="28"/>
      <c r="D31" s="28"/>
      <c r="E31" s="28"/>
      <c r="F31" s="28"/>
      <c r="G31" s="28">
        <v>0</v>
      </c>
      <c r="H31" s="28"/>
      <c r="I31" s="28"/>
      <c r="J31" s="28"/>
      <c r="K31" s="28"/>
      <c r="L31" s="51"/>
      <c r="M31" s="49"/>
      <c r="N31" s="17"/>
    </row>
    <row r="32" spans="2:14" ht="21.95" customHeight="1" x14ac:dyDescent="0.45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16"/>
      <c r="M32" s="17"/>
      <c r="N32" s="17"/>
    </row>
    <row r="33" spans="2:14" ht="21.9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17"/>
      <c r="M33" s="17"/>
      <c r="N33" s="17"/>
    </row>
    <row r="34" spans="2:14" ht="21.9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4" ht="23.8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15.75" customHeight="1" x14ac:dyDescent="0.45">
      <c r="C36" s="3"/>
      <c r="D36" s="3"/>
      <c r="E36" s="3"/>
      <c r="F36" s="3"/>
      <c r="G36" s="3"/>
      <c r="H36" s="3"/>
      <c r="I36" s="3"/>
      <c r="J36" s="3"/>
      <c r="K36" s="3"/>
      <c r="L36" s="20"/>
    </row>
    <row r="37" spans="2:14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  <c r="L42" s="19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</sheetData>
  <mergeCells count="2">
    <mergeCell ref="C3:G3"/>
    <mergeCell ref="H3:K3"/>
  </mergeCells>
  <conditionalFormatting sqref="L36:L38">
    <cfRule type="cellIs" dxfId="13" priority="1" operator="greaterThan">
      <formula>0</formula>
    </cfRule>
    <cfRule type="cellIs" dxfId="12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8"/>
    <pageSetUpPr fitToPage="1"/>
  </sheetPr>
  <dimension ref="A1:Q48"/>
  <sheetViews>
    <sheetView showGridLines="0" view="pageBreakPreview" zoomScale="80" zoomScaleNormal="100" zoomScaleSheetLayoutView="80" workbookViewId="0"/>
  </sheetViews>
  <sheetFormatPr defaultColWidth="9.1328125" defaultRowHeight="14.25" outlineLevelRow="1" x14ac:dyDescent="0.45"/>
  <cols>
    <col min="1" max="1" width="2.3984375" style="18" customWidth="1"/>
    <col min="2" max="2" width="20.73046875" style="18" customWidth="1"/>
    <col min="3" max="11" width="16.59765625" style="18" customWidth="1"/>
    <col min="12" max="13" width="17.86328125" style="18" customWidth="1"/>
    <col min="14" max="15" width="12.46484375" style="18" customWidth="1"/>
    <col min="16" max="16" width="0.86328125" style="18" customWidth="1"/>
    <col min="17" max="17" width="15.3984375" style="18" customWidth="1"/>
    <col min="18" max="16384" width="9.1328125" style="18"/>
  </cols>
  <sheetData>
    <row r="1" spans="1:17" ht="15.4" x14ac:dyDescent="0.45">
      <c r="A1" s="23" t="s">
        <v>180</v>
      </c>
      <c r="B1" s="23"/>
      <c r="C1" s="23"/>
    </row>
    <row r="2" spans="1:17" ht="14.65" thickBot="1" x14ac:dyDescent="0.5"/>
    <row r="3" spans="1:17" ht="21.75" customHeight="1" x14ac:dyDescent="0.45">
      <c r="B3" s="374"/>
      <c r="C3" s="376" t="str">
        <f>IFERROR(DATEVALUE(([1]!IntrinioFundamentals(ticker,"income_statement","FY",0,"end_date"))),"")</f>
        <v/>
      </c>
      <c r="D3" s="376" t="e">
        <f>DATE(YEAR(C3)+1,MONTH(C3),DAY(C3))</f>
        <v>#VALUE!</v>
      </c>
      <c r="E3" s="376" t="e">
        <f>DATE(YEAR(D3)+1,MONTH(D3),DAY(D3))</f>
        <v>#VALUE!</v>
      </c>
      <c r="F3" s="376" t="e">
        <f>DATE(YEAR(E3)+1,MONTH(E3),DAY(E3))</f>
        <v>#VALUE!</v>
      </c>
      <c r="G3" s="376" t="e">
        <f>DATE(YEAR(F3)+1,MONTH(F3),DAY(F3))</f>
        <v>#VALUE!</v>
      </c>
      <c r="H3" s="377" t="e">
        <f>DATE(YEAR(G3)+1,MONTH(G3),DAY(G3))</f>
        <v>#VALUE!</v>
      </c>
      <c r="I3" s="162"/>
      <c r="J3" s="162"/>
      <c r="K3" s="162"/>
      <c r="L3" s="162"/>
      <c r="M3" s="162"/>
      <c r="N3" s="28"/>
      <c r="O3" s="28"/>
    </row>
    <row r="4" spans="1:17" ht="21.75" customHeight="1" thickBot="1" x14ac:dyDescent="0.5">
      <c r="B4" s="375"/>
      <c r="C4" s="378" t="str">
        <f>"FY "&amp;[1]!IntrinioFundamentals(ticker,"calculations","FY",0,"fiscal_year")&amp;"A"</f>
        <v>FY A</v>
      </c>
      <c r="D4" s="378" t="e">
        <f>"FY "&amp;[1]!IntrinioFundamentals(ticker,"calculations","FY",0,"fiscal_year")+1&amp;"E"</f>
        <v>#VALUE!</v>
      </c>
      <c r="E4" s="378" t="e">
        <f>"FY "&amp;[1]!IntrinioFundamentals(ticker,"calculations","FY",0,"fiscal_year")+2&amp;"E"</f>
        <v>#VALUE!</v>
      </c>
      <c r="F4" s="378" t="e">
        <f>"FY "&amp;[1]!IntrinioFundamentals(ticker,"calculations","FY",0,"fiscal_year")+3&amp;"E"</f>
        <v>#VALUE!</v>
      </c>
      <c r="G4" s="378" t="e">
        <f>"FY "&amp;[1]!IntrinioFundamentals(ticker,"calculations","FY",0,"fiscal_year")+4&amp;"E"</f>
        <v>#VALUE!</v>
      </c>
      <c r="H4" s="379" t="e">
        <f>"FY "&amp;[1]!IntrinioFundamentals(ticker,"calculations","FY",0,"fiscal_year")+5&amp;"E"</f>
        <v>#VALUE!</v>
      </c>
      <c r="I4" s="163"/>
      <c r="J4" s="163"/>
      <c r="K4" s="163"/>
      <c r="L4" s="163"/>
      <c r="M4" s="163"/>
      <c r="N4" s="28"/>
      <c r="O4" s="28"/>
      <c r="Q4" s="1"/>
    </row>
    <row r="5" spans="1:17" ht="15.4" x14ac:dyDescent="0.45">
      <c r="B5" s="132"/>
      <c r="C5" s="133"/>
      <c r="D5" s="172" t="s">
        <v>142</v>
      </c>
      <c r="E5" s="173"/>
      <c r="F5" s="173"/>
      <c r="G5" s="173"/>
      <c r="H5" s="174"/>
      <c r="I5" s="164"/>
      <c r="J5" s="164"/>
      <c r="K5" s="164"/>
      <c r="L5" s="164"/>
      <c r="M5" s="164"/>
    </row>
    <row r="6" spans="1:17" ht="21.95" customHeight="1" thickBot="1" x14ac:dyDescent="0.5">
      <c r="B6" s="137" t="s">
        <v>66</v>
      </c>
      <c r="C6" s="202" t="str">
        <f>IFERROR([1]!IntrinioFinancials(ticker,"income_statement",0,"FY","totalrevenue","A")/1000000,"")</f>
        <v/>
      </c>
      <c r="D6" s="203" t="str">
        <f>IFERROR(C6*(1+D7),"")</f>
        <v/>
      </c>
      <c r="E6" s="204" t="str">
        <f>IFERROR(D6*(1+E7),"")</f>
        <v/>
      </c>
      <c r="F6" s="204" t="str">
        <f>IFERROR(E6*(1+F7),"")</f>
        <v/>
      </c>
      <c r="G6" s="204" t="str">
        <f>IFERROR(F6*(1+G7),"")</f>
        <v/>
      </c>
      <c r="H6" s="205" t="str">
        <f>IFERROR(G6*(1+H7),"")</f>
        <v/>
      </c>
      <c r="I6" s="165"/>
      <c r="J6" s="165"/>
      <c r="K6" s="165"/>
      <c r="L6" s="165"/>
      <c r="M6" s="165"/>
      <c r="P6" s="17"/>
      <c r="Q6" s="17"/>
    </row>
    <row r="7" spans="1:17" ht="21.95" customHeight="1" thickBot="1" x14ac:dyDescent="0.5">
      <c r="B7" s="373" t="s">
        <v>119</v>
      </c>
      <c r="C7" s="206" t="str">
        <f>[1]!IntrinioFinancials(ticker,"calculations",0,"FY","revenuegrowth")</f>
        <v/>
      </c>
      <c r="D7" s="207" t="str">
        <f>IFERROR(TEXT(([1]!IntrinioDataPoint(ticker,"current_yr_ave_revenue_est")/1000000)/C6-1,"0.0%"),"")</f>
        <v/>
      </c>
      <c r="E7" s="208" t="str">
        <f>IFERROR(TEXT(([1]!IntrinioDataPoint(ticker,"next_yr_ave_revenue_est"))/([1]!IntrinioDataPoint(ticker,"current_yr_ave_revenue_est"))-1,"0.0%"),"")</f>
        <v/>
      </c>
      <c r="F7" s="208" t="str">
        <f>IFERROR(TEXT(E7 - ($E$7 - $H$7) / 3,"0.0%"),"")</f>
        <v/>
      </c>
      <c r="G7" s="208" t="str">
        <f>IFERROR(TEXT(F7 - ($E$7 - $H$7) / 3,"0.0%"),"")</f>
        <v/>
      </c>
      <c r="H7" s="209" t="str">
        <f>IFERROR(TEXT(((1+[1]!IntrinioDataPoint(ticker,"long_term_growth_rate"))^(1/5))-1,"0.0%"),"")</f>
        <v/>
      </c>
      <c r="I7" s="166"/>
      <c r="J7" s="166"/>
      <c r="K7" s="166"/>
      <c r="L7" s="166"/>
      <c r="M7" s="166"/>
      <c r="P7" s="17"/>
      <c r="Q7" s="17"/>
    </row>
    <row r="8" spans="1:17" ht="8.85" customHeight="1" x14ac:dyDescent="0.45">
      <c r="B8" s="373"/>
      <c r="C8" s="134"/>
      <c r="D8" s="175"/>
      <c r="E8" s="167"/>
      <c r="F8" s="167"/>
      <c r="G8" s="167"/>
      <c r="H8" s="176"/>
      <c r="I8" s="167"/>
      <c r="J8" s="167"/>
      <c r="K8" s="167"/>
      <c r="L8" s="167"/>
      <c r="M8" s="167"/>
      <c r="P8" s="17"/>
      <c r="Q8" s="17"/>
    </row>
    <row r="9" spans="1:17" ht="21.75" customHeight="1" thickBot="1" x14ac:dyDescent="0.5">
      <c r="B9" s="137" t="s">
        <v>94</v>
      </c>
      <c r="C9" s="214" t="str">
        <f>IFERROR([1]!IntrinioFinancials(ticker,"calculations",0,"FY","nopat","A")/1000000,"")</f>
        <v/>
      </c>
      <c r="D9" s="215" t="str">
        <f>IFERROR(D6*D10,"")</f>
        <v/>
      </c>
      <c r="E9" s="216" t="str">
        <f>IFERROR(E6*E10,"")</f>
        <v/>
      </c>
      <c r="F9" s="216" t="str">
        <f>IFERROR(F6*F10,"")</f>
        <v/>
      </c>
      <c r="G9" s="216" t="str">
        <f>IFERROR(G6*G10,"")</f>
        <v/>
      </c>
      <c r="H9" s="217" t="str">
        <f>IFERROR(H6*H10,"")</f>
        <v/>
      </c>
      <c r="I9" s="168"/>
      <c r="J9" s="168"/>
      <c r="K9" s="168"/>
      <c r="L9" s="168"/>
      <c r="M9" s="168"/>
      <c r="P9" s="17"/>
      <c r="Q9" s="17"/>
    </row>
    <row r="10" spans="1:17" ht="21.95" customHeight="1" thickBot="1" x14ac:dyDescent="0.5">
      <c r="B10" s="373" t="s">
        <v>120</v>
      </c>
      <c r="C10" s="206" t="str">
        <f>IFERROR(C9/C6,"")</f>
        <v/>
      </c>
      <c r="D10" s="207" t="str">
        <f>IFERROR(TEXT(C10 - ($C$10 -$H$10) / 5,"0.0%"),"")</f>
        <v/>
      </c>
      <c r="E10" s="208" t="str">
        <f>IFERROR(TEXT(D10 - ($C$10 -$H$10) / 5,"0.0%"),"")</f>
        <v/>
      </c>
      <c r="F10" s="208" t="str">
        <f>IFERROR(TEXT(E10 - ($C$10 -$H$10) / 5,"0.0%"),"")</f>
        <v/>
      </c>
      <c r="G10" s="208" t="str">
        <f>IFERROR(TEXT(F10 - ($C$10 -$H$10) / 5,"0.0%"),"")</f>
        <v/>
      </c>
      <c r="H10" s="209" t="str">
        <f>IFERROR(AVERAGE([1]!IntrinioFinancials(ticker,"calculations",0,"FY","nopatmargin"),[1]!IntrinioFinancials(ticker,"calculations",1,"FY","nopatmargin"),[1]!IntrinioFinancials(ticker,"calculations",2,"FY","nopatmargin")),C10)</f>
        <v/>
      </c>
      <c r="I10" s="166"/>
      <c r="J10" s="166"/>
      <c r="K10" s="166"/>
      <c r="L10" s="166"/>
      <c r="M10" s="166"/>
      <c r="P10" s="17"/>
      <c r="Q10" s="17"/>
    </row>
    <row r="11" spans="1:17" ht="8.85" customHeight="1" x14ac:dyDescent="0.45">
      <c r="B11" s="373"/>
      <c r="C11" s="134"/>
      <c r="D11" s="175"/>
      <c r="E11" s="167"/>
      <c r="F11" s="167"/>
      <c r="G11" s="167"/>
      <c r="H11" s="176"/>
      <c r="I11" s="167"/>
      <c r="J11" s="167"/>
      <c r="K11" s="167"/>
      <c r="L11" s="167"/>
      <c r="M11" s="167"/>
      <c r="P11" s="17"/>
      <c r="Q11" s="17"/>
    </row>
    <row r="12" spans="1:17" ht="21.95" customHeight="1" thickBot="1" x14ac:dyDescent="0.5">
      <c r="B12" s="137" t="s">
        <v>95</v>
      </c>
      <c r="C12" s="214" t="str">
        <f>IFERROR([1]!IntrinioFinancials(ticker,"calculations",0,"FY","investedcapital","A")/1000000,"")</f>
        <v/>
      </c>
      <c r="D12" s="215" t="str">
        <f>IFERROR(D6/D13,"")</f>
        <v/>
      </c>
      <c r="E12" s="216" t="str">
        <f>IFERROR(E6/E13,"")</f>
        <v/>
      </c>
      <c r="F12" s="216" t="str">
        <f>IFERROR(F6/F13,"")</f>
        <v/>
      </c>
      <c r="G12" s="216" t="str">
        <f>IFERROR(G6/G13,"")</f>
        <v/>
      </c>
      <c r="H12" s="217" t="str">
        <f>IFERROR(H6/H13,"")</f>
        <v/>
      </c>
      <c r="I12" s="168"/>
      <c r="J12" s="168"/>
      <c r="K12" s="168"/>
      <c r="L12" s="168"/>
      <c r="M12" s="168"/>
      <c r="P12" s="49"/>
      <c r="Q12" s="49"/>
    </row>
    <row r="13" spans="1:17" ht="21.95" customHeight="1" thickBot="1" x14ac:dyDescent="0.5">
      <c r="B13" s="373" t="s">
        <v>121</v>
      </c>
      <c r="C13" s="210" t="str">
        <f>IFERROR(C6/C12,"")</f>
        <v/>
      </c>
      <c r="D13" s="211" t="str">
        <f>IFERROR(C13 - ($C$13 -$H$13) / 5,"")</f>
        <v/>
      </c>
      <c r="E13" s="212" t="str">
        <f>IFERROR(D13 - ($C$13 -$H$13) / 5,"")</f>
        <v/>
      </c>
      <c r="F13" s="212" t="str">
        <f>IFERROR(E13 - ($C$13 -$H$13) / 5,"")</f>
        <v/>
      </c>
      <c r="G13" s="212" t="str">
        <f>IFERROR(F13 - ($C$13 -$H$13) / 5,"")</f>
        <v/>
      </c>
      <c r="H13" s="213" t="str">
        <f>IFERROR(AVERAGE([1]!IntrinioFinancials(ticker,"calculations",0,"FY","investedcapitalturnover"),[1]!IntrinioFinancials(ticker,"calculations",1,"FY","investedcapitalturnover"),[1]!IntrinioFinancials(ticker,"calculations",2,"FY","investedcapitalturnover")),C13)</f>
        <v/>
      </c>
      <c r="I13" s="169"/>
      <c r="J13" s="169"/>
      <c r="K13" s="169"/>
      <c r="L13" s="169"/>
      <c r="M13" s="169"/>
      <c r="P13" s="49"/>
      <c r="Q13" s="49"/>
    </row>
    <row r="14" spans="1:17" ht="6.95" customHeight="1" x14ac:dyDescent="0.45">
      <c r="B14" s="373"/>
      <c r="C14" s="135"/>
      <c r="D14" s="177"/>
      <c r="E14" s="170"/>
      <c r="F14" s="170"/>
      <c r="G14" s="170"/>
      <c r="H14" s="178"/>
      <c r="I14" s="170"/>
      <c r="J14" s="170"/>
      <c r="K14" s="170"/>
      <c r="L14" s="170"/>
      <c r="M14" s="170"/>
      <c r="P14" s="49"/>
      <c r="Q14" s="49"/>
    </row>
    <row r="15" spans="1:17" ht="21.95" customHeight="1" x14ac:dyDescent="0.45">
      <c r="B15" s="137" t="s">
        <v>122</v>
      </c>
      <c r="C15" s="218" t="str">
        <f>IFERROR(C12-[1]!IntrinioFinancials(ticker,"calculations",1,"FY","investedcapital","A")/1000000,"")</f>
        <v/>
      </c>
      <c r="D15" s="219" t="str">
        <f>IFERROR(D12-C12,"")</f>
        <v/>
      </c>
      <c r="E15" s="220" t="str">
        <f>IFERROR(E12-D12,"")</f>
        <v/>
      </c>
      <c r="F15" s="220" t="str">
        <f>IFERROR(F12-E12,"")</f>
        <v/>
      </c>
      <c r="G15" s="220" t="str">
        <f>IFERROR(G12-F12,"")</f>
        <v/>
      </c>
      <c r="H15" s="221" t="str">
        <f>IFERROR(H12-G12,"")</f>
        <v/>
      </c>
      <c r="I15" s="171"/>
      <c r="J15" s="171"/>
      <c r="K15" s="171"/>
      <c r="L15" s="171"/>
      <c r="M15" s="171"/>
      <c r="P15" s="49"/>
      <c r="Q15" s="49"/>
    </row>
    <row r="16" spans="1:17" ht="8.85" customHeight="1" x14ac:dyDescent="0.45">
      <c r="B16" s="319"/>
      <c r="C16" s="222"/>
      <c r="D16" s="223"/>
      <c r="E16" s="224"/>
      <c r="F16" s="224"/>
      <c r="G16" s="224"/>
      <c r="H16" s="225"/>
      <c r="I16" s="170"/>
      <c r="J16" s="170"/>
      <c r="K16" s="170"/>
      <c r="L16" s="170"/>
      <c r="M16" s="170"/>
      <c r="P16" s="49"/>
      <c r="Q16" s="49"/>
    </row>
    <row r="17" spans="2:17" ht="21.75" customHeight="1" thickBot="1" x14ac:dyDescent="0.5">
      <c r="B17" s="137" t="s">
        <v>123</v>
      </c>
      <c r="C17" s="226" t="str">
        <f t="shared" ref="C17:H17" si="0">IFERROR(C9-C15,"")</f>
        <v/>
      </c>
      <c r="D17" s="227" t="str">
        <f t="shared" si="0"/>
        <v/>
      </c>
      <c r="E17" s="228" t="str">
        <f t="shared" si="0"/>
        <v/>
      </c>
      <c r="F17" s="228" t="str">
        <f t="shared" si="0"/>
        <v/>
      </c>
      <c r="G17" s="228" t="str">
        <f t="shared" si="0"/>
        <v/>
      </c>
      <c r="H17" s="229" t="str">
        <f t="shared" si="0"/>
        <v/>
      </c>
      <c r="I17" s="168"/>
      <c r="J17" s="168"/>
      <c r="K17" s="168"/>
      <c r="L17" s="168"/>
      <c r="M17" s="168"/>
      <c r="P17" s="49"/>
      <c r="Q17" s="49"/>
    </row>
    <row r="18" spans="2:17" ht="5.65" customHeight="1" thickTop="1" thickBot="1" x14ac:dyDescent="0.5">
      <c r="B18" s="136"/>
      <c r="C18" s="135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P18" s="49"/>
      <c r="Q18" s="49"/>
    </row>
    <row r="19" spans="2:17" ht="21.95" hidden="1" customHeight="1" outlineLevel="1" x14ac:dyDescent="0.45">
      <c r="B19" s="398" t="s">
        <v>96</v>
      </c>
      <c r="C19" s="398"/>
      <c r="D19" s="139">
        <f>J32</f>
        <v>0</v>
      </c>
      <c r="E19" s="139">
        <f>D19</f>
        <v>0</v>
      </c>
      <c r="F19" s="139">
        <f>E19</f>
        <v>0</v>
      </c>
      <c r="G19" s="139">
        <f>F19</f>
        <v>0</v>
      </c>
      <c r="H19" s="139">
        <f>G19</f>
        <v>0</v>
      </c>
      <c r="I19" s="139"/>
      <c r="J19" s="139"/>
      <c r="K19" s="139"/>
      <c r="L19" s="139"/>
      <c r="M19" s="139"/>
      <c r="P19" s="49"/>
      <c r="Q19" s="49"/>
    </row>
    <row r="20" spans="2:17" ht="21.95" hidden="1" customHeight="1" outlineLevel="1" thickBot="1" x14ac:dyDescent="0.5">
      <c r="B20" s="398" t="s">
        <v>97</v>
      </c>
      <c r="C20" s="398"/>
      <c r="D20" s="140">
        <f ca="1">IFERROR(IF((D3-DATE(YEAR(NOW()),MONTH(NOW()),DAY(NOW())))/365&lt;1,IF((D3-DATE(YEAR(NOW()),MONTH(NOW()),DAY(NOW())))/365&lt;0,0,(D3-DATE(YEAR(NOW()),MONTH(NOW()),DAY(NOW())))/365),0),1)</f>
        <v>1</v>
      </c>
      <c r="E20" s="140">
        <f ca="1">IFERROR(IF(((E3-NOW())/365)&gt;1,1,(E3-NOW())/365),1)</f>
        <v>1</v>
      </c>
      <c r="F20" s="140">
        <v>1</v>
      </c>
      <c r="G20" s="140">
        <v>1</v>
      </c>
      <c r="H20" s="140">
        <v>1</v>
      </c>
      <c r="I20" s="140"/>
      <c r="J20" s="140"/>
      <c r="K20" s="140"/>
      <c r="L20" s="140"/>
      <c r="M20" s="140"/>
      <c r="P20" s="49"/>
      <c r="Q20" s="49"/>
    </row>
    <row r="21" spans="2:17" ht="21.95" customHeight="1" collapsed="1" thickBot="1" x14ac:dyDescent="0.5">
      <c r="B21" s="142"/>
      <c r="C21" s="142"/>
      <c r="D21" s="140"/>
      <c r="E21" s="140"/>
      <c r="G21" s="201" t="s">
        <v>179</v>
      </c>
      <c r="H21" s="316" t="e">
        <f>1/(H19-H7)</f>
        <v>#VALUE!</v>
      </c>
      <c r="I21" s="140"/>
      <c r="J21" s="140"/>
      <c r="K21" s="140"/>
      <c r="L21" s="140"/>
      <c r="M21" s="140"/>
      <c r="P21" s="49"/>
      <c r="Q21" s="49"/>
    </row>
    <row r="22" spans="2:17" ht="21.95" customHeight="1" thickBot="1" x14ac:dyDescent="0.5">
      <c r="B22" s="398"/>
      <c r="C22" s="398"/>
      <c r="D22" s="138"/>
      <c r="E22" s="138"/>
      <c r="G22" s="201" t="s">
        <v>125</v>
      </c>
      <c r="H22" s="233" t="str">
        <f>IFERROR(H9*H21,"")</f>
        <v/>
      </c>
      <c r="I22" s="141"/>
      <c r="J22" s="141"/>
      <c r="K22" s="141"/>
      <c r="L22" s="141"/>
      <c r="M22" s="141"/>
      <c r="P22" s="51"/>
      <c r="Q22" s="49"/>
    </row>
    <row r="23" spans="2:17" ht="4.9000000000000004" hidden="1" customHeight="1" outlineLevel="1" thickTop="1" x14ac:dyDescent="0.45">
      <c r="B23" s="142"/>
      <c r="C23" s="142"/>
      <c r="D23" s="138"/>
      <c r="E23" s="138"/>
      <c r="F23" s="138"/>
      <c r="G23" s="138"/>
      <c r="H23" s="231"/>
      <c r="I23" s="143"/>
      <c r="J23" s="143"/>
      <c r="K23" s="143"/>
      <c r="L23" s="143"/>
      <c r="M23" s="143"/>
      <c r="P23" s="16"/>
      <c r="Q23" s="17"/>
    </row>
    <row r="24" spans="2:17" ht="21.95" hidden="1" customHeight="1" outlineLevel="1" x14ac:dyDescent="0.45">
      <c r="B24" s="398" t="s">
        <v>98</v>
      </c>
      <c r="C24" s="398"/>
      <c r="D24" s="144">
        <f ca="1">IFERROR(IF((D3-DATE(YEAR(NOW()),MONTH(NOW()),DAY(NOW())))/365&lt;1,IF((D3-DATE(YEAR(NOW()),MONTH(NOW()),DAY(NOW())))/365&lt;0,0,(D3-DATE(YEAR(NOW()),MONTH(NOW()),DAY(NOW())))/365),0),1)</f>
        <v>1</v>
      </c>
      <c r="E24" s="144">
        <f ca="1">IFERROR(IFERROR(IF(((E3-NOW())/365)&gt;1,D24+1,(E3-NOW())/365),1),"")</f>
        <v>1</v>
      </c>
      <c r="F24" s="144">
        <f ca="1">IFERROR(E24+1,"")</f>
        <v>2</v>
      </c>
      <c r="G24" s="144">
        <f ca="1">IFERROR(F24+1,"")</f>
        <v>3</v>
      </c>
      <c r="H24" s="144">
        <f ca="1">IFERROR(G24,"")</f>
        <v>3</v>
      </c>
      <c r="I24" s="145"/>
      <c r="J24" s="145"/>
      <c r="K24" s="145"/>
      <c r="L24" s="145"/>
      <c r="M24" s="145"/>
      <c r="P24" s="17"/>
      <c r="Q24" s="17"/>
    </row>
    <row r="25" spans="2:17" ht="21.95" customHeight="1" collapsed="1" thickTop="1" thickBot="1" x14ac:dyDescent="0.5">
      <c r="B25" s="398" t="s">
        <v>124</v>
      </c>
      <c r="C25" s="398"/>
      <c r="D25" s="232" t="str">
        <f ca="1">IFERROR(IF(D20=0,0,PV(D19,D24,0,-D17,0)*D20),"")</f>
        <v/>
      </c>
      <c r="E25" s="232" t="str">
        <f ca="1">IFERROR(PV(E19,E24,0,-E17,0)*E20,"")</f>
        <v/>
      </c>
      <c r="F25" s="232" t="str">
        <f ca="1">IFERROR(PV(F19,F24,0,-F17,0),"")</f>
        <v/>
      </c>
      <c r="G25" s="232" t="str">
        <f ca="1">IFERROR(PV(G19,G24,0,-G17,0),"")</f>
        <v/>
      </c>
      <c r="H25" s="232" t="str">
        <f ca="1">IFERROR(PV(H19,H24,0,-H22,0),"")</f>
        <v/>
      </c>
      <c r="I25" s="161"/>
      <c r="J25" s="161"/>
      <c r="K25" s="161"/>
      <c r="L25" s="161"/>
      <c r="M25" s="161"/>
    </row>
    <row r="26" spans="2:17" ht="8.85" customHeight="1" thickTop="1" x14ac:dyDescent="0.45">
      <c r="B26" s="142"/>
      <c r="C26" s="142"/>
      <c r="D26" s="143"/>
      <c r="E26" s="143"/>
      <c r="F26" s="143"/>
      <c r="G26" s="143"/>
      <c r="H26" s="143"/>
      <c r="I26" s="143"/>
      <c r="J26" s="143"/>
      <c r="K26" s="143"/>
      <c r="L26" s="143"/>
      <c r="M26" s="143"/>
    </row>
    <row r="27" spans="2:17" ht="15.4" x14ac:dyDescent="0.45">
      <c r="B27" s="398" t="s">
        <v>99</v>
      </c>
      <c r="C27" s="398"/>
      <c r="D27" s="230" t="str">
        <f ca="1">IF(D25="","",IFERROR(SUM($D$25:$G$25),""))</f>
        <v/>
      </c>
      <c r="E27" s="187"/>
      <c r="L27" s="146"/>
      <c r="M27" s="146"/>
      <c r="P27" s="20"/>
    </row>
    <row r="28" spans="2:17" ht="15.4" x14ac:dyDescent="0.45">
      <c r="B28" s="398" t="s">
        <v>141</v>
      </c>
      <c r="C28" s="398"/>
      <c r="D28" s="234" t="str">
        <f ca="1">IFERROR(H25,"")</f>
        <v/>
      </c>
      <c r="E28" s="187"/>
      <c r="L28" s="147"/>
      <c r="M28" s="147"/>
      <c r="P28" s="20"/>
    </row>
    <row r="29" spans="2:17" ht="30.75" x14ac:dyDescent="0.45">
      <c r="B29" s="398" t="s">
        <v>100</v>
      </c>
      <c r="C29" s="398"/>
      <c r="D29" s="230" t="str">
        <f ca="1">IFERROR(D28+D27,"")</f>
        <v/>
      </c>
      <c r="E29" s="187"/>
      <c r="F29" s="240" t="s">
        <v>128</v>
      </c>
      <c r="G29" s="241" t="s">
        <v>109</v>
      </c>
      <c r="H29" s="241" t="s">
        <v>110</v>
      </c>
      <c r="I29" s="241" t="s">
        <v>108</v>
      </c>
      <c r="J29" s="241" t="s">
        <v>111</v>
      </c>
      <c r="K29" s="146"/>
      <c r="L29" s="148"/>
      <c r="M29" s="148"/>
      <c r="P29" s="20"/>
    </row>
    <row r="30" spans="2:17" ht="15.4" x14ac:dyDescent="0.45">
      <c r="B30" s="398" t="s">
        <v>101</v>
      </c>
      <c r="C30" s="398"/>
      <c r="D30" s="149">
        <f>IFERROR((1+D19)^0.5,"")</f>
        <v>1</v>
      </c>
      <c r="E30" s="187"/>
      <c r="F30" s="198" t="s">
        <v>118</v>
      </c>
      <c r="G30" s="199" t="str">
        <f>G40</f>
        <v/>
      </c>
      <c r="H30" s="200" t="str">
        <f>IFERROR([1]!IntrinioDataPoint(ticker,"debt")/1000000,"")</f>
        <v/>
      </c>
      <c r="I30" s="199" t="str">
        <f>IFERROR(H30/$H$32,"")</f>
        <v/>
      </c>
      <c r="J30" s="199" t="str">
        <f>IFERROR(I30*G30,"")</f>
        <v/>
      </c>
      <c r="K30" s="147"/>
      <c r="L30" s="150"/>
      <c r="M30" s="150"/>
    </row>
    <row r="31" spans="2:17" ht="15.4" x14ac:dyDescent="0.45">
      <c r="B31" s="398" t="s">
        <v>102</v>
      </c>
      <c r="C31" s="398"/>
      <c r="D31" s="230" t="str">
        <f ca="1">IFERROR($D$29*$D$30,"")</f>
        <v/>
      </c>
      <c r="E31" s="187"/>
      <c r="F31" s="192" t="s">
        <v>112</v>
      </c>
      <c r="G31" s="179" t="e">
        <f>J40</f>
        <v>#VALUE!</v>
      </c>
      <c r="H31" s="180" t="str">
        <f>IFERROR([1]!IntrinioDataPoint(ticker,"marketcap")/1000000,"")</f>
        <v/>
      </c>
      <c r="I31" s="179" t="str">
        <f>IFERROR(H31/$H$32,"")</f>
        <v/>
      </c>
      <c r="J31" s="179" t="str">
        <f>IFERROR(I31*G31,"")</f>
        <v/>
      </c>
      <c r="K31" s="148"/>
      <c r="L31" s="147"/>
      <c r="M31" s="147"/>
      <c r="P31" s="19"/>
    </row>
    <row r="32" spans="2:17" ht="15.75" thickBot="1" x14ac:dyDescent="0.5">
      <c r="B32" s="398"/>
      <c r="C32" s="398"/>
      <c r="D32" s="146"/>
      <c r="E32" s="187"/>
      <c r="F32" s="181"/>
      <c r="G32" s="182"/>
      <c r="H32" s="235">
        <f>SUM(H30:H31)</f>
        <v>0</v>
      </c>
      <c r="I32" s="236">
        <f>SUM(I30:I31)</f>
        <v>0</v>
      </c>
      <c r="J32" s="236">
        <f>SUM(J30:J31)</f>
        <v>0</v>
      </c>
      <c r="K32" s="150"/>
      <c r="L32" s="148"/>
      <c r="M32" s="148"/>
    </row>
    <row r="33" spans="2:13" ht="15.75" thickTop="1" x14ac:dyDescent="0.45">
      <c r="B33" s="398" t="s">
        <v>126</v>
      </c>
      <c r="C33" s="398"/>
      <c r="D33" s="230" t="e">
        <f>-[1]!IntrinioFinancials(ticker,"calculations",0,"QTR","netdebt","A")/1000000</f>
        <v>#VALUE!</v>
      </c>
      <c r="E33" s="187"/>
      <c r="F33" s="181"/>
      <c r="G33" s="182"/>
      <c r="H33" s="197"/>
      <c r="I33" s="182"/>
      <c r="J33" s="182"/>
      <c r="K33" s="147"/>
      <c r="L33" s="150"/>
      <c r="M33" s="150"/>
    </row>
    <row r="34" spans="2:13" ht="15.4" x14ac:dyDescent="0.45">
      <c r="B34" s="398" t="s">
        <v>127</v>
      </c>
      <c r="C34" s="398"/>
      <c r="D34" s="234" t="e">
        <f>-([1]!IntrinioFinancials(ticker,"balance_sheet",0,"FY","redeemablenoncontrollinginterest","A")+[1]!IntrinioFinancials(ticker,"balance_sheet",0,"FY","totalpreferredequity","A")+[1]!IntrinioFinancials(ticker,"balance_sheet",0,"FY","noncontrollinginterests","A"))/1000000</f>
        <v>#VALUE!</v>
      </c>
      <c r="E34" s="187"/>
      <c r="F34" s="187"/>
      <c r="G34" s="187"/>
      <c r="H34" s="148"/>
      <c r="I34" s="148"/>
      <c r="J34" s="148"/>
      <c r="K34" s="148"/>
      <c r="M34" s="147"/>
    </row>
    <row r="35" spans="2:13" ht="15.4" x14ac:dyDescent="0.45">
      <c r="B35" s="398" t="s">
        <v>103</v>
      </c>
      <c r="C35" s="398"/>
      <c r="D35" s="230" t="str">
        <f ca="1">IF(D31="","",IFERROR(SUM($D$31:$D$34),""))</f>
        <v/>
      </c>
      <c r="E35" s="187"/>
      <c r="F35" s="187"/>
      <c r="G35" s="187"/>
      <c r="H35" s="150"/>
      <c r="I35" s="150"/>
      <c r="J35" s="150"/>
      <c r="K35" s="150"/>
      <c r="L35" s="184"/>
      <c r="M35" s="148"/>
    </row>
    <row r="36" spans="2:13" ht="15.75" thickBot="1" x14ac:dyDescent="0.5">
      <c r="B36" s="151"/>
      <c r="C36" s="142"/>
      <c r="D36" s="152"/>
      <c r="E36" s="187"/>
      <c r="F36" s="193" t="s">
        <v>117</v>
      </c>
      <c r="G36" s="183">
        <f>[1]!IntrinioDataPoint("$DGS20","level")/100</f>
        <v>2.81E-2</v>
      </c>
      <c r="H36" s="147"/>
      <c r="I36" s="190" t="str">
        <f>F36</f>
        <v>Risk-Free Rate (20Yr)</v>
      </c>
      <c r="J36" s="183">
        <f>[1]!IntrinioDataPoint("$DGS20","level")/100</f>
        <v>2.81E-2</v>
      </c>
      <c r="L36" s="184"/>
      <c r="M36" s="150"/>
    </row>
    <row r="37" spans="2:13" ht="15.75" thickBot="1" x14ac:dyDescent="0.5">
      <c r="B37" s="398" t="s">
        <v>104</v>
      </c>
      <c r="C37" s="398"/>
      <c r="D37" s="153" t="e">
        <f>[1]!IntrinioFinancials(ticker,"income_statement",0,"FY","weightedavedilutedsharesos","A")/1000000</f>
        <v>#VALUE!</v>
      </c>
      <c r="E37" s="187"/>
      <c r="F37" s="190" t="s">
        <v>113</v>
      </c>
      <c r="G37" s="239">
        <f>([1]!IntrinioDataPoint("$DBAA","level")/100-G36)*10000</f>
        <v>155</v>
      </c>
      <c r="H37" s="148"/>
      <c r="I37" s="190" t="s">
        <v>116</v>
      </c>
      <c r="J37" s="184">
        <f>[1]!IntrinioDataPoint("DMD.ERP","smoothed_erp")</f>
        <v>6.1400000000000003E-2</v>
      </c>
      <c r="L37" s="188"/>
      <c r="M37" s="147"/>
    </row>
    <row r="38" spans="2:13" ht="23.65" thickBot="1" x14ac:dyDescent="0.75">
      <c r="B38" s="400" t="s">
        <v>105</v>
      </c>
      <c r="C38" s="400"/>
      <c r="D38" s="154" t="str">
        <f ca="1">IFERROR(D35/D37,"")</f>
        <v/>
      </c>
      <c r="E38" s="187"/>
      <c r="F38" s="190" t="s">
        <v>114</v>
      </c>
      <c r="G38" s="184">
        <f>G36+G37/10000</f>
        <v>4.36E-2</v>
      </c>
      <c r="H38" s="150"/>
      <c r="I38" s="193" t="s">
        <v>10</v>
      </c>
      <c r="J38" s="189" t="str">
        <f>[1]!IntrinioDataPoint(ticker,"beta")</f>
        <v/>
      </c>
      <c r="L38" s="148"/>
      <c r="M38" s="148"/>
    </row>
    <row r="39" spans="2:13" ht="16.149999999999999" thickTop="1" thickBot="1" x14ac:dyDescent="0.5">
      <c r="B39" s="142"/>
      <c r="C39" s="142"/>
      <c r="D39" s="155"/>
      <c r="E39" s="187"/>
      <c r="F39" s="190" t="s">
        <v>115</v>
      </c>
      <c r="G39" s="185" t="str">
        <f>[1]!IntrinioFinancials(ticker,"calculations",0,"TTM","efftaxrate")</f>
        <v/>
      </c>
      <c r="H39" s="194"/>
      <c r="I39" s="193" t="s">
        <v>129</v>
      </c>
      <c r="J39" s="238">
        <v>0</v>
      </c>
    </row>
    <row r="40" spans="2:13" ht="18.399999999999999" thickBot="1" x14ac:dyDescent="0.6">
      <c r="B40" s="399" t="s">
        <v>106</v>
      </c>
      <c r="C40" s="399"/>
      <c r="D40" s="157" t="str">
        <f>[1]!IntrinioDataPoint(ticker,"close_price")</f>
        <v/>
      </c>
      <c r="E40" s="156"/>
      <c r="F40" s="237" t="s">
        <v>131</v>
      </c>
      <c r="G40" s="186" t="str">
        <f>IFERROR(G38*(1-G39),"")</f>
        <v/>
      </c>
      <c r="H40" s="148"/>
      <c r="I40" s="191" t="s">
        <v>130</v>
      </c>
      <c r="J40" s="196" t="e">
        <f>J36+J37*J38+J39</f>
        <v>#VALUE!</v>
      </c>
    </row>
    <row r="41" spans="2:13" ht="21.4" thickTop="1" x14ac:dyDescent="0.65">
      <c r="B41" s="158"/>
      <c r="C41" s="159" t="s">
        <v>107</v>
      </c>
      <c r="D41" s="160" t="str">
        <f ca="1">IFERROR(IF(D38&gt;D40,IF(D38&lt;0,"NA",(D38-D40)/D38*100),IF(D38&lt;0,"NA",-(D40-D38)/D40*100)),"")</f>
        <v/>
      </c>
      <c r="E41" s="156"/>
      <c r="F41" s="187"/>
      <c r="G41" s="187"/>
      <c r="H41" s="150"/>
      <c r="I41" s="150"/>
    </row>
    <row r="42" spans="2:13" ht="15.4" x14ac:dyDescent="0.45">
      <c r="E42" s="187"/>
      <c r="F42" s="187"/>
      <c r="G42" s="187"/>
      <c r="H42" s="147"/>
      <c r="I42" s="147"/>
    </row>
    <row r="43" spans="2:13" x14ac:dyDescent="0.45">
      <c r="I43" s="195"/>
    </row>
    <row r="44" spans="2:13" x14ac:dyDescent="0.45">
      <c r="I44" s="195"/>
    </row>
    <row r="45" spans="2:13" x14ac:dyDescent="0.45">
      <c r="I45" s="195"/>
    </row>
    <row r="46" spans="2:13" x14ac:dyDescent="0.45">
      <c r="I46" s="195"/>
    </row>
    <row r="47" spans="2:13" x14ac:dyDescent="0.45">
      <c r="I47" s="195"/>
    </row>
    <row r="48" spans="2:13" x14ac:dyDescent="0.45">
      <c r="I48" s="195"/>
    </row>
  </sheetData>
  <mergeCells count="17">
    <mergeCell ref="B40:C40"/>
    <mergeCell ref="B35:C35"/>
    <mergeCell ref="B37:C37"/>
    <mergeCell ref="B38:C38"/>
    <mergeCell ref="B33:C33"/>
    <mergeCell ref="B34:C34"/>
    <mergeCell ref="B30:C30"/>
    <mergeCell ref="B31:C31"/>
    <mergeCell ref="B32:C32"/>
    <mergeCell ref="B27:C27"/>
    <mergeCell ref="B28:C28"/>
    <mergeCell ref="B29:C29"/>
    <mergeCell ref="B20:C20"/>
    <mergeCell ref="B22:C22"/>
    <mergeCell ref="B24:C24"/>
    <mergeCell ref="B25:C25"/>
    <mergeCell ref="B19:C19"/>
  </mergeCells>
  <conditionalFormatting sqref="P27">
    <cfRule type="cellIs" dxfId="11" priority="2" operator="greaterThan">
      <formula>0</formula>
    </cfRule>
    <cfRule type="cellIs" dxfId="10" priority="3" operator="lessThan">
      <formula>0</formula>
    </cfRule>
  </conditionalFormatting>
  <conditionalFormatting sqref="D41">
    <cfRule type="colorScale" priority="1">
      <colorScale>
        <cfvo type="num" val="-100"/>
        <cfvo type="num" val="0"/>
        <cfvo type="num" val="100"/>
        <color rgb="FFF8696B"/>
        <color rgb="FFFFEB84"/>
        <color rgb="FF63BE7B"/>
      </colorScale>
    </cfRule>
  </conditionalFormatting>
  <pageMargins left="0.7" right="0.7" top="0.75" bottom="0.75" header="0.3" footer="0.3"/>
  <pageSetup scale="75" orientation="landscape" r:id="rId1"/>
  <headerFooter>
    <oddHeader>&amp;L ()          &amp;RReport Date: 11/26/2016</oddHeader>
    <oddFooter>&amp;L&amp;G&amp;R&amp;P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  <pageSetUpPr fitToPage="1"/>
  </sheetPr>
  <dimension ref="A1:J22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30.1328125" style="18" customWidth="1"/>
    <col min="3" max="3" width="11.3984375" style="18" customWidth="1"/>
    <col min="4" max="4" width="12.46484375" style="18" customWidth="1"/>
    <col min="5" max="5" width="22.73046875" style="18" bestFit="1" customWidth="1"/>
    <col min="6" max="9" width="15.59765625" style="18" customWidth="1"/>
    <col min="10" max="10" width="0.86328125" style="18" customWidth="1"/>
    <col min="11" max="11" width="15.3984375" style="18" customWidth="1"/>
    <col min="12" max="12" width="14.3984375" style="18" customWidth="1"/>
    <col min="13" max="16384" width="9.1328125" style="18"/>
  </cols>
  <sheetData>
    <row r="1" spans="1:10" ht="15.4" x14ac:dyDescent="0.45">
      <c r="A1" s="23" t="s">
        <v>155</v>
      </c>
    </row>
    <row r="3" spans="1:10" s="259" customFormat="1" ht="17.45" customHeight="1" x14ac:dyDescent="0.45">
      <c r="B3" s="260"/>
      <c r="C3" s="261"/>
      <c r="D3" s="262"/>
      <c r="E3" s="262"/>
      <c r="F3" s="262" t="s">
        <v>112</v>
      </c>
      <c r="G3" s="262" t="s">
        <v>148</v>
      </c>
      <c r="H3" s="262" t="s">
        <v>50</v>
      </c>
      <c r="I3" s="262" t="s">
        <v>50</v>
      </c>
      <c r="J3" s="263"/>
    </row>
    <row r="4" spans="1:10" s="259" customFormat="1" ht="17.45" customHeight="1" x14ac:dyDescent="0.45">
      <c r="B4" s="260"/>
      <c r="C4" s="261"/>
      <c r="D4" s="262"/>
      <c r="E4" s="262" t="s">
        <v>149</v>
      </c>
      <c r="F4" s="262" t="s">
        <v>150</v>
      </c>
      <c r="G4" s="262" t="s">
        <v>150</v>
      </c>
      <c r="H4" s="262" t="s">
        <v>66</v>
      </c>
      <c r="I4" s="262" t="s">
        <v>133</v>
      </c>
      <c r="J4" s="263"/>
    </row>
    <row r="5" spans="1:10" s="259" customFormat="1" ht="17.45" customHeight="1" x14ac:dyDescent="0.45">
      <c r="B5" s="264" t="s">
        <v>151</v>
      </c>
      <c r="C5" s="265" t="s">
        <v>152</v>
      </c>
      <c r="D5" s="262" t="s">
        <v>153</v>
      </c>
      <c r="E5" s="262" t="s">
        <v>154</v>
      </c>
      <c r="F5" s="262" t="s">
        <v>156</v>
      </c>
      <c r="G5" s="262" t="s">
        <v>156</v>
      </c>
      <c r="H5" s="262" t="s">
        <v>156</v>
      </c>
      <c r="I5" s="262" t="s">
        <v>156</v>
      </c>
      <c r="J5" s="263"/>
    </row>
    <row r="6" spans="1:10" ht="22.5" customHeight="1" x14ac:dyDescent="0.45">
      <c r="B6" s="266" t="str">
        <f>[1]!IntrinioDataPoint(C6,"name")</f>
        <v/>
      </c>
      <c r="C6" s="267" t="str">
        <f>IF(ticker="","",ticker)</f>
        <v/>
      </c>
      <c r="D6" s="268" t="str">
        <f>[1]!IntrinioDataPoint(C6,"employees")</f>
        <v/>
      </c>
      <c r="E6" s="269" t="str">
        <f>[1]!IntrinioDataPoint(C6,"next_earnings_date")</f>
        <v/>
      </c>
      <c r="F6" s="270" t="str">
        <f>IFERROR([1]!IntrinioDataPoint(C6,"marketcap")/1000000,"")</f>
        <v/>
      </c>
      <c r="G6" s="270" t="str">
        <f>IFERROR([1]!IntrinioDataPoint(C6,"enterprisevalue")/1000000,"")</f>
        <v/>
      </c>
      <c r="H6" s="270" t="str">
        <f>IFERROR([1]!IntrinioDataPoint(C6,"totalrevenue")/1000000,"")</f>
        <v/>
      </c>
      <c r="I6" s="270" t="str">
        <f>IFERROR([1]!IntrinioDataPoint(C6,"netincome")/1000000,"")</f>
        <v/>
      </c>
      <c r="J6" s="20"/>
    </row>
    <row r="7" spans="1:10" ht="54" customHeight="1" x14ac:dyDescent="0.45">
      <c r="B7" s="402" t="str">
        <f>[1]!IntrinioDataPoint(C6,"short_description")</f>
        <v/>
      </c>
      <c r="C7" s="402"/>
      <c r="D7" s="402"/>
      <c r="E7" s="402"/>
      <c r="F7" s="402"/>
      <c r="G7" s="402"/>
      <c r="H7" s="402"/>
      <c r="I7" s="402"/>
      <c r="J7" s="20"/>
    </row>
    <row r="8" spans="1:10" ht="22.5" customHeight="1" x14ac:dyDescent="0.45">
      <c r="B8" s="254" t="str">
        <f>[1]!IntrinioDataPoint(C8,"name")</f>
        <v/>
      </c>
      <c r="C8" s="255" t="str">
        <f>IF(comp1="","",comp1)</f>
        <v/>
      </c>
      <c r="D8" s="256" t="str">
        <f>[1]!IntrinioDataPoint(C8,"employees")</f>
        <v/>
      </c>
      <c r="E8" s="257" t="str">
        <f>[1]!IntrinioDataPoint(C8,"next_earnings_date")</f>
        <v/>
      </c>
      <c r="F8" s="258" t="str">
        <f>IFERROR([1]!IntrinioDataPoint(C8,"marketcap")/1000000,"")</f>
        <v/>
      </c>
      <c r="G8" s="258" t="str">
        <f>IFERROR([1]!IntrinioDataPoint(C8,"enterprisevalue")/1000000,"")</f>
        <v/>
      </c>
      <c r="H8" s="258" t="str">
        <f>IFERROR([1]!IntrinioDataPoint(C8,"totalrevenue")/1000000,"")</f>
        <v/>
      </c>
      <c r="I8" s="258" t="str">
        <f>IFERROR([1]!IntrinioDataPoint(C8,"netincome")/1000000,"")</f>
        <v/>
      </c>
      <c r="J8" s="20"/>
    </row>
    <row r="9" spans="1:10" ht="54" customHeight="1" x14ac:dyDescent="0.45">
      <c r="B9" s="401" t="str">
        <f>[1]!IntrinioDataPoint(C8,"short_description")</f>
        <v/>
      </c>
      <c r="C9" s="401"/>
      <c r="D9" s="401"/>
      <c r="E9" s="401"/>
      <c r="F9" s="401"/>
      <c r="G9" s="401"/>
      <c r="H9" s="401"/>
      <c r="I9" s="401"/>
      <c r="J9" s="20"/>
    </row>
    <row r="10" spans="1:10" ht="22.5" customHeight="1" x14ac:dyDescent="0.45">
      <c r="B10" s="254" t="str">
        <f>[1]!IntrinioDataPoint(C10,"name")</f>
        <v/>
      </c>
      <c r="C10" s="255" t="str">
        <f>IF(comp1="","",comp2)</f>
        <v/>
      </c>
      <c r="D10" s="256" t="str">
        <f>[1]!IntrinioDataPoint(C10,"employees")</f>
        <v/>
      </c>
      <c r="E10" s="257" t="str">
        <f>[1]!IntrinioDataPoint(C10,"next_earnings_date")</f>
        <v/>
      </c>
      <c r="F10" s="258" t="str">
        <f>IFERROR([1]!IntrinioDataPoint(C10,"marketcap")/1000000,"")</f>
        <v/>
      </c>
      <c r="G10" s="258" t="str">
        <f>IFERROR([1]!IntrinioDataPoint(C10,"enterprisevalue")/1000000,"")</f>
        <v/>
      </c>
      <c r="H10" s="258" t="str">
        <f>IFERROR([1]!IntrinioDataPoint(C10,"totalrevenue")/1000000,"")</f>
        <v/>
      </c>
      <c r="I10" s="258" t="str">
        <f>IFERROR([1]!IntrinioDataPoint(C10,"netincome")/1000000,"")</f>
        <v/>
      </c>
      <c r="J10" s="20"/>
    </row>
    <row r="11" spans="1:10" ht="54" customHeight="1" x14ac:dyDescent="0.45">
      <c r="B11" s="401" t="str">
        <f>[1]!IntrinioDataPoint(C10,"short_description")</f>
        <v/>
      </c>
      <c r="C11" s="401"/>
      <c r="D11" s="401"/>
      <c r="E11" s="401"/>
      <c r="F11" s="401"/>
      <c r="G11" s="401"/>
      <c r="H11" s="401"/>
      <c r="I11" s="401"/>
      <c r="J11" s="20"/>
    </row>
    <row r="12" spans="1:10" ht="22.5" customHeight="1" x14ac:dyDescent="0.45">
      <c r="B12" s="254" t="str">
        <f>[1]!IntrinioDataPoint(C12,"name")</f>
        <v/>
      </c>
      <c r="C12" s="255" t="str">
        <f>IF(comp1="","",comp3)</f>
        <v/>
      </c>
      <c r="D12" s="256" t="str">
        <f>[1]!IntrinioDataPoint(C12,"employees")</f>
        <v/>
      </c>
      <c r="E12" s="257" t="str">
        <f>[1]!IntrinioDataPoint(C12,"next_earnings_date")</f>
        <v/>
      </c>
      <c r="F12" s="258" t="str">
        <f>IFERROR([1]!IntrinioDataPoint(C12,"marketcap")/1000000,"")</f>
        <v/>
      </c>
      <c r="G12" s="258" t="str">
        <f>IFERROR([1]!IntrinioDataPoint(C12,"enterprisevalue")/1000000,"")</f>
        <v/>
      </c>
      <c r="H12" s="258" t="str">
        <f>IFERROR([1]!IntrinioDataPoint(C12,"totalrevenue")/1000000,"")</f>
        <v/>
      </c>
      <c r="I12" s="258" t="str">
        <f>IFERROR([1]!IntrinioDataPoint(C12,"netincome")/1000000,"")</f>
        <v/>
      </c>
    </row>
    <row r="13" spans="1:10" ht="54" customHeight="1" x14ac:dyDescent="0.45">
      <c r="B13" s="401" t="str">
        <f>[1]!IntrinioDataPoint(C12,"short_description")</f>
        <v/>
      </c>
      <c r="C13" s="401"/>
      <c r="D13" s="401"/>
      <c r="E13" s="401"/>
      <c r="F13" s="401"/>
      <c r="G13" s="401"/>
      <c r="H13" s="401"/>
      <c r="I13" s="401"/>
      <c r="J13" s="20"/>
    </row>
    <row r="14" spans="1:10" ht="22.5" customHeight="1" x14ac:dyDescent="0.45">
      <c r="B14" s="254" t="str">
        <f>[1]!IntrinioDataPoint(C14,"name")</f>
        <v/>
      </c>
      <c r="C14" s="255" t="str">
        <f>IF(comp1="","",comp4)</f>
        <v/>
      </c>
      <c r="D14" s="256" t="str">
        <f>[1]!IntrinioDataPoint(C14,"employees")</f>
        <v/>
      </c>
      <c r="E14" s="257" t="str">
        <f>[1]!IntrinioDataPoint(C14,"next_earnings_date")</f>
        <v/>
      </c>
      <c r="F14" s="258" t="str">
        <f>IFERROR([1]!IntrinioDataPoint(C14,"marketcap")/1000000,"")</f>
        <v/>
      </c>
      <c r="G14" s="258" t="str">
        <f>IFERROR([1]!IntrinioDataPoint(C14,"enterprisevalue")/1000000,"")</f>
        <v/>
      </c>
      <c r="H14" s="258" t="str">
        <f>IFERROR([1]!IntrinioDataPoint(C14,"totalrevenue")/1000000,"")</f>
        <v/>
      </c>
      <c r="I14" s="258" t="str">
        <f>IFERROR([1]!IntrinioDataPoint(C14,"netincome")/1000000,"")</f>
        <v/>
      </c>
      <c r="J14" s="19"/>
    </row>
    <row r="15" spans="1:10" ht="54" customHeight="1" x14ac:dyDescent="0.45">
      <c r="B15" s="401" t="str">
        <f>[1]!IntrinioDataPoint(C14,"short_description")</f>
        <v/>
      </c>
      <c r="C15" s="401"/>
      <c r="D15" s="401"/>
      <c r="E15" s="401"/>
      <c r="F15" s="401"/>
      <c r="G15" s="401"/>
      <c r="H15" s="401"/>
      <c r="I15" s="401"/>
      <c r="J15" s="20"/>
    </row>
    <row r="16" spans="1:10" ht="22.5" customHeight="1" x14ac:dyDescent="0.45">
      <c r="B16" s="254" t="str">
        <f>[1]!IntrinioDataPoint(C16,"name")</f>
        <v/>
      </c>
      <c r="C16" s="255" t="str">
        <f>IF(comp1="","",comp5)</f>
        <v/>
      </c>
      <c r="D16" s="256" t="str">
        <f>[1]!IntrinioDataPoint(C16,"employees")</f>
        <v/>
      </c>
      <c r="E16" s="257" t="str">
        <f>[1]!IntrinioDataPoint(C16,"next_earnings_date")</f>
        <v/>
      </c>
      <c r="F16" s="258" t="str">
        <f>IFERROR([1]!IntrinioDataPoint(C16,"marketcap")/1000000,"")</f>
        <v/>
      </c>
      <c r="G16" s="258" t="str">
        <f>IFERROR([1]!IntrinioDataPoint(C16,"enterprisevalue")/1000000,"")</f>
        <v/>
      </c>
      <c r="H16" s="258" t="str">
        <f>IFERROR([1]!IntrinioDataPoint(C16,"totalrevenue")/1000000,"")</f>
        <v/>
      </c>
      <c r="I16" s="258" t="str">
        <f>IFERROR([1]!IntrinioDataPoint(C16,"netincome")/1000000,"")</f>
        <v/>
      </c>
    </row>
    <row r="17" spans="2:10" ht="54" customHeight="1" x14ac:dyDescent="0.45">
      <c r="B17" s="401" t="str">
        <f>[1]!IntrinioDataPoint(C16,"short_description")</f>
        <v/>
      </c>
      <c r="C17" s="401"/>
      <c r="D17" s="401"/>
      <c r="E17" s="401"/>
      <c r="F17" s="401"/>
      <c r="G17" s="401"/>
      <c r="H17" s="401"/>
      <c r="I17" s="401"/>
      <c r="J17" s="20"/>
    </row>
    <row r="18" spans="2:10" x14ac:dyDescent="0.45">
      <c r="C18" s="3"/>
      <c r="D18" s="3"/>
      <c r="E18" s="3"/>
      <c r="F18" s="3"/>
      <c r="G18" s="3"/>
      <c r="H18" s="3"/>
      <c r="I18" s="3"/>
    </row>
    <row r="19" spans="2:10" x14ac:dyDescent="0.45">
      <c r="C19" s="3"/>
      <c r="D19" s="3"/>
      <c r="E19" s="3"/>
      <c r="F19" s="3"/>
      <c r="G19" s="3"/>
      <c r="H19" s="3"/>
      <c r="I19" s="3"/>
    </row>
    <row r="20" spans="2:10" x14ac:dyDescent="0.45">
      <c r="C20" s="3"/>
      <c r="D20" s="3"/>
      <c r="E20" s="3"/>
      <c r="F20" s="3"/>
      <c r="G20" s="3"/>
      <c r="H20" s="3"/>
      <c r="I20" s="3"/>
    </row>
    <row r="21" spans="2:10" x14ac:dyDescent="0.45">
      <c r="C21" s="3"/>
      <c r="D21" s="3"/>
      <c r="E21" s="3"/>
      <c r="F21" s="3"/>
      <c r="G21" s="3"/>
      <c r="H21" s="3"/>
      <c r="I21" s="3"/>
    </row>
    <row r="22" spans="2:10" x14ac:dyDescent="0.45">
      <c r="C22" s="3"/>
      <c r="D22" s="3"/>
      <c r="E22" s="3"/>
      <c r="F22" s="3"/>
      <c r="G22" s="3"/>
      <c r="H22" s="3"/>
      <c r="I22" s="3"/>
    </row>
  </sheetData>
  <mergeCells count="6">
    <mergeCell ref="B17:I17"/>
    <mergeCell ref="B7:I7"/>
    <mergeCell ref="B9:I9"/>
    <mergeCell ref="B11:I11"/>
    <mergeCell ref="B13:I13"/>
    <mergeCell ref="B15:I15"/>
  </mergeCells>
  <conditionalFormatting sqref="J3:J5">
    <cfRule type="cellIs" dxfId="9" priority="1" operator="greaterThan">
      <formula>0</formula>
    </cfRule>
    <cfRule type="cellIs" dxfId="8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 ()          &amp;RReport Date: 11/26/2016</oddHeader>
    <oddFooter>&amp;L&amp;G&amp;R&amp;P</oddFooter>
  </headerFooter>
  <ignoredErrors>
    <ignoredError sqref="C11:I11 C13:I13 C15:I15" formula="1"/>
  </ignoredErrors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  <pageSetUpPr fitToPage="1"/>
  </sheetPr>
  <dimension ref="A1:M42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20.464843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5.4" x14ac:dyDescent="0.45">
      <c r="A1" s="23" t="s">
        <v>146</v>
      </c>
    </row>
    <row r="3" spans="1:13" ht="21.95" customHeight="1" x14ac:dyDescent="0.45">
      <c r="B3" s="117"/>
      <c r="C3" s="117"/>
      <c r="D3" s="117"/>
      <c r="E3" s="117"/>
      <c r="F3" s="117"/>
      <c r="G3" s="117"/>
      <c r="H3" s="117"/>
      <c r="I3" s="117"/>
      <c r="J3" s="117"/>
      <c r="K3" s="17"/>
      <c r="L3" s="17"/>
      <c r="M3" s="17"/>
    </row>
    <row r="4" spans="1:13" ht="21.95" customHeight="1" x14ac:dyDescent="0.45">
      <c r="B4" s="117"/>
      <c r="C4" s="117"/>
      <c r="D4" s="117"/>
      <c r="E4" s="117"/>
      <c r="F4" s="117"/>
      <c r="G4" s="117"/>
      <c r="H4" s="117"/>
      <c r="I4" s="117"/>
      <c r="J4" s="117"/>
      <c r="K4" s="17"/>
      <c r="L4" s="17"/>
      <c r="M4" s="17"/>
    </row>
    <row r="5" spans="1:13" ht="21.95" customHeight="1" x14ac:dyDescent="0.45">
      <c r="B5" s="117"/>
      <c r="C5" s="117"/>
      <c r="D5" s="117"/>
      <c r="E5" s="117"/>
      <c r="F5" s="117"/>
      <c r="G5" s="117"/>
      <c r="H5" s="117"/>
      <c r="I5" s="117"/>
      <c r="J5" s="117"/>
      <c r="K5" s="17"/>
      <c r="L5" s="17"/>
      <c r="M5" s="17"/>
    </row>
    <row r="6" spans="1:13" ht="21.95" customHeight="1" x14ac:dyDescent="0.45">
      <c r="B6" s="117"/>
      <c r="C6" s="117"/>
      <c r="D6" s="117"/>
      <c r="E6" s="117"/>
      <c r="F6" s="117"/>
      <c r="G6" s="117"/>
      <c r="H6" s="117"/>
      <c r="I6" s="117"/>
      <c r="J6" s="117"/>
      <c r="K6" s="17"/>
      <c r="L6" s="17"/>
      <c r="M6" s="17"/>
    </row>
    <row r="7" spans="1:13" ht="21.95" customHeight="1" x14ac:dyDescent="0.45">
      <c r="B7" s="117"/>
      <c r="C7" s="117"/>
      <c r="D7" s="117"/>
      <c r="E7" s="117"/>
      <c r="F7" s="117"/>
      <c r="G7" s="117"/>
      <c r="H7" s="117"/>
      <c r="I7" s="117"/>
      <c r="J7" s="117"/>
      <c r="K7" s="17"/>
      <c r="L7" s="17"/>
      <c r="M7" s="17"/>
    </row>
    <row r="8" spans="1:13" ht="21.95" customHeight="1" x14ac:dyDescent="0.45">
      <c r="B8" s="117"/>
      <c r="C8" s="117"/>
      <c r="D8" s="117"/>
      <c r="E8" s="117"/>
      <c r="F8" s="117"/>
      <c r="G8" s="117"/>
      <c r="H8" s="117"/>
      <c r="I8" s="117"/>
      <c r="J8" s="117"/>
      <c r="K8" s="17"/>
      <c r="L8" s="17"/>
      <c r="M8" s="17"/>
    </row>
    <row r="9" spans="1:13" ht="21.95" customHeight="1" x14ac:dyDescent="0.45">
      <c r="B9" s="117"/>
      <c r="C9" s="117"/>
      <c r="D9" s="117"/>
      <c r="E9" s="117"/>
      <c r="F9" s="117"/>
      <c r="G9" s="117"/>
      <c r="H9" s="117"/>
      <c r="I9" s="117"/>
      <c r="J9" s="117"/>
      <c r="K9" s="17"/>
      <c r="L9" s="17"/>
      <c r="M9" s="17"/>
    </row>
    <row r="10" spans="1:13" ht="21.95" customHeight="1" x14ac:dyDescent="0.45">
      <c r="B10" s="117"/>
      <c r="C10" s="117"/>
      <c r="D10" s="117"/>
      <c r="E10" s="117"/>
      <c r="F10" s="117"/>
      <c r="G10" s="117"/>
      <c r="H10" s="117"/>
      <c r="I10" s="117"/>
      <c r="J10" s="117"/>
      <c r="K10" s="17"/>
      <c r="L10" s="17"/>
      <c r="M10" s="17"/>
    </row>
    <row r="11" spans="1:13" ht="21.95" customHeight="1" x14ac:dyDescent="0.45">
      <c r="B11" s="117"/>
      <c r="C11" s="117"/>
      <c r="D11" s="117"/>
      <c r="E11" s="117"/>
      <c r="F11" s="117"/>
      <c r="G11" s="117"/>
      <c r="H11" s="117"/>
      <c r="I11" s="117"/>
      <c r="J11" s="117"/>
      <c r="K11" s="17"/>
      <c r="L11" s="17"/>
      <c r="M11" s="17"/>
    </row>
    <row r="12" spans="1:13" ht="21.95" customHeight="1" x14ac:dyDescent="0.45">
      <c r="B12" s="104"/>
      <c r="C12" s="105" t="str">
        <f>IF(ticker="","",ticker)</f>
        <v/>
      </c>
      <c r="D12" s="106" t="str">
        <f>IF(D28=0,"",D28)</f>
        <v/>
      </c>
      <c r="E12" s="106" t="str">
        <f>IF(E28=0,"",E28)</f>
        <v/>
      </c>
      <c r="F12" s="106" t="str">
        <f>IF(F28=0,"",F28)</f>
        <v/>
      </c>
      <c r="G12" s="106" t="str">
        <f>IF(G28=0,"",G28)</f>
        <v/>
      </c>
      <c r="H12" s="106" t="str">
        <f>IF(H28=0,"",H28)</f>
        <v/>
      </c>
      <c r="I12" s="105" t="s">
        <v>144</v>
      </c>
      <c r="J12" s="106" t="s">
        <v>145</v>
      </c>
      <c r="L12" s="1"/>
    </row>
    <row r="13" spans="1:13" ht="21.95" customHeight="1" x14ac:dyDescent="0.45">
      <c r="B13" s="245" t="s">
        <v>135</v>
      </c>
      <c r="C13" s="246" t="str">
        <f>IFERROR([1]!IntrinioFinancials(C$12,"income_statement",0,"FY","totalgrossprofit","A")/1000000,"")</f>
        <v/>
      </c>
      <c r="D13" s="247" t="str">
        <f>IFERROR([1]!IntrinioFinancials(D$12,"income_statement",0,"FY","totalgrossprofit","A")/1000000,"")</f>
        <v/>
      </c>
      <c r="E13" s="247" t="str">
        <f>IFERROR([1]!IntrinioFinancials(E$12,"income_statement",0,"FY","totalgrossprofit","A")/1000000,"")</f>
        <v/>
      </c>
      <c r="F13" s="247" t="str">
        <f>IFERROR([1]!IntrinioFinancials(F$12,"income_statement",0,"FY","totalgrossprofit","A")/1000000,"")</f>
        <v/>
      </c>
      <c r="G13" s="247" t="str">
        <f>IFERROR([1]!IntrinioFinancials(G$12,"income_statement",0,"FY","totalgrossprofit","A")/1000000,"")</f>
        <v/>
      </c>
      <c r="H13" s="247" t="str">
        <f>IFERROR([1]!IntrinioFinancials(H$12,"income_statement",0,"FY","totalgrossprofit","A")/1000000,"")</f>
        <v/>
      </c>
      <c r="I13" s="246" t="str">
        <f t="shared" ref="I13:I22" si="0">IFERROR(AVERAGE(C13:H13),"nm")</f>
        <v>nm</v>
      </c>
      <c r="J13" s="247" t="str">
        <f t="shared" ref="J13:J22" si="1">IFERROR(MEDIAN(C13:H13),"nm")</f>
        <v>nm</v>
      </c>
      <c r="K13" s="17"/>
      <c r="L13" s="17"/>
      <c r="M13" s="17"/>
    </row>
    <row r="14" spans="1:13" s="242" customFormat="1" ht="13.9" x14ac:dyDescent="0.45">
      <c r="B14" s="248" t="s">
        <v>136</v>
      </c>
      <c r="C14" s="249" t="str">
        <f>[1]!IntrinioFinancials(C$12,"calculations",0,"FY","grossmargin")</f>
        <v/>
      </c>
      <c r="D14" s="250" t="str">
        <f>[1]!IntrinioFinancials(D$12,"calculations",0,"FY","grossmargin")</f>
        <v/>
      </c>
      <c r="E14" s="250" t="str">
        <f>[1]!IntrinioFinancials(E$12,"calculations",0,"FY","grossmargin")</f>
        <v/>
      </c>
      <c r="F14" s="250" t="str">
        <f>[1]!IntrinioFinancials(F$12,"calculations",0,"FY","grossmargin")</f>
        <v/>
      </c>
      <c r="G14" s="250" t="str">
        <f>[1]!IntrinioFinancials(G$12,"calculations",0,"FY","grossmargin")</f>
        <v/>
      </c>
      <c r="H14" s="250" t="str">
        <f>[1]!IntrinioFinancials(H$12,"calculations",0,"FY","grossmargin")</f>
        <v/>
      </c>
      <c r="I14" s="249" t="str">
        <f t="shared" si="0"/>
        <v>nm</v>
      </c>
      <c r="J14" s="250" t="str">
        <f t="shared" si="1"/>
        <v>nm</v>
      </c>
      <c r="K14" s="243"/>
      <c r="L14" s="243"/>
      <c r="M14" s="243"/>
    </row>
    <row r="15" spans="1:13" ht="21.75" customHeight="1" x14ac:dyDescent="0.45">
      <c r="B15" s="245" t="s">
        <v>132</v>
      </c>
      <c r="C15" s="246" t="str">
        <f>IFERROR([1]!IntrinioFinancials(C$12,"income_statement",0,"FY","totaloperatingincome","A")/1000000,"")</f>
        <v/>
      </c>
      <c r="D15" s="247" t="str">
        <f>IFERROR([1]!IntrinioFinancials(D$12,"income_statement",0,"FY","totaloperatingincome","A")/1000000,"")</f>
        <v/>
      </c>
      <c r="E15" s="247" t="str">
        <f>IFERROR([1]!IntrinioFinancials(E$12,"income_statement",0,"FY","totaloperatingincome","A")/1000000,"")</f>
        <v/>
      </c>
      <c r="F15" s="247" t="str">
        <f>IFERROR([1]!IntrinioFinancials(F$12,"income_statement",0,"FY","totaloperatingincome","A")/1000000,"")</f>
        <v/>
      </c>
      <c r="G15" s="247" t="str">
        <f>IFERROR([1]!IntrinioFinancials(G$12,"income_statement",0,"FY","totaloperatingincome","A")/1000000,"")</f>
        <v/>
      </c>
      <c r="H15" s="247" t="str">
        <f>IFERROR([1]!IntrinioFinancials(H$12,"income_statement",0,"FY","totaloperatingincome","A")/1000000,"")</f>
        <v/>
      </c>
      <c r="I15" s="246" t="str">
        <f t="shared" si="0"/>
        <v>nm</v>
      </c>
      <c r="J15" s="247" t="str">
        <f t="shared" si="1"/>
        <v>nm</v>
      </c>
      <c r="K15" s="17"/>
      <c r="L15" s="17"/>
      <c r="M15" s="17"/>
    </row>
    <row r="16" spans="1:13" s="242" customFormat="1" ht="13.9" x14ac:dyDescent="0.45">
      <c r="B16" s="248" t="s">
        <v>136</v>
      </c>
      <c r="C16" s="249" t="str">
        <f>[1]!IntrinioFinancials(C$12,"calculations",0,"FY","operatingmargin")</f>
        <v/>
      </c>
      <c r="D16" s="250" t="str">
        <f>[1]!IntrinioFinancials(D$12,"calculations",0,"FY","operatingmargin")</f>
        <v/>
      </c>
      <c r="E16" s="250" t="str">
        <f>[1]!IntrinioFinancials(E$12,"calculations",0,"FY","operatingmargin")</f>
        <v/>
      </c>
      <c r="F16" s="250" t="str">
        <f>[1]!IntrinioFinancials(F$12,"calculations",0,"FY","operatingmargin")</f>
        <v/>
      </c>
      <c r="G16" s="250" t="str">
        <f>[1]!IntrinioFinancials(G$12,"calculations",0,"FY","operatingmargin")</f>
        <v/>
      </c>
      <c r="H16" s="250" t="str">
        <f>[1]!IntrinioFinancials(H$12,"calculations",0,"FY","operatingmargin")</f>
        <v/>
      </c>
      <c r="I16" s="249" t="str">
        <f t="shared" si="0"/>
        <v>nm</v>
      </c>
      <c r="J16" s="250" t="str">
        <f t="shared" si="1"/>
        <v>nm</v>
      </c>
      <c r="K16" s="243"/>
      <c r="L16" s="243"/>
      <c r="M16" s="243"/>
    </row>
    <row r="17" spans="2:13" ht="21.75" customHeight="1" x14ac:dyDescent="0.45">
      <c r="B17" s="245" t="s">
        <v>139</v>
      </c>
      <c r="C17" s="246" t="str">
        <f>IFERROR([1]!IntrinioFinancials(C$12,"calculations",0,"FY","ebit","A")/1000000,"")</f>
        <v/>
      </c>
      <c r="D17" s="247" t="str">
        <f>IFERROR([1]!IntrinioFinancials(D$12,"calculations",0,"FY","ebit","A")/1000000,"")</f>
        <v/>
      </c>
      <c r="E17" s="247" t="str">
        <f>IFERROR([1]!IntrinioFinancials(E$12,"calculations",0,"FY","ebit","A")/1000000,"")</f>
        <v/>
      </c>
      <c r="F17" s="247" t="str">
        <f>IFERROR([1]!IntrinioFinancials(F$12,"calculations",0,"FY","ebit","A")/1000000,"")</f>
        <v/>
      </c>
      <c r="G17" s="247" t="str">
        <f>IFERROR([1]!IntrinioFinancials(G$12,"calculations",0,"FY","ebit","A")/1000000,"")</f>
        <v/>
      </c>
      <c r="H17" s="247" t="str">
        <f>IFERROR([1]!IntrinioFinancials(H$12,"calculations",0,"FY","ebit","A")/1000000,"")</f>
        <v/>
      </c>
      <c r="I17" s="246" t="str">
        <f t="shared" si="0"/>
        <v>nm</v>
      </c>
      <c r="J17" s="247" t="str">
        <f t="shared" si="1"/>
        <v>nm</v>
      </c>
      <c r="K17" s="17"/>
      <c r="L17" s="17"/>
      <c r="M17" s="17"/>
    </row>
    <row r="18" spans="2:13" s="242" customFormat="1" ht="13.9" x14ac:dyDescent="0.45">
      <c r="B18" s="248" t="s">
        <v>136</v>
      </c>
      <c r="C18" s="249" t="str">
        <f>[1]!IntrinioFinancials(C$12,"calculations",0,"FY","ebitmargin")</f>
        <v/>
      </c>
      <c r="D18" s="250" t="str">
        <f>[1]!IntrinioFinancials(D$12,"calculations",0,"FY","ebitmargin")</f>
        <v/>
      </c>
      <c r="E18" s="250" t="str">
        <f>[1]!IntrinioFinancials(E$12,"calculations",0,"FY","ebitmargin")</f>
        <v/>
      </c>
      <c r="F18" s="250" t="str">
        <f>[1]!IntrinioFinancials(F$12,"calculations",0,"FY","ebitmargin")</f>
        <v/>
      </c>
      <c r="G18" s="250" t="str">
        <f>[1]!IntrinioFinancials(G$12,"calculations",0,"FY","ebitmargin")</f>
        <v/>
      </c>
      <c r="H18" s="250" t="str">
        <f>[1]!IntrinioFinancials(H$12,"calculations",0,"FY","ebitmargin")</f>
        <v/>
      </c>
      <c r="I18" s="249" t="str">
        <f t="shared" si="0"/>
        <v>nm</v>
      </c>
      <c r="J18" s="250" t="str">
        <f t="shared" si="1"/>
        <v>nm</v>
      </c>
      <c r="K18" s="243"/>
      <c r="L18" s="243"/>
      <c r="M18" s="243"/>
    </row>
    <row r="19" spans="2:13" ht="21.75" customHeight="1" x14ac:dyDescent="0.45">
      <c r="B19" s="245" t="s">
        <v>140</v>
      </c>
      <c r="C19" s="246" t="str">
        <f>IFERROR([1]!IntrinioFinancials(C$12,"calculations",0,"FY","ebitda","A")/1000000,"")</f>
        <v/>
      </c>
      <c r="D19" s="247" t="str">
        <f>IFERROR([1]!IntrinioFinancials(D$12,"calculations",0,"FY","ebitda","A")/1000000,"")</f>
        <v/>
      </c>
      <c r="E19" s="247" t="str">
        <f>IFERROR([1]!IntrinioFinancials(E$12,"calculations",0,"FY","ebitda","A")/1000000,"")</f>
        <v/>
      </c>
      <c r="F19" s="247" t="str">
        <f>IFERROR([1]!IntrinioFinancials(F$12,"calculations",0,"FY","ebitda","A")/1000000,"")</f>
        <v/>
      </c>
      <c r="G19" s="247" t="str">
        <f>IFERROR([1]!IntrinioFinancials(G$12,"calculations",0,"FY","ebitda","A")/1000000,"")</f>
        <v/>
      </c>
      <c r="H19" s="247" t="str">
        <f>IFERROR([1]!IntrinioFinancials(H$12,"calculations",0,"FY","ebitda","A")/1000000,"")</f>
        <v/>
      </c>
      <c r="I19" s="246" t="str">
        <f t="shared" si="0"/>
        <v>nm</v>
      </c>
      <c r="J19" s="247" t="str">
        <f t="shared" si="1"/>
        <v>nm</v>
      </c>
      <c r="K19" s="17"/>
      <c r="L19" s="17"/>
      <c r="M19" s="17"/>
    </row>
    <row r="20" spans="2:13" s="242" customFormat="1" ht="13.9" x14ac:dyDescent="0.45">
      <c r="B20" s="248" t="s">
        <v>136</v>
      </c>
      <c r="C20" s="249" t="str">
        <f>[1]!IntrinioFinancials(C$12,"calculations",0,"FY","ebitdamargin")</f>
        <v/>
      </c>
      <c r="D20" s="250" t="str">
        <f>[1]!IntrinioFinancials(D$12,"calculations",0,"FY","ebitdamargin")</f>
        <v/>
      </c>
      <c r="E20" s="250" t="str">
        <f>[1]!IntrinioFinancials(E$12,"calculations",0,"FY","ebitdamargin")</f>
        <v/>
      </c>
      <c r="F20" s="250" t="str">
        <f>[1]!IntrinioFinancials(F$12,"calculations",0,"FY","ebitdamargin")</f>
        <v/>
      </c>
      <c r="G20" s="250" t="str">
        <f>[1]!IntrinioFinancials(G$12,"calculations",0,"FY","ebitdamargin")</f>
        <v/>
      </c>
      <c r="H20" s="250" t="str">
        <f>[1]!IntrinioFinancials(H$12,"calculations",0,"FY","ebitdamargin")</f>
        <v/>
      </c>
      <c r="I20" s="249" t="str">
        <f t="shared" si="0"/>
        <v>nm</v>
      </c>
      <c r="J20" s="250" t="str">
        <f t="shared" si="1"/>
        <v>nm</v>
      </c>
      <c r="K20" s="243"/>
      <c r="L20" s="243"/>
      <c r="M20" s="243"/>
    </row>
    <row r="21" spans="2:13" ht="21.75" customHeight="1" x14ac:dyDescent="0.45">
      <c r="B21" s="245" t="s">
        <v>133</v>
      </c>
      <c r="C21" s="246" t="str">
        <f>IFERROR([1]!IntrinioFinancials(C$12,"income_statement",0,"FY","netincome","A")/1000000,"")</f>
        <v/>
      </c>
      <c r="D21" s="247" t="str">
        <f>IFERROR([1]!IntrinioFinancials(D$12,"income_statement",0,"FY","netincome","A")/1000000,"")</f>
        <v/>
      </c>
      <c r="E21" s="247" t="str">
        <f>IFERROR([1]!IntrinioFinancials(E$12,"income_statement",0,"FY","netincome","A")/1000000,"")</f>
        <v/>
      </c>
      <c r="F21" s="247" t="str">
        <f>IFERROR([1]!IntrinioFinancials(F$12,"income_statement",0,"FY","netincome","A")/1000000,"")</f>
        <v/>
      </c>
      <c r="G21" s="247" t="str">
        <f>IFERROR([1]!IntrinioFinancials(G$12,"income_statement",0,"FY","netincome","A")/1000000,"")</f>
        <v/>
      </c>
      <c r="H21" s="247" t="str">
        <f>IFERROR([1]!IntrinioFinancials(H$12,"income_statement",0,"FY","netincome","A")/1000000,"")</f>
        <v/>
      </c>
      <c r="I21" s="246" t="str">
        <f t="shared" si="0"/>
        <v>nm</v>
      </c>
      <c r="J21" s="247" t="str">
        <f t="shared" si="1"/>
        <v>nm</v>
      </c>
      <c r="K21" s="17"/>
      <c r="L21" s="17"/>
      <c r="M21" s="17"/>
    </row>
    <row r="22" spans="2:13" s="242" customFormat="1" ht="13.9" x14ac:dyDescent="0.45">
      <c r="B22" s="248" t="s">
        <v>136</v>
      </c>
      <c r="C22" s="249" t="str">
        <f>[1]!IntrinioFinancials(C$12,"calculations",0,"FY","profitmargin")</f>
        <v/>
      </c>
      <c r="D22" s="250" t="str">
        <f>[1]!IntrinioFinancials(D$12,"calculations",0,"FY","profitmargin")</f>
        <v/>
      </c>
      <c r="E22" s="250" t="str">
        <f>[1]!IntrinioFinancials(E$12,"calculations",0,"FY","profitmargin")</f>
        <v/>
      </c>
      <c r="F22" s="250" t="str">
        <f>[1]!IntrinioFinancials(F$12,"calculations",0,"FY","profitmargin")</f>
        <v/>
      </c>
      <c r="G22" s="250" t="str">
        <f>[1]!IntrinioFinancials(G$12,"calculations",0,"FY","profitmargin")</f>
        <v/>
      </c>
      <c r="H22" s="250" t="str">
        <f>[1]!IntrinioFinancials(H$12,"calculations",0,"FY","profitmargin")</f>
        <v/>
      </c>
      <c r="I22" s="249" t="str">
        <f t="shared" si="0"/>
        <v>nm</v>
      </c>
      <c r="J22" s="250" t="str">
        <f t="shared" si="1"/>
        <v>nm</v>
      </c>
      <c r="K22" s="243"/>
      <c r="L22" s="243"/>
      <c r="M22" s="243"/>
    </row>
    <row r="23" spans="2:13" ht="21.75" customHeight="1" x14ac:dyDescent="0.45">
      <c r="B23" s="245" t="s">
        <v>134</v>
      </c>
      <c r="C23" s="251" t="str">
        <f>[1]!IntrinioFinancials(C$12,"income_statement",0,"FY","dilutedeps")</f>
        <v/>
      </c>
      <c r="D23" s="252" t="str">
        <f>[1]!IntrinioFinancials(D$12,"income_statement",0,"FY","dilutedeps")</f>
        <v/>
      </c>
      <c r="E23" s="252" t="str">
        <f>[1]!IntrinioFinancials(E$12,"income_statement",0,"FY","dilutedeps")</f>
        <v/>
      </c>
      <c r="F23" s="252" t="str">
        <f>[1]!IntrinioFinancials(F$12,"income_statement",0,"FY","dilutedeps")</f>
        <v/>
      </c>
      <c r="G23" s="252" t="str">
        <f>[1]!IntrinioFinancials(G$12,"income_statement",0,"FY","dilutedeps")</f>
        <v/>
      </c>
      <c r="H23" s="252" t="str">
        <f>[1]!IntrinioFinancials(H$12,"income_statement",0,"FY","dilutedeps")</f>
        <v/>
      </c>
      <c r="I23" s="251" t="s">
        <v>147</v>
      </c>
      <c r="J23" s="252" t="s">
        <v>147</v>
      </c>
      <c r="K23" s="17"/>
      <c r="L23" s="17"/>
      <c r="M23" s="17"/>
    </row>
    <row r="24" spans="2:13" s="242" customFormat="1" ht="13.9" x14ac:dyDescent="0.45">
      <c r="B24" s="248" t="s">
        <v>88</v>
      </c>
      <c r="C24" s="249" t="str">
        <f>[1]!IntrinioFinancials(C$12,"calculations",0,"FY","epsgrowth")</f>
        <v/>
      </c>
      <c r="D24" s="250" t="str">
        <f>[1]!IntrinioFinancials(D$12,"calculations",0,"FY","epsgrowth")</f>
        <v/>
      </c>
      <c r="E24" s="250" t="str">
        <f>[1]!IntrinioFinancials(E$12,"calculations",0,"FY","epsgrowth")</f>
        <v/>
      </c>
      <c r="F24" s="250" t="str">
        <f>[1]!IntrinioFinancials(F$12,"calculations",0,"FY","epsgrowth")</f>
        <v/>
      </c>
      <c r="G24" s="250" t="str">
        <f>[1]!IntrinioFinancials(G$12,"calculations",0,"FY","epsgrowth")</f>
        <v/>
      </c>
      <c r="H24" s="250" t="str">
        <f>[1]!IntrinioFinancials(H$12,"calculations",0,"FY","epsgrowth")</f>
        <v/>
      </c>
      <c r="I24" s="249" t="str">
        <f t="shared" ref="I24" si="2">IFERROR(AVERAGE(C24:H24),"nm")</f>
        <v>nm</v>
      </c>
      <c r="J24" s="250" t="str">
        <f t="shared" ref="J24" si="3">IFERROR(MEDIAN(C24:H24),"nm")</f>
        <v>nm</v>
      </c>
      <c r="K24" s="243"/>
      <c r="L24" s="243"/>
      <c r="M24" s="243"/>
    </row>
    <row r="25" spans="2:13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49"/>
      <c r="L25" s="49"/>
      <c r="M25" s="17"/>
    </row>
    <row r="26" spans="2:13" ht="21.95" customHeight="1" x14ac:dyDescent="0.45">
      <c r="B26" s="28" t="s">
        <v>144</v>
      </c>
      <c r="C26" s="253" t="str">
        <f>I22</f>
        <v>nm</v>
      </c>
      <c r="D26" s="253" t="str">
        <f t="shared" ref="D26:H27" si="4">C26</f>
        <v>nm</v>
      </c>
      <c r="E26" s="253" t="str">
        <f t="shared" si="4"/>
        <v>nm</v>
      </c>
      <c r="F26" s="253" t="str">
        <f t="shared" si="4"/>
        <v>nm</v>
      </c>
      <c r="G26" s="253" t="str">
        <f t="shared" si="4"/>
        <v>nm</v>
      </c>
      <c r="H26" s="253" t="str">
        <f t="shared" si="4"/>
        <v>nm</v>
      </c>
      <c r="I26" s="28"/>
      <c r="J26" s="28"/>
      <c r="K26" s="16"/>
      <c r="L26" s="17"/>
      <c r="M26" s="17"/>
    </row>
    <row r="27" spans="2:13" ht="21.95" customHeight="1" x14ac:dyDescent="0.45">
      <c r="B27" s="28" t="s">
        <v>145</v>
      </c>
      <c r="C27" s="253" t="str">
        <f>J22</f>
        <v>nm</v>
      </c>
      <c r="D27" s="253" t="str">
        <f t="shared" si="4"/>
        <v>nm</v>
      </c>
      <c r="E27" s="253" t="str">
        <f t="shared" si="4"/>
        <v>nm</v>
      </c>
      <c r="F27" s="253" t="str">
        <f t="shared" si="4"/>
        <v>nm</v>
      </c>
      <c r="G27" s="253" t="str">
        <f t="shared" si="4"/>
        <v>nm</v>
      </c>
      <c r="H27" s="253" t="str">
        <f t="shared" si="4"/>
        <v>nm</v>
      </c>
      <c r="I27" s="28"/>
      <c r="J27" s="28"/>
      <c r="K27" s="17"/>
      <c r="L27" s="17"/>
      <c r="M27" s="17"/>
    </row>
    <row r="28" spans="2:13" ht="21.95" customHeight="1" x14ac:dyDescent="0.45">
      <c r="B28" s="28" t="s">
        <v>152</v>
      </c>
      <c r="C28" s="28" t="str">
        <f>IF(ticker="","",ticker)</f>
        <v/>
      </c>
      <c r="D28" s="28" t="str">
        <f>IF(comp1="","",comp1)</f>
        <v/>
      </c>
      <c r="E28" s="28" t="str">
        <f>IF(comp2="","",comp2)</f>
        <v/>
      </c>
      <c r="F28" s="28" t="str">
        <f>IF(comp3="","",comp3)</f>
        <v/>
      </c>
      <c r="G28" s="28" t="str">
        <f>IF(comp4="","",comp4)</f>
        <v/>
      </c>
      <c r="H28" s="28" t="str">
        <f>IF(comp5="","",comp5)</f>
        <v/>
      </c>
      <c r="I28" s="28"/>
      <c r="J28" s="28"/>
    </row>
    <row r="29" spans="2:13" ht="23.85" customHeight="1" x14ac:dyDescent="0.45">
      <c r="B29" s="28"/>
      <c r="C29" s="28"/>
      <c r="D29" s="28"/>
      <c r="E29" s="28"/>
      <c r="F29" s="28"/>
      <c r="G29" s="28"/>
      <c r="H29" s="28"/>
      <c r="I29" s="28"/>
      <c r="J29" s="28"/>
    </row>
    <row r="30" spans="2:13" ht="15.75" customHeight="1" x14ac:dyDescent="0.45">
      <c r="C30" s="3"/>
      <c r="D30" s="3"/>
      <c r="E30" s="3"/>
      <c r="F30" s="3"/>
      <c r="G30" s="3"/>
      <c r="H30" s="3"/>
      <c r="I30" s="3"/>
      <c r="J30" s="3"/>
      <c r="K30" s="20"/>
    </row>
    <row r="31" spans="2:13" x14ac:dyDescent="0.45">
      <c r="C31" s="3"/>
      <c r="D31" s="3"/>
      <c r="E31" s="3"/>
      <c r="F31" s="3"/>
      <c r="G31" s="3"/>
      <c r="H31" s="3"/>
      <c r="I31" s="3"/>
      <c r="J31" s="3"/>
      <c r="K31" s="20"/>
    </row>
    <row r="32" spans="2:13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</row>
    <row r="36" spans="3:11" x14ac:dyDescent="0.45">
      <c r="C36" s="3"/>
      <c r="D36" s="3"/>
      <c r="E36" s="3"/>
      <c r="F36" s="3"/>
      <c r="G36" s="3"/>
      <c r="H36" s="3"/>
      <c r="I36" s="3"/>
      <c r="J36" s="3"/>
      <c r="K36" s="19"/>
    </row>
    <row r="37" spans="3:11" x14ac:dyDescent="0.45">
      <c r="C37" s="3"/>
      <c r="D37" s="3"/>
      <c r="E37" s="3"/>
      <c r="F37" s="3"/>
      <c r="G37" s="3"/>
      <c r="H37" s="3"/>
      <c r="I37" s="3"/>
      <c r="J37" s="3"/>
    </row>
    <row r="38" spans="3:11" x14ac:dyDescent="0.45">
      <c r="C38" s="3"/>
      <c r="D38" s="3"/>
      <c r="E38" s="3"/>
      <c r="F38" s="3"/>
      <c r="G38" s="3"/>
      <c r="H38" s="3"/>
      <c r="I38" s="3"/>
      <c r="J38" s="3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</sheetData>
  <conditionalFormatting sqref="K30:K32">
    <cfRule type="cellIs" dxfId="7" priority="1" operator="greaterThan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  <pageSetUpPr fitToPage="1"/>
  </sheetPr>
  <dimension ref="A1:M43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7304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5.4" x14ac:dyDescent="0.45">
      <c r="A1" s="23" t="s">
        <v>212</v>
      </c>
    </row>
    <row r="3" spans="1:13" ht="21.95" customHeight="1" x14ac:dyDescent="0.45">
      <c r="B3" s="104"/>
      <c r="C3" s="105" t="str">
        <f>IF(ticker="","",ticker)</f>
        <v/>
      </c>
      <c r="D3" s="106" t="str">
        <f>IF(D29=0,"",D29)</f>
        <v/>
      </c>
      <c r="E3" s="106" t="str">
        <f>IF(E29=0,"",E29)</f>
        <v/>
      </c>
      <c r="F3" s="106" t="str">
        <f>IF(F29=0,"",F29)</f>
        <v/>
      </c>
      <c r="G3" s="106" t="str">
        <f>IF(G29=0,"",G29)</f>
        <v/>
      </c>
      <c r="H3" s="106" t="str">
        <f>IF(H29=0,"",H29)</f>
        <v/>
      </c>
      <c r="I3" s="105" t="s">
        <v>144</v>
      </c>
      <c r="J3" s="106" t="s">
        <v>145</v>
      </c>
      <c r="L3" s="1"/>
    </row>
    <row r="4" spans="1:13" ht="20.85" customHeight="1" x14ac:dyDescent="0.45">
      <c r="B4" s="271" t="str">
        <f>'ROIC Metrics'!B5</f>
        <v>ROIC Disaggregation:</v>
      </c>
      <c r="C4" s="277"/>
      <c r="D4" s="247"/>
      <c r="E4" s="247"/>
      <c r="F4" s="247"/>
      <c r="G4" s="247"/>
      <c r="H4" s="247"/>
      <c r="I4" s="300"/>
      <c r="J4" s="301"/>
      <c r="K4" s="17"/>
      <c r="L4" s="17"/>
      <c r="M4" s="17"/>
    </row>
    <row r="5" spans="1:13" s="242" customFormat="1" ht="20.85" customHeight="1" x14ac:dyDescent="0.45">
      <c r="B5" s="293" t="str">
        <f>'ROIC Metrics'!B6</f>
        <v>NOPAT Margin</v>
      </c>
      <c r="C5" s="274" t="str">
        <f>[1]!IntrinioFinancials(C$3,"calculations",0,"TTM",'ROIC Metrics'!$N6)</f>
        <v/>
      </c>
      <c r="D5" s="275" t="str">
        <f>[1]!IntrinioFinancials(D$3,"calculations",0,"TTM",'ROIC Metrics'!$N6)</f>
        <v/>
      </c>
      <c r="E5" s="275" t="str">
        <f>[1]!IntrinioFinancials(E$3,"calculations",0,"TTM",'ROIC Metrics'!$N6)</f>
        <v/>
      </c>
      <c r="F5" s="275" t="str">
        <f>[1]!IntrinioFinancials(F$3,"calculations",0,"TTM",'ROIC Metrics'!$N6)</f>
        <v/>
      </c>
      <c r="G5" s="275" t="str">
        <f>[1]!IntrinioFinancials(G$3,"calculations",0,"TTM",'ROIC Metrics'!$N6)</f>
        <v/>
      </c>
      <c r="H5" s="338" t="str">
        <f>[1]!IntrinioFinancials(H$3,"calculations",0,"TTM",'ROIC Metrics'!$N6)</f>
        <v/>
      </c>
      <c r="I5" s="275" t="str">
        <f t="shared" ref="I5:I7" si="0">IFERROR(AVERAGE(C5:H5),"nm")</f>
        <v>nm</v>
      </c>
      <c r="J5" s="275" t="str">
        <f t="shared" ref="J5:J7" si="1">IFERROR(MEDIAN(C5:H5),"nm")</f>
        <v>nm</v>
      </c>
      <c r="K5" s="275"/>
      <c r="L5" s="243"/>
      <c r="M5" s="243"/>
    </row>
    <row r="6" spans="1:13" ht="20.85" customHeight="1" x14ac:dyDescent="0.45">
      <c r="B6" s="292" t="str">
        <f>'ROIC Metrics'!B7</f>
        <v>x Invested Capital Turnover</v>
      </c>
      <c r="C6" s="321" t="str">
        <f>[1]!IntrinioFinancials(C$3,"calculations",0,"TTM",'ROIC Metrics'!$N7)</f>
        <v/>
      </c>
      <c r="D6" s="294" t="str">
        <f>[1]!IntrinioFinancials(D$3,"calculations",0,"TTM",'ROIC Metrics'!$N7)</f>
        <v/>
      </c>
      <c r="E6" s="294" t="str">
        <f>[1]!IntrinioFinancials(E$3,"calculations",0,"TTM",'ROIC Metrics'!$N7)</f>
        <v/>
      </c>
      <c r="F6" s="294" t="str">
        <f>[1]!IntrinioFinancials(F$3,"calculations",0,"TTM",'ROIC Metrics'!$N7)</f>
        <v/>
      </c>
      <c r="G6" s="294" t="str">
        <f>[1]!IntrinioFinancials(G$3,"calculations",0,"TTM",'ROIC Metrics'!$N7)</f>
        <v/>
      </c>
      <c r="H6" s="339" t="str">
        <f>[1]!IntrinioFinancials(H$3,"calculations",0,"TTM",'ROIC Metrics'!$N7)</f>
        <v/>
      </c>
      <c r="I6" s="294" t="str">
        <f t="shared" si="0"/>
        <v>nm</v>
      </c>
      <c r="J6" s="294" t="str">
        <f t="shared" si="1"/>
        <v>nm</v>
      </c>
      <c r="K6" s="294"/>
      <c r="L6" s="17"/>
      <c r="M6" s="17"/>
    </row>
    <row r="7" spans="1:13" s="242" customFormat="1" ht="20.85" customHeight="1" x14ac:dyDescent="0.45">
      <c r="B7" s="320" t="str">
        <f>'ROIC Metrics'!B8</f>
        <v>= Return on Invested Capital (ROIC)</v>
      </c>
      <c r="C7" s="275" t="str">
        <f>[1]!IntrinioFinancials(C$3,"calculations",0,"TTM",'ROIC Metrics'!$N8)</f>
        <v/>
      </c>
      <c r="D7" s="275" t="str">
        <f>[1]!IntrinioFinancials(D$3,"calculations",0,"TTM",'ROIC Metrics'!$N8)</f>
        <v/>
      </c>
      <c r="E7" s="275" t="str">
        <f>[1]!IntrinioFinancials(E$3,"calculations",0,"TTM",'ROIC Metrics'!$N8)</f>
        <v/>
      </c>
      <c r="F7" s="275" t="str">
        <f>[1]!IntrinioFinancials(F$3,"calculations",0,"TTM",'ROIC Metrics'!$N8)</f>
        <v/>
      </c>
      <c r="G7" s="275" t="str">
        <f>[1]!IntrinioFinancials(G$3,"calculations",0,"TTM",'ROIC Metrics'!$N8)</f>
        <v/>
      </c>
      <c r="H7" s="338" t="str">
        <f>[1]!IntrinioFinancials(H$3,"calculations",0,"TTM",'ROIC Metrics'!$N8)</f>
        <v/>
      </c>
      <c r="I7" s="275" t="str">
        <f t="shared" si="0"/>
        <v>nm</v>
      </c>
      <c r="J7" s="275" t="str">
        <f t="shared" si="1"/>
        <v>nm</v>
      </c>
      <c r="K7" s="275"/>
      <c r="L7" s="243"/>
      <c r="M7" s="243"/>
    </row>
    <row r="8" spans="1:13" s="242" customFormat="1" ht="20.85" customHeight="1" x14ac:dyDescent="0.45">
      <c r="B8" s="336"/>
      <c r="C8" s="337"/>
      <c r="D8" s="337"/>
      <c r="E8" s="337"/>
      <c r="F8" s="337"/>
      <c r="G8" s="337"/>
      <c r="H8" s="337"/>
      <c r="I8" s="337"/>
      <c r="J8" s="337"/>
      <c r="K8" s="337"/>
      <c r="L8" s="243"/>
      <c r="M8" s="243"/>
    </row>
    <row r="9" spans="1:13" ht="20.85" customHeight="1" x14ac:dyDescent="0.45">
      <c r="B9" s="271" t="str">
        <f>'ROIC Metrics'!B10</f>
        <v>ROE Disaggregation:</v>
      </c>
      <c r="C9" s="277"/>
      <c r="D9" s="247"/>
      <c r="E9" s="247"/>
      <c r="F9" s="247"/>
      <c r="G9" s="247"/>
      <c r="H9" s="340"/>
      <c r="I9" s="247"/>
      <c r="J9" s="247"/>
      <c r="K9" s="247"/>
      <c r="L9" s="17"/>
      <c r="M9" s="17"/>
    </row>
    <row r="10" spans="1:13" s="242" customFormat="1" ht="20.85" customHeight="1" x14ac:dyDescent="0.45">
      <c r="B10" s="293" t="str">
        <f>'ROIC Metrics'!B11</f>
        <v>Net Nonoperating Expense Percent</v>
      </c>
      <c r="C10" s="274" t="str">
        <f>[1]!IntrinioFinancials(C$3,"calculations",0,"TTM",'ROIC Metrics'!$N11)</f>
        <v/>
      </c>
      <c r="D10" s="275" t="str">
        <f>[1]!IntrinioFinancials(D$3,"calculations",0,"TTM",'ROIC Metrics'!$N11)</f>
        <v/>
      </c>
      <c r="E10" s="275" t="str">
        <f>[1]!IntrinioFinancials(E$3,"calculations",0,"TTM",'ROIC Metrics'!$N11)</f>
        <v/>
      </c>
      <c r="F10" s="275" t="str">
        <f>[1]!IntrinioFinancials(F$3,"calculations",0,"TTM",'ROIC Metrics'!$N11)</f>
        <v/>
      </c>
      <c r="G10" s="275" t="str">
        <f>[1]!IntrinioFinancials(G$3,"calculations",0,"TTM",'ROIC Metrics'!$N11)</f>
        <v/>
      </c>
      <c r="H10" s="338" t="str">
        <f>[1]!IntrinioFinancials(H$3,"calculations",0,"TTM",'ROIC Metrics'!$N11)</f>
        <v/>
      </c>
      <c r="I10" s="275" t="str">
        <f t="shared" ref="I10" si="2">IFERROR(AVERAGE(C10:H10),"nm")</f>
        <v>nm</v>
      </c>
      <c r="J10" s="275" t="str">
        <f t="shared" ref="J10" si="3">IFERROR(MEDIAN(C10:H10),"nm")</f>
        <v>nm</v>
      </c>
      <c r="K10" s="275"/>
      <c r="L10" s="243"/>
      <c r="M10" s="243"/>
    </row>
    <row r="11" spans="1:13" ht="20.85" customHeight="1" x14ac:dyDescent="0.45">
      <c r="B11" s="292" t="str">
        <f>'ROIC Metrics'!B12</f>
        <v>ROIC-NNEP Spread</v>
      </c>
      <c r="C11" s="326" t="str">
        <f>[1]!IntrinioFinancials(C$3,"calculations",0,"TTM",'ROIC Metrics'!$N12)</f>
        <v/>
      </c>
      <c r="D11" s="327" t="str">
        <f>[1]!IntrinioFinancials(D$3,"calculations",0,"TTM",'ROIC Metrics'!$N12)</f>
        <v/>
      </c>
      <c r="E11" s="327" t="str">
        <f>[1]!IntrinioFinancials(E$3,"calculations",0,"TTM",'ROIC Metrics'!$N12)</f>
        <v/>
      </c>
      <c r="F11" s="327" t="str">
        <f>[1]!IntrinioFinancials(F$3,"calculations",0,"TTM",'ROIC Metrics'!$N12)</f>
        <v/>
      </c>
      <c r="G11" s="327" t="str">
        <f>[1]!IntrinioFinancials(G$3,"calculations",0,"TTM",'ROIC Metrics'!$N12)</f>
        <v/>
      </c>
      <c r="H11" s="341" t="str">
        <f>[1]!IntrinioFinancials(H$3,"calculations",0,"TTM",'ROIC Metrics'!$N12)</f>
        <v/>
      </c>
      <c r="I11" s="327" t="str">
        <f>IFERROR(AVERAGE(C11:H11),"nm")</f>
        <v>nm</v>
      </c>
      <c r="J11" s="327" t="str">
        <f>IFERROR(MEDIAN(C11:H11),"nm")</f>
        <v>nm</v>
      </c>
      <c r="K11" s="327"/>
      <c r="L11" s="17"/>
      <c r="M11" s="17"/>
    </row>
    <row r="12" spans="1:13" s="242" customFormat="1" ht="20.85" customHeight="1" x14ac:dyDescent="0.45">
      <c r="B12" s="293" t="str">
        <f>'ROIC Metrics'!B13</f>
        <v>x Financial Leverage</v>
      </c>
      <c r="C12" s="330" t="str">
        <f>[1]!IntrinioFinancials(C$3,"calculations",0,"TTM",'ROIC Metrics'!$N13)</f>
        <v/>
      </c>
      <c r="D12" s="331" t="str">
        <f>[1]!IntrinioFinancials(D$3,"calculations",0,"TTM",'ROIC Metrics'!$N13)</f>
        <v/>
      </c>
      <c r="E12" s="331" t="str">
        <f>[1]!IntrinioFinancials(E$3,"calculations",0,"TTM",'ROIC Metrics'!$N13)</f>
        <v/>
      </c>
      <c r="F12" s="331" t="str">
        <f>[1]!IntrinioFinancials(F$3,"calculations",0,"TTM",'ROIC Metrics'!$N13)</f>
        <v/>
      </c>
      <c r="G12" s="331" t="str">
        <f>[1]!IntrinioFinancials(G$3,"calculations",0,"TTM",'ROIC Metrics'!$N13)</f>
        <v/>
      </c>
      <c r="H12" s="342" t="str">
        <f>[1]!IntrinioFinancials(H$3,"calculations",0,"TTM",'ROIC Metrics'!$N13)</f>
        <v/>
      </c>
      <c r="I12" s="331" t="str">
        <f t="shared" ref="I12:I14" si="4">IFERROR(AVERAGE(C12:H12),"nm")</f>
        <v>nm</v>
      </c>
      <c r="J12" s="331" t="str">
        <f t="shared" ref="J12:J14" si="5">IFERROR(MEDIAN(C12:H12),"nm")</f>
        <v>nm</v>
      </c>
      <c r="K12" s="331"/>
      <c r="L12" s="243"/>
      <c r="M12" s="243"/>
    </row>
    <row r="13" spans="1:13" ht="20.85" customHeight="1" x14ac:dyDescent="0.45">
      <c r="B13" s="333" t="str">
        <f>'ROIC Metrics'!B14</f>
        <v>= Return on Net Nonoperating Assets (RNNOA)</v>
      </c>
      <c r="C13" s="326" t="str">
        <f>[1]!IntrinioFinancials(C$3,"calculations",0,"TTM",'ROIC Metrics'!$N14)</f>
        <v/>
      </c>
      <c r="D13" s="327" t="str">
        <f>[1]!IntrinioFinancials(D$3,"calculations",0,"TTM",'ROIC Metrics'!$N14)</f>
        <v/>
      </c>
      <c r="E13" s="327" t="str">
        <f>[1]!IntrinioFinancials(E$3,"calculations",0,"TTM",'ROIC Metrics'!$N14)</f>
        <v/>
      </c>
      <c r="F13" s="327" t="str">
        <f>[1]!IntrinioFinancials(F$3,"calculations",0,"TTM",'ROIC Metrics'!$N14)</f>
        <v/>
      </c>
      <c r="G13" s="327" t="str">
        <f>[1]!IntrinioFinancials(G$3,"calculations",0,"TTM",'ROIC Metrics'!$N14)</f>
        <v/>
      </c>
      <c r="H13" s="341" t="str">
        <f>[1]!IntrinioFinancials(H$3,"calculations",0,"TTM",'ROIC Metrics'!$N14)</f>
        <v/>
      </c>
      <c r="I13" s="327" t="str">
        <f t="shared" si="4"/>
        <v>nm</v>
      </c>
      <c r="J13" s="327" t="str">
        <f t="shared" si="5"/>
        <v>nm</v>
      </c>
      <c r="K13" s="327"/>
      <c r="L13" s="17"/>
      <c r="M13" s="17"/>
    </row>
    <row r="14" spans="1:13" s="242" customFormat="1" ht="20.85" customHeight="1" x14ac:dyDescent="0.45">
      <c r="B14" s="320" t="str">
        <f>'ROIC Metrics'!B15</f>
        <v>Return on Equity (ROE) = ROIC + RNNOA</v>
      </c>
      <c r="C14" s="275" t="str">
        <f>[1]!IntrinioFinancials(C$3,"calculations",0,"TTM",'ROIC Metrics'!$N15)</f>
        <v/>
      </c>
      <c r="D14" s="275" t="str">
        <f>[1]!IntrinioFinancials(D$3,"calculations",0,"TTM",'ROIC Metrics'!$N15)</f>
        <v/>
      </c>
      <c r="E14" s="275" t="str">
        <f>[1]!IntrinioFinancials(E$3,"calculations",0,"TTM",'ROIC Metrics'!$N15)</f>
        <v/>
      </c>
      <c r="F14" s="275" t="str">
        <f>[1]!IntrinioFinancials(F$3,"calculations",0,"TTM",'ROIC Metrics'!$N15)</f>
        <v/>
      </c>
      <c r="G14" s="275" t="str">
        <f>[1]!IntrinioFinancials(G$3,"calculations",0,"TTM",'ROIC Metrics'!$N15)</f>
        <v/>
      </c>
      <c r="H14" s="338" t="str">
        <f>[1]!IntrinioFinancials(H$3,"calculations",0,"TTM",'ROIC Metrics'!$N15)</f>
        <v/>
      </c>
      <c r="I14" s="275" t="str">
        <f t="shared" si="4"/>
        <v>nm</v>
      </c>
      <c r="J14" s="275" t="str">
        <f t="shared" si="5"/>
        <v>nm</v>
      </c>
      <c r="K14" s="275"/>
      <c r="L14" s="243"/>
      <c r="M14" s="243"/>
    </row>
    <row r="15" spans="1:13" ht="21.95" customHeight="1" x14ac:dyDescent="0.45">
      <c r="B15" s="117"/>
      <c r="C15" s="117"/>
      <c r="D15" s="117"/>
      <c r="E15" s="117"/>
      <c r="F15" s="117"/>
      <c r="G15" s="117"/>
      <c r="H15" s="117"/>
      <c r="I15" s="117"/>
      <c r="J15" s="117"/>
      <c r="K15" s="49"/>
      <c r="L15" s="49"/>
      <c r="M15" s="17"/>
    </row>
    <row r="16" spans="1:13" ht="21.95" customHeight="1" x14ac:dyDescent="0.45">
      <c r="B16" s="117"/>
      <c r="C16" s="117"/>
      <c r="D16" s="117"/>
      <c r="E16" s="117"/>
      <c r="F16" s="117"/>
      <c r="G16" s="117"/>
      <c r="H16" s="117"/>
      <c r="I16" s="117"/>
      <c r="J16" s="117"/>
      <c r="K16" s="17"/>
      <c r="L16" s="17"/>
      <c r="M16" s="17"/>
    </row>
    <row r="17" spans="2:13" ht="21.9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7"/>
      <c r="L17" s="17"/>
      <c r="M17" s="17"/>
    </row>
    <row r="18" spans="2:13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7"/>
      <c r="L18" s="17"/>
      <c r="M18" s="17"/>
    </row>
    <row r="19" spans="2:13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95" customHeight="1" x14ac:dyDescent="0.45">
      <c r="B27" s="28"/>
      <c r="C27" s="253"/>
      <c r="D27" s="253"/>
      <c r="E27" s="253"/>
      <c r="F27" s="253"/>
      <c r="G27" s="253"/>
      <c r="H27" s="253"/>
      <c r="I27" s="28"/>
      <c r="J27" s="28"/>
      <c r="K27" s="16"/>
      <c r="L27" s="17"/>
      <c r="M27" s="17"/>
    </row>
    <row r="28" spans="2:13" ht="21.95" customHeight="1" x14ac:dyDescent="0.45">
      <c r="B28" s="28"/>
      <c r="C28" s="253"/>
      <c r="D28" s="253"/>
      <c r="E28" s="253"/>
      <c r="F28" s="253"/>
      <c r="G28" s="253"/>
      <c r="H28" s="253"/>
      <c r="I28" s="28"/>
      <c r="J28" s="28"/>
      <c r="K28" s="17"/>
      <c r="L28" s="17"/>
      <c r="M28" s="17"/>
    </row>
    <row r="29" spans="2:13" ht="21.95" customHeight="1" x14ac:dyDescent="0.45">
      <c r="B29" s="28" t="s">
        <v>152</v>
      </c>
      <c r="C29" s="28" t="str">
        <f>IF(ticker="","",ticker)</f>
        <v/>
      </c>
      <c r="D29" s="28" t="str">
        <f>IF(comp1="","",comp1)</f>
        <v/>
      </c>
      <c r="E29" s="28" t="str">
        <f>IF(comp2="","",comp2)</f>
        <v/>
      </c>
      <c r="F29" s="28" t="str">
        <f>IF(comp3="","",comp3)</f>
        <v/>
      </c>
      <c r="G29" s="28" t="str">
        <f>IF(comp4="","",comp4)</f>
        <v/>
      </c>
      <c r="H29" s="28" t="str">
        <f>IF(comp5="","",comp5)</f>
        <v/>
      </c>
      <c r="I29" s="28"/>
      <c r="J29" s="28"/>
    </row>
    <row r="30" spans="2:13" ht="23.85" customHeight="1" x14ac:dyDescent="0.45">
      <c r="B30" s="28"/>
      <c r="C30" s="28"/>
      <c r="D30" s="28"/>
      <c r="E30" s="28"/>
      <c r="F30" s="28"/>
      <c r="G30" s="28"/>
      <c r="H30" s="28"/>
      <c r="I30" s="28"/>
      <c r="J30" s="28"/>
    </row>
    <row r="31" spans="2:13" ht="15.75" customHeight="1" x14ac:dyDescent="0.45">
      <c r="C31" s="3"/>
      <c r="D31" s="3"/>
      <c r="E31" s="3"/>
      <c r="F31" s="3"/>
      <c r="G31" s="3"/>
      <c r="H31" s="3"/>
      <c r="I31" s="3"/>
      <c r="J31" s="3"/>
      <c r="K31" s="20"/>
    </row>
    <row r="32" spans="2:13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</row>
    <row r="37" spans="3:11" x14ac:dyDescent="0.45">
      <c r="C37" s="3"/>
      <c r="D37" s="3"/>
      <c r="E37" s="3"/>
      <c r="F37" s="3"/>
      <c r="G37" s="3"/>
      <c r="H37" s="3"/>
      <c r="I37" s="3"/>
      <c r="J37" s="3"/>
      <c r="K37" s="19"/>
    </row>
    <row r="38" spans="3:11" x14ac:dyDescent="0.45">
      <c r="C38" s="3"/>
      <c r="D38" s="3"/>
      <c r="E38" s="3"/>
      <c r="F38" s="3"/>
      <c r="G38" s="3"/>
      <c r="H38" s="3"/>
      <c r="I38" s="3"/>
      <c r="J38" s="3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</sheetData>
  <conditionalFormatting sqref="K31:K33">
    <cfRule type="cellIs" dxfId="5" priority="1" operator="greaterThan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  <pageSetUpPr fitToPage="1"/>
  </sheetPr>
  <dimension ref="A1:M44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7304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5.4" x14ac:dyDescent="0.45">
      <c r="A1" s="23" t="s">
        <v>211</v>
      </c>
    </row>
    <row r="3" spans="1:13" ht="21.95" customHeight="1" x14ac:dyDescent="0.45">
      <c r="B3" s="104"/>
      <c r="C3" s="105" t="str">
        <f>IF(ticker="","",ticker)</f>
        <v/>
      </c>
      <c r="D3" s="106" t="str">
        <f>IF(D30=0,"",D30)</f>
        <v/>
      </c>
      <c r="E3" s="106" t="str">
        <f>IF(E30=0,"",E30)</f>
        <v/>
      </c>
      <c r="F3" s="106" t="str">
        <f>IF(F30=0,"",F30)</f>
        <v/>
      </c>
      <c r="G3" s="106" t="str">
        <f>IF(G30=0,"",G30)</f>
        <v/>
      </c>
      <c r="H3" s="106" t="str">
        <f>IF(H30=0,"",H30)</f>
        <v/>
      </c>
      <c r="I3" s="105" t="s">
        <v>144</v>
      </c>
      <c r="J3" s="106" t="s">
        <v>145</v>
      </c>
      <c r="L3" s="1"/>
    </row>
    <row r="4" spans="1:13" ht="20.85" customHeight="1" x14ac:dyDescent="0.45">
      <c r="B4" s="271" t="str">
        <f>'NWC Metrics'!B5</f>
        <v>Cash Conversion Cycle:</v>
      </c>
      <c r="C4" s="246"/>
      <c r="D4" s="354"/>
      <c r="E4" s="354"/>
      <c r="F4" s="354"/>
      <c r="G4" s="354"/>
      <c r="H4" s="355"/>
      <c r="I4" s="300"/>
      <c r="J4" s="356"/>
      <c r="K4" s="17"/>
      <c r="L4" s="17"/>
      <c r="M4" s="17"/>
    </row>
    <row r="5" spans="1:13" s="242" customFormat="1" ht="20.85" customHeight="1" x14ac:dyDescent="0.45">
      <c r="B5" s="293" t="str">
        <f>'NWC Metrics'!B6</f>
        <v>Days Sales Outstanding (DSO)</v>
      </c>
      <c r="C5" s="347" t="str">
        <f>[1]!IntrinioFinancials(C$3,"calculations",0,"TTM",'NWC Metrics'!$N6)</f>
        <v/>
      </c>
      <c r="D5" s="348" t="str">
        <f>[1]!IntrinioFinancials(D$3,"calculations",0,"TTM",'NWC Metrics'!$N6)</f>
        <v/>
      </c>
      <c r="E5" s="348" t="str">
        <f>[1]!IntrinioFinancials(E$3,"calculations",0,"TTM",'NWC Metrics'!$N6)</f>
        <v/>
      </c>
      <c r="F5" s="348" t="str">
        <f>[1]!IntrinioFinancials(F$3,"calculations",0,"TTM",'NWC Metrics'!$N6)</f>
        <v/>
      </c>
      <c r="G5" s="348" t="str">
        <f>[1]!IntrinioFinancials(G$3,"calculations",0,"TTM",'NWC Metrics'!$N6)</f>
        <v/>
      </c>
      <c r="H5" s="349" t="str">
        <f>[1]!IntrinioFinancials(H$3,"calculations",0,"TTM",'NWC Metrics'!$N6)</f>
        <v/>
      </c>
      <c r="I5" s="357" t="str">
        <f t="shared" ref="I5:I8" si="0">IFERROR(AVERAGE(C5:H5),"nm")</f>
        <v>nm</v>
      </c>
      <c r="J5" s="358" t="str">
        <f t="shared" ref="J5:J8" si="1">IFERROR(MEDIAN(C5:H5),"nm")</f>
        <v>nm</v>
      </c>
      <c r="K5" s="275"/>
      <c r="L5" s="243"/>
      <c r="M5" s="243"/>
    </row>
    <row r="6" spans="1:13" ht="20.85" customHeight="1" x14ac:dyDescent="0.45">
      <c r="B6" s="292" t="str">
        <f>'NWC Metrics'!B7</f>
        <v>+ Days Inventory Outstanding (DIO)</v>
      </c>
      <c r="C6" s="343" t="str">
        <f>[1]!IntrinioFinancials(C$3,"calculations",0,"TTM",'NWC Metrics'!$N7)</f>
        <v/>
      </c>
      <c r="D6" s="344" t="str">
        <f>[1]!IntrinioFinancials(D$3,"calculations",0,"TTM",'NWC Metrics'!$N7)</f>
        <v/>
      </c>
      <c r="E6" s="344" t="str">
        <f>[1]!IntrinioFinancials(E$3,"calculations",0,"TTM",'NWC Metrics'!$N7)</f>
        <v/>
      </c>
      <c r="F6" s="344" t="str">
        <f>[1]!IntrinioFinancials(F$3,"calculations",0,"TTM",'NWC Metrics'!$N7)</f>
        <v/>
      </c>
      <c r="G6" s="344" t="str">
        <f>[1]!IntrinioFinancials(G$3,"calculations",0,"TTM",'NWC Metrics'!$N7)</f>
        <v/>
      </c>
      <c r="H6" s="345" t="str">
        <f>[1]!IntrinioFinancials(H$3,"calculations",0,"TTM",'NWC Metrics'!$N7)</f>
        <v/>
      </c>
      <c r="I6" s="359" t="str">
        <f t="shared" si="0"/>
        <v>nm</v>
      </c>
      <c r="J6" s="360" t="str">
        <f t="shared" si="1"/>
        <v>nm</v>
      </c>
      <c r="K6" s="294"/>
      <c r="L6" s="17"/>
      <c r="M6" s="17"/>
    </row>
    <row r="7" spans="1:13" s="242" customFormat="1" ht="20.85" customHeight="1" x14ac:dyDescent="0.45">
      <c r="B7" s="320" t="str">
        <f>'NWC Metrics'!B8</f>
        <v>- Days Payable Outstanding (DPO)</v>
      </c>
      <c r="C7" s="347" t="str">
        <f>IFERROR(-[1]!IntrinioFinancials(C$3,"calculations",0,"TTM",'NWC Metrics'!$N8),"")</f>
        <v/>
      </c>
      <c r="D7" s="348" t="str">
        <f>IFERROR(-[1]!IntrinioFinancials(D$3,"calculations",0,"TTM",'NWC Metrics'!$N8),"")</f>
        <v/>
      </c>
      <c r="E7" s="348" t="str">
        <f>IFERROR(-[1]!IntrinioFinancials(E$3,"calculations",0,"TTM",'NWC Metrics'!$N8),"")</f>
        <v/>
      </c>
      <c r="F7" s="348" t="str">
        <f>IFERROR(-[1]!IntrinioFinancials(F$3,"calculations",0,"TTM",'NWC Metrics'!$N8),"")</f>
        <v/>
      </c>
      <c r="G7" s="348" t="str">
        <f>IFERROR(-[1]!IntrinioFinancials(G$3,"calculations",0,"TTM",'NWC Metrics'!$N8),"")</f>
        <v/>
      </c>
      <c r="H7" s="349" t="str">
        <f>IFERROR(-[1]!IntrinioFinancials(H$3,"calculations",0,"TTM",'NWC Metrics'!$N8),"")</f>
        <v/>
      </c>
      <c r="I7" s="357" t="str">
        <f t="shared" si="0"/>
        <v>nm</v>
      </c>
      <c r="J7" s="358" t="str">
        <f t="shared" si="1"/>
        <v>nm</v>
      </c>
      <c r="K7" s="275"/>
      <c r="L7" s="243"/>
      <c r="M7" s="243"/>
    </row>
    <row r="8" spans="1:13" ht="20.85" customHeight="1" x14ac:dyDescent="0.45">
      <c r="B8" s="292" t="str">
        <f>'NWC Metrics'!B9</f>
        <v>= Cash Conversion Cycle (CCC)</v>
      </c>
      <c r="C8" s="343" t="str">
        <f>[1]!IntrinioFinancials(C$3,"calculations",0,"TTM",'NWC Metrics'!$N9)</f>
        <v/>
      </c>
      <c r="D8" s="344" t="str">
        <f>[1]!IntrinioFinancials(D$3,"calculations",0,"TTM",'NWC Metrics'!$N9)</f>
        <v/>
      </c>
      <c r="E8" s="344" t="str">
        <f>[1]!IntrinioFinancials(E$3,"calculations",0,"TTM",'NWC Metrics'!$N9)</f>
        <v/>
      </c>
      <c r="F8" s="344" t="str">
        <f>[1]!IntrinioFinancials(F$3,"calculations",0,"TTM",'NWC Metrics'!$N9)</f>
        <v/>
      </c>
      <c r="G8" s="344" t="str">
        <f>[1]!IntrinioFinancials(G$3,"calculations",0,"TTM",'NWC Metrics'!$N9)</f>
        <v/>
      </c>
      <c r="H8" s="345" t="str">
        <f>[1]!IntrinioFinancials(H$3,"calculations",0,"TTM",'NWC Metrics'!$N9)</f>
        <v/>
      </c>
      <c r="I8" s="369" t="str">
        <f t="shared" si="0"/>
        <v>nm</v>
      </c>
      <c r="J8" s="370" t="str">
        <f t="shared" si="1"/>
        <v>nm</v>
      </c>
      <c r="K8" s="294"/>
      <c r="L8" s="17"/>
      <c r="M8" s="17"/>
    </row>
    <row r="9" spans="1:13" s="242" customFormat="1" ht="20.85" customHeight="1" x14ac:dyDescent="0.45">
      <c r="B9" s="336"/>
      <c r="C9" s="362"/>
      <c r="D9" s="362"/>
      <c r="E9" s="362"/>
      <c r="F9" s="362"/>
      <c r="G9" s="362"/>
      <c r="H9" s="362"/>
      <c r="I9" s="362"/>
      <c r="J9" s="362"/>
      <c r="K9" s="337"/>
      <c r="L9" s="243"/>
      <c r="M9" s="243"/>
    </row>
    <row r="10" spans="1:13" ht="20.85" customHeight="1" x14ac:dyDescent="0.45">
      <c r="B10" s="271" t="str">
        <f>'NWC Metrics'!B11</f>
        <v>Liquidity:</v>
      </c>
      <c r="C10" s="277"/>
      <c r="D10" s="247"/>
      <c r="E10" s="247"/>
      <c r="F10" s="247"/>
      <c r="G10" s="247"/>
      <c r="H10" s="278"/>
      <c r="I10" s="371"/>
      <c r="J10" s="372"/>
      <c r="K10" s="247"/>
      <c r="L10" s="17"/>
      <c r="M10" s="17"/>
    </row>
    <row r="11" spans="1:13" s="242" customFormat="1" ht="20.85" customHeight="1" x14ac:dyDescent="0.45">
      <c r="B11" s="293" t="str">
        <f>'NWC Metrics'!B12</f>
        <v>Current Ratio</v>
      </c>
      <c r="C11" s="347" t="str">
        <f>[1]!IntrinioFinancials(C$3,"calculations",0,"TTM",'NWC Metrics'!$N12)</f>
        <v/>
      </c>
      <c r="D11" s="348" t="str">
        <f>[1]!IntrinioFinancials(D$3,"calculations",0,"TTM",'NWC Metrics'!$N12)</f>
        <v/>
      </c>
      <c r="E11" s="348" t="str">
        <f>[1]!IntrinioFinancials(E$3,"calculations",0,"TTM",'NWC Metrics'!$N12)</f>
        <v/>
      </c>
      <c r="F11" s="348" t="str">
        <f>[1]!IntrinioFinancials(F$3,"calculations",0,"TTM",'NWC Metrics'!$N12)</f>
        <v/>
      </c>
      <c r="G11" s="348" t="str">
        <f>[1]!IntrinioFinancials(G$3,"calculations",0,"TTM",'NWC Metrics'!$N12)</f>
        <v/>
      </c>
      <c r="H11" s="349" t="str">
        <f>[1]!IntrinioFinancials(H$3,"calculations",0,"TTM",'NWC Metrics'!$N12)</f>
        <v/>
      </c>
      <c r="I11" s="357" t="str">
        <f t="shared" ref="I11:I15" si="2">IFERROR(AVERAGE(C11:H11),"nm")</f>
        <v>nm</v>
      </c>
      <c r="J11" s="358" t="str">
        <f t="shared" ref="J11:J15" si="3">IFERROR(MEDIAN(C11:H11),"nm")</f>
        <v>nm</v>
      </c>
      <c r="K11" s="275"/>
      <c r="L11" s="243"/>
      <c r="M11" s="243"/>
    </row>
    <row r="12" spans="1:13" ht="20.85" customHeight="1" x14ac:dyDescent="0.45">
      <c r="B12" s="292" t="str">
        <f>'NWC Metrics'!B13</f>
        <v>Quick Ratio</v>
      </c>
      <c r="C12" s="350" t="str">
        <f>[1]!IntrinioFinancials(C$3,"calculations",0,"TTM",'NWC Metrics'!$N13)</f>
        <v/>
      </c>
      <c r="D12" s="351" t="str">
        <f>[1]!IntrinioFinancials(D$3,"calculations",0,"TTM",'NWC Metrics'!$N13)</f>
        <v/>
      </c>
      <c r="E12" s="351" t="str">
        <f>[1]!IntrinioFinancials(E$3,"calculations",0,"TTM",'NWC Metrics'!$N13)</f>
        <v/>
      </c>
      <c r="F12" s="351" t="str">
        <f>[1]!IntrinioFinancials(F$3,"calculations",0,"TTM",'NWC Metrics'!$N13)</f>
        <v/>
      </c>
      <c r="G12" s="351" t="str">
        <f>[1]!IntrinioFinancials(G$3,"calculations",0,"TTM",'NWC Metrics'!$N13)</f>
        <v/>
      </c>
      <c r="H12" s="352" t="str">
        <f>[1]!IntrinioFinancials(H$3,"calculations",0,"TTM",'NWC Metrics'!$N13)</f>
        <v/>
      </c>
      <c r="I12" s="363" t="str">
        <f t="shared" si="2"/>
        <v>nm</v>
      </c>
      <c r="J12" s="364" t="str">
        <f t="shared" si="3"/>
        <v>nm</v>
      </c>
      <c r="K12" s="327"/>
      <c r="L12" s="17"/>
      <c r="M12" s="17"/>
    </row>
    <row r="13" spans="1:13" s="242" customFormat="1" ht="20.85" customHeight="1" x14ac:dyDescent="0.45">
      <c r="B13" s="293" t="str">
        <f>'NWC Metrics'!B14</f>
        <v>Debt-free, Cash-free NWC to Revenue</v>
      </c>
      <c r="C13" s="274" t="str">
        <f>[1]!IntrinioFinancials(C$3,"calculations",0,"TTM",'NWC Metrics'!$N14)</f>
        <v/>
      </c>
      <c r="D13" s="275" t="str">
        <f>[1]!IntrinioFinancials(D$3,"calculations",0,"TTM",'NWC Metrics'!$N14)</f>
        <v/>
      </c>
      <c r="E13" s="275" t="str">
        <f>[1]!IntrinioFinancials(E$3,"calculations",0,"TTM",'NWC Metrics'!$N14)</f>
        <v/>
      </c>
      <c r="F13" s="275" t="str">
        <f>[1]!IntrinioFinancials(F$3,"calculations",0,"TTM",'NWC Metrics'!$N14)</f>
        <v/>
      </c>
      <c r="G13" s="275" t="str">
        <f>[1]!IntrinioFinancials(G$3,"calculations",0,"TTM",'NWC Metrics'!$N14)</f>
        <v/>
      </c>
      <c r="H13" s="282" t="str">
        <f>[1]!IntrinioFinancials(H$3,"calculations",0,"TTM",'NWC Metrics'!$N14)</f>
        <v/>
      </c>
      <c r="I13" s="361" t="str">
        <f t="shared" si="2"/>
        <v>nm</v>
      </c>
      <c r="J13" s="362" t="str">
        <f t="shared" si="3"/>
        <v>nm</v>
      </c>
      <c r="K13" s="331"/>
      <c r="L13" s="243"/>
      <c r="M13" s="243"/>
    </row>
    <row r="14" spans="1:13" ht="20.85" customHeight="1" x14ac:dyDescent="0.45">
      <c r="B14" s="333" t="str">
        <f>'NWC Metrics'!B15</f>
        <v>Debt-free NWC to Revenue</v>
      </c>
      <c r="C14" s="326" t="str">
        <f>[1]!IntrinioFinancials(C$3,"calculations",0,"TTM",'NWC Metrics'!$N15)</f>
        <v/>
      </c>
      <c r="D14" s="327" t="str">
        <f>[1]!IntrinioFinancials(D$3,"calculations",0,"TTM",'NWC Metrics'!$N15)</f>
        <v/>
      </c>
      <c r="E14" s="327" t="str">
        <f>[1]!IntrinioFinancials(E$3,"calculations",0,"TTM",'NWC Metrics'!$N15)</f>
        <v/>
      </c>
      <c r="F14" s="327" t="str">
        <f>[1]!IntrinioFinancials(F$3,"calculations",0,"TTM",'NWC Metrics'!$N15)</f>
        <v/>
      </c>
      <c r="G14" s="327" t="str">
        <f>[1]!IntrinioFinancials(G$3,"calculations",0,"TTM",'NWC Metrics'!$N15)</f>
        <v/>
      </c>
      <c r="H14" s="328" t="str">
        <f>[1]!IntrinioFinancials(H$3,"calculations",0,"TTM",'NWC Metrics'!$N15)</f>
        <v/>
      </c>
      <c r="I14" s="365" t="str">
        <f t="shared" si="2"/>
        <v>nm</v>
      </c>
      <c r="J14" s="366" t="str">
        <f t="shared" si="3"/>
        <v>nm</v>
      </c>
      <c r="K14" s="327"/>
      <c r="L14" s="17"/>
      <c r="M14" s="17"/>
    </row>
    <row r="15" spans="1:13" s="242" customFormat="1" ht="20.85" customHeight="1" x14ac:dyDescent="0.45">
      <c r="B15" s="320" t="str">
        <f>'NWC Metrics'!B16</f>
        <v>NWC to Revenue</v>
      </c>
      <c r="C15" s="274" t="str">
        <f>[1]!IntrinioFinancials(C$3,"calculations",0,"TTM",'NWC Metrics'!$N16)</f>
        <v/>
      </c>
      <c r="D15" s="275" t="str">
        <f>[1]!IntrinioFinancials(D$3,"calculations",0,"TTM",'NWC Metrics'!$N16)</f>
        <v/>
      </c>
      <c r="E15" s="275" t="str">
        <f>[1]!IntrinioFinancials(E$3,"calculations",0,"TTM",'NWC Metrics'!$N16)</f>
        <v/>
      </c>
      <c r="F15" s="275" t="str">
        <f>[1]!IntrinioFinancials(F$3,"calculations",0,"TTM",'NWC Metrics'!$N16)</f>
        <v/>
      </c>
      <c r="G15" s="275" t="str">
        <f>[1]!IntrinioFinancials(G$3,"calculations",0,"TTM",'NWC Metrics'!$N16)</f>
        <v/>
      </c>
      <c r="H15" s="282" t="str">
        <f>[1]!IntrinioFinancials(H$3,"calculations",0,"TTM",'NWC Metrics'!$N16)</f>
        <v/>
      </c>
      <c r="I15" s="367" t="str">
        <f t="shared" si="2"/>
        <v>nm</v>
      </c>
      <c r="J15" s="368" t="str">
        <f t="shared" si="3"/>
        <v>nm</v>
      </c>
      <c r="K15" s="275"/>
      <c r="L15" s="243"/>
      <c r="M15" s="243"/>
    </row>
    <row r="16" spans="1:13" ht="21.95" customHeight="1" x14ac:dyDescent="0.45">
      <c r="B16" s="117"/>
      <c r="C16" s="117"/>
      <c r="D16" s="117"/>
      <c r="E16" s="117"/>
      <c r="F16" s="117"/>
      <c r="G16" s="117"/>
      <c r="H16" s="117"/>
      <c r="I16" s="117"/>
      <c r="J16" s="117"/>
      <c r="K16" s="49"/>
      <c r="L16" s="49"/>
      <c r="M16" s="17"/>
    </row>
    <row r="17" spans="2:13" ht="21.95" customHeight="1" x14ac:dyDescent="0.45">
      <c r="B17" s="117"/>
      <c r="C17" s="117"/>
      <c r="D17" s="117"/>
      <c r="E17" s="117"/>
      <c r="F17" s="117"/>
      <c r="G17" s="117"/>
      <c r="H17" s="117"/>
      <c r="I17" s="117"/>
      <c r="J17" s="117"/>
      <c r="K17" s="17"/>
      <c r="L17" s="17"/>
      <c r="M17" s="17"/>
    </row>
    <row r="18" spans="2:13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17"/>
      <c r="L18" s="17"/>
      <c r="M18" s="17"/>
    </row>
    <row r="19" spans="2:13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7"/>
      <c r="L27" s="17"/>
      <c r="M27" s="17"/>
    </row>
    <row r="28" spans="2:13" ht="21.95" customHeight="1" x14ac:dyDescent="0.45">
      <c r="B28" s="28"/>
      <c r="C28" s="253"/>
      <c r="D28" s="253"/>
      <c r="E28" s="253"/>
      <c r="F28" s="253"/>
      <c r="G28" s="253"/>
      <c r="H28" s="253"/>
      <c r="I28" s="28"/>
      <c r="J28" s="28"/>
      <c r="K28" s="16"/>
      <c r="L28" s="17"/>
      <c r="M28" s="17"/>
    </row>
    <row r="29" spans="2:13" ht="21.95" customHeight="1" x14ac:dyDescent="0.45">
      <c r="B29" s="28"/>
      <c r="C29" s="253"/>
      <c r="D29" s="253"/>
      <c r="E29" s="253"/>
      <c r="F29" s="253"/>
      <c r="G29" s="253"/>
      <c r="H29" s="253"/>
      <c r="I29" s="28"/>
      <c r="J29" s="28"/>
      <c r="K29" s="17"/>
      <c r="L29" s="17"/>
      <c r="M29" s="17"/>
    </row>
    <row r="30" spans="2:13" ht="21.95" customHeight="1" x14ac:dyDescent="0.45">
      <c r="B30" s="28" t="s">
        <v>152</v>
      </c>
      <c r="C30" s="28" t="str">
        <f>IF(ticker="","",ticker)</f>
        <v/>
      </c>
      <c r="D30" s="28" t="str">
        <f>IF(comp1="","",comp1)</f>
        <v/>
      </c>
      <c r="E30" s="28" t="str">
        <f>IF(comp2="","",comp2)</f>
        <v/>
      </c>
      <c r="F30" s="28" t="str">
        <f>IF(comp3="","",comp3)</f>
        <v/>
      </c>
      <c r="G30" s="28" t="str">
        <f>IF(comp4="","",comp4)</f>
        <v/>
      </c>
      <c r="H30" s="28" t="str">
        <f>IF(comp5="","",comp5)</f>
        <v/>
      </c>
      <c r="I30" s="28"/>
      <c r="J30" s="28"/>
    </row>
    <row r="31" spans="2:13" ht="23.85" customHeight="1" x14ac:dyDescent="0.45">
      <c r="B31" s="28"/>
      <c r="C31" s="28"/>
      <c r="D31" s="28"/>
      <c r="E31" s="28"/>
      <c r="F31" s="28"/>
      <c r="G31" s="28"/>
      <c r="H31" s="28"/>
      <c r="I31" s="28"/>
      <c r="J31" s="28"/>
    </row>
    <row r="32" spans="2:13" ht="15.75" customHeight="1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  <c r="K36" s="20"/>
    </row>
    <row r="37" spans="3:11" x14ac:dyDescent="0.45">
      <c r="C37" s="3"/>
      <c r="D37" s="3"/>
      <c r="E37" s="3"/>
      <c r="F37" s="3"/>
      <c r="G37" s="3"/>
      <c r="H37" s="3"/>
      <c r="I37" s="3"/>
      <c r="J37" s="3"/>
    </row>
    <row r="38" spans="3:11" x14ac:dyDescent="0.45">
      <c r="C38" s="3"/>
      <c r="D38" s="3"/>
      <c r="E38" s="3"/>
      <c r="F38" s="3"/>
      <c r="G38" s="3"/>
      <c r="H38" s="3"/>
      <c r="I38" s="3"/>
      <c r="J38" s="3"/>
      <c r="K38" s="19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  <row r="44" spans="3:11" x14ac:dyDescent="0.45">
      <c r="C44" s="3"/>
      <c r="D44" s="3"/>
      <c r="E44" s="3"/>
      <c r="F44" s="3"/>
      <c r="G44" s="3"/>
      <c r="H44" s="3"/>
      <c r="I44" s="3"/>
      <c r="J44" s="3"/>
    </row>
  </sheetData>
  <conditionalFormatting sqref="K32:K34">
    <cfRule type="cellIs" dxfId="3" priority="1" operator="greaterThan">
      <formula>0</formula>
    </cfRule>
    <cfRule type="cellIs" dxfId="2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  <pageSetUpPr fitToPage="1"/>
  </sheetPr>
  <dimension ref="A1:M46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7304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5.4" x14ac:dyDescent="0.45">
      <c r="A1" s="23" t="s">
        <v>210</v>
      </c>
    </row>
    <row r="3" spans="1:13" ht="21.95" customHeight="1" x14ac:dyDescent="0.45">
      <c r="B3" s="104"/>
      <c r="C3" s="105" t="str">
        <f>IF(ticker="","",ticker)</f>
        <v/>
      </c>
      <c r="D3" s="106" t="str">
        <f>IF(D32=0,"",D32)</f>
        <v/>
      </c>
      <c r="E3" s="106" t="str">
        <f>IF(E32=0,"",E32)</f>
        <v/>
      </c>
      <c r="F3" s="106" t="str">
        <f>IF(F32=0,"",F32)</f>
        <v/>
      </c>
      <c r="G3" s="106" t="str">
        <f>IF(G32=0,"",G32)</f>
        <v/>
      </c>
      <c r="H3" s="106" t="str">
        <f>IF(H32=0,"",H32)</f>
        <v/>
      </c>
      <c r="I3" s="105" t="s">
        <v>144</v>
      </c>
      <c r="J3" s="106" t="s">
        <v>145</v>
      </c>
      <c r="L3" s="1"/>
    </row>
    <row r="4" spans="1:13" ht="20.85" customHeight="1" x14ac:dyDescent="0.45">
      <c r="B4" s="271" t="s">
        <v>166</v>
      </c>
      <c r="C4" s="277"/>
      <c r="D4" s="247"/>
      <c r="E4" s="247"/>
      <c r="F4" s="247"/>
      <c r="G4" s="247"/>
      <c r="H4" s="247"/>
      <c r="I4" s="300"/>
      <c r="J4" s="301"/>
      <c r="K4" s="17"/>
      <c r="L4" s="17"/>
      <c r="M4" s="17"/>
    </row>
    <row r="5" spans="1:13" s="242" customFormat="1" ht="20.85" customHeight="1" x14ac:dyDescent="0.45">
      <c r="B5" s="293" t="s">
        <v>161</v>
      </c>
      <c r="C5" s="274" t="str">
        <f>[1]!IntrinioFinancials(C$3,"calculations",0,"TTM",'Debt Metrics'!$N6)</f>
        <v/>
      </c>
      <c r="D5" s="275" t="str">
        <f>[1]!IntrinioFinancials(D$3,"calculations",0,"TTM",'Debt Metrics'!$N6)</f>
        <v/>
      </c>
      <c r="E5" s="275" t="str">
        <f>[1]!IntrinioFinancials(E$3,"calculations",0,"TTM",'Debt Metrics'!$N6)</f>
        <v/>
      </c>
      <c r="F5" s="296" t="str">
        <f>[1]!IntrinioFinancials(F$3,"calculations",0,"TTM",'Debt Metrics'!$N6)</f>
        <v/>
      </c>
      <c r="G5" s="296" t="str">
        <f>[1]!IntrinioFinancials(G$3,"calculations",0,"TTM",'Debt Metrics'!$N6)</f>
        <v/>
      </c>
      <c r="H5" s="296" t="str">
        <f>[1]!IntrinioFinancials(H$3,"calculations",0,"TTM",'Debt Metrics'!$N6)</f>
        <v/>
      </c>
      <c r="I5" s="302" t="str">
        <f t="shared" ref="I5:I9" si="0">IFERROR(AVERAGE(C5:H5),"nm")</f>
        <v>nm</v>
      </c>
      <c r="J5" s="303" t="str">
        <f t="shared" ref="J5:J9" si="1">IFERROR(MEDIAN(C5:H5),"nm")</f>
        <v>nm</v>
      </c>
      <c r="K5" s="243"/>
      <c r="L5" s="243"/>
      <c r="M5" s="243"/>
    </row>
    <row r="6" spans="1:13" ht="20.85" customHeight="1" x14ac:dyDescent="0.45">
      <c r="B6" s="292" t="s">
        <v>162</v>
      </c>
      <c r="C6" s="283" t="str">
        <f>[1]!IntrinioFinancials(C$3,"calculations",0,"TTM",'Debt Metrics'!$N7)</f>
        <v/>
      </c>
      <c r="D6" s="273" t="str">
        <f>[1]!IntrinioFinancials(D$3,"calculations",0,"TTM",'Debt Metrics'!$N7)</f>
        <v/>
      </c>
      <c r="E6" s="273" t="str">
        <f>[1]!IntrinioFinancials(E$3,"calculations",0,"TTM",'Debt Metrics'!$N7)</f>
        <v/>
      </c>
      <c r="F6" s="297" t="str">
        <f>[1]!IntrinioFinancials(F$3,"calculations",0,"TTM",'Debt Metrics'!$N7)</f>
        <v/>
      </c>
      <c r="G6" s="297" t="str">
        <f>[1]!IntrinioFinancials(G$3,"calculations",0,"TTM",'Debt Metrics'!$N7)</f>
        <v/>
      </c>
      <c r="H6" s="297" t="str">
        <f>[1]!IntrinioFinancials(H$3,"calculations",0,"TTM",'Debt Metrics'!$N7)</f>
        <v/>
      </c>
      <c r="I6" s="304" t="str">
        <f t="shared" si="0"/>
        <v>nm</v>
      </c>
      <c r="J6" s="305" t="str">
        <f t="shared" si="1"/>
        <v>nm</v>
      </c>
      <c r="K6" s="17"/>
      <c r="L6" s="17"/>
      <c r="M6" s="17"/>
    </row>
    <row r="7" spans="1:13" s="242" customFormat="1" ht="20.85" customHeight="1" x14ac:dyDescent="0.45">
      <c r="B7" s="293" t="s">
        <v>163</v>
      </c>
      <c r="C7" s="274" t="str">
        <f>[1]!IntrinioFinancials(C$3,"calculations",0,"TTM",'Debt Metrics'!$N8)</f>
        <v/>
      </c>
      <c r="D7" s="275" t="str">
        <f>[1]!IntrinioFinancials(D$3,"calculations",0,"TTM",'Debt Metrics'!$N8)</f>
        <v/>
      </c>
      <c r="E7" s="275" t="str">
        <f>[1]!IntrinioFinancials(E$3,"calculations",0,"TTM",'Debt Metrics'!$N8)</f>
        <v/>
      </c>
      <c r="F7" s="296" t="str">
        <f>[1]!IntrinioFinancials(F$3,"calculations",0,"TTM",'Debt Metrics'!$N8)</f>
        <v/>
      </c>
      <c r="G7" s="296" t="str">
        <f>[1]!IntrinioFinancials(G$3,"calculations",0,"TTM",'Debt Metrics'!$N8)</f>
        <v/>
      </c>
      <c r="H7" s="296" t="str">
        <f>[1]!IntrinioFinancials(H$3,"calculations",0,"TTM",'Debt Metrics'!$N8)</f>
        <v/>
      </c>
      <c r="I7" s="302" t="str">
        <f t="shared" si="0"/>
        <v>nm</v>
      </c>
      <c r="J7" s="303" t="str">
        <f t="shared" si="1"/>
        <v>nm</v>
      </c>
      <c r="K7" s="243"/>
      <c r="L7" s="243"/>
      <c r="M7" s="243"/>
    </row>
    <row r="8" spans="1:13" ht="20.85" customHeight="1" x14ac:dyDescent="0.45">
      <c r="B8" s="292" t="s">
        <v>164</v>
      </c>
      <c r="C8" s="283" t="str">
        <f>[1]!IntrinioFinancials(C$3,"calculations",0,"TTM",'Debt Metrics'!$N9)</f>
        <v/>
      </c>
      <c r="D8" s="273" t="str">
        <f>[1]!IntrinioFinancials(D$3,"calculations",0,"TTM",'Debt Metrics'!$N9)</f>
        <v/>
      </c>
      <c r="E8" s="273" t="str">
        <f>[1]!IntrinioFinancials(E$3,"calculations",0,"TTM",'Debt Metrics'!$N9)</f>
        <v/>
      </c>
      <c r="F8" s="297" t="str">
        <f>[1]!IntrinioFinancials(F$3,"calculations",0,"TTM",'Debt Metrics'!$N9)</f>
        <v/>
      </c>
      <c r="G8" s="297" t="str">
        <f>[1]!IntrinioFinancials(G$3,"calculations",0,"TTM",'Debt Metrics'!$N9)</f>
        <v/>
      </c>
      <c r="H8" s="297" t="str">
        <f>[1]!IntrinioFinancials(H$3,"calculations",0,"TTM",'Debt Metrics'!$N9)</f>
        <v/>
      </c>
      <c r="I8" s="304" t="str">
        <f t="shared" si="0"/>
        <v>nm</v>
      </c>
      <c r="J8" s="305" t="str">
        <f t="shared" si="1"/>
        <v>nm</v>
      </c>
      <c r="K8" s="17"/>
      <c r="L8" s="17"/>
      <c r="M8" s="17"/>
    </row>
    <row r="9" spans="1:13" s="242" customFormat="1" ht="20.85" customHeight="1" x14ac:dyDescent="0.45">
      <c r="B9" s="293" t="s">
        <v>165</v>
      </c>
      <c r="C9" s="274" t="str">
        <f>[1]!IntrinioFinancials(C$3,"calculations",0,"TTM",'Debt Metrics'!$N10)</f>
        <v/>
      </c>
      <c r="D9" s="275" t="str">
        <f>[1]!IntrinioFinancials(D$3,"calculations",0,"TTM",'Debt Metrics'!$N10)</f>
        <v/>
      </c>
      <c r="E9" s="275" t="str">
        <f>[1]!IntrinioFinancials(E$3,"calculations",0,"TTM",'Debt Metrics'!$N10)</f>
        <v/>
      </c>
      <c r="F9" s="296" t="str">
        <f>[1]!IntrinioFinancials(F$3,"calculations",0,"TTM",'Debt Metrics'!$N10)</f>
        <v/>
      </c>
      <c r="G9" s="296" t="str">
        <f>[1]!IntrinioFinancials(G$3,"calculations",0,"TTM",'Debt Metrics'!$N10)</f>
        <v/>
      </c>
      <c r="H9" s="296" t="str">
        <f>[1]!IntrinioFinancials(H$3,"calculations",0,"TTM",'Debt Metrics'!$N10)</f>
        <v/>
      </c>
      <c r="I9" s="302" t="str">
        <f t="shared" si="0"/>
        <v>nm</v>
      </c>
      <c r="J9" s="303" t="str">
        <f t="shared" si="1"/>
        <v>nm</v>
      </c>
      <c r="K9" s="243"/>
      <c r="L9" s="243"/>
      <c r="M9" s="243"/>
    </row>
    <row r="10" spans="1:13" ht="20.85" customHeight="1" x14ac:dyDescent="0.45">
      <c r="B10" s="271" t="s">
        <v>181</v>
      </c>
      <c r="C10" s="277"/>
      <c r="D10" s="247"/>
      <c r="E10" s="247"/>
      <c r="F10" s="247"/>
      <c r="G10" s="247"/>
      <c r="H10" s="247"/>
      <c r="I10" s="306"/>
      <c r="J10" s="307"/>
      <c r="K10" s="17"/>
      <c r="L10" s="17"/>
      <c r="M10" s="17"/>
    </row>
    <row r="11" spans="1:13" s="242" customFormat="1" ht="20.85" customHeight="1" x14ac:dyDescent="0.45">
      <c r="B11" s="293" t="s">
        <v>182</v>
      </c>
      <c r="C11" s="285" t="str">
        <f>[1]!IntrinioFinancials(C$3,"calculations",0,"TTM",'Debt Metrics'!$N12)</f>
        <v/>
      </c>
      <c r="D11" s="286" t="str">
        <f>[1]!IntrinioFinancials(D$3,"calculations",0,"TTM",'Debt Metrics'!$N12)</f>
        <v/>
      </c>
      <c r="E11" s="286" t="str">
        <f>[1]!IntrinioFinancials(E$3,"calculations",0,"TTM",'Debt Metrics'!$N12)</f>
        <v/>
      </c>
      <c r="F11" s="298" t="str">
        <f>[1]!IntrinioFinancials(F$3,"calculations",0,"TTM",'Debt Metrics'!$N12)</f>
        <v/>
      </c>
      <c r="G11" s="298" t="str">
        <f>[1]!IntrinioFinancials(G$3,"calculations",0,"TTM",'Debt Metrics'!$N12)</f>
        <v/>
      </c>
      <c r="H11" s="298" t="str">
        <f>[1]!IntrinioFinancials(H$3,"calculations",0,"TTM",'Debt Metrics'!$N12)</f>
        <v/>
      </c>
      <c r="I11" s="308" t="str">
        <f t="shared" ref="I11" si="2">IFERROR(AVERAGE(C11:H11),"nm")</f>
        <v>nm</v>
      </c>
      <c r="J11" s="309" t="str">
        <f t="shared" ref="J11" si="3">IFERROR(MEDIAN(C11:H11),"nm")</f>
        <v>nm</v>
      </c>
      <c r="K11" s="243"/>
      <c r="L11" s="243"/>
      <c r="M11" s="243"/>
    </row>
    <row r="12" spans="1:13" ht="20.85" customHeight="1" x14ac:dyDescent="0.45">
      <c r="B12" s="317" t="s">
        <v>166</v>
      </c>
      <c r="C12" s="288"/>
      <c r="D12" s="289"/>
      <c r="E12" s="289"/>
      <c r="F12" s="299"/>
      <c r="G12" s="299"/>
      <c r="H12" s="299"/>
      <c r="I12" s="310"/>
      <c r="J12" s="311"/>
      <c r="K12" s="17"/>
      <c r="L12" s="17"/>
      <c r="M12" s="17"/>
    </row>
    <row r="13" spans="1:13" s="242" customFormat="1" ht="20.85" customHeight="1" x14ac:dyDescent="0.45">
      <c r="B13" s="293" t="s">
        <v>177</v>
      </c>
      <c r="C13" s="285" t="str">
        <f>[1]!IntrinioFinancials(C$3,"calculations",0,"TTM",'Debt Metrics'!$N14)</f>
        <v/>
      </c>
      <c r="D13" s="286" t="str">
        <f>[1]!IntrinioFinancials(D$3,"calculations",0,"TTM",'Debt Metrics'!$N14)</f>
        <v/>
      </c>
      <c r="E13" s="286" t="str">
        <f>[1]!IntrinioFinancials(E$3,"calculations",0,"TTM",'Debt Metrics'!$N14)</f>
        <v/>
      </c>
      <c r="F13" s="295" t="str">
        <f>[1]!IntrinioFinancials(F$3,"calculations",0,"TTM",'Debt Metrics'!$N14)</f>
        <v/>
      </c>
      <c r="G13" s="295" t="str">
        <f>[1]!IntrinioFinancials(G$3,"calculations",0,"TTM",'Debt Metrics'!$N14)</f>
        <v/>
      </c>
      <c r="H13" s="295" t="str">
        <f>[1]!IntrinioFinancials(H$3,"calculations",0,"TTM",'Debt Metrics'!$N14)</f>
        <v/>
      </c>
      <c r="I13" s="314" t="str">
        <f t="shared" ref="I13:I14" si="4">IFERROR(AVERAGE(C13:H13),"nm")</f>
        <v>nm</v>
      </c>
      <c r="J13" s="315" t="str">
        <f t="shared" ref="J13:J14" si="5">IFERROR(MEDIAN(C13:H13),"nm")</f>
        <v>nm</v>
      </c>
      <c r="K13" s="243"/>
      <c r="L13" s="243"/>
      <c r="M13" s="243"/>
    </row>
    <row r="14" spans="1:13" ht="20.85" customHeight="1" x14ac:dyDescent="0.45">
      <c r="B14" s="292" t="s">
        <v>178</v>
      </c>
      <c r="C14" s="288" t="str">
        <f>[1]!IntrinioFinancials(C$3,"calculations",0,"TTM",'Debt Metrics'!$N15)</f>
        <v/>
      </c>
      <c r="D14" s="289" t="str">
        <f>[1]!IntrinioFinancials(D$3,"calculations",0,"TTM",'Debt Metrics'!$N15)</f>
        <v/>
      </c>
      <c r="E14" s="289" t="str">
        <f>[1]!IntrinioFinancials(E$3,"calculations",0,"TTM",'Debt Metrics'!$N15)</f>
        <v/>
      </c>
      <c r="F14" s="294" t="str">
        <f>[1]!IntrinioFinancials(F$3,"calculations",0,"TTM",'Debt Metrics'!$N15)</f>
        <v/>
      </c>
      <c r="G14" s="294" t="str">
        <f>[1]!IntrinioFinancials(G$3,"calculations",0,"TTM",'Debt Metrics'!$N15)</f>
        <v/>
      </c>
      <c r="H14" s="294" t="str">
        <f>[1]!IntrinioFinancials(H$3,"calculations",0,"TTM",'Debt Metrics'!$N15)</f>
        <v/>
      </c>
      <c r="I14" s="312" t="str">
        <f t="shared" si="4"/>
        <v>nm</v>
      </c>
      <c r="J14" s="313" t="str">
        <f t="shared" si="5"/>
        <v>nm</v>
      </c>
      <c r="K14" s="17"/>
      <c r="L14" s="17"/>
      <c r="M14" s="17"/>
    </row>
    <row r="15" spans="1:13" s="242" customFormat="1" ht="20.85" customHeight="1" x14ac:dyDescent="0.45">
      <c r="B15" s="318" t="s">
        <v>176</v>
      </c>
      <c r="C15" s="285"/>
      <c r="D15" s="286"/>
      <c r="E15" s="286"/>
      <c r="F15" s="295"/>
      <c r="G15" s="295"/>
      <c r="H15" s="295"/>
      <c r="I15" s="314"/>
      <c r="J15" s="315"/>
      <c r="K15" s="243"/>
      <c r="L15" s="243"/>
      <c r="M15" s="243"/>
    </row>
    <row r="16" spans="1:13" ht="20.85" customHeight="1" x14ac:dyDescent="0.45">
      <c r="B16" s="292" t="s">
        <v>174</v>
      </c>
      <c r="C16" s="288" t="str">
        <f>[1]!IntrinioFinancials(C$3,"calculations",0,"TTM",'Debt Metrics'!$N17)</f>
        <v/>
      </c>
      <c r="D16" s="289" t="str">
        <f>[1]!IntrinioFinancials(D$3,"calculations",0,"TTM",'Debt Metrics'!$N17)</f>
        <v/>
      </c>
      <c r="E16" s="289" t="str">
        <f>[1]!IntrinioFinancials(E$3,"calculations",0,"TTM",'Debt Metrics'!$N17)</f>
        <v/>
      </c>
      <c r="F16" s="299" t="str">
        <f>[1]!IntrinioFinancials(F$3,"calculations",0,"TTM",'Debt Metrics'!$N17)</f>
        <v/>
      </c>
      <c r="G16" s="299" t="str">
        <f>[1]!IntrinioFinancials(G$3,"calculations",0,"TTM",'Debt Metrics'!$N17)</f>
        <v/>
      </c>
      <c r="H16" s="299" t="str">
        <f>[1]!IntrinioFinancials(H$3,"calculations",0,"TTM",'Debt Metrics'!$N17)</f>
        <v/>
      </c>
      <c r="I16" s="310" t="str">
        <f t="shared" ref="I16:I17" si="6">IFERROR(AVERAGE(C16:H16),"nm")</f>
        <v>nm</v>
      </c>
      <c r="J16" s="311" t="str">
        <f t="shared" ref="J16:J17" si="7">IFERROR(MEDIAN(C16:H16),"nm")</f>
        <v>nm</v>
      </c>
      <c r="K16" s="17"/>
      <c r="L16" s="17"/>
      <c r="M16" s="17"/>
    </row>
    <row r="17" spans="2:13" s="242" customFormat="1" ht="20.85" customHeight="1" x14ac:dyDescent="0.45">
      <c r="B17" s="293" t="s">
        <v>175</v>
      </c>
      <c r="C17" s="285" t="str">
        <f>[1]!IntrinioFinancials(C$3,"calculations",0,"TTM",'Debt Metrics'!$N18)</f>
        <v/>
      </c>
      <c r="D17" s="286" t="str">
        <f>[1]!IntrinioFinancials(D$3,"calculations",0,"TTM",'Debt Metrics'!$N18)</f>
        <v/>
      </c>
      <c r="E17" s="286" t="str">
        <f>[1]!IntrinioFinancials(E$3,"calculations",0,"TTM",'Debt Metrics'!$N18)</f>
        <v/>
      </c>
      <c r="F17" s="295" t="str">
        <f>[1]!IntrinioFinancials(F$3,"calculations",0,"TTM",'Debt Metrics'!$N18)</f>
        <v/>
      </c>
      <c r="G17" s="295" t="str">
        <f>[1]!IntrinioFinancials(G$3,"calculations",0,"TTM",'Debt Metrics'!$N18)</f>
        <v/>
      </c>
      <c r="H17" s="295" t="str">
        <f>[1]!IntrinioFinancials(H$3,"calculations",0,"TTM",'Debt Metrics'!$N18)</f>
        <v/>
      </c>
      <c r="I17" s="314" t="str">
        <f t="shared" si="6"/>
        <v>nm</v>
      </c>
      <c r="J17" s="315" t="str">
        <f t="shared" si="7"/>
        <v>nm</v>
      </c>
      <c r="K17" s="243"/>
      <c r="L17" s="243"/>
      <c r="M17" s="243"/>
    </row>
    <row r="18" spans="2:13" ht="21.95" customHeight="1" x14ac:dyDescent="0.45">
      <c r="B18" s="117"/>
      <c r="C18" s="117"/>
      <c r="D18" s="117"/>
      <c r="E18" s="117"/>
      <c r="F18" s="117"/>
      <c r="G18" s="117"/>
      <c r="H18" s="117"/>
      <c r="I18" s="117"/>
      <c r="J18" s="117"/>
      <c r="K18" s="49"/>
      <c r="L18" s="49"/>
      <c r="M18" s="17"/>
    </row>
    <row r="19" spans="2:13" ht="21.95" customHeight="1" x14ac:dyDescent="0.45">
      <c r="B19" s="117"/>
      <c r="C19" s="117"/>
      <c r="D19" s="117"/>
      <c r="E19" s="117"/>
      <c r="F19" s="117"/>
      <c r="G19" s="117"/>
      <c r="H19" s="117"/>
      <c r="I19" s="117"/>
      <c r="J19" s="117"/>
      <c r="K19" s="17"/>
      <c r="L19" s="17"/>
      <c r="M19" s="17"/>
    </row>
    <row r="20" spans="2:13" ht="21.95" customHeight="1" x14ac:dyDescent="0.45">
      <c r="B20" s="117"/>
      <c r="C20" s="117"/>
      <c r="D20" s="117"/>
      <c r="E20" s="117"/>
      <c r="F20" s="117"/>
      <c r="G20" s="117"/>
      <c r="H20" s="117"/>
      <c r="I20" s="117"/>
      <c r="J20" s="117"/>
      <c r="K20" s="17"/>
      <c r="L20" s="17"/>
      <c r="M20" s="17"/>
    </row>
    <row r="21" spans="2:13" ht="21.95" customHeight="1" x14ac:dyDescent="0.45">
      <c r="B21" s="117"/>
      <c r="C21" s="117"/>
      <c r="D21" s="117"/>
      <c r="E21" s="117"/>
      <c r="F21" s="117"/>
      <c r="G21" s="117"/>
      <c r="H21" s="117"/>
      <c r="I21" s="117"/>
      <c r="J21" s="117"/>
      <c r="K21" s="17"/>
      <c r="L21" s="17"/>
      <c r="M21" s="17"/>
    </row>
    <row r="22" spans="2:13" ht="21.95" customHeight="1" x14ac:dyDescent="0.45">
      <c r="B22" s="117"/>
      <c r="C22" s="117"/>
      <c r="D22" s="117"/>
      <c r="E22" s="117"/>
      <c r="F22" s="117"/>
      <c r="G22" s="117"/>
      <c r="H22" s="117"/>
      <c r="I22" s="117"/>
      <c r="J22" s="117"/>
      <c r="K22" s="17"/>
      <c r="L22" s="17"/>
      <c r="M22" s="17"/>
    </row>
    <row r="23" spans="2:13" ht="21.95" customHeight="1" x14ac:dyDescent="0.45">
      <c r="B23" s="117"/>
      <c r="C23" s="117"/>
      <c r="D23" s="117"/>
      <c r="E23" s="117"/>
      <c r="F23" s="117"/>
      <c r="G23" s="117"/>
      <c r="H23" s="117"/>
      <c r="I23" s="117"/>
      <c r="J23" s="117"/>
      <c r="K23" s="17"/>
      <c r="L23" s="17"/>
      <c r="M23" s="17"/>
    </row>
    <row r="24" spans="2:13" ht="21.95" customHeight="1" x14ac:dyDescent="0.45">
      <c r="B24" s="117"/>
      <c r="C24" s="117"/>
      <c r="D24" s="117"/>
      <c r="E24" s="117"/>
      <c r="F24" s="117"/>
      <c r="G24" s="117"/>
      <c r="H24" s="117"/>
      <c r="I24" s="117"/>
      <c r="J24" s="117"/>
      <c r="K24" s="17"/>
      <c r="L24" s="17"/>
      <c r="M24" s="17"/>
    </row>
    <row r="25" spans="2:13" ht="21.95" customHeight="1" x14ac:dyDescent="0.45">
      <c r="B25" s="117"/>
      <c r="C25" s="117"/>
      <c r="D25" s="117"/>
      <c r="E25" s="117"/>
      <c r="F25" s="117"/>
      <c r="G25" s="117"/>
      <c r="H25" s="117"/>
      <c r="I25" s="117"/>
      <c r="J25" s="117"/>
      <c r="K25" s="17"/>
      <c r="L25" s="17"/>
      <c r="M25" s="17"/>
    </row>
    <row r="26" spans="2:13" ht="21.95" customHeight="1" x14ac:dyDescent="0.45">
      <c r="B26" s="117"/>
      <c r="C26" s="117"/>
      <c r="D26" s="117"/>
      <c r="E26" s="117"/>
      <c r="F26" s="117"/>
      <c r="G26" s="117"/>
      <c r="H26" s="117"/>
      <c r="I26" s="117"/>
      <c r="J26" s="117"/>
      <c r="K26" s="17"/>
      <c r="L26" s="17"/>
      <c r="M26" s="17"/>
    </row>
    <row r="27" spans="2:13" ht="21.95" customHeight="1" x14ac:dyDescent="0.45">
      <c r="B27" s="117"/>
      <c r="C27" s="117"/>
      <c r="D27" s="117"/>
      <c r="E27" s="117"/>
      <c r="F27" s="117"/>
      <c r="G27" s="117"/>
      <c r="H27" s="117"/>
      <c r="I27" s="117"/>
      <c r="J27" s="117"/>
      <c r="K27" s="17"/>
      <c r="L27" s="17"/>
      <c r="M27" s="17"/>
    </row>
    <row r="28" spans="2:13" ht="21.95" customHeight="1" x14ac:dyDescent="0.45">
      <c r="B28" s="117"/>
      <c r="C28" s="117"/>
      <c r="D28" s="117"/>
      <c r="E28" s="117"/>
      <c r="F28" s="117"/>
      <c r="G28" s="117"/>
      <c r="H28" s="117"/>
      <c r="I28" s="117"/>
      <c r="J28" s="117"/>
      <c r="K28" s="17"/>
      <c r="L28" s="17"/>
      <c r="M28" s="17"/>
    </row>
    <row r="29" spans="2:13" ht="21.95" customHeight="1" x14ac:dyDescent="0.45">
      <c r="B29" s="117"/>
      <c r="C29" s="117"/>
      <c r="D29" s="117"/>
      <c r="E29" s="117"/>
      <c r="F29" s="117"/>
      <c r="G29" s="117"/>
      <c r="H29" s="117"/>
      <c r="I29" s="117"/>
      <c r="J29" s="117"/>
      <c r="K29" s="17"/>
      <c r="L29" s="17"/>
      <c r="M29" s="17"/>
    </row>
    <row r="30" spans="2:13" ht="21.95" customHeight="1" x14ac:dyDescent="0.45">
      <c r="B30" s="28"/>
      <c r="C30" s="253"/>
      <c r="D30" s="253"/>
      <c r="E30" s="253"/>
      <c r="F30" s="253"/>
      <c r="G30" s="253"/>
      <c r="H30" s="253"/>
      <c r="I30" s="28"/>
      <c r="J30" s="28"/>
      <c r="K30" s="16"/>
      <c r="L30" s="17"/>
      <c r="M30" s="17"/>
    </row>
    <row r="31" spans="2:13" ht="21.95" customHeight="1" x14ac:dyDescent="0.45">
      <c r="B31" s="28"/>
      <c r="C31" s="253"/>
      <c r="D31" s="253"/>
      <c r="E31" s="253"/>
      <c r="F31" s="253"/>
      <c r="G31" s="253"/>
      <c r="H31" s="253"/>
      <c r="I31" s="28"/>
      <c r="J31" s="28"/>
      <c r="K31" s="17"/>
      <c r="L31" s="17"/>
      <c r="M31" s="17"/>
    </row>
    <row r="32" spans="2:13" ht="21.95" customHeight="1" x14ac:dyDescent="0.45">
      <c r="B32" s="28" t="s">
        <v>152</v>
      </c>
      <c r="C32" s="28" t="str">
        <f>IF(ticker="","",ticker)</f>
        <v/>
      </c>
      <c r="D32" s="28" t="str">
        <f>IF(comp1="","",comp1)</f>
        <v/>
      </c>
      <c r="E32" s="28" t="str">
        <f>IF(comp2="","",comp2)</f>
        <v/>
      </c>
      <c r="F32" s="28" t="str">
        <f>IF(comp3="","",comp3)</f>
        <v/>
      </c>
      <c r="G32" s="28" t="str">
        <f>IF(comp4="","",comp4)</f>
        <v/>
      </c>
      <c r="H32" s="28" t="str">
        <f>IF(comp5="","",comp5)</f>
        <v/>
      </c>
      <c r="I32" s="28"/>
      <c r="J32" s="28"/>
    </row>
    <row r="33" spans="2:11" ht="23.85" customHeight="1" x14ac:dyDescent="0.45">
      <c r="B33" s="28"/>
      <c r="C33" s="28"/>
      <c r="D33" s="28"/>
      <c r="E33" s="28"/>
      <c r="F33" s="28"/>
      <c r="G33" s="28"/>
      <c r="H33" s="28"/>
      <c r="I33" s="28"/>
      <c r="J33" s="28"/>
    </row>
    <row r="34" spans="2:11" ht="15.75" customHeight="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2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2:11" x14ac:dyDescent="0.45">
      <c r="C36" s="3"/>
      <c r="D36" s="3"/>
      <c r="E36" s="3"/>
      <c r="F36" s="3"/>
      <c r="G36" s="3"/>
      <c r="H36" s="3"/>
      <c r="I36" s="3"/>
      <c r="J36" s="3"/>
      <c r="K36" s="20"/>
    </row>
    <row r="37" spans="2:11" x14ac:dyDescent="0.45">
      <c r="C37" s="3"/>
      <c r="D37" s="3"/>
      <c r="E37" s="3"/>
      <c r="F37" s="3"/>
      <c r="G37" s="3"/>
      <c r="H37" s="3"/>
      <c r="I37" s="3"/>
      <c r="J37" s="3"/>
      <c r="K37" s="20"/>
    </row>
    <row r="38" spans="2:11" x14ac:dyDescent="0.45">
      <c r="C38" s="3"/>
      <c r="D38" s="3"/>
      <c r="E38" s="3"/>
      <c r="F38" s="3"/>
      <c r="G38" s="3"/>
      <c r="H38" s="3"/>
      <c r="I38" s="3"/>
      <c r="J38" s="3"/>
      <c r="K38" s="20"/>
    </row>
    <row r="39" spans="2:11" x14ac:dyDescent="0.45">
      <c r="C39" s="3"/>
      <c r="D39" s="3"/>
      <c r="E39" s="3"/>
      <c r="F39" s="3"/>
      <c r="G39" s="3"/>
      <c r="H39" s="3"/>
      <c r="I39" s="3"/>
      <c r="J39" s="3"/>
    </row>
    <row r="40" spans="2:11" x14ac:dyDescent="0.45">
      <c r="C40" s="3"/>
      <c r="D40" s="3"/>
      <c r="E40" s="3"/>
      <c r="F40" s="3"/>
      <c r="G40" s="3"/>
      <c r="H40" s="3"/>
      <c r="I40" s="3"/>
      <c r="J40" s="3"/>
      <c r="K40" s="19"/>
    </row>
    <row r="41" spans="2:11" x14ac:dyDescent="0.45">
      <c r="C41" s="3"/>
      <c r="D41" s="3"/>
      <c r="E41" s="3"/>
      <c r="F41" s="3"/>
      <c r="G41" s="3"/>
      <c r="H41" s="3"/>
      <c r="I41" s="3"/>
      <c r="J41" s="3"/>
    </row>
    <row r="42" spans="2:11" x14ac:dyDescent="0.45">
      <c r="C42" s="3"/>
      <c r="D42" s="3"/>
      <c r="E42" s="3"/>
      <c r="F42" s="3"/>
      <c r="G42" s="3"/>
      <c r="H42" s="3"/>
      <c r="I42" s="3"/>
      <c r="J42" s="3"/>
    </row>
    <row r="43" spans="2:11" x14ac:dyDescent="0.45">
      <c r="C43" s="3"/>
      <c r="D43" s="3"/>
      <c r="E43" s="3"/>
      <c r="F43" s="3"/>
      <c r="G43" s="3"/>
      <c r="H43" s="3"/>
      <c r="I43" s="3"/>
      <c r="J43" s="3"/>
    </row>
    <row r="44" spans="2:11" x14ac:dyDescent="0.45">
      <c r="C44" s="3"/>
      <c r="D44" s="3"/>
      <c r="E44" s="3"/>
      <c r="F44" s="3"/>
      <c r="G44" s="3"/>
      <c r="H44" s="3"/>
      <c r="I44" s="3"/>
      <c r="J44" s="3"/>
    </row>
    <row r="45" spans="2:11" x14ac:dyDescent="0.45">
      <c r="C45" s="3"/>
      <c r="D45" s="3"/>
      <c r="E45" s="3"/>
      <c r="F45" s="3"/>
      <c r="G45" s="3"/>
      <c r="H45" s="3"/>
      <c r="I45" s="3"/>
      <c r="J45" s="3"/>
    </row>
    <row r="46" spans="2:11" x14ac:dyDescent="0.45">
      <c r="C46" s="3"/>
      <c r="D46" s="3"/>
      <c r="E46" s="3"/>
      <c r="F46" s="3"/>
      <c r="G46" s="3"/>
      <c r="H46" s="3"/>
      <c r="I46" s="3"/>
      <c r="J46" s="3"/>
    </row>
  </sheetData>
  <conditionalFormatting sqref="K34:K36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scale="85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23</vt:i4>
      </vt:variant>
    </vt:vector>
  </HeadingPairs>
  <TitlesOfParts>
    <vt:vector size="37" baseType="lpstr">
      <vt:lpstr>Control Panel</vt:lpstr>
      <vt:lpstr>Profile</vt:lpstr>
      <vt:lpstr>Key Items</vt:lpstr>
      <vt:lpstr>Key Estimates</vt:lpstr>
      <vt:lpstr>Income Metrics</vt:lpstr>
      <vt:lpstr>ROIC Metrics</vt:lpstr>
      <vt:lpstr>NWC Metrics</vt:lpstr>
      <vt:lpstr>Debt Metrics</vt:lpstr>
      <vt:lpstr>DCF</vt:lpstr>
      <vt:lpstr>Comps Overview</vt:lpstr>
      <vt:lpstr>Income Comps</vt:lpstr>
      <vt:lpstr>ROIC Comps</vt:lpstr>
      <vt:lpstr>NWC Comps</vt:lpstr>
      <vt:lpstr>Debt Comps</vt:lpstr>
      <vt:lpstr>comp1</vt:lpstr>
      <vt:lpstr>comp2</vt:lpstr>
      <vt:lpstr>comp3</vt:lpstr>
      <vt:lpstr>comp4</vt:lpstr>
      <vt:lpstr>comp5</vt:lpstr>
      <vt:lpstr>last_price</vt:lpstr>
      <vt:lpstr>name</vt:lpstr>
      <vt:lpstr>'Comps Overview'!Print_Area</vt:lpstr>
      <vt:lpstr>'Control Panel'!Print_Area</vt:lpstr>
      <vt:lpstr>DCF!Print_Area</vt:lpstr>
      <vt:lpstr>'Debt Comps'!Print_Area</vt:lpstr>
      <vt:lpstr>'Debt Metrics'!Print_Area</vt:lpstr>
      <vt:lpstr>'Income Comps'!Print_Area</vt:lpstr>
      <vt:lpstr>'Income Metrics'!Print_Area</vt:lpstr>
      <vt:lpstr>'Key Estimates'!Print_Area</vt:lpstr>
      <vt:lpstr>'Key Items'!Print_Area</vt:lpstr>
      <vt:lpstr>'NWC Comps'!Print_Area</vt:lpstr>
      <vt:lpstr>'NWC Metrics'!Print_Area</vt:lpstr>
      <vt:lpstr>Profile!Print_Area</vt:lpstr>
      <vt:lpstr>'ROIC Comps'!Print_Area</vt:lpstr>
      <vt:lpstr>'ROIC Metrics'!Print_Area</vt:lpstr>
      <vt:lpstr>report_date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cp:lastPrinted>2016-08-27T09:05:53Z</cp:lastPrinted>
  <dcterms:created xsi:type="dcterms:W3CDTF">2016-02-24T21:39:54Z</dcterms:created>
  <dcterms:modified xsi:type="dcterms:W3CDTF">2016-12-11T22:32:27Z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